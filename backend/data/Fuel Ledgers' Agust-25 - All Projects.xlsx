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40547" documentId="13_ncr:1_{8AE36FE3-86F3-4CF6-9A97-12266062BE40}" xr6:coauthVersionLast="47" xr6:coauthVersionMax="47" xr10:uidLastSave="{9CD134D0-7002-4CFB-936B-8CB58C582F04}"/>
  <bookViews>
    <workbookView xWindow="-120" yWindow="-120" windowWidth="24240" windowHeight="13020" firstSheet="41" xr2:uid="{00000000-000D-0000-FFFF-FFFF00000000}"/>
  </bookViews>
  <sheets>
    <sheet name=" Aug-25 " sheetId="56" r:id="rId1"/>
    <sheet name="Khammam-1" sheetId="50" r:id="rId2"/>
    <sheet name="Khammam-2" sheetId="47" r:id="rId3"/>
    <sheet name="Jedcherla -1" sheetId="18" r:id="rId4"/>
    <sheet name="Jedcharla-2" sheetId="54" r:id="rId5"/>
    <sheet name="Dindi" sheetId="58" r:id="rId6"/>
    <sheet name="Sangareddy" sheetId="32" r:id="rId7"/>
    <sheet name="Devarakhadra" sheetId="59" r:id="rId8"/>
    <sheet name="Devarakhadra-2" sheetId="64" r:id="rId9"/>
    <sheet name="Amalapuram" sheetId="65" r:id="rId10"/>
    <sheet name="Kadur" sheetId="7" r:id="rId11"/>
    <sheet name="YG Gudda " sheetId="2" r:id="rId12"/>
    <sheet name="YG Gudda-2" sheetId="62" r:id="rId13"/>
    <sheet name="Hosadurga" sheetId="1" r:id="rId14"/>
    <sheet name="Hosadurga -2" sheetId="52" r:id="rId15"/>
    <sheet name="Hiriyur(VJNL)" sheetId="3" r:id="rId16"/>
    <sheet name="Chellakere (KUWSDB)" sheetId="20" r:id="rId17"/>
    <sheet name="Malebenur(KUWSDB)" sheetId="16" r:id="rId18"/>
    <sheet name="Molakamuru" sheetId="63" r:id="rId19"/>
    <sheet name="Haveri" sheetId="15" r:id="rId20"/>
    <sheet name="Guttal" sheetId="36" r:id="rId21"/>
    <sheet name="Rattihali" sheetId="37" r:id="rId22"/>
    <sheet name="Gajendragada" sheetId="12" r:id="rId23"/>
    <sheet name=" Talikote" sheetId="26" r:id="rId24"/>
    <sheet name="Chadchan" sheetId="9" r:id="rId25"/>
    <sheet name="Sindagi" sheetId="33" r:id="rId26"/>
    <sheet name="Alemela" sheetId="35" r:id="rId27"/>
    <sheet name="Nalatwad" sheetId="51" r:id="rId28"/>
    <sheet name="Muddebihal" sheetId="34" r:id="rId29"/>
    <sheet name="Khanapur" sheetId="24" r:id="rId30"/>
    <sheet name="Munavalli(KUWSDB)" sheetId="23" r:id="rId31"/>
    <sheet name="Munavali-2" sheetId="61" r:id="rId32"/>
    <sheet name="Ghattaprabha" sheetId="8" r:id="rId33"/>
    <sheet name="Gokak Dharwad PKG 3" sheetId="41" r:id="rId34"/>
    <sheet name="Ankalgi" sheetId="60" r:id="rId35"/>
    <sheet name=" Shankeshwar" sheetId="57" r:id="rId36"/>
    <sheet name="kumta" sheetId="25" r:id="rId37"/>
    <sheet name="Borgaon" sheetId="10" r:id="rId38"/>
    <sheet name="Ugar,Khagwad,Kudichi" sheetId="11" r:id="rId39"/>
    <sheet name="Kabbur" sheetId="40" r:id="rId40"/>
    <sheet name="Jalgaon" sheetId="22" r:id="rId41"/>
    <sheet name="MKBD" sheetId="14" r:id="rId42"/>
    <sheet name="Srirangapatna" sheetId="19" r:id="rId43"/>
    <sheet name="BPCL March 25" sheetId="44" r:id="rId44"/>
    <sheet name=" HPCL March 2025" sheetId="45" r:id="rId45"/>
    <sheet name="Sheet1" sheetId="66" r:id="rId46"/>
  </sheets>
  <definedNames>
    <definedName name="_xlnm._FilterDatabase" localSheetId="43" hidden="1">'BPCL March 25'!$A$2:$O$2</definedName>
    <definedName name="_xlnm.Print_Area" localSheetId="13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56" l="1"/>
  <c r="L35" i="65"/>
  <c r="E35" i="65"/>
  <c r="H35" i="65"/>
  <c r="M5" i="18"/>
  <c r="M6" i="18"/>
  <c r="J19" i="66"/>
  <c r="G19" i="66"/>
  <c r="K19" i="66" s="1"/>
  <c r="J16" i="66"/>
  <c r="G16" i="66"/>
  <c r="K16" i="66" s="1"/>
  <c r="J15" i="66"/>
  <c r="G15" i="66"/>
  <c r="K15" i="66" s="1"/>
  <c r="K17" i="66" s="1"/>
  <c r="J12" i="66"/>
  <c r="G12" i="66"/>
  <c r="K12" i="66" s="1"/>
  <c r="K13" i="66" s="1"/>
  <c r="J9" i="66"/>
  <c r="G9" i="66"/>
  <c r="K9" i="66" s="1"/>
  <c r="K10" i="66" s="1"/>
  <c r="J7" i="66"/>
  <c r="G7" i="66"/>
  <c r="K7" i="66" s="1"/>
  <c r="J6" i="66"/>
  <c r="G6" i="66"/>
  <c r="K6" i="66" s="1"/>
  <c r="K8" i="66" s="1"/>
  <c r="J3" i="66"/>
  <c r="G3" i="66"/>
  <c r="K3" i="66" s="1"/>
  <c r="J2" i="66"/>
  <c r="G2" i="66"/>
  <c r="K2" i="66" s="1"/>
  <c r="J1" i="66"/>
  <c r="G1" i="66"/>
  <c r="K1" i="66" s="1"/>
  <c r="K4" i="66" s="1"/>
  <c r="K81" i="44"/>
  <c r="E38" i="50"/>
  <c r="J31" i="7"/>
  <c r="K31" i="7"/>
  <c r="M4" i="44"/>
  <c r="G33" i="18"/>
  <c r="E35" i="15"/>
  <c r="G32" i="63"/>
  <c r="J32" i="63"/>
  <c r="K32" i="63"/>
  <c r="L32" i="63"/>
  <c r="G33" i="63"/>
  <c r="J33" i="63"/>
  <c r="K33" i="63"/>
  <c r="L33" i="63"/>
  <c r="G34" i="63"/>
  <c r="J34" i="63"/>
  <c r="K34" i="63"/>
  <c r="L34" i="63"/>
  <c r="E32" i="59"/>
  <c r="G29" i="18"/>
  <c r="G30" i="18"/>
  <c r="G31" i="18"/>
  <c r="E44" i="22"/>
  <c r="E29" i="59"/>
  <c r="G28" i="18"/>
  <c r="M28" i="9"/>
  <c r="G33" i="61"/>
  <c r="J33" i="61"/>
  <c r="K33" i="61"/>
  <c r="G27" i="18"/>
  <c r="H35" i="59"/>
  <c r="E27" i="59"/>
  <c r="E26" i="59"/>
  <c r="K26" i="15"/>
  <c r="K27" i="15"/>
  <c r="G26" i="3"/>
  <c r="G24" i="18"/>
  <c r="G25" i="18"/>
  <c r="G26" i="18"/>
  <c r="G23" i="18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K7" i="45"/>
  <c r="K6" i="45"/>
  <c r="J23" i="18"/>
  <c r="G22" i="18"/>
  <c r="K23" i="60"/>
  <c r="E22" i="47"/>
  <c r="G16" i="61"/>
  <c r="K16" i="61" s="1"/>
  <c r="G18" i="18"/>
  <c r="G19" i="18"/>
  <c r="G20" i="18"/>
  <c r="G21" i="18"/>
  <c r="K22" i="60"/>
  <c r="K27" i="44"/>
  <c r="L19" i="19"/>
  <c r="E20" i="47"/>
  <c r="G19" i="60"/>
  <c r="G20" i="60"/>
  <c r="G17" i="18"/>
  <c r="G17" i="41"/>
  <c r="G16" i="18"/>
  <c r="G13" i="18"/>
  <c r="G14" i="18"/>
  <c r="G15" i="18"/>
  <c r="J14" i="40"/>
  <c r="J15" i="40"/>
  <c r="I10" i="56"/>
  <c r="J9" i="56"/>
  <c r="I9" i="56"/>
  <c r="G9" i="56"/>
  <c r="F9" i="56"/>
  <c r="G11" i="65"/>
  <c r="J11" i="65"/>
  <c r="G12" i="65"/>
  <c r="J12" i="65"/>
  <c r="G13" i="65"/>
  <c r="J13" i="65"/>
  <c r="G14" i="65"/>
  <c r="J14" i="65"/>
  <c r="G15" i="65"/>
  <c r="J15" i="65"/>
  <c r="G16" i="65"/>
  <c r="J16" i="65"/>
  <c r="G17" i="65"/>
  <c r="J17" i="65"/>
  <c r="G18" i="65"/>
  <c r="J18" i="65"/>
  <c r="G19" i="65"/>
  <c r="J19" i="65"/>
  <c r="G20" i="65"/>
  <c r="J20" i="65"/>
  <c r="G21" i="65"/>
  <c r="J21" i="65"/>
  <c r="G22" i="65"/>
  <c r="J22" i="65"/>
  <c r="J10" i="56"/>
  <c r="F10" i="56"/>
  <c r="D10" i="56"/>
  <c r="J34" i="65"/>
  <c r="G34" i="65"/>
  <c r="K34" i="65" s="1"/>
  <c r="J33" i="65"/>
  <c r="G33" i="65"/>
  <c r="K33" i="65" s="1"/>
  <c r="J32" i="65"/>
  <c r="G32" i="65"/>
  <c r="K32" i="65" s="1"/>
  <c r="J31" i="65"/>
  <c r="G31" i="65"/>
  <c r="K31" i="65" s="1"/>
  <c r="J30" i="65"/>
  <c r="G30" i="65"/>
  <c r="K30" i="65" s="1"/>
  <c r="J29" i="65"/>
  <c r="G29" i="65"/>
  <c r="K29" i="65" s="1"/>
  <c r="J28" i="65"/>
  <c r="G28" i="65"/>
  <c r="K28" i="65" s="1"/>
  <c r="J27" i="65"/>
  <c r="G27" i="65"/>
  <c r="K27" i="65" s="1"/>
  <c r="J26" i="65"/>
  <c r="G26" i="65"/>
  <c r="K26" i="65" s="1"/>
  <c r="J25" i="65"/>
  <c r="G25" i="65"/>
  <c r="K25" i="65" s="1"/>
  <c r="J24" i="65"/>
  <c r="G24" i="65"/>
  <c r="K24" i="65" s="1"/>
  <c r="J23" i="65"/>
  <c r="G23" i="65"/>
  <c r="K23" i="65" s="1"/>
  <c r="K22" i="65"/>
  <c r="K21" i="65"/>
  <c r="K20" i="65"/>
  <c r="K19" i="65"/>
  <c r="K18" i="65"/>
  <c r="K17" i="65"/>
  <c r="K16" i="65"/>
  <c r="K15" i="65"/>
  <c r="K14" i="65"/>
  <c r="K13" i="65"/>
  <c r="K12" i="65"/>
  <c r="K11" i="65"/>
  <c r="J10" i="65"/>
  <c r="G10" i="65"/>
  <c r="K10" i="65" s="1"/>
  <c r="J9" i="65"/>
  <c r="G9" i="65"/>
  <c r="K9" i="65" s="1"/>
  <c r="J8" i="65"/>
  <c r="G8" i="65"/>
  <c r="K8" i="65" s="1"/>
  <c r="J7" i="65"/>
  <c r="G7" i="65"/>
  <c r="K7" i="65" s="1"/>
  <c r="J6" i="65"/>
  <c r="G6" i="65"/>
  <c r="K6" i="65" s="1"/>
  <c r="J5" i="65"/>
  <c r="G5" i="65"/>
  <c r="K5" i="65" s="1"/>
  <c r="J4" i="65"/>
  <c r="J35" i="65" s="1"/>
  <c r="G10" i="56" s="1"/>
  <c r="G4" i="65"/>
  <c r="G5" i="64"/>
  <c r="J5" i="64"/>
  <c r="K5" i="64"/>
  <c r="G6" i="64"/>
  <c r="J6" i="64"/>
  <c r="K6" i="64"/>
  <c r="G7" i="64"/>
  <c r="J7" i="64"/>
  <c r="K7" i="64"/>
  <c r="G8" i="64"/>
  <c r="J8" i="64"/>
  <c r="K8" i="64"/>
  <c r="G9" i="64"/>
  <c r="J9" i="64"/>
  <c r="K9" i="64"/>
  <c r="G10" i="64"/>
  <c r="J10" i="64"/>
  <c r="K10" i="64"/>
  <c r="G11" i="64"/>
  <c r="J11" i="64"/>
  <c r="K11" i="64"/>
  <c r="G12" i="64"/>
  <c r="J12" i="64"/>
  <c r="K12" i="64"/>
  <c r="G13" i="64"/>
  <c r="J13" i="64"/>
  <c r="K13" i="64"/>
  <c r="L35" i="64"/>
  <c r="H35" i="64"/>
  <c r="E35" i="64"/>
  <c r="D9" i="56" s="1"/>
  <c r="J34" i="64"/>
  <c r="G34" i="64"/>
  <c r="K34" i="64" s="1"/>
  <c r="J33" i="64"/>
  <c r="G33" i="64"/>
  <c r="K33" i="64" s="1"/>
  <c r="J32" i="64"/>
  <c r="G32" i="64"/>
  <c r="K32" i="64" s="1"/>
  <c r="J31" i="64"/>
  <c r="G31" i="64"/>
  <c r="K31" i="64" s="1"/>
  <c r="J30" i="64"/>
  <c r="G30" i="64"/>
  <c r="K30" i="64" s="1"/>
  <c r="J29" i="64"/>
  <c r="G29" i="64"/>
  <c r="K29" i="64" s="1"/>
  <c r="J28" i="64"/>
  <c r="G28" i="64"/>
  <c r="K28" i="64" s="1"/>
  <c r="J27" i="64"/>
  <c r="G27" i="64"/>
  <c r="K27" i="64" s="1"/>
  <c r="J26" i="64"/>
  <c r="G26" i="64"/>
  <c r="K26" i="64" s="1"/>
  <c r="J25" i="64"/>
  <c r="G25" i="64"/>
  <c r="K25" i="64" s="1"/>
  <c r="J24" i="64"/>
  <c r="G24" i="64"/>
  <c r="K24" i="64" s="1"/>
  <c r="J23" i="64"/>
  <c r="G23" i="64"/>
  <c r="K23" i="64" s="1"/>
  <c r="J22" i="64"/>
  <c r="G22" i="64"/>
  <c r="K22" i="64" s="1"/>
  <c r="J21" i="64"/>
  <c r="G21" i="64"/>
  <c r="K21" i="64" s="1"/>
  <c r="J20" i="64"/>
  <c r="G20" i="64"/>
  <c r="K20" i="64" s="1"/>
  <c r="J19" i="64"/>
  <c r="G19" i="64"/>
  <c r="K19" i="64" s="1"/>
  <c r="J18" i="64"/>
  <c r="G18" i="64"/>
  <c r="K18" i="64" s="1"/>
  <c r="J17" i="64"/>
  <c r="G17" i="64"/>
  <c r="K17" i="64" s="1"/>
  <c r="J16" i="64"/>
  <c r="G16" i="64"/>
  <c r="K16" i="64" s="1"/>
  <c r="J15" i="64"/>
  <c r="G15" i="64"/>
  <c r="K15" i="64" s="1"/>
  <c r="J14" i="64"/>
  <c r="G14" i="64"/>
  <c r="K14" i="64" s="1"/>
  <c r="J4" i="64"/>
  <c r="J35" i="64" s="1"/>
  <c r="G4" i="64"/>
  <c r="G12" i="18"/>
  <c r="J12" i="40"/>
  <c r="J13" i="40"/>
  <c r="J7" i="40"/>
  <c r="G11" i="18"/>
  <c r="L13" i="22"/>
  <c r="M13" i="22"/>
  <c r="J13" i="22"/>
  <c r="K13" i="22"/>
  <c r="G13" i="22"/>
  <c r="L11" i="36"/>
  <c r="K7" i="26"/>
  <c r="G7" i="26"/>
  <c r="J9" i="22"/>
  <c r="G9" i="22"/>
  <c r="K9" i="22" s="1"/>
  <c r="J5" i="41"/>
  <c r="I19" i="56"/>
  <c r="H35" i="63"/>
  <c r="F19" i="56" s="1"/>
  <c r="E35" i="63"/>
  <c r="D19" i="56" s="1"/>
  <c r="J31" i="63"/>
  <c r="G31" i="63"/>
  <c r="K31" i="63" s="1"/>
  <c r="L31" i="63" s="1"/>
  <c r="J30" i="63"/>
  <c r="G30" i="63"/>
  <c r="K30" i="63" s="1"/>
  <c r="L30" i="63" s="1"/>
  <c r="J29" i="63"/>
  <c r="G29" i="63"/>
  <c r="K29" i="63" s="1"/>
  <c r="L29" i="63" s="1"/>
  <c r="J28" i="63"/>
  <c r="G28" i="63"/>
  <c r="K28" i="63" s="1"/>
  <c r="L28" i="63" s="1"/>
  <c r="J27" i="63"/>
  <c r="G27" i="63"/>
  <c r="K27" i="63" s="1"/>
  <c r="L27" i="63" s="1"/>
  <c r="J26" i="63"/>
  <c r="G26" i="63"/>
  <c r="K26" i="63" s="1"/>
  <c r="L26" i="63" s="1"/>
  <c r="J25" i="63"/>
  <c r="G25" i="63"/>
  <c r="K25" i="63" s="1"/>
  <c r="L25" i="63" s="1"/>
  <c r="J24" i="63"/>
  <c r="G24" i="63"/>
  <c r="K24" i="63" s="1"/>
  <c r="L24" i="63" s="1"/>
  <c r="J23" i="63"/>
  <c r="G23" i="63"/>
  <c r="K23" i="63" s="1"/>
  <c r="L23" i="63" s="1"/>
  <c r="J22" i="63"/>
  <c r="G22" i="63"/>
  <c r="K22" i="63" s="1"/>
  <c r="L22" i="63" s="1"/>
  <c r="J21" i="63"/>
  <c r="G21" i="63"/>
  <c r="K21" i="63" s="1"/>
  <c r="L21" i="63" s="1"/>
  <c r="J20" i="63"/>
  <c r="G20" i="63"/>
  <c r="K20" i="63" s="1"/>
  <c r="L20" i="63" s="1"/>
  <c r="J19" i="63"/>
  <c r="G19" i="63"/>
  <c r="K19" i="63" s="1"/>
  <c r="L19" i="63" s="1"/>
  <c r="J18" i="63"/>
  <c r="G18" i="63"/>
  <c r="K18" i="63" s="1"/>
  <c r="L18" i="63" s="1"/>
  <c r="J17" i="63"/>
  <c r="G17" i="63"/>
  <c r="K17" i="63" s="1"/>
  <c r="L17" i="63" s="1"/>
  <c r="J16" i="63"/>
  <c r="G16" i="63"/>
  <c r="K16" i="63" s="1"/>
  <c r="L16" i="63" s="1"/>
  <c r="J15" i="63"/>
  <c r="G15" i="63"/>
  <c r="K15" i="63" s="1"/>
  <c r="L15" i="63" s="1"/>
  <c r="J14" i="63"/>
  <c r="G14" i="63"/>
  <c r="K14" i="63" s="1"/>
  <c r="L14" i="63" s="1"/>
  <c r="J13" i="63"/>
  <c r="G13" i="63"/>
  <c r="K13" i="63" s="1"/>
  <c r="L13" i="63" s="1"/>
  <c r="J12" i="63"/>
  <c r="G12" i="63"/>
  <c r="K12" i="63" s="1"/>
  <c r="L12" i="63" s="1"/>
  <c r="J11" i="63"/>
  <c r="G11" i="63"/>
  <c r="K11" i="63" s="1"/>
  <c r="L11" i="63" s="1"/>
  <c r="J10" i="63"/>
  <c r="G10" i="63"/>
  <c r="K10" i="63" s="1"/>
  <c r="L10" i="63" s="1"/>
  <c r="J9" i="63"/>
  <c r="G9" i="63"/>
  <c r="K9" i="63" s="1"/>
  <c r="L9" i="63" s="1"/>
  <c r="J8" i="63"/>
  <c r="G8" i="63"/>
  <c r="K8" i="63" s="1"/>
  <c r="L8" i="63" s="1"/>
  <c r="J7" i="63"/>
  <c r="G7" i="63"/>
  <c r="K7" i="63" s="1"/>
  <c r="L7" i="63" s="1"/>
  <c r="J6" i="63"/>
  <c r="G6" i="63"/>
  <c r="K6" i="63" s="1"/>
  <c r="L6" i="63" s="1"/>
  <c r="J5" i="63"/>
  <c r="G5" i="63"/>
  <c r="K5" i="63" s="1"/>
  <c r="L5" i="63" s="1"/>
  <c r="J4" i="63"/>
  <c r="J35" i="63" s="1"/>
  <c r="G19" i="56" s="1"/>
  <c r="G4" i="63"/>
  <c r="M3" i="63"/>
  <c r="G6" i="18"/>
  <c r="G7" i="18"/>
  <c r="G8" i="18"/>
  <c r="G9" i="18"/>
  <c r="G10" i="18"/>
  <c r="K5" i="45"/>
  <c r="K4" i="45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K25" i="44" s="1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I23" i="56"/>
  <c r="I12" i="56"/>
  <c r="G5" i="18"/>
  <c r="M5" i="59"/>
  <c r="M6" i="59"/>
  <c r="M4" i="59"/>
  <c r="L5" i="36"/>
  <c r="L36" i="62"/>
  <c r="J12" i="56" s="1"/>
  <c r="H36" i="62"/>
  <c r="F12" i="56" s="1"/>
  <c r="E36" i="62"/>
  <c r="D12" i="56" s="1"/>
  <c r="J35" i="62"/>
  <c r="G35" i="62"/>
  <c r="K35" i="62" s="1"/>
  <c r="J34" i="62"/>
  <c r="G34" i="62"/>
  <c r="K34" i="62" s="1"/>
  <c r="J33" i="62"/>
  <c r="G33" i="62"/>
  <c r="K33" i="62" s="1"/>
  <c r="J32" i="62"/>
  <c r="G32" i="62"/>
  <c r="K32" i="62" s="1"/>
  <c r="J31" i="62"/>
  <c r="G31" i="62"/>
  <c r="K31" i="62" s="1"/>
  <c r="J30" i="62"/>
  <c r="G30" i="62"/>
  <c r="K30" i="62" s="1"/>
  <c r="J29" i="62"/>
  <c r="G29" i="62"/>
  <c r="K29" i="62" s="1"/>
  <c r="J28" i="62"/>
  <c r="G28" i="62"/>
  <c r="K28" i="62" s="1"/>
  <c r="J27" i="62"/>
  <c r="G27" i="62"/>
  <c r="K27" i="62" s="1"/>
  <c r="J26" i="62"/>
  <c r="G26" i="62"/>
  <c r="K26" i="62" s="1"/>
  <c r="J25" i="62"/>
  <c r="G25" i="62"/>
  <c r="K25" i="62" s="1"/>
  <c r="J24" i="62"/>
  <c r="G24" i="62"/>
  <c r="K24" i="62" s="1"/>
  <c r="J23" i="62"/>
  <c r="G23" i="62"/>
  <c r="K23" i="62" s="1"/>
  <c r="J22" i="62"/>
  <c r="G22" i="62"/>
  <c r="K22" i="62" s="1"/>
  <c r="J21" i="62"/>
  <c r="G21" i="62"/>
  <c r="K21" i="62" s="1"/>
  <c r="J20" i="62"/>
  <c r="G20" i="62"/>
  <c r="K20" i="62" s="1"/>
  <c r="J19" i="62"/>
  <c r="G19" i="62"/>
  <c r="K19" i="62" s="1"/>
  <c r="J18" i="62"/>
  <c r="G18" i="62"/>
  <c r="K18" i="62" s="1"/>
  <c r="J17" i="62"/>
  <c r="G17" i="62"/>
  <c r="K17" i="62" s="1"/>
  <c r="J16" i="62"/>
  <c r="G16" i="62"/>
  <c r="K16" i="62" s="1"/>
  <c r="J15" i="62"/>
  <c r="G15" i="62"/>
  <c r="K15" i="62" s="1"/>
  <c r="J14" i="62"/>
  <c r="G14" i="62"/>
  <c r="K14" i="62" s="1"/>
  <c r="J13" i="62"/>
  <c r="G13" i="62"/>
  <c r="K13" i="62" s="1"/>
  <c r="J12" i="62"/>
  <c r="G12" i="62"/>
  <c r="K12" i="62" s="1"/>
  <c r="J11" i="62"/>
  <c r="G11" i="62"/>
  <c r="K11" i="62" s="1"/>
  <c r="J10" i="62"/>
  <c r="G10" i="62"/>
  <c r="K10" i="62" s="1"/>
  <c r="J9" i="62"/>
  <c r="G9" i="62"/>
  <c r="K9" i="62" s="1"/>
  <c r="J8" i="62"/>
  <c r="G8" i="62"/>
  <c r="K8" i="62" s="1"/>
  <c r="J7" i="62"/>
  <c r="G7" i="62"/>
  <c r="K7" i="62" s="1"/>
  <c r="J6" i="62"/>
  <c r="G6" i="62"/>
  <c r="K6" i="62" s="1"/>
  <c r="J5" i="62"/>
  <c r="G5" i="62"/>
  <c r="K5" i="62" s="1"/>
  <c r="J4" i="62"/>
  <c r="J36" i="62" s="1"/>
  <c r="G12" i="56" s="1"/>
  <c r="G4" i="62"/>
  <c r="M3" i="62"/>
  <c r="P3" i="41"/>
  <c r="G4" i="18"/>
  <c r="M4" i="11"/>
  <c r="M5" i="11"/>
  <c r="G23" i="23"/>
  <c r="J23" i="23"/>
  <c r="K23" i="23"/>
  <c r="G24" i="23"/>
  <c r="J24" i="23"/>
  <c r="K24" i="23"/>
  <c r="G5" i="19"/>
  <c r="J5" i="19"/>
  <c r="K5" i="19"/>
  <c r="L5" i="19"/>
  <c r="G6" i="19"/>
  <c r="J6" i="19"/>
  <c r="K6" i="19"/>
  <c r="L6" i="19"/>
  <c r="G7" i="19"/>
  <c r="J7" i="19"/>
  <c r="K7" i="19"/>
  <c r="L7" i="19"/>
  <c r="G8" i="19"/>
  <c r="J8" i="19"/>
  <c r="K8" i="19"/>
  <c r="L8" i="19"/>
  <c r="G9" i="19"/>
  <c r="J9" i="19"/>
  <c r="K9" i="19"/>
  <c r="L9" i="19"/>
  <c r="G10" i="19"/>
  <c r="J10" i="19"/>
  <c r="K10" i="19"/>
  <c r="L10" i="19"/>
  <c r="G11" i="19"/>
  <c r="J11" i="19"/>
  <c r="K11" i="19"/>
  <c r="L11" i="19"/>
  <c r="G12" i="19"/>
  <c r="J12" i="19"/>
  <c r="K12" i="19"/>
  <c r="L12" i="19"/>
  <c r="G13" i="19"/>
  <c r="J13" i="19"/>
  <c r="K13" i="19"/>
  <c r="L13" i="19"/>
  <c r="G14" i="19"/>
  <c r="J14" i="19"/>
  <c r="K14" i="19"/>
  <c r="L14" i="19"/>
  <c r="G15" i="19"/>
  <c r="J15" i="19"/>
  <c r="K15" i="19"/>
  <c r="L15" i="19"/>
  <c r="G16" i="19"/>
  <c r="J16" i="19"/>
  <c r="K16" i="19"/>
  <c r="L16" i="19"/>
  <c r="G17" i="19"/>
  <c r="J17" i="19"/>
  <c r="K17" i="19"/>
  <c r="L17" i="19"/>
  <c r="G18" i="19"/>
  <c r="J18" i="19"/>
  <c r="K18" i="19"/>
  <c r="L18" i="19"/>
  <c r="G19" i="19"/>
  <c r="J19" i="19"/>
  <c r="K19" i="19"/>
  <c r="G20" i="19"/>
  <c r="J20" i="19"/>
  <c r="K20" i="19"/>
  <c r="L20" i="19"/>
  <c r="G21" i="19"/>
  <c r="J21" i="19"/>
  <c r="K21" i="19"/>
  <c r="L21" i="19"/>
  <c r="G22" i="19"/>
  <c r="J22" i="19"/>
  <c r="K22" i="19"/>
  <c r="L22" i="19"/>
  <c r="G23" i="19"/>
  <c r="J23" i="19"/>
  <c r="K23" i="19"/>
  <c r="L23" i="19"/>
  <c r="G24" i="19"/>
  <c r="J24" i="19"/>
  <c r="K24" i="19"/>
  <c r="L24" i="19"/>
  <c r="G25" i="19"/>
  <c r="J25" i="19"/>
  <c r="K25" i="19"/>
  <c r="L25" i="19"/>
  <c r="G26" i="19"/>
  <c r="J26" i="19"/>
  <c r="K26" i="19"/>
  <c r="L26" i="19"/>
  <c r="G27" i="19"/>
  <c r="J27" i="19"/>
  <c r="K27" i="19"/>
  <c r="L27" i="19"/>
  <c r="G28" i="19"/>
  <c r="J28" i="19"/>
  <c r="K28" i="19"/>
  <c r="L28" i="19"/>
  <c r="G29" i="19"/>
  <c r="J29" i="19"/>
  <c r="K29" i="19"/>
  <c r="L29" i="19"/>
  <c r="G30" i="19"/>
  <c r="J30" i="19"/>
  <c r="K30" i="19"/>
  <c r="L30" i="19"/>
  <c r="G31" i="19"/>
  <c r="J31" i="19"/>
  <c r="K31" i="19"/>
  <c r="L31" i="19"/>
  <c r="G32" i="19"/>
  <c r="J32" i="19"/>
  <c r="K32" i="19"/>
  <c r="L32" i="19"/>
  <c r="G33" i="19"/>
  <c r="J33" i="19"/>
  <c r="K33" i="19"/>
  <c r="L33" i="19"/>
  <c r="G5" i="51"/>
  <c r="J5" i="51"/>
  <c r="K5" i="51"/>
  <c r="G6" i="51"/>
  <c r="J6" i="51"/>
  <c r="K6" i="51"/>
  <c r="G7" i="51"/>
  <c r="J7" i="51"/>
  <c r="K7" i="51"/>
  <c r="G8" i="51"/>
  <c r="J8" i="51"/>
  <c r="K8" i="51"/>
  <c r="G9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G15" i="51"/>
  <c r="J15" i="51"/>
  <c r="K15" i="51"/>
  <c r="G16" i="51"/>
  <c r="J16" i="51"/>
  <c r="K16" i="51"/>
  <c r="G17" i="51"/>
  <c r="J17" i="51"/>
  <c r="K17" i="51"/>
  <c r="G18" i="51"/>
  <c r="J18" i="51"/>
  <c r="K18" i="51"/>
  <c r="G19" i="51"/>
  <c r="J19" i="51"/>
  <c r="K19" i="51"/>
  <c r="G20" i="51"/>
  <c r="J20" i="51"/>
  <c r="K20" i="51"/>
  <c r="G21" i="51"/>
  <c r="J21" i="51"/>
  <c r="K21" i="51"/>
  <c r="L21" i="51"/>
  <c r="G22" i="51"/>
  <c r="J22" i="51"/>
  <c r="K22" i="51"/>
  <c r="G23" i="51"/>
  <c r="J23" i="51"/>
  <c r="K23" i="51"/>
  <c r="G24" i="51"/>
  <c r="J24" i="51"/>
  <c r="K24" i="51"/>
  <c r="G25" i="51"/>
  <c r="J25" i="51"/>
  <c r="K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L29" i="51"/>
  <c r="G30" i="51"/>
  <c r="J30" i="51"/>
  <c r="K30" i="51"/>
  <c r="L30" i="51"/>
  <c r="G31" i="51"/>
  <c r="J31" i="51"/>
  <c r="K31" i="51"/>
  <c r="G32" i="51"/>
  <c r="J32" i="51"/>
  <c r="K32" i="51"/>
  <c r="G33" i="51"/>
  <c r="J33" i="51"/>
  <c r="K33" i="51"/>
  <c r="G34" i="51"/>
  <c r="J34" i="51"/>
  <c r="K34" i="51"/>
  <c r="G35" i="51"/>
  <c r="J35" i="51"/>
  <c r="K35" i="51"/>
  <c r="G36" i="51"/>
  <c r="J36" i="51"/>
  <c r="K36" i="51"/>
  <c r="L36" i="51"/>
  <c r="G37" i="51"/>
  <c r="J37" i="51"/>
  <c r="K37" i="51"/>
  <c r="L37" i="51"/>
  <c r="G5" i="35"/>
  <c r="J5" i="35"/>
  <c r="K5" i="35"/>
  <c r="G6" i="35"/>
  <c r="J6" i="35"/>
  <c r="K6" i="35"/>
  <c r="G7" i="35"/>
  <c r="J7" i="35"/>
  <c r="K7" i="35"/>
  <c r="G8" i="35"/>
  <c r="J8" i="35"/>
  <c r="K8" i="35"/>
  <c r="G9" i="35"/>
  <c r="J9" i="35"/>
  <c r="K9" i="35"/>
  <c r="G10" i="35"/>
  <c r="J10" i="35"/>
  <c r="K10" i="35"/>
  <c r="G11" i="35"/>
  <c r="J11" i="35"/>
  <c r="K11" i="35"/>
  <c r="G12" i="35"/>
  <c r="J12" i="35"/>
  <c r="K12" i="35"/>
  <c r="G13" i="35"/>
  <c r="J13" i="35"/>
  <c r="K13" i="35"/>
  <c r="G14" i="35"/>
  <c r="J14" i="35"/>
  <c r="K14" i="35"/>
  <c r="G15" i="35"/>
  <c r="J15" i="35"/>
  <c r="K15" i="35"/>
  <c r="G16" i="35"/>
  <c r="J16" i="35"/>
  <c r="K16" i="35"/>
  <c r="G17" i="35"/>
  <c r="J17" i="35"/>
  <c r="K17" i="35"/>
  <c r="G18" i="35"/>
  <c r="J18" i="35"/>
  <c r="K18" i="35"/>
  <c r="G19" i="35"/>
  <c r="J19" i="35"/>
  <c r="K19" i="35"/>
  <c r="G20" i="35"/>
  <c r="J20" i="35"/>
  <c r="K20" i="35"/>
  <c r="G21" i="35"/>
  <c r="J21" i="35"/>
  <c r="K21" i="35"/>
  <c r="G22" i="35"/>
  <c r="J22" i="35"/>
  <c r="K22" i="35"/>
  <c r="G23" i="35"/>
  <c r="J23" i="35"/>
  <c r="K23" i="35"/>
  <c r="G24" i="35"/>
  <c r="J24" i="35"/>
  <c r="K24" i="35"/>
  <c r="G25" i="35"/>
  <c r="J25" i="35"/>
  <c r="K25" i="35"/>
  <c r="G26" i="35"/>
  <c r="J26" i="35"/>
  <c r="K26" i="35"/>
  <c r="G27" i="35"/>
  <c r="J27" i="35"/>
  <c r="K27" i="35"/>
  <c r="G28" i="35"/>
  <c r="J28" i="35"/>
  <c r="K28" i="35"/>
  <c r="G29" i="35"/>
  <c r="J29" i="35"/>
  <c r="K29" i="35"/>
  <c r="G30" i="35"/>
  <c r="J30" i="35"/>
  <c r="K30" i="35"/>
  <c r="G31" i="35"/>
  <c r="J31" i="35"/>
  <c r="K31" i="35"/>
  <c r="G32" i="35"/>
  <c r="J32" i="35"/>
  <c r="K32" i="35"/>
  <c r="G33" i="35"/>
  <c r="J33" i="35"/>
  <c r="K33" i="35"/>
  <c r="G34" i="35"/>
  <c r="J34" i="35"/>
  <c r="K34" i="35"/>
  <c r="G35" i="35"/>
  <c r="J35" i="35"/>
  <c r="K35" i="35"/>
  <c r="G5" i="34"/>
  <c r="J5" i="34"/>
  <c r="K5" i="34"/>
  <c r="G6" i="34"/>
  <c r="J6" i="34"/>
  <c r="K6" i="34"/>
  <c r="G7" i="34"/>
  <c r="J7" i="34"/>
  <c r="K7" i="34"/>
  <c r="G8" i="34"/>
  <c r="J8" i="34"/>
  <c r="K8" i="34"/>
  <c r="G9" i="34"/>
  <c r="J9" i="34"/>
  <c r="K9" i="34"/>
  <c r="G10" i="34"/>
  <c r="J10" i="34"/>
  <c r="K10" i="34"/>
  <c r="G11" i="34"/>
  <c r="J11" i="34"/>
  <c r="K11" i="34"/>
  <c r="G12" i="34"/>
  <c r="J12" i="34"/>
  <c r="K12" i="34"/>
  <c r="G13" i="34"/>
  <c r="J13" i="34"/>
  <c r="K13" i="34"/>
  <c r="G14" i="34"/>
  <c r="J14" i="34"/>
  <c r="K14" i="34"/>
  <c r="G15" i="34"/>
  <c r="J15" i="34"/>
  <c r="K15" i="34"/>
  <c r="G16" i="34"/>
  <c r="J16" i="34"/>
  <c r="K16" i="34"/>
  <c r="G17" i="34"/>
  <c r="J17" i="34"/>
  <c r="K17" i="34"/>
  <c r="G18" i="34"/>
  <c r="J18" i="34"/>
  <c r="K18" i="34"/>
  <c r="G19" i="34"/>
  <c r="J19" i="34"/>
  <c r="K19" i="34"/>
  <c r="G20" i="34"/>
  <c r="J20" i="34"/>
  <c r="K20" i="34"/>
  <c r="G21" i="34"/>
  <c r="J21" i="34"/>
  <c r="K21" i="34"/>
  <c r="G22" i="34"/>
  <c r="J22" i="34"/>
  <c r="K22" i="34"/>
  <c r="G23" i="34"/>
  <c r="J23" i="34"/>
  <c r="K23" i="34"/>
  <c r="G24" i="34"/>
  <c r="J24" i="34"/>
  <c r="K24" i="34"/>
  <c r="G25" i="34"/>
  <c r="J25" i="34"/>
  <c r="K25" i="34"/>
  <c r="G26" i="34"/>
  <c r="J26" i="34"/>
  <c r="K26" i="34"/>
  <c r="G27" i="34"/>
  <c r="J27" i="34"/>
  <c r="K27" i="34"/>
  <c r="G28" i="34"/>
  <c r="J28" i="34"/>
  <c r="K28" i="34"/>
  <c r="G29" i="34"/>
  <c r="J29" i="34"/>
  <c r="K29" i="34"/>
  <c r="G30" i="34"/>
  <c r="J30" i="34"/>
  <c r="K30" i="34"/>
  <c r="G31" i="34"/>
  <c r="J31" i="34"/>
  <c r="K31" i="34"/>
  <c r="G32" i="34"/>
  <c r="J32" i="34"/>
  <c r="K32" i="34"/>
  <c r="G33" i="34"/>
  <c r="J33" i="34"/>
  <c r="K33" i="34"/>
  <c r="G34" i="34"/>
  <c r="J34" i="34"/>
  <c r="K34" i="34"/>
  <c r="G35" i="34"/>
  <c r="J35" i="34"/>
  <c r="K35" i="34"/>
  <c r="G36" i="34"/>
  <c r="J36" i="34"/>
  <c r="K36" i="34"/>
  <c r="G37" i="34"/>
  <c r="J37" i="34"/>
  <c r="K37" i="34"/>
  <c r="G38" i="34"/>
  <c r="J38" i="34"/>
  <c r="K38" i="34"/>
  <c r="G5" i="33"/>
  <c r="J5" i="33"/>
  <c r="K5" i="33"/>
  <c r="G6" i="33"/>
  <c r="J6" i="33"/>
  <c r="K6" i="33"/>
  <c r="G7" i="33"/>
  <c r="J7" i="33"/>
  <c r="K7" i="33"/>
  <c r="G8" i="33"/>
  <c r="J8" i="33"/>
  <c r="K8" i="33"/>
  <c r="G9" i="33"/>
  <c r="J9" i="33"/>
  <c r="K9" i="33"/>
  <c r="G10" i="33"/>
  <c r="J10" i="33"/>
  <c r="K10" i="33"/>
  <c r="G11" i="33"/>
  <c r="J11" i="33"/>
  <c r="K11" i="33"/>
  <c r="G12" i="33"/>
  <c r="J12" i="33"/>
  <c r="K12" i="33"/>
  <c r="G13" i="33"/>
  <c r="J13" i="33"/>
  <c r="K13" i="33"/>
  <c r="G14" i="33"/>
  <c r="J14" i="33"/>
  <c r="K14" i="33"/>
  <c r="G15" i="33"/>
  <c r="J15" i="33"/>
  <c r="K15" i="33"/>
  <c r="G16" i="33"/>
  <c r="J16" i="33"/>
  <c r="K16" i="33"/>
  <c r="G17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G43" i="33"/>
  <c r="J43" i="33"/>
  <c r="K43" i="33"/>
  <c r="G5" i="9"/>
  <c r="J5" i="9"/>
  <c r="K5" i="9"/>
  <c r="G6" i="9"/>
  <c r="J6" i="9"/>
  <c r="K6" i="9"/>
  <c r="G7" i="9"/>
  <c r="J7" i="9"/>
  <c r="K7" i="9"/>
  <c r="G8" i="9"/>
  <c r="J8" i="9"/>
  <c r="K8" i="9"/>
  <c r="G9" i="9"/>
  <c r="J9" i="9"/>
  <c r="K9" i="9"/>
  <c r="G10" i="9"/>
  <c r="J10" i="9"/>
  <c r="K10" i="9"/>
  <c r="G11" i="9"/>
  <c r="J11" i="9"/>
  <c r="K11" i="9"/>
  <c r="G12" i="9"/>
  <c r="J12" i="9"/>
  <c r="K12" i="9"/>
  <c r="G13" i="9"/>
  <c r="J13" i="9"/>
  <c r="K13" i="9"/>
  <c r="G14" i="9"/>
  <c r="J14" i="9"/>
  <c r="K14" i="9"/>
  <c r="G15" i="9"/>
  <c r="J15" i="9"/>
  <c r="K15" i="9"/>
  <c r="G16" i="9"/>
  <c r="J16" i="9"/>
  <c r="K16" i="9"/>
  <c r="G17" i="9"/>
  <c r="J17" i="9"/>
  <c r="K17" i="9"/>
  <c r="G18" i="9"/>
  <c r="J18" i="9"/>
  <c r="K18" i="9"/>
  <c r="G19" i="9"/>
  <c r="J19" i="9"/>
  <c r="K19" i="9"/>
  <c r="G20" i="9"/>
  <c r="J20" i="9"/>
  <c r="K20" i="9"/>
  <c r="G21" i="9"/>
  <c r="J21" i="9"/>
  <c r="K21" i="9"/>
  <c r="G22" i="9"/>
  <c r="J22" i="9"/>
  <c r="K22" i="9"/>
  <c r="G23" i="9"/>
  <c r="J23" i="9"/>
  <c r="K23" i="9"/>
  <c r="G24" i="9"/>
  <c r="J24" i="9"/>
  <c r="K24" i="9"/>
  <c r="G25" i="9"/>
  <c r="J25" i="9"/>
  <c r="K25" i="9"/>
  <c r="G26" i="9"/>
  <c r="J26" i="9"/>
  <c r="K26" i="9"/>
  <c r="G27" i="9"/>
  <c r="J27" i="9"/>
  <c r="K27" i="9"/>
  <c r="G28" i="9"/>
  <c r="J28" i="9"/>
  <c r="K28" i="9"/>
  <c r="G29" i="9"/>
  <c r="J29" i="9"/>
  <c r="K29" i="9"/>
  <c r="G30" i="9"/>
  <c r="J30" i="9"/>
  <c r="K30" i="9"/>
  <c r="G31" i="9"/>
  <c r="J31" i="9"/>
  <c r="K31" i="9"/>
  <c r="G32" i="9"/>
  <c r="J32" i="9"/>
  <c r="K32" i="9"/>
  <c r="G33" i="9"/>
  <c r="J33" i="9"/>
  <c r="K33" i="9"/>
  <c r="G34" i="9"/>
  <c r="J34" i="9"/>
  <c r="K34" i="9"/>
  <c r="G5" i="26"/>
  <c r="J5" i="26"/>
  <c r="K5" i="26"/>
  <c r="G6" i="26"/>
  <c r="J6" i="26"/>
  <c r="K6" i="26"/>
  <c r="G8" i="26"/>
  <c r="J8" i="26"/>
  <c r="K8" i="26"/>
  <c r="G9" i="26"/>
  <c r="J9" i="26"/>
  <c r="K9" i="26"/>
  <c r="G10" i="26"/>
  <c r="J10" i="26"/>
  <c r="K10" i="26"/>
  <c r="G11" i="26"/>
  <c r="J11" i="26"/>
  <c r="K11" i="26"/>
  <c r="G12" i="26"/>
  <c r="J12" i="26"/>
  <c r="K12" i="26"/>
  <c r="G13" i="26"/>
  <c r="J13" i="26"/>
  <c r="K13" i="26"/>
  <c r="G14" i="26"/>
  <c r="J14" i="26"/>
  <c r="K14" i="26"/>
  <c r="G15" i="26"/>
  <c r="J15" i="26"/>
  <c r="K15" i="26"/>
  <c r="G16" i="26"/>
  <c r="J16" i="26"/>
  <c r="K16" i="26"/>
  <c r="G17" i="26"/>
  <c r="J17" i="26"/>
  <c r="K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2" i="26"/>
  <c r="J22" i="26"/>
  <c r="K22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5" i="57"/>
  <c r="J5" i="57"/>
  <c r="K5" i="57"/>
  <c r="L5" i="57"/>
  <c r="G6" i="57"/>
  <c r="J6" i="57"/>
  <c r="K6" i="57"/>
  <c r="L6" i="57"/>
  <c r="G7" i="57"/>
  <c r="J7" i="57"/>
  <c r="K7" i="57"/>
  <c r="L7" i="57"/>
  <c r="G8" i="57"/>
  <c r="J8" i="57"/>
  <c r="K8" i="57"/>
  <c r="L8" i="57"/>
  <c r="G9" i="57"/>
  <c r="J9" i="57"/>
  <c r="K9" i="57"/>
  <c r="L9" i="57"/>
  <c r="G10" i="57"/>
  <c r="J10" i="57"/>
  <c r="K10" i="57"/>
  <c r="L10" i="57"/>
  <c r="G11" i="57"/>
  <c r="J11" i="57"/>
  <c r="K11" i="57"/>
  <c r="L11" i="57"/>
  <c r="G12" i="57"/>
  <c r="J12" i="57"/>
  <c r="K12" i="57"/>
  <c r="L12" i="57"/>
  <c r="G13" i="57"/>
  <c r="J13" i="57"/>
  <c r="K13" i="57"/>
  <c r="L13" i="57"/>
  <c r="G14" i="57"/>
  <c r="J14" i="57"/>
  <c r="K14" i="57"/>
  <c r="L14" i="57"/>
  <c r="G15" i="57"/>
  <c r="J15" i="57"/>
  <c r="K15" i="57"/>
  <c r="L15" i="57"/>
  <c r="G16" i="57"/>
  <c r="J16" i="57"/>
  <c r="K16" i="57"/>
  <c r="L16" i="57"/>
  <c r="G17" i="57"/>
  <c r="J17" i="57"/>
  <c r="K17" i="57"/>
  <c r="L17" i="57"/>
  <c r="G18" i="57"/>
  <c r="J18" i="57"/>
  <c r="K18" i="57"/>
  <c r="L18" i="57"/>
  <c r="G19" i="57"/>
  <c r="J19" i="57"/>
  <c r="K19" i="57"/>
  <c r="L19" i="57"/>
  <c r="G20" i="57"/>
  <c r="J20" i="57"/>
  <c r="K20" i="57"/>
  <c r="L20" i="57"/>
  <c r="G21" i="57"/>
  <c r="J21" i="57"/>
  <c r="K21" i="57"/>
  <c r="L21" i="57"/>
  <c r="G22" i="57"/>
  <c r="J22" i="57"/>
  <c r="K22" i="57"/>
  <c r="L22" i="57"/>
  <c r="G23" i="57"/>
  <c r="J23" i="57"/>
  <c r="K23" i="57"/>
  <c r="L23" i="57"/>
  <c r="G24" i="57"/>
  <c r="J24" i="57"/>
  <c r="K24" i="57"/>
  <c r="L24" i="57"/>
  <c r="G25" i="57"/>
  <c r="J25" i="57"/>
  <c r="K25" i="57"/>
  <c r="L25" i="57"/>
  <c r="G26" i="57"/>
  <c r="J26" i="57"/>
  <c r="K26" i="57"/>
  <c r="L26" i="57"/>
  <c r="G27" i="57"/>
  <c r="J27" i="57"/>
  <c r="K27" i="57"/>
  <c r="L27" i="57"/>
  <c r="G28" i="57"/>
  <c r="J28" i="57"/>
  <c r="K28" i="57"/>
  <c r="L28" i="57"/>
  <c r="G29" i="57"/>
  <c r="J29" i="57"/>
  <c r="K29" i="57"/>
  <c r="L29" i="57"/>
  <c r="G30" i="57"/>
  <c r="J30" i="57"/>
  <c r="K30" i="57"/>
  <c r="L30" i="57"/>
  <c r="G31" i="57"/>
  <c r="J31" i="57"/>
  <c r="K31" i="57"/>
  <c r="L31" i="57"/>
  <c r="G32" i="57"/>
  <c r="J32" i="57"/>
  <c r="K32" i="57"/>
  <c r="L32" i="57"/>
  <c r="G5" i="60"/>
  <c r="J5" i="60"/>
  <c r="K5" i="60"/>
  <c r="G6" i="60"/>
  <c r="J6" i="60"/>
  <c r="K6" i="60"/>
  <c r="G7" i="60"/>
  <c r="J7" i="60"/>
  <c r="K7" i="60"/>
  <c r="G8" i="60"/>
  <c r="J8" i="60"/>
  <c r="K8" i="60"/>
  <c r="G9" i="60"/>
  <c r="J9" i="60"/>
  <c r="K9" i="60"/>
  <c r="G10" i="60"/>
  <c r="J10" i="60"/>
  <c r="K10" i="60"/>
  <c r="G11" i="60"/>
  <c r="J11" i="60"/>
  <c r="K11" i="60"/>
  <c r="G12" i="60"/>
  <c r="J12" i="60"/>
  <c r="K12" i="60"/>
  <c r="G13" i="60"/>
  <c r="J13" i="60"/>
  <c r="K13" i="60"/>
  <c r="G14" i="60"/>
  <c r="J14" i="60"/>
  <c r="K14" i="60"/>
  <c r="G15" i="60"/>
  <c r="J15" i="60"/>
  <c r="K15" i="60"/>
  <c r="G16" i="60"/>
  <c r="J16" i="60"/>
  <c r="K16" i="60"/>
  <c r="G17" i="60"/>
  <c r="J17" i="60"/>
  <c r="K17" i="60"/>
  <c r="G18" i="60"/>
  <c r="J18" i="60"/>
  <c r="K18" i="60"/>
  <c r="J19" i="60"/>
  <c r="K19" i="60"/>
  <c r="J20" i="60"/>
  <c r="K20" i="60"/>
  <c r="G21" i="60"/>
  <c r="J21" i="60"/>
  <c r="K21" i="60"/>
  <c r="G22" i="60"/>
  <c r="J22" i="60"/>
  <c r="G23" i="60"/>
  <c r="J23" i="60"/>
  <c r="G24" i="60"/>
  <c r="J24" i="60"/>
  <c r="K24" i="60"/>
  <c r="G25" i="60"/>
  <c r="J25" i="60"/>
  <c r="K25" i="60"/>
  <c r="G26" i="60"/>
  <c r="J26" i="60"/>
  <c r="K26" i="60"/>
  <c r="G27" i="60"/>
  <c r="J27" i="60"/>
  <c r="K27" i="60"/>
  <c r="G28" i="60"/>
  <c r="J28" i="60"/>
  <c r="K28" i="60"/>
  <c r="G29" i="60"/>
  <c r="J29" i="60"/>
  <c r="K29" i="60"/>
  <c r="G30" i="60"/>
  <c r="J30" i="60"/>
  <c r="K30" i="60"/>
  <c r="G31" i="60"/>
  <c r="J31" i="60"/>
  <c r="K31" i="60"/>
  <c r="G32" i="60"/>
  <c r="J32" i="60"/>
  <c r="K32" i="60"/>
  <c r="G33" i="60"/>
  <c r="J33" i="60"/>
  <c r="K33" i="60"/>
  <c r="G34" i="60"/>
  <c r="J34" i="60"/>
  <c r="K34" i="60"/>
  <c r="G5" i="41"/>
  <c r="K5" i="41"/>
  <c r="G6" i="41"/>
  <c r="J6" i="41"/>
  <c r="K6" i="41"/>
  <c r="G7" i="41"/>
  <c r="J7" i="41"/>
  <c r="K7" i="41"/>
  <c r="G8" i="41"/>
  <c r="J8" i="41"/>
  <c r="K8" i="41"/>
  <c r="G9" i="41"/>
  <c r="J9" i="41"/>
  <c r="K9" i="41"/>
  <c r="G10" i="41"/>
  <c r="J10" i="41"/>
  <c r="K10" i="41"/>
  <c r="G11" i="41"/>
  <c r="J11" i="41"/>
  <c r="K11" i="41"/>
  <c r="G12" i="41"/>
  <c r="J12" i="41"/>
  <c r="K12" i="41"/>
  <c r="G13" i="41"/>
  <c r="J13" i="41"/>
  <c r="K13" i="41"/>
  <c r="G14" i="41"/>
  <c r="J14" i="41"/>
  <c r="K14" i="41"/>
  <c r="G15" i="41"/>
  <c r="J15" i="41"/>
  <c r="K15" i="41"/>
  <c r="G16" i="41"/>
  <c r="J16" i="41"/>
  <c r="K16" i="41"/>
  <c r="J17" i="41"/>
  <c r="K17" i="41"/>
  <c r="G18" i="41"/>
  <c r="J18" i="41"/>
  <c r="K18" i="41"/>
  <c r="G19" i="41"/>
  <c r="J19" i="41"/>
  <c r="K19" i="41"/>
  <c r="G20" i="41"/>
  <c r="J20" i="41"/>
  <c r="K20" i="41"/>
  <c r="G21" i="41"/>
  <c r="J21" i="41"/>
  <c r="K21" i="41"/>
  <c r="G22" i="41"/>
  <c r="J22" i="41"/>
  <c r="K22" i="41"/>
  <c r="G23" i="41"/>
  <c r="J23" i="41"/>
  <c r="K23" i="41"/>
  <c r="G24" i="41"/>
  <c r="J24" i="41"/>
  <c r="K24" i="41"/>
  <c r="G25" i="41"/>
  <c r="J25" i="41"/>
  <c r="K25" i="41"/>
  <c r="G26" i="41"/>
  <c r="J26" i="41"/>
  <c r="K26" i="41"/>
  <c r="G27" i="41"/>
  <c r="J27" i="41"/>
  <c r="K27" i="41"/>
  <c r="G28" i="41"/>
  <c r="J28" i="41"/>
  <c r="K28" i="41"/>
  <c r="G29" i="41"/>
  <c r="J29" i="41"/>
  <c r="K29" i="41"/>
  <c r="G30" i="41"/>
  <c r="J30" i="41"/>
  <c r="K30" i="41"/>
  <c r="G31" i="41"/>
  <c r="J31" i="41"/>
  <c r="K31" i="41"/>
  <c r="G32" i="41"/>
  <c r="J32" i="41"/>
  <c r="K32" i="41"/>
  <c r="G33" i="41"/>
  <c r="J33" i="41"/>
  <c r="K33" i="41"/>
  <c r="G34" i="41"/>
  <c r="J34" i="41"/>
  <c r="K34" i="41"/>
  <c r="G35" i="41"/>
  <c r="J35" i="41"/>
  <c r="K35" i="41"/>
  <c r="G36" i="41"/>
  <c r="J36" i="41"/>
  <c r="K36" i="41"/>
  <c r="G37" i="41"/>
  <c r="J37" i="41"/>
  <c r="K37" i="41"/>
  <c r="G38" i="41"/>
  <c r="J38" i="41"/>
  <c r="K38" i="41"/>
  <c r="G5" i="8"/>
  <c r="J5" i="8"/>
  <c r="K5" i="8"/>
  <c r="G6" i="8"/>
  <c r="J6" i="8"/>
  <c r="K6" i="8"/>
  <c r="G7" i="8"/>
  <c r="J7" i="8"/>
  <c r="K7" i="8"/>
  <c r="G8" i="8"/>
  <c r="J8" i="8"/>
  <c r="K8" i="8"/>
  <c r="G9" i="8"/>
  <c r="J9" i="8"/>
  <c r="K9" i="8"/>
  <c r="G10" i="8"/>
  <c r="J10" i="8"/>
  <c r="K10" i="8"/>
  <c r="G11" i="8"/>
  <c r="J11" i="8"/>
  <c r="K11" i="8"/>
  <c r="G12" i="8"/>
  <c r="J12" i="8"/>
  <c r="K12" i="8"/>
  <c r="G13" i="8"/>
  <c r="J13" i="8"/>
  <c r="K13" i="8"/>
  <c r="G14" i="8"/>
  <c r="J14" i="8"/>
  <c r="K14" i="8"/>
  <c r="G15" i="8"/>
  <c r="J15" i="8"/>
  <c r="K15" i="8"/>
  <c r="G16" i="8"/>
  <c r="J16" i="8"/>
  <c r="K16" i="8"/>
  <c r="G17" i="8"/>
  <c r="J17" i="8"/>
  <c r="K17" i="8"/>
  <c r="G18" i="8"/>
  <c r="J18" i="8"/>
  <c r="K18" i="8"/>
  <c r="G19" i="8"/>
  <c r="J19" i="8"/>
  <c r="K19" i="8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K16" i="12"/>
  <c r="G17" i="12"/>
  <c r="J17" i="12"/>
  <c r="K17" i="12"/>
  <c r="G18" i="12"/>
  <c r="J18" i="12"/>
  <c r="K18" i="12"/>
  <c r="G19" i="12"/>
  <c r="J19" i="12"/>
  <c r="K19" i="12"/>
  <c r="G20" i="12"/>
  <c r="J20" i="12"/>
  <c r="K20" i="12"/>
  <c r="G21" i="12"/>
  <c r="J21" i="12"/>
  <c r="K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29" i="12"/>
  <c r="J29" i="12"/>
  <c r="K29" i="12"/>
  <c r="G30" i="12"/>
  <c r="J30" i="12"/>
  <c r="K30" i="12"/>
  <c r="G31" i="12"/>
  <c r="J31" i="12"/>
  <c r="K31" i="12"/>
  <c r="G32" i="12"/>
  <c r="J32" i="12"/>
  <c r="K32" i="12"/>
  <c r="G33" i="12"/>
  <c r="J33" i="12"/>
  <c r="K33" i="12"/>
  <c r="G34" i="12"/>
  <c r="J34" i="12"/>
  <c r="K34" i="12"/>
  <c r="G5" i="36"/>
  <c r="J5" i="36"/>
  <c r="K5" i="36"/>
  <c r="G6" i="36"/>
  <c r="J6" i="36"/>
  <c r="K6" i="36"/>
  <c r="G7" i="36"/>
  <c r="J7" i="36"/>
  <c r="K7" i="36"/>
  <c r="G8" i="36"/>
  <c r="J8" i="36"/>
  <c r="K8" i="36"/>
  <c r="G9" i="36"/>
  <c r="J9" i="36"/>
  <c r="K9" i="36"/>
  <c r="G10" i="36"/>
  <c r="J10" i="36"/>
  <c r="K10" i="36"/>
  <c r="G11" i="36"/>
  <c r="J11" i="36"/>
  <c r="K11" i="36"/>
  <c r="G12" i="36"/>
  <c r="J12" i="36"/>
  <c r="K12" i="36"/>
  <c r="G13" i="36"/>
  <c r="J13" i="36"/>
  <c r="K13" i="36"/>
  <c r="G14" i="36"/>
  <c r="J14" i="36"/>
  <c r="K14" i="36"/>
  <c r="G15" i="36"/>
  <c r="J15" i="36"/>
  <c r="K15" i="36"/>
  <c r="G16" i="36"/>
  <c r="J16" i="36"/>
  <c r="K16" i="36"/>
  <c r="G17" i="36"/>
  <c r="J17" i="36"/>
  <c r="K17" i="36"/>
  <c r="L17" i="36" s="1"/>
  <c r="G18" i="36"/>
  <c r="J18" i="36"/>
  <c r="K18" i="36"/>
  <c r="G19" i="36"/>
  <c r="J19" i="36"/>
  <c r="K19" i="36"/>
  <c r="G20" i="36"/>
  <c r="J20" i="36"/>
  <c r="K20" i="36"/>
  <c r="G21" i="36"/>
  <c r="J21" i="36"/>
  <c r="K21" i="36"/>
  <c r="G22" i="36"/>
  <c r="J22" i="36"/>
  <c r="K22" i="36"/>
  <c r="G23" i="36"/>
  <c r="J23" i="36"/>
  <c r="K23" i="36"/>
  <c r="G24" i="36"/>
  <c r="J24" i="36"/>
  <c r="K24" i="36"/>
  <c r="G25" i="36"/>
  <c r="J25" i="36"/>
  <c r="K25" i="36"/>
  <c r="G26" i="36"/>
  <c r="J26" i="36"/>
  <c r="K26" i="36"/>
  <c r="G27" i="36"/>
  <c r="J27" i="36"/>
  <c r="K27" i="36"/>
  <c r="G28" i="36"/>
  <c r="J28" i="36"/>
  <c r="K28" i="36"/>
  <c r="G29" i="36"/>
  <c r="J29" i="36"/>
  <c r="K29" i="36"/>
  <c r="G30" i="36"/>
  <c r="J30" i="36"/>
  <c r="K30" i="36"/>
  <c r="G31" i="36"/>
  <c r="J31" i="36"/>
  <c r="K31" i="36"/>
  <c r="G32" i="36"/>
  <c r="J32" i="36"/>
  <c r="K32" i="36"/>
  <c r="G33" i="36"/>
  <c r="J33" i="36"/>
  <c r="K33" i="36"/>
  <c r="G34" i="36"/>
  <c r="J34" i="36"/>
  <c r="K34" i="36"/>
  <c r="G5" i="37"/>
  <c r="J5" i="37"/>
  <c r="K5" i="37"/>
  <c r="G6" i="37"/>
  <c r="J6" i="37"/>
  <c r="K6" i="37"/>
  <c r="L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L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L17" i="37"/>
  <c r="G18" i="37"/>
  <c r="J18" i="37"/>
  <c r="K18" i="37"/>
  <c r="L18" i="37"/>
  <c r="G19" i="37"/>
  <c r="J19" i="37"/>
  <c r="K19" i="37"/>
  <c r="G20" i="37"/>
  <c r="J20" i="37"/>
  <c r="K20" i="37"/>
  <c r="L20" i="37"/>
  <c r="G21" i="37"/>
  <c r="J21" i="37"/>
  <c r="K21" i="37"/>
  <c r="G22" i="37"/>
  <c r="J22" i="37"/>
  <c r="K22" i="37"/>
  <c r="L22" i="37"/>
  <c r="G23" i="37"/>
  <c r="J23" i="37"/>
  <c r="K23" i="37"/>
  <c r="L23" i="37"/>
  <c r="G24" i="37"/>
  <c r="J24" i="37"/>
  <c r="K24" i="37"/>
  <c r="G25" i="37"/>
  <c r="J25" i="37"/>
  <c r="K25" i="37"/>
  <c r="G26" i="37"/>
  <c r="J26" i="37"/>
  <c r="K26" i="37"/>
  <c r="L26" i="37"/>
  <c r="G27" i="37"/>
  <c r="J27" i="37"/>
  <c r="K27" i="37"/>
  <c r="L27" i="37"/>
  <c r="G28" i="37"/>
  <c r="J28" i="37"/>
  <c r="K28" i="37"/>
  <c r="G29" i="37"/>
  <c r="J29" i="37"/>
  <c r="K29" i="37"/>
  <c r="G30" i="37"/>
  <c r="J30" i="37"/>
  <c r="K30" i="37"/>
  <c r="L30" i="37"/>
  <c r="G31" i="37"/>
  <c r="J31" i="37"/>
  <c r="K31" i="37"/>
  <c r="L31" i="37"/>
  <c r="G32" i="37"/>
  <c r="J32" i="37"/>
  <c r="K32" i="37"/>
  <c r="G33" i="37"/>
  <c r="J33" i="37"/>
  <c r="K33" i="37"/>
  <c r="L33" i="37"/>
  <c r="G34" i="37"/>
  <c r="J34" i="37"/>
  <c r="K34" i="37"/>
  <c r="L34" i="37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J11" i="15"/>
  <c r="K11" i="15"/>
  <c r="G12" i="15"/>
  <c r="J12" i="15"/>
  <c r="K12" i="15"/>
  <c r="G13" i="15"/>
  <c r="J13" i="15"/>
  <c r="K13" i="15"/>
  <c r="G14" i="15"/>
  <c r="J14" i="15"/>
  <c r="K14" i="15"/>
  <c r="G15" i="15"/>
  <c r="J15" i="15"/>
  <c r="K15" i="15"/>
  <c r="G16" i="15"/>
  <c r="J16" i="15"/>
  <c r="K16" i="15"/>
  <c r="G17" i="15"/>
  <c r="J17" i="15"/>
  <c r="K17" i="15"/>
  <c r="G18" i="15"/>
  <c r="J18" i="15"/>
  <c r="K18" i="15"/>
  <c r="G19" i="15"/>
  <c r="J19" i="15"/>
  <c r="K19" i="15"/>
  <c r="G20" i="15"/>
  <c r="J20" i="15"/>
  <c r="K20" i="15"/>
  <c r="L20" i="15" s="1"/>
  <c r="G21" i="15"/>
  <c r="J21" i="15"/>
  <c r="K21" i="15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G27" i="15"/>
  <c r="J27" i="15"/>
  <c r="G28" i="15"/>
  <c r="J28" i="15"/>
  <c r="K28" i="15"/>
  <c r="G29" i="15"/>
  <c r="J29" i="15"/>
  <c r="K29" i="15"/>
  <c r="G30" i="15"/>
  <c r="J30" i="15"/>
  <c r="K30" i="15"/>
  <c r="G31" i="15"/>
  <c r="J31" i="15"/>
  <c r="K31" i="15"/>
  <c r="G32" i="15"/>
  <c r="J32" i="15"/>
  <c r="K32" i="15"/>
  <c r="G33" i="15"/>
  <c r="J33" i="15"/>
  <c r="K33" i="15"/>
  <c r="G6" i="14"/>
  <c r="J6" i="14"/>
  <c r="K6" i="14"/>
  <c r="G7" i="14"/>
  <c r="J7" i="14"/>
  <c r="K7" i="14"/>
  <c r="G8" i="14"/>
  <c r="J8" i="14"/>
  <c r="K8" i="14"/>
  <c r="G9" i="14"/>
  <c r="J9" i="14"/>
  <c r="K9" i="14"/>
  <c r="G10" i="14"/>
  <c r="J10" i="14"/>
  <c r="K10" i="14"/>
  <c r="G11" i="14"/>
  <c r="J11" i="14"/>
  <c r="K11" i="14"/>
  <c r="G12" i="14"/>
  <c r="J12" i="14"/>
  <c r="K12" i="14"/>
  <c r="G13" i="14"/>
  <c r="J13" i="14"/>
  <c r="K13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5" i="22"/>
  <c r="J5" i="22"/>
  <c r="K5" i="22"/>
  <c r="G6" i="22"/>
  <c r="J6" i="22"/>
  <c r="K6" i="22"/>
  <c r="G7" i="22"/>
  <c r="J7" i="22"/>
  <c r="K7" i="22"/>
  <c r="G8" i="22"/>
  <c r="J8" i="22"/>
  <c r="K8" i="22"/>
  <c r="G10" i="22"/>
  <c r="J10" i="22"/>
  <c r="K10" i="22"/>
  <c r="G11" i="22"/>
  <c r="J11" i="22"/>
  <c r="K11" i="22"/>
  <c r="G12" i="22"/>
  <c r="J12" i="22"/>
  <c r="K12" i="22"/>
  <c r="G14" i="22"/>
  <c r="J14" i="22"/>
  <c r="K14" i="22"/>
  <c r="M14" i="22" s="1"/>
  <c r="M15" i="22" s="1"/>
  <c r="G15" i="22"/>
  <c r="J15" i="22"/>
  <c r="K15" i="22"/>
  <c r="G16" i="22"/>
  <c r="J16" i="22"/>
  <c r="K16" i="22"/>
  <c r="G17" i="22"/>
  <c r="J17" i="22"/>
  <c r="K17" i="22"/>
  <c r="G18" i="22"/>
  <c r="J18" i="22"/>
  <c r="K18" i="22"/>
  <c r="G19" i="22"/>
  <c r="J19" i="22"/>
  <c r="K19" i="22"/>
  <c r="G20" i="22"/>
  <c r="J20" i="22"/>
  <c r="K20" i="22"/>
  <c r="G21" i="22"/>
  <c r="J21" i="22"/>
  <c r="K21" i="22"/>
  <c r="G22" i="22"/>
  <c r="J22" i="22"/>
  <c r="K22" i="22"/>
  <c r="G23" i="22"/>
  <c r="J23" i="22"/>
  <c r="K23" i="22"/>
  <c r="G24" i="22"/>
  <c r="J24" i="22"/>
  <c r="K24" i="22"/>
  <c r="G25" i="22"/>
  <c r="J25" i="22"/>
  <c r="K25" i="22"/>
  <c r="G26" i="22"/>
  <c r="J26" i="22"/>
  <c r="K26" i="22"/>
  <c r="G27" i="22"/>
  <c r="J27" i="22"/>
  <c r="K27" i="22"/>
  <c r="G28" i="22"/>
  <c r="J28" i="22"/>
  <c r="K28" i="22"/>
  <c r="G29" i="22"/>
  <c r="J29" i="22"/>
  <c r="K29" i="22"/>
  <c r="G30" i="22"/>
  <c r="J30" i="22"/>
  <c r="K30" i="22"/>
  <c r="G31" i="22"/>
  <c r="J31" i="22"/>
  <c r="K31" i="22"/>
  <c r="G32" i="22"/>
  <c r="J32" i="22"/>
  <c r="K32" i="22"/>
  <c r="G33" i="22"/>
  <c r="J33" i="22"/>
  <c r="K33" i="22"/>
  <c r="G34" i="22"/>
  <c r="J34" i="22"/>
  <c r="K34" i="22"/>
  <c r="G35" i="22"/>
  <c r="J35" i="22"/>
  <c r="K35" i="22"/>
  <c r="G36" i="22"/>
  <c r="J36" i="22"/>
  <c r="K36" i="22"/>
  <c r="G37" i="22"/>
  <c r="J37" i="22"/>
  <c r="K37" i="22"/>
  <c r="G38" i="22"/>
  <c r="J38" i="22"/>
  <c r="K38" i="22"/>
  <c r="G39" i="22"/>
  <c r="J39" i="22"/>
  <c r="K39" i="22"/>
  <c r="G40" i="22"/>
  <c r="J40" i="22"/>
  <c r="K40" i="22"/>
  <c r="G41" i="22"/>
  <c r="J41" i="22"/>
  <c r="K41" i="22"/>
  <c r="G42" i="22"/>
  <c r="J42" i="22"/>
  <c r="K42" i="22"/>
  <c r="G43" i="22"/>
  <c r="J43" i="22"/>
  <c r="K43" i="22"/>
  <c r="G5" i="25"/>
  <c r="J5" i="25"/>
  <c r="K5" i="25"/>
  <c r="L5" i="25"/>
  <c r="G6" i="25"/>
  <c r="J6" i="25"/>
  <c r="K6" i="25"/>
  <c r="L6" i="25"/>
  <c r="G7" i="25"/>
  <c r="J7" i="25"/>
  <c r="K7" i="25"/>
  <c r="L7" i="25"/>
  <c r="G8" i="25"/>
  <c r="J8" i="25"/>
  <c r="K8" i="25"/>
  <c r="L8" i="25"/>
  <c r="G9" i="25"/>
  <c r="J9" i="25"/>
  <c r="K9" i="25"/>
  <c r="L9" i="25"/>
  <c r="G10" i="25"/>
  <c r="J10" i="25"/>
  <c r="K10" i="25"/>
  <c r="L10" i="25"/>
  <c r="G11" i="25"/>
  <c r="J11" i="25"/>
  <c r="K11" i="25"/>
  <c r="L11" i="25"/>
  <c r="G12" i="25"/>
  <c r="J12" i="25"/>
  <c r="K12" i="25"/>
  <c r="L12" i="25"/>
  <c r="G13" i="25"/>
  <c r="J13" i="25"/>
  <c r="K13" i="25"/>
  <c r="L13" i="25"/>
  <c r="G14" i="25"/>
  <c r="J14" i="25"/>
  <c r="K14" i="25"/>
  <c r="L14" i="25"/>
  <c r="G15" i="25"/>
  <c r="J15" i="25"/>
  <c r="K15" i="25"/>
  <c r="L15" i="25"/>
  <c r="G16" i="25"/>
  <c r="J16" i="25"/>
  <c r="K16" i="25"/>
  <c r="L16" i="25"/>
  <c r="G17" i="25"/>
  <c r="J17" i="25"/>
  <c r="K17" i="25"/>
  <c r="L17" i="25"/>
  <c r="G18" i="25"/>
  <c r="J18" i="25"/>
  <c r="K18" i="25"/>
  <c r="L18" i="25"/>
  <c r="G19" i="25"/>
  <c r="J19" i="25"/>
  <c r="K19" i="25"/>
  <c r="L19" i="25"/>
  <c r="G20" i="25"/>
  <c r="J20" i="25"/>
  <c r="K20" i="25"/>
  <c r="L20" i="25"/>
  <c r="G21" i="25"/>
  <c r="J21" i="25"/>
  <c r="K21" i="25"/>
  <c r="L21" i="25"/>
  <c r="G22" i="25"/>
  <c r="J22" i="25"/>
  <c r="K22" i="25"/>
  <c r="L22" i="25"/>
  <c r="G23" i="25"/>
  <c r="J23" i="25"/>
  <c r="K23" i="25"/>
  <c r="L23" i="25"/>
  <c r="G24" i="25"/>
  <c r="J24" i="25"/>
  <c r="K24" i="25"/>
  <c r="L24" i="25"/>
  <c r="G25" i="25"/>
  <c r="J25" i="25"/>
  <c r="K25" i="25"/>
  <c r="L25" i="25"/>
  <c r="G26" i="25"/>
  <c r="J26" i="25"/>
  <c r="K26" i="25"/>
  <c r="L26" i="25"/>
  <c r="G27" i="25"/>
  <c r="J27" i="25"/>
  <c r="K27" i="25"/>
  <c r="L27" i="25"/>
  <c r="G28" i="25"/>
  <c r="J28" i="25"/>
  <c r="K28" i="25"/>
  <c r="L28" i="25"/>
  <c r="G29" i="25"/>
  <c r="J29" i="25"/>
  <c r="K29" i="25"/>
  <c r="L29" i="25"/>
  <c r="G30" i="25"/>
  <c r="J30" i="25"/>
  <c r="K30" i="25"/>
  <c r="L30" i="25"/>
  <c r="G31" i="25"/>
  <c r="J31" i="25"/>
  <c r="K31" i="25"/>
  <c r="L31" i="25"/>
  <c r="G32" i="25"/>
  <c r="J32" i="25"/>
  <c r="K32" i="25"/>
  <c r="L32" i="25"/>
  <c r="G33" i="25"/>
  <c r="J33" i="25"/>
  <c r="K33" i="25"/>
  <c r="L33" i="25"/>
  <c r="G34" i="25"/>
  <c r="J34" i="25"/>
  <c r="K34" i="25"/>
  <c r="L34" i="25"/>
  <c r="G5" i="40"/>
  <c r="K5" i="40"/>
  <c r="L5" i="40"/>
  <c r="G6" i="40"/>
  <c r="K6" i="40"/>
  <c r="L6" i="40"/>
  <c r="G7" i="40"/>
  <c r="K7" i="40"/>
  <c r="L7" i="40"/>
  <c r="G8" i="40"/>
  <c r="K8" i="40"/>
  <c r="L8" i="40"/>
  <c r="G9" i="40"/>
  <c r="K9" i="40"/>
  <c r="L9" i="40"/>
  <c r="G10" i="40"/>
  <c r="K10" i="40"/>
  <c r="L10" i="40"/>
  <c r="G11" i="40"/>
  <c r="K11" i="40"/>
  <c r="L11" i="40"/>
  <c r="G12" i="40"/>
  <c r="K12" i="40"/>
  <c r="L12" i="40"/>
  <c r="G13" i="40"/>
  <c r="K13" i="40"/>
  <c r="L13" i="40"/>
  <c r="G14" i="40"/>
  <c r="K14" i="40"/>
  <c r="L14" i="40"/>
  <c r="G15" i="40"/>
  <c r="K15" i="40"/>
  <c r="L15" i="40"/>
  <c r="G16" i="40"/>
  <c r="K16" i="40"/>
  <c r="L16" i="40"/>
  <c r="G17" i="40"/>
  <c r="K17" i="40"/>
  <c r="L17" i="40"/>
  <c r="G18" i="40"/>
  <c r="K18" i="40"/>
  <c r="L18" i="40"/>
  <c r="G19" i="40"/>
  <c r="K19" i="40"/>
  <c r="L19" i="40"/>
  <c r="G20" i="40"/>
  <c r="K20" i="40"/>
  <c r="L20" i="40"/>
  <c r="G21" i="40"/>
  <c r="K21" i="40"/>
  <c r="L21" i="40"/>
  <c r="G22" i="40"/>
  <c r="K22" i="40"/>
  <c r="L22" i="40"/>
  <c r="G23" i="40"/>
  <c r="K23" i="40"/>
  <c r="L23" i="40"/>
  <c r="G24" i="40"/>
  <c r="K24" i="40"/>
  <c r="L24" i="40"/>
  <c r="G25" i="40"/>
  <c r="K25" i="40"/>
  <c r="L25" i="40"/>
  <c r="G26" i="40"/>
  <c r="K26" i="40"/>
  <c r="L26" i="40"/>
  <c r="G27" i="40"/>
  <c r="K27" i="40"/>
  <c r="L27" i="40"/>
  <c r="G28" i="40"/>
  <c r="K28" i="40"/>
  <c r="L28" i="40"/>
  <c r="G29" i="40"/>
  <c r="K29" i="40"/>
  <c r="L29" i="40"/>
  <c r="G30" i="40"/>
  <c r="K30" i="40"/>
  <c r="L30" i="40"/>
  <c r="G31" i="40"/>
  <c r="K31" i="40"/>
  <c r="L31" i="40"/>
  <c r="G32" i="40"/>
  <c r="K32" i="40"/>
  <c r="L32" i="40"/>
  <c r="G33" i="40"/>
  <c r="K33" i="40"/>
  <c r="L33" i="40"/>
  <c r="G5" i="10"/>
  <c r="J5" i="10"/>
  <c r="K5" i="10"/>
  <c r="G6" i="10"/>
  <c r="J6" i="10"/>
  <c r="K6" i="10"/>
  <c r="G7" i="10"/>
  <c r="J7" i="10"/>
  <c r="K7" i="10"/>
  <c r="G8" i="10"/>
  <c r="J8" i="10"/>
  <c r="K8" i="10"/>
  <c r="G9" i="10"/>
  <c r="J9" i="10"/>
  <c r="K9" i="10"/>
  <c r="G10" i="10"/>
  <c r="J10" i="10"/>
  <c r="K10" i="10"/>
  <c r="G11" i="10"/>
  <c r="J11" i="10"/>
  <c r="K11" i="10"/>
  <c r="G12" i="10"/>
  <c r="J12" i="10"/>
  <c r="K12" i="10"/>
  <c r="G13" i="10"/>
  <c r="J13" i="10"/>
  <c r="K13" i="10"/>
  <c r="G14" i="10"/>
  <c r="J14" i="10"/>
  <c r="K14" i="10"/>
  <c r="G15" i="10"/>
  <c r="J15" i="10"/>
  <c r="K15" i="10"/>
  <c r="G16" i="10"/>
  <c r="J16" i="10"/>
  <c r="K16" i="10"/>
  <c r="G17" i="10"/>
  <c r="J17" i="10"/>
  <c r="K17" i="10"/>
  <c r="G18" i="10"/>
  <c r="J18" i="10"/>
  <c r="K18" i="10"/>
  <c r="G19" i="10"/>
  <c r="J19" i="10"/>
  <c r="K19" i="10"/>
  <c r="G20" i="10"/>
  <c r="J20" i="10"/>
  <c r="K20" i="10"/>
  <c r="G21" i="10"/>
  <c r="J21" i="10"/>
  <c r="K21" i="10"/>
  <c r="G22" i="10"/>
  <c r="J22" i="10"/>
  <c r="K22" i="10"/>
  <c r="G23" i="10"/>
  <c r="J23" i="10"/>
  <c r="K23" i="10"/>
  <c r="G24" i="10"/>
  <c r="J24" i="10"/>
  <c r="K24" i="10"/>
  <c r="G25" i="10"/>
  <c r="J25" i="10"/>
  <c r="K25" i="10"/>
  <c r="G26" i="10"/>
  <c r="J26" i="10"/>
  <c r="K26" i="10"/>
  <c r="G27" i="10"/>
  <c r="J27" i="10"/>
  <c r="K27" i="10"/>
  <c r="G28" i="10"/>
  <c r="J28" i="10"/>
  <c r="K28" i="10"/>
  <c r="G29" i="10"/>
  <c r="J29" i="10"/>
  <c r="K29" i="10"/>
  <c r="G30" i="10"/>
  <c r="J30" i="10"/>
  <c r="K30" i="10"/>
  <c r="G31" i="10"/>
  <c r="J31" i="10"/>
  <c r="K31" i="10"/>
  <c r="G32" i="10"/>
  <c r="J32" i="10"/>
  <c r="K32" i="10"/>
  <c r="G33" i="10"/>
  <c r="J33" i="10"/>
  <c r="K33" i="10"/>
  <c r="G34" i="10"/>
  <c r="J34" i="10"/>
  <c r="K34" i="10"/>
  <c r="G5" i="11"/>
  <c r="J5" i="11"/>
  <c r="K5" i="11"/>
  <c r="G6" i="11"/>
  <c r="J6" i="11"/>
  <c r="K6" i="11"/>
  <c r="M6" i="11" s="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G18" i="11"/>
  <c r="J18" i="11"/>
  <c r="K18" i="11"/>
  <c r="G19" i="11"/>
  <c r="J19" i="11"/>
  <c r="K19" i="11"/>
  <c r="G20" i="11"/>
  <c r="J20" i="11"/>
  <c r="K20" i="11"/>
  <c r="G21" i="11"/>
  <c r="J21" i="11"/>
  <c r="K21" i="11"/>
  <c r="G22" i="11"/>
  <c r="J22" i="11"/>
  <c r="K22" i="11"/>
  <c r="G23" i="11"/>
  <c r="J23" i="11"/>
  <c r="K23" i="11"/>
  <c r="G24" i="11"/>
  <c r="J24" i="11"/>
  <c r="K24" i="11"/>
  <c r="G25" i="11"/>
  <c r="J25" i="11"/>
  <c r="K25" i="11"/>
  <c r="G26" i="11"/>
  <c r="J26" i="11"/>
  <c r="K26" i="11"/>
  <c r="G27" i="11"/>
  <c r="J27" i="11"/>
  <c r="K27" i="11"/>
  <c r="G28" i="11"/>
  <c r="J28" i="11"/>
  <c r="K28" i="11"/>
  <c r="G29" i="11"/>
  <c r="J29" i="11"/>
  <c r="K29" i="11"/>
  <c r="G30" i="11"/>
  <c r="J30" i="11"/>
  <c r="K30" i="11"/>
  <c r="G31" i="11"/>
  <c r="J31" i="11"/>
  <c r="K31" i="11"/>
  <c r="G32" i="11"/>
  <c r="J32" i="11"/>
  <c r="K32" i="11"/>
  <c r="G33" i="11"/>
  <c r="J33" i="11"/>
  <c r="K33" i="11"/>
  <c r="G34" i="11"/>
  <c r="J34" i="11"/>
  <c r="K34" i="11"/>
  <c r="G17" i="61"/>
  <c r="J17" i="61"/>
  <c r="K17" i="61"/>
  <c r="G18" i="61"/>
  <c r="J18" i="61"/>
  <c r="K18" i="61"/>
  <c r="G19" i="61"/>
  <c r="J19" i="61"/>
  <c r="K19" i="61"/>
  <c r="G20" i="61"/>
  <c r="J20" i="61"/>
  <c r="K20" i="61"/>
  <c r="G21" i="61"/>
  <c r="J21" i="61"/>
  <c r="K21" i="61"/>
  <c r="G22" i="61"/>
  <c r="J22" i="61"/>
  <c r="K22" i="61"/>
  <c r="G23" i="61"/>
  <c r="J23" i="61"/>
  <c r="K23" i="61"/>
  <c r="G24" i="61"/>
  <c r="J24" i="61"/>
  <c r="K24" i="61"/>
  <c r="G25" i="61"/>
  <c r="J25" i="61"/>
  <c r="K25" i="61"/>
  <c r="G26" i="61"/>
  <c r="J26" i="61"/>
  <c r="K26" i="61"/>
  <c r="G27" i="61"/>
  <c r="J27" i="61"/>
  <c r="K27" i="61"/>
  <c r="G28" i="61"/>
  <c r="J28" i="61"/>
  <c r="K28" i="61"/>
  <c r="G29" i="61"/>
  <c r="J29" i="61"/>
  <c r="K29" i="61"/>
  <c r="G30" i="61"/>
  <c r="J30" i="61"/>
  <c r="K30" i="61"/>
  <c r="G31" i="61"/>
  <c r="J31" i="61"/>
  <c r="K31" i="61"/>
  <c r="G32" i="61"/>
  <c r="J32" i="61"/>
  <c r="K32" i="61"/>
  <c r="G34" i="61"/>
  <c r="J34" i="61"/>
  <c r="K34" i="61"/>
  <c r="G35" i="61"/>
  <c r="J35" i="61"/>
  <c r="K35" i="61"/>
  <c r="G36" i="61"/>
  <c r="J36" i="61"/>
  <c r="K36" i="61"/>
  <c r="G5" i="61"/>
  <c r="J5" i="61"/>
  <c r="K5" i="61"/>
  <c r="G6" i="61"/>
  <c r="J6" i="61"/>
  <c r="K6" i="61"/>
  <c r="G7" i="61"/>
  <c r="J7" i="61"/>
  <c r="K7" i="61"/>
  <c r="G8" i="61"/>
  <c r="J8" i="61"/>
  <c r="K8" i="61"/>
  <c r="G9" i="61"/>
  <c r="J9" i="61"/>
  <c r="K9" i="61"/>
  <c r="G10" i="61"/>
  <c r="J10" i="61"/>
  <c r="K10" i="61"/>
  <c r="G11" i="61"/>
  <c r="J11" i="61"/>
  <c r="K11" i="61"/>
  <c r="G12" i="61"/>
  <c r="J12" i="61"/>
  <c r="K12" i="61"/>
  <c r="G13" i="61"/>
  <c r="J13" i="61"/>
  <c r="K13" i="61"/>
  <c r="G14" i="61"/>
  <c r="J14" i="61"/>
  <c r="K14" i="61"/>
  <c r="G15" i="61"/>
  <c r="J15" i="61"/>
  <c r="K15" i="61"/>
  <c r="L15" i="61" s="1"/>
  <c r="G5" i="24"/>
  <c r="J5" i="24"/>
  <c r="K5" i="24"/>
  <c r="G6" i="24"/>
  <c r="J6" i="24"/>
  <c r="K6" i="24"/>
  <c r="G7" i="24"/>
  <c r="J7" i="24"/>
  <c r="K7" i="24"/>
  <c r="G8" i="24"/>
  <c r="J8" i="24"/>
  <c r="K8" i="24"/>
  <c r="G9" i="24"/>
  <c r="J9" i="24"/>
  <c r="K9" i="24"/>
  <c r="G10" i="24"/>
  <c r="J10" i="24"/>
  <c r="K10" i="24"/>
  <c r="G11" i="24"/>
  <c r="J11" i="24"/>
  <c r="K11" i="24"/>
  <c r="G12" i="24"/>
  <c r="J12" i="24"/>
  <c r="K12" i="24"/>
  <c r="G13" i="24"/>
  <c r="J13" i="24"/>
  <c r="K13" i="24"/>
  <c r="G14" i="24"/>
  <c r="J14" i="24"/>
  <c r="K14" i="24"/>
  <c r="G15" i="24"/>
  <c r="J15" i="24"/>
  <c r="K15" i="24"/>
  <c r="G16" i="24"/>
  <c r="J16" i="24"/>
  <c r="K16" i="24"/>
  <c r="G17" i="24"/>
  <c r="J17" i="24"/>
  <c r="K17" i="24"/>
  <c r="G18" i="24"/>
  <c r="J18" i="24"/>
  <c r="K18" i="24"/>
  <c r="G19" i="24"/>
  <c r="J19" i="24"/>
  <c r="K19" i="24"/>
  <c r="G20" i="24"/>
  <c r="J20" i="24"/>
  <c r="K20" i="24"/>
  <c r="G21" i="24"/>
  <c r="J21" i="24"/>
  <c r="K21" i="24"/>
  <c r="G22" i="24"/>
  <c r="J22" i="24"/>
  <c r="K22" i="24"/>
  <c r="G23" i="24"/>
  <c r="J23" i="24"/>
  <c r="K23" i="24"/>
  <c r="G24" i="24"/>
  <c r="J24" i="24"/>
  <c r="K24" i="24"/>
  <c r="G25" i="24"/>
  <c r="J25" i="24"/>
  <c r="K25" i="24"/>
  <c r="G26" i="24"/>
  <c r="J26" i="24"/>
  <c r="K26" i="24"/>
  <c r="G27" i="24"/>
  <c r="J27" i="24"/>
  <c r="K27" i="24"/>
  <c r="G28" i="24"/>
  <c r="J28" i="24"/>
  <c r="K28" i="24"/>
  <c r="G29" i="24"/>
  <c r="J29" i="24"/>
  <c r="K29" i="24"/>
  <c r="G30" i="24"/>
  <c r="J30" i="24"/>
  <c r="K30" i="24"/>
  <c r="G31" i="24"/>
  <c r="J31" i="24"/>
  <c r="K31" i="24"/>
  <c r="G32" i="24"/>
  <c r="J32" i="24"/>
  <c r="K32" i="24"/>
  <c r="G33" i="24"/>
  <c r="J33" i="24"/>
  <c r="K33" i="24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G35" i="16"/>
  <c r="J35" i="16"/>
  <c r="K35" i="16"/>
  <c r="G5" i="20"/>
  <c r="J5" i="20"/>
  <c r="K5" i="20"/>
  <c r="L5" i="20"/>
  <c r="G6" i="20"/>
  <c r="J6" i="20"/>
  <c r="K6" i="20"/>
  <c r="L6" i="20"/>
  <c r="G7" i="20"/>
  <c r="J7" i="20"/>
  <c r="K7" i="20"/>
  <c r="L7" i="20"/>
  <c r="G8" i="20"/>
  <c r="J8" i="20"/>
  <c r="K8" i="20"/>
  <c r="L8" i="20"/>
  <c r="G9" i="20"/>
  <c r="J9" i="20"/>
  <c r="K9" i="20"/>
  <c r="L9" i="20"/>
  <c r="G10" i="20"/>
  <c r="J10" i="20"/>
  <c r="K10" i="20"/>
  <c r="L10" i="20"/>
  <c r="G11" i="20"/>
  <c r="J11" i="20"/>
  <c r="K11" i="20"/>
  <c r="L11" i="20"/>
  <c r="G12" i="20"/>
  <c r="J12" i="20"/>
  <c r="K12" i="20"/>
  <c r="L12" i="20"/>
  <c r="G13" i="20"/>
  <c r="J13" i="20"/>
  <c r="K13" i="20"/>
  <c r="L13" i="20"/>
  <c r="G14" i="20"/>
  <c r="J14" i="20"/>
  <c r="K14" i="20"/>
  <c r="L14" i="20"/>
  <c r="G15" i="20"/>
  <c r="J15" i="20"/>
  <c r="K15" i="20"/>
  <c r="L15" i="20"/>
  <c r="G16" i="20"/>
  <c r="J16" i="20"/>
  <c r="K16" i="20"/>
  <c r="L16" i="20"/>
  <c r="G17" i="20"/>
  <c r="J17" i="20"/>
  <c r="K17" i="20"/>
  <c r="L17" i="20"/>
  <c r="G18" i="20"/>
  <c r="J18" i="20"/>
  <c r="K18" i="20"/>
  <c r="L18" i="20"/>
  <c r="G19" i="20"/>
  <c r="J19" i="20"/>
  <c r="K19" i="20"/>
  <c r="L19" i="20"/>
  <c r="G20" i="20"/>
  <c r="J20" i="20"/>
  <c r="K20" i="20"/>
  <c r="L20" i="20"/>
  <c r="G21" i="20"/>
  <c r="J21" i="20"/>
  <c r="K21" i="20"/>
  <c r="L21" i="20"/>
  <c r="G22" i="20"/>
  <c r="J22" i="20"/>
  <c r="K22" i="20"/>
  <c r="L22" i="20"/>
  <c r="G23" i="20"/>
  <c r="J23" i="20"/>
  <c r="K23" i="20"/>
  <c r="L23" i="20"/>
  <c r="G24" i="20"/>
  <c r="J24" i="20"/>
  <c r="K24" i="20"/>
  <c r="L24" i="20"/>
  <c r="G25" i="20"/>
  <c r="J25" i="20"/>
  <c r="K25" i="20"/>
  <c r="L25" i="20"/>
  <c r="G26" i="20"/>
  <c r="J26" i="20"/>
  <c r="K26" i="20"/>
  <c r="L26" i="20"/>
  <c r="G27" i="20"/>
  <c r="J27" i="20"/>
  <c r="K27" i="20"/>
  <c r="L27" i="20"/>
  <c r="G28" i="20"/>
  <c r="J28" i="20"/>
  <c r="K28" i="20"/>
  <c r="L28" i="20"/>
  <c r="G29" i="20"/>
  <c r="J29" i="20"/>
  <c r="K29" i="20"/>
  <c r="L29" i="20"/>
  <c r="G30" i="20"/>
  <c r="J30" i="20"/>
  <c r="K30" i="20"/>
  <c r="L30" i="20"/>
  <c r="G31" i="20"/>
  <c r="J31" i="20"/>
  <c r="K31" i="20"/>
  <c r="L31" i="20"/>
  <c r="G32" i="20"/>
  <c r="J32" i="20"/>
  <c r="K32" i="20"/>
  <c r="L32" i="20"/>
  <c r="G33" i="20"/>
  <c r="J33" i="20"/>
  <c r="K33" i="20"/>
  <c r="L33" i="20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34" i="3"/>
  <c r="J34" i="3"/>
  <c r="K34" i="3"/>
  <c r="G23" i="7"/>
  <c r="J23" i="7"/>
  <c r="K23" i="7"/>
  <c r="G24" i="7"/>
  <c r="J24" i="7"/>
  <c r="K24" i="7"/>
  <c r="G25" i="7"/>
  <c r="J25" i="7"/>
  <c r="K25" i="7"/>
  <c r="G26" i="7"/>
  <c r="J26" i="7"/>
  <c r="K26" i="7"/>
  <c r="G27" i="7"/>
  <c r="J27" i="7"/>
  <c r="K27" i="7"/>
  <c r="G28" i="7"/>
  <c r="J28" i="7"/>
  <c r="K28" i="7"/>
  <c r="G29" i="7"/>
  <c r="J29" i="7"/>
  <c r="K29" i="7"/>
  <c r="G30" i="7"/>
  <c r="J30" i="7"/>
  <c r="K30" i="7"/>
  <c r="G31" i="7"/>
  <c r="G32" i="7"/>
  <c r="J32" i="7"/>
  <c r="K32" i="7"/>
  <c r="G5" i="52"/>
  <c r="J5" i="52"/>
  <c r="K5" i="52"/>
  <c r="G6" i="52"/>
  <c r="J6" i="52"/>
  <c r="K6" i="52"/>
  <c r="G7" i="52"/>
  <c r="J7" i="52"/>
  <c r="K7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K20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25" i="52"/>
  <c r="J25" i="52"/>
  <c r="K25" i="52"/>
  <c r="G26" i="52"/>
  <c r="J26" i="52"/>
  <c r="K26" i="52"/>
  <c r="G27" i="52"/>
  <c r="J27" i="52"/>
  <c r="K27" i="52"/>
  <c r="G28" i="52"/>
  <c r="J28" i="52"/>
  <c r="K28" i="52"/>
  <c r="G29" i="52"/>
  <c r="J29" i="52"/>
  <c r="K29" i="52"/>
  <c r="G30" i="52"/>
  <c r="J30" i="52"/>
  <c r="K30" i="52"/>
  <c r="G31" i="52"/>
  <c r="J31" i="52"/>
  <c r="K31" i="52"/>
  <c r="G32" i="52"/>
  <c r="J32" i="52"/>
  <c r="K32" i="52"/>
  <c r="G33" i="52"/>
  <c r="J33" i="52"/>
  <c r="K33" i="52"/>
  <c r="G8" i="1"/>
  <c r="J8" i="1"/>
  <c r="K8" i="1"/>
  <c r="G9" i="1"/>
  <c r="J9" i="1"/>
  <c r="K9" i="1"/>
  <c r="G10" i="1"/>
  <c r="J10" i="1"/>
  <c r="K10" i="1"/>
  <c r="G11" i="1"/>
  <c r="J11" i="1"/>
  <c r="K11" i="1"/>
  <c r="G12" i="1"/>
  <c r="J12" i="1"/>
  <c r="K12" i="1"/>
  <c r="G13" i="1"/>
  <c r="J13" i="1"/>
  <c r="K13" i="1"/>
  <c r="G14" i="1"/>
  <c r="J14" i="1"/>
  <c r="K14" i="1"/>
  <c r="G15" i="1"/>
  <c r="J15" i="1"/>
  <c r="K15" i="1"/>
  <c r="G16" i="1"/>
  <c r="J16" i="1"/>
  <c r="K16" i="1"/>
  <c r="G17" i="1"/>
  <c r="J17" i="1"/>
  <c r="K17" i="1"/>
  <c r="G18" i="1"/>
  <c r="J18" i="1"/>
  <c r="K18" i="1"/>
  <c r="G19" i="1"/>
  <c r="J19" i="1"/>
  <c r="K19" i="1"/>
  <c r="G20" i="1"/>
  <c r="J20" i="1"/>
  <c r="K20" i="1"/>
  <c r="G21" i="1"/>
  <c r="J21" i="1"/>
  <c r="K21" i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J26" i="1"/>
  <c r="K26" i="1"/>
  <c r="G27" i="1"/>
  <c r="J27" i="1"/>
  <c r="K27" i="1"/>
  <c r="G28" i="1"/>
  <c r="J28" i="1"/>
  <c r="K28" i="1"/>
  <c r="G29" i="1"/>
  <c r="J29" i="1"/>
  <c r="K29" i="1"/>
  <c r="G30" i="1"/>
  <c r="J30" i="1"/>
  <c r="K30" i="1"/>
  <c r="G31" i="1"/>
  <c r="J31" i="1"/>
  <c r="K31" i="1"/>
  <c r="G32" i="1"/>
  <c r="J32" i="1"/>
  <c r="K32" i="1"/>
  <c r="G33" i="1"/>
  <c r="J33" i="1"/>
  <c r="K33" i="1"/>
  <c r="G34" i="1"/>
  <c r="J34" i="1"/>
  <c r="K34" i="1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G19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G29" i="2"/>
  <c r="J29" i="2"/>
  <c r="K29" i="2"/>
  <c r="G30" i="2"/>
  <c r="J30" i="2"/>
  <c r="K30" i="2"/>
  <c r="G31" i="2"/>
  <c r="J31" i="2"/>
  <c r="K31" i="2"/>
  <c r="G32" i="2"/>
  <c r="J32" i="2"/>
  <c r="K32" i="2"/>
  <c r="G33" i="2"/>
  <c r="J33" i="2"/>
  <c r="K33" i="2"/>
  <c r="G34" i="2"/>
  <c r="J34" i="2"/>
  <c r="K34" i="2"/>
  <c r="G5" i="59"/>
  <c r="J5" i="59"/>
  <c r="K5" i="59"/>
  <c r="G6" i="59"/>
  <c r="J6" i="59"/>
  <c r="K6" i="59"/>
  <c r="G7" i="59"/>
  <c r="J7" i="59"/>
  <c r="K7" i="59"/>
  <c r="M7" i="59" s="1"/>
  <c r="G8" i="59"/>
  <c r="J8" i="59"/>
  <c r="K8" i="59"/>
  <c r="G9" i="59"/>
  <c r="J9" i="59"/>
  <c r="K9" i="59"/>
  <c r="G10" i="59"/>
  <c r="J10" i="59"/>
  <c r="K10" i="59"/>
  <c r="G11" i="59"/>
  <c r="J11" i="59"/>
  <c r="K11" i="59"/>
  <c r="G12" i="59"/>
  <c r="J12" i="59"/>
  <c r="K12" i="59"/>
  <c r="G13" i="59"/>
  <c r="J13" i="59"/>
  <c r="K13" i="59"/>
  <c r="G14" i="59"/>
  <c r="J14" i="59"/>
  <c r="K14" i="59"/>
  <c r="G15" i="59"/>
  <c r="J15" i="59"/>
  <c r="K15" i="59"/>
  <c r="G16" i="59"/>
  <c r="J16" i="59"/>
  <c r="K16" i="59"/>
  <c r="G17" i="59"/>
  <c r="J17" i="59"/>
  <c r="K17" i="59"/>
  <c r="G18" i="59"/>
  <c r="J18" i="59"/>
  <c r="K18" i="59"/>
  <c r="G19" i="59"/>
  <c r="J19" i="59"/>
  <c r="K19" i="59"/>
  <c r="G20" i="59"/>
  <c r="J20" i="59"/>
  <c r="K20" i="59"/>
  <c r="G21" i="59"/>
  <c r="J21" i="59"/>
  <c r="K21" i="59"/>
  <c r="G22" i="59"/>
  <c r="J22" i="59"/>
  <c r="K22" i="59"/>
  <c r="G23" i="59"/>
  <c r="J23" i="59"/>
  <c r="K23" i="59"/>
  <c r="G24" i="59"/>
  <c r="J24" i="59"/>
  <c r="K24" i="59"/>
  <c r="G25" i="59"/>
  <c r="J25" i="59"/>
  <c r="K25" i="59"/>
  <c r="G26" i="59"/>
  <c r="J26" i="59"/>
  <c r="K26" i="59"/>
  <c r="G27" i="59"/>
  <c r="J27" i="59"/>
  <c r="K27" i="59"/>
  <c r="G28" i="59"/>
  <c r="J28" i="59"/>
  <c r="K28" i="59"/>
  <c r="G29" i="59"/>
  <c r="J29" i="59"/>
  <c r="K29" i="59"/>
  <c r="G30" i="59"/>
  <c r="J30" i="59"/>
  <c r="K30" i="59"/>
  <c r="G31" i="59"/>
  <c r="J31" i="59"/>
  <c r="K31" i="59"/>
  <c r="G32" i="59"/>
  <c r="J32" i="59"/>
  <c r="K32" i="59"/>
  <c r="G33" i="59"/>
  <c r="J33" i="59"/>
  <c r="K33" i="59"/>
  <c r="G34" i="59"/>
  <c r="J34" i="59"/>
  <c r="K34" i="59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G9" i="58"/>
  <c r="J9" i="58"/>
  <c r="K9" i="58"/>
  <c r="L9" i="58"/>
  <c r="G10" i="58"/>
  <c r="J10" i="58"/>
  <c r="K10" i="58"/>
  <c r="L10" i="58"/>
  <c r="G11" i="58"/>
  <c r="J11" i="58"/>
  <c r="K11" i="58"/>
  <c r="L11" i="58"/>
  <c r="G12" i="58"/>
  <c r="J12" i="58"/>
  <c r="K12" i="58"/>
  <c r="L12" i="58"/>
  <c r="G13" i="58"/>
  <c r="J13" i="58"/>
  <c r="K13" i="58"/>
  <c r="L13" i="58"/>
  <c r="G14" i="58"/>
  <c r="J14" i="58"/>
  <c r="K14" i="58"/>
  <c r="L14" i="58"/>
  <c r="G15" i="58"/>
  <c r="J15" i="58"/>
  <c r="K15" i="58"/>
  <c r="L15" i="58"/>
  <c r="G16" i="58"/>
  <c r="J16" i="58"/>
  <c r="K16" i="58"/>
  <c r="L16" i="58"/>
  <c r="G17" i="58"/>
  <c r="J17" i="58"/>
  <c r="K17" i="58"/>
  <c r="L17" i="58"/>
  <c r="G18" i="58"/>
  <c r="J18" i="58"/>
  <c r="K18" i="58"/>
  <c r="L18" i="58"/>
  <c r="G19" i="58"/>
  <c r="J19" i="58"/>
  <c r="K19" i="58"/>
  <c r="L19" i="58"/>
  <c r="G20" i="58"/>
  <c r="J20" i="58"/>
  <c r="K20" i="58"/>
  <c r="L20" i="58"/>
  <c r="G21" i="58"/>
  <c r="J21" i="58"/>
  <c r="K21" i="58"/>
  <c r="L21" i="58"/>
  <c r="G22" i="58"/>
  <c r="J22" i="58"/>
  <c r="K22" i="58"/>
  <c r="L22" i="58"/>
  <c r="G23" i="58"/>
  <c r="J23" i="58"/>
  <c r="K23" i="58"/>
  <c r="L23" i="58"/>
  <c r="G24" i="58"/>
  <c r="J24" i="58"/>
  <c r="K24" i="58"/>
  <c r="L24" i="58"/>
  <c r="G25" i="58"/>
  <c r="J25" i="58"/>
  <c r="K25" i="58"/>
  <c r="L25" i="58"/>
  <c r="G26" i="58"/>
  <c r="J26" i="58"/>
  <c r="K26" i="58"/>
  <c r="L26" i="58"/>
  <c r="G27" i="58"/>
  <c r="J27" i="58"/>
  <c r="K27" i="58"/>
  <c r="L27" i="58"/>
  <c r="G28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G5" i="32"/>
  <c r="J5" i="32"/>
  <c r="K5" i="32"/>
  <c r="G6" i="32"/>
  <c r="J6" i="32"/>
  <c r="K6" i="32"/>
  <c r="G7" i="32"/>
  <c r="J7" i="32"/>
  <c r="K7" i="32"/>
  <c r="G8" i="32"/>
  <c r="J8" i="32"/>
  <c r="K8" i="32"/>
  <c r="G9" i="32"/>
  <c r="J9" i="32"/>
  <c r="K9" i="32"/>
  <c r="G10" i="32"/>
  <c r="J10" i="32"/>
  <c r="K10" i="32"/>
  <c r="G11" i="32"/>
  <c r="J11" i="32"/>
  <c r="K11" i="32"/>
  <c r="G12" i="32"/>
  <c r="J12" i="32"/>
  <c r="K12" i="32"/>
  <c r="G13" i="32"/>
  <c r="J13" i="32"/>
  <c r="K13" i="32"/>
  <c r="G14" i="32"/>
  <c r="J14" i="32"/>
  <c r="K14" i="32"/>
  <c r="G15" i="32"/>
  <c r="J15" i="32"/>
  <c r="K15" i="32"/>
  <c r="G16" i="32"/>
  <c r="J16" i="32"/>
  <c r="K16" i="32"/>
  <c r="G17" i="32"/>
  <c r="J17" i="32"/>
  <c r="K17" i="32"/>
  <c r="G18" i="32"/>
  <c r="J18" i="32"/>
  <c r="K18" i="32"/>
  <c r="G19" i="32"/>
  <c r="J19" i="32"/>
  <c r="K19" i="32"/>
  <c r="G5" i="54"/>
  <c r="J5" i="54"/>
  <c r="K5" i="54"/>
  <c r="G6" i="54"/>
  <c r="J6" i="54"/>
  <c r="K6" i="54"/>
  <c r="G7" i="54"/>
  <c r="J7" i="54"/>
  <c r="K7" i="54"/>
  <c r="G8" i="54"/>
  <c r="J8" i="54"/>
  <c r="K8" i="54"/>
  <c r="G9" i="54"/>
  <c r="J9" i="54"/>
  <c r="K9" i="54"/>
  <c r="G10" i="54"/>
  <c r="J10" i="54"/>
  <c r="K10" i="54"/>
  <c r="G11" i="54"/>
  <c r="J11" i="54"/>
  <c r="K11" i="54"/>
  <c r="G12" i="54"/>
  <c r="J12" i="54"/>
  <c r="K12" i="54"/>
  <c r="G13" i="54"/>
  <c r="J13" i="54"/>
  <c r="K13" i="54"/>
  <c r="G14" i="54"/>
  <c r="J14" i="54"/>
  <c r="K14" i="54"/>
  <c r="G15" i="54"/>
  <c r="J15" i="54"/>
  <c r="K15" i="54"/>
  <c r="G16" i="54"/>
  <c r="J16" i="54"/>
  <c r="K16" i="54"/>
  <c r="G17" i="54"/>
  <c r="J17" i="54"/>
  <c r="K17" i="54"/>
  <c r="G18" i="54"/>
  <c r="J18" i="54"/>
  <c r="K18" i="54"/>
  <c r="G19" i="54"/>
  <c r="J19" i="54"/>
  <c r="K19" i="54"/>
  <c r="G20" i="54"/>
  <c r="J20" i="54"/>
  <c r="K20" i="54"/>
  <c r="G21" i="54"/>
  <c r="J21" i="54"/>
  <c r="K21" i="54"/>
  <c r="G22" i="54"/>
  <c r="J22" i="54"/>
  <c r="K22" i="54"/>
  <c r="G23" i="54"/>
  <c r="J23" i="54"/>
  <c r="K23" i="54"/>
  <c r="G24" i="54"/>
  <c r="J24" i="54"/>
  <c r="K24" i="54"/>
  <c r="G25" i="54"/>
  <c r="J25" i="54"/>
  <c r="K25" i="54"/>
  <c r="G26" i="54"/>
  <c r="J26" i="54"/>
  <c r="K26" i="54"/>
  <c r="G27" i="54"/>
  <c r="J27" i="54"/>
  <c r="K27" i="54"/>
  <c r="G28" i="54"/>
  <c r="J28" i="54"/>
  <c r="K28" i="54"/>
  <c r="G29" i="54"/>
  <c r="J29" i="54"/>
  <c r="K29" i="54"/>
  <c r="G30" i="54"/>
  <c r="J30" i="54"/>
  <c r="K30" i="54"/>
  <c r="G31" i="54"/>
  <c r="J31" i="54"/>
  <c r="K31" i="54"/>
  <c r="G32" i="54"/>
  <c r="J32" i="54"/>
  <c r="K32" i="54"/>
  <c r="G33" i="54"/>
  <c r="J33" i="54"/>
  <c r="K33" i="54"/>
  <c r="G34" i="54"/>
  <c r="J34" i="54"/>
  <c r="K34" i="54"/>
  <c r="J5" i="18"/>
  <c r="K5" i="18"/>
  <c r="J6" i="18"/>
  <c r="K6" i="18"/>
  <c r="J7" i="18"/>
  <c r="K7" i="18"/>
  <c r="M7" i="18" s="1"/>
  <c r="J8" i="18"/>
  <c r="K8" i="18"/>
  <c r="J9" i="18"/>
  <c r="K9" i="18"/>
  <c r="J10" i="18"/>
  <c r="K10" i="18"/>
  <c r="J11" i="18"/>
  <c r="K11" i="18"/>
  <c r="J12" i="18"/>
  <c r="K12" i="18"/>
  <c r="J13" i="18"/>
  <c r="K13" i="18"/>
  <c r="J14" i="18"/>
  <c r="K14" i="18"/>
  <c r="J15" i="18"/>
  <c r="K15" i="18"/>
  <c r="J16" i="18"/>
  <c r="K16" i="18"/>
  <c r="J17" i="18"/>
  <c r="K17" i="18"/>
  <c r="J18" i="18"/>
  <c r="K18" i="18"/>
  <c r="J19" i="18"/>
  <c r="K19" i="18"/>
  <c r="J20" i="18"/>
  <c r="K20" i="18"/>
  <c r="J21" i="18"/>
  <c r="K21" i="18"/>
  <c r="J22" i="18"/>
  <c r="K22" i="18"/>
  <c r="K23" i="18"/>
  <c r="J24" i="18"/>
  <c r="K24" i="18"/>
  <c r="J25" i="18"/>
  <c r="K25" i="18"/>
  <c r="J26" i="18"/>
  <c r="K26" i="18"/>
  <c r="J27" i="18"/>
  <c r="K27" i="18"/>
  <c r="J28" i="18"/>
  <c r="K28" i="18"/>
  <c r="J29" i="18"/>
  <c r="K29" i="18"/>
  <c r="J30" i="18"/>
  <c r="K30" i="18"/>
  <c r="J31" i="18"/>
  <c r="K31" i="18"/>
  <c r="J32" i="18"/>
  <c r="K32" i="18"/>
  <c r="J33" i="18"/>
  <c r="K33" i="18"/>
  <c r="J34" i="18"/>
  <c r="K34" i="18"/>
  <c r="G5" i="47"/>
  <c r="J5" i="47"/>
  <c r="K5" i="47"/>
  <c r="G6" i="47"/>
  <c r="J6" i="47"/>
  <c r="K6" i="47"/>
  <c r="G7" i="47"/>
  <c r="J7" i="47"/>
  <c r="K7" i="47"/>
  <c r="G8" i="47"/>
  <c r="J8" i="47"/>
  <c r="K8" i="47"/>
  <c r="G9" i="47"/>
  <c r="J9" i="47"/>
  <c r="K9" i="47"/>
  <c r="G10" i="47"/>
  <c r="J10" i="47"/>
  <c r="K10" i="47"/>
  <c r="G11" i="47"/>
  <c r="J11" i="47"/>
  <c r="K11" i="47"/>
  <c r="G12" i="47"/>
  <c r="J12" i="47"/>
  <c r="K12" i="47"/>
  <c r="G13" i="47"/>
  <c r="J13" i="47"/>
  <c r="K13" i="47"/>
  <c r="G14" i="47"/>
  <c r="J14" i="47"/>
  <c r="K14" i="47"/>
  <c r="G15" i="47"/>
  <c r="J15" i="47"/>
  <c r="K15" i="47"/>
  <c r="G16" i="47"/>
  <c r="J16" i="47"/>
  <c r="K16" i="47"/>
  <c r="G17" i="47"/>
  <c r="J17" i="47"/>
  <c r="K17" i="47"/>
  <c r="G18" i="47"/>
  <c r="J18" i="47"/>
  <c r="K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5" i="50"/>
  <c r="J5" i="50"/>
  <c r="K5" i="50"/>
  <c r="G6" i="50"/>
  <c r="J6" i="50"/>
  <c r="K6" i="50"/>
  <c r="G7" i="50"/>
  <c r="J7" i="50"/>
  <c r="K7" i="50"/>
  <c r="G8" i="50"/>
  <c r="J8" i="50"/>
  <c r="K8" i="50"/>
  <c r="G9" i="50"/>
  <c r="J9" i="50"/>
  <c r="K9" i="50"/>
  <c r="G10" i="50"/>
  <c r="J10" i="50"/>
  <c r="K10" i="50"/>
  <c r="G11" i="50"/>
  <c r="J11" i="50"/>
  <c r="K11" i="50"/>
  <c r="G12" i="50"/>
  <c r="J12" i="50"/>
  <c r="K12" i="50"/>
  <c r="G13" i="50"/>
  <c r="J13" i="50"/>
  <c r="K13" i="50"/>
  <c r="G14" i="50"/>
  <c r="J14" i="50"/>
  <c r="K14" i="50"/>
  <c r="G15" i="50"/>
  <c r="J15" i="50"/>
  <c r="K15" i="50"/>
  <c r="G16" i="50"/>
  <c r="J16" i="50"/>
  <c r="K16" i="50"/>
  <c r="G17" i="50"/>
  <c r="J17" i="50"/>
  <c r="K17" i="50"/>
  <c r="G18" i="50"/>
  <c r="J18" i="50"/>
  <c r="K18" i="50"/>
  <c r="G19" i="50"/>
  <c r="J19" i="50"/>
  <c r="K19" i="50"/>
  <c r="G20" i="50"/>
  <c r="J20" i="50"/>
  <c r="K20" i="50"/>
  <c r="G21" i="50"/>
  <c r="J21" i="50"/>
  <c r="K21" i="50"/>
  <c r="G22" i="50"/>
  <c r="J22" i="50"/>
  <c r="K22" i="50"/>
  <c r="G23" i="50"/>
  <c r="J23" i="50"/>
  <c r="K23" i="50"/>
  <c r="G24" i="50"/>
  <c r="J24" i="50"/>
  <c r="K24" i="50"/>
  <c r="G25" i="50"/>
  <c r="J25" i="50"/>
  <c r="K25" i="50"/>
  <c r="G26" i="50"/>
  <c r="J26" i="50"/>
  <c r="K26" i="50"/>
  <c r="G27" i="50"/>
  <c r="J27" i="50"/>
  <c r="K27" i="50"/>
  <c r="G28" i="50"/>
  <c r="J28" i="50"/>
  <c r="K28" i="50"/>
  <c r="G29" i="50"/>
  <c r="J29" i="50"/>
  <c r="K29" i="50"/>
  <c r="G30" i="50"/>
  <c r="J30" i="50"/>
  <c r="K30" i="50"/>
  <c r="G31" i="50"/>
  <c r="J31" i="50"/>
  <c r="K31" i="50"/>
  <c r="G32" i="50"/>
  <c r="J32" i="50"/>
  <c r="K32" i="50"/>
  <c r="G33" i="50"/>
  <c r="J33" i="50"/>
  <c r="K33" i="50"/>
  <c r="G34" i="50"/>
  <c r="J34" i="50"/>
  <c r="K34" i="50"/>
  <c r="G35" i="50"/>
  <c r="J35" i="50"/>
  <c r="K35" i="50"/>
  <c r="G36" i="50"/>
  <c r="J36" i="50"/>
  <c r="K36" i="50"/>
  <c r="H35" i="37"/>
  <c r="E43" i="35"/>
  <c r="H43" i="35"/>
  <c r="E35" i="11"/>
  <c r="Q34" i="54"/>
  <c r="E35" i="60"/>
  <c r="H40" i="41"/>
  <c r="J34" i="44"/>
  <c r="K34" i="44" s="1"/>
  <c r="I34" i="56"/>
  <c r="I21" i="56"/>
  <c r="H37" i="61"/>
  <c r="F21" i="56" s="1"/>
  <c r="E37" i="61"/>
  <c r="D21" i="56" s="1"/>
  <c r="L37" i="61"/>
  <c r="J21" i="56" s="1"/>
  <c r="J4" i="61"/>
  <c r="J37" i="61" s="1"/>
  <c r="G21" i="56" s="1"/>
  <c r="G4" i="61"/>
  <c r="H35" i="12"/>
  <c r="H46" i="26"/>
  <c r="E35" i="37"/>
  <c r="J37" i="44"/>
  <c r="Q21" i="34"/>
  <c r="E47" i="34"/>
  <c r="G5" i="1"/>
  <c r="G6" i="1"/>
  <c r="G7" i="1"/>
  <c r="I40" i="56"/>
  <c r="I38" i="56"/>
  <c r="H35" i="60"/>
  <c r="F34" i="56" s="1"/>
  <c r="D34" i="56"/>
  <c r="J4" i="60"/>
  <c r="J35" i="60" s="1"/>
  <c r="G34" i="56" s="1"/>
  <c r="G4" i="60"/>
  <c r="I4" i="56"/>
  <c r="I30" i="56"/>
  <c r="I32" i="56"/>
  <c r="I6" i="56"/>
  <c r="I5" i="56"/>
  <c r="I28" i="56"/>
  <c r="I39" i="56"/>
  <c r="I36" i="56"/>
  <c r="G4" i="52"/>
  <c r="K37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J4" i="47"/>
  <c r="L38" i="51"/>
  <c r="L39" i="51"/>
  <c r="L40" i="51"/>
  <c r="G4" i="20"/>
  <c r="L33" i="57"/>
  <c r="L34" i="57"/>
  <c r="J5" i="14"/>
  <c r="K5" i="14"/>
  <c r="J23" i="14"/>
  <c r="K23" i="14"/>
  <c r="J24" i="14"/>
  <c r="K24" i="14"/>
  <c r="L40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38" i="32"/>
  <c r="J39" i="32"/>
  <c r="H36" i="2"/>
  <c r="P11" i="33"/>
  <c r="I8" i="56"/>
  <c r="F8" i="56"/>
  <c r="E35" i="59"/>
  <c r="D8" i="56" s="1"/>
  <c r="J4" i="59"/>
  <c r="J35" i="59" s="1"/>
  <c r="G8" i="56" s="1"/>
  <c r="G4" i="59"/>
  <c r="J17" i="23"/>
  <c r="J34" i="47"/>
  <c r="L40" i="41"/>
  <c r="I41" i="56"/>
  <c r="I37" i="56"/>
  <c r="I33" i="56"/>
  <c r="I31" i="56"/>
  <c r="I27" i="56"/>
  <c r="I26" i="56"/>
  <c r="I22" i="56"/>
  <c r="L36" i="23"/>
  <c r="H36" i="23"/>
  <c r="E36" i="23"/>
  <c r="I17" i="56"/>
  <c r="I16" i="56"/>
  <c r="I15" i="56"/>
  <c r="I14" i="56"/>
  <c r="I13" i="56"/>
  <c r="E40" i="32"/>
  <c r="D6" i="56" s="1"/>
  <c r="G35" i="18"/>
  <c r="M3" i="45"/>
  <c r="M4" i="45"/>
  <c r="M5" i="45" s="1"/>
  <c r="M6" i="45" s="1"/>
  <c r="M7" i="45" s="1"/>
  <c r="M8" i="45" s="1"/>
  <c r="M9" i="45" s="1"/>
  <c r="M10" i="45" s="1"/>
  <c r="G7" i="23"/>
  <c r="J7" i="23"/>
  <c r="K7" i="23"/>
  <c r="J5" i="44"/>
  <c r="K5" i="44"/>
  <c r="J6" i="44"/>
  <c r="K6" i="44"/>
  <c r="J7" i="44"/>
  <c r="K7" i="44"/>
  <c r="J8" i="44"/>
  <c r="K8" i="44"/>
  <c r="J9" i="44"/>
  <c r="K9" i="44"/>
  <c r="J10" i="44"/>
  <c r="K10" i="44"/>
  <c r="J11" i="44"/>
  <c r="K11" i="44"/>
  <c r="J12" i="44"/>
  <c r="K12" i="44"/>
  <c r="J13" i="44"/>
  <c r="K13" i="44"/>
  <c r="J14" i="44"/>
  <c r="K14" i="44"/>
  <c r="J15" i="44"/>
  <c r="K15" i="44"/>
  <c r="J16" i="44"/>
  <c r="K16" i="44"/>
  <c r="J17" i="44"/>
  <c r="K17" i="44"/>
  <c r="J18" i="44"/>
  <c r="K18" i="44"/>
  <c r="J19" i="44"/>
  <c r="K19" i="44"/>
  <c r="J20" i="44"/>
  <c r="K20" i="44"/>
  <c r="J21" i="44"/>
  <c r="K21" i="44"/>
  <c r="J22" i="44"/>
  <c r="K22" i="44" s="1"/>
  <c r="J23" i="44"/>
  <c r="K23" i="44"/>
  <c r="J24" i="44"/>
  <c r="K24" i="44"/>
  <c r="J25" i="44"/>
  <c r="J26" i="44"/>
  <c r="K26" i="44"/>
  <c r="J27" i="44"/>
  <c r="J28" i="44"/>
  <c r="K28" i="44"/>
  <c r="J29" i="44"/>
  <c r="K29" i="44"/>
  <c r="J30" i="44"/>
  <c r="K30" i="44"/>
  <c r="J31" i="44"/>
  <c r="K31" i="44"/>
  <c r="J32" i="44"/>
  <c r="K32" i="44"/>
  <c r="J33" i="44"/>
  <c r="K33" i="44"/>
  <c r="J35" i="44"/>
  <c r="K35" i="44"/>
  <c r="J36" i="44"/>
  <c r="K36" i="44"/>
  <c r="J38" i="44"/>
  <c r="K38" i="44"/>
  <c r="J39" i="44"/>
  <c r="K39" i="44"/>
  <c r="J40" i="44"/>
  <c r="K40" i="44"/>
  <c r="J41" i="44"/>
  <c r="K41" i="44"/>
  <c r="J42" i="44"/>
  <c r="K42" i="44"/>
  <c r="J43" i="44"/>
  <c r="K43" i="44"/>
  <c r="J44" i="44"/>
  <c r="K44" i="44"/>
  <c r="J45" i="44"/>
  <c r="K45" i="44"/>
  <c r="J46" i="44"/>
  <c r="K46" i="44"/>
  <c r="J47" i="44"/>
  <c r="K47" i="44"/>
  <c r="J48" i="44"/>
  <c r="K48" i="44"/>
  <c r="J49" i="44"/>
  <c r="K49" i="44"/>
  <c r="J50" i="44"/>
  <c r="K50" i="44"/>
  <c r="J51" i="44"/>
  <c r="K51" i="44"/>
  <c r="J52" i="44"/>
  <c r="K52" i="44"/>
  <c r="J53" i="44"/>
  <c r="K53" i="44"/>
  <c r="J54" i="44"/>
  <c r="K54" i="44"/>
  <c r="J55" i="44"/>
  <c r="K55" i="44"/>
  <c r="J56" i="44"/>
  <c r="K56" i="44"/>
  <c r="J57" i="44"/>
  <c r="K57" i="44"/>
  <c r="G4" i="35"/>
  <c r="G4" i="9"/>
  <c r="G4" i="1"/>
  <c r="G33" i="58"/>
  <c r="J33" i="58"/>
  <c r="G34" i="19"/>
  <c r="J34" i="19"/>
  <c r="K34" i="19"/>
  <c r="L34" i="19"/>
  <c r="G36" i="35"/>
  <c r="J36" i="35"/>
  <c r="K36" i="35"/>
  <c r="L36" i="35"/>
  <c r="G37" i="35"/>
  <c r="J37" i="35"/>
  <c r="K37" i="35"/>
  <c r="L37" i="35"/>
  <c r="G38" i="35"/>
  <c r="J38" i="35"/>
  <c r="K38" i="35"/>
  <c r="L38" i="35"/>
  <c r="G35" i="26"/>
  <c r="J35" i="26"/>
  <c r="K35" i="26"/>
  <c r="G36" i="26"/>
  <c r="J36" i="26"/>
  <c r="K36" i="26"/>
  <c r="G37" i="26"/>
  <c r="J37" i="26"/>
  <c r="K37" i="26"/>
  <c r="G38" i="26"/>
  <c r="J38" i="26"/>
  <c r="K38" i="26"/>
  <c r="G33" i="57"/>
  <c r="J33" i="57"/>
  <c r="K33" i="57"/>
  <c r="G34" i="57"/>
  <c r="J34" i="57"/>
  <c r="K34" i="57"/>
  <c r="G39" i="41"/>
  <c r="J39" i="41"/>
  <c r="K39" i="41"/>
  <c r="G4" i="41"/>
  <c r="Q13" i="37"/>
  <c r="G4" i="37"/>
  <c r="G34" i="15"/>
  <c r="J34" i="15"/>
  <c r="K34" i="15"/>
  <c r="G5" i="14"/>
  <c r="G23" i="14"/>
  <c r="G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29" i="14"/>
  <c r="J29" i="14"/>
  <c r="K29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35" i="14"/>
  <c r="J35" i="14"/>
  <c r="K35" i="14"/>
  <c r="G5" i="23"/>
  <c r="J5" i="23"/>
  <c r="K5" i="23"/>
  <c r="G6" i="23"/>
  <c r="J6" i="23"/>
  <c r="K6" i="23"/>
  <c r="G8" i="23"/>
  <c r="J8" i="23"/>
  <c r="K8" i="23"/>
  <c r="G9" i="23"/>
  <c r="J9" i="23"/>
  <c r="K9" i="23"/>
  <c r="G10" i="23"/>
  <c r="J10" i="23"/>
  <c r="K10" i="23"/>
  <c r="G11" i="23"/>
  <c r="J11" i="23"/>
  <c r="K11" i="23"/>
  <c r="G12" i="23"/>
  <c r="J12" i="23"/>
  <c r="K12" i="23"/>
  <c r="G13" i="23"/>
  <c r="J13" i="23"/>
  <c r="K13" i="23"/>
  <c r="G14" i="23"/>
  <c r="J14" i="23"/>
  <c r="K14" i="23"/>
  <c r="G15" i="23"/>
  <c r="J15" i="23"/>
  <c r="K15" i="23"/>
  <c r="G16" i="23"/>
  <c r="J16" i="23"/>
  <c r="K16" i="23"/>
  <c r="G17" i="23"/>
  <c r="K17" i="23" s="1"/>
  <c r="G18" i="23"/>
  <c r="J18" i="23"/>
  <c r="K18" i="23"/>
  <c r="G19" i="23"/>
  <c r="J19" i="23"/>
  <c r="K19" i="23"/>
  <c r="G20" i="23"/>
  <c r="J20" i="23"/>
  <c r="K20" i="23"/>
  <c r="G21" i="23"/>
  <c r="J21" i="23"/>
  <c r="K21" i="23"/>
  <c r="G22" i="23"/>
  <c r="J22" i="23"/>
  <c r="K22" i="23"/>
  <c r="G25" i="23"/>
  <c r="J25" i="23"/>
  <c r="K25" i="23"/>
  <c r="G26" i="23"/>
  <c r="J26" i="23"/>
  <c r="K26" i="23"/>
  <c r="G27" i="23"/>
  <c r="J27" i="23"/>
  <c r="K27" i="23"/>
  <c r="G28" i="23"/>
  <c r="J28" i="23"/>
  <c r="K28" i="23"/>
  <c r="G29" i="23"/>
  <c r="J29" i="23"/>
  <c r="K29" i="23"/>
  <c r="G30" i="23"/>
  <c r="J30" i="23"/>
  <c r="K30" i="23"/>
  <c r="G31" i="23"/>
  <c r="J31" i="23"/>
  <c r="K31" i="23"/>
  <c r="G32" i="23"/>
  <c r="J32" i="23"/>
  <c r="K32" i="23"/>
  <c r="G33" i="23"/>
  <c r="J33" i="23"/>
  <c r="K33" i="23"/>
  <c r="G34" i="23"/>
  <c r="J34" i="23"/>
  <c r="K34" i="23"/>
  <c r="G35" i="23"/>
  <c r="J35" i="23"/>
  <c r="K35" i="23"/>
  <c r="L5" i="24"/>
  <c r="L6" i="24"/>
  <c r="M6" i="24" s="1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M3" i="16"/>
  <c r="M3" i="3"/>
  <c r="G5" i="7"/>
  <c r="J5" i="7"/>
  <c r="G6" i="7"/>
  <c r="J6" i="7"/>
  <c r="G7" i="7"/>
  <c r="J7" i="7"/>
  <c r="G8" i="7"/>
  <c r="J8" i="7"/>
  <c r="G9" i="7"/>
  <c r="J9" i="7"/>
  <c r="G10" i="7"/>
  <c r="J10" i="7"/>
  <c r="G11" i="7"/>
  <c r="J11" i="7"/>
  <c r="G12" i="7"/>
  <c r="J12" i="7"/>
  <c r="G13" i="7"/>
  <c r="J13" i="7"/>
  <c r="G14" i="7"/>
  <c r="J14" i="7"/>
  <c r="G15" i="7"/>
  <c r="J15" i="7"/>
  <c r="G16" i="7"/>
  <c r="J16" i="7"/>
  <c r="G17" i="7"/>
  <c r="J17" i="7"/>
  <c r="G18" i="7"/>
  <c r="J18" i="7"/>
  <c r="G19" i="7"/>
  <c r="J19" i="7"/>
  <c r="G20" i="7"/>
  <c r="J20" i="7"/>
  <c r="G21" i="7"/>
  <c r="J21" i="7"/>
  <c r="G22" i="7"/>
  <c r="J22" i="7"/>
  <c r="G33" i="7"/>
  <c r="J33" i="7"/>
  <c r="J5" i="1"/>
  <c r="K5" i="1"/>
  <c r="J6" i="1"/>
  <c r="K6" i="1"/>
  <c r="J7" i="1"/>
  <c r="K7" i="1"/>
  <c r="G35" i="2"/>
  <c r="J35" i="2"/>
  <c r="K35" i="2"/>
  <c r="G20" i="32"/>
  <c r="K20" i="32"/>
  <c r="G21" i="32"/>
  <c r="K21" i="32"/>
  <c r="G22" i="32"/>
  <c r="K22" i="32"/>
  <c r="G23" i="32"/>
  <c r="K23" i="32"/>
  <c r="G24" i="32"/>
  <c r="K24" i="32"/>
  <c r="G25" i="32"/>
  <c r="K25" i="32"/>
  <c r="G26" i="32"/>
  <c r="K26" i="32"/>
  <c r="G27" i="32"/>
  <c r="K27" i="32"/>
  <c r="G28" i="32"/>
  <c r="K28" i="32"/>
  <c r="G29" i="32"/>
  <c r="K29" i="32"/>
  <c r="G30" i="32"/>
  <c r="K30" i="32"/>
  <c r="G31" i="32"/>
  <c r="K31" i="32"/>
  <c r="G32" i="32"/>
  <c r="K32" i="32"/>
  <c r="G33" i="32"/>
  <c r="K33" i="32"/>
  <c r="G34" i="32"/>
  <c r="K34" i="32"/>
  <c r="G35" i="32"/>
  <c r="K35" i="32"/>
  <c r="G36" i="32"/>
  <c r="K36" i="32"/>
  <c r="G37" i="32"/>
  <c r="K37" i="32"/>
  <c r="G38" i="32"/>
  <c r="K38" i="32"/>
  <c r="G39" i="32"/>
  <c r="K39" i="32"/>
  <c r="J35" i="18"/>
  <c r="K35" i="18"/>
  <c r="G34" i="47"/>
  <c r="K34" i="47"/>
  <c r="G4" i="50"/>
  <c r="J4" i="50"/>
  <c r="K4" i="50"/>
  <c r="H35" i="9"/>
  <c r="K33" i="58"/>
  <c r="L33" i="58"/>
  <c r="G34" i="58"/>
  <c r="J34" i="58"/>
  <c r="K34" i="58"/>
  <c r="L34" i="58"/>
  <c r="J4" i="58"/>
  <c r="G4" i="58"/>
  <c r="H35" i="58"/>
  <c r="F7" i="56" s="1"/>
  <c r="E35" i="58"/>
  <c r="D7" i="56" s="1"/>
  <c r="J35" i="58"/>
  <c r="G7" i="56" s="1"/>
  <c r="H35" i="36"/>
  <c r="E35" i="36"/>
  <c r="D29" i="56"/>
  <c r="H35" i="19"/>
  <c r="E35" i="19"/>
  <c r="H43" i="51"/>
  <c r="E43" i="51"/>
  <c r="F42" i="56"/>
  <c r="D42" i="56"/>
  <c r="F41" i="56"/>
  <c r="D41" i="56"/>
  <c r="D40" i="56"/>
  <c r="D39" i="56"/>
  <c r="E44" i="33"/>
  <c r="D38" i="56" s="1"/>
  <c r="F37" i="56"/>
  <c r="E35" i="9"/>
  <c r="D37" i="56" s="1"/>
  <c r="F36" i="56"/>
  <c r="E46" i="26"/>
  <c r="D36" i="56" s="1"/>
  <c r="H35" i="57"/>
  <c r="F35" i="56" s="1"/>
  <c r="E35" i="57"/>
  <c r="D35" i="56" s="1"/>
  <c r="J4" i="57"/>
  <c r="J35" i="57" s="1"/>
  <c r="G35" i="56" s="1"/>
  <c r="G4" i="57"/>
  <c r="J33" i="56"/>
  <c r="F33" i="56"/>
  <c r="E40" i="41"/>
  <c r="D33" i="56" s="1"/>
  <c r="E35" i="12"/>
  <c r="L35" i="12"/>
  <c r="J31" i="56"/>
  <c r="F31" i="56"/>
  <c r="D31" i="56"/>
  <c r="H44" i="22"/>
  <c r="F26" i="56"/>
  <c r="D26" i="56"/>
  <c r="E35" i="20"/>
  <c r="D18" i="56" s="1"/>
  <c r="I11" i="56"/>
  <c r="H47" i="34"/>
  <c r="F39" i="56" s="1"/>
  <c r="D30" i="56"/>
  <c r="D28" i="56"/>
  <c r="E36" i="14"/>
  <c r="D27" i="56" s="1"/>
  <c r="E35" i="25"/>
  <c r="D25" i="56" s="1"/>
  <c r="E35" i="40"/>
  <c r="D24" i="56" s="1"/>
  <c r="D23" i="56"/>
  <c r="L35" i="10"/>
  <c r="J22" i="56" s="1"/>
  <c r="E35" i="10"/>
  <c r="D22" i="56" s="1"/>
  <c r="E35" i="24"/>
  <c r="D20" i="56" s="1"/>
  <c r="E35" i="3"/>
  <c r="D17" i="56" s="1"/>
  <c r="E35" i="7"/>
  <c r="D16" i="56" s="1"/>
  <c r="E36" i="16"/>
  <c r="D15" i="56" s="1"/>
  <c r="L36" i="16"/>
  <c r="E35" i="52"/>
  <c r="D14" i="56" s="1"/>
  <c r="E35" i="1"/>
  <c r="D13" i="56" s="1"/>
  <c r="E36" i="2"/>
  <c r="D11" i="56" s="1"/>
  <c r="E35" i="54"/>
  <c r="D5" i="56" s="1"/>
  <c r="L35" i="9"/>
  <c r="J37" i="56" s="1"/>
  <c r="L35" i="8"/>
  <c r="J32" i="56" s="1"/>
  <c r="F30" i="56"/>
  <c r="F29" i="56"/>
  <c r="L35" i="11"/>
  <c r="J23" i="56" s="1"/>
  <c r="H35" i="11"/>
  <c r="F23" i="56" s="1"/>
  <c r="H35" i="10"/>
  <c r="F22" i="56" s="1"/>
  <c r="H35" i="3"/>
  <c r="F17" i="56" s="1"/>
  <c r="L35" i="3"/>
  <c r="J17" i="56" s="1"/>
  <c r="H35" i="7"/>
  <c r="F16" i="56" s="1"/>
  <c r="L36" i="2"/>
  <c r="J11" i="56" s="1"/>
  <c r="H40" i="32"/>
  <c r="F6" i="56" s="1"/>
  <c r="H36" i="18"/>
  <c r="F4" i="56" s="1"/>
  <c r="E36" i="18"/>
  <c r="D4" i="56" s="1"/>
  <c r="I3" i="56"/>
  <c r="I2" i="56"/>
  <c r="L38" i="50"/>
  <c r="J2" i="56" s="1"/>
  <c r="H38" i="50"/>
  <c r="F2" i="56" s="1"/>
  <c r="D2" i="56"/>
  <c r="F40" i="56"/>
  <c r="L35" i="15"/>
  <c r="J28" i="56" s="1"/>
  <c r="H35" i="15"/>
  <c r="F28" i="56" s="1"/>
  <c r="L36" i="14"/>
  <c r="J27" i="56" s="1"/>
  <c r="H36" i="14"/>
  <c r="F27" i="56" s="1"/>
  <c r="H35" i="25"/>
  <c r="F25" i="56" s="1"/>
  <c r="J35" i="40"/>
  <c r="G24" i="56" s="1"/>
  <c r="H35" i="40"/>
  <c r="F24" i="56" s="1"/>
  <c r="H35" i="24"/>
  <c r="F20" i="56" s="1"/>
  <c r="H35" i="20"/>
  <c r="F18" i="56" s="1"/>
  <c r="K37" i="16"/>
  <c r="L35" i="52"/>
  <c r="J14" i="56" s="1"/>
  <c r="H35" i="52"/>
  <c r="F14" i="56" s="1"/>
  <c r="H35" i="1"/>
  <c r="F13" i="56" s="1"/>
  <c r="G35" i="1"/>
  <c r="E13" i="56" s="1"/>
  <c r="L35" i="1"/>
  <c r="J13" i="56" s="1"/>
  <c r="F11" i="56"/>
  <c r="E35" i="47"/>
  <c r="D3" i="56" s="1"/>
  <c r="L35" i="47"/>
  <c r="J3" i="56" s="1"/>
  <c r="H35" i="47"/>
  <c r="F3" i="56" s="1"/>
  <c r="L35" i="54"/>
  <c r="J5" i="56" s="1"/>
  <c r="H35" i="54"/>
  <c r="J4" i="54"/>
  <c r="J35" i="54" s="1"/>
  <c r="G4" i="54"/>
  <c r="M3" i="54"/>
  <c r="G4" i="15"/>
  <c r="G35" i="15" s="1"/>
  <c r="E28" i="56" s="1"/>
  <c r="J4" i="44"/>
  <c r="G4" i="44"/>
  <c r="K4" i="44" s="1"/>
  <c r="G4" i="32"/>
  <c r="G40" i="32" s="1"/>
  <c r="E6" i="56" s="1"/>
  <c r="J58" i="44"/>
  <c r="K58" i="44"/>
  <c r="J59" i="44"/>
  <c r="K59" i="44"/>
  <c r="J60" i="44"/>
  <c r="K60" i="44"/>
  <c r="J61" i="44"/>
  <c r="K61" i="44"/>
  <c r="J62" i="44"/>
  <c r="K62" i="44"/>
  <c r="J63" i="44"/>
  <c r="K63" i="44"/>
  <c r="J64" i="44"/>
  <c r="K64" i="44"/>
  <c r="J65" i="44"/>
  <c r="K65" i="44"/>
  <c r="J66" i="44"/>
  <c r="K66" i="44"/>
  <c r="J67" i="44"/>
  <c r="K67" i="44"/>
  <c r="J68" i="44"/>
  <c r="K68" i="44"/>
  <c r="J69" i="44"/>
  <c r="K69" i="44"/>
  <c r="J70" i="44"/>
  <c r="K70" i="44"/>
  <c r="J71" i="44"/>
  <c r="K71" i="44"/>
  <c r="J72" i="44"/>
  <c r="K72" i="44"/>
  <c r="J73" i="44"/>
  <c r="K73" i="44"/>
  <c r="G74" i="44"/>
  <c r="J74" i="44"/>
  <c r="K74" i="44"/>
  <c r="G75" i="44"/>
  <c r="J75" i="44"/>
  <c r="K75" i="44"/>
  <c r="G76" i="44"/>
  <c r="J76" i="44"/>
  <c r="K76" i="44"/>
  <c r="G77" i="44"/>
  <c r="J77" i="44"/>
  <c r="K77" i="44"/>
  <c r="G78" i="44"/>
  <c r="J78" i="44"/>
  <c r="K78" i="44"/>
  <c r="G79" i="44"/>
  <c r="J79" i="44"/>
  <c r="K79" i="44"/>
  <c r="G80" i="44"/>
  <c r="J80" i="44"/>
  <c r="K80" i="44"/>
  <c r="G38" i="51"/>
  <c r="J38" i="51"/>
  <c r="K38" i="51"/>
  <c r="G39" i="51"/>
  <c r="J39" i="51"/>
  <c r="K39" i="51"/>
  <c r="G40" i="51"/>
  <c r="J40" i="51"/>
  <c r="K40" i="51"/>
  <c r="G4" i="51"/>
  <c r="G39" i="35"/>
  <c r="J39" i="35"/>
  <c r="K39" i="35"/>
  <c r="G40" i="35"/>
  <c r="J40" i="35"/>
  <c r="K40" i="35"/>
  <c r="G41" i="35"/>
  <c r="J41" i="35"/>
  <c r="K41" i="35"/>
  <c r="G20" i="8"/>
  <c r="J20" i="8"/>
  <c r="K20" i="8"/>
  <c r="G21" i="8"/>
  <c r="J21" i="8"/>
  <c r="K21" i="8"/>
  <c r="G22" i="8"/>
  <c r="J22" i="8"/>
  <c r="K22" i="8"/>
  <c r="G23" i="8"/>
  <c r="J23" i="8"/>
  <c r="K23" i="8"/>
  <c r="G24" i="8"/>
  <c r="J24" i="8"/>
  <c r="K24" i="8"/>
  <c r="G25" i="8"/>
  <c r="J25" i="8"/>
  <c r="K25" i="8"/>
  <c r="G26" i="8"/>
  <c r="J26" i="8"/>
  <c r="K26" i="8"/>
  <c r="G27" i="8"/>
  <c r="J27" i="8"/>
  <c r="K27" i="8"/>
  <c r="G28" i="8"/>
  <c r="J28" i="8"/>
  <c r="K28" i="8"/>
  <c r="G29" i="8"/>
  <c r="J29" i="8"/>
  <c r="K29" i="8"/>
  <c r="G30" i="8"/>
  <c r="J30" i="8"/>
  <c r="K30" i="8"/>
  <c r="G31" i="8"/>
  <c r="J31" i="8"/>
  <c r="K31" i="8"/>
  <c r="G32" i="8"/>
  <c r="J32" i="8"/>
  <c r="K32" i="8"/>
  <c r="G33" i="8"/>
  <c r="J33" i="8"/>
  <c r="K33" i="8"/>
  <c r="G4" i="22"/>
  <c r="G34" i="40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33" i="7"/>
  <c r="M3" i="52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39" i="26"/>
  <c r="J40" i="26"/>
  <c r="J41" i="26"/>
  <c r="J42" i="26"/>
  <c r="J43" i="26"/>
  <c r="J44" i="26"/>
  <c r="J45" i="26"/>
  <c r="J4" i="41"/>
  <c r="J42" i="51"/>
  <c r="G42" i="51"/>
  <c r="K42" i="51" s="1"/>
  <c r="L42" i="51" s="1"/>
  <c r="J41" i="51"/>
  <c r="G41" i="51"/>
  <c r="K41" i="51" s="1"/>
  <c r="L41" i="51" s="1"/>
  <c r="J4" i="51"/>
  <c r="L39" i="35"/>
  <c r="L40" i="35"/>
  <c r="L41" i="35"/>
  <c r="G39" i="34"/>
  <c r="J39" i="34"/>
  <c r="K39" i="34"/>
  <c r="G40" i="34"/>
  <c r="J40" i="34"/>
  <c r="K40" i="34"/>
  <c r="L40" i="34"/>
  <c r="G41" i="34"/>
  <c r="J41" i="34"/>
  <c r="K41" i="34"/>
  <c r="L41" i="34"/>
  <c r="G42" i="34"/>
  <c r="J42" i="34"/>
  <c r="K42" i="34"/>
  <c r="L42" i="34"/>
  <c r="G43" i="34"/>
  <c r="J43" i="34"/>
  <c r="K43" i="34"/>
  <c r="L43" i="34"/>
  <c r="G4" i="34"/>
  <c r="G39" i="26"/>
  <c r="K39" i="26"/>
  <c r="G40" i="26"/>
  <c r="K40" i="26"/>
  <c r="G41" i="26"/>
  <c r="K41" i="26"/>
  <c r="L41" i="26"/>
  <c r="G42" i="26"/>
  <c r="K42" i="26"/>
  <c r="L42" i="26"/>
  <c r="G43" i="26"/>
  <c r="K43" i="26"/>
  <c r="L43" i="26"/>
  <c r="G44" i="26"/>
  <c r="K44" i="26"/>
  <c r="L44" i="26"/>
  <c r="G45" i="26"/>
  <c r="K45" i="26"/>
  <c r="L45" i="26"/>
  <c r="M5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G34" i="7"/>
  <c r="J34" i="7"/>
  <c r="K34" i="7"/>
  <c r="G4" i="47"/>
  <c r="M3" i="50"/>
  <c r="L35" i="36"/>
  <c r="J29" i="56" s="1"/>
  <c r="X16" i="1"/>
  <c r="V21" i="16"/>
  <c r="V20" i="16"/>
  <c r="M3" i="47"/>
  <c r="G4" i="40"/>
  <c r="M5" i="44"/>
  <c r="M6" i="44" s="1"/>
  <c r="M7" i="44" s="1"/>
  <c r="J4" i="25"/>
  <c r="G4" i="25"/>
  <c r="J4" i="24"/>
  <c r="J35" i="24" s="1"/>
  <c r="G20" i="56" s="1"/>
  <c r="G34" i="8"/>
  <c r="J34" i="8"/>
  <c r="K34" i="8"/>
  <c r="G4" i="12"/>
  <c r="G35" i="12" s="1"/>
  <c r="E31" i="56" s="1"/>
  <c r="H36" i="16"/>
  <c r="F15" i="56" s="1"/>
  <c r="J4" i="32"/>
  <c r="J40" i="32" s="1"/>
  <c r="G6" i="56" s="1"/>
  <c r="M3" i="32"/>
  <c r="L36" i="18"/>
  <c r="J4" i="56" s="1"/>
  <c r="M3" i="40"/>
  <c r="I38" i="37"/>
  <c r="J4" i="37"/>
  <c r="I38" i="36"/>
  <c r="J4" i="36"/>
  <c r="J35" i="36" s="1"/>
  <c r="G4" i="36"/>
  <c r="G35" i="36" s="1"/>
  <c r="E29" i="56" s="1"/>
  <c r="M3" i="36"/>
  <c r="J42" i="35"/>
  <c r="G42" i="35"/>
  <c r="K42" i="35" s="1"/>
  <c r="L42" i="35" s="1"/>
  <c r="J4" i="35"/>
  <c r="J46" i="34"/>
  <c r="G46" i="34"/>
  <c r="K46" i="34" s="1"/>
  <c r="L46" i="34" s="1"/>
  <c r="J45" i="34"/>
  <c r="G45" i="34"/>
  <c r="K45" i="34" s="1"/>
  <c r="L45" i="34" s="1"/>
  <c r="J44" i="34"/>
  <c r="G44" i="34"/>
  <c r="K44" i="34" s="1"/>
  <c r="L44" i="34" s="1"/>
  <c r="J4" i="34"/>
  <c r="H44" i="33"/>
  <c r="F38" i="56" s="1"/>
  <c r="J4" i="33"/>
  <c r="J44" i="33" s="1"/>
  <c r="G38" i="56" s="1"/>
  <c r="G4" i="33"/>
  <c r="P12" i="24"/>
  <c r="J4" i="10"/>
  <c r="M3" i="9"/>
  <c r="M3" i="14"/>
  <c r="J4" i="22"/>
  <c r="J44" i="22" s="1"/>
  <c r="G26" i="56" s="1"/>
  <c r="L35" i="7"/>
  <c r="J16" i="56" s="1"/>
  <c r="M3" i="1"/>
  <c r="J4" i="18"/>
  <c r="E35" i="8"/>
  <c r="D32" i="56" s="1"/>
  <c r="H35" i="8"/>
  <c r="F32" i="56" s="1"/>
  <c r="I38" i="15"/>
  <c r="M3" i="24"/>
  <c r="J4" i="26"/>
  <c r="G4" i="26"/>
  <c r="J4" i="9"/>
  <c r="J4" i="15"/>
  <c r="M3" i="20"/>
  <c r="M3" i="22"/>
  <c r="M3" i="25"/>
  <c r="G4" i="7"/>
  <c r="M3" i="2"/>
  <c r="G4" i="24"/>
  <c r="G4" i="23"/>
  <c r="J4" i="23"/>
  <c r="J4" i="20"/>
  <c r="G4" i="19"/>
  <c r="G35" i="19" s="1"/>
  <c r="E42" i="56" s="1"/>
  <c r="J4" i="19"/>
  <c r="K4" i="19"/>
  <c r="J4" i="16"/>
  <c r="G4" i="16"/>
  <c r="J4" i="14"/>
  <c r="G4" i="14"/>
  <c r="K4" i="14"/>
  <c r="J4" i="7"/>
  <c r="J35" i="7" s="1"/>
  <c r="G16" i="56" s="1"/>
  <c r="J4" i="12"/>
  <c r="G4" i="11"/>
  <c r="J4" i="11"/>
  <c r="J35" i="11" s="1"/>
  <c r="G23" i="56" s="1"/>
  <c r="K4" i="11"/>
  <c r="G4" i="10"/>
  <c r="J4" i="3"/>
  <c r="J35" i="3" s="1"/>
  <c r="G17" i="56" s="1"/>
  <c r="G4" i="3"/>
  <c r="G35" i="3" s="1"/>
  <c r="E17" i="56" s="1"/>
  <c r="J4" i="8"/>
  <c r="J35" i="8" s="1"/>
  <c r="G32" i="56" s="1"/>
  <c r="G4" i="8"/>
  <c r="G35" i="8" s="1"/>
  <c r="E32" i="56" s="1"/>
  <c r="H32" i="56" s="1"/>
  <c r="J4" i="2"/>
  <c r="J36" i="2" s="1"/>
  <c r="G11" i="56" s="1"/>
  <c r="G4" i="2"/>
  <c r="G36" i="2" s="1"/>
  <c r="E11" i="56" s="1"/>
  <c r="H11" i="56" s="1"/>
  <c r="J4" i="1"/>
  <c r="J35" i="1" s="1"/>
  <c r="G13" i="56" s="1"/>
  <c r="K4" i="1"/>
  <c r="K35" i="1" s="1"/>
  <c r="M8" i="18" l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H17" i="56"/>
  <c r="K17" i="56" s="1"/>
  <c r="G35" i="65"/>
  <c r="E10" i="56" s="1"/>
  <c r="H10" i="56" s="1"/>
  <c r="K10" i="56" s="1"/>
  <c r="K4" i="65"/>
  <c r="G35" i="64"/>
  <c r="E9" i="56" s="1"/>
  <c r="H9" i="56" s="1"/>
  <c r="K9" i="56" s="1"/>
  <c r="K4" i="64"/>
  <c r="J36" i="16"/>
  <c r="G15" i="56" s="1"/>
  <c r="M16" i="22"/>
  <c r="L46" i="26"/>
  <c r="M8" i="59"/>
  <c r="M9" i="59" s="1"/>
  <c r="M10" i="59" s="1"/>
  <c r="M11" i="59" s="1"/>
  <c r="M12" i="59" s="1"/>
  <c r="M13" i="59" s="1"/>
  <c r="M14" i="59" s="1"/>
  <c r="M15" i="59" s="1"/>
  <c r="M16" i="59" s="1"/>
  <c r="M17" i="59" s="1"/>
  <c r="M18" i="59" s="1"/>
  <c r="M19" i="59" s="1"/>
  <c r="M20" i="59" s="1"/>
  <c r="M21" i="59" s="1"/>
  <c r="M22" i="59" s="1"/>
  <c r="M23" i="59" s="1"/>
  <c r="G35" i="63"/>
  <c r="E19" i="56" s="1"/>
  <c r="H19" i="56" s="1"/>
  <c r="K4" i="63"/>
  <c r="M7" i="1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G36" i="62"/>
  <c r="E12" i="56" s="1"/>
  <c r="H12" i="56" s="1"/>
  <c r="K12" i="56" s="1"/>
  <c r="K4" i="62"/>
  <c r="I43" i="56"/>
  <c r="G37" i="61"/>
  <c r="E21" i="56" s="1"/>
  <c r="H21" i="56" s="1"/>
  <c r="K21" i="56" s="1"/>
  <c r="K4" i="61"/>
  <c r="G35" i="60"/>
  <c r="E34" i="56" s="1"/>
  <c r="H34" i="56" s="1"/>
  <c r="K4" i="60"/>
  <c r="J43" i="51"/>
  <c r="G41" i="56" s="1"/>
  <c r="G47" i="34"/>
  <c r="E39" i="56" s="1"/>
  <c r="J15" i="56"/>
  <c r="G35" i="59"/>
  <c r="E8" i="56" s="1"/>
  <c r="H8" i="56" s="1"/>
  <c r="K4" i="59"/>
  <c r="H6" i="56"/>
  <c r="J36" i="23"/>
  <c r="G36" i="23"/>
  <c r="G36" i="18"/>
  <c r="K32" i="56"/>
  <c r="K4" i="12"/>
  <c r="K35" i="12" s="1"/>
  <c r="J35" i="12"/>
  <c r="G31" i="56" s="1"/>
  <c r="H31" i="56"/>
  <c r="K31" i="56" s="1"/>
  <c r="H13" i="56"/>
  <c r="K13" i="56" s="1"/>
  <c r="J47" i="34"/>
  <c r="G39" i="56" s="1"/>
  <c r="H39" i="56" s="1"/>
  <c r="G44" i="33"/>
  <c r="E38" i="56" s="1"/>
  <c r="H38" i="56" s="1"/>
  <c r="J35" i="9"/>
  <c r="G37" i="56" s="1"/>
  <c r="J46" i="26"/>
  <c r="G36" i="56" s="1"/>
  <c r="G44" i="22"/>
  <c r="E26" i="56" s="1"/>
  <c r="H26" i="56" s="1"/>
  <c r="K4" i="40"/>
  <c r="L4" i="40" s="1"/>
  <c r="G35" i="40"/>
  <c r="E24" i="56" s="1"/>
  <c r="H24" i="56" s="1"/>
  <c r="L35" i="40"/>
  <c r="J24" i="56" s="1"/>
  <c r="K35" i="40"/>
  <c r="J35" i="52"/>
  <c r="G14" i="56" s="1"/>
  <c r="K35" i="52"/>
  <c r="H14" i="56" s="1"/>
  <c r="K14" i="56" s="1"/>
  <c r="G35" i="52"/>
  <c r="K11" i="56"/>
  <c r="J40" i="41"/>
  <c r="G33" i="56" s="1"/>
  <c r="J35" i="15"/>
  <c r="G28" i="56" s="1"/>
  <c r="G35" i="11"/>
  <c r="E23" i="56" s="1"/>
  <c r="G43" i="35"/>
  <c r="E40" i="56" s="1"/>
  <c r="G43" i="51"/>
  <c r="E41" i="56" s="1"/>
  <c r="H41" i="56" s="1"/>
  <c r="J36" i="56"/>
  <c r="G46" i="26"/>
  <c r="E36" i="56" s="1"/>
  <c r="E4" i="56"/>
  <c r="J35" i="19"/>
  <c r="G42" i="56" s="1"/>
  <c r="H42" i="56" s="1"/>
  <c r="H36" i="56"/>
  <c r="J43" i="35"/>
  <c r="G40" i="56" s="1"/>
  <c r="H40" i="56" s="1"/>
  <c r="G35" i="9"/>
  <c r="E37" i="56" s="1"/>
  <c r="H37" i="56" s="1"/>
  <c r="K37" i="56" s="1"/>
  <c r="G40" i="41"/>
  <c r="E33" i="56" s="1"/>
  <c r="H33" i="56" s="1"/>
  <c r="H28" i="56"/>
  <c r="K28" i="56" s="1"/>
  <c r="G35" i="58"/>
  <c r="E7" i="56" s="1"/>
  <c r="H7" i="56" s="1"/>
  <c r="K4" i="58"/>
  <c r="G35" i="57"/>
  <c r="E35" i="56" s="1"/>
  <c r="H35" i="56" s="1"/>
  <c r="K4" i="57"/>
  <c r="L4" i="57" s="1"/>
  <c r="L35" i="57" s="1"/>
  <c r="J35" i="56" s="1"/>
  <c r="H23" i="56"/>
  <c r="K23" i="56" s="1"/>
  <c r="G35" i="7"/>
  <c r="E16" i="56" s="1"/>
  <c r="H16" i="56" s="1"/>
  <c r="K16" i="56" s="1"/>
  <c r="J35" i="47"/>
  <c r="G3" i="56" s="1"/>
  <c r="J35" i="10"/>
  <c r="G22" i="56" s="1"/>
  <c r="J35" i="37"/>
  <c r="G30" i="56" s="1"/>
  <c r="J36" i="14"/>
  <c r="G27" i="56" s="1"/>
  <c r="G36" i="14"/>
  <c r="E27" i="56" s="1"/>
  <c r="H27" i="56" s="1"/>
  <c r="K27" i="56" s="1"/>
  <c r="J35" i="20"/>
  <c r="G18" i="56" s="1"/>
  <c r="F43" i="56"/>
  <c r="G35" i="47"/>
  <c r="E3" i="56" s="1"/>
  <c r="H3" i="56" s="1"/>
  <c r="K3" i="56" s="1"/>
  <c r="K35" i="19"/>
  <c r="G35" i="20"/>
  <c r="E18" i="56" s="1"/>
  <c r="H18" i="56" s="1"/>
  <c r="J6" i="56"/>
  <c r="J36" i="18"/>
  <c r="G4" i="56" s="1"/>
  <c r="H4" i="56" s="1"/>
  <c r="J38" i="50"/>
  <c r="G2" i="56" s="1"/>
  <c r="G38" i="50"/>
  <c r="E2" i="56" s="1"/>
  <c r="G29" i="56"/>
  <c r="G35" i="25"/>
  <c r="E25" i="56" s="1"/>
  <c r="J35" i="25"/>
  <c r="G25" i="56" s="1"/>
  <c r="H25" i="56" s="1"/>
  <c r="K35" i="11"/>
  <c r="G35" i="10"/>
  <c r="E22" i="56" s="1"/>
  <c r="H2" i="56"/>
  <c r="G35" i="54"/>
  <c r="E5" i="56" s="1"/>
  <c r="H5" i="56" s="1"/>
  <c r="K5" i="56" s="1"/>
  <c r="G35" i="24"/>
  <c r="E20" i="56" s="1"/>
  <c r="H20" i="56" s="1"/>
  <c r="G35" i="37"/>
  <c r="E30" i="56" s="1"/>
  <c r="H30" i="56" s="1"/>
  <c r="K4" i="54"/>
  <c r="K4" i="41"/>
  <c r="K36" i="14"/>
  <c r="K4" i="22"/>
  <c r="M4" i="22" s="1"/>
  <c r="M5" i="22" s="1"/>
  <c r="M8" i="44"/>
  <c r="M9" i="44" s="1"/>
  <c r="M10" i="44" s="1"/>
  <c r="K4" i="51"/>
  <c r="K4" i="24"/>
  <c r="K35" i="24" s="1"/>
  <c r="M11" i="44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K38" i="50"/>
  <c r="K4" i="47"/>
  <c r="K35" i="47" s="1"/>
  <c r="M4" i="47"/>
  <c r="G36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4" i="12"/>
  <c r="K4" i="18"/>
  <c r="K36" i="18" s="1"/>
  <c r="K4" i="32"/>
  <c r="K40" i="32" s="1"/>
  <c r="M4" i="18"/>
  <c r="P4" i="18" s="1"/>
  <c r="K4" i="37"/>
  <c r="K4" i="36"/>
  <c r="K35" i="36" s="1"/>
  <c r="K4" i="35"/>
  <c r="K4" i="34"/>
  <c r="K4" i="33"/>
  <c r="L4" i="19"/>
  <c r="L35" i="19" s="1"/>
  <c r="J42" i="56" s="1"/>
  <c r="K4" i="7"/>
  <c r="K35" i="7" s="1"/>
  <c r="M4" i="14"/>
  <c r="M5" i="14" s="1"/>
  <c r="M6" i="14" s="1"/>
  <c r="M7" i="14" s="1"/>
  <c r="M8" i="14" s="1"/>
  <c r="M9" i="14" s="1"/>
  <c r="M10" i="14" s="1"/>
  <c r="K4" i="16"/>
  <c r="K4" i="9"/>
  <c r="K4" i="10"/>
  <c r="K4" i="8"/>
  <c r="K35" i="8" s="1"/>
  <c r="K4" i="2"/>
  <c r="K36" i="2" s="1"/>
  <c r="K4" i="26"/>
  <c r="M4" i="26" s="1"/>
  <c r="M11" i="14"/>
  <c r="M12" i="14" s="1"/>
  <c r="M13" i="14" s="1"/>
  <c r="M14" i="14" s="1"/>
  <c r="M15" i="14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K4" i="20"/>
  <c r="K35" i="20" s="1"/>
  <c r="K4" i="25"/>
  <c r="K35" i="25" s="1"/>
  <c r="K4" i="23"/>
  <c r="K36" i="23" s="1"/>
  <c r="K4" i="15"/>
  <c r="K35" i="15" s="1"/>
  <c r="K4" i="3"/>
  <c r="M20" i="11" l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K35" i="3"/>
  <c r="M17" i="22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K35" i="65"/>
  <c r="M4" i="65"/>
  <c r="M5" i="65" s="1"/>
  <c r="M6" i="65" s="1"/>
  <c r="M7" i="65" s="1"/>
  <c r="M8" i="65" s="1"/>
  <c r="M9" i="65" s="1"/>
  <c r="M10" i="65" s="1"/>
  <c r="M11" i="65" s="1"/>
  <c r="M12" i="65" s="1"/>
  <c r="M13" i="65" s="1"/>
  <c r="M14" i="65" s="1"/>
  <c r="M15" i="65" s="1"/>
  <c r="M16" i="65" s="1"/>
  <c r="M17" i="65" s="1"/>
  <c r="M18" i="65" s="1"/>
  <c r="M19" i="65" s="1"/>
  <c r="M20" i="65" s="1"/>
  <c r="M21" i="65" s="1"/>
  <c r="M22" i="65" s="1"/>
  <c r="M23" i="65" s="1"/>
  <c r="M24" i="65" s="1"/>
  <c r="M25" i="65" s="1"/>
  <c r="M26" i="65" s="1"/>
  <c r="M27" i="65" s="1"/>
  <c r="M28" i="65" s="1"/>
  <c r="M29" i="65" s="1"/>
  <c r="M30" i="65" s="1"/>
  <c r="M31" i="65" s="1"/>
  <c r="M32" i="65" s="1"/>
  <c r="M33" i="65" s="1"/>
  <c r="M34" i="65" s="1"/>
  <c r="K35" i="64"/>
  <c r="M4" i="64"/>
  <c r="M5" i="64" s="1"/>
  <c r="M6" i="64" s="1"/>
  <c r="M7" i="64" s="1"/>
  <c r="M8" i="64" s="1"/>
  <c r="M9" i="64" s="1"/>
  <c r="M10" i="64" s="1"/>
  <c r="M11" i="64" s="1"/>
  <c r="M12" i="64" s="1"/>
  <c r="M13" i="64" s="1"/>
  <c r="M14" i="64" s="1"/>
  <c r="M15" i="64" s="1"/>
  <c r="M16" i="64" s="1"/>
  <c r="M17" i="64" s="1"/>
  <c r="M18" i="64" s="1"/>
  <c r="M19" i="64" s="1"/>
  <c r="M20" i="64" s="1"/>
  <c r="M21" i="64" s="1"/>
  <c r="M22" i="64" s="1"/>
  <c r="M23" i="64" s="1"/>
  <c r="M24" i="64" s="1"/>
  <c r="M25" i="64" s="1"/>
  <c r="M26" i="64" s="1"/>
  <c r="M27" i="64" s="1"/>
  <c r="M28" i="64" s="1"/>
  <c r="M29" i="64" s="1"/>
  <c r="M30" i="64" s="1"/>
  <c r="M31" i="64" s="1"/>
  <c r="M32" i="64" s="1"/>
  <c r="M33" i="64" s="1"/>
  <c r="M34" i="64" s="1"/>
  <c r="E15" i="56"/>
  <c r="H15" i="56" s="1"/>
  <c r="K15" i="56" s="1"/>
  <c r="K35" i="63"/>
  <c r="L4" i="63"/>
  <c r="L35" i="63" s="1"/>
  <c r="J19" i="56" s="1"/>
  <c r="K19" i="56" s="1"/>
  <c r="M4" i="63"/>
  <c r="M5" i="63" s="1"/>
  <c r="M6" i="63" s="1"/>
  <c r="M7" i="63" s="1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K36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L43" i="51"/>
  <c r="J41" i="56" s="1"/>
  <c r="K41" i="56" s="1"/>
  <c r="M4" i="51"/>
  <c r="M5" i="51" s="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32" i="51" s="1"/>
  <c r="M33" i="51" s="1"/>
  <c r="K43" i="51"/>
  <c r="K36" i="56"/>
  <c r="K37" i="61"/>
  <c r="M4" i="61"/>
  <c r="M5" i="61" s="1"/>
  <c r="M6" i="61" s="1"/>
  <c r="M7" i="61" s="1"/>
  <c r="M8" i="61" s="1"/>
  <c r="M9" i="61" s="1"/>
  <c r="M10" i="61" s="1"/>
  <c r="M11" i="61" s="1"/>
  <c r="M12" i="61" s="1"/>
  <c r="M13" i="61" s="1"/>
  <c r="K33" i="56"/>
  <c r="K35" i="60"/>
  <c r="K46" i="26"/>
  <c r="M4" i="10"/>
  <c r="M5" i="10" s="1"/>
  <c r="M6" i="10" s="1"/>
  <c r="K35" i="10"/>
  <c r="K44" i="33"/>
  <c r="K35" i="9"/>
  <c r="M4" i="9"/>
  <c r="K35" i="56"/>
  <c r="M16" i="14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Q35" i="14" s="1"/>
  <c r="K47" i="34"/>
  <c r="E14" i="56"/>
  <c r="K6" i="56"/>
  <c r="K35" i="59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35" i="37"/>
  <c r="M6" i="22"/>
  <c r="K24" i="56"/>
  <c r="H22" i="56"/>
  <c r="K22" i="56" s="1"/>
  <c r="M4" i="23"/>
  <c r="M5" i="23" s="1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4" i="41"/>
  <c r="M5" i="41" s="1"/>
  <c r="M6" i="41" s="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M19" i="41" s="1"/>
  <c r="K40" i="41"/>
  <c r="M4" i="16"/>
  <c r="K36" i="16"/>
  <c r="K42" i="56"/>
  <c r="K35" i="58"/>
  <c r="L4" i="58"/>
  <c r="L35" i="58" s="1"/>
  <c r="J7" i="56" s="1"/>
  <c r="H29" i="56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44" i="22"/>
  <c r="K29" i="56"/>
  <c r="K4" i="56"/>
  <c r="K2" i="56"/>
  <c r="M23" i="44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K35" i="54"/>
  <c r="M4" i="54"/>
  <c r="M5" i="54" s="1"/>
  <c r="M6" i="54" s="1"/>
  <c r="M7" i="54" s="1"/>
  <c r="M5" i="26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L4" i="24"/>
  <c r="M4" i="24" s="1"/>
  <c r="M35" i="24" s="1"/>
  <c r="J20" i="56" s="1"/>
  <c r="K20" i="56" s="1"/>
  <c r="M4" i="50"/>
  <c r="L4" i="25"/>
  <c r="L35" i="25" s="1"/>
  <c r="J25" i="56" s="1"/>
  <c r="K25" i="56" s="1"/>
  <c r="M4" i="25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4" i="32"/>
  <c r="M29" i="8"/>
  <c r="M30" i="8" s="1"/>
  <c r="M31" i="8" s="1"/>
  <c r="M32" i="8" s="1"/>
  <c r="M33" i="8" s="1"/>
  <c r="M34" i="8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M31" i="36" s="1"/>
  <c r="M32" i="36" s="1"/>
  <c r="M33" i="36" s="1"/>
  <c r="K43" i="35"/>
  <c r="L43" i="35"/>
  <c r="J40" i="56" s="1"/>
  <c r="K40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25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5" i="9"/>
  <c r="M6" i="9" s="1"/>
  <c r="M7" i="9" s="1"/>
  <c r="M8" i="9" s="1"/>
  <c r="M9" i="9" s="1"/>
  <c r="M10" i="9" s="1"/>
  <c r="M11" i="9" s="1"/>
  <c r="M12" i="9" s="1"/>
  <c r="M7" i="10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L4" i="20"/>
  <c r="L35" i="20" s="1"/>
  <c r="J18" i="56" s="1"/>
  <c r="K18" i="56" s="1"/>
  <c r="M14" i="61" l="1"/>
  <c r="M15" i="61" s="1"/>
  <c r="M16" i="61"/>
  <c r="M34" i="44"/>
  <c r="M35" i="44" s="1"/>
  <c r="M36" i="44" s="1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L35" i="37"/>
  <c r="J30" i="56" s="1"/>
  <c r="K30" i="56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M17" i="37" s="1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32" i="37" s="1"/>
  <c r="M33" i="37" s="1"/>
  <c r="M34" i="37" s="1"/>
  <c r="M20" i="4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P19" i="41"/>
  <c r="M5" i="32"/>
  <c r="M6" i="32" s="1"/>
  <c r="M7" i="32" s="1"/>
  <c r="M8" i="32" s="1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M31" i="32" s="1"/>
  <c r="M32" i="32" s="1"/>
  <c r="M33" i="32" s="1"/>
  <c r="M34" i="32" s="1"/>
  <c r="M35" i="32" s="1"/>
  <c r="M36" i="32" s="1"/>
  <c r="M37" i="32" s="1"/>
  <c r="M38" i="32" s="1"/>
  <c r="M39" i="32" s="1"/>
  <c r="L35" i="60"/>
  <c r="J34" i="56" s="1"/>
  <c r="K34" i="56" s="1"/>
  <c r="M4" i="60"/>
  <c r="M5" i="60" s="1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16" i="60" s="1"/>
  <c r="M17" i="60" s="1"/>
  <c r="M18" i="60" s="1"/>
  <c r="M19" i="60" s="1"/>
  <c r="M20" i="60" s="1"/>
  <c r="M21" i="60" s="1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8" i="54"/>
  <c r="M9" i="54" s="1"/>
  <c r="M10" i="54" s="1"/>
  <c r="M11" i="54" s="1"/>
  <c r="M12" i="54" s="1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M32" i="54" s="1"/>
  <c r="M33" i="54" s="1"/>
  <c r="M34" i="54" s="1"/>
  <c r="M7" i="22"/>
  <c r="M8" i="22" s="1"/>
  <c r="M9" i="22" s="1"/>
  <c r="M10" i="22" s="1"/>
  <c r="M11" i="22" s="1"/>
  <c r="M12" i="22" s="1"/>
  <c r="L35" i="59"/>
  <c r="J8" i="56" s="1"/>
  <c r="K8" i="56" s="1"/>
  <c r="M24" i="59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L44" i="33"/>
  <c r="J38" i="56" s="1"/>
  <c r="K38" i="56" s="1"/>
  <c r="M4" i="33"/>
  <c r="L47" i="34"/>
  <c r="J39" i="56" s="1"/>
  <c r="M4" i="34"/>
  <c r="M5" i="34" s="1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K7" i="56"/>
  <c r="L44" i="22"/>
  <c r="J26" i="56" s="1"/>
  <c r="M5" i="50"/>
  <c r="M6" i="50" s="1"/>
  <c r="M7" i="50" s="1"/>
  <c r="M8" i="50" s="1"/>
  <c r="M9" i="50" s="1"/>
  <c r="M10" i="50" s="1"/>
  <c r="M11" i="50" s="1"/>
  <c r="M12" i="50" s="1"/>
  <c r="M13" i="50" s="1"/>
  <c r="M14" i="50" s="1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13" i="9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9" i="9" s="1"/>
  <c r="M30" i="9" s="1"/>
  <c r="M31" i="9" s="1"/>
  <c r="M32" i="9" s="1"/>
  <c r="M33" i="9" s="1"/>
  <c r="M34" i="9" s="1"/>
  <c r="M34" i="51"/>
  <c r="M35" i="51" s="1"/>
  <c r="M36" i="51" s="1"/>
  <c r="M37" i="51" s="1"/>
  <c r="M38" i="51" s="1"/>
  <c r="M39" i="51" s="1"/>
  <c r="L47" i="35"/>
  <c r="M4" i="35"/>
  <c r="M16" i="15"/>
  <c r="M17" i="15" s="1"/>
  <c r="M18" i="15" s="1"/>
  <c r="M19" i="15" s="1"/>
  <c r="M20" i="15" s="1"/>
  <c r="M21" i="15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4" i="20"/>
  <c r="M17" i="61" l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M33" i="61"/>
  <c r="M34" i="61" s="1"/>
  <c r="M35" i="61" s="1"/>
  <c r="M36" i="61" s="1"/>
  <c r="M31" i="50"/>
  <c r="M32" i="50" s="1"/>
  <c r="M33" i="50" s="1"/>
  <c r="M29" i="34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K39" i="56"/>
  <c r="J43" i="56"/>
  <c r="M5" i="35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M44" i="33"/>
  <c r="K26" i="56"/>
  <c r="M5" i="20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D43" i="56"/>
  <c r="E43" i="56"/>
  <c r="H43" i="56"/>
  <c r="G43" i="56"/>
  <c r="M34" i="50" l="1"/>
  <c r="M35" i="50" s="1"/>
  <c r="P33" i="50"/>
  <c r="K43" i="56"/>
  <c r="M43" i="56" s="1"/>
  <c r="M17" i="35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H7" authorId="0" shapeId="0" xr:uid="{827F8385-6860-4167-A430-BADE399807F2}">
      <text>
        <r>
          <rPr>
            <sz val="11"/>
            <color theme="1"/>
            <rFont val="Calibri"/>
            <family val="2"/>
            <scheme val="minor"/>
          </rPr>
          <t>MIS:
previous quantity was 25L</t>
        </r>
      </text>
    </comment>
    <comment ref="H10" authorId="0" shapeId="0" xr:uid="{A93420D3-0CED-47EE-84B9-BBB2E54DA7C6}">
      <text>
        <r>
          <rPr>
            <sz val="11"/>
            <color theme="1"/>
            <rFont val="Calibri"/>
            <family val="2"/>
            <scheme val="minor"/>
          </rPr>
          <t>MIS:
previous quantity was 30L</t>
        </r>
      </text>
    </comment>
    <comment ref="H14" authorId="0" shapeId="0" xr:uid="{D923B1FE-91F2-44B0-B984-53564F6E6FAC}">
      <text>
        <r>
          <rPr>
            <sz val="11"/>
            <color theme="1"/>
            <rFont val="Calibri"/>
            <family val="2"/>
            <scheme val="minor"/>
          </rPr>
          <t>MIS:
Previous quantity was 15L</t>
        </r>
      </text>
    </comment>
    <comment ref="H24" authorId="0" shapeId="0" xr:uid="{972AD884-BC73-476E-AB6C-CFDD27AB9DAC}">
      <text>
        <r>
          <rPr>
            <sz val="11"/>
            <color theme="1"/>
            <rFont val="Calibri"/>
            <family val="2"/>
            <scheme val="minor"/>
          </rPr>
          <t>MIS:
previous quantity was 30L</t>
        </r>
      </text>
    </comment>
    <comment ref="H29" authorId="0" shapeId="0" xr:uid="{918B2A46-EE03-4FAC-8515-900D59DC9AB2}">
      <text>
        <r>
          <rPr>
            <sz val="11"/>
            <color theme="1"/>
            <rFont val="Calibri"/>
            <family val="2"/>
            <scheme val="minor"/>
          </rPr>
          <t>MIS:
previous quantity is 17L</t>
        </r>
      </text>
    </comment>
    <comment ref="H31" authorId="0" shapeId="0" xr:uid="{2C3C3A93-3197-4647-983E-02F53EF56A11}">
      <text>
        <r>
          <rPr>
            <sz val="11"/>
            <color theme="1"/>
            <rFont val="Calibri"/>
            <family val="2"/>
            <scheme val="minor"/>
          </rPr>
          <t>MIS:
Previous quantity was 35L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tc={91DE398F-327C-4EE1-8006-B109024DDCB3}</author>
  </authors>
  <commentList>
    <comment ref="L15" authorId="0" shapeId="0" xr:uid="{91DE398F-327C-4EE1-8006-B109024DDCB3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fuel F/S</t>
      </text>
    </comment>
  </commentList>
</comments>
</file>

<file path=xl/sharedStrings.xml><?xml version="1.0" encoding="utf-8"?>
<sst xmlns="http://schemas.openxmlformats.org/spreadsheetml/2006/main" count="1292" uniqueCount="224">
  <si>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</si>
  <si>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</si>
  <si>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</si>
  <si>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</si>
  <si>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</si>
  <si>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</si>
  <si>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</si>
  <si>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</si>
  <si>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</si>
  <si>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</si>
  <si>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</si>
  <si>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</si>
  <si>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</si>
  <si>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</si>
  <si>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</si>
  <si>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Jadcherla-1</t>
  </si>
  <si>
    <t>Sai Baba Fuel Station</t>
  </si>
  <si>
    <t>Jadcherla-2</t>
  </si>
  <si>
    <t xml:space="preserve">ADHOC FILLING STATION STATION </t>
  </si>
  <si>
    <t>Sangareddy-1</t>
  </si>
  <si>
    <t>Sree Shiva Parvathi Filling Station</t>
  </si>
  <si>
    <t>Dindi</t>
  </si>
  <si>
    <t>Akarapu Balakistamma Fillling</t>
  </si>
  <si>
    <t>Devarkhadra-1</t>
  </si>
  <si>
    <t>Kurumurthy Swami  F/S</t>
  </si>
  <si>
    <t>Devarkhadra-2</t>
  </si>
  <si>
    <t>M/S. Sri Rama Filling Station</t>
  </si>
  <si>
    <t>Amalapuram</t>
  </si>
  <si>
    <t>Sathya Filling Station</t>
  </si>
  <si>
    <t>YG Gudda-1</t>
  </si>
  <si>
    <t>Pallavi Petrolium</t>
  </si>
  <si>
    <t>YG Gudda-2</t>
  </si>
  <si>
    <t>Pankaja HP Fuel Center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</si>
  <si>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</si>
  <si>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</si>
  <si>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</si>
  <si>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</si>
  <si>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</si>
  <si>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</si>
  <si>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</si>
  <si>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</si>
  <si>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</si>
  <si>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</si>
  <si>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</si>
  <si>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Sri Vishnu Baba Petroleum</t>
  </si>
  <si>
    <t>Molakalmuru</t>
  </si>
  <si>
    <t>Sri Lakshmi Venkateshwara Filling Station</t>
  </si>
  <si>
    <t>Khanapur(PKG-3)</t>
  </si>
  <si>
    <t>J K Makavi</t>
  </si>
  <si>
    <t>Munavalli(PKG-3)-2</t>
  </si>
  <si>
    <t xml:space="preserve">Shri Daneshwari 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</si>
  <si>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</si>
  <si>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</si>
  <si>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</si>
  <si>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</si>
  <si>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</si>
  <si>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</si>
  <si>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</si>
  <si>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</si>
  <si>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</si>
  <si>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</si>
  <si>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</si>
  <si>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</si>
  <si>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</si>
  <si>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</si>
  <si>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</si>
  <si>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</si>
  <si>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</si>
  <si>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Shree Siri Gowari petroliam</t>
  </si>
  <si>
    <t>Gajendragada</t>
  </si>
  <si>
    <t>Vanasri Petrol Pump</t>
  </si>
  <si>
    <t>Ghattaprabha(PKG-3)</t>
  </si>
  <si>
    <t>Vivek Petrol Pump</t>
  </si>
  <si>
    <t xml:space="preserve"> Gokak(PKG-3)</t>
  </si>
  <si>
    <t>AJ Petrolinks</t>
  </si>
  <si>
    <t>Ankaligi</t>
  </si>
  <si>
    <t>Shiv ganga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</si>
  <si>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</si>
  <si>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</si>
  <si>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</si>
  <si>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</si>
  <si>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</si>
  <si>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</si>
  <si>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</si>
  <si>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</si>
  <si>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</t>
  </si>
  <si>
    <t xml:space="preserve"> Bhosle Service Station</t>
  </si>
  <si>
    <t>Almela(PKG-1)</t>
  </si>
  <si>
    <t>Shiddeshwar Petroleums</t>
  </si>
  <si>
    <t>Nalatwad(PKG-1)</t>
  </si>
  <si>
    <t>Shri Pawad Basaweshwar Petroleums</t>
  </si>
  <si>
    <t>Srirangapatna</t>
  </si>
  <si>
    <t>Sri Chakra Fuel Station</t>
  </si>
  <si>
    <t>Total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</si>
  <si>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</si>
  <si>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</si>
  <si>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</si>
  <si>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</si>
  <si>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</si>
  <si>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</si>
  <si>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</si>
  <si>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</si>
  <si>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</si>
  <si>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</si>
  <si>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0n Date</t>
  </si>
  <si>
    <t>Remarks</t>
  </si>
  <si>
    <t>Opening Balance</t>
  </si>
  <si>
    <t>As on date</t>
  </si>
  <si>
    <t>6.08.2025</t>
  </si>
  <si>
    <t>BPCL</t>
  </si>
  <si>
    <t>As on Date</t>
  </si>
  <si>
    <t>Ind no/Bill No</t>
  </si>
  <si>
    <t xml:space="preserve"> Fuel bills </t>
  </si>
  <si>
    <t>Sri rama F/S</t>
  </si>
  <si>
    <t> </t>
  </si>
  <si>
    <t>Molakamuru</t>
  </si>
  <si>
    <t>.</t>
  </si>
  <si>
    <t xml:space="preserve">  Shree Siri Gowari petroliam</t>
  </si>
  <si>
    <t>raja bhakshi</t>
  </si>
  <si>
    <t>Talikote</t>
  </si>
  <si>
    <t>01.08.2025</t>
  </si>
  <si>
    <t>IOCL Card</t>
  </si>
  <si>
    <t>03.08.2025</t>
  </si>
  <si>
    <t>05.08.2025</t>
  </si>
  <si>
    <t>06.08.2025</t>
  </si>
  <si>
    <t>09.08.2025</t>
  </si>
  <si>
    <t>10.08.2025</t>
  </si>
  <si>
    <t>11.08.2025</t>
  </si>
  <si>
    <t>12.08.2025</t>
  </si>
  <si>
    <t>13.08.2025</t>
  </si>
  <si>
    <t>14.08.2025</t>
  </si>
  <si>
    <t>16.08.2025</t>
  </si>
  <si>
    <t>17.08.2025</t>
  </si>
  <si>
    <t>18.08.2025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</si>
  <si>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</si>
  <si>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</si>
  <si>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</si>
  <si>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</si>
  <si>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</si>
  <si>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</si>
  <si>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</si>
  <si>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</si>
  <si>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</si>
  <si>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</si>
  <si>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</si>
  <si>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01.8.2025</t>
  </si>
  <si>
    <t>02.8.2025</t>
  </si>
  <si>
    <t>04.08.2025</t>
  </si>
  <si>
    <t>07.08.2025</t>
  </si>
  <si>
    <t>08.08.2025</t>
  </si>
  <si>
    <t>15.08.2025</t>
  </si>
  <si>
    <t>19.08.2025</t>
  </si>
  <si>
    <t>1.08.2025</t>
  </si>
  <si>
    <t>2.08.2025</t>
  </si>
  <si>
    <t>3.08.2025</t>
  </si>
  <si>
    <t>4.08.2025</t>
  </si>
  <si>
    <t>5.08.2025</t>
  </si>
  <si>
    <t>7.08.2025</t>
  </si>
  <si>
    <t>8.08.2025</t>
  </si>
  <si>
    <t>9.08.2025</t>
  </si>
  <si>
    <t>31.08.2025</t>
  </si>
  <si>
    <t>Date of payment</t>
  </si>
  <si>
    <t>Shahapur Petroleum</t>
  </si>
  <si>
    <t>Shiva ganga</t>
  </si>
  <si>
    <t xml:space="preserve"> S R PATIL</t>
  </si>
  <si>
    <t xml:space="preserve"> </t>
  </si>
  <si>
    <t>BPCL Card Ledger</t>
  </si>
  <si>
    <t>Petrol Bunk Name</t>
  </si>
  <si>
    <t>Card No</t>
  </si>
  <si>
    <t>Recharge Amount</t>
  </si>
  <si>
    <t>Redeem</t>
  </si>
  <si>
    <t>02.08.2025</t>
  </si>
  <si>
    <t>JUBILEE HILLS FILL. STN.</t>
  </si>
  <si>
    <t>FC3450563999</t>
  </si>
  <si>
    <t>SAI BABA FILLING STATION</t>
  </si>
  <si>
    <t>FC3450563998</t>
  </si>
  <si>
    <t xml:space="preserve">V.V.VARDE BHARAT </t>
  </si>
  <si>
    <t>FC8000207649</t>
  </si>
  <si>
    <t>SRI LAKSHMI VENKATESWARA F/S</t>
  </si>
  <si>
    <t>FC8000207650</t>
  </si>
  <si>
    <t>SANDHYA FUEL STATION</t>
  </si>
  <si>
    <t>FC8000207658</t>
  </si>
  <si>
    <t xml:space="preserve"> FC8000207649</t>
  </si>
  <si>
    <t xml:space="preserve">CYBERABAD FILLING STATION </t>
  </si>
  <si>
    <t xml:space="preserve">SREE CHAKRA FILLING STATION  </t>
  </si>
  <si>
    <t>FC3450698859</t>
  </si>
  <si>
    <t xml:space="preserve">SHIVAGANGA SERVICE STATION </t>
  </si>
  <si>
    <t>SHIVAGANGA SERVICE STATION</t>
  </si>
  <si>
    <t>SAI PRIYA FILLING STATION</t>
  </si>
  <si>
    <t>DANESWARI PETROLEUM</t>
  </si>
  <si>
    <t>FC8000207648</t>
  </si>
  <si>
    <t xml:space="preserve">SHAHAPUR PETROLEUM </t>
  </si>
  <si>
    <t>SHRI BRAHMANATH PETROLEUM</t>
  </si>
  <si>
    <t>V.V.VARDE BHARAT</t>
  </si>
  <si>
    <t xml:space="preserve">AKARAPU BALAKISTAMMA </t>
  </si>
  <si>
    <t xml:space="preserve"> FC3450676134</t>
  </si>
  <si>
    <t xml:space="preserve">SAI PRIYA FILLING STATION </t>
  </si>
  <si>
    <t xml:space="preserve"> FC8000207658</t>
  </si>
  <si>
    <t>VISHWASAI FILLING STATION</t>
  </si>
  <si>
    <t>FC3450676134</t>
  </si>
  <si>
    <t xml:space="preserve">KESHAV PETROFIL BHARAT </t>
  </si>
  <si>
    <t xml:space="preserve">MADEENA FILLING STATION </t>
  </si>
  <si>
    <t xml:space="preserve">EARTH PAVERS (HYD) </t>
  </si>
  <si>
    <t xml:space="preserve"> FC3450563999</t>
  </si>
  <si>
    <t>BP-AMEERPET BHARAT</t>
  </si>
  <si>
    <t>SANDHYA FUEL STATION BHARAT</t>
  </si>
  <si>
    <t>SREE KRISHNA FUEL HUB BHARAT</t>
  </si>
  <si>
    <t>FC8000207659</t>
  </si>
  <si>
    <t>KESHAV PETROFIL BHARAT</t>
  </si>
  <si>
    <t xml:space="preserve">JVVR FILLING STATION BHARAT </t>
  </si>
  <si>
    <t xml:space="preserve"> FC8000207659</t>
  </si>
  <si>
    <t>POORNIMA ENTERPRISES</t>
  </si>
  <si>
    <t>PRAKASH TRANSPORT</t>
  </si>
  <si>
    <t>HPCL Card Ledger</t>
  </si>
  <si>
    <t>DIVYA LAXMI GANAPATHI AUTO SERVICES</t>
  </si>
  <si>
    <t>8200079000522050</t>
  </si>
  <si>
    <t>AJ PETROLINKS</t>
  </si>
  <si>
    <t>8200079004507062</t>
  </si>
  <si>
    <t>MS HSD SATHEESH FUEL STATION</t>
  </si>
  <si>
    <t>8200079004507153</t>
  </si>
  <si>
    <t>HO</t>
  </si>
  <si>
    <t>Shankeshwar(Dharwad)</t>
  </si>
  <si>
    <t>Vijay Sir</t>
  </si>
  <si>
    <t>Radha krishna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</si>
</sst>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b/>
      <sz val="10"/>
      <color rgb="FF26243B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448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3" fillId="0" borderId="0" xfId="0" applyFont="1"/>
    <xf numFmtId="0" fontId="3" fillId="0" borderId="6" xfId="0" applyFont="1" applyBorder="1"/>
    <xf numFmtId="164" fontId="3" fillId="0" borderId="2" xfId="1" applyFont="1" applyBorder="1" applyAlignment="1">
      <alignment horizontal="center" vertical="center"/>
    </xf>
    <xf numFmtId="164" fontId="3" fillId="0" borderId="6" xfId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7" xfId="1" applyFont="1" applyBorder="1" applyAlignment="1">
      <alignment vertical="center"/>
    </xf>
    <xf numFmtId="0" fontId="5" fillId="0" borderId="8" xfId="0" applyFont="1" applyBorder="1" applyAlignment="1">
      <alignment horizontal="center"/>
    </xf>
    <xf numFmtId="164" fontId="3" fillId="0" borderId="2" xfId="1" applyFont="1" applyBorder="1" applyAlignment="1">
      <alignment horizontal="center" vertical="top"/>
    </xf>
    <xf numFmtId="164" fontId="3" fillId="0" borderId="7" xfId="1" applyFont="1" applyBorder="1" applyAlignment="1">
      <alignment horizontal="center" vertical="top"/>
    </xf>
    <xf numFmtId="164" fontId="3" fillId="0" borderId="5" xfId="1" applyFont="1" applyBorder="1" applyAlignment="1">
      <alignment horizontal="center" vertical="center"/>
    </xf>
    <xf numFmtId="0" fontId="0" fillId="0" borderId="6" xfId="0" applyBorder="1"/>
    <xf numFmtId="0" fontId="3" fillId="0" borderId="6" xfId="0" applyFont="1" applyBorder="1" applyAlignment="1">
      <alignment horizontal="center" vertical="center" wrapText="1"/>
    </xf>
    <xf numFmtId="164" fontId="3" fillId="0" borderId="15" xfId="1" applyFont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164" fontId="3" fillId="0" borderId="4" xfId="1" applyFont="1" applyBorder="1" applyAlignment="1">
      <alignment horizontal="center" vertical="center"/>
    </xf>
    <xf numFmtId="2" fontId="0" fillId="0" borderId="0" xfId="0" applyNumberFormat="1"/>
    <xf numFmtId="0" fontId="7" fillId="0" borderId="2" xfId="3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64" fontId="10" fillId="0" borderId="6" xfId="1" applyFont="1" applyFill="1" applyBorder="1" applyAlignment="1">
      <alignment horizontal="center" vertical="center"/>
    </xf>
    <xf numFmtId="164" fontId="10" fillId="0" borderId="6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2" fontId="0" fillId="0" borderId="6" xfId="0" applyNumberFormat="1" applyBorder="1"/>
    <xf numFmtId="164" fontId="3" fillId="0" borderId="6" xfId="1" applyFont="1" applyBorder="1" applyAlignment="1">
      <alignment vertical="center"/>
    </xf>
    <xf numFmtId="164" fontId="9" fillId="4" borderId="9" xfId="1" applyFont="1" applyFill="1" applyBorder="1" applyAlignment="1">
      <alignment horizontal="center" vertical="center"/>
    </xf>
    <xf numFmtId="164" fontId="9" fillId="4" borderId="10" xfId="1" applyFont="1" applyFill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164" fontId="9" fillId="4" borderId="6" xfId="1" applyFont="1" applyFill="1" applyBorder="1" applyAlignment="1">
      <alignment horizontal="center" vertical="center"/>
    </xf>
    <xf numFmtId="0" fontId="5" fillId="0" borderId="6" xfId="0" applyFont="1" applyBorder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43" fontId="3" fillId="0" borderId="6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3" fontId="3" fillId="0" borderId="0" xfId="0" applyNumberFormat="1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12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3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/>
    <xf numFmtId="2" fontId="4" fillId="4" borderId="6" xfId="0" applyNumberFormat="1" applyFont="1" applyFill="1" applyBorder="1" applyAlignment="1">
      <alignment horizontal="center" vertical="center"/>
    </xf>
    <xf numFmtId="164" fontId="4" fillId="4" borderId="6" xfId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/>
    </xf>
    <xf numFmtId="2" fontId="3" fillId="0" borderId="6" xfId="0" applyNumberFormat="1" applyFont="1" applyBorder="1"/>
    <xf numFmtId="0" fontId="3" fillId="0" borderId="6" xfId="0" applyFont="1" applyBorder="1" applyAlignment="1">
      <alignment vertical="center"/>
    </xf>
    <xf numFmtId="164" fontId="3" fillId="0" borderId="6" xfId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164" fontId="3" fillId="4" borderId="6" xfId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4" fontId="3" fillId="0" borderId="6" xfId="1" applyFont="1" applyBorder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5" xfId="0" applyFont="1" applyBorder="1"/>
    <xf numFmtId="0" fontId="0" fillId="0" borderId="16" xfId="0" applyBorder="1"/>
    <xf numFmtId="0" fontId="17" fillId="0" borderId="6" xfId="0" applyFont="1" applyBorder="1"/>
    <xf numFmtId="2" fontId="17" fillId="0" borderId="6" xfId="0" applyNumberFormat="1" applyFont="1" applyBorder="1"/>
    <xf numFmtId="0" fontId="0" fillId="0" borderId="13" xfId="0" applyBorder="1"/>
    <xf numFmtId="0" fontId="13" fillId="3" borderId="1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1" fillId="3" borderId="6" xfId="0" applyFont="1" applyFill="1" applyBorder="1" applyAlignment="1">
      <alignment horizontal="center" vertical="center"/>
    </xf>
    <xf numFmtId="0" fontId="18" fillId="0" borderId="6" xfId="0" applyFont="1" applyBorder="1"/>
    <xf numFmtId="164" fontId="9" fillId="4" borderId="21" xfId="1" applyFont="1" applyFill="1" applyBorder="1" applyAlignment="1">
      <alignment horizontal="center" vertical="center"/>
    </xf>
    <xf numFmtId="164" fontId="0" fillId="0" borderId="6" xfId="0" applyNumberFormat="1" applyBorder="1"/>
    <xf numFmtId="0" fontId="11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43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22" xfId="1" applyFont="1" applyFill="1" applyBorder="1" applyAlignment="1">
      <alignment horizontal="center" vertical="center"/>
    </xf>
    <xf numFmtId="43" fontId="11" fillId="3" borderId="20" xfId="0" applyNumberFormat="1" applyFont="1" applyFill="1" applyBorder="1" applyAlignment="1">
      <alignment horizontal="center" vertical="center" wrapText="1"/>
    </xf>
    <xf numFmtId="43" fontId="11" fillId="3" borderId="7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43" fontId="11" fillId="3" borderId="7" xfId="0" applyNumberFormat="1" applyFont="1" applyFill="1" applyBorder="1" applyAlignment="1">
      <alignment horizontal="center" vertical="center"/>
    </xf>
    <xf numFmtId="43" fontId="11" fillId="3" borderId="20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12" fillId="0" borderId="8" xfId="3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4" fontId="6" fillId="0" borderId="15" xfId="0" applyNumberFormat="1" applyFont="1" applyBorder="1" applyAlignment="1">
      <alignment horizontal="center"/>
    </xf>
    <xf numFmtId="0" fontId="13" fillId="3" borderId="16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 wrapText="1"/>
    </xf>
    <xf numFmtId="43" fontId="13" fillId="3" borderId="16" xfId="0" applyNumberFormat="1" applyFont="1" applyFill="1" applyBorder="1" applyAlignment="1">
      <alignment horizontal="center" vertical="center" wrapText="1"/>
    </xf>
    <xf numFmtId="43" fontId="13" fillId="3" borderId="16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3" fillId="0" borderId="15" xfId="1" applyFont="1" applyBorder="1" applyAlignment="1">
      <alignment horizontal="center" vertical="top"/>
    </xf>
    <xf numFmtId="164" fontId="9" fillId="0" borderId="6" xfId="1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164" fontId="0" fillId="0" borderId="0" xfId="0" applyNumberFormat="1"/>
    <xf numFmtId="43" fontId="0" fillId="0" borderId="6" xfId="0" applyNumberFormat="1" applyBorder="1"/>
    <xf numFmtId="0" fontId="0" fillId="0" borderId="15" xfId="0" applyBorder="1"/>
    <xf numFmtId="43" fontId="13" fillId="3" borderId="7" xfId="0" applyNumberFormat="1" applyFont="1" applyFill="1" applyBorder="1" applyAlignment="1">
      <alignment horizontal="center" vertical="center" wrapText="1"/>
    </xf>
    <xf numFmtId="43" fontId="13" fillId="3" borderId="7" xfId="0" applyNumberFormat="1" applyFont="1" applyFill="1" applyBorder="1" applyAlignment="1">
      <alignment horizontal="center" vertical="center"/>
    </xf>
    <xf numFmtId="164" fontId="3" fillId="0" borderId="11" xfId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8" xfId="1" applyFont="1" applyBorder="1" applyAlignment="1">
      <alignment horizontal="center" vertical="top"/>
    </xf>
    <xf numFmtId="164" fontId="3" fillId="0" borderId="8" xfId="1" applyFont="1" applyBorder="1" applyAlignment="1">
      <alignment vertical="center"/>
    </xf>
    <xf numFmtId="43" fontId="13" fillId="3" borderId="20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43" fontId="3" fillId="2" borderId="6" xfId="0" applyNumberFormat="1" applyFont="1" applyFill="1" applyBorder="1" applyAlignment="1">
      <alignment horizontal="center" vertical="center" wrapText="1"/>
    </xf>
    <xf numFmtId="43" fontId="3" fillId="2" borderId="6" xfId="0" applyNumberFormat="1" applyFont="1" applyFill="1" applyBorder="1" applyAlignment="1">
      <alignment horizontal="center" vertical="center"/>
    </xf>
    <xf numFmtId="43" fontId="5" fillId="2" borderId="6" xfId="0" applyNumberFormat="1" applyFont="1" applyFill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166" fontId="3" fillId="0" borderId="15" xfId="0" applyNumberFormat="1" applyFont="1" applyBorder="1" applyAlignment="1">
      <alignment horizontal="center"/>
    </xf>
    <xf numFmtId="2" fontId="3" fillId="0" borderId="15" xfId="0" applyNumberFormat="1" applyFont="1" applyBorder="1"/>
    <xf numFmtId="0" fontId="13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43" fontId="13" fillId="2" borderId="6" xfId="0" applyNumberFormat="1" applyFont="1" applyFill="1" applyBorder="1" applyAlignment="1">
      <alignment horizontal="center" vertical="center" wrapText="1"/>
    </xf>
    <xf numFmtId="43" fontId="13" fillId="2" borderId="6" xfId="0" applyNumberFormat="1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2" fontId="4" fillId="4" borderId="15" xfId="0" applyNumberFormat="1" applyFont="1" applyFill="1" applyBorder="1" applyAlignment="1">
      <alignment horizontal="center" vertical="center"/>
    </xf>
    <xf numFmtId="164" fontId="4" fillId="4" borderId="15" xfId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right"/>
    </xf>
    <xf numFmtId="164" fontId="4" fillId="0" borderId="6" xfId="1" applyFont="1" applyBorder="1" applyAlignment="1">
      <alignment horizontal="center" vertical="center" indent="1"/>
    </xf>
    <xf numFmtId="0" fontId="5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horizontal="center" vertical="center"/>
    </xf>
    <xf numFmtId="43" fontId="11" fillId="3" borderId="6" xfId="0" applyNumberFormat="1" applyFont="1" applyFill="1" applyBorder="1" applyAlignment="1">
      <alignment horizontal="center" vertical="center"/>
    </xf>
    <xf numFmtId="0" fontId="0" fillId="2" borderId="6" xfId="0" applyFill="1" applyBorder="1"/>
    <xf numFmtId="0" fontId="18" fillId="2" borderId="6" xfId="0" applyFont="1" applyFill="1" applyBorder="1"/>
    <xf numFmtId="0" fontId="5" fillId="0" borderId="16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3" fillId="0" borderId="16" xfId="0" applyFont="1" applyBorder="1"/>
    <xf numFmtId="14" fontId="3" fillId="0" borderId="16" xfId="0" applyNumberFormat="1" applyFont="1" applyBorder="1" applyAlignment="1">
      <alignment horizontal="center"/>
    </xf>
    <xf numFmtId="2" fontId="3" fillId="0" borderId="16" xfId="0" applyNumberFormat="1" applyFont="1" applyBorder="1"/>
    <xf numFmtId="2" fontId="3" fillId="0" borderId="16" xfId="0" applyNumberFormat="1" applyFont="1" applyBorder="1" applyAlignment="1">
      <alignment horizontal="right"/>
    </xf>
    <xf numFmtId="43" fontId="5" fillId="2" borderId="16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3" fillId="3" borderId="16" xfId="0" applyNumberFormat="1" applyFont="1" applyFill="1" applyBorder="1" applyAlignment="1">
      <alignment horizontal="center" vertical="center"/>
    </xf>
    <xf numFmtId="0" fontId="3" fillId="0" borderId="6" xfId="1" applyNumberFormat="1" applyFont="1" applyBorder="1" applyAlignment="1">
      <alignment vertical="center"/>
    </xf>
    <xf numFmtId="0" fontId="3" fillId="0" borderId="14" xfId="0" applyFont="1" applyBorder="1"/>
    <xf numFmtId="2" fontId="4" fillId="0" borderId="0" xfId="0" applyNumberFormat="1" applyFont="1"/>
    <xf numFmtId="2" fontId="9" fillId="4" borderId="9" xfId="0" applyNumberFormat="1" applyFont="1" applyFill="1" applyBorder="1" applyAlignment="1">
      <alignment horizontal="center" vertical="center"/>
    </xf>
    <xf numFmtId="2" fontId="0" fillId="0" borderId="15" xfId="0" applyNumberFormat="1" applyBorder="1"/>
    <xf numFmtId="0" fontId="10" fillId="0" borderId="16" xfId="0" applyFont="1" applyBorder="1" applyAlignment="1">
      <alignment horizontal="center" vertical="center"/>
    </xf>
    <xf numFmtId="2" fontId="9" fillId="4" borderId="30" xfId="0" applyNumberFormat="1" applyFont="1" applyFill="1" applyBorder="1" applyAlignment="1">
      <alignment horizontal="center" vertical="center"/>
    </xf>
    <xf numFmtId="164" fontId="3" fillId="0" borderId="14" xfId="1" applyFont="1" applyBorder="1" applyAlignment="1">
      <alignment vertical="center"/>
    </xf>
    <xf numFmtId="164" fontId="3" fillId="0" borderId="16" xfId="1" applyFont="1" applyBorder="1" applyAlignment="1">
      <alignment horizontal="center" vertical="center"/>
    </xf>
    <xf numFmtId="164" fontId="3" fillId="4" borderId="15" xfId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right" vertical="center" wrapText="1"/>
    </xf>
    <xf numFmtId="0" fontId="0" fillId="0" borderId="6" xfId="0" applyBorder="1" applyAlignment="1">
      <alignment horizontal="right"/>
    </xf>
    <xf numFmtId="164" fontId="3" fillId="0" borderId="11" xfId="1" applyFont="1" applyBorder="1" applyAlignment="1">
      <alignment horizontal="right" vertical="center"/>
    </xf>
    <xf numFmtId="164" fontId="3" fillId="0" borderId="0" xfId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43" fontId="13" fillId="3" borderId="7" xfId="0" applyNumberFormat="1" applyFont="1" applyFill="1" applyBorder="1" applyAlignment="1">
      <alignment horizontal="right" vertical="center" wrapText="1"/>
    </xf>
    <xf numFmtId="164" fontId="3" fillId="0" borderId="8" xfId="1" applyFont="1" applyBorder="1" applyAlignment="1">
      <alignment horizontal="right" vertical="center"/>
    </xf>
    <xf numFmtId="0" fontId="3" fillId="0" borderId="6" xfId="3" applyNumberFormat="1" applyFont="1" applyBorder="1" applyAlignment="1">
      <alignment vertical="center"/>
    </xf>
    <xf numFmtId="3" fontId="3" fillId="0" borderId="6" xfId="3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16" xfId="0" applyFont="1" applyBorder="1" applyAlignment="1">
      <alignment vertical="center" wrapText="1"/>
    </xf>
    <xf numFmtId="2" fontId="3" fillId="4" borderId="15" xfId="0" applyNumberFormat="1" applyFont="1" applyFill="1" applyBorder="1" applyAlignment="1">
      <alignment horizontal="center" vertical="center"/>
    </xf>
    <xf numFmtId="164" fontId="3" fillId="0" borderId="16" xfId="1" applyFont="1" applyBorder="1" applyAlignment="1">
      <alignment vertical="center"/>
    </xf>
    <xf numFmtId="164" fontId="3" fillId="0" borderId="14" xfId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1" fillId="3" borderId="6" xfId="0" applyFont="1" applyFill="1" applyBorder="1" applyAlignment="1">
      <alignment horizontal="right" vertical="center" wrapText="1"/>
    </xf>
    <xf numFmtId="164" fontId="9" fillId="4" borderId="6" xfId="1" applyFont="1" applyFill="1" applyBorder="1" applyAlignment="1">
      <alignment horizontal="right" vertical="center"/>
    </xf>
    <xf numFmtId="0" fontId="3" fillId="0" borderId="16" xfId="0" applyFont="1" applyBorder="1" applyAlignment="1">
      <alignment vertical="center"/>
    </xf>
    <xf numFmtId="0" fontId="3" fillId="0" borderId="15" xfId="0" applyFont="1" applyBorder="1" applyAlignment="1">
      <alignment horizontal="center"/>
    </xf>
    <xf numFmtId="164" fontId="10" fillId="0" borderId="13" xfId="1" applyFont="1" applyBorder="1" applyAlignment="1">
      <alignment horizontal="center" vertical="center"/>
    </xf>
    <xf numFmtId="164" fontId="10" fillId="0" borderId="14" xfId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right" vertical="center"/>
    </xf>
    <xf numFmtId="164" fontId="10" fillId="0" borderId="6" xfId="1" applyFont="1" applyBorder="1" applyAlignment="1">
      <alignment horizontal="left" vertical="top"/>
    </xf>
    <xf numFmtId="165" fontId="3" fillId="0" borderId="13" xfId="0" applyNumberFormat="1" applyFont="1" applyBorder="1" applyAlignment="1">
      <alignment horizontal="center"/>
    </xf>
    <xf numFmtId="164" fontId="9" fillId="0" borderId="16" xfId="1" applyFont="1" applyBorder="1" applyAlignment="1">
      <alignment horizontal="center" vertical="center"/>
    </xf>
    <xf numFmtId="0" fontId="10" fillId="0" borderId="16" xfId="0" applyFont="1" applyBorder="1"/>
    <xf numFmtId="164" fontId="10" fillId="0" borderId="16" xfId="0" applyNumberFormat="1" applyFont="1" applyBorder="1"/>
    <xf numFmtId="2" fontId="9" fillId="4" borderId="15" xfId="0" applyNumberFormat="1" applyFont="1" applyFill="1" applyBorder="1" applyAlignment="1">
      <alignment horizontal="center" vertical="center"/>
    </xf>
    <xf numFmtId="164" fontId="9" fillId="4" borderId="15" xfId="1" applyFont="1" applyFill="1" applyBorder="1" applyAlignment="1">
      <alignment horizontal="center" vertical="center"/>
    </xf>
    <xf numFmtId="0" fontId="12" fillId="0" borderId="6" xfId="3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2" fillId="0" borderId="20" xfId="3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3" fillId="0" borderId="15" xfId="1" applyNumberFormat="1" applyFont="1" applyBorder="1" applyAlignment="1">
      <alignment vertical="center"/>
    </xf>
    <xf numFmtId="164" fontId="3" fillId="0" borderId="15" xfId="1" applyFont="1" applyBorder="1" applyAlignment="1">
      <alignment vertical="center"/>
    </xf>
    <xf numFmtId="2" fontId="5" fillId="2" borderId="6" xfId="0" applyNumberFormat="1" applyFont="1" applyFill="1" applyBorder="1" applyAlignment="1">
      <alignment horizontal="center" vertical="center"/>
    </xf>
    <xf numFmtId="164" fontId="3" fillId="0" borderId="31" xfId="1" applyFont="1" applyBorder="1" applyAlignment="1">
      <alignment horizontal="center" vertical="center"/>
    </xf>
    <xf numFmtId="164" fontId="3" fillId="0" borderId="11" xfId="1" applyFont="1" applyBorder="1" applyAlignment="1">
      <alignment horizontal="center" vertical="top"/>
    </xf>
    <xf numFmtId="164" fontId="3" fillId="0" borderId="12" xfId="1" applyFont="1" applyBorder="1" applyAlignment="1">
      <alignment horizontal="center" vertical="top"/>
    </xf>
    <xf numFmtId="0" fontId="3" fillId="0" borderId="7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2" fontId="0" fillId="0" borderId="16" xfId="0" applyNumberFormat="1" applyBorder="1"/>
    <xf numFmtId="0" fontId="13" fillId="2" borderId="3" xfId="0" applyFont="1" applyFill="1" applyBorder="1" applyAlignment="1">
      <alignment horizontal="center" vertical="center"/>
    </xf>
    <xf numFmtId="2" fontId="13" fillId="3" borderId="16" xfId="0" applyNumberFormat="1" applyFont="1" applyFill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/>
    </xf>
    <xf numFmtId="0" fontId="13" fillId="2" borderId="16" xfId="0" applyFont="1" applyFill="1" applyBorder="1" applyAlignment="1">
      <alignment horizontal="center" vertical="center" wrapText="1"/>
    </xf>
    <xf numFmtId="164" fontId="9" fillId="0" borderId="16" xfId="1" applyFont="1" applyBorder="1" applyAlignment="1">
      <alignment vertical="center"/>
    </xf>
    <xf numFmtId="164" fontId="0" fillId="0" borderId="16" xfId="0" applyNumberFormat="1" applyBorder="1"/>
    <xf numFmtId="164" fontId="10" fillId="0" borderId="15" xfId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164" fontId="3" fillId="0" borderId="4" xfId="1" applyFont="1" applyBorder="1" applyAlignment="1">
      <alignment vertical="center"/>
    </xf>
    <xf numFmtId="165" fontId="3" fillId="0" borderId="32" xfId="0" applyNumberFormat="1" applyFont="1" applyBorder="1" applyAlignment="1">
      <alignment horizontal="center"/>
    </xf>
    <xf numFmtId="0" fontId="0" fillId="0" borderId="25" xfId="0" applyBorder="1"/>
    <xf numFmtId="0" fontId="3" fillId="0" borderId="13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5" fontId="18" fillId="2" borderId="6" xfId="0" applyNumberFormat="1" applyFont="1" applyFill="1" applyBorder="1"/>
    <xf numFmtId="2" fontId="18" fillId="0" borderId="16" xfId="0" applyNumberFormat="1" applyFont="1" applyBorder="1"/>
    <xf numFmtId="1" fontId="0" fillId="0" borderId="6" xfId="0" applyNumberFormat="1" applyBorder="1"/>
    <xf numFmtId="0" fontId="5" fillId="0" borderId="16" xfId="0" applyFont="1" applyBorder="1"/>
    <xf numFmtId="0" fontId="0" fillId="5" borderId="0" xfId="0" applyFill="1"/>
    <xf numFmtId="0" fontId="20" fillId="0" borderId="0" xfId="0" applyFont="1"/>
    <xf numFmtId="2" fontId="11" fillId="3" borderId="6" xfId="0" applyNumberFormat="1" applyFont="1" applyFill="1" applyBorder="1" applyAlignment="1">
      <alignment horizontal="center" vertical="center" wrapText="1"/>
    </xf>
    <xf numFmtId="2" fontId="9" fillId="0" borderId="16" xfId="1" applyNumberFormat="1" applyFont="1" applyBorder="1" applyAlignment="1">
      <alignment vertical="center"/>
    </xf>
    <xf numFmtId="2" fontId="9" fillId="4" borderId="6" xfId="1" applyNumberFormat="1" applyFont="1" applyFill="1" applyBorder="1" applyAlignment="1">
      <alignment horizontal="right" vertical="center"/>
    </xf>
    <xf numFmtId="2" fontId="13" fillId="3" borderId="7" xfId="0" applyNumberFormat="1" applyFont="1" applyFill="1" applyBorder="1" applyAlignment="1">
      <alignment horizontal="center" vertical="center" wrapText="1"/>
    </xf>
    <xf numFmtId="2" fontId="13" fillId="3" borderId="7" xfId="0" applyNumberFormat="1" applyFont="1" applyFill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/>
    </xf>
    <xf numFmtId="0" fontId="17" fillId="0" borderId="16" xfId="0" applyFont="1" applyBorder="1"/>
    <xf numFmtId="0" fontId="21" fillId="0" borderId="0" xfId="0" applyFont="1"/>
    <xf numFmtId="2" fontId="11" fillId="3" borderId="6" xfId="0" applyNumberFormat="1" applyFont="1" applyFill="1" applyBorder="1" applyAlignment="1">
      <alignment horizontal="right" vertical="center" wrapText="1"/>
    </xf>
    <xf numFmtId="2" fontId="9" fillId="4" borderId="6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164" fontId="3" fillId="2" borderId="6" xfId="1" applyFont="1" applyFill="1" applyBorder="1" applyAlignment="1">
      <alignment horizontal="center" vertical="center"/>
    </xf>
    <xf numFmtId="164" fontId="9" fillId="0" borderId="13" xfId="1" applyFont="1" applyBorder="1" applyAlignment="1">
      <alignment vertical="center"/>
    </xf>
    <xf numFmtId="0" fontId="0" fillId="0" borderId="14" xfId="0" applyBorder="1"/>
    <xf numFmtId="164" fontId="10" fillId="0" borderId="11" xfId="1" applyFont="1" applyBorder="1" applyAlignment="1">
      <alignment horizontal="center" vertical="center"/>
    </xf>
    <xf numFmtId="164" fontId="10" fillId="0" borderId="5" xfId="1" applyFont="1" applyBorder="1" applyAlignment="1">
      <alignment horizontal="center" vertical="center"/>
    </xf>
    <xf numFmtId="164" fontId="10" fillId="0" borderId="22" xfId="1" applyFont="1" applyBorder="1" applyAlignment="1">
      <alignment horizontal="center" vertical="center"/>
    </xf>
    <xf numFmtId="164" fontId="10" fillId="0" borderId="28" xfId="1" applyFont="1" applyBorder="1" applyAlignment="1">
      <alignment horizontal="center" vertical="center"/>
    </xf>
    <xf numFmtId="167" fontId="0" fillId="0" borderId="0" xfId="0" applyNumberFormat="1"/>
    <xf numFmtId="4" fontId="3" fillId="0" borderId="0" xfId="0" applyNumberFormat="1" applyFont="1" applyAlignment="1">
      <alignment vertical="center" wrapText="1"/>
    </xf>
    <xf numFmtId="43" fontId="3" fillId="0" borderId="0" xfId="0" applyNumberFormat="1" applyFont="1" applyAlignment="1">
      <alignment vertical="center"/>
    </xf>
    <xf numFmtId="4" fontId="0" fillId="0" borderId="0" xfId="0" applyNumberFormat="1"/>
    <xf numFmtId="168" fontId="3" fillId="0" borderId="2" xfId="1" applyNumberFormat="1" applyFont="1" applyBorder="1" applyAlignment="1">
      <alignment horizontal="center" vertical="top"/>
    </xf>
    <xf numFmtId="0" fontId="4" fillId="7" borderId="0" xfId="0" applyFont="1" applyFill="1" applyAlignment="1">
      <alignment vertical="center"/>
    </xf>
    <xf numFmtId="0" fontId="17" fillId="7" borderId="0" xfId="0" applyFont="1" applyFill="1"/>
    <xf numFmtId="0" fontId="0" fillId="0" borderId="15" xfId="0" applyBorder="1" applyAlignment="1">
      <alignment horizontal="center"/>
    </xf>
    <xf numFmtId="0" fontId="14" fillId="5" borderId="6" xfId="0" applyFont="1" applyFill="1" applyBorder="1" applyAlignment="1">
      <alignment horizontal="center" vertical="center"/>
    </xf>
    <xf numFmtId="0" fontId="23" fillId="6" borderId="16" xfId="0" applyFont="1" applyFill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2" fontId="3" fillId="0" borderId="6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5" xfId="0" applyNumberFormat="1" applyBorder="1" applyAlignment="1">
      <alignment horizontal="center"/>
    </xf>
    <xf numFmtId="4" fontId="5" fillId="0" borderId="6" xfId="0" applyNumberFormat="1" applyFont="1" applyBorder="1"/>
    <xf numFmtId="1" fontId="0" fillId="0" borderId="6" xfId="0" quotePrefix="1" applyNumberFormat="1" applyBorder="1"/>
    <xf numFmtId="164" fontId="0" fillId="0" borderId="0" xfId="0" applyNumberFormat="1" applyAlignment="1">
      <alignment horizontal="center"/>
    </xf>
    <xf numFmtId="0" fontId="13" fillId="3" borderId="7" xfId="0" applyFont="1" applyFill="1" applyBorder="1" applyAlignment="1">
      <alignment vertical="center" wrapText="1"/>
    </xf>
    <xf numFmtId="166" fontId="3" fillId="0" borderId="6" xfId="0" applyNumberFormat="1" applyFont="1" applyBorder="1"/>
    <xf numFmtId="164" fontId="4" fillId="4" borderId="6" xfId="1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9" fontId="3" fillId="0" borderId="4" xfId="1" applyNumberFormat="1" applyFont="1" applyBorder="1" applyAlignment="1">
      <alignment vertical="center"/>
    </xf>
    <xf numFmtId="169" fontId="0" fillId="0" borderId="14" xfId="0" applyNumberFormat="1" applyBorder="1"/>
    <xf numFmtId="0" fontId="24" fillId="0" borderId="14" xfId="0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1" fontId="17" fillId="0" borderId="24" xfId="0" applyNumberFormat="1" applyFont="1" applyBorder="1" applyAlignment="1">
      <alignment vertical="center"/>
    </xf>
    <xf numFmtId="164" fontId="19" fillId="0" borderId="37" xfId="1" applyFont="1" applyBorder="1" applyAlignment="1">
      <alignment horizontal="center"/>
    </xf>
    <xf numFmtId="1" fontId="3" fillId="2" borderId="6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8" fillId="0" borderId="6" xfId="0" applyFont="1" applyBorder="1"/>
    <xf numFmtId="166" fontId="26" fillId="0" borderId="6" xfId="0" applyNumberFormat="1" applyFont="1" applyBorder="1" applyAlignment="1">
      <alignment horizontal="center"/>
    </xf>
    <xf numFmtId="166" fontId="24" fillId="0" borderId="6" xfId="0" applyNumberFormat="1" applyFont="1" applyBorder="1" applyAlignment="1">
      <alignment horizontal="center" vertical="center"/>
    </xf>
    <xf numFmtId="164" fontId="24" fillId="0" borderId="6" xfId="1" applyFont="1" applyBorder="1" applyAlignment="1">
      <alignment vertical="center"/>
    </xf>
    <xf numFmtId="0" fontId="27" fillId="8" borderId="33" xfId="0" applyFont="1" applyFill="1" applyBorder="1"/>
    <xf numFmtId="0" fontId="27" fillId="8" borderId="34" xfId="0" applyFont="1" applyFill="1" applyBorder="1"/>
    <xf numFmtId="2" fontId="27" fillId="8" borderId="34" xfId="0" applyNumberFormat="1" applyFont="1" applyFill="1" applyBorder="1"/>
    <xf numFmtId="2" fontId="27" fillId="8" borderId="35" xfId="0" applyNumberFormat="1" applyFont="1" applyFill="1" applyBorder="1"/>
    <xf numFmtId="0" fontId="28" fillId="0" borderId="0" xfId="0" applyFont="1"/>
    <xf numFmtId="0" fontId="28" fillId="0" borderId="6" xfId="0" applyFont="1" applyBorder="1" applyAlignment="1">
      <alignment horizontal="center"/>
    </xf>
    <xf numFmtId="0" fontId="28" fillId="0" borderId="6" xfId="0" applyFont="1" applyBorder="1"/>
    <xf numFmtId="1" fontId="28" fillId="2" borderId="6" xfId="0" applyNumberFormat="1" applyFont="1" applyFill="1" applyBorder="1"/>
    <xf numFmtId="0" fontId="28" fillId="0" borderId="6" xfId="0" applyFont="1" applyBorder="1" applyAlignment="1">
      <alignment wrapText="1"/>
    </xf>
    <xf numFmtId="2" fontId="28" fillId="0" borderId="6" xfId="0" applyNumberFormat="1" applyFont="1" applyBorder="1"/>
    <xf numFmtId="1" fontId="28" fillId="2" borderId="4" xfId="1" applyNumberFormat="1" applyFont="1" applyFill="1" applyBorder="1" applyAlignment="1">
      <alignment vertical="center"/>
    </xf>
    <xf numFmtId="1" fontId="28" fillId="9" borderId="6" xfId="0" applyNumberFormat="1" applyFont="1" applyFill="1" applyBorder="1"/>
    <xf numFmtId="2" fontId="28" fillId="0" borderId="0" xfId="0" applyNumberFormat="1" applyFont="1"/>
    <xf numFmtId="1" fontId="28" fillId="0" borderId="0" xfId="0" applyNumberFormat="1" applyFont="1"/>
    <xf numFmtId="164" fontId="30" fillId="0" borderId="6" xfId="4" applyNumberFormat="1" applyBorder="1" applyAlignment="1">
      <alignment horizontal="center" vertical="center"/>
    </xf>
    <xf numFmtId="164" fontId="3" fillId="0" borderId="13" xfId="1" applyFont="1" applyBorder="1" applyAlignment="1">
      <alignment horizontal="center" vertical="top"/>
    </xf>
    <xf numFmtId="0" fontId="18" fillId="10" borderId="6" xfId="0" applyFont="1" applyFill="1" applyBorder="1"/>
    <xf numFmtId="0" fontId="14" fillId="5" borderId="6" xfId="0" applyFont="1" applyFill="1" applyBorder="1" applyAlignment="1">
      <alignment horizontal="right" vertical="center"/>
    </xf>
    <xf numFmtId="0" fontId="13" fillId="3" borderId="6" xfId="0" applyFont="1" applyFill="1" applyBorder="1" applyAlignment="1">
      <alignment horizontal="right" vertical="center" wrapText="1"/>
    </xf>
    <xf numFmtId="2" fontId="13" fillId="3" borderId="6" xfId="0" applyNumberFormat="1" applyFont="1" applyFill="1" applyBorder="1" applyAlignment="1">
      <alignment horizontal="right" vertical="center" wrapText="1"/>
    </xf>
    <xf numFmtId="0" fontId="13" fillId="3" borderId="6" xfId="0" applyFont="1" applyFill="1" applyBorder="1" applyAlignment="1">
      <alignment horizontal="right" vertical="center"/>
    </xf>
    <xf numFmtId="2" fontId="13" fillId="3" borderId="6" xfId="0" applyNumberFormat="1" applyFont="1" applyFill="1" applyBorder="1" applyAlignment="1">
      <alignment horizontal="right" vertical="center"/>
    </xf>
    <xf numFmtId="43" fontId="13" fillId="3" borderId="6" xfId="0" applyNumberFormat="1" applyFont="1" applyFill="1" applyBorder="1" applyAlignment="1">
      <alignment horizontal="right" vertical="center"/>
    </xf>
    <xf numFmtId="0" fontId="23" fillId="6" borderId="16" xfId="0" applyFont="1" applyFill="1" applyBorder="1" applyAlignment="1">
      <alignment horizontal="right"/>
    </xf>
    <xf numFmtId="2" fontId="22" fillId="6" borderId="25" xfId="0" applyNumberFormat="1" applyFont="1" applyFill="1" applyBorder="1" applyAlignment="1">
      <alignment horizontal="right"/>
    </xf>
    <xf numFmtId="2" fontId="22" fillId="6" borderId="14" xfId="0" applyNumberFormat="1" applyFont="1" applyFill="1" applyBorder="1" applyAlignment="1">
      <alignment horizontal="right"/>
    </xf>
    <xf numFmtId="2" fontId="0" fillId="0" borderId="6" xfId="0" applyNumberFormat="1" applyBorder="1" applyAlignment="1">
      <alignment horizontal="right"/>
    </xf>
    <xf numFmtId="2" fontId="0" fillId="2" borderId="6" xfId="0" applyNumberFormat="1" applyFill="1" applyBorder="1" applyAlignment="1">
      <alignment horizontal="right"/>
    </xf>
    <xf numFmtId="2" fontId="0" fillId="0" borderId="16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1" fontId="0" fillId="0" borderId="16" xfId="0" quotePrefix="1" applyNumberFormat="1" applyBorder="1"/>
    <xf numFmtId="2" fontId="4" fillId="2" borderId="14" xfId="0" applyNumberFormat="1" applyFont="1" applyFill="1" applyBorder="1" applyAlignment="1">
      <alignment vertical="center"/>
    </xf>
    <xf numFmtId="2" fontId="4" fillId="2" borderId="6" xfId="0" applyNumberFormat="1" applyFont="1" applyFill="1" applyBorder="1" applyAlignment="1">
      <alignment vertical="center"/>
    </xf>
    <xf numFmtId="43" fontId="5" fillId="2" borderId="15" xfId="0" applyNumberFormat="1" applyFont="1" applyFill="1" applyBorder="1" applyAlignment="1">
      <alignment horizontal="center" vertical="center"/>
    </xf>
    <xf numFmtId="164" fontId="31" fillId="0" borderId="6" xfId="1" applyFont="1" applyBorder="1" applyAlignment="1"/>
    <xf numFmtId="1" fontId="3" fillId="11" borderId="6" xfId="0" applyNumberFormat="1" applyFont="1" applyFill="1" applyBorder="1"/>
    <xf numFmtId="0" fontId="26" fillId="0" borderId="6" xfId="0" applyFont="1" applyBorder="1"/>
    <xf numFmtId="1" fontId="28" fillId="2" borderId="0" xfId="1" applyNumberFormat="1" applyFont="1" applyFill="1" applyBorder="1" applyAlignment="1">
      <alignment vertical="center"/>
    </xf>
    <xf numFmtId="170" fontId="5" fillId="2" borderId="6" xfId="0" applyNumberFormat="1" applyFont="1" applyFill="1" applyBorder="1" applyAlignment="1">
      <alignment horizontal="center" vertical="center"/>
    </xf>
    <xf numFmtId="170" fontId="0" fillId="0" borderId="14" xfId="0" applyNumberFormat="1" applyBorder="1"/>
    <xf numFmtId="43" fontId="32" fillId="0" borderId="0" xfId="0" applyNumberFormat="1" applyFont="1"/>
    <xf numFmtId="2" fontId="13" fillId="3" borderId="20" xfId="0" applyNumberFormat="1" applyFont="1" applyFill="1" applyBorder="1" applyAlignment="1">
      <alignment horizontal="center" vertical="center"/>
    </xf>
    <xf numFmtId="2" fontId="0" fillId="0" borderId="14" xfId="0" applyNumberFormat="1" applyBorder="1"/>
    <xf numFmtId="2" fontId="0" fillId="2" borderId="14" xfId="0" applyNumberFormat="1" applyFill="1" applyBorder="1" applyAlignment="1">
      <alignment horizontal="right"/>
    </xf>
    <xf numFmtId="0" fontId="0" fillId="2" borderId="13" xfId="0" applyFill="1" applyBorder="1"/>
    <xf numFmtId="2" fontId="0" fillId="0" borderId="38" xfId="0" applyNumberFormat="1" applyBorder="1" applyAlignment="1">
      <alignment horizontal="right"/>
    </xf>
    <xf numFmtId="15" fontId="18" fillId="2" borderId="15" xfId="0" applyNumberFormat="1" applyFont="1" applyFill="1" applyBorder="1"/>
    <xf numFmtId="0" fontId="18" fillId="0" borderId="15" xfId="0" applyFont="1" applyBorder="1"/>
    <xf numFmtId="2" fontId="0" fillId="0" borderId="13" xfId="0" applyNumberFormat="1" applyBorder="1" applyAlignment="1">
      <alignment horizontal="right"/>
    </xf>
    <xf numFmtId="2" fontId="22" fillId="6" borderId="27" xfId="0" applyNumberFormat="1" applyFont="1" applyFill="1" applyBorder="1" applyAlignment="1">
      <alignment horizontal="right"/>
    </xf>
    <xf numFmtId="2" fontId="22" fillId="6" borderId="29" xfId="0" applyNumberFormat="1" applyFont="1" applyFill="1" applyBorder="1" applyAlignment="1">
      <alignment horizontal="right"/>
    </xf>
    <xf numFmtId="2" fontId="0" fillId="2" borderId="15" xfId="0" applyNumberFormat="1" applyFill="1" applyBorder="1" applyAlignment="1">
      <alignment horizontal="right"/>
    </xf>
    <xf numFmtId="2" fontId="0" fillId="0" borderId="32" xfId="0" applyNumberFormat="1" applyBorder="1" applyAlignment="1">
      <alignment horizontal="right"/>
    </xf>
    <xf numFmtId="0" fontId="18" fillId="0" borderId="16" xfId="0" applyFont="1" applyBorder="1"/>
    <xf numFmtId="0" fontId="33" fillId="0" borderId="6" xfId="0" applyFont="1" applyBorder="1"/>
    <xf numFmtId="0" fontId="33" fillId="0" borderId="15" xfId="0" applyFont="1" applyBorder="1"/>
    <xf numFmtId="0" fontId="3" fillId="2" borderId="36" xfId="0" applyFont="1" applyFill="1" applyBorder="1"/>
    <xf numFmtId="1" fontId="34" fillId="12" borderId="39" xfId="0" applyNumberFormat="1" applyFont="1" applyFill="1" applyBorder="1" applyAlignment="1">
      <alignment horizontal="right" vertical="center"/>
    </xf>
    <xf numFmtId="2" fontId="0" fillId="0" borderId="25" xfId="0" applyNumberFormat="1" applyBorder="1" applyAlignment="1">
      <alignment horizontal="right"/>
    </xf>
    <xf numFmtId="2" fontId="0" fillId="0" borderId="28" xfId="0" applyNumberFormat="1" applyBorder="1" applyAlignment="1">
      <alignment horizontal="right"/>
    </xf>
    <xf numFmtId="0" fontId="18" fillId="0" borderId="14" xfId="0" applyFont="1" applyBorder="1"/>
    <xf numFmtId="15" fontId="18" fillId="2" borderId="16" xfId="0" applyNumberFormat="1" applyFont="1" applyFill="1" applyBorder="1"/>
    <xf numFmtId="0" fontId="18" fillId="2" borderId="16" xfId="0" applyFont="1" applyFill="1" applyBorder="1"/>
    <xf numFmtId="0" fontId="18" fillId="2" borderId="15" xfId="0" applyFont="1" applyFill="1" applyBorder="1"/>
    <xf numFmtId="0" fontId="18" fillId="0" borderId="6" xfId="0" applyFont="1" applyBorder="1" applyAlignment="1">
      <alignment horizontal="center"/>
    </xf>
    <xf numFmtId="166" fontId="26" fillId="0" borderId="15" xfId="0" applyNumberFormat="1" applyFont="1" applyBorder="1" applyAlignment="1">
      <alignment horizontal="center"/>
    </xf>
    <xf numFmtId="166" fontId="26" fillId="0" borderId="40" xfId="0" applyNumberFormat="1" applyFont="1" applyBorder="1" applyAlignment="1">
      <alignment horizontal="center"/>
    </xf>
    <xf numFmtId="166" fontId="26" fillId="0" borderId="14" xfId="0" applyNumberFormat="1" applyFont="1" applyBorder="1" applyAlignment="1">
      <alignment horizontal="center"/>
    </xf>
    <xf numFmtId="166" fontId="31" fillId="0" borderId="6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/>
    </xf>
    <xf numFmtId="166" fontId="26" fillId="0" borderId="2" xfId="0" applyNumberFormat="1" applyFont="1" applyBorder="1" applyAlignment="1">
      <alignment horizontal="center"/>
    </xf>
    <xf numFmtId="0" fontId="26" fillId="0" borderId="16" xfId="0" applyFont="1" applyBorder="1" applyAlignment="1">
      <alignment horizontal="center" vertical="center"/>
    </xf>
    <xf numFmtId="0" fontId="26" fillId="0" borderId="16" xfId="0" applyFont="1" applyBorder="1"/>
    <xf numFmtId="166" fontId="31" fillId="0" borderId="14" xfId="0" applyNumberFormat="1" applyFont="1" applyBorder="1" applyAlignment="1">
      <alignment horizontal="center"/>
    </xf>
    <xf numFmtId="166" fontId="26" fillId="0" borderId="38" xfId="0" applyNumberFormat="1" applyFont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13" borderId="0" xfId="0" applyNumberFormat="1" applyFill="1" applyAlignment="1">
      <alignment horizontal="right"/>
    </xf>
    <xf numFmtId="2" fontId="0" fillId="13" borderId="14" xfId="0" applyNumberFormat="1" applyFill="1" applyBorder="1" applyAlignment="1">
      <alignment horizontal="right"/>
    </xf>
    <xf numFmtId="164" fontId="10" fillId="14" borderId="6" xfId="1" applyFont="1" applyFill="1" applyBorder="1" applyAlignment="1">
      <alignment horizontal="center" vertic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5" fillId="14" borderId="6" xfId="0" applyFont="1" applyFill="1" applyBorder="1"/>
    <xf numFmtId="0" fontId="0" fillId="0" borderId="0" xfId="0" applyAlignment="1">
      <alignment horizontal="left"/>
    </xf>
    <xf numFmtId="1" fontId="28" fillId="14" borderId="6" xfId="0" applyNumberFormat="1" applyFont="1" applyFill="1" applyBorder="1"/>
    <xf numFmtId="0" fontId="4" fillId="0" borderId="0" xfId="0" applyFont="1" applyAlignment="1">
      <alignment horizontal="center" vertical="center"/>
    </xf>
    <xf numFmtId="0" fontId="14" fillId="5" borderId="12" xfId="0" applyFont="1" applyFill="1" applyBorder="1" applyAlignment="1">
      <alignment horizontal="center"/>
    </xf>
    <xf numFmtId="0" fontId="29" fillId="9" borderId="6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4" fillId="5" borderId="6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7" fillId="0" borderId="28" xfId="0" applyFont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5" borderId="12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3" fillId="5" borderId="6" xfId="0" applyFont="1" applyFill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43" fontId="4" fillId="2" borderId="13" xfId="0" applyNumberFormat="1" applyFont="1" applyFill="1" applyBorder="1" applyAlignment="1">
      <alignment horizontal="center" vertical="center"/>
    </xf>
    <xf numFmtId="43" fontId="4" fillId="2" borderId="14" xfId="0" applyNumberFormat="1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wrapText="1"/>
    </xf>
    <xf numFmtId="2" fontId="14" fillId="5" borderId="6" xfId="0" applyNumberFormat="1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wrapText="1"/>
    </xf>
    <xf numFmtId="0" fontId="4" fillId="0" borderId="2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5" borderId="0" xfId="0" applyFont="1" applyFill="1" applyAlignment="1">
      <alignment horizontal="center"/>
    </xf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FBF7FABB-9BA5-4D93-8CF6-F4A6D6C03149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5" dT="2025-08-13T05:17:06.82" personId="{FBF7FABB-9BA5-4D93-8CF6-F4A6D6C03149}" id="{91DE398F-327C-4EE1-8006-B109024DDCB3}">
    <text>other fuel F/S</text>
  </threadedComment>
</ThreadedComment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civetprojectss-my.sharepoint.com/:x:/g/personal/mis_civetprojects_com/EaN7JETNVtRCqKO_Lcark7UBOl55m2ikPSDC63AQ1xDxNg?e=f6qb8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M48"/>
  <sheetViews>
    <sheetView topLeftCell="A35" workbookViewId="0">
      <selection activeCell="A27" sqref="A27:XFD27"/>
    </sheetView>
  </sheetViews>
  <sheetFormatPr defaultColWidth="8.28515625" defaultRowHeight="15.75"/>
  <cols>
    <col min="1" max="1" width="8.28515625" style="324"/>
    <col min="2" max="2" width="25" style="324" customWidth="1"/>
    <col min="3" max="3" width="34.5703125" style="324" bestFit="1" customWidth="1"/>
    <col min="4" max="4" width="14.85546875" style="324" customWidth="1"/>
    <col min="5" max="5" width="15.42578125" style="324" customWidth="1"/>
    <col min="6" max="6" width="14.5703125" style="324" customWidth="1"/>
    <col min="7" max="7" width="16.5703125" style="324" customWidth="1"/>
    <col min="8" max="8" width="23.5703125" style="324" customWidth="1"/>
    <col min="9" max="9" width="17.42578125" style="324" customWidth="1"/>
    <col min="10" max="10" width="16.7109375" style="324" customWidth="1"/>
    <col min="11" max="11" width="20.42578125" style="324" customWidth="1"/>
    <col min="12" max="12" width="22.7109375" style="324" customWidth="1"/>
    <col min="13" max="13" width="17.85546875" style="324" customWidth="1"/>
    <col min="14" max="16384" width="8.28515625" style="324"/>
  </cols>
  <sheetData>
    <row r="1" spans="1:12">
      <c r="A1" s="320" t="s">
        <v>0</v>
      </c>
      <c r="B1" s="321" t="s">
        <v>1</v>
      </c>
      <c r="C1" s="321" t="s">
        <v>2</v>
      </c>
      <c r="D1" s="322" t="s">
        <v>3</v>
      </c>
      <c r="E1" s="322" t="s">
        <v>4</v>
      </c>
      <c r="F1" s="322" t="s">
        <v>5</v>
      </c>
      <c r="G1" s="322" t="s">
        <v>6</v>
      </c>
      <c r="H1" s="322" t="s">
        <v>7</v>
      </c>
      <c r="I1" s="322" t="s">
        <v>8</v>
      </c>
      <c r="J1" s="322" t="s">
        <v>9</v>
      </c>
      <c r="K1" s="323" t="s">
        <v>10</v>
      </c>
    </row>
    <row r="2" spans="1:12">
      <c r="A2" s="325">
        <v>1</v>
      </c>
      <c r="B2" s="326" t="s">
        <v>11</v>
      </c>
      <c r="C2" s="326" t="s">
        <v>12</v>
      </c>
      <c r="D2" s="327">
        <f>+'Khammam-1'!E38</f>
        <v>66910.820000000007</v>
      </c>
      <c r="E2" s="327">
        <f>+'Khammam-1'!G38</f>
        <v>6401975.2576000001</v>
      </c>
      <c r="F2" s="327">
        <f>+'Khammam-1'!H38</f>
        <v>480</v>
      </c>
      <c r="G2" s="327">
        <f>+'Khammam-1'!J38</f>
        <v>51580.799999999996</v>
      </c>
      <c r="H2" s="327">
        <f>E2+G2</f>
        <v>6453556.0575999999</v>
      </c>
      <c r="I2" s="327">
        <f>+'Khammam-1'!K3</f>
        <v>14609947.222099999</v>
      </c>
      <c r="J2" s="327">
        <f>+'Khammam-1'!L38</f>
        <v>10000000</v>
      </c>
      <c r="K2" s="327">
        <f>H2+I2-J2</f>
        <v>11063503.2797</v>
      </c>
    </row>
    <row r="3" spans="1:12">
      <c r="A3" s="325">
        <v>2</v>
      </c>
      <c r="B3" s="326" t="s">
        <v>13</v>
      </c>
      <c r="C3" s="326" t="s">
        <v>14</v>
      </c>
      <c r="D3" s="327">
        <f>+'Khammam-2'!E35</f>
        <v>94406.49</v>
      </c>
      <c r="E3" s="327">
        <f>+'Khammam-2'!G35</f>
        <v>9034701.0930000003</v>
      </c>
      <c r="F3" s="327">
        <f>+'Khammam-2'!H35</f>
        <v>470</v>
      </c>
      <c r="G3" s="327">
        <f>+'Khammam-2'!J35</f>
        <v>50515.599999999991</v>
      </c>
      <c r="H3" s="327">
        <f>E3+G3</f>
        <v>9085216.693</v>
      </c>
      <c r="I3" s="327">
        <f>+'Khammam-2'!K3</f>
        <v>12663588.297399998</v>
      </c>
      <c r="J3" s="327">
        <f>+'Khammam-2'!L35</f>
        <v>10000000</v>
      </c>
      <c r="K3" s="327">
        <f>H3+I3-J3</f>
        <v>11748804.990399998</v>
      </c>
    </row>
    <row r="4" spans="1:12">
      <c r="A4" s="325">
        <v>3</v>
      </c>
      <c r="B4" s="326" t="s">
        <v>15</v>
      </c>
      <c r="C4" s="326" t="s">
        <v>16</v>
      </c>
      <c r="D4" s="327">
        <f>+'Jedcherla -1'!E36</f>
        <v>38219.440000000002</v>
      </c>
      <c r="E4" s="327">
        <f>+'Jedcherla -1'!G36</f>
        <v>3685118.4048000001</v>
      </c>
      <c r="F4" s="327">
        <f>+'Jedcherla -1'!H36</f>
        <v>472.1</v>
      </c>
      <c r="G4" s="327">
        <f>+'Jedcherla -1'!J36</f>
        <v>51095.383000000002</v>
      </c>
      <c r="H4" s="327">
        <f>E4+G4</f>
        <v>3736213.7878</v>
      </c>
      <c r="I4" s="327">
        <f>+'Jedcherla -1'!M3</f>
        <v>1388015.2685000002</v>
      </c>
      <c r="J4" s="327">
        <f>+'Jedcherla -1'!L36</f>
        <v>1288000</v>
      </c>
      <c r="K4" s="327">
        <f>H4+I4-J4</f>
        <v>3836229.0563000003</v>
      </c>
    </row>
    <row r="5" spans="1:12">
      <c r="A5" s="325">
        <v>4</v>
      </c>
      <c r="B5" s="326" t="s">
        <v>17</v>
      </c>
      <c r="C5" s="326" t="s">
        <v>18</v>
      </c>
      <c r="D5" s="327">
        <f>+'Jedcharla-2'!E35</f>
        <v>0</v>
      </c>
      <c r="E5" s="327">
        <f>+'Jedcharla-2'!G35</f>
        <v>0</v>
      </c>
      <c r="F5" s="327">
        <v>0</v>
      </c>
      <c r="G5" s="327">
        <v>0</v>
      </c>
      <c r="H5" s="327">
        <f t="shared" ref="H5:H42" si="0">E5+G5</f>
        <v>0</v>
      </c>
      <c r="I5" s="327">
        <f>+'Jedcharla-2'!K3</f>
        <v>1400599.5758000002</v>
      </c>
      <c r="J5" s="327">
        <f>+'Jedcharla-2'!L35</f>
        <v>1400600</v>
      </c>
      <c r="K5" s="327">
        <f>H5+I5-J5</f>
        <v>-0.42419999977573752</v>
      </c>
      <c r="L5" s="333"/>
    </row>
    <row r="6" spans="1:12">
      <c r="A6" s="325">
        <v>5</v>
      </c>
      <c r="B6" s="326" t="s">
        <v>19</v>
      </c>
      <c r="C6" s="326" t="s">
        <v>20</v>
      </c>
      <c r="D6" s="327">
        <f>+Sangareddy!E40</f>
        <v>0</v>
      </c>
      <c r="E6" s="327">
        <f>+Sangareddy!G40</f>
        <v>0</v>
      </c>
      <c r="F6" s="327">
        <f>+Sangareddy!H40</f>
        <v>0</v>
      </c>
      <c r="G6" s="327">
        <f>+Sangareddy!J40</f>
        <v>0</v>
      </c>
      <c r="H6" s="327">
        <f t="shared" si="0"/>
        <v>0</v>
      </c>
      <c r="I6" s="327">
        <f>+Sangareddy!K3</f>
        <v>0</v>
      </c>
      <c r="J6" s="327">
        <f>+Sangareddy!L40</f>
        <v>0</v>
      </c>
      <c r="K6" s="327">
        <f t="shared" ref="K6:K42" si="1">H6+I6-J6</f>
        <v>0</v>
      </c>
    </row>
    <row r="7" spans="1:12">
      <c r="A7" s="325">
        <v>6</v>
      </c>
      <c r="B7" s="326" t="s">
        <v>21</v>
      </c>
      <c r="C7" s="326" t="s">
        <v>22</v>
      </c>
      <c r="D7" s="327">
        <f>+Dindi!E35</f>
        <v>176.65</v>
      </c>
      <c r="E7" s="327">
        <f>+Dindi!G35</f>
        <v>17065.626199999999</v>
      </c>
      <c r="F7" s="327">
        <f>+Dindi!H35</f>
        <v>25</v>
      </c>
      <c r="G7" s="327">
        <f>+Dindi!J35</f>
        <v>2729</v>
      </c>
      <c r="H7" s="327">
        <f>E7+G7</f>
        <v>19794.626199999999</v>
      </c>
      <c r="I7" s="327"/>
      <c r="J7" s="327">
        <f>+Dindi!L35</f>
        <v>19794.626199999999</v>
      </c>
      <c r="K7" s="327">
        <f t="shared" si="1"/>
        <v>0</v>
      </c>
    </row>
    <row r="8" spans="1:12">
      <c r="A8" s="325">
        <v>7</v>
      </c>
      <c r="B8" s="326" t="s">
        <v>23</v>
      </c>
      <c r="C8" s="326" t="s">
        <v>24</v>
      </c>
      <c r="D8" s="327">
        <f>+Devarakhadra!E35</f>
        <v>12052.63</v>
      </c>
      <c r="E8" s="327">
        <f>+Devarakhadra!G35</f>
        <v>1170310.3729999999</v>
      </c>
      <c r="F8" s="327">
        <f>+Devarakhadra!H35</f>
        <v>108</v>
      </c>
      <c r="G8" s="327">
        <f>+Devarakhadra!J35</f>
        <v>11753.639999999998</v>
      </c>
      <c r="H8" s="327">
        <f>E8+G8</f>
        <v>1182064.0129999998</v>
      </c>
      <c r="I8" s="327">
        <f>+Devarakhadra!M3</f>
        <v>580925.57799999998</v>
      </c>
      <c r="J8" s="327">
        <f>+Devarakhadra!L35</f>
        <v>1200000</v>
      </c>
      <c r="K8" s="327">
        <f t="shared" si="1"/>
        <v>562989.59099999978</v>
      </c>
    </row>
    <row r="9" spans="1:12">
      <c r="A9" s="325">
        <v>8</v>
      </c>
      <c r="B9" s="326" t="s">
        <v>25</v>
      </c>
      <c r="C9" s="326" t="s">
        <v>26</v>
      </c>
      <c r="D9" s="327">
        <f>+'Devarakhadra-2'!E35</f>
        <v>1380.16</v>
      </c>
      <c r="E9" s="327">
        <f>+'Devarakhadra-2'!G35</f>
        <v>134013.53599999999</v>
      </c>
      <c r="F9" s="327">
        <f>+'Devarakhadra-2'!H35</f>
        <v>0</v>
      </c>
      <c r="G9" s="327">
        <f>+'Devarakhadra-2'!I35</f>
        <v>0</v>
      </c>
      <c r="H9" s="327">
        <f>E9+G9</f>
        <v>134013.53599999999</v>
      </c>
      <c r="I9" s="327">
        <f>+'Devarakhadra-2'!M3</f>
        <v>0</v>
      </c>
      <c r="J9" s="327">
        <f>+'Devarakhadra-2'!L35</f>
        <v>0</v>
      </c>
      <c r="K9" s="327">
        <f t="shared" si="1"/>
        <v>134013.53599999999</v>
      </c>
    </row>
    <row r="10" spans="1:12">
      <c r="A10" s="325">
        <v>9</v>
      </c>
      <c r="B10" s="326" t="s">
        <v>27</v>
      </c>
      <c r="C10" s="326" t="s">
        <v>28</v>
      </c>
      <c r="D10" s="327">
        <f>+Amalapuram!E35</f>
        <v>224.73000000000002</v>
      </c>
      <c r="E10" s="327">
        <f>+Amalapuram!G35</f>
        <v>21892.274999999998</v>
      </c>
      <c r="F10" s="327">
        <f>+Amalapuram!H35</f>
        <v>74.19</v>
      </c>
      <c r="G10" s="327">
        <f>+Amalapuram!J35</f>
        <v>8122.7237000000005</v>
      </c>
      <c r="H10" s="327">
        <f>E10+G10</f>
        <v>30014.998699999996</v>
      </c>
      <c r="I10" s="327">
        <f>+Amalapuram!M3</f>
        <v>0</v>
      </c>
      <c r="J10" s="327">
        <f>+Amalapuram!L35</f>
        <v>30014.994199999997</v>
      </c>
      <c r="K10" s="327">
        <f t="shared" si="1"/>
        <v>4.4999999990977813E-3</v>
      </c>
    </row>
    <row r="11" spans="1:12">
      <c r="A11" s="325">
        <v>10</v>
      </c>
      <c r="B11" s="326" t="s">
        <v>29</v>
      </c>
      <c r="C11" s="326" t="s">
        <v>30</v>
      </c>
      <c r="D11" s="327">
        <f>+'YG Gudda '!E36</f>
        <v>4400</v>
      </c>
      <c r="E11" s="327">
        <f>+'YG Gudda '!G36</f>
        <v>401720</v>
      </c>
      <c r="F11" s="327">
        <f>+'YG Gudda '!H36</f>
        <v>315</v>
      </c>
      <c r="G11" s="327">
        <f>+'YG Gudda '!J36</f>
        <v>32520.6</v>
      </c>
      <c r="H11" s="327">
        <f t="shared" ref="H11:H12" si="2">E11+G11</f>
        <v>434240.6</v>
      </c>
      <c r="I11" s="327">
        <f>'YG Gudda '!K3</f>
        <v>99992.614513800188</v>
      </c>
      <c r="J11" s="327">
        <f>+'YG Gudda '!L36</f>
        <v>250000</v>
      </c>
      <c r="K11" s="327">
        <f t="shared" si="1"/>
        <v>284233.21451380011</v>
      </c>
    </row>
    <row r="12" spans="1:12">
      <c r="A12" s="325">
        <v>11</v>
      </c>
      <c r="B12" s="326" t="s">
        <v>31</v>
      </c>
      <c r="C12" s="326" t="s">
        <v>32</v>
      </c>
      <c r="D12" s="327">
        <f>+'YG Gudda-2'!E36</f>
        <v>4800</v>
      </c>
      <c r="E12" s="327">
        <f>+'YG Gudda-2'!G36</f>
        <v>438384</v>
      </c>
      <c r="F12" s="327">
        <f>+'YG Gudda-2'!H36</f>
        <v>210</v>
      </c>
      <c r="G12" s="327">
        <f>+'YG Gudda-2'!J36</f>
        <v>21686.7</v>
      </c>
      <c r="H12" s="327">
        <f t="shared" si="2"/>
        <v>460070.7</v>
      </c>
      <c r="I12" s="327">
        <f>+'YG Gudda-2'!M3</f>
        <v>0</v>
      </c>
      <c r="J12" s="327">
        <f>+'YG Gudda-2'!L36</f>
        <v>230000</v>
      </c>
      <c r="K12" s="327">
        <f t="shared" si="1"/>
        <v>230070.7</v>
      </c>
    </row>
    <row r="13" spans="1:12">
      <c r="A13" s="325">
        <v>12</v>
      </c>
      <c r="B13" s="326" t="s">
        <v>33</v>
      </c>
      <c r="C13" s="326" t="s">
        <v>34</v>
      </c>
      <c r="D13" s="327">
        <f>+Hosadurga!E35</f>
        <v>0</v>
      </c>
      <c r="E13" s="327">
        <f>+Hosadurga!G35</f>
        <v>0</v>
      </c>
      <c r="F13" s="327">
        <f>+Hosadurga!H35</f>
        <v>70</v>
      </c>
      <c r="G13" s="327">
        <f>+Hosadurga!J35</f>
        <v>7279.2999999999993</v>
      </c>
      <c r="H13" s="327">
        <f t="shared" si="0"/>
        <v>7279.2999999999993</v>
      </c>
      <c r="I13" s="327">
        <f>+Hosadurga!K3</f>
        <v>0</v>
      </c>
      <c r="J13" s="327">
        <f>+Hosadurga!L35</f>
        <v>0</v>
      </c>
      <c r="K13" s="327">
        <f t="shared" si="1"/>
        <v>7279.2999999999993</v>
      </c>
    </row>
    <row r="14" spans="1:12">
      <c r="A14" s="325">
        <v>13</v>
      </c>
      <c r="B14" s="326" t="s">
        <v>35</v>
      </c>
      <c r="C14" s="326" t="s">
        <v>36</v>
      </c>
      <c r="D14" s="327">
        <f>+'Hosadurga -2'!E35</f>
        <v>6000</v>
      </c>
      <c r="E14" s="327">
        <f>+'Hosadurga -2'!G35</f>
        <v>549300</v>
      </c>
      <c r="F14" s="327">
        <f>+'Hosadurga -2'!H35</f>
        <v>210</v>
      </c>
      <c r="G14" s="327">
        <f>+'Hosadurga -2'!J35</f>
        <v>21783.300000000003</v>
      </c>
      <c r="H14" s="327">
        <f>+'Hosadurga -2'!K35</f>
        <v>571083.30000000005</v>
      </c>
      <c r="I14" s="327">
        <f>+'Hosadurga -2'!K3</f>
        <v>618231.25190000003</v>
      </c>
      <c r="J14" s="327">
        <f>+'Hosadurga -2'!L35</f>
        <v>750000</v>
      </c>
      <c r="K14" s="327">
        <f>H14+I14-J14</f>
        <v>439314.55190000008</v>
      </c>
    </row>
    <row r="15" spans="1:12" ht="16.5">
      <c r="A15" s="325">
        <v>14</v>
      </c>
      <c r="B15" s="328" t="s">
        <v>37</v>
      </c>
      <c r="C15" s="328" t="s">
        <v>38</v>
      </c>
      <c r="D15" s="327">
        <f>+'Malebenur(KUWSDB)'!E36</f>
        <v>5316.78</v>
      </c>
      <c r="E15" s="327">
        <f>+'Malebenur(KUWSDB)'!G36</f>
        <v>490526.12280000001</v>
      </c>
      <c r="F15" s="327">
        <f>+'Malebenur(KUWSDB)'!H36</f>
        <v>210</v>
      </c>
      <c r="G15" s="327">
        <f>+'Malebenur(KUWSDB)'!J36</f>
        <v>21867.3</v>
      </c>
      <c r="H15" s="327">
        <f>E15+G15</f>
        <v>512393.4228</v>
      </c>
      <c r="I15" s="327">
        <f>+'Malebenur(KUWSDB)'!K3</f>
        <v>46138.763999999966</v>
      </c>
      <c r="J15" s="327">
        <f>+'Malebenur(KUWSDB)'!L36</f>
        <v>366722.67</v>
      </c>
      <c r="K15" s="327">
        <f>H15+I15-J15</f>
        <v>191809.51680000004</v>
      </c>
    </row>
    <row r="16" spans="1:12">
      <c r="A16" s="325">
        <v>15</v>
      </c>
      <c r="B16" s="326" t="s">
        <v>39</v>
      </c>
      <c r="C16" s="326" t="s">
        <v>40</v>
      </c>
      <c r="D16" s="327">
        <f>+Kadur!E35</f>
        <v>0</v>
      </c>
      <c r="E16" s="327">
        <f>+Kadur!G35</f>
        <v>0</v>
      </c>
      <c r="F16" s="327">
        <f>+Kadur!H35</f>
        <v>110</v>
      </c>
      <c r="G16" s="327">
        <f>+Kadur!J35</f>
        <v>11469.699999999999</v>
      </c>
      <c r="H16" s="327">
        <f t="shared" si="0"/>
        <v>11469.699999999999</v>
      </c>
      <c r="I16" s="327">
        <f>+Kadur!K3</f>
        <v>405569.43099999975</v>
      </c>
      <c r="J16" s="327">
        <f>+Kadur!L35</f>
        <v>0</v>
      </c>
      <c r="K16" s="327">
        <f t="shared" si="1"/>
        <v>417039.13099999976</v>
      </c>
    </row>
    <row r="17" spans="1:12">
      <c r="A17" s="325">
        <v>16</v>
      </c>
      <c r="B17" s="326" t="s">
        <v>41</v>
      </c>
      <c r="C17" s="326" t="s">
        <v>42</v>
      </c>
      <c r="D17" s="327">
        <f>+'Hiriyur(VJNL)'!E35</f>
        <v>4300</v>
      </c>
      <c r="E17" s="327">
        <f>+'Hiriyur(VJNL)'!G35</f>
        <v>396718</v>
      </c>
      <c r="F17" s="327">
        <f>+'Hiriyur(VJNL)'!H35</f>
        <v>175</v>
      </c>
      <c r="G17" s="327">
        <f>+'Hiriyur(VJNL)'!J35</f>
        <v>18224.5</v>
      </c>
      <c r="H17" s="327">
        <f t="shared" si="0"/>
        <v>414942.5</v>
      </c>
      <c r="I17" s="327">
        <f>+'Hiriyur(VJNL)'!K3</f>
        <v>26749.799999999988</v>
      </c>
      <c r="J17" s="327">
        <f>+'Hiriyur(VJNL)'!L35</f>
        <v>249700</v>
      </c>
      <c r="K17" s="327">
        <f t="shared" si="1"/>
        <v>191992.3</v>
      </c>
    </row>
    <row r="18" spans="1:12">
      <c r="A18" s="325">
        <v>17</v>
      </c>
      <c r="B18" s="326" t="s">
        <v>43</v>
      </c>
      <c r="C18" s="326" t="s">
        <v>44</v>
      </c>
      <c r="D18" s="327">
        <f>+'Chellakere (KUWSDB)'!E35</f>
        <v>2909.6899999999996</v>
      </c>
      <c r="E18" s="327">
        <f>+'Chellakere (KUWSDB)'!G35</f>
        <v>268383.70870000002</v>
      </c>
      <c r="F18" s="327">
        <f>+'Chellakere (KUWSDB)'!H35</f>
        <v>130</v>
      </c>
      <c r="G18" s="327">
        <f>+'Chellakere (KUWSDB)'!J35</f>
        <v>13536.899999999998</v>
      </c>
      <c r="H18" s="327">
        <f t="shared" si="0"/>
        <v>281920.60870000004</v>
      </c>
      <c r="I18" s="327">
        <v>0</v>
      </c>
      <c r="J18" s="327">
        <f>+'Chellakere (KUWSDB)'!L35</f>
        <v>281920.60869999998</v>
      </c>
      <c r="K18" s="327">
        <f t="shared" si="1"/>
        <v>0</v>
      </c>
    </row>
    <row r="19" spans="1:12">
      <c r="A19" s="325">
        <v>18</v>
      </c>
      <c r="B19" s="326" t="s">
        <v>45</v>
      </c>
      <c r="C19" s="378" t="s">
        <v>46</v>
      </c>
      <c r="D19" s="327">
        <f>+Molakamuru!E35</f>
        <v>1212.5900000000001</v>
      </c>
      <c r="E19" s="327">
        <f>+Molakamuru!G35</f>
        <v>111839.04980000001</v>
      </c>
      <c r="F19" s="327">
        <f>+Molakamuru!H35</f>
        <v>44.96</v>
      </c>
      <c r="G19" s="327">
        <f>+Molakamuru!J35</f>
        <v>4680.2043000000003</v>
      </c>
      <c r="H19" s="327">
        <f t="shared" si="0"/>
        <v>116519.25410000001</v>
      </c>
      <c r="I19" s="327">
        <f>+Molakamuru!K3</f>
        <v>0</v>
      </c>
      <c r="J19" s="327">
        <f>+Molakamuru!L35</f>
        <v>116519.25410000001</v>
      </c>
      <c r="K19" s="327">
        <f t="shared" si="1"/>
        <v>0</v>
      </c>
    </row>
    <row r="20" spans="1:12">
      <c r="A20" s="325">
        <v>19</v>
      </c>
      <c r="B20" s="326" t="s">
        <v>47</v>
      </c>
      <c r="C20" s="326" t="s">
        <v>48</v>
      </c>
      <c r="D20" s="327">
        <f>+Khanapur!E35</f>
        <v>60</v>
      </c>
      <c r="E20" s="327">
        <f>+Khanapur!G35</f>
        <v>5452.7999999999993</v>
      </c>
      <c r="F20" s="327">
        <f>+Khanapur!H35</f>
        <v>23.91</v>
      </c>
      <c r="G20" s="327">
        <f>+Khanapur!J35</f>
        <v>2457.2307000000001</v>
      </c>
      <c r="H20" s="327">
        <f t="shared" si="0"/>
        <v>7910.0306999999993</v>
      </c>
      <c r="I20" s="327">
        <v>0</v>
      </c>
      <c r="J20" s="327">
        <f>+Khanapur!M35</f>
        <v>7910.0306999999993</v>
      </c>
      <c r="K20" s="327">
        <f t="shared" si="1"/>
        <v>0</v>
      </c>
    </row>
    <row r="21" spans="1:12">
      <c r="A21" s="325">
        <v>20</v>
      </c>
      <c r="B21" s="326" t="s">
        <v>49</v>
      </c>
      <c r="C21" s="326" t="s">
        <v>50</v>
      </c>
      <c r="D21" s="327">
        <f>+'Munavali-2'!E37</f>
        <v>7155.15</v>
      </c>
      <c r="E21" s="327">
        <f>+'Munavali-2'!G37</f>
        <v>653398.43579999986</v>
      </c>
      <c r="F21" s="327">
        <f>+'Munavali-2'!H37</f>
        <v>145</v>
      </c>
      <c r="G21" s="327">
        <f>+'Munavali-2'!J37</f>
        <v>14969.800000000003</v>
      </c>
      <c r="H21" s="327">
        <f t="shared" si="0"/>
        <v>668368.23579999991</v>
      </c>
      <c r="I21" s="327">
        <f>+'Munavali-2'!M3</f>
        <v>26506.399999999994</v>
      </c>
      <c r="J21" s="327">
        <f>+'Munavali-2'!L37</f>
        <v>215000.4062</v>
      </c>
      <c r="K21" s="405">
        <f t="shared" si="1"/>
        <v>479874.22959999996</v>
      </c>
    </row>
    <row r="22" spans="1:12">
      <c r="A22" s="325">
        <v>21</v>
      </c>
      <c r="B22" s="326" t="s">
        <v>51</v>
      </c>
      <c r="C22" s="326" t="s">
        <v>52</v>
      </c>
      <c r="D22" s="327">
        <f>+Borgaon!E35</f>
        <v>839.25</v>
      </c>
      <c r="E22" s="327">
        <f>+Borgaon!G35</f>
        <v>77017.972500000003</v>
      </c>
      <c r="F22" s="327">
        <f>+Borgaon!H35</f>
        <v>53</v>
      </c>
      <c r="G22" s="327">
        <f>+Borgaon!J35</f>
        <v>5532.8</v>
      </c>
      <c r="H22" s="327">
        <f t="shared" si="0"/>
        <v>82550.772500000006</v>
      </c>
      <c r="I22" s="327">
        <f>+Borgaon!K3</f>
        <v>29694.835599999984</v>
      </c>
      <c r="J22" s="327">
        <f>+Borgaon!L35</f>
        <v>73270</v>
      </c>
      <c r="K22" s="327">
        <f>H22+I22-J22</f>
        <v>38975.608099999983</v>
      </c>
      <c r="L22" s="333"/>
    </row>
    <row r="23" spans="1:12">
      <c r="A23" s="325">
        <v>22</v>
      </c>
      <c r="B23" s="326" t="s">
        <v>53</v>
      </c>
      <c r="C23" s="326" t="s">
        <v>54</v>
      </c>
      <c r="D23" s="327">
        <f>+'Ugar,Khagwad,Kudichi'!E35</f>
        <v>4077.5800000000008</v>
      </c>
      <c r="E23" s="327">
        <f>+'Ugar,Khagwad,Kudichi'!G35</f>
        <v>374851.92940000002</v>
      </c>
      <c r="F23" s="327">
        <f>+'Ugar,Khagwad,Kudichi'!H35</f>
        <v>297</v>
      </c>
      <c r="G23" s="327">
        <f>+'Ugar,Khagwad,Kudichi'!J35</f>
        <v>30855.33</v>
      </c>
      <c r="H23" s="327">
        <f t="shared" si="0"/>
        <v>405707.25940000004</v>
      </c>
      <c r="I23" s="327">
        <f>+'Ugar,Khagwad,Kudichi'!M3</f>
        <v>21188.9797000002</v>
      </c>
      <c r="J23" s="327">
        <f>+'Ugar,Khagwad,Kudichi'!L35</f>
        <v>150000</v>
      </c>
      <c r="K23" s="327">
        <f>H23+I23-J23</f>
        <v>276896.23910000024</v>
      </c>
      <c r="L23" s="333"/>
    </row>
    <row r="24" spans="1:12">
      <c r="A24" s="325">
        <v>23</v>
      </c>
      <c r="B24" s="326" t="s">
        <v>55</v>
      </c>
      <c r="C24" s="326" t="s">
        <v>56</v>
      </c>
      <c r="D24" s="327">
        <f>+Kabbur!E35</f>
        <v>462</v>
      </c>
      <c r="E24" s="327">
        <f>+Kabbur!G35</f>
        <v>42314.58</v>
      </c>
      <c r="F24" s="327">
        <f>+Kabbur!H35</f>
        <v>29.66</v>
      </c>
      <c r="G24" s="327">
        <f>+Kabbur!J35</f>
        <v>3070.6997999999999</v>
      </c>
      <c r="H24" s="327">
        <f t="shared" si="0"/>
        <v>45385.279800000004</v>
      </c>
      <c r="I24" s="327">
        <v>0</v>
      </c>
      <c r="J24" s="327">
        <f>+Kabbur!L35</f>
        <v>45385.279799999997</v>
      </c>
      <c r="K24" s="327">
        <f t="shared" si="1"/>
        <v>0</v>
      </c>
    </row>
    <row r="25" spans="1:12">
      <c r="A25" s="325">
        <v>24</v>
      </c>
      <c r="B25" s="326" t="s">
        <v>57</v>
      </c>
      <c r="C25" s="326" t="s">
        <v>58</v>
      </c>
      <c r="D25" s="327">
        <f>+kumta!E35</f>
        <v>541.81999999999994</v>
      </c>
      <c r="E25" s="327">
        <f>+kumta!G35</f>
        <v>49804.094400000002</v>
      </c>
      <c r="F25" s="327">
        <f>+kumta!H35</f>
        <v>58.989999999999995</v>
      </c>
      <c r="G25" s="327">
        <f>+kumta!J35</f>
        <v>6132.6003999999984</v>
      </c>
      <c r="H25" s="327">
        <f t="shared" si="0"/>
        <v>55936.694799999997</v>
      </c>
      <c r="I25" s="327">
        <v>0</v>
      </c>
      <c r="J25" s="327">
        <f>+kumta!L35</f>
        <v>55936.694800000005</v>
      </c>
      <c r="K25" s="327">
        <f t="shared" si="1"/>
        <v>0</v>
      </c>
    </row>
    <row r="26" spans="1:12">
      <c r="A26" s="325">
        <v>25</v>
      </c>
      <c r="B26" s="326" t="s">
        <v>59</v>
      </c>
      <c r="C26" s="326" t="s">
        <v>60</v>
      </c>
      <c r="D26" s="327">
        <f>+Jalgaon!E44</f>
        <v>2780.66</v>
      </c>
      <c r="E26" s="327">
        <f>+Jalgaon!G44</f>
        <v>255051.57509999996</v>
      </c>
      <c r="F26" s="327">
        <f>+Jalgaon!H44</f>
        <v>27.1</v>
      </c>
      <c r="G26" s="327">
        <f>+Jalgaon!J44</f>
        <v>2850.6490000000003</v>
      </c>
      <c r="H26" s="327">
        <f t="shared" si="0"/>
        <v>257902.22409999996</v>
      </c>
      <c r="I26" s="327">
        <f>+Jalgaon!K3</f>
        <v>50163.215399999986</v>
      </c>
      <c r="J26" s="327">
        <f>+Jalgaon!L44</f>
        <v>92300.318600000013</v>
      </c>
      <c r="K26" s="327">
        <f t="shared" si="1"/>
        <v>215765.12089999998</v>
      </c>
    </row>
    <row r="27" spans="1:12">
      <c r="A27" s="325">
        <v>26</v>
      </c>
      <c r="B27" s="326" t="s">
        <v>61</v>
      </c>
      <c r="C27" s="326" t="s">
        <v>62</v>
      </c>
      <c r="D27" s="327">
        <f>+MKBD!E36</f>
        <v>1520</v>
      </c>
      <c r="E27" s="327">
        <f>+MKBD!G36</f>
        <v>138802</v>
      </c>
      <c r="F27" s="327">
        <f>+MKBD!H36</f>
        <v>40</v>
      </c>
      <c r="G27" s="327">
        <f>+MKBD!J36</f>
        <v>4184</v>
      </c>
      <c r="H27" s="327">
        <f t="shared" si="0"/>
        <v>142986</v>
      </c>
      <c r="I27" s="327">
        <f>+MKBD!K3</f>
        <v>1198639.6438</v>
      </c>
      <c r="J27" s="327">
        <f>+MKBD!L36</f>
        <v>0</v>
      </c>
      <c r="K27" s="327">
        <f t="shared" si="1"/>
        <v>1341625.6438</v>
      </c>
    </row>
    <row r="28" spans="1:12">
      <c r="A28" s="325">
        <v>27</v>
      </c>
      <c r="B28" s="326" t="s">
        <v>63</v>
      </c>
      <c r="C28" s="326" t="s">
        <v>64</v>
      </c>
      <c r="D28" s="327">
        <f>+Haveri!E35</f>
        <v>2742.88</v>
      </c>
      <c r="E28" s="327">
        <f>+Haveri!G35</f>
        <v>250808.57489999998</v>
      </c>
      <c r="F28" s="327">
        <f>+Haveri!H35</f>
        <v>98.160000000000011</v>
      </c>
      <c r="G28" s="327">
        <f>+Haveri!J35</f>
        <v>10149.744000000001</v>
      </c>
      <c r="H28" s="327">
        <f t="shared" si="0"/>
        <v>260958.31889999998</v>
      </c>
      <c r="I28" s="327">
        <f>+Haveri!M3</f>
        <v>35526.317599999995</v>
      </c>
      <c r="J28" s="327">
        <f>+Haveri!L35</f>
        <v>129940.78</v>
      </c>
      <c r="K28" s="327">
        <f t="shared" si="1"/>
        <v>166543.85649999997</v>
      </c>
    </row>
    <row r="29" spans="1:12">
      <c r="A29" s="325">
        <v>28</v>
      </c>
      <c r="B29" s="326" t="s">
        <v>65</v>
      </c>
      <c r="C29" s="326" t="s">
        <v>66</v>
      </c>
      <c r="D29" s="327">
        <f>+Guttal!E35</f>
        <v>1059</v>
      </c>
      <c r="E29" s="327">
        <f>+Guttal!G35</f>
        <v>97216.2</v>
      </c>
      <c r="F29" s="327">
        <f>+Guttal!H35</f>
        <v>73</v>
      </c>
      <c r="G29" s="327">
        <f>+Guttal!J35</f>
        <v>7575.56</v>
      </c>
      <c r="H29" s="327">
        <f t="shared" si="0"/>
        <v>104791.76</v>
      </c>
      <c r="I29" s="327">
        <v>0</v>
      </c>
      <c r="J29" s="327">
        <f>+Guttal!L35</f>
        <v>104791.76000000001</v>
      </c>
      <c r="K29" s="327">
        <f t="shared" si="1"/>
        <v>0</v>
      </c>
    </row>
    <row r="30" spans="1:12">
      <c r="A30" s="325">
        <v>29</v>
      </c>
      <c r="B30" s="326" t="s">
        <v>67</v>
      </c>
      <c r="C30" s="326" t="s">
        <v>68</v>
      </c>
      <c r="D30" s="327">
        <f>+Rattihali!E35</f>
        <v>3159.83</v>
      </c>
      <c r="E30" s="327">
        <f>+Rattihali!G35</f>
        <v>290830.75320000009</v>
      </c>
      <c r="F30" s="327">
        <f>+Rattihali!H35</f>
        <v>54.78</v>
      </c>
      <c r="G30" s="327">
        <f>+Rattihali!J35</f>
        <v>5698.2155999999995</v>
      </c>
      <c r="H30" s="327">
        <f t="shared" si="0"/>
        <v>296528.96880000009</v>
      </c>
      <c r="I30" s="327">
        <f>+Rattihali!M3</f>
        <v>53365.685800000028</v>
      </c>
      <c r="J30" s="327">
        <f>+Rattihali!L35</f>
        <v>80000</v>
      </c>
      <c r="K30" s="405">
        <f t="shared" si="1"/>
        <v>269894.65460000013</v>
      </c>
      <c r="L30" s="324">
        <v>266689</v>
      </c>
    </row>
    <row r="31" spans="1:12">
      <c r="A31" s="325">
        <v>30</v>
      </c>
      <c r="B31" s="326" t="s">
        <v>69</v>
      </c>
      <c r="C31" s="326" t="s">
        <v>70</v>
      </c>
      <c r="D31" s="327">
        <f>+Gajendragada!E35</f>
        <v>570</v>
      </c>
      <c r="E31" s="327">
        <f>+Gajendragada!G35</f>
        <v>52343.1</v>
      </c>
      <c r="F31" s="327">
        <f>+Gajendragada!H35</f>
        <v>70</v>
      </c>
      <c r="G31" s="327">
        <f>+Gajendragada!J35</f>
        <v>7266</v>
      </c>
      <c r="H31" s="327">
        <f t="shared" si="0"/>
        <v>59609.1</v>
      </c>
      <c r="I31" s="327">
        <f>+Gajendragada!K3</f>
        <v>21726.411500000006</v>
      </c>
      <c r="J31" s="327">
        <f>+Gajendragada!L35</f>
        <v>21207</v>
      </c>
      <c r="K31" s="327">
        <f t="shared" si="1"/>
        <v>60128.511500000008</v>
      </c>
      <c r="L31" s="333">
        <f>K30-L30</f>
        <v>3205.6546000001254</v>
      </c>
    </row>
    <row r="32" spans="1:12">
      <c r="A32" s="325">
        <v>31</v>
      </c>
      <c r="B32" s="329" t="s">
        <v>71</v>
      </c>
      <c r="C32" s="329" t="s">
        <v>72</v>
      </c>
      <c r="D32" s="327">
        <f>+Ghattaprabha!E35</f>
        <v>0</v>
      </c>
      <c r="E32" s="327">
        <f>+Ghattaprabha!G35</f>
        <v>0</v>
      </c>
      <c r="F32" s="327">
        <f>+Ghattaprabha!H35</f>
        <v>0</v>
      </c>
      <c r="G32" s="327">
        <f>+Ghattaprabha!J35</f>
        <v>0</v>
      </c>
      <c r="H32" s="327">
        <f t="shared" si="0"/>
        <v>0</v>
      </c>
      <c r="I32" s="327">
        <f>+Ghattaprabha!M3</f>
        <v>0</v>
      </c>
      <c r="J32" s="327">
        <f>+Ghattaprabha!L35</f>
        <v>0</v>
      </c>
      <c r="K32" s="327">
        <f t="shared" si="1"/>
        <v>0</v>
      </c>
    </row>
    <row r="33" spans="1:13">
      <c r="A33" s="325">
        <v>32</v>
      </c>
      <c r="B33" s="329" t="s">
        <v>73</v>
      </c>
      <c r="C33" s="329" t="s">
        <v>74</v>
      </c>
      <c r="D33" s="327">
        <f>+'Gokak Dharwad PKG 3'!E40</f>
        <v>9723.02</v>
      </c>
      <c r="E33" s="327">
        <f>+'Gokak Dharwad PKG 3'!G40</f>
        <v>889461.86959999998</v>
      </c>
      <c r="F33" s="327">
        <f>+'Gokak Dharwad PKG 3'!H40</f>
        <v>452.74</v>
      </c>
      <c r="G33" s="327">
        <f>+'Gokak Dharwad PKG 3'!J40</f>
        <v>46817.843400000005</v>
      </c>
      <c r="H33" s="327">
        <f t="shared" si="0"/>
        <v>936279.71299999999</v>
      </c>
      <c r="I33" s="330">
        <f>+'Gokak Dharwad PKG 3'!K3</f>
        <v>506954.43250000046</v>
      </c>
      <c r="J33" s="327">
        <f>+'Gokak Dharwad PKG 3'!L40</f>
        <v>700000</v>
      </c>
      <c r="K33" s="327">
        <f t="shared" si="1"/>
        <v>743234.14550000057</v>
      </c>
    </row>
    <row r="34" spans="1:13">
      <c r="A34" s="325">
        <v>33</v>
      </c>
      <c r="B34" s="329" t="s">
        <v>75</v>
      </c>
      <c r="C34" s="329" t="s">
        <v>76</v>
      </c>
      <c r="D34" s="327">
        <f>+Ankalgi!E35</f>
        <v>2640.08</v>
      </c>
      <c r="E34" s="327">
        <f>+Ankalgi!G35</f>
        <v>241065.70479999998</v>
      </c>
      <c r="F34" s="327">
        <f>+Ankalgi!H35</f>
        <v>139</v>
      </c>
      <c r="G34" s="327">
        <f>+Ankalgi!J35</f>
        <v>14348.97</v>
      </c>
      <c r="H34" s="327">
        <f t="shared" si="0"/>
        <v>255414.67479999998</v>
      </c>
      <c r="I34" s="359">
        <f>+Ankalgi!M3</f>
        <v>122991.0978</v>
      </c>
      <c r="J34" s="327">
        <f>+Ankalgi!L35</f>
        <v>150000</v>
      </c>
      <c r="K34" s="327">
        <f t="shared" si="1"/>
        <v>228405.77259999997</v>
      </c>
    </row>
    <row r="35" spans="1:13">
      <c r="A35" s="325">
        <v>34</v>
      </c>
      <c r="B35" s="329" t="s">
        <v>77</v>
      </c>
      <c r="C35" s="329" t="s">
        <v>78</v>
      </c>
      <c r="D35" s="327">
        <f>+' Shankeshwar'!E35</f>
        <v>0</v>
      </c>
      <c r="E35" s="327">
        <f>+' Shankeshwar'!G35</f>
        <v>0</v>
      </c>
      <c r="F35" s="327">
        <f>+' Shankeshwar'!H35</f>
        <v>40</v>
      </c>
      <c r="G35" s="327">
        <f>+' Shankeshwar'!J35</f>
        <v>4128.7999999999993</v>
      </c>
      <c r="H35" s="327">
        <f t="shared" si="0"/>
        <v>4128.7999999999993</v>
      </c>
      <c r="I35" s="327"/>
      <c r="J35" s="327">
        <f>+' Shankeshwar'!L35</f>
        <v>4128.7999999999993</v>
      </c>
      <c r="K35" s="327">
        <f t="shared" si="1"/>
        <v>0</v>
      </c>
    </row>
    <row r="36" spans="1:13">
      <c r="A36" s="325">
        <v>35</v>
      </c>
      <c r="B36" s="329" t="s">
        <v>79</v>
      </c>
      <c r="C36" s="329" t="s">
        <v>80</v>
      </c>
      <c r="D36" s="327">
        <f>+' Talikote'!E46</f>
        <v>867.11</v>
      </c>
      <c r="E36" s="327">
        <f>+' Talikote'!G46</f>
        <v>79300.041299999997</v>
      </c>
      <c r="F36" s="327">
        <f>+' Talikote'!H46</f>
        <v>90.55</v>
      </c>
      <c r="G36" s="327">
        <f>+' Talikote'!J46</f>
        <v>9366.4919999999984</v>
      </c>
      <c r="H36" s="327">
        <f t="shared" si="0"/>
        <v>88666.533299999996</v>
      </c>
      <c r="I36" s="327">
        <f>+' Talikote'!N3</f>
        <v>3504.4806999999928</v>
      </c>
      <c r="J36" s="327">
        <f>+' Talikote'!L46</f>
        <v>51355.13</v>
      </c>
      <c r="K36" s="327">
        <f t="shared" si="1"/>
        <v>40815.883999999998</v>
      </c>
    </row>
    <row r="37" spans="1:13">
      <c r="A37" s="325">
        <v>36</v>
      </c>
      <c r="B37" s="329" t="s">
        <v>81</v>
      </c>
      <c r="C37" s="329" t="s">
        <v>82</v>
      </c>
      <c r="D37" s="327">
        <f>+Chadchan!E35</f>
        <v>1932.5700000000002</v>
      </c>
      <c r="E37" s="327">
        <f>+Chadchan!G35</f>
        <v>176308.36110000001</v>
      </c>
      <c r="F37" s="327">
        <f>+Chadchan!H35</f>
        <v>68.72</v>
      </c>
      <c r="G37" s="327">
        <f>+Chadchan!J35</f>
        <v>7089.1552000000011</v>
      </c>
      <c r="H37" s="327">
        <f t="shared" si="0"/>
        <v>183397.51630000002</v>
      </c>
      <c r="I37" s="327">
        <f>+Chadchan!K3</f>
        <v>105566.00320000002</v>
      </c>
      <c r="J37" s="327">
        <f>+Chadchan!L35</f>
        <v>100000</v>
      </c>
      <c r="K37" s="327">
        <f t="shared" si="1"/>
        <v>188963.51950000005</v>
      </c>
    </row>
    <row r="38" spans="1:13">
      <c r="A38" s="325">
        <v>37</v>
      </c>
      <c r="B38" s="329" t="s">
        <v>83</v>
      </c>
      <c r="C38" s="329" t="s">
        <v>84</v>
      </c>
      <c r="D38" s="327">
        <f>+Sindagi!E44</f>
        <v>936.21</v>
      </c>
      <c r="E38" s="327">
        <f>+Sindagi!G44</f>
        <v>85410.438300000009</v>
      </c>
      <c r="F38" s="327">
        <f>+Sindagi!H44</f>
        <v>30.7</v>
      </c>
      <c r="G38" s="327">
        <f>+Sindagi!J44</f>
        <v>3391.4290000000001</v>
      </c>
      <c r="H38" s="327">
        <f t="shared" si="0"/>
        <v>88801.867300000013</v>
      </c>
      <c r="I38" s="327">
        <f>+Sindagi!M3</f>
        <v>908.20409999999981</v>
      </c>
      <c r="J38" s="327">
        <f>+Sindagi!L44</f>
        <v>57833.21</v>
      </c>
      <c r="K38" s="327">
        <f t="shared" si="1"/>
        <v>31876.861400000016</v>
      </c>
    </row>
    <row r="39" spans="1:13">
      <c r="A39" s="325">
        <v>38</v>
      </c>
      <c r="B39" s="329" t="s">
        <v>85</v>
      </c>
      <c r="C39" s="329" t="s">
        <v>86</v>
      </c>
      <c r="D39" s="327">
        <f>+Muddebihal!E47</f>
        <v>1810.92</v>
      </c>
      <c r="E39" s="327">
        <f>+Muddebihal!G47</f>
        <v>165608.63400000002</v>
      </c>
      <c r="F39" s="327">
        <f>+Muddebihal!H47</f>
        <v>53.129999999999995</v>
      </c>
      <c r="G39" s="327">
        <f>+Muddebihal!J47</f>
        <v>5493.1107000000002</v>
      </c>
      <c r="H39" s="327">
        <f t="shared" si="0"/>
        <v>171101.74470000001</v>
      </c>
      <c r="I39" s="327">
        <f>+Muddebihal!M3</f>
        <v>9020.7912999999971</v>
      </c>
      <c r="J39" s="327">
        <f>+Muddebihal!L47</f>
        <v>134608.34</v>
      </c>
      <c r="K39" s="327">
        <f t="shared" si="1"/>
        <v>45514.196000000025</v>
      </c>
    </row>
    <row r="40" spans="1:13">
      <c r="A40" s="325">
        <v>39</v>
      </c>
      <c r="B40" s="329" t="s">
        <v>87</v>
      </c>
      <c r="C40" s="329" t="s">
        <v>88</v>
      </c>
      <c r="D40" s="327">
        <f>+Alemela!E43</f>
        <v>1021.68</v>
      </c>
      <c r="E40" s="327">
        <f>+Alemela!G43</f>
        <v>93310.03439999999</v>
      </c>
      <c r="F40" s="327">
        <f>+Alemela!H43</f>
        <v>124.93</v>
      </c>
      <c r="G40" s="327">
        <f>+Alemela!J43</f>
        <v>12900.271800000002</v>
      </c>
      <c r="H40" s="327">
        <f t="shared" si="0"/>
        <v>106210.30619999999</v>
      </c>
      <c r="I40" s="327">
        <f>+Alemela!M3</f>
        <v>20963.167699999998</v>
      </c>
      <c r="J40" s="327">
        <f>+Alemela!L43</f>
        <v>90000</v>
      </c>
      <c r="K40" s="327">
        <f t="shared" si="1"/>
        <v>37173.473899999983</v>
      </c>
    </row>
    <row r="41" spans="1:13">
      <c r="A41" s="325">
        <v>40</v>
      </c>
      <c r="B41" s="329" t="s">
        <v>89</v>
      </c>
      <c r="C41" s="329" t="s">
        <v>90</v>
      </c>
      <c r="D41" s="327">
        <f>+Nalatwad!E43</f>
        <v>1873.1699999999998</v>
      </c>
      <c r="E41" s="327">
        <f>+Nalatwad!G43</f>
        <v>171619.83539999998</v>
      </c>
      <c r="F41" s="327">
        <f>+Nalatwad!H43</f>
        <v>133.35</v>
      </c>
      <c r="G41" s="327">
        <f>+Nalatwad!J43</f>
        <v>13810.314599999998</v>
      </c>
      <c r="H41" s="327">
        <f>E41+G41</f>
        <v>185430.14999999997</v>
      </c>
      <c r="I41" s="327">
        <f>+Nalatwad!M3</f>
        <v>49509.852599999984</v>
      </c>
      <c r="J41" s="327">
        <f>+Nalatwad!L43</f>
        <v>115000</v>
      </c>
      <c r="K41" s="327">
        <f>H41+I41-J41</f>
        <v>119940.00259999995</v>
      </c>
    </row>
    <row r="42" spans="1:13">
      <c r="A42" s="325">
        <v>41</v>
      </c>
      <c r="B42" s="329" t="s">
        <v>91</v>
      </c>
      <c r="C42" s="329" t="s">
        <v>92</v>
      </c>
      <c r="D42" s="327">
        <f>+Srirangapatna!E35</f>
        <v>365.61</v>
      </c>
      <c r="E42" s="327">
        <f>+Srirangapatna!G35</f>
        <v>33113.297699999996</v>
      </c>
      <c r="F42" s="327">
        <f>+Srirangapatna!H35</f>
        <v>76.75</v>
      </c>
      <c r="G42" s="327">
        <f>+Srirangapatna!J35</f>
        <v>7863.8049999999985</v>
      </c>
      <c r="H42" s="327">
        <f t="shared" si="0"/>
        <v>40977.102699999996</v>
      </c>
      <c r="I42" s="327">
        <v>0</v>
      </c>
      <c r="J42" s="327">
        <f>+Srirangapatna!L35</f>
        <v>40977.102699999996</v>
      </c>
      <c r="K42" s="327">
        <f t="shared" si="1"/>
        <v>0</v>
      </c>
    </row>
    <row r="43" spans="1:13">
      <c r="A43" s="408" t="s">
        <v>93</v>
      </c>
      <c r="B43" s="408"/>
      <c r="C43" s="408"/>
      <c r="D43" s="331">
        <f>SUM(D2:D42)</f>
        <v>288448.52</v>
      </c>
      <c r="E43" s="331">
        <f>SUM(E2:E42)</f>
        <v>27345037.678800002</v>
      </c>
      <c r="F43" s="331">
        <f>SUM(F2:F42)</f>
        <v>5284.72</v>
      </c>
      <c r="G43" s="331">
        <f>SUM(G2:G42)</f>
        <v>554798.47220000008</v>
      </c>
      <c r="H43" s="331">
        <f>SUM(H2:H42)</f>
        <v>27899836.151000008</v>
      </c>
      <c r="I43" s="331">
        <f>SUM(I2:I42)</f>
        <v>34095987.322513796</v>
      </c>
      <c r="J43" s="331">
        <f>SUM(J2:J42)</f>
        <v>28602917.006000001</v>
      </c>
      <c r="K43" s="331">
        <f>H43+I43-J43</f>
        <v>33392906.467513803</v>
      </c>
      <c r="L43" s="324">
        <v>33293797</v>
      </c>
      <c r="M43" s="333">
        <f>K43-L43</f>
        <v>99109.467513803393</v>
      </c>
    </row>
    <row r="44" spans="1:13">
      <c r="K44" s="332"/>
    </row>
    <row r="45" spans="1:13">
      <c r="K45" s="379"/>
    </row>
    <row r="46" spans="1:13">
      <c r="K46" s="332"/>
    </row>
    <row r="47" spans="1:13">
      <c r="K47" s="332"/>
    </row>
    <row r="48" spans="1:13">
      <c r="K48" s="333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topLeftCell="A32" workbookViewId="0">
      <selection activeCell="P42" sqref="P42"/>
    </sheetView>
  </sheetViews>
  <sheetFormatPr defaultRowHeight="15"/>
  <cols>
    <col min="2" max="2" width="10.5703125" bestFit="1" customWidth="1"/>
    <col min="4" max="4" width="31.28515625" bestFit="1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6" max="16" width="10.42578125" bestFit="1" customWidth="1"/>
    <col min="18" max="18" width="13" bestFit="1" customWidth="1"/>
  </cols>
  <sheetData>
    <row r="1" spans="1:18" ht="15.75">
      <c r="A1" s="409" t="s">
        <v>12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18" ht="30.75">
      <c r="A2" s="134" t="s">
        <v>94</v>
      </c>
      <c r="B2" s="135" t="s">
        <v>95</v>
      </c>
      <c r="C2" s="135" t="s">
        <v>96</v>
      </c>
      <c r="D2" s="135" t="s">
        <v>97</v>
      </c>
      <c r="E2" s="135" t="s">
        <v>98</v>
      </c>
      <c r="F2" s="135" t="s">
        <v>99</v>
      </c>
      <c r="G2" s="135" t="s">
        <v>100</v>
      </c>
      <c r="H2" s="135" t="s">
        <v>101</v>
      </c>
      <c r="I2" s="135" t="s">
        <v>99</v>
      </c>
      <c r="J2" s="136" t="s">
        <v>100</v>
      </c>
      <c r="K2" s="134" t="s">
        <v>102</v>
      </c>
      <c r="L2" s="137" t="s">
        <v>103</v>
      </c>
      <c r="M2" s="137" t="s">
        <v>104</v>
      </c>
      <c r="N2" s="135" t="s">
        <v>105</v>
      </c>
    </row>
    <row r="3" spans="1:18">
      <c r="A3" s="410" t="s">
        <v>106</v>
      </c>
      <c r="B3" s="410"/>
      <c r="C3" s="410"/>
      <c r="D3" s="410"/>
      <c r="E3" s="410"/>
      <c r="F3" s="410"/>
      <c r="G3" s="410"/>
      <c r="H3" s="410"/>
      <c r="I3" s="410"/>
      <c r="J3" s="410"/>
      <c r="K3" s="270">
        <v>14609947.222099999</v>
      </c>
      <c r="L3" s="271"/>
      <c r="M3" s="244">
        <f>+K3</f>
        <v>14609947.222099999</v>
      </c>
      <c r="N3" s="103"/>
      <c r="O3">
        <v>14609972.222099997</v>
      </c>
    </row>
    <row r="4" spans="1:18">
      <c r="A4" s="28">
        <v>1</v>
      </c>
      <c r="B4" s="29">
        <v>45870</v>
      </c>
      <c r="C4" s="19"/>
      <c r="D4" s="19"/>
      <c r="E4" s="19">
        <v>6729.01</v>
      </c>
      <c r="F4" s="19">
        <v>95.68</v>
      </c>
      <c r="G4" s="19">
        <f>E4*F4</f>
        <v>643831.67680000002</v>
      </c>
      <c r="H4" s="19">
        <v>60</v>
      </c>
      <c r="I4" s="19">
        <v>107.46</v>
      </c>
      <c r="J4" s="19">
        <f>H4*I4</f>
        <v>6447.5999999999995</v>
      </c>
      <c r="K4" s="19">
        <f>G4+J4</f>
        <v>650279.27679999999</v>
      </c>
      <c r="L4" s="19">
        <v>10000000</v>
      </c>
      <c r="M4" s="44">
        <f>M3+K4-L4</f>
        <v>5260226.4988999981</v>
      </c>
      <c r="N4" s="19"/>
    </row>
    <row r="5" spans="1:18">
      <c r="A5" s="28">
        <v>2</v>
      </c>
      <c r="B5" s="29">
        <v>45871</v>
      </c>
      <c r="C5" s="19"/>
      <c r="D5" s="19"/>
      <c r="E5" s="19">
        <v>5675.71</v>
      </c>
      <c r="F5" s="19">
        <v>95.68</v>
      </c>
      <c r="G5" s="19">
        <f t="shared" ref="G5:G36" si="0">E5*F5</f>
        <v>543051.93280000007</v>
      </c>
      <c r="H5" s="19">
        <v>20</v>
      </c>
      <c r="I5" s="19">
        <v>107.46</v>
      </c>
      <c r="J5" s="19">
        <f t="shared" ref="J5:J36" si="1">H5*I5</f>
        <v>2149.1999999999998</v>
      </c>
      <c r="K5" s="19">
        <f t="shared" ref="K5:K36" si="2">G5+J5</f>
        <v>545201.13280000002</v>
      </c>
      <c r="L5" s="19"/>
      <c r="M5" s="44">
        <f>M4+K5-L5</f>
        <v>5805427.6316999979</v>
      </c>
      <c r="N5" s="19"/>
    </row>
    <row r="6" spans="1:18">
      <c r="A6" s="28">
        <v>3</v>
      </c>
      <c r="B6" s="29">
        <v>45872</v>
      </c>
      <c r="C6" s="19"/>
      <c r="D6" s="19"/>
      <c r="E6" s="19">
        <v>0</v>
      </c>
      <c r="F6" s="19">
        <v>0</v>
      </c>
      <c r="G6" s="19">
        <f t="shared" si="0"/>
        <v>0</v>
      </c>
      <c r="H6" s="19">
        <v>0</v>
      </c>
      <c r="I6" s="19">
        <v>0</v>
      </c>
      <c r="J6" s="19">
        <f t="shared" si="1"/>
        <v>0</v>
      </c>
      <c r="K6" s="19">
        <f t="shared" si="2"/>
        <v>0</v>
      </c>
      <c r="L6" s="19"/>
      <c r="M6" s="44">
        <f t="shared" ref="M5:M8" si="3">M5+K6-L6</f>
        <v>5805427.6316999979</v>
      </c>
      <c r="N6" s="19"/>
    </row>
    <row r="7" spans="1:18">
      <c r="A7" s="28">
        <v>4</v>
      </c>
      <c r="B7" s="29">
        <v>45873</v>
      </c>
      <c r="C7" s="19"/>
      <c r="D7" s="19"/>
      <c r="E7" s="19">
        <v>0</v>
      </c>
      <c r="F7" s="19">
        <v>0</v>
      </c>
      <c r="G7" s="19">
        <f t="shared" si="0"/>
        <v>0</v>
      </c>
      <c r="H7" s="19">
        <v>0</v>
      </c>
      <c r="I7" s="19">
        <v>0</v>
      </c>
      <c r="J7" s="19">
        <f t="shared" si="1"/>
        <v>0</v>
      </c>
      <c r="K7" s="19">
        <f t="shared" si="2"/>
        <v>0</v>
      </c>
      <c r="L7" s="19"/>
      <c r="M7" s="44">
        <f t="shared" si="3"/>
        <v>5805427.6316999979</v>
      </c>
      <c r="N7" s="19"/>
    </row>
    <row r="8" spans="1:18">
      <c r="A8" s="28">
        <v>5</v>
      </c>
      <c r="B8" s="29">
        <v>45874</v>
      </c>
      <c r="C8" s="19"/>
      <c r="D8" s="19"/>
      <c r="E8" s="19">
        <v>5500</v>
      </c>
      <c r="F8" s="19">
        <v>95.68</v>
      </c>
      <c r="G8" s="19">
        <f t="shared" si="0"/>
        <v>526240</v>
      </c>
      <c r="H8" s="19">
        <v>40</v>
      </c>
      <c r="I8" s="19">
        <v>107.46</v>
      </c>
      <c r="J8" s="19">
        <f t="shared" si="1"/>
        <v>4298.3999999999996</v>
      </c>
      <c r="K8" s="19">
        <f t="shared" si="2"/>
        <v>530538.4</v>
      </c>
      <c r="L8" s="19"/>
      <c r="M8" s="44">
        <f t="shared" si="3"/>
        <v>6335966.0316999983</v>
      </c>
      <c r="N8" s="19"/>
    </row>
    <row r="9" spans="1:18">
      <c r="A9" s="28">
        <v>6</v>
      </c>
      <c r="B9" s="29">
        <v>45875</v>
      </c>
      <c r="C9" s="19"/>
      <c r="D9" s="19"/>
      <c r="E9" s="19">
        <v>2500</v>
      </c>
      <c r="F9" s="19">
        <v>95.68</v>
      </c>
      <c r="G9" s="19">
        <f t="shared" si="0"/>
        <v>239200.00000000003</v>
      </c>
      <c r="H9" s="19">
        <v>60</v>
      </c>
      <c r="I9" s="19">
        <v>107.46</v>
      </c>
      <c r="J9" s="19">
        <f t="shared" si="1"/>
        <v>6447.5999999999995</v>
      </c>
      <c r="K9" s="19">
        <f t="shared" si="2"/>
        <v>245647.60000000003</v>
      </c>
      <c r="L9" s="19"/>
      <c r="M9" s="44">
        <f>M8+K9-L9</f>
        <v>6581613.6316999979</v>
      </c>
      <c r="N9" s="19"/>
    </row>
    <row r="10" spans="1:18">
      <c r="A10" s="28">
        <v>7</v>
      </c>
      <c r="B10" s="29">
        <v>45876</v>
      </c>
      <c r="C10" s="19"/>
      <c r="D10" s="19"/>
      <c r="E10" s="19">
        <v>2700</v>
      </c>
      <c r="F10" s="19">
        <v>95.68</v>
      </c>
      <c r="G10" s="19">
        <f t="shared" si="0"/>
        <v>258336.00000000003</v>
      </c>
      <c r="H10" s="19">
        <v>20</v>
      </c>
      <c r="I10" s="19">
        <v>107.46</v>
      </c>
      <c r="J10" s="19">
        <f t="shared" si="1"/>
        <v>2149.1999999999998</v>
      </c>
      <c r="K10" s="19">
        <f t="shared" si="2"/>
        <v>260485.20000000004</v>
      </c>
      <c r="L10" s="19"/>
      <c r="M10" s="44">
        <f>M9+K10-L10</f>
        <v>6842098.8316999981</v>
      </c>
      <c r="N10" s="19"/>
    </row>
    <row r="11" spans="1:18">
      <c r="A11" s="28">
        <v>8</v>
      </c>
      <c r="B11" s="29">
        <v>45877</v>
      </c>
      <c r="C11" s="19"/>
      <c r="D11" s="19"/>
      <c r="E11" s="19">
        <v>0</v>
      </c>
      <c r="F11" s="19">
        <v>0</v>
      </c>
      <c r="G11" s="19">
        <f t="shared" si="0"/>
        <v>0</v>
      </c>
      <c r="H11" s="19">
        <v>0</v>
      </c>
      <c r="I11" s="19">
        <v>0</v>
      </c>
      <c r="J11" s="19">
        <f t="shared" si="1"/>
        <v>0</v>
      </c>
      <c r="K11" s="19">
        <f t="shared" si="2"/>
        <v>0</v>
      </c>
      <c r="L11" s="19"/>
      <c r="M11" s="44">
        <f>M10+K11-L11</f>
        <v>6842098.8316999981</v>
      </c>
      <c r="N11" s="19"/>
    </row>
    <row r="12" spans="1:18">
      <c r="A12" s="28">
        <v>9</v>
      </c>
      <c r="B12" s="29">
        <v>45878</v>
      </c>
      <c r="C12" s="19"/>
      <c r="D12" s="19"/>
      <c r="E12" s="19">
        <v>2500</v>
      </c>
      <c r="F12" s="19">
        <v>95.67</v>
      </c>
      <c r="G12" s="19">
        <f t="shared" si="0"/>
        <v>239175</v>
      </c>
      <c r="H12" s="19">
        <v>0</v>
      </c>
      <c r="I12" s="19">
        <v>0</v>
      </c>
      <c r="J12" s="19">
        <f t="shared" si="1"/>
        <v>0</v>
      </c>
      <c r="K12" s="19">
        <f t="shared" si="2"/>
        <v>239175</v>
      </c>
      <c r="L12" s="19"/>
      <c r="M12" s="44">
        <f>M11+K12-L12</f>
        <v>7081273.8316999981</v>
      </c>
      <c r="N12" s="19"/>
    </row>
    <row r="13" spans="1:18">
      <c r="A13" s="28">
        <v>10</v>
      </c>
      <c r="B13" s="29">
        <v>45879</v>
      </c>
      <c r="C13" s="19"/>
      <c r="D13" s="19"/>
      <c r="E13" s="19">
        <v>0</v>
      </c>
      <c r="F13" s="19">
        <v>0</v>
      </c>
      <c r="G13" s="19">
        <f t="shared" si="0"/>
        <v>0</v>
      </c>
      <c r="H13" s="19">
        <v>0</v>
      </c>
      <c r="I13" s="19">
        <v>0</v>
      </c>
      <c r="J13" s="19">
        <f t="shared" si="1"/>
        <v>0</v>
      </c>
      <c r="K13" s="19">
        <f t="shared" si="2"/>
        <v>0</v>
      </c>
      <c r="L13" s="19"/>
      <c r="M13" s="44">
        <f t="shared" ref="M13:M35" si="4">M12+K13-L13</f>
        <v>7081273.8316999981</v>
      </c>
      <c r="N13" s="19"/>
    </row>
    <row r="14" spans="1:18">
      <c r="A14" s="28">
        <v>11</v>
      </c>
      <c r="B14" s="29">
        <v>45880</v>
      </c>
      <c r="C14" s="19"/>
      <c r="D14" s="19"/>
      <c r="E14" s="19">
        <v>2700</v>
      </c>
      <c r="F14" s="19">
        <v>95.68</v>
      </c>
      <c r="G14" s="19">
        <f t="shared" si="0"/>
        <v>258336.00000000003</v>
      </c>
      <c r="H14" s="19">
        <v>40</v>
      </c>
      <c r="I14" s="19">
        <v>107.46</v>
      </c>
      <c r="J14" s="19">
        <f t="shared" si="1"/>
        <v>4298.3999999999996</v>
      </c>
      <c r="K14" s="19">
        <f t="shared" si="2"/>
        <v>262634.40000000002</v>
      </c>
      <c r="L14" s="19"/>
      <c r="M14" s="44">
        <f t="shared" si="4"/>
        <v>7343908.2316999985</v>
      </c>
      <c r="N14" s="19"/>
    </row>
    <row r="15" spans="1:18">
      <c r="A15" s="28">
        <v>12</v>
      </c>
      <c r="B15" s="29">
        <v>45881</v>
      </c>
      <c r="C15" s="19"/>
      <c r="D15" s="19"/>
      <c r="E15" s="19">
        <v>0</v>
      </c>
      <c r="F15" s="19">
        <v>0</v>
      </c>
      <c r="G15" s="19">
        <f t="shared" si="0"/>
        <v>0</v>
      </c>
      <c r="H15" s="19">
        <v>0</v>
      </c>
      <c r="I15" s="19">
        <v>0</v>
      </c>
      <c r="J15" s="19">
        <f t="shared" si="1"/>
        <v>0</v>
      </c>
      <c r="K15" s="19">
        <f t="shared" si="2"/>
        <v>0</v>
      </c>
      <c r="L15" s="19"/>
      <c r="M15" s="44">
        <f t="shared" si="4"/>
        <v>7343908.2316999985</v>
      </c>
      <c r="N15" s="19"/>
      <c r="R15" s="24"/>
    </row>
    <row r="16" spans="1:18">
      <c r="A16" s="28">
        <v>13</v>
      </c>
      <c r="B16" s="29">
        <v>45882</v>
      </c>
      <c r="C16" s="19"/>
      <c r="D16" s="19"/>
      <c r="E16" s="19">
        <v>2700</v>
      </c>
      <c r="F16" s="19">
        <v>95.68</v>
      </c>
      <c r="G16" s="19">
        <f t="shared" si="0"/>
        <v>258336.00000000003</v>
      </c>
      <c r="H16" s="19">
        <v>20</v>
      </c>
      <c r="I16" s="19">
        <v>107.46</v>
      </c>
      <c r="J16" s="19">
        <f t="shared" si="1"/>
        <v>2149.1999999999998</v>
      </c>
      <c r="K16" s="19">
        <f t="shared" si="2"/>
        <v>260485.20000000004</v>
      </c>
      <c r="L16" s="19"/>
      <c r="M16" s="44">
        <f t="shared" si="4"/>
        <v>7604393.4316999987</v>
      </c>
      <c r="N16" s="19"/>
    </row>
    <row r="17" spans="1:16">
      <c r="A17" s="28">
        <v>14</v>
      </c>
      <c r="B17" s="29">
        <v>45883</v>
      </c>
      <c r="C17" s="19"/>
      <c r="D17" s="19"/>
      <c r="E17" s="19">
        <v>2700</v>
      </c>
      <c r="F17" s="19">
        <v>95.68</v>
      </c>
      <c r="G17" s="19">
        <f t="shared" si="0"/>
        <v>258336.00000000003</v>
      </c>
      <c r="H17" s="19">
        <v>20</v>
      </c>
      <c r="I17" s="19">
        <v>107.46</v>
      </c>
      <c r="J17" s="19">
        <f t="shared" si="1"/>
        <v>2149.1999999999998</v>
      </c>
      <c r="K17" s="19">
        <f t="shared" si="2"/>
        <v>260485.20000000004</v>
      </c>
      <c r="L17" s="19"/>
      <c r="M17" s="44">
        <f t="shared" si="4"/>
        <v>7864878.6316999989</v>
      </c>
      <c r="N17" s="19"/>
    </row>
    <row r="18" spans="1:16">
      <c r="A18" s="28">
        <v>15</v>
      </c>
      <c r="B18" s="29">
        <v>45884</v>
      </c>
      <c r="C18" s="19"/>
      <c r="D18" s="19"/>
      <c r="E18" s="19">
        <v>0</v>
      </c>
      <c r="F18" s="19">
        <v>0</v>
      </c>
      <c r="G18" s="19">
        <f t="shared" si="0"/>
        <v>0</v>
      </c>
      <c r="H18" s="19">
        <v>0</v>
      </c>
      <c r="I18" s="19">
        <v>0</v>
      </c>
      <c r="J18" s="19">
        <f t="shared" si="1"/>
        <v>0</v>
      </c>
      <c r="K18" s="19">
        <f t="shared" si="2"/>
        <v>0</v>
      </c>
      <c r="L18" s="19"/>
      <c r="M18" s="44">
        <f t="shared" si="4"/>
        <v>7864878.6316999989</v>
      </c>
      <c r="N18" s="19"/>
    </row>
    <row r="19" spans="1:16">
      <c r="A19" s="28">
        <v>16</v>
      </c>
      <c r="B19" s="29">
        <v>45885</v>
      </c>
      <c r="C19" s="19"/>
      <c r="D19" s="19"/>
      <c r="E19" s="19">
        <v>0</v>
      </c>
      <c r="F19" s="19">
        <v>0</v>
      </c>
      <c r="G19" s="19">
        <f t="shared" si="0"/>
        <v>0</v>
      </c>
      <c r="H19" s="19">
        <v>0</v>
      </c>
      <c r="I19" s="19">
        <v>0</v>
      </c>
      <c r="J19" s="19">
        <f t="shared" si="1"/>
        <v>0</v>
      </c>
      <c r="K19" s="19">
        <f t="shared" si="2"/>
        <v>0</v>
      </c>
      <c r="L19" s="19"/>
      <c r="M19" s="44">
        <f t="shared" si="4"/>
        <v>7864878.6316999989</v>
      </c>
      <c r="N19" s="19"/>
    </row>
    <row r="20" spans="1:16">
      <c r="A20" s="28">
        <v>17</v>
      </c>
      <c r="B20" s="29">
        <v>45886</v>
      </c>
      <c r="C20" s="19"/>
      <c r="D20" s="19"/>
      <c r="E20" s="19">
        <v>0</v>
      </c>
      <c r="F20" s="19">
        <v>0</v>
      </c>
      <c r="G20" s="19">
        <f t="shared" si="0"/>
        <v>0</v>
      </c>
      <c r="H20" s="19">
        <v>0</v>
      </c>
      <c r="I20" s="19">
        <v>0</v>
      </c>
      <c r="J20" s="19">
        <f t="shared" si="1"/>
        <v>0</v>
      </c>
      <c r="K20" s="19">
        <f t="shared" si="2"/>
        <v>0</v>
      </c>
      <c r="L20" s="19"/>
      <c r="M20" s="44">
        <f t="shared" si="4"/>
        <v>7864878.6316999989</v>
      </c>
      <c r="N20" s="19"/>
    </row>
    <row r="21" spans="1:16">
      <c r="A21" s="28">
        <v>18</v>
      </c>
      <c r="B21" s="29">
        <v>45887</v>
      </c>
      <c r="C21" s="19"/>
      <c r="D21" s="19"/>
      <c r="E21" s="19">
        <v>5662</v>
      </c>
      <c r="F21" s="19">
        <v>95.68</v>
      </c>
      <c r="G21" s="19">
        <f t="shared" si="0"/>
        <v>541740.16</v>
      </c>
      <c r="H21" s="19">
        <v>40</v>
      </c>
      <c r="I21" s="19">
        <v>107.46</v>
      </c>
      <c r="J21" s="19">
        <f t="shared" si="1"/>
        <v>4298.3999999999996</v>
      </c>
      <c r="K21" s="19">
        <f t="shared" si="2"/>
        <v>546038.56000000006</v>
      </c>
      <c r="L21" s="19"/>
      <c r="M21" s="44">
        <f t="shared" si="4"/>
        <v>8410917.1916999985</v>
      </c>
      <c r="N21" s="19"/>
    </row>
    <row r="22" spans="1:16">
      <c r="A22" s="28">
        <v>19</v>
      </c>
      <c r="B22" s="29">
        <v>45888</v>
      </c>
      <c r="C22" s="19"/>
      <c r="D22" s="19"/>
      <c r="E22" s="19">
        <v>0</v>
      </c>
      <c r="F22" s="19">
        <v>0</v>
      </c>
      <c r="G22" s="19">
        <f t="shared" si="0"/>
        <v>0</v>
      </c>
      <c r="H22" s="19">
        <v>0</v>
      </c>
      <c r="I22" s="19">
        <v>0</v>
      </c>
      <c r="J22" s="19">
        <f t="shared" si="1"/>
        <v>0</v>
      </c>
      <c r="K22" s="19">
        <f t="shared" si="2"/>
        <v>0</v>
      </c>
      <c r="L22" s="19"/>
      <c r="M22" s="44">
        <f t="shared" si="4"/>
        <v>8410917.1916999985</v>
      </c>
      <c r="N22" s="19"/>
    </row>
    <row r="23" spans="1:16">
      <c r="A23" s="28">
        <v>20</v>
      </c>
      <c r="B23" s="29">
        <v>45889</v>
      </c>
      <c r="C23" s="19"/>
      <c r="D23" s="19"/>
      <c r="E23" s="19">
        <v>0</v>
      </c>
      <c r="F23" s="19">
        <v>0</v>
      </c>
      <c r="G23" s="19">
        <f t="shared" si="0"/>
        <v>0</v>
      </c>
      <c r="H23" s="19">
        <v>0</v>
      </c>
      <c r="I23" s="19">
        <v>0</v>
      </c>
      <c r="J23" s="19">
        <f t="shared" si="1"/>
        <v>0</v>
      </c>
      <c r="K23" s="19">
        <f t="shared" si="2"/>
        <v>0</v>
      </c>
      <c r="L23" s="19"/>
      <c r="M23" s="44">
        <f t="shared" si="4"/>
        <v>8410917.1916999985</v>
      </c>
      <c r="N23" s="19"/>
    </row>
    <row r="24" spans="1:16">
      <c r="A24" s="28">
        <v>21</v>
      </c>
      <c r="B24" s="29">
        <v>45890</v>
      </c>
      <c r="C24" s="19"/>
      <c r="D24" s="19"/>
      <c r="E24" s="19">
        <v>2800</v>
      </c>
      <c r="F24" s="19">
        <v>95.68</v>
      </c>
      <c r="G24" s="19">
        <f t="shared" si="0"/>
        <v>267904</v>
      </c>
      <c r="H24" s="19">
        <v>20</v>
      </c>
      <c r="I24" s="19">
        <v>107.46</v>
      </c>
      <c r="J24" s="19">
        <f t="shared" si="1"/>
        <v>2149.1999999999998</v>
      </c>
      <c r="K24" s="19">
        <f t="shared" si="2"/>
        <v>270053.2</v>
      </c>
      <c r="L24" s="19"/>
      <c r="M24" s="44">
        <f t="shared" si="4"/>
        <v>8680970.3916999977</v>
      </c>
      <c r="N24" s="19"/>
    </row>
    <row r="25" spans="1:16">
      <c r="A25" s="28">
        <v>22</v>
      </c>
      <c r="B25" s="29">
        <v>45891</v>
      </c>
      <c r="C25" s="19"/>
      <c r="D25" s="19"/>
      <c r="E25" s="19">
        <v>7493.99</v>
      </c>
      <c r="F25" s="19">
        <v>95.68</v>
      </c>
      <c r="G25" s="19">
        <f t="shared" si="0"/>
        <v>717024.9632</v>
      </c>
      <c r="H25" s="19">
        <v>20</v>
      </c>
      <c r="I25" s="19">
        <v>107.46</v>
      </c>
      <c r="J25" s="19">
        <f t="shared" si="1"/>
        <v>2149.1999999999998</v>
      </c>
      <c r="K25" s="19">
        <f t="shared" si="2"/>
        <v>719174.16319999995</v>
      </c>
      <c r="L25" s="19"/>
      <c r="M25" s="44">
        <f t="shared" si="4"/>
        <v>9400144.554899998</v>
      </c>
      <c r="N25" s="19"/>
    </row>
    <row r="26" spans="1:16">
      <c r="A26" s="28">
        <v>23</v>
      </c>
      <c r="B26" s="29">
        <v>45892</v>
      </c>
      <c r="C26" s="19"/>
      <c r="D26" s="19"/>
      <c r="E26" s="19">
        <v>2103.8200000000002</v>
      </c>
      <c r="F26" s="19">
        <v>95.68</v>
      </c>
      <c r="G26" s="19">
        <f t="shared" si="0"/>
        <v>201293.49760000003</v>
      </c>
      <c r="H26" s="19">
        <v>0</v>
      </c>
      <c r="I26" s="19">
        <v>0</v>
      </c>
      <c r="J26" s="19">
        <f t="shared" si="1"/>
        <v>0</v>
      </c>
      <c r="K26" s="19">
        <f t="shared" si="2"/>
        <v>201293.49760000003</v>
      </c>
      <c r="L26" s="19"/>
      <c r="M26" s="44">
        <f t="shared" si="4"/>
        <v>9601438.0524999984</v>
      </c>
      <c r="N26" s="19"/>
    </row>
    <row r="27" spans="1:16">
      <c r="A27" s="28">
        <v>24</v>
      </c>
      <c r="B27" s="29">
        <v>45893</v>
      </c>
      <c r="C27" s="19"/>
      <c r="D27" s="19"/>
      <c r="E27" s="19">
        <v>2700</v>
      </c>
      <c r="F27" s="19">
        <v>95.68</v>
      </c>
      <c r="G27" s="19">
        <f t="shared" si="0"/>
        <v>258336.00000000003</v>
      </c>
      <c r="H27" s="19">
        <v>20</v>
      </c>
      <c r="I27" s="19">
        <v>107.46</v>
      </c>
      <c r="J27" s="19">
        <f t="shared" si="1"/>
        <v>2149.1999999999998</v>
      </c>
      <c r="K27" s="19">
        <f t="shared" si="2"/>
        <v>260485.20000000004</v>
      </c>
      <c r="L27" s="19"/>
      <c r="M27" s="44">
        <f t="shared" si="4"/>
        <v>9861923.2524999976</v>
      </c>
      <c r="N27" s="19"/>
    </row>
    <row r="28" spans="1:16">
      <c r="A28" s="28">
        <v>25</v>
      </c>
      <c r="B28" s="29">
        <v>45894</v>
      </c>
      <c r="C28" s="19"/>
      <c r="D28" s="19"/>
      <c r="E28" s="19">
        <v>4813.74</v>
      </c>
      <c r="F28" s="19">
        <v>95.68</v>
      </c>
      <c r="G28" s="19">
        <f t="shared" si="0"/>
        <v>460578.64319999999</v>
      </c>
      <c r="H28" s="19">
        <v>40</v>
      </c>
      <c r="I28" s="19">
        <v>107.46</v>
      </c>
      <c r="J28" s="19">
        <f t="shared" si="1"/>
        <v>4298.3999999999996</v>
      </c>
      <c r="K28" s="19">
        <f t="shared" si="2"/>
        <v>464877.04320000001</v>
      </c>
      <c r="L28" s="19"/>
      <c r="M28" s="44">
        <f t="shared" si="4"/>
        <v>10326800.295699997</v>
      </c>
      <c r="N28" s="19"/>
    </row>
    <row r="29" spans="1:16">
      <c r="A29" s="28">
        <v>26</v>
      </c>
      <c r="B29" s="29">
        <v>45895</v>
      </c>
      <c r="C29" s="19"/>
      <c r="D29" s="19"/>
      <c r="E29" s="19">
        <v>0</v>
      </c>
      <c r="F29" s="19">
        <v>0</v>
      </c>
      <c r="G29" s="19">
        <f t="shared" si="0"/>
        <v>0</v>
      </c>
      <c r="H29" s="19">
        <v>0</v>
      </c>
      <c r="I29" s="19">
        <v>0</v>
      </c>
      <c r="J29" s="19">
        <f t="shared" si="1"/>
        <v>0</v>
      </c>
      <c r="K29" s="19">
        <f t="shared" si="2"/>
        <v>0</v>
      </c>
      <c r="L29" s="19"/>
      <c r="M29" s="44">
        <f t="shared" si="4"/>
        <v>10326800.295699997</v>
      </c>
      <c r="N29" s="19"/>
    </row>
    <row r="30" spans="1:16">
      <c r="A30" s="28">
        <v>27</v>
      </c>
      <c r="B30" s="29">
        <v>45896</v>
      </c>
      <c r="C30" s="19"/>
      <c r="D30" s="19"/>
      <c r="E30" s="19">
        <v>0</v>
      </c>
      <c r="F30" s="19">
        <v>0</v>
      </c>
      <c r="G30" s="19">
        <f t="shared" si="0"/>
        <v>0</v>
      </c>
      <c r="H30" s="19">
        <v>0</v>
      </c>
      <c r="I30" s="19">
        <v>0</v>
      </c>
      <c r="J30" s="19">
        <f t="shared" si="1"/>
        <v>0</v>
      </c>
      <c r="K30" s="19">
        <f t="shared" si="2"/>
        <v>0</v>
      </c>
      <c r="L30" s="19"/>
      <c r="M30" s="44">
        <f t="shared" si="4"/>
        <v>10326800.295699997</v>
      </c>
      <c r="N30" s="19"/>
      <c r="P30" s="24"/>
    </row>
    <row r="31" spans="1:16">
      <c r="A31" s="28">
        <v>28</v>
      </c>
      <c r="B31" s="29">
        <v>45897</v>
      </c>
      <c r="C31" s="19"/>
      <c r="D31" s="19"/>
      <c r="E31" s="19">
        <v>2800</v>
      </c>
      <c r="F31" s="19">
        <v>95.68</v>
      </c>
      <c r="G31" s="19">
        <f t="shared" si="0"/>
        <v>267904</v>
      </c>
      <c r="H31" s="19">
        <v>20</v>
      </c>
      <c r="I31" s="19">
        <v>107.46</v>
      </c>
      <c r="J31" s="19">
        <f t="shared" si="1"/>
        <v>2149.1999999999998</v>
      </c>
      <c r="K31" s="19">
        <f t="shared" si="2"/>
        <v>270053.2</v>
      </c>
      <c r="L31" s="19"/>
      <c r="M31" s="44">
        <f t="shared" si="4"/>
        <v>10596853.495699996</v>
      </c>
      <c r="N31" s="19"/>
    </row>
    <row r="32" spans="1:16">
      <c r="A32" s="28">
        <v>29</v>
      </c>
      <c r="B32" s="29">
        <v>45898</v>
      </c>
      <c r="C32" s="19"/>
      <c r="D32" s="19"/>
      <c r="E32" s="19">
        <v>2132.5500000000002</v>
      </c>
      <c r="F32" s="19">
        <v>95.68</v>
      </c>
      <c r="G32" s="19">
        <f t="shared" si="0"/>
        <v>204042.38400000002</v>
      </c>
      <c r="H32" s="19">
        <v>0</v>
      </c>
      <c r="I32" s="19">
        <v>0</v>
      </c>
      <c r="J32" s="19">
        <f t="shared" si="1"/>
        <v>0</v>
      </c>
      <c r="K32" s="19">
        <f t="shared" si="2"/>
        <v>204042.38400000002</v>
      </c>
      <c r="L32" s="19"/>
      <c r="M32" s="44">
        <f t="shared" si="4"/>
        <v>10800895.879699996</v>
      </c>
      <c r="N32" s="19"/>
    </row>
    <row r="33" spans="1:16">
      <c r="A33" s="28">
        <v>30</v>
      </c>
      <c r="B33" s="29">
        <v>45899</v>
      </c>
      <c r="C33" s="19"/>
      <c r="D33" s="19"/>
      <c r="E33" s="19">
        <v>2700</v>
      </c>
      <c r="F33" s="19">
        <v>95.67</v>
      </c>
      <c r="G33" s="19">
        <f t="shared" si="0"/>
        <v>258309</v>
      </c>
      <c r="H33" s="19">
        <v>40</v>
      </c>
      <c r="I33" s="19">
        <v>107.46</v>
      </c>
      <c r="J33" s="19">
        <f t="shared" si="1"/>
        <v>4298.3999999999996</v>
      </c>
      <c r="K33" s="19">
        <f t="shared" si="2"/>
        <v>262607.40000000002</v>
      </c>
      <c r="L33" s="19"/>
      <c r="M33" s="44">
        <f t="shared" si="4"/>
        <v>11063503.279699996</v>
      </c>
      <c r="N33" s="19"/>
      <c r="O33">
        <v>11063398.0777</v>
      </c>
      <c r="P33" s="24">
        <f>M33-O33</f>
        <v>105.20199999585748</v>
      </c>
    </row>
    <row r="34" spans="1:16">
      <c r="A34" s="28">
        <v>31</v>
      </c>
      <c r="B34" s="29">
        <v>45900</v>
      </c>
      <c r="C34" s="19"/>
      <c r="D34" s="19"/>
      <c r="E34" s="19">
        <v>0</v>
      </c>
      <c r="F34" s="19">
        <v>0</v>
      </c>
      <c r="G34" s="19">
        <f t="shared" si="0"/>
        <v>0</v>
      </c>
      <c r="H34" s="19">
        <v>0</v>
      </c>
      <c r="I34" s="19">
        <v>0</v>
      </c>
      <c r="J34" s="19">
        <f t="shared" si="1"/>
        <v>0</v>
      </c>
      <c r="K34" s="19">
        <f t="shared" si="2"/>
        <v>0</v>
      </c>
      <c r="L34" s="19"/>
      <c r="M34" s="44">
        <f t="shared" si="4"/>
        <v>11063503.279699996</v>
      </c>
      <c r="N34" s="19"/>
    </row>
    <row r="35" spans="1:16">
      <c r="A35" s="28">
        <v>32</v>
      </c>
      <c r="B35" s="29"/>
      <c r="C35" s="19"/>
      <c r="D35" s="19"/>
      <c r="E35" s="19">
        <v>0</v>
      </c>
      <c r="F35" s="19">
        <v>0</v>
      </c>
      <c r="G35" s="19">
        <f t="shared" si="0"/>
        <v>0</v>
      </c>
      <c r="H35" s="19">
        <v>0</v>
      </c>
      <c r="I35" s="19">
        <v>0</v>
      </c>
      <c r="J35" s="19">
        <f t="shared" si="1"/>
        <v>0</v>
      </c>
      <c r="K35" s="19">
        <f t="shared" si="2"/>
        <v>0</v>
      </c>
      <c r="L35" s="19"/>
      <c r="M35" s="44">
        <f t="shared" si="4"/>
        <v>11063503.279699996</v>
      </c>
      <c r="N35" s="19"/>
    </row>
    <row r="36" spans="1:16">
      <c r="A36" s="28">
        <v>33</v>
      </c>
      <c r="B36" s="29"/>
      <c r="C36" s="19"/>
      <c r="D36" s="19"/>
      <c r="E36" s="19">
        <v>0</v>
      </c>
      <c r="F36" s="19">
        <v>0</v>
      </c>
      <c r="G36" s="19">
        <f t="shared" si="0"/>
        <v>0</v>
      </c>
      <c r="H36" s="19">
        <v>0</v>
      </c>
      <c r="I36" s="19">
        <v>0</v>
      </c>
      <c r="J36" s="19">
        <f t="shared" si="1"/>
        <v>0</v>
      </c>
      <c r="K36" s="19">
        <f t="shared" si="2"/>
        <v>0</v>
      </c>
      <c r="L36" s="19"/>
      <c r="M36" s="19"/>
      <c r="N36" s="19"/>
    </row>
    <row r="37" spans="1:16">
      <c r="A37" s="28">
        <v>34</v>
      </c>
      <c r="B37" s="29"/>
      <c r="C37" s="19"/>
      <c r="D37" s="19"/>
      <c r="E37" s="19"/>
      <c r="F37" s="19"/>
      <c r="G37" s="19"/>
      <c r="H37" s="19"/>
      <c r="I37" s="19"/>
      <c r="J37" s="19"/>
      <c r="K37" s="261"/>
      <c r="L37" s="19"/>
      <c r="M37" s="19"/>
      <c r="N37" s="19"/>
    </row>
    <row r="38" spans="1:16">
      <c r="A38" s="48"/>
      <c r="B38" s="48"/>
      <c r="C38" s="48"/>
      <c r="D38" s="48"/>
      <c r="E38" s="274">
        <f>SUM(E3:E37)</f>
        <v>66910.820000000007</v>
      </c>
      <c r="F38" s="274"/>
      <c r="G38" s="274">
        <f>SUM(G3:G37)</f>
        <v>6401975.2576000001</v>
      </c>
      <c r="H38" s="274">
        <f>SUM(H3:H37)</f>
        <v>480</v>
      </c>
      <c r="I38" s="274"/>
      <c r="J38" s="274">
        <f>SUM(J3:J37)</f>
        <v>51580.799999999996</v>
      </c>
      <c r="K38" s="274">
        <f>SUM(K4:K37)</f>
        <v>6453556.0576000018</v>
      </c>
      <c r="L38" s="274">
        <f>SUM(L3:L37)</f>
        <v>10000000</v>
      </c>
      <c r="M38" s="274"/>
      <c r="N38" s="274"/>
    </row>
  </sheetData>
  <mergeCells count="2">
    <mergeCell ref="A1:N1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O39"/>
  <sheetViews>
    <sheetView topLeftCell="A22" workbookViewId="0">
      <selection activeCell="M34" sqref="M34"/>
    </sheetView>
  </sheetViews>
  <sheetFormatPr defaultRowHeight="15"/>
  <cols>
    <col min="2" max="2" width="12.140625" customWidth="1"/>
    <col min="4" max="4" width="20.85546875" customWidth="1"/>
    <col min="5" max="5" width="23.42578125" customWidth="1"/>
    <col min="7" max="7" width="14.42578125" customWidth="1"/>
    <col min="11" max="11" width="15.5703125" customWidth="1"/>
    <col min="12" max="12" width="16.7109375" customWidth="1"/>
    <col min="13" max="13" width="16" customWidth="1"/>
    <col min="14" max="14" width="34.5703125" customWidth="1"/>
  </cols>
  <sheetData>
    <row r="1" spans="1:15" ht="15.75">
      <c r="A1" s="409" t="s">
        <v>14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15" ht="30.75">
      <c r="A2" s="72" t="s">
        <v>94</v>
      </c>
      <c r="B2" s="92" t="s">
        <v>95</v>
      </c>
      <c r="C2" s="92" t="s">
        <v>96</v>
      </c>
      <c r="D2" s="92" t="s">
        <v>97</v>
      </c>
      <c r="E2" s="92" t="s">
        <v>98</v>
      </c>
      <c r="F2" s="92" t="s">
        <v>99</v>
      </c>
      <c r="G2" s="92" t="s">
        <v>100</v>
      </c>
      <c r="H2" s="92" t="s">
        <v>101</v>
      </c>
      <c r="I2" s="92" t="s">
        <v>99</v>
      </c>
      <c r="J2" s="93" t="s">
        <v>100</v>
      </c>
      <c r="K2" s="134" t="s">
        <v>102</v>
      </c>
      <c r="L2" s="137" t="s">
        <v>103</v>
      </c>
      <c r="M2" s="137" t="s">
        <v>104</v>
      </c>
      <c r="N2" s="135" t="s">
        <v>105</v>
      </c>
    </row>
    <row r="3" spans="1:15">
      <c r="A3" s="411" t="s">
        <v>106</v>
      </c>
      <c r="B3" s="412"/>
      <c r="C3" s="412"/>
      <c r="D3" s="412"/>
      <c r="E3" s="412"/>
      <c r="F3" s="412"/>
      <c r="G3" s="412"/>
      <c r="H3" s="412"/>
      <c r="I3" s="412"/>
      <c r="J3" s="412"/>
      <c r="K3" s="270">
        <v>12663588.297399998</v>
      </c>
      <c r="L3" s="271"/>
      <c r="M3" s="244">
        <f>+K3</f>
        <v>12663588.297399998</v>
      </c>
      <c r="N3" s="103"/>
      <c r="O3">
        <v>12663588.297399998</v>
      </c>
    </row>
    <row r="4" spans="1:15">
      <c r="A4" s="28">
        <v>1</v>
      </c>
      <c r="B4" s="29">
        <v>45870</v>
      </c>
      <c r="C4" s="19"/>
      <c r="D4" s="309"/>
      <c r="E4" s="318">
        <v>0</v>
      </c>
      <c r="F4" s="319">
        <v>0</v>
      </c>
      <c r="G4" s="19">
        <f>E4*F4</f>
        <v>0</v>
      </c>
      <c r="H4" s="19">
        <v>0</v>
      </c>
      <c r="I4" s="19">
        <v>0</v>
      </c>
      <c r="J4" s="19">
        <f>H4*I4</f>
        <v>0</v>
      </c>
      <c r="K4" s="19">
        <f>G4+J4</f>
        <v>0</v>
      </c>
      <c r="L4" s="19">
        <v>10000000</v>
      </c>
      <c r="M4" s="44">
        <f>M3+K4-L4</f>
        <v>2663588.2973999977</v>
      </c>
      <c r="N4" s="19"/>
    </row>
    <row r="5" spans="1:15">
      <c r="A5" s="28">
        <v>2</v>
      </c>
      <c r="B5" s="29">
        <v>45871</v>
      </c>
      <c r="C5" s="19"/>
      <c r="D5" s="309"/>
      <c r="E5" s="318">
        <v>2700</v>
      </c>
      <c r="F5" s="319">
        <v>95.7</v>
      </c>
      <c r="G5" s="19">
        <f t="shared" ref="G5:G33" si="0">E5*F5</f>
        <v>258390</v>
      </c>
      <c r="H5" s="19">
        <v>0</v>
      </c>
      <c r="I5" s="19">
        <v>0</v>
      </c>
      <c r="J5" s="19">
        <f t="shared" ref="J5:J33" si="1">H5*I5</f>
        <v>0</v>
      </c>
      <c r="K5" s="19">
        <f t="shared" ref="K5:K33" si="2">G5+J5</f>
        <v>258390</v>
      </c>
      <c r="L5" s="19"/>
      <c r="M5" s="44">
        <f t="shared" ref="M5:M17" si="3">M4+K5-L5</f>
        <v>2921978.2973999977</v>
      </c>
      <c r="N5" s="19"/>
    </row>
    <row r="6" spans="1:15">
      <c r="A6" s="28">
        <v>3</v>
      </c>
      <c r="B6" s="29">
        <v>45872</v>
      </c>
      <c r="C6" s="19"/>
      <c r="D6" s="309"/>
      <c r="E6" s="318">
        <v>2700</v>
      </c>
      <c r="F6" s="319">
        <v>95.7</v>
      </c>
      <c r="G6" s="19">
        <f t="shared" si="0"/>
        <v>258390</v>
      </c>
      <c r="H6" s="19">
        <v>40</v>
      </c>
      <c r="I6" s="19">
        <v>107.48</v>
      </c>
      <c r="J6" s="19">
        <f t="shared" si="1"/>
        <v>4299.2</v>
      </c>
      <c r="K6" s="19">
        <f t="shared" si="2"/>
        <v>262689.2</v>
      </c>
      <c r="L6" s="19"/>
      <c r="M6" s="44">
        <f t="shared" si="3"/>
        <v>3184667.4973999979</v>
      </c>
      <c r="N6" s="19"/>
    </row>
    <row r="7" spans="1:15">
      <c r="A7" s="28">
        <v>4</v>
      </c>
      <c r="B7" s="29">
        <v>45873</v>
      </c>
      <c r="C7" s="19"/>
      <c r="D7" s="309"/>
      <c r="E7" s="318">
        <v>6281.12</v>
      </c>
      <c r="F7" s="319">
        <v>95.7</v>
      </c>
      <c r="G7" s="19">
        <f t="shared" si="0"/>
        <v>601103.18400000001</v>
      </c>
      <c r="H7" s="19">
        <v>20</v>
      </c>
      <c r="I7" s="19">
        <v>107.48</v>
      </c>
      <c r="J7" s="19">
        <f t="shared" si="1"/>
        <v>2149.6</v>
      </c>
      <c r="K7" s="19">
        <f t="shared" si="2"/>
        <v>603252.78399999999</v>
      </c>
      <c r="L7" s="19"/>
      <c r="M7" s="44">
        <f t="shared" si="3"/>
        <v>3787920.2813999979</v>
      </c>
      <c r="N7" s="19"/>
    </row>
    <row r="8" spans="1:15">
      <c r="A8" s="28">
        <v>5</v>
      </c>
      <c r="B8" s="29">
        <v>45874</v>
      </c>
      <c r="C8" s="19"/>
      <c r="D8" s="309"/>
      <c r="E8" s="318">
        <v>0</v>
      </c>
      <c r="F8" s="319">
        <v>0</v>
      </c>
      <c r="G8" s="19">
        <f t="shared" si="0"/>
        <v>0</v>
      </c>
      <c r="H8" s="19">
        <v>0</v>
      </c>
      <c r="I8" s="19">
        <v>0</v>
      </c>
      <c r="J8" s="19">
        <f t="shared" si="1"/>
        <v>0</v>
      </c>
      <c r="K8" s="19">
        <f t="shared" si="2"/>
        <v>0</v>
      </c>
      <c r="L8" s="19"/>
      <c r="M8" s="44">
        <f t="shared" si="3"/>
        <v>3787920.2813999979</v>
      </c>
      <c r="N8" s="19"/>
    </row>
    <row r="9" spans="1:15">
      <c r="A9" s="28">
        <v>6</v>
      </c>
      <c r="B9" s="29">
        <v>45875</v>
      </c>
      <c r="C9" s="19"/>
      <c r="D9" s="309"/>
      <c r="E9" s="318">
        <v>2106.39</v>
      </c>
      <c r="F9" s="319">
        <v>95.7</v>
      </c>
      <c r="G9" s="19">
        <f t="shared" si="0"/>
        <v>201581.52299999999</v>
      </c>
      <c r="H9" s="19">
        <v>0</v>
      </c>
      <c r="I9" s="19">
        <v>0</v>
      </c>
      <c r="J9" s="19">
        <f t="shared" si="1"/>
        <v>0</v>
      </c>
      <c r="K9" s="19">
        <f t="shared" si="2"/>
        <v>201581.52299999999</v>
      </c>
      <c r="L9" s="19"/>
      <c r="M9" s="44">
        <f t="shared" si="3"/>
        <v>3989501.8043999979</v>
      </c>
      <c r="N9" s="275"/>
    </row>
    <row r="10" spans="1:15">
      <c r="A10" s="28">
        <v>7</v>
      </c>
      <c r="B10" s="29">
        <v>45876</v>
      </c>
      <c r="C10" s="19"/>
      <c r="D10" s="309"/>
      <c r="E10" s="318">
        <v>2800</v>
      </c>
      <c r="F10" s="319">
        <v>95.7</v>
      </c>
      <c r="G10" s="19">
        <f t="shared" si="0"/>
        <v>267960</v>
      </c>
      <c r="H10" s="19">
        <v>0</v>
      </c>
      <c r="I10" s="19">
        <v>0</v>
      </c>
      <c r="J10" s="19">
        <f t="shared" si="1"/>
        <v>0</v>
      </c>
      <c r="K10" s="19">
        <f t="shared" si="2"/>
        <v>267960</v>
      </c>
      <c r="L10" s="19"/>
      <c r="M10" s="44">
        <f t="shared" si="3"/>
        <v>4257461.8043999979</v>
      </c>
      <c r="N10" s="19"/>
    </row>
    <row r="11" spans="1:15">
      <c r="A11" s="28">
        <v>8</v>
      </c>
      <c r="B11" s="29">
        <v>45877</v>
      </c>
      <c r="C11" s="19"/>
      <c r="D11" s="309"/>
      <c r="E11" s="318">
        <v>6978.81</v>
      </c>
      <c r="F11" s="319">
        <v>95.7</v>
      </c>
      <c r="G11" s="19">
        <f t="shared" si="0"/>
        <v>667872.11700000009</v>
      </c>
      <c r="H11" s="19">
        <v>35</v>
      </c>
      <c r="I11" s="19">
        <v>107.48</v>
      </c>
      <c r="J11" s="19">
        <f t="shared" si="1"/>
        <v>3761.8</v>
      </c>
      <c r="K11" s="19">
        <f t="shared" si="2"/>
        <v>671633.91700000013</v>
      </c>
      <c r="L11" s="19"/>
      <c r="M11" s="44">
        <f t="shared" si="3"/>
        <v>4929095.7213999983</v>
      </c>
      <c r="N11" s="19"/>
    </row>
    <row r="12" spans="1:15">
      <c r="A12" s="28">
        <v>9</v>
      </c>
      <c r="B12" s="29">
        <v>45878</v>
      </c>
      <c r="C12" s="19"/>
      <c r="D12" s="309"/>
      <c r="E12" s="318">
        <v>3800</v>
      </c>
      <c r="F12" s="319">
        <v>95.7</v>
      </c>
      <c r="G12" s="19">
        <f t="shared" si="0"/>
        <v>363660</v>
      </c>
      <c r="H12" s="19">
        <v>40</v>
      </c>
      <c r="I12" s="19">
        <v>107.48</v>
      </c>
      <c r="J12" s="19">
        <f t="shared" si="1"/>
        <v>4299.2</v>
      </c>
      <c r="K12" s="19">
        <f t="shared" si="2"/>
        <v>367959.2</v>
      </c>
      <c r="L12" s="19"/>
      <c r="M12" s="44">
        <f t="shared" si="3"/>
        <v>5297054.9213999985</v>
      </c>
      <c r="N12" s="19"/>
    </row>
    <row r="13" spans="1:15">
      <c r="A13" s="28">
        <v>10</v>
      </c>
      <c r="B13" s="29">
        <v>45879</v>
      </c>
      <c r="C13" s="19"/>
      <c r="D13" s="309"/>
      <c r="E13" s="318">
        <v>5063.53</v>
      </c>
      <c r="F13" s="319">
        <v>95.7</v>
      </c>
      <c r="G13" s="19">
        <f t="shared" si="0"/>
        <v>484579.821</v>
      </c>
      <c r="H13" s="19">
        <v>0</v>
      </c>
      <c r="I13" s="19">
        <v>0</v>
      </c>
      <c r="J13" s="19">
        <f t="shared" si="1"/>
        <v>0</v>
      </c>
      <c r="K13" s="19">
        <f t="shared" si="2"/>
        <v>484579.821</v>
      </c>
      <c r="L13" s="19"/>
      <c r="M13" s="44">
        <f t="shared" si="3"/>
        <v>5781634.742399998</v>
      </c>
      <c r="N13" s="19"/>
    </row>
    <row r="14" spans="1:15">
      <c r="A14" s="28">
        <v>11</v>
      </c>
      <c r="B14" s="29">
        <v>45880</v>
      </c>
      <c r="C14" s="19"/>
      <c r="D14" s="309"/>
      <c r="E14" s="318">
        <v>0</v>
      </c>
      <c r="F14" s="319">
        <v>0</v>
      </c>
      <c r="G14" s="19">
        <f t="shared" si="0"/>
        <v>0</v>
      </c>
      <c r="H14" s="19">
        <v>0</v>
      </c>
      <c r="I14" s="19">
        <v>0</v>
      </c>
      <c r="J14" s="19">
        <f t="shared" si="1"/>
        <v>0</v>
      </c>
      <c r="K14" s="19">
        <f t="shared" si="2"/>
        <v>0</v>
      </c>
      <c r="L14" s="19"/>
      <c r="M14" s="44">
        <f t="shared" si="3"/>
        <v>5781634.742399998</v>
      </c>
      <c r="N14" s="19"/>
    </row>
    <row r="15" spans="1:15">
      <c r="A15" s="28">
        <v>12</v>
      </c>
      <c r="B15" s="29">
        <v>45881</v>
      </c>
      <c r="C15" s="19"/>
      <c r="D15" s="309"/>
      <c r="E15" s="318">
        <v>5879.49</v>
      </c>
      <c r="F15" s="319">
        <v>95.7</v>
      </c>
      <c r="G15" s="19">
        <f t="shared" si="0"/>
        <v>562667.19299999997</v>
      </c>
      <c r="H15" s="19">
        <v>40</v>
      </c>
      <c r="I15" s="19">
        <v>107.48</v>
      </c>
      <c r="J15" s="19">
        <f t="shared" si="1"/>
        <v>4299.2</v>
      </c>
      <c r="K15" s="19">
        <f t="shared" si="2"/>
        <v>566966.39299999992</v>
      </c>
      <c r="L15" s="19"/>
      <c r="M15" s="44">
        <f t="shared" si="3"/>
        <v>6348601.1353999982</v>
      </c>
      <c r="N15" s="19"/>
    </row>
    <row r="16" spans="1:15">
      <c r="A16" s="28">
        <v>13</v>
      </c>
      <c r="B16" s="29">
        <v>45882</v>
      </c>
      <c r="C16" s="19"/>
      <c r="D16" s="309"/>
      <c r="E16" s="318">
        <v>0</v>
      </c>
      <c r="F16" s="319">
        <v>95.7</v>
      </c>
      <c r="G16" s="19">
        <f t="shared" si="0"/>
        <v>0</v>
      </c>
      <c r="H16" s="19">
        <v>0</v>
      </c>
      <c r="I16" s="19">
        <v>107.48</v>
      </c>
      <c r="J16" s="19">
        <f t="shared" si="1"/>
        <v>0</v>
      </c>
      <c r="K16" s="19">
        <f t="shared" si="2"/>
        <v>0</v>
      </c>
      <c r="L16" s="19"/>
      <c r="M16" s="44">
        <f t="shared" si="3"/>
        <v>6348601.1353999982</v>
      </c>
      <c r="N16" s="19"/>
    </row>
    <row r="17" spans="1:14">
      <c r="A17" s="28">
        <v>14</v>
      </c>
      <c r="B17" s="29">
        <v>45883</v>
      </c>
      <c r="C17" s="19"/>
      <c r="D17" s="309"/>
      <c r="E17" s="318">
        <v>5841.03</v>
      </c>
      <c r="F17" s="319">
        <v>95.7</v>
      </c>
      <c r="G17" s="19">
        <f t="shared" si="0"/>
        <v>558986.571</v>
      </c>
      <c r="H17" s="19">
        <v>20</v>
      </c>
      <c r="I17" s="19">
        <v>107.48</v>
      </c>
      <c r="J17" s="19">
        <f t="shared" si="1"/>
        <v>2149.6</v>
      </c>
      <c r="K17" s="19">
        <f t="shared" si="2"/>
        <v>561136.17099999997</v>
      </c>
      <c r="L17" s="19"/>
      <c r="M17" s="44">
        <f>M16+K17-L17</f>
        <v>6909737.3063999983</v>
      </c>
      <c r="N17" s="19"/>
    </row>
    <row r="18" spans="1:14">
      <c r="A18" s="28">
        <v>15</v>
      </c>
      <c r="B18" s="29">
        <v>45884</v>
      </c>
      <c r="C18" s="19"/>
      <c r="D18" s="309"/>
      <c r="E18" s="318">
        <v>0</v>
      </c>
      <c r="F18" s="319">
        <v>0</v>
      </c>
      <c r="G18" s="19">
        <f t="shared" si="0"/>
        <v>0</v>
      </c>
      <c r="H18" s="19">
        <v>0</v>
      </c>
      <c r="I18" s="19">
        <v>0</v>
      </c>
      <c r="J18" s="19">
        <f t="shared" si="1"/>
        <v>0</v>
      </c>
      <c r="K18" s="19">
        <f t="shared" si="2"/>
        <v>0</v>
      </c>
      <c r="L18" s="19"/>
      <c r="M18" s="44">
        <f>M17+K18-L18</f>
        <v>6909737.3063999983</v>
      </c>
      <c r="N18" s="19"/>
    </row>
    <row r="19" spans="1:14">
      <c r="A19" s="28">
        <v>16</v>
      </c>
      <c r="B19" s="29">
        <v>45885</v>
      </c>
      <c r="C19" s="19"/>
      <c r="D19" s="309"/>
      <c r="E19" s="390">
        <v>2100.91</v>
      </c>
      <c r="F19" s="319">
        <v>95.7</v>
      </c>
      <c r="G19" s="19">
        <f t="shared" si="0"/>
        <v>201057.087</v>
      </c>
      <c r="H19" s="19">
        <v>0</v>
      </c>
      <c r="I19" s="19">
        <v>0</v>
      </c>
      <c r="J19" s="19">
        <f t="shared" si="1"/>
        <v>0</v>
      </c>
      <c r="K19" s="19">
        <f t="shared" si="2"/>
        <v>201057.087</v>
      </c>
      <c r="L19" s="19"/>
      <c r="M19" s="44">
        <f>M18+K19-L19</f>
        <v>7110794.3933999985</v>
      </c>
      <c r="N19" s="19"/>
    </row>
    <row r="20" spans="1:14">
      <c r="A20" s="28">
        <v>17</v>
      </c>
      <c r="B20" s="29">
        <v>45886</v>
      </c>
      <c r="C20" s="19"/>
      <c r="D20" s="309"/>
      <c r="E20" s="390">
        <f>2700+2700</f>
        <v>5400</v>
      </c>
      <c r="F20" s="319">
        <v>95.7</v>
      </c>
      <c r="G20" s="19">
        <f t="shared" si="0"/>
        <v>516780</v>
      </c>
      <c r="H20" s="19">
        <v>60</v>
      </c>
      <c r="I20" s="19">
        <v>107.48</v>
      </c>
      <c r="J20" s="19">
        <f t="shared" si="1"/>
        <v>6448.8</v>
      </c>
      <c r="K20" s="19">
        <f t="shared" si="2"/>
        <v>523228.8</v>
      </c>
      <c r="L20" s="19"/>
      <c r="M20" s="44">
        <f>M19+K20-L20</f>
        <v>7634023.1933999984</v>
      </c>
      <c r="N20" s="19"/>
    </row>
    <row r="21" spans="1:14">
      <c r="A21" s="28">
        <v>18</v>
      </c>
      <c r="B21" s="29">
        <v>45887</v>
      </c>
      <c r="C21" s="19"/>
      <c r="D21" s="309"/>
      <c r="E21" s="318">
        <v>2700</v>
      </c>
      <c r="F21" s="319">
        <v>95.7</v>
      </c>
      <c r="G21" s="19">
        <f t="shared" si="0"/>
        <v>258390</v>
      </c>
      <c r="H21" s="19">
        <v>0</v>
      </c>
      <c r="I21" s="19">
        <v>0</v>
      </c>
      <c r="J21" s="19">
        <f t="shared" si="1"/>
        <v>0</v>
      </c>
      <c r="K21" s="19">
        <f t="shared" si="2"/>
        <v>258390</v>
      </c>
      <c r="L21" s="19"/>
      <c r="M21" s="44">
        <f>M20+K21-L21</f>
        <v>7892413.1933999984</v>
      </c>
      <c r="N21" s="19"/>
    </row>
    <row r="22" spans="1:14">
      <c r="A22" s="28">
        <v>19</v>
      </c>
      <c r="B22" s="29">
        <v>45888</v>
      </c>
      <c r="C22" s="19"/>
      <c r="D22" s="309"/>
      <c r="E22" s="390">
        <f>2800+614.79</f>
        <v>3414.79</v>
      </c>
      <c r="F22" s="319">
        <v>95.7</v>
      </c>
      <c r="G22" s="19">
        <f t="shared" si="0"/>
        <v>326795.40299999999</v>
      </c>
      <c r="H22" s="19">
        <v>0</v>
      </c>
      <c r="I22" s="19">
        <v>0</v>
      </c>
      <c r="J22" s="19">
        <f t="shared" si="1"/>
        <v>0</v>
      </c>
      <c r="K22" s="19">
        <f t="shared" si="2"/>
        <v>326795.40299999999</v>
      </c>
      <c r="L22" s="19"/>
      <c r="M22" s="44">
        <f>M21+K22-L22</f>
        <v>8219208.5963999983</v>
      </c>
      <c r="N22" s="19"/>
    </row>
    <row r="23" spans="1:14">
      <c r="A23" s="28">
        <v>20</v>
      </c>
      <c r="B23" s="29">
        <v>45889</v>
      </c>
      <c r="C23" s="19"/>
      <c r="D23" s="309"/>
      <c r="E23" s="318">
        <v>3716.62</v>
      </c>
      <c r="F23" s="319">
        <v>95.7</v>
      </c>
      <c r="G23" s="19">
        <f t="shared" si="0"/>
        <v>355680.53399999999</v>
      </c>
      <c r="H23" s="19">
        <v>40</v>
      </c>
      <c r="I23" s="19">
        <v>107.48</v>
      </c>
      <c r="J23" s="19">
        <f t="shared" si="1"/>
        <v>4299.2</v>
      </c>
      <c r="K23" s="19">
        <f t="shared" si="2"/>
        <v>359979.734</v>
      </c>
      <c r="L23" s="19"/>
      <c r="M23" s="44">
        <f>M22+K23-L23</f>
        <v>8579188.3303999975</v>
      </c>
      <c r="N23" s="19"/>
    </row>
    <row r="24" spans="1:14">
      <c r="A24" s="28">
        <v>21</v>
      </c>
      <c r="B24" s="29">
        <v>45890</v>
      </c>
      <c r="C24" s="19"/>
      <c r="D24" s="309"/>
      <c r="E24" s="318">
        <v>4437.4799999999996</v>
      </c>
      <c r="F24" s="319">
        <v>95.7</v>
      </c>
      <c r="G24" s="19">
        <f t="shared" si="0"/>
        <v>424666.83599999995</v>
      </c>
      <c r="H24" s="19">
        <v>20</v>
      </c>
      <c r="I24" s="19">
        <v>107.48</v>
      </c>
      <c r="J24" s="19">
        <f t="shared" si="1"/>
        <v>2149.6</v>
      </c>
      <c r="K24" s="19">
        <f t="shared" si="2"/>
        <v>426816.43599999993</v>
      </c>
      <c r="L24" s="19"/>
      <c r="M24" s="44">
        <f>M23+K24-L24</f>
        <v>9006004.7663999982</v>
      </c>
      <c r="N24" s="19"/>
    </row>
    <row r="25" spans="1:14">
      <c r="A25" s="28">
        <v>22</v>
      </c>
      <c r="B25" s="29">
        <v>45891</v>
      </c>
      <c r="C25" s="19"/>
      <c r="D25" s="309"/>
      <c r="E25" s="318">
        <v>5400</v>
      </c>
      <c r="F25" s="319">
        <v>95.7</v>
      </c>
      <c r="G25" s="19">
        <f t="shared" si="0"/>
        <v>516780</v>
      </c>
      <c r="H25" s="19">
        <v>40</v>
      </c>
      <c r="I25" s="19">
        <v>107.48</v>
      </c>
      <c r="J25" s="19">
        <f t="shared" si="1"/>
        <v>4299.2</v>
      </c>
      <c r="K25" s="19">
        <f t="shared" si="2"/>
        <v>521079.2</v>
      </c>
      <c r="L25" s="19"/>
      <c r="M25" s="44">
        <f>M24+K25-L25</f>
        <v>9527083.9663999975</v>
      </c>
      <c r="N25" s="19"/>
    </row>
    <row r="26" spans="1:14">
      <c r="A26" s="28">
        <v>23</v>
      </c>
      <c r="B26" s="29">
        <v>45892</v>
      </c>
      <c r="C26" s="19"/>
      <c r="D26" s="309"/>
      <c r="E26" s="318">
        <v>5500</v>
      </c>
      <c r="F26" s="319">
        <v>95.7</v>
      </c>
      <c r="G26" s="19">
        <f t="shared" si="0"/>
        <v>526350</v>
      </c>
      <c r="H26" s="19">
        <v>40</v>
      </c>
      <c r="I26" s="19">
        <v>107.48</v>
      </c>
      <c r="J26" s="19">
        <f t="shared" si="1"/>
        <v>4299.2</v>
      </c>
      <c r="K26" s="19">
        <f t="shared" si="2"/>
        <v>530649.19999999995</v>
      </c>
      <c r="L26" s="19"/>
      <c r="M26" s="44">
        <f>M25+K26-L26</f>
        <v>10057733.166399997</v>
      </c>
      <c r="N26" s="19"/>
    </row>
    <row r="27" spans="1:14">
      <c r="A27" s="28">
        <v>24</v>
      </c>
      <c r="B27" s="29">
        <v>45893</v>
      </c>
      <c r="C27" s="19"/>
      <c r="D27" s="309"/>
      <c r="E27" s="318">
        <v>0</v>
      </c>
      <c r="F27" s="319">
        <v>0</v>
      </c>
      <c r="G27" s="19">
        <f t="shared" si="0"/>
        <v>0</v>
      </c>
      <c r="H27" s="19">
        <v>0</v>
      </c>
      <c r="I27" s="19">
        <v>0</v>
      </c>
      <c r="J27" s="19">
        <f t="shared" si="1"/>
        <v>0</v>
      </c>
      <c r="K27" s="19">
        <f t="shared" si="2"/>
        <v>0</v>
      </c>
      <c r="L27" s="19"/>
      <c r="M27" s="44">
        <f>M26+K27-L27</f>
        <v>10057733.166399997</v>
      </c>
      <c r="N27" s="19"/>
    </row>
    <row r="28" spans="1:14">
      <c r="A28" s="28">
        <v>25</v>
      </c>
      <c r="B28" s="29">
        <v>45894</v>
      </c>
      <c r="C28" s="19"/>
      <c r="D28" s="309"/>
      <c r="E28" s="318">
        <v>4800</v>
      </c>
      <c r="F28" s="319">
        <v>95.7</v>
      </c>
      <c r="G28" s="19">
        <f t="shared" si="0"/>
        <v>459360</v>
      </c>
      <c r="H28" s="19">
        <v>20</v>
      </c>
      <c r="I28" s="19">
        <v>107.48</v>
      </c>
      <c r="J28" s="19">
        <f t="shared" si="1"/>
        <v>2149.6</v>
      </c>
      <c r="K28" s="19">
        <f t="shared" si="2"/>
        <v>461509.6</v>
      </c>
      <c r="L28" s="19"/>
      <c r="M28" s="44">
        <f>M27+K28-L28</f>
        <v>10519242.766399996</v>
      </c>
      <c r="N28" s="19"/>
    </row>
    <row r="29" spans="1:14">
      <c r="A29" s="28">
        <v>26</v>
      </c>
      <c r="B29" s="29">
        <v>45895</v>
      </c>
      <c r="C29" s="19"/>
      <c r="D29" s="309"/>
      <c r="E29" s="318">
        <v>2700</v>
      </c>
      <c r="F29" s="319">
        <v>95.7</v>
      </c>
      <c r="G29" s="19">
        <f t="shared" si="0"/>
        <v>258390</v>
      </c>
      <c r="H29" s="19">
        <v>0</v>
      </c>
      <c r="I29" s="19">
        <v>0</v>
      </c>
      <c r="J29" s="19">
        <f t="shared" si="1"/>
        <v>0</v>
      </c>
      <c r="K29" s="19">
        <f t="shared" si="2"/>
        <v>258390</v>
      </c>
      <c r="L29" s="19"/>
      <c r="M29" s="44">
        <f t="shared" ref="M29:M34" si="4">M28+K29-L29</f>
        <v>10777632.766399996</v>
      </c>
      <c r="N29" s="19"/>
    </row>
    <row r="30" spans="1:14">
      <c r="A30" s="28">
        <v>27</v>
      </c>
      <c r="B30" s="29">
        <v>45896</v>
      </c>
      <c r="C30" s="19"/>
      <c r="D30" s="309"/>
      <c r="E30" s="318">
        <v>2552.66</v>
      </c>
      <c r="F30" s="319">
        <v>95.7</v>
      </c>
      <c r="G30" s="19">
        <f t="shared" si="0"/>
        <v>244289.56200000001</v>
      </c>
      <c r="H30" s="19">
        <v>0</v>
      </c>
      <c r="I30" s="19">
        <v>0</v>
      </c>
      <c r="J30" s="19">
        <f t="shared" si="1"/>
        <v>0</v>
      </c>
      <c r="K30" s="19">
        <f t="shared" si="2"/>
        <v>244289.56200000001</v>
      </c>
      <c r="L30" s="19"/>
      <c r="M30" s="44">
        <f t="shared" si="4"/>
        <v>11021922.328399997</v>
      </c>
      <c r="N30" s="19"/>
    </row>
    <row r="31" spans="1:14">
      <c r="A31" s="28">
        <v>28</v>
      </c>
      <c r="B31" s="29">
        <v>45897</v>
      </c>
      <c r="C31" s="19"/>
      <c r="D31" s="309"/>
      <c r="E31" s="318">
        <v>0</v>
      </c>
      <c r="F31" s="319">
        <v>0</v>
      </c>
      <c r="G31" s="19">
        <f t="shared" si="0"/>
        <v>0</v>
      </c>
      <c r="H31" s="19">
        <v>0</v>
      </c>
      <c r="I31" s="19">
        <v>0</v>
      </c>
      <c r="J31" s="19">
        <f t="shared" si="1"/>
        <v>0</v>
      </c>
      <c r="K31" s="19">
        <f t="shared" si="2"/>
        <v>0</v>
      </c>
      <c r="L31" s="19"/>
      <c r="M31" s="44">
        <f t="shared" si="4"/>
        <v>11021922.328399997</v>
      </c>
      <c r="N31" s="19"/>
    </row>
    <row r="32" spans="1:14">
      <c r="A32" s="28">
        <v>29</v>
      </c>
      <c r="B32" s="29">
        <v>45898</v>
      </c>
      <c r="C32" s="19"/>
      <c r="D32" s="309"/>
      <c r="E32" s="318">
        <v>5500</v>
      </c>
      <c r="F32" s="319">
        <v>95.7</v>
      </c>
      <c r="G32" s="19">
        <f t="shared" si="0"/>
        <v>526350</v>
      </c>
      <c r="H32" s="19">
        <v>55</v>
      </c>
      <c r="I32" s="19">
        <v>107.48</v>
      </c>
      <c r="J32" s="19">
        <f t="shared" si="1"/>
        <v>5911.4000000000005</v>
      </c>
      <c r="K32" s="19">
        <f t="shared" si="2"/>
        <v>532261.4</v>
      </c>
      <c r="L32" s="19"/>
      <c r="M32" s="44">
        <f t="shared" si="4"/>
        <v>11554183.728399998</v>
      </c>
      <c r="N32" s="19"/>
    </row>
    <row r="33" spans="1:14">
      <c r="A33" s="28">
        <v>30</v>
      </c>
      <c r="B33" s="29">
        <v>45899</v>
      </c>
      <c r="C33" s="19"/>
      <c r="D33" s="309"/>
      <c r="E33" s="318">
        <v>2033.66</v>
      </c>
      <c r="F33" s="319">
        <v>95.7</v>
      </c>
      <c r="G33" s="19">
        <f t="shared" si="0"/>
        <v>194621.26200000002</v>
      </c>
      <c r="H33" s="19">
        <v>0</v>
      </c>
      <c r="I33" s="19">
        <v>0</v>
      </c>
      <c r="J33" s="19">
        <f t="shared" si="1"/>
        <v>0</v>
      </c>
      <c r="K33" s="19">
        <f t="shared" si="2"/>
        <v>194621.26200000002</v>
      </c>
      <c r="L33" s="19"/>
      <c r="M33" s="44">
        <f t="shared" si="4"/>
        <v>11748804.990399998</v>
      </c>
      <c r="N33" s="19"/>
    </row>
    <row r="34" spans="1:14">
      <c r="A34" s="28">
        <v>31</v>
      </c>
      <c r="B34" s="29">
        <v>45900</v>
      </c>
      <c r="C34" s="19"/>
      <c r="D34" s="309"/>
      <c r="E34" s="318"/>
      <c r="F34" s="319"/>
      <c r="G34" s="19">
        <f t="shared" ref="G5:G34" si="5">E34*F34</f>
        <v>0</v>
      </c>
      <c r="H34" s="19">
        <v>0</v>
      </c>
      <c r="I34" s="19">
        <v>0</v>
      </c>
      <c r="J34" s="19">
        <f>H34*I34</f>
        <v>0</v>
      </c>
      <c r="K34" s="19">
        <f t="shared" ref="K5:K34" si="6">G34+J34</f>
        <v>0</v>
      </c>
      <c r="L34" s="19"/>
      <c r="M34" s="44">
        <f t="shared" si="4"/>
        <v>11748804.990399998</v>
      </c>
      <c r="N34" s="19"/>
    </row>
    <row r="35" spans="1:14">
      <c r="A35" s="48"/>
      <c r="B35" s="48"/>
      <c r="C35" s="48"/>
      <c r="D35" s="48"/>
      <c r="E35" s="49">
        <f>SUM(E4:E34)</f>
        <v>94406.49</v>
      </c>
      <c r="F35" s="49"/>
      <c r="G35" s="49">
        <f>SUM(G4:G34)</f>
        <v>9034701.0930000003</v>
      </c>
      <c r="H35" s="49">
        <f>SUM(H4:H34)</f>
        <v>470</v>
      </c>
      <c r="I35" s="49"/>
      <c r="J35" s="49">
        <f>SUM(J4:J34)</f>
        <v>50515.599999999991</v>
      </c>
      <c r="K35" s="49">
        <f>SUM(K4:K34)</f>
        <v>9085216.693</v>
      </c>
      <c r="L35" s="49">
        <f>SUM(L4:L34)</f>
        <v>10000000</v>
      </c>
      <c r="M35" s="49"/>
      <c r="N35" s="49"/>
    </row>
    <row r="39" spans="1:14">
      <c r="M39" s="24"/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S43"/>
  <sheetViews>
    <sheetView topLeftCell="A23" workbookViewId="0">
      <selection activeCell="L15" sqref="L15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1.42578125" bestFit="1" customWidth="1"/>
    <col min="19" max="19" width="12.85546875" customWidth="1"/>
  </cols>
  <sheetData>
    <row r="1" spans="1:16" ht="15.75" customHeight="1">
      <c r="A1" s="413" t="s">
        <v>16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</row>
    <row r="2" spans="1:16">
      <c r="A2" s="112" t="s">
        <v>94</v>
      </c>
      <c r="B2" s="116" t="s">
        <v>95</v>
      </c>
      <c r="C2" s="116" t="s">
        <v>96</v>
      </c>
      <c r="D2" s="116" t="s">
        <v>97</v>
      </c>
      <c r="E2" s="116" t="s">
        <v>98</v>
      </c>
      <c r="F2" s="116" t="s">
        <v>99</v>
      </c>
      <c r="G2" s="116" t="s">
        <v>100</v>
      </c>
      <c r="H2" s="116" t="s">
        <v>101</v>
      </c>
      <c r="I2" s="116" t="s">
        <v>99</v>
      </c>
      <c r="J2" s="116" t="s">
        <v>100</v>
      </c>
      <c r="K2" s="155" t="s">
        <v>102</v>
      </c>
      <c r="L2" s="155" t="s">
        <v>103</v>
      </c>
      <c r="M2" s="155" t="s">
        <v>107</v>
      </c>
      <c r="N2" s="116" t="s">
        <v>105</v>
      </c>
    </row>
    <row r="3" spans="1:16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5"/>
      <c r="K3" s="141"/>
      <c r="L3" s="277"/>
      <c r="M3" s="115">
        <v>1388015.2685000002</v>
      </c>
      <c r="N3" s="278"/>
      <c r="O3">
        <v>1388015.2685000002</v>
      </c>
    </row>
    <row r="4" spans="1:16">
      <c r="A4" s="28">
        <v>1</v>
      </c>
      <c r="B4" s="29">
        <v>45870</v>
      </c>
      <c r="C4" s="117"/>
      <c r="D4" s="37"/>
      <c r="E4" s="39">
        <v>1500</v>
      </c>
      <c r="F4" s="39">
        <v>96.42</v>
      </c>
      <c r="G4" s="39">
        <f>E4*F4</f>
        <v>144630</v>
      </c>
      <c r="H4" s="39">
        <v>10</v>
      </c>
      <c r="I4" s="39">
        <v>108.23</v>
      </c>
      <c r="J4" s="39">
        <f t="shared" ref="J4:J7" si="0">H4*I4</f>
        <v>1082.3</v>
      </c>
      <c r="K4" s="39">
        <f t="shared" ref="K4:K7" si="1">G4+J4</f>
        <v>145712.29999999999</v>
      </c>
      <c r="L4" s="222">
        <v>0</v>
      </c>
      <c r="M4" s="39">
        <f>M3+K4-L4</f>
        <v>1533727.5685000003</v>
      </c>
      <c r="N4" s="279"/>
      <c r="O4">
        <v>1526163</v>
      </c>
      <c r="P4" s="24">
        <f>M4-O4</f>
        <v>7564.568500000285</v>
      </c>
    </row>
    <row r="5" spans="1:16">
      <c r="A5" s="28">
        <v>2</v>
      </c>
      <c r="B5" s="29">
        <v>45871</v>
      </c>
      <c r="C5" s="117"/>
      <c r="D5" s="37"/>
      <c r="E5" s="39">
        <v>3000</v>
      </c>
      <c r="F5" s="39">
        <v>96.42</v>
      </c>
      <c r="G5" s="39">
        <f>E5*F5</f>
        <v>289260</v>
      </c>
      <c r="H5" s="39">
        <v>15</v>
      </c>
      <c r="I5" s="39">
        <v>108.23</v>
      </c>
      <c r="J5" s="39">
        <f t="shared" ref="J5:J34" si="2">H5*I5</f>
        <v>1623.45</v>
      </c>
      <c r="K5" s="39">
        <f t="shared" ref="K5:K34" si="3">G5+J5</f>
        <v>290883.45</v>
      </c>
      <c r="L5" s="222">
        <v>1288000</v>
      </c>
      <c r="M5" s="39">
        <f t="shared" ref="M5:M35" si="4">M4+K5-L5</f>
        <v>536611.01850000024</v>
      </c>
      <c r="N5" s="280"/>
    </row>
    <row r="6" spans="1:16">
      <c r="A6" s="28">
        <v>3</v>
      </c>
      <c r="B6" s="29">
        <v>45872</v>
      </c>
      <c r="C6" s="117"/>
      <c r="D6" s="37"/>
      <c r="E6" s="39">
        <v>0</v>
      </c>
      <c r="F6" s="39">
        <v>0</v>
      </c>
      <c r="G6" s="39">
        <f t="shared" ref="G6:G23" si="5">E6*F6</f>
        <v>0</v>
      </c>
      <c r="H6" s="39">
        <v>25</v>
      </c>
      <c r="I6" s="39">
        <v>108.23</v>
      </c>
      <c r="J6" s="39">
        <f t="shared" si="2"/>
        <v>2705.75</v>
      </c>
      <c r="K6" s="39">
        <f t="shared" si="3"/>
        <v>2705.75</v>
      </c>
      <c r="L6" s="222">
        <v>0</v>
      </c>
      <c r="M6" s="39">
        <f t="shared" si="4"/>
        <v>539316.76850000024</v>
      </c>
      <c r="N6" s="281"/>
    </row>
    <row r="7" spans="1:16">
      <c r="A7" s="28">
        <v>4</v>
      </c>
      <c r="B7" s="29">
        <v>45873</v>
      </c>
      <c r="C7" s="117"/>
      <c r="D7" s="37"/>
      <c r="E7" s="39">
        <v>4100</v>
      </c>
      <c r="F7" s="39">
        <v>96.42</v>
      </c>
      <c r="G7" s="39">
        <f t="shared" si="5"/>
        <v>395322</v>
      </c>
      <c r="H7" s="39">
        <v>20</v>
      </c>
      <c r="I7" s="39">
        <v>108.23</v>
      </c>
      <c r="J7" s="39">
        <f t="shared" si="2"/>
        <v>2164.6</v>
      </c>
      <c r="K7" s="39">
        <f t="shared" si="3"/>
        <v>397486.6</v>
      </c>
      <c r="L7" s="222">
        <v>0</v>
      </c>
      <c r="M7" s="39">
        <f t="shared" si="4"/>
        <v>936803.36850000022</v>
      </c>
      <c r="N7" s="223"/>
    </row>
    <row r="8" spans="1:16">
      <c r="A8" s="28">
        <v>5</v>
      </c>
      <c r="B8" s="29">
        <v>45874</v>
      </c>
      <c r="C8" s="36"/>
      <c r="D8" s="37"/>
      <c r="E8" s="39">
        <v>0</v>
      </c>
      <c r="F8" s="39">
        <v>0</v>
      </c>
      <c r="G8" s="39">
        <f t="shared" si="5"/>
        <v>0</v>
      </c>
      <c r="H8" s="39">
        <v>10</v>
      </c>
      <c r="I8" s="39">
        <v>108.23</v>
      </c>
      <c r="J8" s="39">
        <f t="shared" si="2"/>
        <v>1082.3</v>
      </c>
      <c r="K8" s="39">
        <f t="shared" si="3"/>
        <v>1082.3</v>
      </c>
      <c r="L8" s="222">
        <v>0</v>
      </c>
      <c r="M8" s="39">
        <f t="shared" si="4"/>
        <v>937885.66850000026</v>
      </c>
      <c r="N8" s="223"/>
    </row>
    <row r="9" spans="1:16">
      <c r="A9" s="28">
        <v>6</v>
      </c>
      <c r="B9" s="29">
        <v>45875</v>
      </c>
      <c r="C9" s="36"/>
      <c r="D9" s="37"/>
      <c r="E9" s="400">
        <v>4261.78</v>
      </c>
      <c r="F9" s="39">
        <v>96.42</v>
      </c>
      <c r="G9" s="39">
        <f t="shared" si="5"/>
        <v>410920.82759999996</v>
      </c>
      <c r="H9" s="39">
        <v>20</v>
      </c>
      <c r="I9" s="39">
        <v>108.23</v>
      </c>
      <c r="J9" s="39">
        <f t="shared" si="2"/>
        <v>2164.6</v>
      </c>
      <c r="K9" s="39">
        <f t="shared" si="3"/>
        <v>413085.42759999994</v>
      </c>
      <c r="L9" s="222">
        <v>0</v>
      </c>
      <c r="M9" s="39">
        <f t="shared" si="4"/>
        <v>1350971.0961000002</v>
      </c>
      <c r="N9" s="223"/>
      <c r="O9" s="401">
        <v>10</v>
      </c>
    </row>
    <row r="10" spans="1:16">
      <c r="A10" s="28">
        <v>7</v>
      </c>
      <c r="B10" s="29">
        <v>45876</v>
      </c>
      <c r="C10" s="36"/>
      <c r="D10" s="37"/>
      <c r="E10" s="39">
        <v>1400</v>
      </c>
      <c r="F10" s="39">
        <v>96.42</v>
      </c>
      <c r="G10" s="39">
        <f t="shared" si="5"/>
        <v>134988</v>
      </c>
      <c r="H10" s="39">
        <v>10</v>
      </c>
      <c r="I10" s="39">
        <v>108.23</v>
      </c>
      <c r="J10" s="39">
        <f t="shared" si="2"/>
        <v>1082.3</v>
      </c>
      <c r="K10" s="39">
        <f t="shared" si="3"/>
        <v>136070.29999999999</v>
      </c>
      <c r="L10" s="222">
        <v>0</v>
      </c>
      <c r="M10" s="39">
        <f t="shared" si="4"/>
        <v>1487041.3961000002</v>
      </c>
      <c r="N10" s="223"/>
    </row>
    <row r="11" spans="1:16">
      <c r="A11" s="28">
        <v>8</v>
      </c>
      <c r="B11" s="29">
        <v>45877</v>
      </c>
      <c r="C11" s="36"/>
      <c r="D11" s="37"/>
      <c r="E11" s="39">
        <v>1850</v>
      </c>
      <c r="F11" s="39">
        <v>96.42</v>
      </c>
      <c r="G11" s="39">
        <f t="shared" si="5"/>
        <v>178377</v>
      </c>
      <c r="H11" s="39">
        <v>20</v>
      </c>
      <c r="I11" s="39">
        <v>108.23</v>
      </c>
      <c r="J11" s="39">
        <f t="shared" si="2"/>
        <v>2164.6</v>
      </c>
      <c r="K11" s="39">
        <f t="shared" si="3"/>
        <v>180541.6</v>
      </c>
      <c r="L11" s="222">
        <v>0</v>
      </c>
      <c r="M11" s="39">
        <f t="shared" si="4"/>
        <v>1667582.9961000003</v>
      </c>
      <c r="N11" s="223"/>
    </row>
    <row r="12" spans="1:16">
      <c r="A12" s="28">
        <v>9</v>
      </c>
      <c r="B12" s="29">
        <v>45878</v>
      </c>
      <c r="C12" s="36"/>
      <c r="D12" s="37"/>
      <c r="E12" s="39">
        <v>2500</v>
      </c>
      <c r="F12" s="39">
        <v>96.42</v>
      </c>
      <c r="G12" s="39">
        <f t="shared" si="5"/>
        <v>241050</v>
      </c>
      <c r="H12" s="39">
        <v>10</v>
      </c>
      <c r="I12" s="39">
        <v>108.23</v>
      </c>
      <c r="J12" s="39">
        <f t="shared" si="2"/>
        <v>1082.3</v>
      </c>
      <c r="K12" s="39">
        <f t="shared" si="3"/>
        <v>242132.3</v>
      </c>
      <c r="L12" s="222">
        <v>0</v>
      </c>
      <c r="M12" s="39">
        <f t="shared" si="4"/>
        <v>1909715.2961000004</v>
      </c>
      <c r="N12" s="223"/>
    </row>
    <row r="13" spans="1:16">
      <c r="A13" s="28">
        <v>10</v>
      </c>
      <c r="B13" s="29">
        <v>45879</v>
      </c>
      <c r="C13" s="36"/>
      <c r="D13" s="37"/>
      <c r="E13" s="39">
        <v>0</v>
      </c>
      <c r="F13" s="39">
        <v>0</v>
      </c>
      <c r="G13" s="39">
        <f t="shared" si="5"/>
        <v>0</v>
      </c>
      <c r="H13" s="39">
        <v>10</v>
      </c>
      <c r="I13" s="39">
        <v>108.23</v>
      </c>
      <c r="J13" s="39">
        <f t="shared" si="2"/>
        <v>1082.3</v>
      </c>
      <c r="K13" s="39">
        <f t="shared" si="3"/>
        <v>1082.3</v>
      </c>
      <c r="L13" s="222">
        <v>0</v>
      </c>
      <c r="M13" s="39">
        <f t="shared" si="4"/>
        <v>1910797.5961000004</v>
      </c>
      <c r="N13" s="223"/>
    </row>
    <row r="14" spans="1:16">
      <c r="A14" s="28">
        <v>11</v>
      </c>
      <c r="B14" s="29">
        <v>45880</v>
      </c>
      <c r="C14" s="36"/>
      <c r="D14" s="37"/>
      <c r="E14" s="39">
        <v>0</v>
      </c>
      <c r="F14" s="39">
        <v>0</v>
      </c>
      <c r="G14" s="39">
        <f t="shared" si="5"/>
        <v>0</v>
      </c>
      <c r="H14" s="39">
        <v>10</v>
      </c>
      <c r="I14" s="39">
        <v>108.23</v>
      </c>
      <c r="J14" s="39">
        <f t="shared" si="2"/>
        <v>1082.3</v>
      </c>
      <c r="K14" s="39">
        <f t="shared" si="3"/>
        <v>1082.3</v>
      </c>
      <c r="L14" s="222">
        <v>0</v>
      </c>
      <c r="M14" s="39">
        <f t="shared" si="4"/>
        <v>1911879.8961000005</v>
      </c>
      <c r="N14" s="223"/>
    </row>
    <row r="15" spans="1:16">
      <c r="A15" s="28">
        <v>12</v>
      </c>
      <c r="B15" s="29">
        <v>45881</v>
      </c>
      <c r="C15" s="36"/>
      <c r="D15" s="37"/>
      <c r="E15" s="39">
        <v>1300</v>
      </c>
      <c r="F15" s="39">
        <v>96.42</v>
      </c>
      <c r="G15" s="39">
        <f t="shared" si="5"/>
        <v>125346</v>
      </c>
      <c r="H15" s="39">
        <v>15</v>
      </c>
      <c r="I15" s="39">
        <v>108.23</v>
      </c>
      <c r="J15" s="39">
        <f t="shared" si="2"/>
        <v>1623.45</v>
      </c>
      <c r="K15" s="39">
        <f t="shared" si="3"/>
        <v>126969.45</v>
      </c>
      <c r="L15" s="222">
        <v>0</v>
      </c>
      <c r="M15" s="39">
        <f t="shared" si="4"/>
        <v>2038849.3461000004</v>
      </c>
      <c r="N15" s="223"/>
    </row>
    <row r="16" spans="1:16">
      <c r="A16" s="28">
        <v>13</v>
      </c>
      <c r="B16" s="29">
        <v>45882</v>
      </c>
      <c r="C16" s="36"/>
      <c r="D16" s="37"/>
      <c r="E16" s="39">
        <v>2429.66</v>
      </c>
      <c r="F16" s="39">
        <v>96.42</v>
      </c>
      <c r="G16" s="39">
        <f t="shared" si="5"/>
        <v>234267.81719999999</v>
      </c>
      <c r="H16" s="39">
        <v>20</v>
      </c>
      <c r="I16" s="39">
        <v>108.23</v>
      </c>
      <c r="J16" s="39">
        <f t="shared" si="2"/>
        <v>2164.6</v>
      </c>
      <c r="K16" s="39">
        <f t="shared" si="3"/>
        <v>236432.4172</v>
      </c>
      <c r="L16" s="222">
        <v>0</v>
      </c>
      <c r="M16" s="39">
        <f t="shared" si="4"/>
        <v>2275281.7633000002</v>
      </c>
      <c r="N16" s="223"/>
      <c r="P16" s="402"/>
    </row>
    <row r="17" spans="1:16">
      <c r="A17" s="28">
        <v>14</v>
      </c>
      <c r="B17" s="29">
        <v>45883</v>
      </c>
      <c r="C17" s="36"/>
      <c r="D17" s="37"/>
      <c r="E17" s="39">
        <v>35</v>
      </c>
      <c r="F17" s="39">
        <v>96.42</v>
      </c>
      <c r="G17" s="39">
        <f t="shared" si="5"/>
        <v>3374.7000000000003</v>
      </c>
      <c r="H17" s="39">
        <v>20</v>
      </c>
      <c r="I17" s="39">
        <v>108.23</v>
      </c>
      <c r="J17" s="39">
        <f t="shared" si="2"/>
        <v>2164.6</v>
      </c>
      <c r="K17" s="39">
        <f t="shared" si="3"/>
        <v>5539.3</v>
      </c>
      <c r="L17" s="222">
        <v>0</v>
      </c>
      <c r="M17" s="39">
        <f t="shared" si="4"/>
        <v>2280821.0633</v>
      </c>
      <c r="N17" s="223"/>
      <c r="P17" s="402" t="s">
        <v>108</v>
      </c>
    </row>
    <row r="18" spans="1:16">
      <c r="A18" s="28">
        <v>15</v>
      </c>
      <c r="B18" s="29">
        <v>45884</v>
      </c>
      <c r="C18" s="182"/>
      <c r="D18" s="37"/>
      <c r="E18" s="39">
        <v>0</v>
      </c>
      <c r="F18" s="39">
        <v>0</v>
      </c>
      <c r="G18" s="39">
        <f t="shared" si="5"/>
        <v>0</v>
      </c>
      <c r="H18" s="39">
        <v>5</v>
      </c>
      <c r="I18" s="39">
        <v>108.23</v>
      </c>
      <c r="J18" s="39">
        <f t="shared" si="2"/>
        <v>541.15</v>
      </c>
      <c r="K18" s="39">
        <f t="shared" si="3"/>
        <v>541.15</v>
      </c>
      <c r="L18" s="222">
        <v>0</v>
      </c>
      <c r="M18" s="39">
        <f t="shared" si="4"/>
        <v>2281362.2132999999</v>
      </c>
      <c r="N18" s="282"/>
      <c r="P18" s="402">
        <v>5340</v>
      </c>
    </row>
    <row r="19" spans="1:16">
      <c r="A19" s="28">
        <v>16</v>
      </c>
      <c r="B19" s="29">
        <v>45885</v>
      </c>
      <c r="C19" s="117"/>
      <c r="D19" s="37"/>
      <c r="E19" s="39">
        <v>0</v>
      </c>
      <c r="F19" s="39">
        <v>0</v>
      </c>
      <c r="G19" s="39">
        <f t="shared" si="5"/>
        <v>0</v>
      </c>
      <c r="H19" s="39">
        <v>5</v>
      </c>
      <c r="I19" s="39">
        <v>108.23</v>
      </c>
      <c r="J19" s="39">
        <f t="shared" si="2"/>
        <v>541.15</v>
      </c>
      <c r="K19" s="39">
        <f t="shared" si="3"/>
        <v>541.15</v>
      </c>
      <c r="L19" s="222">
        <v>0</v>
      </c>
      <c r="M19" s="39">
        <f t="shared" si="4"/>
        <v>2281903.3632999999</v>
      </c>
      <c r="N19" s="282"/>
      <c r="P19" s="402" t="s">
        <v>109</v>
      </c>
    </row>
    <row r="20" spans="1:16">
      <c r="A20" s="28">
        <v>17</v>
      </c>
      <c r="B20" s="29">
        <v>45886</v>
      </c>
      <c r="C20" s="195"/>
      <c r="D20" s="37"/>
      <c r="E20" s="39">
        <v>0</v>
      </c>
      <c r="F20" s="39">
        <v>0</v>
      </c>
      <c r="G20" s="39">
        <f t="shared" si="5"/>
        <v>0</v>
      </c>
      <c r="H20" s="39">
        <v>15</v>
      </c>
      <c r="I20" s="39">
        <v>108.23</v>
      </c>
      <c r="J20" s="39">
        <f t="shared" si="2"/>
        <v>1623.45</v>
      </c>
      <c r="K20" s="39">
        <f t="shared" si="3"/>
        <v>1623.45</v>
      </c>
      <c r="L20" s="222">
        <v>0</v>
      </c>
      <c r="M20" s="39">
        <f t="shared" si="4"/>
        <v>2283526.8133</v>
      </c>
      <c r="N20" s="282"/>
    </row>
    <row r="21" spans="1:16">
      <c r="A21" s="28">
        <v>18</v>
      </c>
      <c r="B21" s="29">
        <v>45887</v>
      </c>
      <c r="C21" s="195"/>
      <c r="D21" s="37"/>
      <c r="E21" s="39">
        <v>1000</v>
      </c>
      <c r="F21" s="39">
        <v>96.42</v>
      </c>
      <c r="G21" s="39">
        <f t="shared" si="5"/>
        <v>96420</v>
      </c>
      <c r="H21" s="39">
        <v>10</v>
      </c>
      <c r="I21" s="39">
        <v>108.23</v>
      </c>
      <c r="J21" s="39">
        <f t="shared" si="2"/>
        <v>1082.3</v>
      </c>
      <c r="K21" s="39">
        <f t="shared" si="3"/>
        <v>97502.3</v>
      </c>
      <c r="L21" s="222">
        <v>0</v>
      </c>
      <c r="M21" s="39">
        <f t="shared" si="4"/>
        <v>2381029.1132999999</v>
      </c>
      <c r="N21" s="282"/>
    </row>
    <row r="22" spans="1:16">
      <c r="A22" s="28">
        <v>19</v>
      </c>
      <c r="B22" s="29">
        <v>45888</v>
      </c>
      <c r="C22" s="117"/>
      <c r="D22" s="37"/>
      <c r="E22" s="39">
        <v>0</v>
      </c>
      <c r="F22" s="39">
        <v>0</v>
      </c>
      <c r="G22" s="39">
        <f t="shared" si="5"/>
        <v>0</v>
      </c>
      <c r="H22" s="39">
        <v>5</v>
      </c>
      <c r="I22" s="39">
        <v>108.23</v>
      </c>
      <c r="J22" s="39">
        <f t="shared" si="2"/>
        <v>541.15</v>
      </c>
      <c r="K22" s="39">
        <f t="shared" si="3"/>
        <v>541.15</v>
      </c>
      <c r="L22" s="222">
        <v>0</v>
      </c>
      <c r="M22" s="39">
        <f t="shared" si="4"/>
        <v>2381570.2632999998</v>
      </c>
      <c r="N22" s="223"/>
    </row>
    <row r="23" spans="1:16">
      <c r="A23" s="28">
        <v>20</v>
      </c>
      <c r="B23" s="29">
        <v>45889</v>
      </c>
      <c r="C23" s="117"/>
      <c r="D23" s="37"/>
      <c r="E23" s="39">
        <v>1500</v>
      </c>
      <c r="F23" s="39">
        <v>96.42</v>
      </c>
      <c r="G23" s="39">
        <f>E23*F23</f>
        <v>144630</v>
      </c>
      <c r="H23" s="39">
        <v>10</v>
      </c>
      <c r="I23" s="39">
        <v>108.23</v>
      </c>
      <c r="J23" s="39">
        <f>H23*I23</f>
        <v>1082.3</v>
      </c>
      <c r="K23" s="39">
        <f t="shared" si="3"/>
        <v>145712.29999999999</v>
      </c>
      <c r="L23" s="222">
        <v>0</v>
      </c>
      <c r="M23" s="39">
        <f t="shared" si="4"/>
        <v>2527282.5632999996</v>
      </c>
      <c r="N23" s="223"/>
    </row>
    <row r="24" spans="1:16">
      <c r="A24" s="28">
        <v>21</v>
      </c>
      <c r="B24" s="29">
        <v>45890</v>
      </c>
      <c r="C24" s="117"/>
      <c r="D24" s="37"/>
      <c r="E24" s="39">
        <v>0</v>
      </c>
      <c r="F24" s="39">
        <v>0</v>
      </c>
      <c r="G24" s="39">
        <f t="shared" ref="G24:G33" si="6">E24*F24</f>
        <v>0</v>
      </c>
      <c r="H24" s="39">
        <v>20</v>
      </c>
      <c r="I24" s="39">
        <v>108.23</v>
      </c>
      <c r="J24" s="39">
        <f t="shared" si="2"/>
        <v>2164.6</v>
      </c>
      <c r="K24" s="39">
        <f t="shared" si="3"/>
        <v>2164.6</v>
      </c>
      <c r="L24" s="222">
        <v>0</v>
      </c>
      <c r="M24" s="39">
        <f t="shared" si="4"/>
        <v>2529447.1632999997</v>
      </c>
      <c r="N24" s="223"/>
    </row>
    <row r="25" spans="1:16">
      <c r="A25" s="28">
        <v>22</v>
      </c>
      <c r="B25" s="29">
        <v>45891</v>
      </c>
      <c r="C25" s="117"/>
      <c r="D25" s="37"/>
      <c r="E25" s="39">
        <v>3943</v>
      </c>
      <c r="F25" s="39">
        <v>96.42</v>
      </c>
      <c r="G25" s="39">
        <f t="shared" si="6"/>
        <v>380184.06</v>
      </c>
      <c r="H25" s="39">
        <v>37.6</v>
      </c>
      <c r="I25" s="39">
        <v>108.23</v>
      </c>
      <c r="J25" s="39">
        <f t="shared" si="2"/>
        <v>4069.4480000000003</v>
      </c>
      <c r="K25" s="39">
        <f t="shared" si="3"/>
        <v>384253.50799999997</v>
      </c>
      <c r="L25" s="222">
        <v>0</v>
      </c>
      <c r="M25" s="39">
        <f t="shared" si="4"/>
        <v>2913700.6712999996</v>
      </c>
      <c r="N25" s="223"/>
    </row>
    <row r="26" spans="1:16">
      <c r="A26" s="28">
        <v>23</v>
      </c>
      <c r="B26" s="29">
        <v>45892</v>
      </c>
      <c r="C26" s="117"/>
      <c r="D26" s="37"/>
      <c r="E26" s="39">
        <v>2400</v>
      </c>
      <c r="F26" s="394">
        <v>96.42</v>
      </c>
      <c r="G26" s="39">
        <f t="shared" si="6"/>
        <v>231408</v>
      </c>
      <c r="H26" s="39">
        <v>20</v>
      </c>
      <c r="I26" s="39">
        <v>108.23</v>
      </c>
      <c r="J26" s="39">
        <f t="shared" si="2"/>
        <v>2164.6</v>
      </c>
      <c r="K26" s="39">
        <f t="shared" si="3"/>
        <v>233572.6</v>
      </c>
      <c r="L26" s="222">
        <v>0</v>
      </c>
      <c r="M26" s="39">
        <f t="shared" si="4"/>
        <v>3147273.2712999997</v>
      </c>
      <c r="N26" s="223"/>
    </row>
    <row r="27" spans="1:16">
      <c r="A27" s="28">
        <v>24</v>
      </c>
      <c r="B27" s="29">
        <v>45893</v>
      </c>
      <c r="C27" s="117"/>
      <c r="D27" s="37"/>
      <c r="E27" s="39">
        <v>1500</v>
      </c>
      <c r="F27" s="394">
        <v>96.42</v>
      </c>
      <c r="G27" s="39">
        <f t="shared" si="6"/>
        <v>144630</v>
      </c>
      <c r="H27" s="39">
        <v>0</v>
      </c>
      <c r="I27" s="39">
        <v>108.23</v>
      </c>
      <c r="J27" s="39">
        <f t="shared" si="2"/>
        <v>0</v>
      </c>
      <c r="K27" s="39">
        <f t="shared" si="3"/>
        <v>144630</v>
      </c>
      <c r="L27" s="222">
        <v>0</v>
      </c>
      <c r="M27" s="39">
        <f t="shared" si="4"/>
        <v>3291903.2712999997</v>
      </c>
      <c r="N27" s="223"/>
    </row>
    <row r="28" spans="1:16">
      <c r="A28" s="28">
        <v>25</v>
      </c>
      <c r="B28" s="29">
        <v>45894</v>
      </c>
      <c r="C28" s="117"/>
      <c r="D28" s="37"/>
      <c r="E28" s="39">
        <v>3500</v>
      </c>
      <c r="F28" s="394">
        <v>96.42</v>
      </c>
      <c r="G28" s="39">
        <f t="shared" si="6"/>
        <v>337470</v>
      </c>
      <c r="H28" s="39">
        <v>29.5</v>
      </c>
      <c r="I28" s="39">
        <v>108.23</v>
      </c>
      <c r="J28" s="39">
        <f t="shared" si="2"/>
        <v>3192.7850000000003</v>
      </c>
      <c r="K28" s="39">
        <f t="shared" si="3"/>
        <v>340662.78499999997</v>
      </c>
      <c r="L28" s="222">
        <v>0</v>
      </c>
      <c r="M28" s="39">
        <f t="shared" si="4"/>
        <v>3632566.0562999998</v>
      </c>
      <c r="N28" s="223"/>
    </row>
    <row r="29" spans="1:16">
      <c r="A29" s="28">
        <v>26</v>
      </c>
      <c r="B29" s="29">
        <v>45895</v>
      </c>
      <c r="C29" s="117"/>
      <c r="D29" s="37"/>
      <c r="E29" s="39">
        <v>0</v>
      </c>
      <c r="F29" s="39">
        <v>0</v>
      </c>
      <c r="G29" s="39">
        <f t="shared" si="6"/>
        <v>0</v>
      </c>
      <c r="H29" s="39">
        <v>15</v>
      </c>
      <c r="I29" s="39">
        <v>108.23</v>
      </c>
      <c r="J29" s="39">
        <f t="shared" si="2"/>
        <v>1623.45</v>
      </c>
      <c r="K29" s="39">
        <f t="shared" si="3"/>
        <v>1623.45</v>
      </c>
      <c r="L29" s="222">
        <v>0</v>
      </c>
      <c r="M29" s="39">
        <f t="shared" si="4"/>
        <v>3634189.5063</v>
      </c>
      <c r="N29" s="223"/>
    </row>
    <row r="30" spans="1:16">
      <c r="A30" s="28">
        <v>27</v>
      </c>
      <c r="B30" s="29">
        <v>45896</v>
      </c>
      <c r="C30" s="117"/>
      <c r="D30" s="37"/>
      <c r="E30" s="39">
        <v>0</v>
      </c>
      <c r="F30" s="39">
        <v>0</v>
      </c>
      <c r="G30" s="39">
        <f t="shared" si="6"/>
        <v>0</v>
      </c>
      <c r="H30" s="39">
        <v>10</v>
      </c>
      <c r="I30" s="39">
        <v>108.23</v>
      </c>
      <c r="J30" s="39">
        <f t="shared" si="2"/>
        <v>1082.3</v>
      </c>
      <c r="K30" s="39">
        <f t="shared" si="3"/>
        <v>1082.3</v>
      </c>
      <c r="L30" s="222">
        <v>0</v>
      </c>
      <c r="M30" s="39">
        <f t="shared" si="4"/>
        <v>3635271.8062999998</v>
      </c>
      <c r="N30" s="223"/>
    </row>
    <row r="31" spans="1:16">
      <c r="A31" s="28">
        <v>28</v>
      </c>
      <c r="B31" s="29">
        <v>45897</v>
      </c>
      <c r="C31" s="117"/>
      <c r="D31" s="37"/>
      <c r="E31" s="39">
        <v>1000</v>
      </c>
      <c r="F31" s="39">
        <v>96.42</v>
      </c>
      <c r="G31" s="39">
        <f t="shared" si="6"/>
        <v>96420</v>
      </c>
      <c r="H31" s="39">
        <v>30</v>
      </c>
      <c r="I31" s="39">
        <v>108.23</v>
      </c>
      <c r="J31" s="39">
        <f t="shared" si="2"/>
        <v>3246.9</v>
      </c>
      <c r="K31" s="39">
        <f t="shared" si="3"/>
        <v>99666.9</v>
      </c>
      <c r="L31" s="222">
        <v>0</v>
      </c>
      <c r="M31" s="39">
        <f t="shared" si="4"/>
        <v>3734938.7062999997</v>
      </c>
      <c r="N31" s="223"/>
    </row>
    <row r="32" spans="1:16">
      <c r="A32" s="28">
        <v>29</v>
      </c>
      <c r="B32" s="29">
        <v>45898</v>
      </c>
      <c r="C32" s="117"/>
      <c r="D32" s="37"/>
      <c r="E32" s="39">
        <v>0</v>
      </c>
      <c r="F32" s="39">
        <v>0</v>
      </c>
      <c r="G32" s="39">
        <v>0</v>
      </c>
      <c r="H32" s="39">
        <v>20</v>
      </c>
      <c r="I32" s="39">
        <v>108.23</v>
      </c>
      <c r="J32" s="39">
        <f t="shared" si="2"/>
        <v>2164.6</v>
      </c>
      <c r="K32" s="39">
        <f t="shared" si="3"/>
        <v>2164.6</v>
      </c>
      <c r="L32" s="222">
        <v>0</v>
      </c>
      <c r="M32" s="39">
        <f t="shared" si="4"/>
        <v>3737103.3062999998</v>
      </c>
      <c r="N32" s="223"/>
    </row>
    <row r="33" spans="1:19">
      <c r="A33" s="28">
        <v>30</v>
      </c>
      <c r="B33" s="29">
        <v>45899</v>
      </c>
      <c r="C33" s="117"/>
      <c r="D33" s="37"/>
      <c r="E33" s="39">
        <v>1000</v>
      </c>
      <c r="F33" s="39">
        <v>96.42</v>
      </c>
      <c r="G33" s="39">
        <f t="shared" si="6"/>
        <v>96420</v>
      </c>
      <c r="H33" s="39">
        <v>15</v>
      </c>
      <c r="I33" s="39">
        <v>108.23</v>
      </c>
      <c r="J33" s="39">
        <f t="shared" si="2"/>
        <v>1623.45</v>
      </c>
      <c r="K33" s="39">
        <f t="shared" si="3"/>
        <v>98043.45</v>
      </c>
      <c r="L33" s="222">
        <v>0</v>
      </c>
      <c r="M33" s="39">
        <f t="shared" si="4"/>
        <v>3835146.7563</v>
      </c>
      <c r="N33" s="223"/>
    </row>
    <row r="34" spans="1:19">
      <c r="A34" s="28">
        <v>31</v>
      </c>
      <c r="B34" s="29">
        <v>45900</v>
      </c>
      <c r="C34" s="117"/>
      <c r="D34" s="37"/>
      <c r="E34" s="39">
        <v>0</v>
      </c>
      <c r="F34" s="39">
        <v>0</v>
      </c>
      <c r="G34" s="39">
        <v>0</v>
      </c>
      <c r="H34" s="39">
        <v>10</v>
      </c>
      <c r="I34" s="39">
        <v>108.23</v>
      </c>
      <c r="J34" s="39">
        <f t="shared" si="2"/>
        <v>1082.3</v>
      </c>
      <c r="K34" s="39">
        <f t="shared" si="3"/>
        <v>1082.3</v>
      </c>
      <c r="L34" s="222">
        <v>0</v>
      </c>
      <c r="M34" s="39">
        <f t="shared" si="4"/>
        <v>3836229.0562999998</v>
      </c>
      <c r="N34" s="282"/>
      <c r="S34" s="188"/>
    </row>
    <row r="35" spans="1:19">
      <c r="A35" s="305"/>
      <c r="B35" s="29"/>
      <c r="C35" s="35"/>
      <c r="D35" s="306"/>
      <c r="E35" s="39">
        <v>0</v>
      </c>
      <c r="F35" s="39">
        <v>0</v>
      </c>
      <c r="G35" s="39">
        <f>E35*F35</f>
        <v>0</v>
      </c>
      <c r="H35" s="39">
        <v>0</v>
      </c>
      <c r="I35" s="39">
        <v>0</v>
      </c>
      <c r="J35" s="39">
        <f t="shared" ref="J5:J35" si="7">H35*I35</f>
        <v>0</v>
      </c>
      <c r="K35" s="39">
        <f t="shared" ref="K5:K35" si="8">G35+J35</f>
        <v>0</v>
      </c>
      <c r="L35" s="41"/>
      <c r="M35" s="39">
        <f t="shared" si="4"/>
        <v>3836229.0562999998</v>
      </c>
      <c r="N35" s="39"/>
    </row>
    <row r="36" spans="1:19">
      <c r="A36" s="196"/>
      <c r="B36" s="193"/>
      <c r="C36" s="193"/>
      <c r="D36" s="193"/>
      <c r="E36" s="46">
        <f>SUM(E4:E34)</f>
        <v>38219.440000000002</v>
      </c>
      <c r="F36" s="46"/>
      <c r="G36" s="46">
        <f>SUM(G4:G34)</f>
        <v>3685118.4048000001</v>
      </c>
      <c r="H36" s="46">
        <f>SUM(H4:H34)</f>
        <v>472.1</v>
      </c>
      <c r="I36" s="46"/>
      <c r="J36" s="46">
        <f>SUM(J4:J34)</f>
        <v>51095.383000000002</v>
      </c>
      <c r="K36" s="46">
        <f>SUM(K4:K34)</f>
        <v>3736213.7877999996</v>
      </c>
      <c r="L36" s="46">
        <f>SUM(L4:L34)</f>
        <v>1288000</v>
      </c>
      <c r="M36" s="114"/>
      <c r="N36" s="47"/>
    </row>
    <row r="37" spans="1:19">
      <c r="A37" s="40"/>
      <c r="B37" s="40"/>
      <c r="C37" s="40"/>
      <c r="D37" s="40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spans="1:19">
      <c r="A38" s="35"/>
      <c r="B38" s="35"/>
      <c r="C38" s="35"/>
      <c r="D38" s="35"/>
      <c r="E38" s="35">
        <v>38209.440000000002</v>
      </c>
      <c r="F38" s="35"/>
      <c r="G38" s="42"/>
      <c r="H38" s="35"/>
      <c r="I38" s="35"/>
      <c r="J38" s="35"/>
      <c r="K38" s="35"/>
      <c r="L38" s="35"/>
      <c r="M38" s="35"/>
      <c r="N38" s="35"/>
    </row>
    <row r="39" spans="1:1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3" spans="1:19">
      <c r="E43" s="188"/>
    </row>
  </sheetData>
  <mergeCells count="2">
    <mergeCell ref="A1:N1"/>
    <mergeCell ref="A3:J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841-9E0F-4432-87D3-E0CE7CD55810}">
  <dimension ref="A1:R35"/>
  <sheetViews>
    <sheetView workbookViewId="0">
      <selection activeCell="R15" sqref="R15"/>
    </sheetView>
  </sheetViews>
  <sheetFormatPr defaultRowHeight="15"/>
  <cols>
    <col min="2" max="2" width="10.5703125" bestFit="1" customWidth="1"/>
    <col min="5" max="5" width="10.5703125" customWidth="1"/>
    <col min="7" max="7" width="14.85546875" customWidth="1"/>
    <col min="8" max="8" width="9.7109375" customWidth="1"/>
    <col min="11" max="12" width="11.85546875" bestFit="1" customWidth="1"/>
    <col min="13" max="13" width="13.5703125" bestFit="1" customWidth="1"/>
  </cols>
  <sheetData>
    <row r="1" spans="1:18" ht="15.75">
      <c r="A1" s="416" t="s">
        <v>18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</row>
    <row r="2" spans="1:18" ht="27">
      <c r="A2" s="112" t="s">
        <v>94</v>
      </c>
      <c r="B2" s="116" t="s">
        <v>95</v>
      </c>
      <c r="C2" s="116" t="s">
        <v>96</v>
      </c>
      <c r="D2" s="116" t="s">
        <v>97</v>
      </c>
      <c r="E2" s="218" t="s">
        <v>98</v>
      </c>
      <c r="F2" s="116" t="s">
        <v>99</v>
      </c>
      <c r="G2" s="116" t="s">
        <v>100</v>
      </c>
      <c r="H2" s="116" t="s">
        <v>101</v>
      </c>
      <c r="I2" s="116" t="s">
        <v>99</v>
      </c>
      <c r="J2" s="116" t="s">
        <v>100</v>
      </c>
      <c r="K2" s="116" t="s">
        <v>102</v>
      </c>
      <c r="L2" s="116" t="s">
        <v>103</v>
      </c>
      <c r="M2" s="116" t="s">
        <v>110</v>
      </c>
      <c r="N2" s="116" t="s">
        <v>105</v>
      </c>
    </row>
    <row r="3" spans="1:18">
      <c r="A3" s="417" t="s">
        <v>106</v>
      </c>
      <c r="B3" s="417"/>
      <c r="C3" s="417"/>
      <c r="D3" s="417"/>
      <c r="E3" s="417"/>
      <c r="F3" s="417"/>
      <c r="G3" s="417"/>
      <c r="H3" s="417"/>
      <c r="I3" s="417"/>
      <c r="J3" s="417"/>
      <c r="K3" s="249">
        <v>1400599.5758000002</v>
      </c>
      <c r="L3" s="249"/>
      <c r="M3" s="250">
        <f>+K3</f>
        <v>1400599.5758000002</v>
      </c>
      <c r="N3" s="103"/>
      <c r="O3">
        <v>1400599.5758000002</v>
      </c>
    </row>
    <row r="4" spans="1:18">
      <c r="A4" s="28">
        <v>1</v>
      </c>
      <c r="B4" s="29">
        <v>45870</v>
      </c>
      <c r="C4" s="19"/>
      <c r="D4" s="19"/>
      <c r="E4" s="19">
        <v>0</v>
      </c>
      <c r="F4" s="19">
        <v>0</v>
      </c>
      <c r="G4" s="19">
        <f>E4*F4</f>
        <v>0</v>
      </c>
      <c r="H4" s="19"/>
      <c r="I4" s="19"/>
      <c r="J4" s="19">
        <f>H4*I4</f>
        <v>0</v>
      </c>
      <c r="K4" s="19">
        <f>G4+J4</f>
        <v>0</v>
      </c>
      <c r="L4" s="19"/>
      <c r="M4" s="146">
        <f>M3+K4-L4</f>
        <v>1400599.5758000002</v>
      </c>
      <c r="N4" s="19"/>
      <c r="O4" s="24"/>
    </row>
    <row r="5" spans="1:18">
      <c r="A5" s="28">
        <v>2</v>
      </c>
      <c r="B5" s="29">
        <v>45871</v>
      </c>
      <c r="C5" s="19"/>
      <c r="D5" s="19"/>
      <c r="E5" s="19">
        <v>0</v>
      </c>
      <c r="F5" s="19">
        <v>0</v>
      </c>
      <c r="G5" s="19">
        <f t="shared" ref="G5:G34" si="0">E5*F5</f>
        <v>0</v>
      </c>
      <c r="H5" s="19"/>
      <c r="I5" s="19"/>
      <c r="J5" s="19">
        <f t="shared" ref="J5:J34" si="1">H5*I5</f>
        <v>0</v>
      </c>
      <c r="K5" s="19">
        <f t="shared" ref="K5:K34" si="2">G5+J5</f>
        <v>0</v>
      </c>
      <c r="L5" s="19">
        <v>1400600</v>
      </c>
      <c r="M5" s="146">
        <f t="shared" ref="M5:M34" si="3">M4+K5-L5</f>
        <v>-0.42419999977573752</v>
      </c>
      <c r="N5" s="19"/>
    </row>
    <row r="6" spans="1:18">
      <c r="A6" s="28">
        <v>3</v>
      </c>
      <c r="B6" s="29">
        <v>45872</v>
      </c>
      <c r="C6" s="19"/>
      <c r="D6" s="19"/>
      <c r="E6" s="19">
        <v>0</v>
      </c>
      <c r="F6" s="19">
        <v>0</v>
      </c>
      <c r="G6" s="19">
        <f t="shared" si="0"/>
        <v>0</v>
      </c>
      <c r="H6" s="19"/>
      <c r="I6" s="19"/>
      <c r="J6" s="19">
        <f t="shared" si="1"/>
        <v>0</v>
      </c>
      <c r="K6" s="19">
        <f t="shared" si="2"/>
        <v>0</v>
      </c>
      <c r="L6" s="19"/>
      <c r="M6" s="146">
        <f t="shared" si="3"/>
        <v>-0.42419999977573752</v>
      </c>
      <c r="N6" s="19"/>
      <c r="R6">
        <v>541.08000000000004</v>
      </c>
    </row>
    <row r="7" spans="1:18">
      <c r="A7" s="28">
        <v>4</v>
      </c>
      <c r="B7" s="29">
        <v>45873</v>
      </c>
      <c r="C7" s="19"/>
      <c r="D7" s="19"/>
      <c r="E7" s="19">
        <v>0</v>
      </c>
      <c r="F7" s="19">
        <v>0</v>
      </c>
      <c r="G7" s="19">
        <f t="shared" si="0"/>
        <v>0</v>
      </c>
      <c r="H7" s="19"/>
      <c r="I7" s="19"/>
      <c r="J7" s="19">
        <f t="shared" si="1"/>
        <v>0</v>
      </c>
      <c r="K7" s="19">
        <f t="shared" si="2"/>
        <v>0</v>
      </c>
      <c r="L7" s="19"/>
      <c r="M7" s="146">
        <f t="shared" si="3"/>
        <v>-0.42419999977573752</v>
      </c>
      <c r="N7" s="19"/>
    </row>
    <row r="8" spans="1:18">
      <c r="A8" s="28">
        <v>5</v>
      </c>
      <c r="B8" s="29">
        <v>45874</v>
      </c>
      <c r="C8" s="19"/>
      <c r="D8" s="19"/>
      <c r="E8" s="19">
        <v>0</v>
      </c>
      <c r="F8" s="19">
        <v>0</v>
      </c>
      <c r="G8" s="19">
        <f t="shared" si="0"/>
        <v>0</v>
      </c>
      <c r="H8" s="19"/>
      <c r="I8" s="19"/>
      <c r="J8" s="19">
        <f t="shared" si="1"/>
        <v>0</v>
      </c>
      <c r="K8" s="19">
        <f t="shared" si="2"/>
        <v>0</v>
      </c>
      <c r="L8" s="19"/>
      <c r="M8" s="146">
        <f>M7+K8-L8</f>
        <v>-0.42419999977573752</v>
      </c>
      <c r="N8" s="19"/>
    </row>
    <row r="9" spans="1:18">
      <c r="A9" s="28">
        <v>6</v>
      </c>
      <c r="B9" s="29">
        <v>45875</v>
      </c>
      <c r="C9" s="19"/>
      <c r="D9" s="19"/>
      <c r="E9" s="19">
        <v>0</v>
      </c>
      <c r="F9" s="19">
        <v>0</v>
      </c>
      <c r="G9" s="19">
        <f t="shared" si="0"/>
        <v>0</v>
      </c>
      <c r="H9" s="19"/>
      <c r="I9" s="19"/>
      <c r="J9" s="19">
        <f t="shared" si="1"/>
        <v>0</v>
      </c>
      <c r="K9" s="19">
        <f t="shared" si="2"/>
        <v>0</v>
      </c>
      <c r="L9" s="19"/>
      <c r="M9" s="146">
        <f t="shared" si="3"/>
        <v>-0.42419999977573752</v>
      </c>
      <c r="N9" s="19"/>
    </row>
    <row r="10" spans="1:18">
      <c r="A10" s="28">
        <v>7</v>
      </c>
      <c r="B10" s="29">
        <v>45876</v>
      </c>
      <c r="C10" s="19"/>
      <c r="D10" s="19"/>
      <c r="E10" s="19">
        <v>0</v>
      </c>
      <c r="F10" s="19">
        <v>0</v>
      </c>
      <c r="G10" s="19">
        <f t="shared" si="0"/>
        <v>0</v>
      </c>
      <c r="H10" s="19"/>
      <c r="I10" s="19"/>
      <c r="J10" s="19">
        <f t="shared" si="1"/>
        <v>0</v>
      </c>
      <c r="K10" s="19">
        <f t="shared" si="2"/>
        <v>0</v>
      </c>
      <c r="L10" s="19"/>
      <c r="M10" s="146">
        <f t="shared" si="3"/>
        <v>-0.42419999977573752</v>
      </c>
      <c r="N10" s="19"/>
    </row>
    <row r="11" spans="1:18">
      <c r="A11" s="28">
        <v>8</v>
      </c>
      <c r="B11" s="29">
        <v>45877</v>
      </c>
      <c r="C11" s="19"/>
      <c r="D11" s="19"/>
      <c r="E11" s="19">
        <v>0</v>
      </c>
      <c r="F11" s="19">
        <v>0</v>
      </c>
      <c r="G11" s="19">
        <f t="shared" si="0"/>
        <v>0</v>
      </c>
      <c r="H11" s="19"/>
      <c r="I11" s="19"/>
      <c r="J11" s="19">
        <f t="shared" si="1"/>
        <v>0</v>
      </c>
      <c r="K11" s="19">
        <f t="shared" si="2"/>
        <v>0</v>
      </c>
      <c r="L11" s="19"/>
      <c r="M11" s="146">
        <f t="shared" si="3"/>
        <v>-0.42419999977573752</v>
      </c>
      <c r="N11" s="19"/>
    </row>
    <row r="12" spans="1:18">
      <c r="A12" s="28">
        <v>9</v>
      </c>
      <c r="B12" s="29">
        <v>45878</v>
      </c>
      <c r="C12" s="19"/>
      <c r="D12" s="19"/>
      <c r="E12" s="19">
        <v>0</v>
      </c>
      <c r="F12" s="19">
        <v>0</v>
      </c>
      <c r="G12" s="19">
        <f t="shared" si="0"/>
        <v>0</v>
      </c>
      <c r="H12" s="19"/>
      <c r="I12" s="19"/>
      <c r="J12" s="19">
        <f t="shared" si="1"/>
        <v>0</v>
      </c>
      <c r="K12" s="19">
        <f t="shared" si="2"/>
        <v>0</v>
      </c>
      <c r="L12" s="19"/>
      <c r="M12" s="146">
        <f t="shared" si="3"/>
        <v>-0.42419999977573752</v>
      </c>
      <c r="N12" s="19"/>
    </row>
    <row r="13" spans="1:18">
      <c r="A13" s="28">
        <v>10</v>
      </c>
      <c r="B13" s="29">
        <v>45879</v>
      </c>
      <c r="C13" s="19"/>
      <c r="D13" s="19"/>
      <c r="E13" s="19">
        <v>0</v>
      </c>
      <c r="F13" s="19">
        <v>0</v>
      </c>
      <c r="G13" s="19">
        <f t="shared" si="0"/>
        <v>0</v>
      </c>
      <c r="H13" s="19"/>
      <c r="I13" s="19"/>
      <c r="J13" s="19">
        <f t="shared" si="1"/>
        <v>0</v>
      </c>
      <c r="K13" s="19">
        <f t="shared" si="2"/>
        <v>0</v>
      </c>
      <c r="L13" s="19"/>
      <c r="M13" s="146">
        <f t="shared" si="3"/>
        <v>-0.42419999977573752</v>
      </c>
      <c r="N13" s="19"/>
    </row>
    <row r="14" spans="1:18">
      <c r="A14" s="28">
        <v>11</v>
      </c>
      <c r="B14" s="29">
        <v>45880</v>
      </c>
      <c r="C14" s="19"/>
      <c r="D14" s="19"/>
      <c r="E14" s="19">
        <v>0</v>
      </c>
      <c r="F14" s="19">
        <v>0</v>
      </c>
      <c r="G14" s="19">
        <f t="shared" si="0"/>
        <v>0</v>
      </c>
      <c r="H14" s="19"/>
      <c r="I14" s="19"/>
      <c r="J14" s="19">
        <f t="shared" si="1"/>
        <v>0</v>
      </c>
      <c r="K14" s="19">
        <f t="shared" si="2"/>
        <v>0</v>
      </c>
      <c r="L14" s="19"/>
      <c r="M14" s="146">
        <f t="shared" si="3"/>
        <v>-0.42419999977573752</v>
      </c>
      <c r="N14" s="19"/>
    </row>
    <row r="15" spans="1:18">
      <c r="A15" s="28">
        <v>12</v>
      </c>
      <c r="B15" s="29">
        <v>45881</v>
      </c>
      <c r="C15" s="19"/>
      <c r="D15" s="19"/>
      <c r="E15" s="19">
        <v>0</v>
      </c>
      <c r="F15" s="19">
        <v>0</v>
      </c>
      <c r="G15" s="19">
        <f t="shared" si="0"/>
        <v>0</v>
      </c>
      <c r="H15" s="19"/>
      <c r="I15" s="19"/>
      <c r="J15" s="19">
        <f t="shared" si="1"/>
        <v>0</v>
      </c>
      <c r="K15" s="19">
        <f t="shared" si="2"/>
        <v>0</v>
      </c>
      <c r="L15" s="19"/>
      <c r="M15" s="146">
        <f t="shared" si="3"/>
        <v>-0.42419999977573752</v>
      </c>
      <c r="N15" s="19"/>
    </row>
    <row r="16" spans="1:18">
      <c r="A16" s="28">
        <v>13</v>
      </c>
      <c r="B16" s="29">
        <v>45882</v>
      </c>
      <c r="C16" s="19"/>
      <c r="D16" s="19"/>
      <c r="E16" s="19">
        <v>0</v>
      </c>
      <c r="F16" s="19">
        <v>0</v>
      </c>
      <c r="G16" s="19">
        <f t="shared" si="0"/>
        <v>0</v>
      </c>
      <c r="H16" s="19"/>
      <c r="I16" s="19"/>
      <c r="J16" s="19">
        <f t="shared" si="1"/>
        <v>0</v>
      </c>
      <c r="K16" s="19">
        <f t="shared" si="2"/>
        <v>0</v>
      </c>
      <c r="L16" s="19"/>
      <c r="M16" s="146">
        <f t="shared" si="3"/>
        <v>-0.42419999977573752</v>
      </c>
      <c r="N16" s="19"/>
    </row>
    <row r="17" spans="1:14">
      <c r="A17" s="28">
        <v>14</v>
      </c>
      <c r="B17" s="29">
        <v>45883</v>
      </c>
      <c r="C17" s="19"/>
      <c r="D17" s="19"/>
      <c r="E17" s="19">
        <v>0</v>
      </c>
      <c r="F17" s="19">
        <v>0</v>
      </c>
      <c r="G17" s="19">
        <f t="shared" si="0"/>
        <v>0</v>
      </c>
      <c r="H17" s="19"/>
      <c r="I17" s="19"/>
      <c r="J17" s="19">
        <f t="shared" si="1"/>
        <v>0</v>
      </c>
      <c r="K17" s="19">
        <f t="shared" si="2"/>
        <v>0</v>
      </c>
      <c r="L17" s="19"/>
      <c r="M17" s="146">
        <f t="shared" si="3"/>
        <v>-0.42419999977573752</v>
      </c>
      <c r="N17" s="19"/>
    </row>
    <row r="18" spans="1:14">
      <c r="A18" s="28">
        <v>15</v>
      </c>
      <c r="B18" s="29">
        <v>45884</v>
      </c>
      <c r="C18" s="19"/>
      <c r="D18" s="19"/>
      <c r="E18" s="19">
        <v>0</v>
      </c>
      <c r="F18" s="19">
        <v>0</v>
      </c>
      <c r="G18" s="19">
        <f t="shared" si="0"/>
        <v>0</v>
      </c>
      <c r="H18" s="19"/>
      <c r="I18" s="19"/>
      <c r="J18" s="19">
        <f t="shared" si="1"/>
        <v>0</v>
      </c>
      <c r="K18" s="19">
        <f t="shared" si="2"/>
        <v>0</v>
      </c>
      <c r="L18" s="19"/>
      <c r="M18" s="146">
        <f t="shared" si="3"/>
        <v>-0.42419999977573752</v>
      </c>
      <c r="N18" s="19"/>
    </row>
    <row r="19" spans="1:14">
      <c r="A19" s="28">
        <v>16</v>
      </c>
      <c r="B19" s="29">
        <v>45885</v>
      </c>
      <c r="C19" s="19"/>
      <c r="D19" s="19"/>
      <c r="E19" s="19">
        <v>0</v>
      </c>
      <c r="F19" s="19">
        <v>0</v>
      </c>
      <c r="G19" s="19">
        <f t="shared" si="0"/>
        <v>0</v>
      </c>
      <c r="H19" s="19"/>
      <c r="I19" s="19"/>
      <c r="J19" s="19">
        <f t="shared" si="1"/>
        <v>0</v>
      </c>
      <c r="K19" s="19">
        <f t="shared" si="2"/>
        <v>0</v>
      </c>
      <c r="L19" s="19"/>
      <c r="M19" s="146">
        <f t="shared" si="3"/>
        <v>-0.42419999977573752</v>
      </c>
      <c r="N19" s="19"/>
    </row>
    <row r="20" spans="1:14">
      <c r="A20" s="28">
        <v>17</v>
      </c>
      <c r="B20" s="29">
        <v>45886</v>
      </c>
      <c r="C20" s="19"/>
      <c r="D20" s="19"/>
      <c r="E20" s="19">
        <v>0</v>
      </c>
      <c r="F20" s="19">
        <v>0</v>
      </c>
      <c r="G20" s="19">
        <f t="shared" si="0"/>
        <v>0</v>
      </c>
      <c r="H20" s="19"/>
      <c r="I20" s="19"/>
      <c r="J20" s="19">
        <f t="shared" si="1"/>
        <v>0</v>
      </c>
      <c r="K20" s="19">
        <f t="shared" si="2"/>
        <v>0</v>
      </c>
      <c r="L20" s="19"/>
      <c r="M20" s="146">
        <f t="shared" si="3"/>
        <v>-0.42419999977573752</v>
      </c>
      <c r="N20" s="19"/>
    </row>
    <row r="21" spans="1:14">
      <c r="A21" s="28">
        <v>18</v>
      </c>
      <c r="B21" s="29">
        <v>45887</v>
      </c>
      <c r="C21" s="19"/>
      <c r="D21" s="19"/>
      <c r="E21" s="19">
        <v>0</v>
      </c>
      <c r="F21" s="19">
        <v>0</v>
      </c>
      <c r="G21" s="19">
        <f t="shared" si="0"/>
        <v>0</v>
      </c>
      <c r="H21" s="19"/>
      <c r="I21" s="19"/>
      <c r="J21" s="19">
        <f t="shared" si="1"/>
        <v>0</v>
      </c>
      <c r="K21" s="19">
        <f t="shared" si="2"/>
        <v>0</v>
      </c>
      <c r="L21" s="19"/>
      <c r="M21" s="146">
        <f t="shared" si="3"/>
        <v>-0.42419999977573752</v>
      </c>
      <c r="N21" s="19"/>
    </row>
    <row r="22" spans="1:14">
      <c r="A22" s="28">
        <v>19</v>
      </c>
      <c r="B22" s="29">
        <v>45888</v>
      </c>
      <c r="C22" s="19"/>
      <c r="D22" s="19"/>
      <c r="E22" s="19">
        <v>0</v>
      </c>
      <c r="F22" s="19">
        <v>0</v>
      </c>
      <c r="G22" s="19">
        <f t="shared" si="0"/>
        <v>0</v>
      </c>
      <c r="H22" s="19"/>
      <c r="I22" s="19"/>
      <c r="J22" s="19">
        <f t="shared" si="1"/>
        <v>0</v>
      </c>
      <c r="K22" s="19">
        <f t="shared" si="2"/>
        <v>0</v>
      </c>
      <c r="L22" s="19"/>
      <c r="M22" s="146">
        <f t="shared" si="3"/>
        <v>-0.42419999977573752</v>
      </c>
      <c r="N22" s="19"/>
    </row>
    <row r="23" spans="1:14">
      <c r="A23" s="28">
        <v>20</v>
      </c>
      <c r="B23" s="29">
        <v>45889</v>
      </c>
      <c r="C23" s="19"/>
      <c r="D23" s="19"/>
      <c r="E23" s="19">
        <v>0</v>
      </c>
      <c r="F23" s="19">
        <v>0</v>
      </c>
      <c r="G23" s="19">
        <f t="shared" si="0"/>
        <v>0</v>
      </c>
      <c r="H23" s="19"/>
      <c r="I23" s="19"/>
      <c r="J23" s="19">
        <f t="shared" si="1"/>
        <v>0</v>
      </c>
      <c r="K23" s="19">
        <f t="shared" si="2"/>
        <v>0</v>
      </c>
      <c r="L23" s="19"/>
      <c r="M23" s="146">
        <f t="shared" si="3"/>
        <v>-0.42419999977573752</v>
      </c>
      <c r="N23" s="19"/>
    </row>
    <row r="24" spans="1:14">
      <c r="A24" s="28">
        <v>21</v>
      </c>
      <c r="B24" s="29">
        <v>45890</v>
      </c>
      <c r="C24" s="19"/>
      <c r="D24" s="19"/>
      <c r="E24" s="19">
        <v>0</v>
      </c>
      <c r="F24" s="19">
        <v>0</v>
      </c>
      <c r="G24" s="19">
        <f t="shared" si="0"/>
        <v>0</v>
      </c>
      <c r="H24" s="19"/>
      <c r="I24" s="19"/>
      <c r="J24" s="19">
        <f t="shared" si="1"/>
        <v>0</v>
      </c>
      <c r="K24" s="19">
        <f t="shared" si="2"/>
        <v>0</v>
      </c>
      <c r="L24" s="19"/>
      <c r="M24" s="146">
        <f t="shared" si="3"/>
        <v>-0.42419999977573752</v>
      </c>
      <c r="N24" s="19"/>
    </row>
    <row r="25" spans="1:14">
      <c r="A25" s="28">
        <v>22</v>
      </c>
      <c r="B25" s="29">
        <v>45891</v>
      </c>
      <c r="C25" s="19"/>
      <c r="D25" s="19"/>
      <c r="E25" s="19">
        <v>0</v>
      </c>
      <c r="F25" s="19">
        <v>0</v>
      </c>
      <c r="G25" s="19">
        <f t="shared" si="0"/>
        <v>0</v>
      </c>
      <c r="H25" s="19"/>
      <c r="I25" s="19"/>
      <c r="J25" s="19">
        <f t="shared" si="1"/>
        <v>0</v>
      </c>
      <c r="K25" s="19">
        <f t="shared" si="2"/>
        <v>0</v>
      </c>
      <c r="L25" s="19"/>
      <c r="M25" s="146">
        <f t="shared" si="3"/>
        <v>-0.42419999977573752</v>
      </c>
      <c r="N25" s="19"/>
    </row>
    <row r="26" spans="1:14">
      <c r="A26" s="28">
        <v>23</v>
      </c>
      <c r="B26" s="29">
        <v>45892</v>
      </c>
      <c r="C26" s="19"/>
      <c r="D26" s="19"/>
      <c r="E26" s="19">
        <v>0</v>
      </c>
      <c r="F26" s="19">
        <v>0</v>
      </c>
      <c r="G26" s="19">
        <f t="shared" si="0"/>
        <v>0</v>
      </c>
      <c r="H26" s="19"/>
      <c r="I26" s="19"/>
      <c r="J26" s="19">
        <f t="shared" si="1"/>
        <v>0</v>
      </c>
      <c r="K26" s="19">
        <f t="shared" si="2"/>
        <v>0</v>
      </c>
      <c r="L26" s="19"/>
      <c r="M26" s="146">
        <f t="shared" si="3"/>
        <v>-0.42419999977573752</v>
      </c>
      <c r="N26" s="19"/>
    </row>
    <row r="27" spans="1:14">
      <c r="A27" s="28">
        <v>24</v>
      </c>
      <c r="B27" s="29">
        <v>45893</v>
      </c>
      <c r="C27" s="19"/>
      <c r="D27" s="19"/>
      <c r="E27" s="19">
        <v>0</v>
      </c>
      <c r="F27" s="19">
        <v>0</v>
      </c>
      <c r="G27" s="19">
        <f t="shared" si="0"/>
        <v>0</v>
      </c>
      <c r="H27" s="19"/>
      <c r="I27" s="19"/>
      <c r="J27" s="19">
        <f t="shared" si="1"/>
        <v>0</v>
      </c>
      <c r="K27" s="19">
        <f t="shared" si="2"/>
        <v>0</v>
      </c>
      <c r="L27" s="19"/>
      <c r="M27" s="146">
        <f t="shared" si="3"/>
        <v>-0.42419999977573752</v>
      </c>
      <c r="N27" s="19"/>
    </row>
    <row r="28" spans="1:14">
      <c r="A28" s="28">
        <v>25</v>
      </c>
      <c r="B28" s="29">
        <v>45894</v>
      </c>
      <c r="C28" s="19"/>
      <c r="D28" s="19"/>
      <c r="E28" s="19">
        <v>0</v>
      </c>
      <c r="F28" s="19">
        <v>0</v>
      </c>
      <c r="G28" s="19">
        <f t="shared" si="0"/>
        <v>0</v>
      </c>
      <c r="H28" s="19"/>
      <c r="I28" s="19"/>
      <c r="J28" s="19">
        <f t="shared" si="1"/>
        <v>0</v>
      </c>
      <c r="K28" s="19">
        <f t="shared" si="2"/>
        <v>0</v>
      </c>
      <c r="L28" s="19"/>
      <c r="M28" s="146">
        <f t="shared" si="3"/>
        <v>-0.42419999977573752</v>
      </c>
      <c r="N28" s="19"/>
    </row>
    <row r="29" spans="1:14">
      <c r="A29" s="28">
        <v>26</v>
      </c>
      <c r="B29" s="29">
        <v>45895</v>
      </c>
      <c r="C29" s="19"/>
      <c r="D29" s="19"/>
      <c r="E29" s="19">
        <v>0</v>
      </c>
      <c r="F29" s="19">
        <v>0</v>
      </c>
      <c r="G29" s="19">
        <f t="shared" si="0"/>
        <v>0</v>
      </c>
      <c r="H29" s="19"/>
      <c r="I29" s="19"/>
      <c r="J29" s="19">
        <f t="shared" si="1"/>
        <v>0</v>
      </c>
      <c r="K29" s="19">
        <f t="shared" si="2"/>
        <v>0</v>
      </c>
      <c r="L29" s="19"/>
      <c r="M29" s="146">
        <f t="shared" si="3"/>
        <v>-0.42419999977573752</v>
      </c>
      <c r="N29" s="19"/>
    </row>
    <row r="30" spans="1:14">
      <c r="A30" s="28">
        <v>27</v>
      </c>
      <c r="B30" s="29">
        <v>45896</v>
      </c>
      <c r="C30" s="19"/>
      <c r="D30" s="19"/>
      <c r="E30" s="19">
        <v>0</v>
      </c>
      <c r="F30" s="19">
        <v>0</v>
      </c>
      <c r="G30" s="19">
        <f t="shared" si="0"/>
        <v>0</v>
      </c>
      <c r="H30" s="19"/>
      <c r="I30" s="19"/>
      <c r="J30" s="19">
        <f t="shared" si="1"/>
        <v>0</v>
      </c>
      <c r="K30" s="19">
        <f t="shared" si="2"/>
        <v>0</v>
      </c>
      <c r="L30" s="19"/>
      <c r="M30" s="146">
        <f t="shared" si="3"/>
        <v>-0.42419999977573752</v>
      </c>
      <c r="N30" s="19"/>
    </row>
    <row r="31" spans="1:14">
      <c r="A31" s="28">
        <v>28</v>
      </c>
      <c r="B31" s="29">
        <v>45897</v>
      </c>
      <c r="C31" s="19"/>
      <c r="D31" s="19"/>
      <c r="E31" s="19">
        <v>0</v>
      </c>
      <c r="F31" s="19">
        <v>0</v>
      </c>
      <c r="G31" s="19">
        <f t="shared" si="0"/>
        <v>0</v>
      </c>
      <c r="H31" s="19"/>
      <c r="I31" s="19"/>
      <c r="J31" s="19">
        <f t="shared" si="1"/>
        <v>0</v>
      </c>
      <c r="K31" s="19">
        <f t="shared" si="2"/>
        <v>0</v>
      </c>
      <c r="L31" s="19"/>
      <c r="M31" s="146">
        <f t="shared" si="3"/>
        <v>-0.42419999977573752</v>
      </c>
      <c r="N31" s="19"/>
    </row>
    <row r="32" spans="1:14">
      <c r="A32" s="28">
        <v>29</v>
      </c>
      <c r="B32" s="29">
        <v>45898</v>
      </c>
      <c r="C32" s="19"/>
      <c r="D32" s="19"/>
      <c r="E32" s="19">
        <v>0</v>
      </c>
      <c r="F32" s="19">
        <v>0</v>
      </c>
      <c r="G32" s="19">
        <f t="shared" si="0"/>
        <v>0</v>
      </c>
      <c r="H32" s="19"/>
      <c r="I32" s="19"/>
      <c r="J32" s="19">
        <f t="shared" si="1"/>
        <v>0</v>
      </c>
      <c r="K32" s="19">
        <f t="shared" si="2"/>
        <v>0</v>
      </c>
      <c r="L32" s="19"/>
      <c r="M32" s="146">
        <f t="shared" si="3"/>
        <v>-0.42419999977573752</v>
      </c>
      <c r="N32" s="19"/>
    </row>
    <row r="33" spans="1:17">
      <c r="A33" s="28">
        <v>30</v>
      </c>
      <c r="B33" s="29">
        <v>45899</v>
      </c>
      <c r="C33" s="19"/>
      <c r="D33" s="19"/>
      <c r="E33" s="19">
        <v>0</v>
      </c>
      <c r="F33" s="19">
        <v>0</v>
      </c>
      <c r="G33" s="19">
        <f t="shared" si="0"/>
        <v>0</v>
      </c>
      <c r="H33" s="19"/>
      <c r="I33" s="19"/>
      <c r="J33" s="19">
        <f t="shared" si="1"/>
        <v>0</v>
      </c>
      <c r="K33" s="19">
        <f t="shared" si="2"/>
        <v>0</v>
      </c>
      <c r="L33" s="19"/>
      <c r="M33" s="146">
        <f t="shared" si="3"/>
        <v>-0.42419999977573752</v>
      </c>
      <c r="N33" s="19"/>
    </row>
    <row r="34" spans="1:17">
      <c r="A34" s="28">
        <v>31</v>
      </c>
      <c r="B34" s="29">
        <v>45900</v>
      </c>
      <c r="C34" s="19"/>
      <c r="D34" s="19"/>
      <c r="E34" s="19">
        <v>0</v>
      </c>
      <c r="F34" s="19">
        <v>0</v>
      </c>
      <c r="G34" s="19">
        <f t="shared" si="0"/>
        <v>0</v>
      </c>
      <c r="H34" s="19"/>
      <c r="I34" s="19"/>
      <c r="J34" s="19">
        <f t="shared" si="1"/>
        <v>0</v>
      </c>
      <c r="K34" s="19">
        <f t="shared" si="2"/>
        <v>0</v>
      </c>
      <c r="L34" s="19"/>
      <c r="M34" s="146">
        <f t="shared" si="3"/>
        <v>-0.42419999977573752</v>
      </c>
      <c r="N34" s="19"/>
      <c r="O34">
        <v>1688453.58</v>
      </c>
      <c r="P34">
        <v>1900671</v>
      </c>
      <c r="Q34">
        <f>P34-O34</f>
        <v>212217.41999999993</v>
      </c>
    </row>
    <row r="35" spans="1:17">
      <c r="A35" s="48"/>
      <c r="B35" s="48"/>
      <c r="C35" s="48"/>
      <c r="D35" s="48"/>
      <c r="E35" s="219">
        <f>SUM(E4:E34)</f>
        <v>0</v>
      </c>
      <c r="F35" s="49"/>
      <c r="G35" s="219">
        <f>SUM(G4:G34)</f>
        <v>0</v>
      </c>
      <c r="H35" s="219">
        <f>SUM(H4:H34)</f>
        <v>0</v>
      </c>
      <c r="I35" s="49"/>
      <c r="J35" s="219">
        <f>SUM(J4:J34)</f>
        <v>0</v>
      </c>
      <c r="K35" s="219">
        <f>SUM(K4:K34)</f>
        <v>0</v>
      </c>
      <c r="L35" s="219">
        <f>SUM(L4:L34)</f>
        <v>1400600</v>
      </c>
      <c r="M35" s="49"/>
      <c r="N35" s="49"/>
      <c r="O35" s="35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selection activeCell="Q35" sqref="Q35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18" t="s">
        <v>22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91"/>
    </row>
    <row r="2" spans="1:18">
      <c r="A2" s="107" t="s">
        <v>94</v>
      </c>
      <c r="B2" s="108" t="s">
        <v>95</v>
      </c>
      <c r="C2" s="108" t="s">
        <v>96</v>
      </c>
      <c r="D2" s="108" t="s">
        <v>111</v>
      </c>
      <c r="E2" s="302" t="s">
        <v>98</v>
      </c>
      <c r="F2" s="302" t="s">
        <v>99</v>
      </c>
      <c r="G2" s="108" t="s">
        <v>100</v>
      </c>
      <c r="H2" s="108" t="s">
        <v>101</v>
      </c>
      <c r="I2" s="108" t="s">
        <v>99</v>
      </c>
      <c r="J2" s="148" t="s">
        <v>100</v>
      </c>
      <c r="K2" s="109" t="s">
        <v>102</v>
      </c>
      <c r="L2" s="149" t="s">
        <v>103</v>
      </c>
      <c r="M2" s="154" t="s">
        <v>110</v>
      </c>
      <c r="N2" s="110" t="s">
        <v>105</v>
      </c>
      <c r="O2" s="67"/>
    </row>
    <row r="3" spans="1:18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9"/>
      <c r="M3" s="159">
        <v>0</v>
      </c>
      <c r="N3" s="168"/>
      <c r="O3" s="67"/>
    </row>
    <row r="4" spans="1:18">
      <c r="A4" s="221">
        <v>1</v>
      </c>
      <c r="B4" s="255">
        <v>45870</v>
      </c>
      <c r="C4" s="75"/>
      <c r="D4" s="171"/>
      <c r="E4" s="303">
        <v>0</v>
      </c>
      <c r="F4" s="303">
        <v>0</v>
      </c>
      <c r="G4" s="8">
        <f t="shared" ref="G4" si="0">E4*F4</f>
        <v>0</v>
      </c>
      <c r="H4" s="73">
        <v>0</v>
      </c>
      <c r="I4" s="74">
        <v>0</v>
      </c>
      <c r="J4" s="8">
        <f>H4*I4</f>
        <v>0</v>
      </c>
      <c r="K4" s="8">
        <f>G4+J4</f>
        <v>0</v>
      </c>
      <c r="L4" s="76">
        <f>+K4</f>
        <v>0</v>
      </c>
      <c r="M4" s="76">
        <v>0</v>
      </c>
      <c r="N4" s="8"/>
    </row>
    <row r="5" spans="1:18">
      <c r="A5" s="52">
        <v>2</v>
      </c>
      <c r="B5" s="255">
        <v>45871</v>
      </c>
      <c r="C5" s="75"/>
      <c r="D5" s="171"/>
      <c r="E5" s="303">
        <v>0</v>
      </c>
      <c r="F5" s="303">
        <v>0</v>
      </c>
      <c r="G5" s="8">
        <f t="shared" ref="G5:G32" si="1">E5*F5</f>
        <v>0</v>
      </c>
      <c r="H5" s="73">
        <v>0</v>
      </c>
      <c r="I5" s="74">
        <v>0</v>
      </c>
      <c r="J5" s="8">
        <f t="shared" ref="J5:J32" si="2">H5*I5</f>
        <v>0</v>
      </c>
      <c r="K5" s="8">
        <f t="shared" ref="K5:K32" si="3">G5+J5</f>
        <v>0</v>
      </c>
      <c r="L5" s="76">
        <f t="shared" ref="L5:L32" si="4">+K5</f>
        <v>0</v>
      </c>
      <c r="M5" s="76">
        <v>0</v>
      </c>
      <c r="N5" s="8"/>
    </row>
    <row r="6" spans="1:18">
      <c r="A6" s="52">
        <v>3</v>
      </c>
      <c r="B6" s="255">
        <v>45872</v>
      </c>
      <c r="C6" s="75"/>
      <c r="D6" s="171"/>
      <c r="E6" s="303">
        <v>0</v>
      </c>
      <c r="F6" s="303">
        <v>0</v>
      </c>
      <c r="G6" s="8">
        <f t="shared" si="1"/>
        <v>0</v>
      </c>
      <c r="H6" s="73">
        <v>0</v>
      </c>
      <c r="I6" s="74">
        <v>0</v>
      </c>
      <c r="J6" s="8">
        <f t="shared" si="2"/>
        <v>0</v>
      </c>
      <c r="K6" s="8">
        <f t="shared" si="3"/>
        <v>0</v>
      </c>
      <c r="L6" s="76">
        <f t="shared" si="4"/>
        <v>0</v>
      </c>
      <c r="M6" s="76">
        <v>0</v>
      </c>
      <c r="N6" s="8"/>
    </row>
    <row r="7" spans="1:18">
      <c r="A7" s="52">
        <v>4</v>
      </c>
      <c r="B7" s="255">
        <v>45873</v>
      </c>
      <c r="C7" s="75"/>
      <c r="D7" s="171"/>
      <c r="E7" s="303">
        <v>43.78</v>
      </c>
      <c r="F7" s="303">
        <v>96.83</v>
      </c>
      <c r="G7" s="8">
        <f t="shared" si="1"/>
        <v>4239.2174000000005</v>
      </c>
      <c r="H7" s="73">
        <v>0</v>
      </c>
      <c r="I7" s="74">
        <v>0</v>
      </c>
      <c r="J7" s="8">
        <f t="shared" si="2"/>
        <v>0</v>
      </c>
      <c r="K7" s="8">
        <f t="shared" si="3"/>
        <v>4239.2174000000005</v>
      </c>
      <c r="L7" s="76">
        <f t="shared" si="4"/>
        <v>4239.2174000000005</v>
      </c>
      <c r="M7" s="76">
        <v>0</v>
      </c>
      <c r="N7" s="8"/>
    </row>
    <row r="8" spans="1:18">
      <c r="A8" s="52">
        <v>5</v>
      </c>
      <c r="B8" s="255">
        <v>45874</v>
      </c>
      <c r="C8" s="75"/>
      <c r="D8" s="171"/>
      <c r="E8" s="303">
        <v>0</v>
      </c>
      <c r="F8" s="303">
        <v>0</v>
      </c>
      <c r="G8" s="8">
        <f t="shared" si="1"/>
        <v>0</v>
      </c>
      <c r="H8" s="73">
        <v>0</v>
      </c>
      <c r="I8" s="74">
        <v>0</v>
      </c>
      <c r="J8" s="8">
        <f t="shared" si="2"/>
        <v>0</v>
      </c>
      <c r="K8" s="8">
        <f t="shared" si="3"/>
        <v>0</v>
      </c>
      <c r="L8" s="76">
        <f t="shared" si="4"/>
        <v>0</v>
      </c>
      <c r="M8" s="76">
        <v>0</v>
      </c>
      <c r="N8" s="8"/>
      <c r="O8" s="77"/>
      <c r="R8" s="264"/>
    </row>
    <row r="9" spans="1:18">
      <c r="A9" s="52">
        <v>6</v>
      </c>
      <c r="B9" s="255">
        <v>45875</v>
      </c>
      <c r="C9" s="75"/>
      <c r="D9" s="171"/>
      <c r="E9" s="303">
        <v>0</v>
      </c>
      <c r="F9" s="303">
        <v>0</v>
      </c>
      <c r="G9" s="8">
        <f t="shared" si="1"/>
        <v>0</v>
      </c>
      <c r="H9" s="73">
        <v>0</v>
      </c>
      <c r="I9" s="74">
        <v>0</v>
      </c>
      <c r="J9" s="8">
        <f t="shared" si="2"/>
        <v>0</v>
      </c>
      <c r="K9" s="8">
        <f t="shared" si="3"/>
        <v>0</v>
      </c>
      <c r="L9" s="76">
        <f t="shared" si="4"/>
        <v>0</v>
      </c>
      <c r="M9" s="76">
        <v>0</v>
      </c>
      <c r="N9" s="8"/>
      <c r="O9" s="77"/>
    </row>
    <row r="10" spans="1:18">
      <c r="A10" s="52">
        <v>7</v>
      </c>
      <c r="B10" s="255">
        <v>45876</v>
      </c>
      <c r="C10" s="75"/>
      <c r="D10" s="171"/>
      <c r="E10" s="303">
        <v>0</v>
      </c>
      <c r="F10" s="303">
        <v>0</v>
      </c>
      <c r="G10" s="8">
        <f t="shared" si="1"/>
        <v>0</v>
      </c>
      <c r="H10" s="73">
        <v>0</v>
      </c>
      <c r="I10" s="74">
        <v>0</v>
      </c>
      <c r="J10" s="8">
        <f t="shared" si="2"/>
        <v>0</v>
      </c>
      <c r="K10" s="8">
        <f t="shared" si="3"/>
        <v>0</v>
      </c>
      <c r="L10" s="76">
        <f t="shared" si="4"/>
        <v>0</v>
      </c>
      <c r="M10" s="76">
        <v>0</v>
      </c>
      <c r="N10" s="8"/>
      <c r="O10" s="77"/>
    </row>
    <row r="11" spans="1:18">
      <c r="A11" s="52">
        <v>8</v>
      </c>
      <c r="B11" s="255">
        <v>45877</v>
      </c>
      <c r="C11" s="75"/>
      <c r="D11" s="171"/>
      <c r="E11" s="303">
        <v>0</v>
      </c>
      <c r="F11" s="303">
        <v>0</v>
      </c>
      <c r="G11" s="8">
        <f t="shared" si="1"/>
        <v>0</v>
      </c>
      <c r="H11" s="73">
        <v>0</v>
      </c>
      <c r="I11" s="74">
        <v>0</v>
      </c>
      <c r="J11" s="8">
        <f t="shared" si="2"/>
        <v>0</v>
      </c>
      <c r="K11" s="8">
        <f t="shared" si="3"/>
        <v>0</v>
      </c>
      <c r="L11" s="76">
        <f t="shared" si="4"/>
        <v>0</v>
      </c>
      <c r="M11" s="76">
        <v>0</v>
      </c>
      <c r="N11" s="8"/>
      <c r="O11" s="77"/>
    </row>
    <row r="12" spans="1:18">
      <c r="A12" s="52">
        <v>9</v>
      </c>
      <c r="B12" s="255">
        <v>45878</v>
      </c>
      <c r="C12" s="75"/>
      <c r="D12" s="171"/>
      <c r="E12" s="303">
        <v>0</v>
      </c>
      <c r="F12" s="303">
        <v>0</v>
      </c>
      <c r="G12" s="8">
        <f t="shared" si="1"/>
        <v>0</v>
      </c>
      <c r="H12" s="73">
        <v>0</v>
      </c>
      <c r="I12" s="74">
        <v>0</v>
      </c>
      <c r="J12" s="8">
        <f t="shared" si="2"/>
        <v>0</v>
      </c>
      <c r="K12" s="8">
        <f t="shared" si="3"/>
        <v>0</v>
      </c>
      <c r="L12" s="76">
        <f t="shared" si="4"/>
        <v>0</v>
      </c>
      <c r="M12" s="76">
        <v>0</v>
      </c>
      <c r="N12" s="8"/>
      <c r="O12" s="77"/>
    </row>
    <row r="13" spans="1:18">
      <c r="A13" s="52">
        <v>10</v>
      </c>
      <c r="B13" s="255">
        <v>45879</v>
      </c>
      <c r="C13" s="75"/>
      <c r="D13" s="171"/>
      <c r="E13" s="303">
        <v>0</v>
      </c>
      <c r="F13" s="303">
        <v>0</v>
      </c>
      <c r="G13" s="8">
        <f t="shared" si="1"/>
        <v>0</v>
      </c>
      <c r="H13" s="73">
        <v>0</v>
      </c>
      <c r="I13" s="74">
        <v>0</v>
      </c>
      <c r="J13" s="8">
        <f t="shared" si="2"/>
        <v>0</v>
      </c>
      <c r="K13" s="8">
        <f t="shared" si="3"/>
        <v>0</v>
      </c>
      <c r="L13" s="76">
        <f t="shared" si="4"/>
        <v>0</v>
      </c>
      <c r="M13" s="76">
        <v>0</v>
      </c>
      <c r="N13" s="8"/>
      <c r="O13" s="77"/>
    </row>
    <row r="14" spans="1:18">
      <c r="A14" s="52">
        <v>11</v>
      </c>
      <c r="B14" s="255">
        <v>45880</v>
      </c>
      <c r="C14" s="75"/>
      <c r="D14" s="171"/>
      <c r="E14" s="303">
        <v>0</v>
      </c>
      <c r="F14" s="303">
        <v>0</v>
      </c>
      <c r="G14" s="8">
        <f t="shared" si="1"/>
        <v>0</v>
      </c>
      <c r="H14" s="73">
        <v>0</v>
      </c>
      <c r="I14" s="74">
        <v>0</v>
      </c>
      <c r="J14" s="8">
        <f t="shared" si="2"/>
        <v>0</v>
      </c>
      <c r="K14" s="8">
        <f t="shared" si="3"/>
        <v>0</v>
      </c>
      <c r="L14" s="76">
        <f t="shared" si="4"/>
        <v>0</v>
      </c>
      <c r="M14" s="76">
        <v>0</v>
      </c>
      <c r="N14" s="8"/>
      <c r="O14" s="77"/>
    </row>
    <row r="15" spans="1:18">
      <c r="A15" s="52">
        <v>12</v>
      </c>
      <c r="B15" s="255">
        <v>45881</v>
      </c>
      <c r="C15" s="75"/>
      <c r="D15" s="171"/>
      <c r="E15" s="303">
        <v>0</v>
      </c>
      <c r="F15" s="303">
        <v>0</v>
      </c>
      <c r="G15" s="8">
        <f t="shared" si="1"/>
        <v>0</v>
      </c>
      <c r="H15" s="73">
        <v>0</v>
      </c>
      <c r="I15" s="74">
        <v>0</v>
      </c>
      <c r="J15" s="8">
        <f t="shared" si="2"/>
        <v>0</v>
      </c>
      <c r="K15" s="8">
        <f t="shared" si="3"/>
        <v>0</v>
      </c>
      <c r="L15" s="76">
        <f t="shared" si="4"/>
        <v>0</v>
      </c>
      <c r="M15" s="76">
        <v>0</v>
      </c>
      <c r="N15" s="8"/>
      <c r="O15" s="77"/>
    </row>
    <row r="16" spans="1:18">
      <c r="A16" s="52">
        <v>13</v>
      </c>
      <c r="B16" s="255">
        <v>45882</v>
      </c>
      <c r="C16" s="75"/>
      <c r="D16" s="171"/>
      <c r="E16" s="303">
        <v>0</v>
      </c>
      <c r="F16" s="303">
        <v>0</v>
      </c>
      <c r="G16" s="8">
        <f t="shared" si="1"/>
        <v>0</v>
      </c>
      <c r="H16" s="73">
        <v>0</v>
      </c>
      <c r="I16" s="74">
        <v>0</v>
      </c>
      <c r="J16" s="8">
        <f t="shared" si="2"/>
        <v>0</v>
      </c>
      <c r="K16" s="8">
        <f t="shared" si="3"/>
        <v>0</v>
      </c>
      <c r="L16" s="76">
        <f t="shared" si="4"/>
        <v>0</v>
      </c>
      <c r="M16" s="76">
        <v>0</v>
      </c>
      <c r="N16" s="8"/>
      <c r="O16" s="77"/>
    </row>
    <row r="17" spans="1:15">
      <c r="A17" s="52">
        <v>14</v>
      </c>
      <c r="B17" s="255">
        <v>45883</v>
      </c>
      <c r="C17" s="75"/>
      <c r="D17" s="171"/>
      <c r="E17" s="303">
        <v>0</v>
      </c>
      <c r="F17" s="303">
        <v>0</v>
      </c>
      <c r="G17" s="8">
        <f t="shared" si="1"/>
        <v>0</v>
      </c>
      <c r="H17" s="73">
        <v>0</v>
      </c>
      <c r="I17" s="74">
        <v>0</v>
      </c>
      <c r="J17" s="8">
        <f t="shared" si="2"/>
        <v>0</v>
      </c>
      <c r="K17" s="8">
        <f t="shared" si="3"/>
        <v>0</v>
      </c>
      <c r="L17" s="76">
        <f t="shared" si="4"/>
        <v>0</v>
      </c>
      <c r="M17" s="76">
        <v>0</v>
      </c>
      <c r="N17" s="8"/>
      <c r="O17" s="77"/>
    </row>
    <row r="18" spans="1:15">
      <c r="A18" s="52">
        <v>15</v>
      </c>
      <c r="B18" s="255">
        <v>45884</v>
      </c>
      <c r="C18" s="75"/>
      <c r="D18" s="171"/>
      <c r="E18" s="303">
        <v>0</v>
      </c>
      <c r="F18" s="303">
        <v>0</v>
      </c>
      <c r="G18" s="8">
        <f t="shared" si="1"/>
        <v>0</v>
      </c>
      <c r="H18" s="73">
        <v>25</v>
      </c>
      <c r="I18" s="74">
        <v>109.16</v>
      </c>
      <c r="J18" s="8">
        <f t="shared" si="2"/>
        <v>2729</v>
      </c>
      <c r="K18" s="8">
        <f t="shared" si="3"/>
        <v>2729</v>
      </c>
      <c r="L18" s="76">
        <f t="shared" si="4"/>
        <v>2729</v>
      </c>
      <c r="M18" s="76">
        <v>0</v>
      </c>
      <c r="N18" s="8"/>
      <c r="O18" s="77"/>
    </row>
    <row r="19" spans="1:15">
      <c r="A19" s="52">
        <v>16</v>
      </c>
      <c r="B19" s="255">
        <v>45885</v>
      </c>
      <c r="C19" s="75"/>
      <c r="D19" s="171"/>
      <c r="E19" s="303">
        <v>0</v>
      </c>
      <c r="F19" s="303">
        <v>0</v>
      </c>
      <c r="G19" s="8">
        <f t="shared" si="1"/>
        <v>0</v>
      </c>
      <c r="H19" s="73">
        <v>0</v>
      </c>
      <c r="I19" s="74">
        <v>0</v>
      </c>
      <c r="J19" s="8">
        <f t="shared" si="2"/>
        <v>0</v>
      </c>
      <c r="K19" s="8">
        <f t="shared" si="3"/>
        <v>0</v>
      </c>
      <c r="L19" s="76">
        <f t="shared" si="4"/>
        <v>0</v>
      </c>
      <c r="M19" s="76">
        <v>0</v>
      </c>
      <c r="N19" s="8"/>
      <c r="O19" s="77"/>
    </row>
    <row r="20" spans="1:15">
      <c r="A20" s="52">
        <v>17</v>
      </c>
      <c r="B20" s="255">
        <v>45886</v>
      </c>
      <c r="C20" s="75"/>
      <c r="D20" s="171"/>
      <c r="E20" s="303">
        <v>0</v>
      </c>
      <c r="F20" s="303">
        <v>0</v>
      </c>
      <c r="G20" s="8">
        <f t="shared" si="1"/>
        <v>0</v>
      </c>
      <c r="H20" s="73">
        <v>0</v>
      </c>
      <c r="I20" s="74">
        <v>0</v>
      </c>
      <c r="J20" s="8">
        <f t="shared" si="2"/>
        <v>0</v>
      </c>
      <c r="K20" s="8">
        <f t="shared" si="3"/>
        <v>0</v>
      </c>
      <c r="L20" s="76">
        <f t="shared" si="4"/>
        <v>0</v>
      </c>
      <c r="M20" s="76">
        <v>0</v>
      </c>
      <c r="N20" s="8"/>
      <c r="O20" s="77"/>
    </row>
    <row r="21" spans="1:15">
      <c r="A21" s="52">
        <v>18</v>
      </c>
      <c r="B21" s="255">
        <v>45887</v>
      </c>
      <c r="C21" s="75"/>
      <c r="D21" s="171"/>
      <c r="E21" s="303">
        <v>0</v>
      </c>
      <c r="F21" s="303">
        <v>0</v>
      </c>
      <c r="G21" s="8">
        <f t="shared" si="1"/>
        <v>0</v>
      </c>
      <c r="H21" s="73">
        <v>0</v>
      </c>
      <c r="I21" s="74">
        <v>0</v>
      </c>
      <c r="J21" s="8">
        <f t="shared" si="2"/>
        <v>0</v>
      </c>
      <c r="K21" s="8">
        <f t="shared" si="3"/>
        <v>0</v>
      </c>
      <c r="L21" s="76">
        <f t="shared" si="4"/>
        <v>0</v>
      </c>
      <c r="M21" s="76">
        <v>0</v>
      </c>
      <c r="N21" s="8"/>
      <c r="O21" s="77"/>
    </row>
    <row r="22" spans="1:15">
      <c r="A22" s="52">
        <v>19</v>
      </c>
      <c r="B22" s="255">
        <v>45888</v>
      </c>
      <c r="C22" s="75"/>
      <c r="D22" s="171"/>
      <c r="E22" s="303">
        <v>47.53</v>
      </c>
      <c r="F22" s="303">
        <v>96.26</v>
      </c>
      <c r="G22" s="8">
        <f t="shared" si="1"/>
        <v>4575.2378000000008</v>
      </c>
      <c r="H22" s="73">
        <v>0</v>
      </c>
      <c r="I22" s="74">
        <v>0</v>
      </c>
      <c r="J22" s="8">
        <f t="shared" si="2"/>
        <v>0</v>
      </c>
      <c r="K22" s="8">
        <f t="shared" si="3"/>
        <v>4575.2378000000008</v>
      </c>
      <c r="L22" s="76">
        <f t="shared" si="4"/>
        <v>4575.2378000000008</v>
      </c>
      <c r="M22" s="76">
        <v>0</v>
      </c>
      <c r="N22" s="8"/>
      <c r="O22" s="77"/>
    </row>
    <row r="23" spans="1:15">
      <c r="A23" s="52">
        <v>20</v>
      </c>
      <c r="B23" s="255">
        <v>45889</v>
      </c>
      <c r="C23" s="75"/>
      <c r="D23" s="171"/>
      <c r="E23" s="303">
        <v>0</v>
      </c>
      <c r="F23" s="303">
        <v>0</v>
      </c>
      <c r="G23" s="8">
        <f t="shared" si="1"/>
        <v>0</v>
      </c>
      <c r="H23" s="73">
        <v>0</v>
      </c>
      <c r="I23" s="74">
        <v>0</v>
      </c>
      <c r="J23" s="8">
        <f t="shared" si="2"/>
        <v>0</v>
      </c>
      <c r="K23" s="8">
        <f t="shared" si="3"/>
        <v>0</v>
      </c>
      <c r="L23" s="76">
        <f t="shared" si="4"/>
        <v>0</v>
      </c>
      <c r="M23" s="76">
        <v>0</v>
      </c>
      <c r="N23" s="8"/>
      <c r="O23" s="77"/>
    </row>
    <row r="24" spans="1:15">
      <c r="A24" s="52">
        <v>21</v>
      </c>
      <c r="B24" s="255">
        <v>45890</v>
      </c>
      <c r="C24" s="75"/>
      <c r="D24" s="171"/>
      <c r="E24" s="303">
        <v>0</v>
      </c>
      <c r="F24" s="303">
        <v>0</v>
      </c>
      <c r="G24" s="8">
        <f t="shared" si="1"/>
        <v>0</v>
      </c>
      <c r="H24" s="73">
        <v>0</v>
      </c>
      <c r="I24" s="74">
        <v>0</v>
      </c>
      <c r="J24" s="8">
        <f t="shared" si="2"/>
        <v>0</v>
      </c>
      <c r="K24" s="8">
        <f t="shared" si="3"/>
        <v>0</v>
      </c>
      <c r="L24" s="76">
        <f t="shared" si="4"/>
        <v>0</v>
      </c>
      <c r="M24" s="76">
        <v>0</v>
      </c>
      <c r="N24" s="8"/>
      <c r="O24" s="77"/>
    </row>
    <row r="25" spans="1:15">
      <c r="A25" s="52">
        <v>22</v>
      </c>
      <c r="B25" s="255">
        <v>45891</v>
      </c>
      <c r="C25" s="75"/>
      <c r="D25" s="171"/>
      <c r="E25" s="303">
        <v>45.9</v>
      </c>
      <c r="F25" s="303">
        <v>96.33</v>
      </c>
      <c r="G25" s="8">
        <f t="shared" si="1"/>
        <v>4421.5469999999996</v>
      </c>
      <c r="H25" s="73">
        <v>0</v>
      </c>
      <c r="I25" s="74">
        <v>0</v>
      </c>
      <c r="J25" s="8">
        <f t="shared" si="2"/>
        <v>0</v>
      </c>
      <c r="K25" s="8">
        <f t="shared" si="3"/>
        <v>4421.5469999999996</v>
      </c>
      <c r="L25" s="76">
        <f t="shared" si="4"/>
        <v>4421.5469999999996</v>
      </c>
      <c r="M25" s="76">
        <v>0</v>
      </c>
      <c r="N25" s="8"/>
      <c r="O25" s="77"/>
    </row>
    <row r="26" spans="1:15">
      <c r="A26" s="52">
        <v>23</v>
      </c>
      <c r="B26" s="255">
        <v>45892</v>
      </c>
      <c r="C26" s="75"/>
      <c r="D26" s="171"/>
      <c r="E26" s="303">
        <v>0</v>
      </c>
      <c r="F26" s="303">
        <v>0</v>
      </c>
      <c r="G26" s="8">
        <f t="shared" si="1"/>
        <v>0</v>
      </c>
      <c r="H26" s="73">
        <v>0</v>
      </c>
      <c r="I26" s="74">
        <v>0</v>
      </c>
      <c r="J26" s="8">
        <f t="shared" si="2"/>
        <v>0</v>
      </c>
      <c r="K26" s="8">
        <f t="shared" si="3"/>
        <v>0</v>
      </c>
      <c r="L26" s="76">
        <f t="shared" si="4"/>
        <v>0</v>
      </c>
      <c r="M26" s="76">
        <v>0</v>
      </c>
      <c r="N26" s="8"/>
      <c r="O26" s="77"/>
    </row>
    <row r="27" spans="1:15">
      <c r="A27" s="52">
        <v>24</v>
      </c>
      <c r="B27" s="255">
        <v>45893</v>
      </c>
      <c r="C27" s="75"/>
      <c r="D27" s="171"/>
      <c r="E27" s="303">
        <v>0</v>
      </c>
      <c r="F27" s="303">
        <v>0</v>
      </c>
      <c r="G27" s="8">
        <f t="shared" si="1"/>
        <v>0</v>
      </c>
      <c r="H27" s="73">
        <v>0</v>
      </c>
      <c r="I27" s="74">
        <v>0</v>
      </c>
      <c r="J27" s="8">
        <f t="shared" si="2"/>
        <v>0</v>
      </c>
      <c r="K27" s="8">
        <f t="shared" si="3"/>
        <v>0</v>
      </c>
      <c r="L27" s="76">
        <f t="shared" si="4"/>
        <v>0</v>
      </c>
      <c r="M27" s="76">
        <v>0</v>
      </c>
      <c r="N27" s="8"/>
      <c r="O27" s="77"/>
    </row>
    <row r="28" spans="1:15">
      <c r="A28" s="257">
        <v>25</v>
      </c>
      <c r="B28" s="255">
        <v>45894</v>
      </c>
      <c r="C28" s="75"/>
      <c r="D28" s="171"/>
      <c r="E28" s="303">
        <v>0</v>
      </c>
      <c r="F28" s="303">
        <v>0</v>
      </c>
      <c r="G28" s="8">
        <f t="shared" si="1"/>
        <v>0</v>
      </c>
      <c r="H28" s="73">
        <v>0</v>
      </c>
      <c r="I28" s="74">
        <v>0</v>
      </c>
      <c r="J28" s="8">
        <f t="shared" si="2"/>
        <v>0</v>
      </c>
      <c r="K28" s="8">
        <f t="shared" si="3"/>
        <v>0</v>
      </c>
      <c r="L28" s="76">
        <f t="shared" si="4"/>
        <v>0</v>
      </c>
      <c r="M28" s="76">
        <v>0</v>
      </c>
      <c r="N28" s="8"/>
      <c r="O28" s="77"/>
    </row>
    <row r="29" spans="1:15">
      <c r="A29" s="257">
        <v>26</v>
      </c>
      <c r="B29" s="255">
        <v>45895</v>
      </c>
      <c r="C29" s="75"/>
      <c r="D29" s="171"/>
      <c r="E29" s="303">
        <v>0</v>
      </c>
      <c r="F29" s="303">
        <v>0</v>
      </c>
      <c r="G29" s="8">
        <f t="shared" si="1"/>
        <v>0</v>
      </c>
      <c r="H29" s="73">
        <v>0</v>
      </c>
      <c r="I29" s="74">
        <v>0</v>
      </c>
      <c r="J29" s="8">
        <f t="shared" si="2"/>
        <v>0</v>
      </c>
      <c r="K29" s="8">
        <f t="shared" si="3"/>
        <v>0</v>
      </c>
      <c r="L29" s="76">
        <f t="shared" si="4"/>
        <v>0</v>
      </c>
      <c r="M29" s="76">
        <v>0</v>
      </c>
      <c r="N29" s="8"/>
      <c r="O29" s="77"/>
    </row>
    <row r="30" spans="1:15">
      <c r="A30" s="257">
        <v>27</v>
      </c>
      <c r="B30" s="255">
        <v>45896</v>
      </c>
      <c r="C30" s="75"/>
      <c r="D30" s="171"/>
      <c r="E30" s="303">
        <v>0</v>
      </c>
      <c r="F30" s="303">
        <v>0</v>
      </c>
      <c r="G30" s="8">
        <f t="shared" si="1"/>
        <v>0</v>
      </c>
      <c r="H30" s="73">
        <v>0</v>
      </c>
      <c r="I30" s="74">
        <v>0</v>
      </c>
      <c r="J30" s="8">
        <f t="shared" si="2"/>
        <v>0</v>
      </c>
      <c r="K30" s="8">
        <f t="shared" si="3"/>
        <v>0</v>
      </c>
      <c r="L30" s="76">
        <f t="shared" si="4"/>
        <v>0</v>
      </c>
      <c r="M30" s="76">
        <v>0</v>
      </c>
      <c r="N30" s="8"/>
      <c r="O30" s="77"/>
    </row>
    <row r="31" spans="1:15">
      <c r="A31" s="257">
        <v>28</v>
      </c>
      <c r="B31" s="255">
        <v>45897</v>
      </c>
      <c r="C31" s="75"/>
      <c r="D31" s="171"/>
      <c r="E31" s="303">
        <v>0</v>
      </c>
      <c r="F31" s="303">
        <v>0</v>
      </c>
      <c r="G31" s="8">
        <f t="shared" si="1"/>
        <v>0</v>
      </c>
      <c r="H31" s="73">
        <v>0</v>
      </c>
      <c r="I31" s="74">
        <v>0</v>
      </c>
      <c r="J31" s="8">
        <f t="shared" si="2"/>
        <v>0</v>
      </c>
      <c r="K31" s="8">
        <f t="shared" si="3"/>
        <v>0</v>
      </c>
      <c r="L31" s="76">
        <f t="shared" si="4"/>
        <v>0</v>
      </c>
      <c r="M31" s="76">
        <v>0</v>
      </c>
      <c r="N31" s="8"/>
      <c r="O31" s="77"/>
    </row>
    <row r="32" spans="1:15">
      <c r="A32" s="258">
        <v>29</v>
      </c>
      <c r="B32" s="255">
        <v>45898</v>
      </c>
      <c r="C32" s="75"/>
      <c r="D32" s="171"/>
      <c r="E32" s="303">
        <v>39.44</v>
      </c>
      <c r="F32" s="303">
        <v>97.1</v>
      </c>
      <c r="G32" s="8">
        <f t="shared" si="1"/>
        <v>3829.6239999999993</v>
      </c>
      <c r="H32" s="73">
        <v>0</v>
      </c>
      <c r="I32" s="74">
        <v>0</v>
      </c>
      <c r="J32" s="8">
        <f t="shared" si="2"/>
        <v>0</v>
      </c>
      <c r="K32" s="8">
        <f t="shared" si="3"/>
        <v>3829.6239999999993</v>
      </c>
      <c r="L32" s="76">
        <f t="shared" si="4"/>
        <v>3829.6239999999993</v>
      </c>
      <c r="M32" s="76">
        <v>0</v>
      </c>
      <c r="N32" s="8"/>
      <c r="O32" s="77"/>
    </row>
    <row r="33" spans="1:15">
      <c r="A33" s="258">
        <v>30</v>
      </c>
      <c r="B33" s="255">
        <v>45899</v>
      </c>
      <c r="C33" s="75"/>
      <c r="D33" s="171"/>
      <c r="E33" s="303">
        <v>0</v>
      </c>
      <c r="F33" s="303">
        <v>0</v>
      </c>
      <c r="G33" s="8">
        <f t="shared" ref="G5:G33" si="5">E33*F33</f>
        <v>0</v>
      </c>
      <c r="H33" s="73">
        <v>0</v>
      </c>
      <c r="I33" s="74">
        <v>0</v>
      </c>
      <c r="J33" s="8">
        <f t="shared" ref="J5:J33" si="6">H33*I33</f>
        <v>0</v>
      </c>
      <c r="K33" s="8">
        <f t="shared" ref="K5:K34" si="7">G33+J33</f>
        <v>0</v>
      </c>
      <c r="L33" s="76">
        <f t="shared" ref="L5:L34" si="8">+K33</f>
        <v>0</v>
      </c>
      <c r="M33" s="76">
        <v>0</v>
      </c>
      <c r="N33" s="8"/>
      <c r="O33" s="77"/>
    </row>
    <row r="34" spans="1:15">
      <c r="A34" s="258">
        <v>31</v>
      </c>
      <c r="B34" s="255"/>
      <c r="C34" s="75"/>
      <c r="D34" s="171"/>
      <c r="E34" s="303">
        <v>0</v>
      </c>
      <c r="F34" s="303">
        <v>0</v>
      </c>
      <c r="G34" s="8">
        <f t="shared" ref="G5:G34" si="9">E34*F34</f>
        <v>0</v>
      </c>
      <c r="H34" s="73">
        <v>0</v>
      </c>
      <c r="I34" s="74">
        <v>0</v>
      </c>
      <c r="J34" s="8">
        <f t="shared" ref="J5:J34" si="10">H34*I34</f>
        <v>0</v>
      </c>
      <c r="K34" s="8">
        <f t="shared" si="7"/>
        <v>0</v>
      </c>
      <c r="L34" s="76">
        <f t="shared" si="8"/>
        <v>0</v>
      </c>
      <c r="M34" s="76">
        <v>0</v>
      </c>
      <c r="N34" s="8"/>
      <c r="O34" s="77"/>
    </row>
    <row r="35" spans="1:15">
      <c r="A35" s="70"/>
      <c r="B35" s="70"/>
      <c r="C35" s="70"/>
      <c r="D35" s="70"/>
      <c r="E35" s="304">
        <f>SUM(E4:E34)</f>
        <v>176.65</v>
      </c>
      <c r="F35" s="304"/>
      <c r="G35" s="71">
        <f>SUM(G4:G34)</f>
        <v>17065.626199999999</v>
      </c>
      <c r="H35" s="71">
        <f>SUM(H4:H34)</f>
        <v>25</v>
      </c>
      <c r="I35" s="71"/>
      <c r="J35" s="71">
        <f>SUM(J4:J34)</f>
        <v>2729</v>
      </c>
      <c r="K35" s="71">
        <f>SUM(K4:K34)</f>
        <v>19794.626199999999</v>
      </c>
      <c r="L35" s="71">
        <f>SUM(L4:L34)</f>
        <v>19794.626199999999</v>
      </c>
      <c r="M35" s="71"/>
      <c r="N35" s="71"/>
      <c r="O35" s="67"/>
    </row>
    <row r="36" spans="1:15">
      <c r="A36" s="81"/>
      <c r="B36" s="82"/>
      <c r="C36" s="81"/>
      <c r="D36" s="81"/>
      <c r="E36" s="83"/>
      <c r="F36" s="83"/>
      <c r="G36" s="83"/>
      <c r="H36" s="83"/>
      <c r="I36" s="83"/>
      <c r="J36" s="84"/>
      <c r="K36" s="84"/>
      <c r="L36" s="84"/>
      <c r="M36" s="84"/>
      <c r="N36" s="83"/>
      <c r="O36" s="77"/>
    </row>
    <row r="37" spans="1:15">
      <c r="O37" s="77"/>
    </row>
    <row r="38" spans="1:15">
      <c r="O38" s="77"/>
    </row>
    <row r="39" spans="1:15">
      <c r="O39" s="77"/>
    </row>
    <row r="40" spans="1:15">
      <c r="O40" s="77"/>
    </row>
    <row r="41" spans="1:15">
      <c r="O41" s="77"/>
    </row>
    <row r="42" spans="1:15">
      <c r="A42" s="77"/>
      <c r="B42" s="67"/>
      <c r="C42" s="77"/>
      <c r="D42" s="77"/>
      <c r="E42" s="77"/>
      <c r="F42" s="77"/>
      <c r="G42" s="85"/>
      <c r="H42" s="77"/>
      <c r="I42" s="77"/>
      <c r="J42" s="67"/>
      <c r="K42" s="67"/>
      <c r="L42" s="67"/>
      <c r="M42" s="67"/>
      <c r="N42" s="77"/>
      <c r="O42" s="83"/>
    </row>
    <row r="43" spans="1:15">
      <c r="A43" s="77"/>
      <c r="B43" s="420"/>
      <c r="C43" s="420"/>
      <c r="D43" s="420"/>
      <c r="E43" s="420"/>
      <c r="F43" s="77"/>
      <c r="G43" s="77"/>
      <c r="H43" s="77"/>
      <c r="I43" s="420"/>
      <c r="J43" s="420"/>
      <c r="K43" s="420"/>
      <c r="L43" s="420"/>
      <c r="M43" s="420"/>
      <c r="N43" s="420"/>
      <c r="O43" s="83"/>
    </row>
    <row r="44" spans="1:15">
      <c r="A44" s="77"/>
      <c r="B44" s="67"/>
      <c r="C44" s="77"/>
      <c r="D44" s="77"/>
      <c r="E44" s="77"/>
      <c r="F44" s="77"/>
      <c r="G44" s="77"/>
      <c r="H44" s="77"/>
      <c r="I44" s="77"/>
      <c r="J44" s="67"/>
      <c r="K44" s="67"/>
      <c r="L44" s="67"/>
      <c r="M44" s="67"/>
      <c r="N44" s="77"/>
      <c r="O44" s="83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F5E-9E9B-42D1-AB84-1EC3DDAE3F46}">
  <dimension ref="A1:P41"/>
  <sheetViews>
    <sheetView workbookViewId="0">
      <selection activeCell="I48" sqref="I48"/>
    </sheetView>
  </sheetViews>
  <sheetFormatPr defaultColWidth="10.5703125" defaultRowHeight="15" customHeight="1"/>
  <cols>
    <col min="3" max="3" width="12.85546875" customWidth="1"/>
    <col min="4" max="4" width="10.85546875" customWidth="1"/>
    <col min="5" max="6" width="10.5703125" style="24"/>
    <col min="7" max="7" width="12.85546875" style="24" customWidth="1"/>
    <col min="8" max="9" width="10.5703125" style="24"/>
    <col min="10" max="10" width="13.85546875" style="24" customWidth="1"/>
    <col min="11" max="11" width="13.5703125" style="24" customWidth="1"/>
    <col min="12" max="12" width="16.140625" style="24" customWidth="1"/>
    <col min="13" max="13" width="17.42578125" style="24" customWidth="1"/>
  </cols>
  <sheetData>
    <row r="1" spans="1:16" ht="15" customHeight="1">
      <c r="A1" s="416" t="s">
        <v>20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263"/>
    </row>
    <row r="2" spans="1:16" ht="26.25" customHeight="1">
      <c r="A2" s="112" t="s">
        <v>94</v>
      </c>
      <c r="B2" s="116" t="s">
        <v>95</v>
      </c>
      <c r="C2" s="116" t="s">
        <v>96</v>
      </c>
      <c r="D2" s="116" t="s">
        <v>97</v>
      </c>
      <c r="E2" s="273" t="s">
        <v>98</v>
      </c>
      <c r="F2" s="265" t="s">
        <v>99</v>
      </c>
      <c r="G2" s="265" t="s">
        <v>100</v>
      </c>
      <c r="H2" s="265" t="s">
        <v>101</v>
      </c>
      <c r="I2" s="265" t="s">
        <v>99</v>
      </c>
      <c r="J2" s="265" t="s">
        <v>100</v>
      </c>
      <c r="K2" s="265" t="s">
        <v>102</v>
      </c>
      <c r="L2" s="265" t="s">
        <v>103</v>
      </c>
      <c r="M2" s="265" t="s">
        <v>110</v>
      </c>
      <c r="N2" s="116" t="s">
        <v>105</v>
      </c>
    </row>
    <row r="3" spans="1:16" ht="15" customHeight="1">
      <c r="A3" s="417" t="s">
        <v>106</v>
      </c>
      <c r="B3" s="417"/>
      <c r="C3" s="417"/>
      <c r="D3" s="417"/>
      <c r="E3" s="417"/>
      <c r="F3" s="417"/>
      <c r="G3" s="417"/>
      <c r="H3" s="417"/>
      <c r="I3" s="417"/>
      <c r="J3" s="417"/>
      <c r="K3" s="266">
        <v>0</v>
      </c>
      <c r="L3" s="266"/>
      <c r="M3" s="244">
        <f>+K3</f>
        <v>0</v>
      </c>
      <c r="N3" s="103"/>
    </row>
    <row r="4" spans="1:16">
      <c r="A4" s="28">
        <v>1</v>
      </c>
      <c r="B4" s="29">
        <v>45870</v>
      </c>
      <c r="C4" s="19"/>
      <c r="D4" s="19"/>
      <c r="E4" s="317">
        <v>0</v>
      </c>
      <c r="F4" s="44">
        <v>0</v>
      </c>
      <c r="G4" s="44">
        <f>E4*F4</f>
        <v>0</v>
      </c>
      <c r="H4" s="44">
        <v>0</v>
      </c>
      <c r="I4" s="44">
        <v>0</v>
      </c>
      <c r="J4" s="44">
        <f>H4*I4</f>
        <v>0</v>
      </c>
      <c r="K4" s="44">
        <f>G4+J4</f>
        <v>0</v>
      </c>
      <c r="L4" s="44"/>
      <c r="M4" s="44">
        <f>M3+K4-L4</f>
        <v>0</v>
      </c>
      <c r="N4" s="19"/>
      <c r="P4" s="24"/>
    </row>
    <row r="5" spans="1:16">
      <c r="A5" s="28">
        <v>2</v>
      </c>
      <c r="B5" s="29">
        <v>45871</v>
      </c>
      <c r="C5" s="19"/>
      <c r="D5" s="19"/>
      <c r="E5" s="317">
        <v>0</v>
      </c>
      <c r="F5" s="44">
        <v>0</v>
      </c>
      <c r="G5" s="44">
        <f t="shared" ref="G5:G19" si="0">E5*F5</f>
        <v>0</v>
      </c>
      <c r="H5" s="44">
        <v>0</v>
      </c>
      <c r="I5" s="44">
        <v>0</v>
      </c>
      <c r="J5" s="44">
        <f t="shared" ref="J5:J19" si="1">H5*I5</f>
        <v>0</v>
      </c>
      <c r="K5" s="44">
        <f t="shared" ref="K5:K19" si="2">G5+J5</f>
        <v>0</v>
      </c>
      <c r="L5" s="44"/>
      <c r="M5" s="44">
        <f t="shared" ref="M5:M19" si="3">M4+K5-L5</f>
        <v>0</v>
      </c>
      <c r="N5" s="19"/>
    </row>
    <row r="6" spans="1:16">
      <c r="A6" s="28">
        <v>3</v>
      </c>
      <c r="B6" s="29">
        <v>45872</v>
      </c>
      <c r="C6" s="19"/>
      <c r="D6" s="19"/>
      <c r="E6" s="317">
        <v>0</v>
      </c>
      <c r="F6" s="44">
        <v>0</v>
      </c>
      <c r="G6" s="44">
        <f t="shared" si="0"/>
        <v>0</v>
      </c>
      <c r="H6" s="44">
        <v>0</v>
      </c>
      <c r="I6" s="44">
        <v>0</v>
      </c>
      <c r="J6" s="44">
        <f t="shared" si="1"/>
        <v>0</v>
      </c>
      <c r="K6" s="44">
        <f t="shared" si="2"/>
        <v>0</v>
      </c>
      <c r="L6" s="44"/>
      <c r="M6" s="44">
        <f t="shared" si="3"/>
        <v>0</v>
      </c>
      <c r="N6" s="19"/>
    </row>
    <row r="7" spans="1:16">
      <c r="A7" s="28"/>
      <c r="B7" s="29">
        <v>45873</v>
      </c>
      <c r="C7" s="19"/>
      <c r="D7" s="19"/>
      <c r="E7" s="317">
        <v>0</v>
      </c>
      <c r="F7" s="44">
        <v>0</v>
      </c>
      <c r="G7" s="44">
        <f t="shared" si="0"/>
        <v>0</v>
      </c>
      <c r="H7" s="44">
        <v>0</v>
      </c>
      <c r="I7" s="44">
        <v>0</v>
      </c>
      <c r="J7" s="44">
        <f t="shared" si="1"/>
        <v>0</v>
      </c>
      <c r="K7" s="44">
        <f t="shared" si="2"/>
        <v>0</v>
      </c>
      <c r="L7" s="44"/>
      <c r="M7" s="44">
        <f t="shared" si="3"/>
        <v>0</v>
      </c>
      <c r="N7" s="19"/>
    </row>
    <row r="8" spans="1:16">
      <c r="A8" s="28">
        <v>4</v>
      </c>
      <c r="B8" s="29">
        <v>45874</v>
      </c>
      <c r="C8" s="19"/>
      <c r="D8" s="19"/>
      <c r="E8" s="317">
        <v>0</v>
      </c>
      <c r="F8" s="44">
        <v>0</v>
      </c>
      <c r="G8" s="44">
        <f t="shared" si="0"/>
        <v>0</v>
      </c>
      <c r="H8" s="44">
        <v>0</v>
      </c>
      <c r="I8" s="44">
        <v>0</v>
      </c>
      <c r="J8" s="44">
        <f t="shared" si="1"/>
        <v>0</v>
      </c>
      <c r="K8" s="44">
        <f t="shared" si="2"/>
        <v>0</v>
      </c>
      <c r="L8" s="44"/>
      <c r="M8" s="44">
        <f t="shared" si="3"/>
        <v>0</v>
      </c>
      <c r="N8" s="19"/>
    </row>
    <row r="9" spans="1:16">
      <c r="A9" s="28">
        <v>5</v>
      </c>
      <c r="B9" s="29">
        <v>45875</v>
      </c>
      <c r="C9" s="19"/>
      <c r="D9" s="19"/>
      <c r="E9" s="317">
        <v>0</v>
      </c>
      <c r="F9" s="44">
        <v>0</v>
      </c>
      <c r="G9" s="44">
        <f t="shared" si="0"/>
        <v>0</v>
      </c>
      <c r="H9" s="44">
        <v>0</v>
      </c>
      <c r="I9" s="44">
        <v>0</v>
      </c>
      <c r="J9" s="44">
        <f t="shared" si="1"/>
        <v>0</v>
      </c>
      <c r="K9" s="44">
        <f t="shared" si="2"/>
        <v>0</v>
      </c>
      <c r="L9" s="44"/>
      <c r="M9" s="44">
        <f t="shared" si="3"/>
        <v>0</v>
      </c>
      <c r="N9" s="19"/>
    </row>
    <row r="10" spans="1:16">
      <c r="A10" s="28">
        <v>6</v>
      </c>
      <c r="B10" s="29">
        <v>45876</v>
      </c>
      <c r="C10" s="19"/>
      <c r="D10" s="19"/>
      <c r="E10" s="317">
        <v>0</v>
      </c>
      <c r="F10" s="44">
        <v>0</v>
      </c>
      <c r="G10" s="44">
        <f t="shared" si="0"/>
        <v>0</v>
      </c>
      <c r="H10" s="44">
        <v>0</v>
      </c>
      <c r="I10" s="44">
        <v>0</v>
      </c>
      <c r="J10" s="44">
        <f t="shared" si="1"/>
        <v>0</v>
      </c>
      <c r="K10" s="44">
        <f t="shared" si="2"/>
        <v>0</v>
      </c>
      <c r="L10" s="44"/>
      <c r="M10" s="44">
        <f t="shared" si="3"/>
        <v>0</v>
      </c>
      <c r="N10" s="19"/>
    </row>
    <row r="11" spans="1:16">
      <c r="A11" s="28">
        <v>7</v>
      </c>
      <c r="B11" s="29">
        <v>45877</v>
      </c>
      <c r="C11" s="19"/>
      <c r="D11" s="19"/>
      <c r="E11" s="317">
        <v>0</v>
      </c>
      <c r="F11" s="44">
        <v>0</v>
      </c>
      <c r="G11" s="44">
        <f t="shared" si="0"/>
        <v>0</v>
      </c>
      <c r="H11" s="44">
        <v>0</v>
      </c>
      <c r="I11" s="44">
        <v>0</v>
      </c>
      <c r="J11" s="44">
        <f t="shared" si="1"/>
        <v>0</v>
      </c>
      <c r="K11" s="44">
        <f t="shared" si="2"/>
        <v>0</v>
      </c>
      <c r="L11" s="44"/>
      <c r="M11" s="44">
        <f t="shared" si="3"/>
        <v>0</v>
      </c>
      <c r="N11" s="19"/>
    </row>
    <row r="12" spans="1:16">
      <c r="A12" s="28">
        <v>8</v>
      </c>
      <c r="B12" s="29">
        <v>45878</v>
      </c>
      <c r="C12" s="19"/>
      <c r="D12" s="19"/>
      <c r="E12" s="317">
        <v>0</v>
      </c>
      <c r="F12" s="44">
        <v>0</v>
      </c>
      <c r="G12" s="44">
        <f t="shared" si="0"/>
        <v>0</v>
      </c>
      <c r="H12" s="44">
        <v>0</v>
      </c>
      <c r="I12" s="44">
        <v>0</v>
      </c>
      <c r="J12" s="44">
        <f t="shared" si="1"/>
        <v>0</v>
      </c>
      <c r="K12" s="44">
        <f t="shared" si="2"/>
        <v>0</v>
      </c>
      <c r="L12" s="44"/>
      <c r="M12" s="44">
        <f t="shared" si="3"/>
        <v>0</v>
      </c>
      <c r="N12" s="19"/>
      <c r="P12" s="24"/>
    </row>
    <row r="13" spans="1:16">
      <c r="A13" s="28">
        <v>9</v>
      </c>
      <c r="B13" s="29">
        <v>45879</v>
      </c>
      <c r="C13" s="19"/>
      <c r="D13" s="19"/>
      <c r="E13" s="317">
        <v>0</v>
      </c>
      <c r="F13" s="44">
        <v>0</v>
      </c>
      <c r="G13" s="44">
        <f t="shared" si="0"/>
        <v>0</v>
      </c>
      <c r="H13" s="44">
        <v>0</v>
      </c>
      <c r="I13" s="44">
        <v>0</v>
      </c>
      <c r="J13" s="44">
        <f t="shared" si="1"/>
        <v>0</v>
      </c>
      <c r="K13" s="44">
        <f t="shared" si="2"/>
        <v>0</v>
      </c>
      <c r="L13" s="44"/>
      <c r="M13" s="44">
        <f t="shared" si="3"/>
        <v>0</v>
      </c>
      <c r="N13" s="19"/>
    </row>
    <row r="14" spans="1:16">
      <c r="A14" s="28">
        <v>10</v>
      </c>
      <c r="B14" s="29">
        <v>45880</v>
      </c>
      <c r="C14" s="19"/>
      <c r="D14" s="19"/>
      <c r="E14" s="317">
        <v>0</v>
      </c>
      <c r="F14" s="44">
        <v>0</v>
      </c>
      <c r="G14" s="44">
        <f t="shared" si="0"/>
        <v>0</v>
      </c>
      <c r="H14" s="44">
        <v>0</v>
      </c>
      <c r="I14" s="44">
        <v>0</v>
      </c>
      <c r="J14" s="44">
        <f t="shared" si="1"/>
        <v>0</v>
      </c>
      <c r="K14" s="44">
        <f t="shared" si="2"/>
        <v>0</v>
      </c>
      <c r="L14" s="44"/>
      <c r="M14" s="44">
        <f t="shared" si="3"/>
        <v>0</v>
      </c>
      <c r="N14" s="19"/>
    </row>
    <row r="15" spans="1:16">
      <c r="A15" s="28">
        <v>11</v>
      </c>
      <c r="B15" s="29">
        <v>45881</v>
      </c>
      <c r="C15" s="19"/>
      <c r="D15" s="19"/>
      <c r="E15" s="317">
        <v>0</v>
      </c>
      <c r="F15" s="44">
        <v>0</v>
      </c>
      <c r="G15" s="44">
        <f t="shared" si="0"/>
        <v>0</v>
      </c>
      <c r="H15" s="44">
        <v>0</v>
      </c>
      <c r="I15" s="44">
        <v>0</v>
      </c>
      <c r="J15" s="44">
        <f t="shared" si="1"/>
        <v>0</v>
      </c>
      <c r="K15" s="44">
        <f t="shared" si="2"/>
        <v>0</v>
      </c>
      <c r="L15" s="44"/>
      <c r="M15" s="44">
        <f t="shared" si="3"/>
        <v>0</v>
      </c>
      <c r="N15" s="19"/>
    </row>
    <row r="16" spans="1:16">
      <c r="A16" s="28">
        <v>12</v>
      </c>
      <c r="B16" s="29">
        <v>45882</v>
      </c>
      <c r="C16" s="19"/>
      <c r="D16" s="19"/>
      <c r="E16" s="317">
        <v>0</v>
      </c>
      <c r="F16" s="44">
        <v>0</v>
      </c>
      <c r="G16" s="44">
        <f t="shared" si="0"/>
        <v>0</v>
      </c>
      <c r="H16" s="44">
        <v>0</v>
      </c>
      <c r="I16" s="44">
        <v>0</v>
      </c>
      <c r="J16" s="44">
        <f t="shared" si="1"/>
        <v>0</v>
      </c>
      <c r="K16" s="44">
        <f t="shared" si="2"/>
        <v>0</v>
      </c>
      <c r="L16" s="44"/>
      <c r="M16" s="44">
        <f t="shared" si="3"/>
        <v>0</v>
      </c>
      <c r="N16" s="19"/>
    </row>
    <row r="17" spans="1:14">
      <c r="A17" s="28">
        <v>13</v>
      </c>
      <c r="B17" s="29">
        <v>45883</v>
      </c>
      <c r="C17" s="19"/>
      <c r="D17" s="19"/>
      <c r="E17" s="317">
        <v>0</v>
      </c>
      <c r="F17" s="44">
        <v>0</v>
      </c>
      <c r="G17" s="44">
        <f t="shared" si="0"/>
        <v>0</v>
      </c>
      <c r="H17" s="44">
        <v>0</v>
      </c>
      <c r="I17" s="44">
        <v>0</v>
      </c>
      <c r="J17" s="44">
        <f t="shared" si="1"/>
        <v>0</v>
      </c>
      <c r="K17" s="44">
        <f t="shared" si="2"/>
        <v>0</v>
      </c>
      <c r="L17" s="44"/>
      <c r="M17" s="44">
        <f t="shared" si="3"/>
        <v>0</v>
      </c>
      <c r="N17" s="19"/>
    </row>
    <row r="18" spans="1:14">
      <c r="A18" s="28">
        <v>14</v>
      </c>
      <c r="B18" s="29">
        <v>45884</v>
      </c>
      <c r="C18" s="19"/>
      <c r="D18" s="19"/>
      <c r="E18" s="317">
        <v>0</v>
      </c>
      <c r="F18" s="44">
        <v>0</v>
      </c>
      <c r="G18" s="44">
        <f t="shared" si="0"/>
        <v>0</v>
      </c>
      <c r="H18" s="44">
        <v>0</v>
      </c>
      <c r="I18" s="44">
        <v>0</v>
      </c>
      <c r="J18" s="44">
        <f t="shared" si="1"/>
        <v>0</v>
      </c>
      <c r="K18" s="44">
        <f t="shared" si="2"/>
        <v>0</v>
      </c>
      <c r="L18" s="44"/>
      <c r="M18" s="44">
        <f t="shared" si="3"/>
        <v>0</v>
      </c>
      <c r="N18" s="19"/>
    </row>
    <row r="19" spans="1:14">
      <c r="A19" s="28">
        <v>15</v>
      </c>
      <c r="B19" s="29">
        <v>45885</v>
      </c>
      <c r="C19" s="19"/>
      <c r="D19" s="19"/>
      <c r="E19" s="317">
        <v>0</v>
      </c>
      <c r="F19" s="44">
        <v>0</v>
      </c>
      <c r="G19" s="44">
        <f t="shared" si="0"/>
        <v>0</v>
      </c>
      <c r="H19" s="44">
        <v>0</v>
      </c>
      <c r="I19" s="44">
        <v>0</v>
      </c>
      <c r="J19" s="44">
        <f t="shared" si="1"/>
        <v>0</v>
      </c>
      <c r="K19" s="44">
        <f t="shared" si="2"/>
        <v>0</v>
      </c>
      <c r="L19" s="44"/>
      <c r="M19" s="44">
        <f t="shared" si="3"/>
        <v>0</v>
      </c>
      <c r="N19" s="19"/>
    </row>
    <row r="20" spans="1:14">
      <c r="A20" s="28">
        <v>16</v>
      </c>
      <c r="B20" s="29">
        <v>45886</v>
      </c>
      <c r="C20" s="19"/>
      <c r="D20" s="19"/>
      <c r="E20" s="317">
        <v>0</v>
      </c>
      <c r="F20" s="44">
        <v>0</v>
      </c>
      <c r="G20" s="44">
        <f t="shared" ref="G5:G39" si="4">E20*F20</f>
        <v>0</v>
      </c>
      <c r="H20" s="44">
        <v>0</v>
      </c>
      <c r="I20" s="44">
        <v>0</v>
      </c>
      <c r="J20" s="44">
        <f t="shared" ref="J5:J39" si="5">H20*I20</f>
        <v>0</v>
      </c>
      <c r="K20" s="44">
        <f t="shared" ref="K5:K39" si="6">G20+J20</f>
        <v>0</v>
      </c>
      <c r="L20" s="44"/>
      <c r="M20" s="44">
        <f t="shared" ref="M5:M39" si="7">M19+K20-L20</f>
        <v>0</v>
      </c>
      <c r="N20" s="19"/>
    </row>
    <row r="21" spans="1:14">
      <c r="A21" s="28">
        <v>17</v>
      </c>
      <c r="B21" s="29">
        <v>45887</v>
      </c>
      <c r="C21" s="19"/>
      <c r="D21" s="19"/>
      <c r="E21" s="317">
        <v>0</v>
      </c>
      <c r="F21" s="44">
        <v>0</v>
      </c>
      <c r="G21" s="44">
        <f t="shared" si="4"/>
        <v>0</v>
      </c>
      <c r="H21" s="44">
        <v>0</v>
      </c>
      <c r="I21" s="44">
        <v>0</v>
      </c>
      <c r="J21" s="44">
        <f t="shared" si="5"/>
        <v>0</v>
      </c>
      <c r="K21" s="44">
        <f t="shared" si="6"/>
        <v>0</v>
      </c>
      <c r="L21" s="44"/>
      <c r="M21" s="44">
        <f t="shared" si="7"/>
        <v>0</v>
      </c>
      <c r="N21" s="19"/>
    </row>
    <row r="22" spans="1:14">
      <c r="A22" s="28">
        <v>18</v>
      </c>
      <c r="B22" s="29">
        <v>45888</v>
      </c>
      <c r="C22" s="19"/>
      <c r="D22" s="19"/>
      <c r="E22" s="317">
        <v>0</v>
      </c>
      <c r="F22" s="44">
        <v>0</v>
      </c>
      <c r="G22" s="44">
        <f t="shared" si="4"/>
        <v>0</v>
      </c>
      <c r="H22" s="44">
        <v>0</v>
      </c>
      <c r="I22" s="44">
        <v>0</v>
      </c>
      <c r="J22" s="44">
        <f t="shared" si="5"/>
        <v>0</v>
      </c>
      <c r="K22" s="44">
        <f t="shared" si="6"/>
        <v>0</v>
      </c>
      <c r="L22" s="44"/>
      <c r="M22" s="44">
        <f t="shared" si="7"/>
        <v>0</v>
      </c>
      <c r="N22" s="19"/>
    </row>
    <row r="23" spans="1:14">
      <c r="A23" s="28">
        <v>19</v>
      </c>
      <c r="B23" s="29">
        <v>45889</v>
      </c>
      <c r="C23" s="19"/>
      <c r="D23" s="19"/>
      <c r="E23" s="317">
        <v>0</v>
      </c>
      <c r="F23" s="44">
        <v>0</v>
      </c>
      <c r="G23" s="44">
        <f t="shared" si="4"/>
        <v>0</v>
      </c>
      <c r="H23" s="44">
        <v>0</v>
      </c>
      <c r="I23" s="44">
        <v>0</v>
      </c>
      <c r="J23" s="44">
        <f t="shared" si="5"/>
        <v>0</v>
      </c>
      <c r="K23" s="44">
        <f t="shared" si="6"/>
        <v>0</v>
      </c>
      <c r="L23" s="44"/>
      <c r="M23" s="44">
        <f t="shared" si="7"/>
        <v>0</v>
      </c>
      <c r="N23" s="19"/>
    </row>
    <row r="24" spans="1:14">
      <c r="A24" s="28">
        <v>20</v>
      </c>
      <c r="B24" s="29">
        <v>45890</v>
      </c>
      <c r="C24" s="19"/>
      <c r="D24" s="19"/>
      <c r="E24" s="317">
        <v>0</v>
      </c>
      <c r="F24" s="44">
        <v>0</v>
      </c>
      <c r="G24" s="44">
        <f t="shared" si="4"/>
        <v>0</v>
      </c>
      <c r="H24" s="44">
        <v>0</v>
      </c>
      <c r="I24" s="44">
        <v>0</v>
      </c>
      <c r="J24" s="44">
        <f t="shared" si="5"/>
        <v>0</v>
      </c>
      <c r="K24" s="44">
        <f t="shared" si="6"/>
        <v>0</v>
      </c>
      <c r="L24" s="44"/>
      <c r="M24" s="44">
        <f t="shared" si="7"/>
        <v>0</v>
      </c>
      <c r="N24" s="19"/>
    </row>
    <row r="25" spans="1:14">
      <c r="A25" s="28">
        <v>21</v>
      </c>
      <c r="B25" s="29">
        <v>45891</v>
      </c>
      <c r="C25" s="19"/>
      <c r="D25" s="19"/>
      <c r="E25" s="317">
        <v>0</v>
      </c>
      <c r="F25" s="44">
        <v>0</v>
      </c>
      <c r="G25" s="44">
        <f t="shared" si="4"/>
        <v>0</v>
      </c>
      <c r="H25" s="44">
        <v>0</v>
      </c>
      <c r="I25" s="44">
        <v>0</v>
      </c>
      <c r="J25" s="44">
        <f t="shared" si="5"/>
        <v>0</v>
      </c>
      <c r="K25" s="44">
        <f t="shared" si="6"/>
        <v>0</v>
      </c>
      <c r="L25" s="44"/>
      <c r="M25" s="44">
        <f t="shared" si="7"/>
        <v>0</v>
      </c>
      <c r="N25" s="19"/>
    </row>
    <row r="26" spans="1:14">
      <c r="A26" s="28">
        <v>22</v>
      </c>
      <c r="B26" s="29">
        <v>45892</v>
      </c>
      <c r="C26" s="19"/>
      <c r="D26" s="19"/>
      <c r="E26" s="317">
        <v>0</v>
      </c>
      <c r="F26" s="44">
        <v>0</v>
      </c>
      <c r="G26" s="44">
        <f t="shared" si="4"/>
        <v>0</v>
      </c>
      <c r="H26" s="44">
        <v>0</v>
      </c>
      <c r="I26" s="44">
        <v>0</v>
      </c>
      <c r="J26" s="44">
        <f t="shared" si="5"/>
        <v>0</v>
      </c>
      <c r="K26" s="44">
        <f t="shared" si="6"/>
        <v>0</v>
      </c>
      <c r="L26" s="44"/>
      <c r="M26" s="44">
        <f t="shared" si="7"/>
        <v>0</v>
      </c>
      <c r="N26" s="19"/>
    </row>
    <row r="27" spans="1:14">
      <c r="A27" s="28">
        <v>23</v>
      </c>
      <c r="B27" s="29">
        <v>45893</v>
      </c>
      <c r="C27" s="19"/>
      <c r="D27" s="19"/>
      <c r="E27" s="317">
        <v>0</v>
      </c>
      <c r="F27" s="44">
        <v>0</v>
      </c>
      <c r="G27" s="44">
        <f t="shared" si="4"/>
        <v>0</v>
      </c>
      <c r="H27" s="44">
        <v>0</v>
      </c>
      <c r="I27" s="44">
        <v>0</v>
      </c>
      <c r="J27" s="44">
        <f t="shared" si="5"/>
        <v>0</v>
      </c>
      <c r="K27" s="44">
        <f t="shared" si="6"/>
        <v>0</v>
      </c>
      <c r="L27" s="44"/>
      <c r="M27" s="44">
        <f t="shared" si="7"/>
        <v>0</v>
      </c>
      <c r="N27" s="19"/>
    </row>
    <row r="28" spans="1:14">
      <c r="A28" s="28">
        <v>24</v>
      </c>
      <c r="B28" s="29">
        <v>45894</v>
      </c>
      <c r="C28" s="19"/>
      <c r="D28" s="19"/>
      <c r="E28" s="317">
        <v>0</v>
      </c>
      <c r="F28" s="44">
        <v>0</v>
      </c>
      <c r="G28" s="44">
        <f t="shared" si="4"/>
        <v>0</v>
      </c>
      <c r="H28" s="44">
        <v>0</v>
      </c>
      <c r="I28" s="44">
        <v>0</v>
      </c>
      <c r="J28" s="44">
        <f t="shared" si="5"/>
        <v>0</v>
      </c>
      <c r="K28" s="44">
        <f t="shared" si="6"/>
        <v>0</v>
      </c>
      <c r="L28" s="44"/>
      <c r="M28" s="44">
        <f t="shared" si="7"/>
        <v>0</v>
      </c>
      <c r="N28" s="19"/>
    </row>
    <row r="29" spans="1:14">
      <c r="A29" s="28">
        <v>25</v>
      </c>
      <c r="B29" s="29">
        <v>45895</v>
      </c>
      <c r="C29" s="19"/>
      <c r="D29" s="19"/>
      <c r="E29" s="317">
        <v>0</v>
      </c>
      <c r="F29" s="44">
        <v>0</v>
      </c>
      <c r="G29" s="44">
        <f t="shared" si="4"/>
        <v>0</v>
      </c>
      <c r="H29" s="44">
        <v>0</v>
      </c>
      <c r="I29" s="44">
        <v>0</v>
      </c>
      <c r="J29" s="44">
        <f t="shared" si="5"/>
        <v>0</v>
      </c>
      <c r="K29" s="44">
        <f t="shared" si="6"/>
        <v>0</v>
      </c>
      <c r="L29" s="44"/>
      <c r="M29" s="44">
        <f t="shared" si="7"/>
        <v>0</v>
      </c>
      <c r="N29" s="19"/>
    </row>
    <row r="30" spans="1:14">
      <c r="A30" s="28">
        <v>26</v>
      </c>
      <c r="B30" s="29">
        <v>45896</v>
      </c>
      <c r="C30" s="19"/>
      <c r="D30" s="19"/>
      <c r="E30" s="317">
        <v>0</v>
      </c>
      <c r="F30" s="44">
        <v>0</v>
      </c>
      <c r="G30" s="44">
        <f t="shared" si="4"/>
        <v>0</v>
      </c>
      <c r="H30" s="44">
        <v>0</v>
      </c>
      <c r="I30" s="44">
        <v>0</v>
      </c>
      <c r="J30" s="44">
        <f t="shared" si="5"/>
        <v>0</v>
      </c>
      <c r="K30" s="44">
        <f t="shared" si="6"/>
        <v>0</v>
      </c>
      <c r="L30" s="44"/>
      <c r="M30" s="44">
        <f t="shared" si="7"/>
        <v>0</v>
      </c>
      <c r="N30" s="19"/>
    </row>
    <row r="31" spans="1:14">
      <c r="A31" s="28">
        <v>27</v>
      </c>
      <c r="B31" s="29">
        <v>45897</v>
      </c>
      <c r="C31" s="19"/>
      <c r="D31" s="19"/>
      <c r="E31" s="317">
        <v>0</v>
      </c>
      <c r="F31" s="44">
        <v>0</v>
      </c>
      <c r="G31" s="44">
        <f t="shared" si="4"/>
        <v>0</v>
      </c>
      <c r="H31" s="44">
        <v>0</v>
      </c>
      <c r="I31" s="44">
        <v>0</v>
      </c>
      <c r="J31" s="44">
        <f t="shared" si="5"/>
        <v>0</v>
      </c>
      <c r="K31" s="44">
        <f t="shared" si="6"/>
        <v>0</v>
      </c>
      <c r="L31" s="44"/>
      <c r="M31" s="44">
        <f t="shared" si="7"/>
        <v>0</v>
      </c>
      <c r="N31" s="19"/>
    </row>
    <row r="32" spans="1:14">
      <c r="A32" s="28">
        <v>28</v>
      </c>
      <c r="B32" s="29">
        <v>45898</v>
      </c>
      <c r="C32" s="19"/>
      <c r="D32" s="19"/>
      <c r="E32" s="317">
        <v>0</v>
      </c>
      <c r="F32" s="44">
        <v>0</v>
      </c>
      <c r="G32" s="44">
        <f t="shared" si="4"/>
        <v>0</v>
      </c>
      <c r="H32" s="44">
        <v>0</v>
      </c>
      <c r="I32" s="44">
        <v>0</v>
      </c>
      <c r="J32" s="44">
        <f t="shared" si="5"/>
        <v>0</v>
      </c>
      <c r="K32" s="44">
        <f t="shared" si="6"/>
        <v>0</v>
      </c>
      <c r="L32" s="44"/>
      <c r="M32" s="44">
        <f t="shared" si="7"/>
        <v>0</v>
      </c>
      <c r="N32" s="19"/>
    </row>
    <row r="33" spans="1:14">
      <c r="A33" s="28">
        <v>29</v>
      </c>
      <c r="B33" s="29">
        <v>45899</v>
      </c>
      <c r="C33" s="19"/>
      <c r="D33" s="19"/>
      <c r="E33" s="317">
        <v>0</v>
      </c>
      <c r="F33" s="44">
        <v>0</v>
      </c>
      <c r="G33" s="44">
        <f t="shared" si="4"/>
        <v>0</v>
      </c>
      <c r="H33" s="44">
        <v>0</v>
      </c>
      <c r="I33" s="44">
        <v>0</v>
      </c>
      <c r="J33" s="44">
        <f t="shared" si="5"/>
        <v>0</v>
      </c>
      <c r="K33" s="44">
        <f t="shared" si="6"/>
        <v>0</v>
      </c>
      <c r="L33" s="44"/>
      <c r="M33" s="44">
        <f t="shared" si="7"/>
        <v>0</v>
      </c>
      <c r="N33" s="19"/>
    </row>
    <row r="34" spans="1:14">
      <c r="A34" s="28">
        <v>30</v>
      </c>
      <c r="B34" s="29">
        <v>45900</v>
      </c>
      <c r="C34" s="19"/>
      <c r="D34" s="19"/>
      <c r="E34" s="317">
        <v>0</v>
      </c>
      <c r="F34" s="44">
        <v>0</v>
      </c>
      <c r="G34" s="44">
        <f t="shared" si="4"/>
        <v>0</v>
      </c>
      <c r="H34" s="44">
        <v>0</v>
      </c>
      <c r="I34" s="44">
        <v>0</v>
      </c>
      <c r="J34" s="44">
        <f t="shared" si="5"/>
        <v>0</v>
      </c>
      <c r="K34" s="44">
        <f t="shared" si="6"/>
        <v>0</v>
      </c>
      <c r="L34" s="44"/>
      <c r="M34" s="44">
        <f t="shared" si="7"/>
        <v>0</v>
      </c>
      <c r="N34" s="19"/>
    </row>
    <row r="35" spans="1:14">
      <c r="A35" s="28">
        <v>31</v>
      </c>
      <c r="B35" s="29"/>
      <c r="C35" s="19"/>
      <c r="D35" s="19"/>
      <c r="E35" s="317">
        <v>0</v>
      </c>
      <c r="F35" s="44">
        <v>0</v>
      </c>
      <c r="G35" s="44">
        <f t="shared" si="4"/>
        <v>0</v>
      </c>
      <c r="H35" s="44">
        <v>0</v>
      </c>
      <c r="I35" s="44">
        <v>0</v>
      </c>
      <c r="J35" s="44">
        <f t="shared" si="5"/>
        <v>0</v>
      </c>
      <c r="K35" s="44">
        <f t="shared" si="6"/>
        <v>0</v>
      </c>
      <c r="L35" s="44"/>
      <c r="M35" s="44">
        <f t="shared" si="7"/>
        <v>0</v>
      </c>
      <c r="N35" s="19"/>
    </row>
    <row r="36" spans="1:14">
      <c r="A36" s="28">
        <v>32</v>
      </c>
      <c r="B36" s="29"/>
      <c r="C36" s="19"/>
      <c r="D36" s="19"/>
      <c r="E36" s="317">
        <v>0</v>
      </c>
      <c r="F36" s="44">
        <v>0</v>
      </c>
      <c r="G36" s="44">
        <f t="shared" si="4"/>
        <v>0</v>
      </c>
      <c r="H36" s="44">
        <v>0</v>
      </c>
      <c r="I36" s="44">
        <v>0</v>
      </c>
      <c r="J36" s="44">
        <f t="shared" si="5"/>
        <v>0</v>
      </c>
      <c r="K36" s="44">
        <f t="shared" si="6"/>
        <v>0</v>
      </c>
      <c r="L36" s="44"/>
      <c r="M36" s="44">
        <f t="shared" si="7"/>
        <v>0</v>
      </c>
      <c r="N36" s="19"/>
    </row>
    <row r="37" spans="1:14">
      <c r="A37" s="28">
        <v>33</v>
      </c>
      <c r="B37" s="29"/>
      <c r="C37" s="19"/>
      <c r="D37" s="19"/>
      <c r="E37" s="317">
        <v>0</v>
      </c>
      <c r="F37" s="44">
        <v>0</v>
      </c>
      <c r="G37" s="44">
        <f t="shared" si="4"/>
        <v>0</v>
      </c>
      <c r="H37" s="44">
        <v>0</v>
      </c>
      <c r="I37" s="44">
        <v>0</v>
      </c>
      <c r="J37" s="44">
        <f t="shared" si="5"/>
        <v>0</v>
      </c>
      <c r="K37" s="44">
        <f t="shared" si="6"/>
        <v>0</v>
      </c>
      <c r="L37" s="44"/>
      <c r="M37" s="44">
        <f t="shared" si="7"/>
        <v>0</v>
      </c>
      <c r="N37" s="19"/>
    </row>
    <row r="38" spans="1:14">
      <c r="A38" s="28">
        <v>34</v>
      </c>
      <c r="B38" s="29"/>
      <c r="C38" s="19"/>
      <c r="D38" s="19"/>
      <c r="E38" s="317">
        <v>0</v>
      </c>
      <c r="F38" s="44">
        <v>0</v>
      </c>
      <c r="G38" s="44">
        <f t="shared" si="4"/>
        <v>0</v>
      </c>
      <c r="H38" s="44">
        <v>0</v>
      </c>
      <c r="I38" s="44">
        <v>0</v>
      </c>
      <c r="J38" s="44">
        <f t="shared" si="5"/>
        <v>0</v>
      </c>
      <c r="K38" s="44">
        <f t="shared" si="6"/>
        <v>0</v>
      </c>
      <c r="L38" s="44"/>
      <c r="M38" s="44">
        <f t="shared" si="7"/>
        <v>0</v>
      </c>
      <c r="N38" s="19"/>
    </row>
    <row r="39" spans="1:14" ht="15" customHeight="1">
      <c r="A39" s="28">
        <v>35</v>
      </c>
      <c r="B39" s="29"/>
      <c r="C39" s="19"/>
      <c r="D39" s="19"/>
      <c r="E39" s="44">
        <v>0</v>
      </c>
      <c r="F39" s="44">
        <v>0</v>
      </c>
      <c r="G39" s="44">
        <f t="shared" si="4"/>
        <v>0</v>
      </c>
      <c r="H39" s="44">
        <v>0</v>
      </c>
      <c r="I39" s="44">
        <v>0</v>
      </c>
      <c r="J39" s="44">
        <f t="shared" si="5"/>
        <v>0</v>
      </c>
      <c r="K39" s="44">
        <f t="shared" si="6"/>
        <v>0</v>
      </c>
      <c r="L39" s="44"/>
      <c r="M39" s="44">
        <f t="shared" si="7"/>
        <v>0</v>
      </c>
      <c r="N39" s="19"/>
    </row>
    <row r="40" spans="1:14" ht="15" customHeight="1">
      <c r="A40" s="48"/>
      <c r="B40" s="48"/>
      <c r="C40" s="48"/>
      <c r="D40" s="48"/>
      <c r="E40" s="267">
        <f>SUM(E4:E39)</f>
        <v>0</v>
      </c>
      <c r="F40" s="274"/>
      <c r="G40" s="267">
        <f>SUM(G4:G39)</f>
        <v>0</v>
      </c>
      <c r="H40" s="267">
        <f>SUM(H4:H39)</f>
        <v>0</v>
      </c>
      <c r="I40" s="274"/>
      <c r="J40" s="267">
        <f>SUM(J4:J39)</f>
        <v>0</v>
      </c>
      <c r="K40" s="267">
        <f>SUM(K4:K39)</f>
        <v>0</v>
      </c>
      <c r="L40" s="267">
        <f>SUM(L4:L39)</f>
        <v>0</v>
      </c>
      <c r="M40" s="274"/>
      <c r="N40" s="49"/>
    </row>
    <row r="41" spans="1:14"/>
  </sheetData>
  <mergeCells count="2">
    <mergeCell ref="A1:M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CF9-90F8-4EA7-A54C-C64C8019A5D6}">
  <dimension ref="A1:R44"/>
  <sheetViews>
    <sheetView topLeftCell="A27" workbookViewId="0">
      <selection activeCell="S44" sqref="S44"/>
    </sheetView>
  </sheetViews>
  <sheetFormatPr defaultRowHeight="15"/>
  <cols>
    <col min="2" max="2" width="11.28515625" customWidth="1"/>
    <col min="5" max="5" width="10.85546875" bestFit="1" customWidth="1"/>
    <col min="7" max="7" width="13.7109375" bestFit="1" customWidth="1"/>
    <col min="9" max="9" width="7.140625" bestFit="1" customWidth="1"/>
    <col min="10" max="10" width="10.85546875" bestFit="1" customWidth="1"/>
    <col min="11" max="12" width="13.5703125" bestFit="1" customWidth="1"/>
    <col min="13" max="13" width="11.5703125" bestFit="1" customWidth="1"/>
    <col min="14" max="14" width="10.7109375" bestFit="1" customWidth="1"/>
  </cols>
  <sheetData>
    <row r="1" spans="1:18" ht="15.75">
      <c r="A1" s="418" t="s">
        <v>24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91"/>
    </row>
    <row r="2" spans="1:18" ht="30.75">
      <c r="A2" s="107" t="s">
        <v>94</v>
      </c>
      <c r="B2" s="108" t="s">
        <v>95</v>
      </c>
      <c r="C2" s="108" t="s">
        <v>96</v>
      </c>
      <c r="D2" s="108" t="s">
        <v>111</v>
      </c>
      <c r="E2" s="302" t="s">
        <v>98</v>
      </c>
      <c r="F2" s="302" t="s">
        <v>99</v>
      </c>
      <c r="G2" s="108" t="s">
        <v>100</v>
      </c>
      <c r="H2" s="108" t="s">
        <v>101</v>
      </c>
      <c r="I2" s="108" t="s">
        <v>99</v>
      </c>
      <c r="J2" s="148" t="s">
        <v>100</v>
      </c>
      <c r="K2" s="109" t="s">
        <v>102</v>
      </c>
      <c r="L2" s="149" t="s">
        <v>103</v>
      </c>
      <c r="M2" s="154" t="s">
        <v>110</v>
      </c>
      <c r="N2" s="110" t="s">
        <v>105</v>
      </c>
      <c r="O2" s="67"/>
    </row>
    <row r="3" spans="1:18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9"/>
      <c r="M3" s="159">
        <v>580925.57799999998</v>
      </c>
      <c r="N3" s="168"/>
      <c r="O3" s="67">
        <v>580925.57799999998</v>
      </c>
    </row>
    <row r="4" spans="1:18">
      <c r="A4" s="221">
        <v>1</v>
      </c>
      <c r="B4" s="255">
        <v>45870</v>
      </c>
      <c r="C4" s="75"/>
      <c r="D4" s="171"/>
      <c r="E4" s="303">
        <v>765</v>
      </c>
      <c r="F4" s="303">
        <v>97.1</v>
      </c>
      <c r="G4" s="8">
        <f t="shared" ref="G4:G34" si="0">E4*F4</f>
        <v>74281.5</v>
      </c>
      <c r="H4" s="73">
        <v>0</v>
      </c>
      <c r="I4" s="74">
        <v>0</v>
      </c>
      <c r="J4" s="8">
        <f>H4*I4</f>
        <v>0</v>
      </c>
      <c r="K4" s="8">
        <f>G4+J4</f>
        <v>74281.5</v>
      </c>
      <c r="L4" s="76">
        <v>0</v>
      </c>
      <c r="M4" s="76">
        <f>+M3+K4-L4</f>
        <v>655207.07799999998</v>
      </c>
      <c r="N4" s="8"/>
    </row>
    <row r="5" spans="1:18">
      <c r="A5" s="52">
        <v>2</v>
      </c>
      <c r="B5" s="255">
        <v>45871</v>
      </c>
      <c r="C5" s="75"/>
      <c r="D5" s="171"/>
      <c r="E5" s="303">
        <v>564</v>
      </c>
      <c r="F5" s="303">
        <v>97.1</v>
      </c>
      <c r="G5" s="8">
        <f t="shared" ref="G5:G34" si="1">E5*F5</f>
        <v>54764.399999999994</v>
      </c>
      <c r="H5" s="73">
        <v>5</v>
      </c>
      <c r="I5" s="74">
        <v>108.83</v>
      </c>
      <c r="J5" s="8">
        <f t="shared" ref="J5:J34" si="2">H5*I5</f>
        <v>544.15</v>
      </c>
      <c r="K5" s="8">
        <f t="shared" ref="K5:K34" si="3">G5+J5</f>
        <v>55308.549999999996</v>
      </c>
      <c r="L5" s="76">
        <v>600000</v>
      </c>
      <c r="M5" s="76">
        <f t="shared" ref="M5:M18" si="4">+M4+K5-L5</f>
        <v>110515.62800000003</v>
      </c>
      <c r="N5" s="8"/>
    </row>
    <row r="6" spans="1:18">
      <c r="A6" s="52">
        <v>3</v>
      </c>
      <c r="B6" s="255">
        <v>45872</v>
      </c>
      <c r="C6" s="75"/>
      <c r="D6" s="171"/>
      <c r="E6" s="303">
        <v>303.5</v>
      </c>
      <c r="F6" s="303">
        <v>97.1</v>
      </c>
      <c r="G6" s="8">
        <f t="shared" si="1"/>
        <v>29469.85</v>
      </c>
      <c r="H6" s="73">
        <v>5</v>
      </c>
      <c r="I6" s="74">
        <v>108.83</v>
      </c>
      <c r="J6" s="8">
        <f t="shared" si="2"/>
        <v>544.15</v>
      </c>
      <c r="K6" s="8">
        <f t="shared" si="3"/>
        <v>30014</v>
      </c>
      <c r="L6" s="76">
        <v>0</v>
      </c>
      <c r="M6" s="76">
        <f t="shared" si="4"/>
        <v>140529.62800000003</v>
      </c>
      <c r="N6" s="8"/>
    </row>
    <row r="7" spans="1:18">
      <c r="A7" s="52">
        <v>4</v>
      </c>
      <c r="B7" s="255">
        <v>45873</v>
      </c>
      <c r="C7" s="75"/>
      <c r="D7" s="171"/>
      <c r="E7" s="303">
        <v>817.91</v>
      </c>
      <c r="F7" s="303">
        <v>97.1</v>
      </c>
      <c r="G7" s="8">
        <f t="shared" si="1"/>
        <v>79419.060999999987</v>
      </c>
      <c r="H7" s="73">
        <v>0</v>
      </c>
      <c r="I7" s="74">
        <v>0</v>
      </c>
      <c r="J7" s="8">
        <f t="shared" si="2"/>
        <v>0</v>
      </c>
      <c r="K7" s="8">
        <f t="shared" si="3"/>
        <v>79419.060999999987</v>
      </c>
      <c r="L7" s="76">
        <v>0</v>
      </c>
      <c r="M7" s="76">
        <f t="shared" si="4"/>
        <v>219948.68900000001</v>
      </c>
      <c r="N7" s="8"/>
    </row>
    <row r="8" spans="1:18">
      <c r="A8" s="52">
        <v>5</v>
      </c>
      <c r="B8" s="255">
        <v>45874</v>
      </c>
      <c r="C8" s="75"/>
      <c r="D8" s="171"/>
      <c r="E8" s="303">
        <v>267</v>
      </c>
      <c r="F8" s="303">
        <v>97.1</v>
      </c>
      <c r="G8" s="8">
        <f t="shared" si="1"/>
        <v>25925.699999999997</v>
      </c>
      <c r="H8" s="73">
        <v>5</v>
      </c>
      <c r="I8" s="74">
        <v>108.83</v>
      </c>
      <c r="J8" s="8">
        <f t="shared" si="2"/>
        <v>544.15</v>
      </c>
      <c r="K8" s="8">
        <f t="shared" si="3"/>
        <v>26469.85</v>
      </c>
      <c r="L8" s="76">
        <v>0</v>
      </c>
      <c r="M8" s="76">
        <f t="shared" si="4"/>
        <v>246418.53900000002</v>
      </c>
      <c r="N8" s="8"/>
      <c r="O8" s="77"/>
      <c r="R8" s="264"/>
    </row>
    <row r="9" spans="1:18">
      <c r="A9" s="52">
        <v>6</v>
      </c>
      <c r="B9" s="255">
        <v>45875</v>
      </c>
      <c r="C9" s="75"/>
      <c r="D9" s="171"/>
      <c r="E9" s="303">
        <v>830</v>
      </c>
      <c r="F9" s="303">
        <v>97.1</v>
      </c>
      <c r="G9" s="8">
        <f t="shared" si="1"/>
        <v>80593</v>
      </c>
      <c r="H9" s="73">
        <v>0</v>
      </c>
      <c r="I9" s="74">
        <v>0</v>
      </c>
      <c r="J9" s="8">
        <f t="shared" si="2"/>
        <v>0</v>
      </c>
      <c r="K9" s="8">
        <f t="shared" si="3"/>
        <v>80593</v>
      </c>
      <c r="L9" s="76">
        <v>0</v>
      </c>
      <c r="M9" s="76">
        <f t="shared" si="4"/>
        <v>327011.53899999999</v>
      </c>
      <c r="N9" s="8"/>
      <c r="O9" s="77"/>
    </row>
    <row r="10" spans="1:18">
      <c r="A10" s="52">
        <v>7</v>
      </c>
      <c r="B10" s="255">
        <v>45876</v>
      </c>
      <c r="C10" s="75"/>
      <c r="D10" s="171"/>
      <c r="E10" s="303">
        <v>87.5</v>
      </c>
      <c r="F10" s="303">
        <v>97.1</v>
      </c>
      <c r="G10" s="8">
        <f t="shared" si="1"/>
        <v>8496.25</v>
      </c>
      <c r="H10" s="73">
        <v>0</v>
      </c>
      <c r="I10" s="74">
        <v>0</v>
      </c>
      <c r="J10" s="8">
        <f t="shared" si="2"/>
        <v>0</v>
      </c>
      <c r="K10" s="8">
        <f t="shared" si="3"/>
        <v>8496.25</v>
      </c>
      <c r="L10" s="76">
        <v>0</v>
      </c>
      <c r="M10" s="76">
        <f t="shared" si="4"/>
        <v>335507.78899999999</v>
      </c>
      <c r="N10" s="8"/>
      <c r="O10" s="77"/>
    </row>
    <row r="11" spans="1:18">
      <c r="A11" s="52">
        <v>8</v>
      </c>
      <c r="B11" s="255">
        <v>45877</v>
      </c>
      <c r="C11" s="75"/>
      <c r="D11" s="171"/>
      <c r="E11" s="303">
        <v>615</v>
      </c>
      <c r="F11" s="303">
        <v>97.1</v>
      </c>
      <c r="G11" s="8">
        <f t="shared" si="1"/>
        <v>59716.5</v>
      </c>
      <c r="H11" s="73">
        <v>15</v>
      </c>
      <c r="I11" s="74">
        <v>108.83</v>
      </c>
      <c r="J11" s="8">
        <f t="shared" si="2"/>
        <v>1632.45</v>
      </c>
      <c r="K11" s="8">
        <f t="shared" si="3"/>
        <v>61348.95</v>
      </c>
      <c r="L11" s="76">
        <v>0</v>
      </c>
      <c r="M11" s="76">
        <f t="shared" si="4"/>
        <v>396856.739</v>
      </c>
      <c r="N11" s="8"/>
      <c r="O11" s="77"/>
    </row>
    <row r="12" spans="1:18">
      <c r="A12" s="52">
        <v>9</v>
      </c>
      <c r="B12" s="255">
        <v>45878</v>
      </c>
      <c r="C12" s="75"/>
      <c r="D12" s="171"/>
      <c r="E12" s="303">
        <v>615</v>
      </c>
      <c r="F12" s="303">
        <v>97.1</v>
      </c>
      <c r="G12" s="8">
        <f t="shared" si="1"/>
        <v>59716.5</v>
      </c>
      <c r="H12" s="73">
        <v>7</v>
      </c>
      <c r="I12" s="74">
        <v>108.83</v>
      </c>
      <c r="J12" s="8">
        <f t="shared" si="2"/>
        <v>761.81</v>
      </c>
      <c r="K12" s="8">
        <f t="shared" si="3"/>
        <v>60478.31</v>
      </c>
      <c r="L12" s="76">
        <v>0</v>
      </c>
      <c r="M12" s="76">
        <f t="shared" si="4"/>
        <v>457335.049</v>
      </c>
      <c r="N12" s="8"/>
      <c r="O12" s="77"/>
    </row>
    <row r="13" spans="1:18">
      <c r="A13" s="52">
        <v>10</v>
      </c>
      <c r="B13" s="255">
        <v>45879</v>
      </c>
      <c r="C13" s="75"/>
      <c r="D13" s="171"/>
      <c r="E13" s="303">
        <v>549.20000000000005</v>
      </c>
      <c r="F13" s="303">
        <v>97.1</v>
      </c>
      <c r="G13" s="8">
        <f t="shared" si="1"/>
        <v>53327.32</v>
      </c>
      <c r="H13" s="73">
        <v>5</v>
      </c>
      <c r="I13" s="74">
        <v>108.83</v>
      </c>
      <c r="J13" s="8">
        <f t="shared" si="2"/>
        <v>544.15</v>
      </c>
      <c r="K13" s="8">
        <f t="shared" si="3"/>
        <v>53871.47</v>
      </c>
      <c r="L13" s="76">
        <v>0</v>
      </c>
      <c r="M13" s="76">
        <f t="shared" si="4"/>
        <v>511206.51899999997</v>
      </c>
      <c r="N13" s="8"/>
      <c r="O13" s="77"/>
    </row>
    <row r="14" spans="1:18">
      <c r="A14" s="52">
        <v>11</v>
      </c>
      <c r="B14" s="255">
        <v>45880</v>
      </c>
      <c r="C14" s="75"/>
      <c r="D14" s="171"/>
      <c r="E14" s="303">
        <v>0</v>
      </c>
      <c r="F14" s="303">
        <v>0</v>
      </c>
      <c r="G14" s="8">
        <f t="shared" si="1"/>
        <v>0</v>
      </c>
      <c r="H14" s="73">
        <v>0</v>
      </c>
      <c r="I14" s="74">
        <v>0</v>
      </c>
      <c r="J14" s="8">
        <f t="shared" si="2"/>
        <v>0</v>
      </c>
      <c r="K14" s="8">
        <f t="shared" si="3"/>
        <v>0</v>
      </c>
      <c r="L14" s="76">
        <v>0</v>
      </c>
      <c r="M14" s="76">
        <f t="shared" si="4"/>
        <v>511206.51899999997</v>
      </c>
      <c r="N14" s="8"/>
      <c r="O14" s="77"/>
    </row>
    <row r="15" spans="1:18">
      <c r="A15" s="52">
        <v>12</v>
      </c>
      <c r="B15" s="255">
        <v>45881</v>
      </c>
      <c r="C15" s="75"/>
      <c r="D15" s="171"/>
      <c r="E15" s="303">
        <v>390.2</v>
      </c>
      <c r="F15" s="303">
        <v>97.1</v>
      </c>
      <c r="G15" s="8">
        <f t="shared" si="1"/>
        <v>37888.42</v>
      </c>
      <c r="H15" s="73">
        <v>0</v>
      </c>
      <c r="I15" s="74">
        <v>0</v>
      </c>
      <c r="J15" s="8">
        <f t="shared" si="2"/>
        <v>0</v>
      </c>
      <c r="K15" s="8">
        <f t="shared" si="3"/>
        <v>37888.42</v>
      </c>
      <c r="L15" s="76">
        <v>0</v>
      </c>
      <c r="M15" s="76">
        <f t="shared" si="4"/>
        <v>549094.93900000001</v>
      </c>
      <c r="N15" s="8"/>
      <c r="O15" s="77"/>
    </row>
    <row r="16" spans="1:18">
      <c r="A16" s="52">
        <v>13</v>
      </c>
      <c r="B16" s="255">
        <v>45882</v>
      </c>
      <c r="C16" s="75"/>
      <c r="D16" s="171"/>
      <c r="E16" s="303">
        <v>200</v>
      </c>
      <c r="F16" s="303">
        <v>97.1</v>
      </c>
      <c r="G16" s="8">
        <f t="shared" si="1"/>
        <v>19420</v>
      </c>
      <c r="H16" s="73">
        <v>10</v>
      </c>
      <c r="I16" s="74">
        <v>108.83</v>
      </c>
      <c r="J16" s="8">
        <f t="shared" si="2"/>
        <v>1088.3</v>
      </c>
      <c r="K16" s="8">
        <f t="shared" si="3"/>
        <v>20508.3</v>
      </c>
      <c r="L16" s="76">
        <v>300000</v>
      </c>
      <c r="M16" s="76">
        <f t="shared" si="4"/>
        <v>269603.23900000006</v>
      </c>
      <c r="N16" s="8"/>
      <c r="O16" s="77"/>
    </row>
    <row r="17" spans="1:17">
      <c r="A17" s="52">
        <v>14</v>
      </c>
      <c r="B17" s="255">
        <v>45883</v>
      </c>
      <c r="C17" s="75"/>
      <c r="D17" s="171"/>
      <c r="E17" s="303">
        <v>127</v>
      </c>
      <c r="F17" s="303">
        <v>97.1</v>
      </c>
      <c r="G17" s="8">
        <f t="shared" si="1"/>
        <v>12331.699999999999</v>
      </c>
      <c r="H17" s="73">
        <v>5</v>
      </c>
      <c r="I17" s="74">
        <v>108.83</v>
      </c>
      <c r="J17" s="8">
        <f t="shared" si="2"/>
        <v>544.15</v>
      </c>
      <c r="K17" s="8">
        <f t="shared" si="3"/>
        <v>12875.849999999999</v>
      </c>
      <c r="L17" s="76">
        <v>0</v>
      </c>
      <c r="M17" s="76">
        <f t="shared" si="4"/>
        <v>282479.08900000004</v>
      </c>
      <c r="N17" s="8"/>
      <c r="O17" s="77"/>
    </row>
    <row r="18" spans="1:17">
      <c r="A18" s="52">
        <v>15</v>
      </c>
      <c r="B18" s="255">
        <v>45884</v>
      </c>
      <c r="C18" s="75"/>
      <c r="D18" s="171"/>
      <c r="E18" s="303">
        <v>0</v>
      </c>
      <c r="F18" s="303">
        <v>0</v>
      </c>
      <c r="G18" s="8">
        <f t="shared" si="1"/>
        <v>0</v>
      </c>
      <c r="H18" s="73">
        <v>0</v>
      </c>
      <c r="I18" s="74">
        <v>0</v>
      </c>
      <c r="J18" s="8">
        <f t="shared" si="2"/>
        <v>0</v>
      </c>
      <c r="K18" s="8">
        <f t="shared" si="3"/>
        <v>0</v>
      </c>
      <c r="L18" s="76">
        <v>0</v>
      </c>
      <c r="M18" s="76">
        <f t="shared" si="4"/>
        <v>282479.08900000004</v>
      </c>
      <c r="N18" s="198"/>
      <c r="O18" s="77"/>
    </row>
    <row r="19" spans="1:17">
      <c r="A19" s="52">
        <v>16</v>
      </c>
      <c r="B19" s="255">
        <v>45885</v>
      </c>
      <c r="C19" s="75"/>
      <c r="D19" s="171"/>
      <c r="E19" s="303">
        <v>72</v>
      </c>
      <c r="F19" s="303">
        <v>97.1</v>
      </c>
      <c r="G19" s="8">
        <f t="shared" si="1"/>
        <v>6991.2</v>
      </c>
      <c r="H19" s="73">
        <v>10</v>
      </c>
      <c r="I19" s="74">
        <v>108.83</v>
      </c>
      <c r="J19" s="8">
        <f t="shared" si="2"/>
        <v>1088.3</v>
      </c>
      <c r="K19" s="8">
        <f t="shared" si="3"/>
        <v>8079.5</v>
      </c>
      <c r="L19" s="76">
        <v>0</v>
      </c>
      <c r="M19" s="335">
        <f t="shared" ref="M5:M34" si="5">+M18+K19-L19</f>
        <v>290558.58900000004</v>
      </c>
      <c r="N19" s="334" t="s">
        <v>112</v>
      </c>
      <c r="O19" s="77"/>
    </row>
    <row r="20" spans="1:17">
      <c r="A20" s="52">
        <v>17</v>
      </c>
      <c r="B20" s="255">
        <v>45886</v>
      </c>
      <c r="C20" s="75"/>
      <c r="D20" s="171"/>
      <c r="E20" s="303">
        <v>15</v>
      </c>
      <c r="F20" s="303">
        <v>97.1</v>
      </c>
      <c r="G20" s="8">
        <f t="shared" si="1"/>
        <v>1456.5</v>
      </c>
      <c r="H20" s="73">
        <v>0</v>
      </c>
      <c r="I20" s="74">
        <v>0</v>
      </c>
      <c r="J20" s="8">
        <f t="shared" si="2"/>
        <v>0</v>
      </c>
      <c r="K20" s="8">
        <f t="shared" si="3"/>
        <v>1456.5</v>
      </c>
      <c r="L20" s="76">
        <v>0</v>
      </c>
      <c r="M20" s="76">
        <f t="shared" si="5"/>
        <v>292015.08900000004</v>
      </c>
      <c r="N20" s="21"/>
      <c r="O20" s="77"/>
    </row>
    <row r="21" spans="1:17">
      <c r="A21" s="52">
        <v>18</v>
      </c>
      <c r="B21" s="255">
        <v>45887</v>
      </c>
      <c r="C21" s="75"/>
      <c r="D21" s="171"/>
      <c r="E21" s="303">
        <v>0</v>
      </c>
      <c r="F21" s="303">
        <v>0</v>
      </c>
      <c r="G21" s="8">
        <f t="shared" si="1"/>
        <v>0</v>
      </c>
      <c r="H21" s="73">
        <v>5</v>
      </c>
      <c r="I21" s="74">
        <v>108.83</v>
      </c>
      <c r="J21" s="8">
        <f t="shared" si="2"/>
        <v>544.15</v>
      </c>
      <c r="K21" s="8">
        <f t="shared" si="3"/>
        <v>544.15</v>
      </c>
      <c r="L21" s="76">
        <v>0</v>
      </c>
      <c r="M21" s="76">
        <f t="shared" si="5"/>
        <v>292559.23900000006</v>
      </c>
      <c r="N21" s="8"/>
      <c r="O21" s="77"/>
    </row>
    <row r="22" spans="1:17">
      <c r="A22" s="52">
        <v>19</v>
      </c>
      <c r="B22" s="255">
        <v>45888</v>
      </c>
      <c r="C22" s="75"/>
      <c r="D22" s="171"/>
      <c r="E22" s="303">
        <v>40</v>
      </c>
      <c r="F22" s="303">
        <v>97.1</v>
      </c>
      <c r="G22" s="8">
        <f t="shared" si="1"/>
        <v>3884</v>
      </c>
      <c r="H22" s="73">
        <v>0</v>
      </c>
      <c r="I22" s="74">
        <v>0</v>
      </c>
      <c r="J22" s="8">
        <f t="shared" si="2"/>
        <v>0</v>
      </c>
      <c r="K22" s="8">
        <f t="shared" si="3"/>
        <v>3884</v>
      </c>
      <c r="L22" s="76">
        <v>0</v>
      </c>
      <c r="M22" s="76">
        <f t="shared" si="5"/>
        <v>296443.23900000006</v>
      </c>
      <c r="N22" s="8"/>
      <c r="O22" s="77"/>
      <c r="Q22" s="24"/>
    </row>
    <row r="23" spans="1:17">
      <c r="A23" s="52">
        <v>20</v>
      </c>
      <c r="B23" s="255">
        <v>45889</v>
      </c>
      <c r="C23" s="75"/>
      <c r="D23" s="171"/>
      <c r="E23" s="303">
        <v>49.27</v>
      </c>
      <c r="F23" s="303">
        <v>97.1</v>
      </c>
      <c r="G23" s="8">
        <f t="shared" si="1"/>
        <v>4784.1170000000002</v>
      </c>
      <c r="H23" s="73">
        <v>0</v>
      </c>
      <c r="I23" s="74">
        <v>0</v>
      </c>
      <c r="J23" s="8">
        <f t="shared" si="2"/>
        <v>0</v>
      </c>
      <c r="K23" s="8">
        <f t="shared" si="3"/>
        <v>4784.1170000000002</v>
      </c>
      <c r="L23" s="76">
        <v>0</v>
      </c>
      <c r="M23" s="76">
        <f t="shared" si="5"/>
        <v>301227.35600000009</v>
      </c>
      <c r="N23" s="8"/>
      <c r="O23" s="77"/>
    </row>
    <row r="24" spans="1:17">
      <c r="A24" s="52">
        <v>21</v>
      </c>
      <c r="B24" s="255">
        <v>45890</v>
      </c>
      <c r="C24" s="75"/>
      <c r="D24" s="171"/>
      <c r="E24" s="303">
        <v>660</v>
      </c>
      <c r="F24" s="303">
        <v>97.1</v>
      </c>
      <c r="G24" s="8">
        <f t="shared" si="1"/>
        <v>64085.999999999993</v>
      </c>
      <c r="H24" s="73">
        <v>5</v>
      </c>
      <c r="I24" s="74">
        <v>108.83</v>
      </c>
      <c r="J24" s="8">
        <f t="shared" si="2"/>
        <v>544.15</v>
      </c>
      <c r="K24" s="8">
        <f t="shared" si="3"/>
        <v>64630.149999999994</v>
      </c>
      <c r="L24" s="76">
        <v>300000</v>
      </c>
      <c r="M24" s="76">
        <f t="shared" si="5"/>
        <v>65857.506000000052</v>
      </c>
      <c r="N24" s="8"/>
      <c r="O24" s="77"/>
    </row>
    <row r="25" spans="1:17">
      <c r="A25" s="52">
        <v>22</v>
      </c>
      <c r="B25" s="255">
        <v>45891</v>
      </c>
      <c r="C25" s="75"/>
      <c r="D25" s="171"/>
      <c r="E25" s="303">
        <v>785</v>
      </c>
      <c r="F25" s="303">
        <v>97.1</v>
      </c>
      <c r="G25" s="8">
        <f t="shared" si="1"/>
        <v>76223.5</v>
      </c>
      <c r="H25" s="73">
        <v>0</v>
      </c>
      <c r="I25" s="74">
        <v>0</v>
      </c>
      <c r="J25" s="8">
        <f t="shared" si="2"/>
        <v>0</v>
      </c>
      <c r="K25" s="8">
        <f t="shared" si="3"/>
        <v>76223.5</v>
      </c>
      <c r="L25" s="76">
        <v>0</v>
      </c>
      <c r="M25" s="76">
        <f t="shared" si="5"/>
        <v>142081.00600000005</v>
      </c>
      <c r="N25" s="8"/>
      <c r="O25" s="77"/>
    </row>
    <row r="26" spans="1:17">
      <c r="A26" s="52">
        <v>23</v>
      </c>
      <c r="B26" s="255">
        <v>45892</v>
      </c>
      <c r="C26" s="75"/>
      <c r="D26" s="171"/>
      <c r="E26" s="392">
        <f>200+400+30</f>
        <v>630</v>
      </c>
      <c r="F26" s="393">
        <v>97.1</v>
      </c>
      <c r="G26" s="8">
        <f t="shared" si="1"/>
        <v>61173</v>
      </c>
      <c r="H26" s="73">
        <v>0</v>
      </c>
      <c r="I26" s="74">
        <v>0</v>
      </c>
      <c r="J26" s="8">
        <f t="shared" si="2"/>
        <v>0</v>
      </c>
      <c r="K26" s="8">
        <f t="shared" si="3"/>
        <v>61173</v>
      </c>
      <c r="L26" s="76">
        <v>0</v>
      </c>
      <c r="M26" s="76">
        <f t="shared" si="5"/>
        <v>203254.00600000005</v>
      </c>
      <c r="N26" s="8"/>
      <c r="O26" s="77"/>
    </row>
    <row r="27" spans="1:17">
      <c r="A27" s="52">
        <v>24</v>
      </c>
      <c r="B27" s="255">
        <v>45893</v>
      </c>
      <c r="C27" s="75"/>
      <c r="D27" s="171"/>
      <c r="E27" s="392">
        <f>43+15+149+55</f>
        <v>262</v>
      </c>
      <c r="F27" s="393">
        <v>97.1</v>
      </c>
      <c r="G27" s="8">
        <f t="shared" si="1"/>
        <v>25440.199999999997</v>
      </c>
      <c r="H27" s="73">
        <v>5</v>
      </c>
      <c r="I27" s="74">
        <v>108.83</v>
      </c>
      <c r="J27" s="8">
        <f t="shared" si="2"/>
        <v>544.15</v>
      </c>
      <c r="K27" s="8">
        <f t="shared" si="3"/>
        <v>25984.35</v>
      </c>
      <c r="L27" s="76">
        <v>0</v>
      </c>
      <c r="M27" s="76">
        <f t="shared" si="5"/>
        <v>229238.35600000006</v>
      </c>
      <c r="N27" s="8"/>
      <c r="O27" s="77"/>
    </row>
    <row r="28" spans="1:17">
      <c r="A28" s="257">
        <v>25</v>
      </c>
      <c r="B28" s="255">
        <v>45894</v>
      </c>
      <c r="C28" s="75"/>
      <c r="D28" s="171"/>
      <c r="E28" s="303">
        <v>1021.5</v>
      </c>
      <c r="F28" s="393">
        <v>97.1</v>
      </c>
      <c r="G28" s="8">
        <f t="shared" si="1"/>
        <v>99187.65</v>
      </c>
      <c r="H28" s="73">
        <v>5</v>
      </c>
      <c r="I28" s="74">
        <v>108.83</v>
      </c>
      <c r="J28" s="8">
        <f t="shared" si="2"/>
        <v>544.15</v>
      </c>
      <c r="K28" s="8">
        <f t="shared" si="3"/>
        <v>99731.799999999988</v>
      </c>
      <c r="L28" s="76">
        <v>0</v>
      </c>
      <c r="M28" s="76">
        <f t="shared" si="5"/>
        <v>328970.15600000008</v>
      </c>
      <c r="N28" s="8"/>
      <c r="O28" s="77"/>
    </row>
    <row r="29" spans="1:17">
      <c r="A29" s="257">
        <v>26</v>
      </c>
      <c r="B29" s="255">
        <v>45895</v>
      </c>
      <c r="C29" s="75"/>
      <c r="D29" s="171"/>
      <c r="E29" s="392">
        <f>15+63.33+350</f>
        <v>428.33</v>
      </c>
      <c r="F29" s="393">
        <v>97.1</v>
      </c>
      <c r="G29" s="8">
        <f t="shared" si="1"/>
        <v>41590.842999999993</v>
      </c>
      <c r="H29" s="73">
        <v>5</v>
      </c>
      <c r="I29" s="74">
        <v>108.83</v>
      </c>
      <c r="J29" s="8">
        <f t="shared" si="2"/>
        <v>544.15</v>
      </c>
      <c r="K29" s="8">
        <f t="shared" si="3"/>
        <v>42134.992999999995</v>
      </c>
      <c r="L29" s="76">
        <v>0</v>
      </c>
      <c r="M29" s="76">
        <f t="shared" si="5"/>
        <v>371105.14900000009</v>
      </c>
      <c r="N29" s="8"/>
      <c r="O29" s="77"/>
    </row>
    <row r="30" spans="1:17">
      <c r="A30" s="257">
        <v>27</v>
      </c>
      <c r="B30" s="255">
        <v>45896</v>
      </c>
      <c r="C30" s="75"/>
      <c r="D30" s="171"/>
      <c r="E30" s="392">
        <v>46.48</v>
      </c>
      <c r="F30" s="393">
        <v>97.1</v>
      </c>
      <c r="G30" s="8">
        <f t="shared" si="1"/>
        <v>4513.2079999999996</v>
      </c>
      <c r="H30" s="73">
        <v>0</v>
      </c>
      <c r="I30" s="74">
        <v>0</v>
      </c>
      <c r="J30" s="8">
        <f t="shared" si="2"/>
        <v>0</v>
      </c>
      <c r="K30" s="8">
        <f t="shared" si="3"/>
        <v>4513.2079999999996</v>
      </c>
      <c r="L30" s="76">
        <v>0</v>
      </c>
      <c r="M30" s="76">
        <f t="shared" si="5"/>
        <v>375618.35700000008</v>
      </c>
      <c r="N30" s="8"/>
      <c r="O30" s="77"/>
    </row>
    <row r="31" spans="1:17">
      <c r="A31" s="257">
        <v>28</v>
      </c>
      <c r="B31" s="255">
        <v>45897</v>
      </c>
      <c r="C31" s="75"/>
      <c r="D31" s="171"/>
      <c r="E31" s="303">
        <v>650</v>
      </c>
      <c r="F31" s="393">
        <v>97.1</v>
      </c>
      <c r="G31" s="8">
        <f t="shared" si="1"/>
        <v>63114.999999999993</v>
      </c>
      <c r="H31" s="73">
        <v>5</v>
      </c>
      <c r="I31" s="74">
        <v>108.83</v>
      </c>
      <c r="J31" s="8">
        <f t="shared" si="2"/>
        <v>544.15</v>
      </c>
      <c r="K31" s="8">
        <f t="shared" si="3"/>
        <v>63659.149999999994</v>
      </c>
      <c r="L31" s="76">
        <v>0</v>
      </c>
      <c r="M31" s="76">
        <f t="shared" si="5"/>
        <v>439277.5070000001</v>
      </c>
      <c r="N31" s="8"/>
      <c r="O31" s="77"/>
    </row>
    <row r="32" spans="1:17">
      <c r="A32" s="258">
        <v>29</v>
      </c>
      <c r="B32" s="255">
        <v>45898</v>
      </c>
      <c r="C32" s="75"/>
      <c r="D32" s="171"/>
      <c r="E32" s="392">
        <f>60+15+33.51+400</f>
        <v>508.51</v>
      </c>
      <c r="F32" s="393">
        <v>97.1</v>
      </c>
      <c r="G32" s="8">
        <f t="shared" si="1"/>
        <v>49376.320999999996</v>
      </c>
      <c r="H32" s="73">
        <v>6</v>
      </c>
      <c r="I32" s="74">
        <v>108.83</v>
      </c>
      <c r="J32" s="8">
        <f t="shared" si="2"/>
        <v>652.98</v>
      </c>
      <c r="K32" s="8">
        <f t="shared" si="3"/>
        <v>50029.300999999999</v>
      </c>
      <c r="L32" s="76">
        <v>0</v>
      </c>
      <c r="M32" s="76">
        <f t="shared" si="5"/>
        <v>489306.80800000008</v>
      </c>
      <c r="N32" s="8"/>
      <c r="O32" s="77"/>
    </row>
    <row r="33" spans="1:15">
      <c r="A33" s="258">
        <v>30</v>
      </c>
      <c r="B33" s="255">
        <v>45899</v>
      </c>
      <c r="C33" s="75"/>
      <c r="D33" s="171"/>
      <c r="E33" s="392">
        <v>624.73</v>
      </c>
      <c r="F33" s="393">
        <v>97.1</v>
      </c>
      <c r="G33" s="8">
        <f t="shared" si="1"/>
        <v>60661.282999999996</v>
      </c>
      <c r="H33" s="73">
        <v>0</v>
      </c>
      <c r="I33" s="74">
        <v>0</v>
      </c>
      <c r="J33" s="8">
        <f t="shared" si="2"/>
        <v>0</v>
      </c>
      <c r="K33" s="8">
        <f t="shared" si="3"/>
        <v>60661.282999999996</v>
      </c>
      <c r="L33" s="76">
        <v>0</v>
      </c>
      <c r="M33" s="76">
        <f t="shared" si="5"/>
        <v>549968.09100000001</v>
      </c>
      <c r="N33" s="8"/>
      <c r="O33" s="77"/>
    </row>
    <row r="34" spans="1:15">
      <c r="A34" s="258">
        <v>31</v>
      </c>
      <c r="B34" s="255">
        <v>45900</v>
      </c>
      <c r="C34" s="75"/>
      <c r="D34" s="171"/>
      <c r="E34" s="392">
        <v>128.5</v>
      </c>
      <c r="F34" s="393">
        <v>97.1</v>
      </c>
      <c r="G34" s="8">
        <f t="shared" si="1"/>
        <v>12477.349999999999</v>
      </c>
      <c r="H34" s="73">
        <v>5</v>
      </c>
      <c r="I34" s="74">
        <v>108.83</v>
      </c>
      <c r="J34" s="8">
        <f t="shared" si="2"/>
        <v>544.15</v>
      </c>
      <c r="K34" s="8">
        <f t="shared" si="3"/>
        <v>13021.499999999998</v>
      </c>
      <c r="L34" s="76">
        <v>0</v>
      </c>
      <c r="M34" s="76">
        <f t="shared" si="5"/>
        <v>562989.59100000001</v>
      </c>
      <c r="N34" s="8"/>
      <c r="O34" s="77"/>
    </row>
    <row r="35" spans="1:15">
      <c r="A35" s="70"/>
      <c r="B35" s="70"/>
      <c r="C35" s="70"/>
      <c r="D35" s="70"/>
      <c r="E35" s="304">
        <f>SUM(E4:E34)</f>
        <v>12052.63</v>
      </c>
      <c r="F35" s="304"/>
      <c r="G35" s="71">
        <f>SUM(G4:G34)</f>
        <v>1170310.3729999999</v>
      </c>
      <c r="H35" s="71">
        <f>SUM(H4:H34)</f>
        <v>108</v>
      </c>
      <c r="I35" s="71"/>
      <c r="J35" s="71">
        <f>SUM(J4:J34)</f>
        <v>11753.639999999998</v>
      </c>
      <c r="K35" s="71">
        <f>SUM(K4:K34)</f>
        <v>1182064.013</v>
      </c>
      <c r="L35" s="71">
        <f>SUM(L4:L34)</f>
        <v>1200000</v>
      </c>
      <c r="M35" s="71"/>
      <c r="N35" s="71"/>
      <c r="O35" s="67"/>
    </row>
    <row r="36" spans="1:15">
      <c r="A36" s="81"/>
      <c r="B36" s="82"/>
      <c r="C36" s="81"/>
      <c r="D36" s="81"/>
      <c r="E36" s="83"/>
      <c r="F36" s="83"/>
      <c r="G36" s="83"/>
      <c r="H36" s="83"/>
      <c r="I36" s="83"/>
      <c r="J36" s="84"/>
      <c r="K36" s="84"/>
      <c r="L36" s="84"/>
      <c r="M36" s="84"/>
      <c r="N36" s="83"/>
      <c r="O36" s="77"/>
    </row>
    <row r="37" spans="1:15">
      <c r="O37" s="77"/>
    </row>
    <row r="38" spans="1:15">
      <c r="O38" s="77"/>
    </row>
    <row r="39" spans="1:15">
      <c r="O39" s="77"/>
    </row>
    <row r="40" spans="1:15">
      <c r="O40" s="77"/>
    </row>
    <row r="41" spans="1:15">
      <c r="O41" s="77"/>
    </row>
    <row r="42" spans="1:15">
      <c r="A42" s="77"/>
      <c r="B42" s="67"/>
      <c r="C42" s="77"/>
      <c r="D42" s="77"/>
      <c r="E42" s="77"/>
      <c r="F42" s="77"/>
      <c r="G42" s="85"/>
      <c r="H42" s="77"/>
      <c r="I42" s="77"/>
      <c r="J42" s="67"/>
      <c r="K42" s="67"/>
      <c r="L42" s="67"/>
      <c r="M42" s="67"/>
      <c r="N42" s="77"/>
      <c r="O42" s="83"/>
    </row>
    <row r="43" spans="1:15">
      <c r="A43" s="77"/>
      <c r="B43" s="420"/>
      <c r="C43" s="420"/>
      <c r="D43" s="420"/>
      <c r="E43" s="420"/>
      <c r="F43" s="77"/>
      <c r="G43" s="77"/>
      <c r="H43" s="77"/>
      <c r="I43" s="420"/>
      <c r="J43" s="420"/>
      <c r="K43" s="420"/>
      <c r="L43" s="420"/>
      <c r="M43" s="420"/>
      <c r="N43" s="420"/>
      <c r="O43" s="83"/>
    </row>
    <row r="44" spans="1:15">
      <c r="A44" s="77"/>
      <c r="B44" s="67"/>
      <c r="C44" s="77"/>
      <c r="D44" s="77"/>
      <c r="E44" s="77"/>
      <c r="F44" s="77"/>
      <c r="G44" s="77"/>
      <c r="H44" s="77"/>
      <c r="I44" s="77"/>
      <c r="J44" s="67"/>
      <c r="K44" s="67"/>
      <c r="L44" s="67"/>
      <c r="M44" s="67"/>
      <c r="N44" s="77"/>
      <c r="O44" s="83"/>
    </row>
  </sheetData>
  <mergeCells count="4">
    <mergeCell ref="A1:N1"/>
    <mergeCell ref="A3:L3"/>
    <mergeCell ref="B43:E43"/>
    <mergeCell ref="I43:N43"/>
  </mergeCells>
  <hyperlinks>
    <hyperlink ref="N19" r:id="rId1" xr:uid="{D157A590-9512-4734-821E-E8C1B924315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A3EE-65D5-4D13-AD57-D03C52105DD6}">
  <dimension ref="A1:R44"/>
  <sheetViews>
    <sheetView topLeftCell="A16" workbookViewId="0">
      <selection activeCell="P35" sqref="P35"/>
    </sheetView>
  </sheetViews>
  <sheetFormatPr defaultRowHeight="15"/>
  <cols>
    <col min="2" max="2" width="12.140625" customWidth="1"/>
    <col min="7" max="7" width="11.85546875" bestFit="1" customWidth="1"/>
    <col min="11" max="12" width="13.5703125" bestFit="1" customWidth="1"/>
    <col min="13" max="13" width="11.85546875" bestFit="1" customWidth="1"/>
  </cols>
  <sheetData>
    <row r="1" spans="1:18" ht="15.75">
      <c r="A1" s="418" t="s">
        <v>113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91"/>
    </row>
    <row r="2" spans="1:18" ht="30.75">
      <c r="A2" s="107" t="s">
        <v>94</v>
      </c>
      <c r="B2" s="108" t="s">
        <v>95</v>
      </c>
      <c r="C2" s="108" t="s">
        <v>96</v>
      </c>
      <c r="D2" s="108" t="s">
        <v>111</v>
      </c>
      <c r="E2" s="302" t="s">
        <v>98</v>
      </c>
      <c r="F2" s="302" t="s">
        <v>99</v>
      </c>
      <c r="G2" s="108" t="s">
        <v>100</v>
      </c>
      <c r="H2" s="108" t="s">
        <v>101</v>
      </c>
      <c r="I2" s="108" t="s">
        <v>99</v>
      </c>
      <c r="J2" s="148" t="s">
        <v>100</v>
      </c>
      <c r="K2" s="109" t="s">
        <v>102</v>
      </c>
      <c r="L2" s="149" t="s">
        <v>103</v>
      </c>
      <c r="M2" s="154" t="s">
        <v>110</v>
      </c>
      <c r="N2" s="110" t="s">
        <v>105</v>
      </c>
      <c r="O2" s="67"/>
    </row>
    <row r="3" spans="1:18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9"/>
      <c r="M3" s="159">
        <v>0</v>
      </c>
      <c r="N3" s="168"/>
      <c r="O3" s="67"/>
    </row>
    <row r="4" spans="1:18">
      <c r="A4" s="221">
        <v>1</v>
      </c>
      <c r="B4" s="255">
        <v>45870</v>
      </c>
      <c r="C4" s="75"/>
      <c r="D4" s="171"/>
      <c r="E4" s="303">
        <v>0</v>
      </c>
      <c r="F4" s="303">
        <v>0</v>
      </c>
      <c r="G4" s="8">
        <f t="shared" ref="G4:G34" si="0">E4*F4</f>
        <v>0</v>
      </c>
      <c r="H4" s="73">
        <v>0</v>
      </c>
      <c r="I4" s="74">
        <v>0</v>
      </c>
      <c r="J4" s="8">
        <f>H4*I4</f>
        <v>0</v>
      </c>
      <c r="K4" s="8">
        <f>G4+J4</f>
        <v>0</v>
      </c>
      <c r="L4" s="76">
        <v>0</v>
      </c>
      <c r="M4" s="76">
        <f>+M3+K4-L4</f>
        <v>0</v>
      </c>
      <c r="N4" s="8"/>
    </row>
    <row r="5" spans="1:18">
      <c r="A5" s="52">
        <v>2</v>
      </c>
      <c r="B5" s="255">
        <v>45871</v>
      </c>
      <c r="C5" s="75"/>
      <c r="D5" s="171"/>
      <c r="E5" s="303">
        <v>0</v>
      </c>
      <c r="F5" s="303">
        <v>0</v>
      </c>
      <c r="G5" s="8">
        <f t="shared" ref="G5:G13" si="1">E5*F5</f>
        <v>0</v>
      </c>
      <c r="H5" s="73">
        <v>0</v>
      </c>
      <c r="I5" s="74">
        <v>0</v>
      </c>
      <c r="J5" s="8">
        <f t="shared" ref="J5:J13" si="2">H5*I5</f>
        <v>0</v>
      </c>
      <c r="K5" s="8">
        <f t="shared" ref="K5:K13" si="3">G5+J5</f>
        <v>0</v>
      </c>
      <c r="L5" s="76">
        <v>0</v>
      </c>
      <c r="M5" s="76">
        <f t="shared" ref="M5:M34" si="4">+M4+K5-L5</f>
        <v>0</v>
      </c>
      <c r="N5" s="8"/>
    </row>
    <row r="6" spans="1:18">
      <c r="A6" s="52">
        <v>3</v>
      </c>
      <c r="B6" s="255">
        <v>45872</v>
      </c>
      <c r="C6" s="75"/>
      <c r="D6" s="171"/>
      <c r="E6" s="303">
        <v>0</v>
      </c>
      <c r="F6" s="303">
        <v>0</v>
      </c>
      <c r="G6" s="8">
        <f t="shared" si="1"/>
        <v>0</v>
      </c>
      <c r="H6" s="73">
        <v>0</v>
      </c>
      <c r="I6" s="74">
        <v>0</v>
      </c>
      <c r="J6" s="8">
        <f t="shared" si="2"/>
        <v>0</v>
      </c>
      <c r="K6" s="8">
        <f t="shared" si="3"/>
        <v>0</v>
      </c>
      <c r="L6" s="76">
        <v>0</v>
      </c>
      <c r="M6" s="76">
        <f t="shared" si="4"/>
        <v>0</v>
      </c>
      <c r="N6" s="8"/>
    </row>
    <row r="7" spans="1:18">
      <c r="A7" s="52">
        <v>4</v>
      </c>
      <c r="B7" s="255">
        <v>45873</v>
      </c>
      <c r="C7" s="75"/>
      <c r="D7" s="171"/>
      <c r="E7" s="303">
        <v>0</v>
      </c>
      <c r="F7" s="303">
        <v>0</v>
      </c>
      <c r="G7" s="8">
        <f t="shared" si="1"/>
        <v>0</v>
      </c>
      <c r="H7" s="73">
        <v>0</v>
      </c>
      <c r="I7" s="74">
        <v>0</v>
      </c>
      <c r="J7" s="8">
        <f t="shared" si="2"/>
        <v>0</v>
      </c>
      <c r="K7" s="8">
        <f t="shared" si="3"/>
        <v>0</v>
      </c>
      <c r="L7" s="76">
        <v>0</v>
      </c>
      <c r="M7" s="76">
        <f t="shared" si="4"/>
        <v>0</v>
      </c>
      <c r="N7" s="8"/>
    </row>
    <row r="8" spans="1:18">
      <c r="A8" s="52">
        <v>5</v>
      </c>
      <c r="B8" s="255">
        <v>45874</v>
      </c>
      <c r="C8" s="75"/>
      <c r="D8" s="171"/>
      <c r="E8" s="303">
        <v>0</v>
      </c>
      <c r="F8" s="303">
        <v>0</v>
      </c>
      <c r="G8" s="8">
        <f t="shared" si="1"/>
        <v>0</v>
      </c>
      <c r="H8" s="73">
        <v>0</v>
      </c>
      <c r="I8" s="74">
        <v>0</v>
      </c>
      <c r="J8" s="8">
        <f t="shared" si="2"/>
        <v>0</v>
      </c>
      <c r="K8" s="8">
        <f t="shared" si="3"/>
        <v>0</v>
      </c>
      <c r="L8" s="76">
        <v>0</v>
      </c>
      <c r="M8" s="76">
        <f t="shared" si="4"/>
        <v>0</v>
      </c>
      <c r="N8" s="8"/>
      <c r="O8" s="77"/>
      <c r="R8" s="264"/>
    </row>
    <row r="9" spans="1:18">
      <c r="A9" s="52">
        <v>6</v>
      </c>
      <c r="B9" s="255">
        <v>45875</v>
      </c>
      <c r="C9" s="75"/>
      <c r="D9" s="171"/>
      <c r="E9" s="303">
        <v>0</v>
      </c>
      <c r="F9" s="303">
        <v>0</v>
      </c>
      <c r="G9" s="8">
        <f t="shared" si="1"/>
        <v>0</v>
      </c>
      <c r="H9" s="73">
        <v>0</v>
      </c>
      <c r="I9" s="74">
        <v>0</v>
      </c>
      <c r="J9" s="8">
        <f t="shared" si="2"/>
        <v>0</v>
      </c>
      <c r="K9" s="8">
        <f t="shared" si="3"/>
        <v>0</v>
      </c>
      <c r="L9" s="76">
        <v>0</v>
      </c>
      <c r="M9" s="76">
        <f t="shared" si="4"/>
        <v>0</v>
      </c>
      <c r="N9" s="8"/>
      <c r="O9" s="77"/>
    </row>
    <row r="10" spans="1:18">
      <c r="A10" s="52">
        <v>7</v>
      </c>
      <c r="B10" s="255">
        <v>45876</v>
      </c>
      <c r="C10" s="75"/>
      <c r="D10" s="171"/>
      <c r="E10" s="303">
        <v>0</v>
      </c>
      <c r="F10" s="303">
        <v>0</v>
      </c>
      <c r="G10" s="8">
        <f t="shared" si="1"/>
        <v>0</v>
      </c>
      <c r="H10" s="73">
        <v>0</v>
      </c>
      <c r="I10" s="74">
        <v>0</v>
      </c>
      <c r="J10" s="8">
        <f t="shared" si="2"/>
        <v>0</v>
      </c>
      <c r="K10" s="8">
        <f t="shared" si="3"/>
        <v>0</v>
      </c>
      <c r="L10" s="76">
        <v>0</v>
      </c>
      <c r="M10" s="76">
        <f t="shared" si="4"/>
        <v>0</v>
      </c>
      <c r="N10" s="8"/>
      <c r="O10" s="77"/>
    </row>
    <row r="11" spans="1:18">
      <c r="A11" s="52">
        <v>8</v>
      </c>
      <c r="B11" s="255">
        <v>45877</v>
      </c>
      <c r="C11" s="75"/>
      <c r="D11" s="171"/>
      <c r="E11" s="303">
        <v>0</v>
      </c>
      <c r="F11" s="303">
        <v>0</v>
      </c>
      <c r="G11" s="8">
        <f t="shared" si="1"/>
        <v>0</v>
      </c>
      <c r="H11" s="73">
        <v>0</v>
      </c>
      <c r="I11" s="74">
        <v>0</v>
      </c>
      <c r="J11" s="8">
        <f t="shared" si="2"/>
        <v>0</v>
      </c>
      <c r="K11" s="8">
        <f t="shared" si="3"/>
        <v>0</v>
      </c>
      <c r="L11" s="76">
        <v>0</v>
      </c>
      <c r="M11" s="76">
        <f t="shared" si="4"/>
        <v>0</v>
      </c>
      <c r="N11" s="8"/>
      <c r="O11" s="77"/>
    </row>
    <row r="12" spans="1:18">
      <c r="A12" s="52">
        <v>9</v>
      </c>
      <c r="B12" s="255">
        <v>45878</v>
      </c>
      <c r="C12" s="75"/>
      <c r="D12" s="171"/>
      <c r="E12" s="303">
        <v>0</v>
      </c>
      <c r="F12" s="303">
        <v>0</v>
      </c>
      <c r="G12" s="8">
        <f t="shared" si="1"/>
        <v>0</v>
      </c>
      <c r="H12" s="73">
        <v>0</v>
      </c>
      <c r="I12" s="74">
        <v>0</v>
      </c>
      <c r="J12" s="8">
        <f t="shared" si="2"/>
        <v>0</v>
      </c>
      <c r="K12" s="8">
        <f t="shared" si="3"/>
        <v>0</v>
      </c>
      <c r="L12" s="76">
        <v>0</v>
      </c>
      <c r="M12" s="76">
        <f t="shared" si="4"/>
        <v>0</v>
      </c>
      <c r="N12" s="8"/>
      <c r="O12" s="77"/>
    </row>
    <row r="13" spans="1:18">
      <c r="A13" s="52">
        <v>10</v>
      </c>
      <c r="B13" s="255">
        <v>45879</v>
      </c>
      <c r="C13" s="75"/>
      <c r="D13" s="171"/>
      <c r="E13" s="303">
        <v>0</v>
      </c>
      <c r="F13" s="303">
        <v>0</v>
      </c>
      <c r="G13" s="8">
        <f t="shared" si="1"/>
        <v>0</v>
      </c>
      <c r="H13" s="73">
        <v>0</v>
      </c>
      <c r="I13" s="74">
        <v>0</v>
      </c>
      <c r="J13" s="8">
        <f t="shared" si="2"/>
        <v>0</v>
      </c>
      <c r="K13" s="8">
        <f t="shared" si="3"/>
        <v>0</v>
      </c>
      <c r="L13" s="76">
        <v>0</v>
      </c>
      <c r="M13" s="76">
        <f t="shared" si="4"/>
        <v>0</v>
      </c>
      <c r="N13" s="8"/>
      <c r="O13" s="77"/>
    </row>
    <row r="14" spans="1:18">
      <c r="A14" s="52">
        <v>11</v>
      </c>
      <c r="B14" s="255">
        <v>45880</v>
      </c>
      <c r="C14" s="75"/>
      <c r="D14" s="171"/>
      <c r="E14" s="303">
        <v>644.71</v>
      </c>
      <c r="F14" s="303">
        <v>97.1</v>
      </c>
      <c r="G14" s="8">
        <f t="shared" si="0"/>
        <v>62601.341</v>
      </c>
      <c r="H14" s="73">
        <v>0</v>
      </c>
      <c r="I14" s="74">
        <v>0</v>
      </c>
      <c r="J14" s="8">
        <f t="shared" ref="J5:J34" si="5">H14*I14</f>
        <v>0</v>
      </c>
      <c r="K14" s="8">
        <f t="shared" ref="K5:K34" si="6">G14+J14</f>
        <v>62601.341</v>
      </c>
      <c r="L14" s="76">
        <v>0</v>
      </c>
      <c r="M14" s="76">
        <f t="shared" si="4"/>
        <v>62601.341</v>
      </c>
      <c r="N14" s="8"/>
      <c r="O14" s="77"/>
    </row>
    <row r="15" spans="1:18">
      <c r="A15" s="52">
        <v>12</v>
      </c>
      <c r="B15" s="255">
        <v>45881</v>
      </c>
      <c r="C15" s="75"/>
      <c r="D15" s="171"/>
      <c r="E15" s="303">
        <v>0</v>
      </c>
      <c r="F15" s="303">
        <v>0</v>
      </c>
      <c r="G15" s="8">
        <f t="shared" si="0"/>
        <v>0</v>
      </c>
      <c r="H15" s="73">
        <v>0</v>
      </c>
      <c r="I15" s="74">
        <v>0</v>
      </c>
      <c r="J15" s="8">
        <f t="shared" si="5"/>
        <v>0</v>
      </c>
      <c r="K15" s="8">
        <f t="shared" si="6"/>
        <v>0</v>
      </c>
      <c r="L15" s="76">
        <v>0</v>
      </c>
      <c r="M15" s="76">
        <f t="shared" si="4"/>
        <v>62601.341</v>
      </c>
      <c r="N15" s="8"/>
      <c r="O15" s="77"/>
    </row>
    <row r="16" spans="1:18">
      <c r="A16" s="52">
        <v>13</v>
      </c>
      <c r="B16" s="255">
        <v>45882</v>
      </c>
      <c r="C16" s="75"/>
      <c r="D16" s="171"/>
      <c r="E16" s="303">
        <v>400</v>
      </c>
      <c r="F16" s="303">
        <v>97.1</v>
      </c>
      <c r="G16" s="8">
        <f t="shared" si="0"/>
        <v>38840</v>
      </c>
      <c r="H16" s="73">
        <v>0</v>
      </c>
      <c r="I16" s="74">
        <v>0</v>
      </c>
      <c r="J16" s="8">
        <f t="shared" si="5"/>
        <v>0</v>
      </c>
      <c r="K16" s="8">
        <f t="shared" si="6"/>
        <v>38840</v>
      </c>
      <c r="L16" s="76">
        <v>0</v>
      </c>
      <c r="M16" s="76">
        <f t="shared" si="4"/>
        <v>101441.341</v>
      </c>
      <c r="N16" s="8"/>
      <c r="O16" s="77"/>
    </row>
    <row r="17" spans="1:17">
      <c r="A17" s="52">
        <v>14</v>
      </c>
      <c r="B17" s="255">
        <v>45883</v>
      </c>
      <c r="C17" s="75"/>
      <c r="D17" s="171"/>
      <c r="E17" s="303">
        <v>0</v>
      </c>
      <c r="F17" s="303">
        <v>0</v>
      </c>
      <c r="G17" s="8">
        <f t="shared" si="0"/>
        <v>0</v>
      </c>
      <c r="H17" s="73">
        <v>0</v>
      </c>
      <c r="I17" s="74">
        <v>0</v>
      </c>
      <c r="J17" s="8">
        <f t="shared" si="5"/>
        <v>0</v>
      </c>
      <c r="K17" s="8">
        <f t="shared" si="6"/>
        <v>0</v>
      </c>
      <c r="L17" s="76">
        <v>0</v>
      </c>
      <c r="M17" s="76">
        <f t="shared" si="4"/>
        <v>101441.341</v>
      </c>
      <c r="N17" s="8"/>
      <c r="O17" s="77"/>
    </row>
    <row r="18" spans="1:17">
      <c r="A18" s="52">
        <v>15</v>
      </c>
      <c r="B18" s="255">
        <v>45884</v>
      </c>
      <c r="C18" s="75"/>
      <c r="D18" s="171"/>
      <c r="E18" s="303">
        <v>0</v>
      </c>
      <c r="F18" s="303">
        <v>0</v>
      </c>
      <c r="G18" s="8">
        <f t="shared" si="0"/>
        <v>0</v>
      </c>
      <c r="H18" s="73">
        <v>0</v>
      </c>
      <c r="I18" s="74">
        <v>0</v>
      </c>
      <c r="J18" s="8">
        <f t="shared" si="5"/>
        <v>0</v>
      </c>
      <c r="K18" s="8">
        <f t="shared" si="6"/>
        <v>0</v>
      </c>
      <c r="L18" s="76">
        <v>0</v>
      </c>
      <c r="M18" s="76">
        <f t="shared" si="4"/>
        <v>101441.341</v>
      </c>
      <c r="N18" s="198"/>
      <c r="O18" s="77"/>
    </row>
    <row r="19" spans="1:17">
      <c r="A19" s="52">
        <v>16</v>
      </c>
      <c r="B19" s="255">
        <v>45885</v>
      </c>
      <c r="C19" s="75"/>
      <c r="D19" s="171"/>
      <c r="E19" s="303">
        <v>0</v>
      </c>
      <c r="F19" s="303">
        <v>0</v>
      </c>
      <c r="G19" s="8">
        <f t="shared" si="0"/>
        <v>0</v>
      </c>
      <c r="H19" s="73">
        <v>0</v>
      </c>
      <c r="I19" s="74">
        <v>0</v>
      </c>
      <c r="J19" s="8">
        <f t="shared" si="5"/>
        <v>0</v>
      </c>
      <c r="K19" s="8">
        <f t="shared" si="6"/>
        <v>0</v>
      </c>
      <c r="L19" s="76">
        <v>0</v>
      </c>
      <c r="M19" s="335">
        <f t="shared" si="4"/>
        <v>101441.341</v>
      </c>
      <c r="N19" s="334"/>
      <c r="O19" s="77"/>
    </row>
    <row r="20" spans="1:17">
      <c r="A20" s="52">
        <v>17</v>
      </c>
      <c r="B20" s="255">
        <v>45886</v>
      </c>
      <c r="C20" s="75"/>
      <c r="D20" s="171"/>
      <c r="E20" s="303">
        <v>335.45</v>
      </c>
      <c r="F20" s="303">
        <v>97.1</v>
      </c>
      <c r="G20" s="8">
        <f t="shared" si="0"/>
        <v>32572.194999999996</v>
      </c>
      <c r="H20" s="73">
        <v>0</v>
      </c>
      <c r="I20" s="74">
        <v>0</v>
      </c>
      <c r="J20" s="8">
        <f t="shared" si="5"/>
        <v>0</v>
      </c>
      <c r="K20" s="8">
        <f t="shared" si="6"/>
        <v>32572.194999999996</v>
      </c>
      <c r="L20" s="76">
        <v>0</v>
      </c>
      <c r="M20" s="76">
        <f t="shared" si="4"/>
        <v>134013.53599999999</v>
      </c>
      <c r="N20" s="21"/>
      <c r="O20" s="77"/>
    </row>
    <row r="21" spans="1:17">
      <c r="A21" s="52">
        <v>18</v>
      </c>
      <c r="B21" s="255">
        <v>45887</v>
      </c>
      <c r="C21" s="75"/>
      <c r="D21" s="171"/>
      <c r="E21" s="303">
        <v>0</v>
      </c>
      <c r="F21" s="303">
        <v>0</v>
      </c>
      <c r="G21" s="8">
        <f t="shared" si="0"/>
        <v>0</v>
      </c>
      <c r="H21" s="73">
        <v>0</v>
      </c>
      <c r="I21" s="74">
        <v>0</v>
      </c>
      <c r="J21" s="8">
        <f t="shared" si="5"/>
        <v>0</v>
      </c>
      <c r="K21" s="8">
        <f t="shared" si="6"/>
        <v>0</v>
      </c>
      <c r="L21" s="76">
        <v>0</v>
      </c>
      <c r="M21" s="76">
        <f t="shared" si="4"/>
        <v>134013.53599999999</v>
      </c>
      <c r="N21" s="8"/>
      <c r="O21" s="77"/>
    </row>
    <row r="22" spans="1:17">
      <c r="A22" s="52">
        <v>19</v>
      </c>
      <c r="B22" s="255">
        <v>45888</v>
      </c>
      <c r="C22" s="75"/>
      <c r="D22" s="171"/>
      <c r="E22" s="303">
        <v>0</v>
      </c>
      <c r="F22" s="303">
        <v>0</v>
      </c>
      <c r="G22" s="8">
        <f t="shared" si="0"/>
        <v>0</v>
      </c>
      <c r="H22" s="73">
        <v>0</v>
      </c>
      <c r="I22" s="74">
        <v>0</v>
      </c>
      <c r="J22" s="8">
        <f t="shared" si="5"/>
        <v>0</v>
      </c>
      <c r="K22" s="8">
        <f t="shared" si="6"/>
        <v>0</v>
      </c>
      <c r="L22" s="76">
        <v>0</v>
      </c>
      <c r="M22" s="76">
        <f t="shared" si="4"/>
        <v>134013.53599999999</v>
      </c>
      <c r="N22" s="8"/>
      <c r="O22" s="77"/>
      <c r="Q22" s="24"/>
    </row>
    <row r="23" spans="1:17">
      <c r="A23" s="52">
        <v>20</v>
      </c>
      <c r="B23" s="255">
        <v>45889</v>
      </c>
      <c r="C23" s="75"/>
      <c r="D23" s="171"/>
      <c r="E23" s="303">
        <v>0</v>
      </c>
      <c r="F23" s="303">
        <v>0</v>
      </c>
      <c r="G23" s="8">
        <f t="shared" si="0"/>
        <v>0</v>
      </c>
      <c r="H23" s="73">
        <v>0</v>
      </c>
      <c r="I23" s="74">
        <v>0</v>
      </c>
      <c r="J23" s="8">
        <f t="shared" si="5"/>
        <v>0</v>
      </c>
      <c r="K23" s="8">
        <f t="shared" si="6"/>
        <v>0</v>
      </c>
      <c r="L23" s="76">
        <v>0</v>
      </c>
      <c r="M23" s="76">
        <f t="shared" si="4"/>
        <v>134013.53599999999</v>
      </c>
      <c r="N23" s="8"/>
      <c r="O23" s="77"/>
    </row>
    <row r="24" spans="1:17">
      <c r="A24" s="52">
        <v>21</v>
      </c>
      <c r="B24" s="255">
        <v>45890</v>
      </c>
      <c r="C24" s="75"/>
      <c r="D24" s="171"/>
      <c r="E24" s="303">
        <v>0</v>
      </c>
      <c r="F24" s="303">
        <v>0</v>
      </c>
      <c r="G24" s="8">
        <f t="shared" si="0"/>
        <v>0</v>
      </c>
      <c r="H24" s="73">
        <v>0</v>
      </c>
      <c r="I24" s="74">
        <v>0</v>
      </c>
      <c r="J24" s="8">
        <f t="shared" si="5"/>
        <v>0</v>
      </c>
      <c r="K24" s="8">
        <f t="shared" si="6"/>
        <v>0</v>
      </c>
      <c r="L24" s="76">
        <v>0</v>
      </c>
      <c r="M24" s="76">
        <f t="shared" si="4"/>
        <v>134013.53599999999</v>
      </c>
      <c r="N24" s="8"/>
      <c r="O24" s="77"/>
    </row>
    <row r="25" spans="1:17">
      <c r="A25" s="52">
        <v>22</v>
      </c>
      <c r="B25" s="255">
        <v>45891</v>
      </c>
      <c r="C25" s="75"/>
      <c r="D25" s="171"/>
      <c r="E25" s="303">
        <v>0</v>
      </c>
      <c r="F25" s="303">
        <v>0</v>
      </c>
      <c r="G25" s="8">
        <f t="shared" si="0"/>
        <v>0</v>
      </c>
      <c r="H25" s="73">
        <v>0</v>
      </c>
      <c r="I25" s="74">
        <v>0</v>
      </c>
      <c r="J25" s="8">
        <f t="shared" si="5"/>
        <v>0</v>
      </c>
      <c r="K25" s="8">
        <f t="shared" si="6"/>
        <v>0</v>
      </c>
      <c r="L25" s="76">
        <v>0</v>
      </c>
      <c r="M25" s="76">
        <f t="shared" si="4"/>
        <v>134013.53599999999</v>
      </c>
      <c r="N25" s="8"/>
      <c r="O25" s="77"/>
    </row>
    <row r="26" spans="1:17">
      <c r="A26" s="52">
        <v>23</v>
      </c>
      <c r="B26" s="255">
        <v>45892</v>
      </c>
      <c r="C26" s="75"/>
      <c r="D26" s="171"/>
      <c r="E26" s="303">
        <v>0</v>
      </c>
      <c r="F26" s="303">
        <v>0</v>
      </c>
      <c r="G26" s="8">
        <f t="shared" si="0"/>
        <v>0</v>
      </c>
      <c r="H26" s="73">
        <v>0</v>
      </c>
      <c r="I26" s="74">
        <v>0</v>
      </c>
      <c r="J26" s="8">
        <f t="shared" si="5"/>
        <v>0</v>
      </c>
      <c r="K26" s="8">
        <f t="shared" si="6"/>
        <v>0</v>
      </c>
      <c r="L26" s="76">
        <v>0</v>
      </c>
      <c r="M26" s="76">
        <f t="shared" si="4"/>
        <v>134013.53599999999</v>
      </c>
      <c r="N26" s="8"/>
      <c r="O26" s="77"/>
    </row>
    <row r="27" spans="1:17">
      <c r="A27" s="52">
        <v>24</v>
      </c>
      <c r="B27" s="255">
        <v>45893</v>
      </c>
      <c r="C27" s="75"/>
      <c r="D27" s="171"/>
      <c r="E27" s="303">
        <v>0</v>
      </c>
      <c r="F27" s="303">
        <v>0</v>
      </c>
      <c r="G27" s="8">
        <f t="shared" si="0"/>
        <v>0</v>
      </c>
      <c r="H27" s="73">
        <v>0</v>
      </c>
      <c r="I27" s="74">
        <v>0</v>
      </c>
      <c r="J27" s="8">
        <f t="shared" si="5"/>
        <v>0</v>
      </c>
      <c r="K27" s="8">
        <f t="shared" si="6"/>
        <v>0</v>
      </c>
      <c r="L27" s="76">
        <v>0</v>
      </c>
      <c r="M27" s="76">
        <f t="shared" si="4"/>
        <v>134013.53599999999</v>
      </c>
      <c r="N27" s="8"/>
      <c r="O27" s="77"/>
    </row>
    <row r="28" spans="1:17">
      <c r="A28" s="257">
        <v>25</v>
      </c>
      <c r="B28" s="255">
        <v>45894</v>
      </c>
      <c r="C28" s="75"/>
      <c r="D28" s="171"/>
      <c r="E28" s="303">
        <v>0</v>
      </c>
      <c r="F28" s="303">
        <v>0</v>
      </c>
      <c r="G28" s="8">
        <f t="shared" si="0"/>
        <v>0</v>
      </c>
      <c r="H28" s="73">
        <v>0</v>
      </c>
      <c r="I28" s="74">
        <v>0</v>
      </c>
      <c r="J28" s="8">
        <f t="shared" si="5"/>
        <v>0</v>
      </c>
      <c r="K28" s="8">
        <f t="shared" si="6"/>
        <v>0</v>
      </c>
      <c r="L28" s="76">
        <v>0</v>
      </c>
      <c r="M28" s="76">
        <f t="shared" si="4"/>
        <v>134013.53599999999</v>
      </c>
      <c r="N28" s="8"/>
      <c r="O28" s="77"/>
    </row>
    <row r="29" spans="1:17">
      <c r="A29" s="257">
        <v>26</v>
      </c>
      <c r="B29" s="255">
        <v>45895</v>
      </c>
      <c r="C29" s="75"/>
      <c r="D29" s="171"/>
      <c r="E29" s="303">
        <v>0</v>
      </c>
      <c r="F29" s="303">
        <v>0</v>
      </c>
      <c r="G29" s="8">
        <f t="shared" si="0"/>
        <v>0</v>
      </c>
      <c r="H29" s="73">
        <v>0</v>
      </c>
      <c r="I29" s="74">
        <v>0</v>
      </c>
      <c r="J29" s="8">
        <f t="shared" si="5"/>
        <v>0</v>
      </c>
      <c r="K29" s="8">
        <f t="shared" si="6"/>
        <v>0</v>
      </c>
      <c r="L29" s="76">
        <v>0</v>
      </c>
      <c r="M29" s="76">
        <f t="shared" si="4"/>
        <v>134013.53599999999</v>
      </c>
      <c r="N29" s="8"/>
      <c r="O29" s="77"/>
    </row>
    <row r="30" spans="1:17">
      <c r="A30" s="257">
        <v>27</v>
      </c>
      <c r="B30" s="255">
        <v>45896</v>
      </c>
      <c r="C30" s="75"/>
      <c r="D30" s="171"/>
      <c r="E30" s="303">
        <v>0</v>
      </c>
      <c r="F30" s="303">
        <v>0</v>
      </c>
      <c r="G30" s="8">
        <f t="shared" si="0"/>
        <v>0</v>
      </c>
      <c r="H30" s="73">
        <v>0</v>
      </c>
      <c r="I30" s="74">
        <v>0</v>
      </c>
      <c r="J30" s="8">
        <f t="shared" si="5"/>
        <v>0</v>
      </c>
      <c r="K30" s="8">
        <f t="shared" si="6"/>
        <v>0</v>
      </c>
      <c r="L30" s="76">
        <v>0</v>
      </c>
      <c r="M30" s="76">
        <f t="shared" si="4"/>
        <v>134013.53599999999</v>
      </c>
      <c r="N30" s="8"/>
      <c r="O30" s="77"/>
    </row>
    <row r="31" spans="1:17">
      <c r="A31" s="257">
        <v>28</v>
      </c>
      <c r="B31" s="255">
        <v>45897</v>
      </c>
      <c r="C31" s="75"/>
      <c r="D31" s="171"/>
      <c r="E31" s="303">
        <v>0</v>
      </c>
      <c r="F31" s="303">
        <v>0</v>
      </c>
      <c r="G31" s="8">
        <f t="shared" si="0"/>
        <v>0</v>
      </c>
      <c r="H31" s="73">
        <v>0</v>
      </c>
      <c r="I31" s="74">
        <v>0</v>
      </c>
      <c r="J31" s="8">
        <f t="shared" si="5"/>
        <v>0</v>
      </c>
      <c r="K31" s="8">
        <f t="shared" si="6"/>
        <v>0</v>
      </c>
      <c r="L31" s="76">
        <v>0</v>
      </c>
      <c r="M31" s="76">
        <f t="shared" si="4"/>
        <v>134013.53599999999</v>
      </c>
      <c r="N31" s="8"/>
      <c r="O31" s="77"/>
    </row>
    <row r="32" spans="1:17">
      <c r="A32" s="258">
        <v>29</v>
      </c>
      <c r="B32" s="255">
        <v>45898</v>
      </c>
      <c r="C32" s="75"/>
      <c r="D32" s="171"/>
      <c r="E32" s="303">
        <v>0</v>
      </c>
      <c r="F32" s="303">
        <v>0</v>
      </c>
      <c r="G32" s="8">
        <f t="shared" si="0"/>
        <v>0</v>
      </c>
      <c r="H32" s="73">
        <v>0</v>
      </c>
      <c r="I32" s="74">
        <v>0</v>
      </c>
      <c r="J32" s="8">
        <f t="shared" si="5"/>
        <v>0</v>
      </c>
      <c r="K32" s="8">
        <f t="shared" si="6"/>
        <v>0</v>
      </c>
      <c r="L32" s="76">
        <v>0</v>
      </c>
      <c r="M32" s="76">
        <f t="shared" si="4"/>
        <v>134013.53599999999</v>
      </c>
      <c r="N32" s="8"/>
      <c r="O32" s="77"/>
    </row>
    <row r="33" spans="1:15">
      <c r="A33" s="258">
        <v>30</v>
      </c>
      <c r="B33" s="255">
        <v>45899</v>
      </c>
      <c r="C33" s="75"/>
      <c r="D33" s="171"/>
      <c r="E33" s="303">
        <v>0</v>
      </c>
      <c r="F33" s="303">
        <v>0</v>
      </c>
      <c r="G33" s="8">
        <f t="shared" si="0"/>
        <v>0</v>
      </c>
      <c r="H33" s="73">
        <v>0</v>
      </c>
      <c r="I33" s="74">
        <v>0</v>
      </c>
      <c r="J33" s="8">
        <f t="shared" si="5"/>
        <v>0</v>
      </c>
      <c r="K33" s="8">
        <f t="shared" si="6"/>
        <v>0</v>
      </c>
      <c r="L33" s="76">
        <v>0</v>
      </c>
      <c r="M33" s="76">
        <f t="shared" si="4"/>
        <v>134013.53599999999</v>
      </c>
      <c r="N33" s="8"/>
      <c r="O33" s="77"/>
    </row>
    <row r="34" spans="1:15">
      <c r="A34" s="258">
        <v>31</v>
      </c>
      <c r="B34" s="255">
        <v>45900</v>
      </c>
      <c r="C34" s="75"/>
      <c r="D34" s="171"/>
      <c r="E34" s="303">
        <v>0</v>
      </c>
      <c r="F34" s="303">
        <v>0</v>
      </c>
      <c r="G34" s="8">
        <f t="shared" si="0"/>
        <v>0</v>
      </c>
      <c r="H34" s="73">
        <v>0</v>
      </c>
      <c r="I34" s="74">
        <v>0</v>
      </c>
      <c r="J34" s="8">
        <f t="shared" si="5"/>
        <v>0</v>
      </c>
      <c r="K34" s="8">
        <f t="shared" si="6"/>
        <v>0</v>
      </c>
      <c r="L34" s="76">
        <v>0</v>
      </c>
      <c r="M34" s="76">
        <f t="shared" si="4"/>
        <v>134013.53599999999</v>
      </c>
      <c r="N34" s="8"/>
      <c r="O34" s="77"/>
    </row>
    <row r="35" spans="1:15">
      <c r="A35" s="70"/>
      <c r="B35" s="70"/>
      <c r="C35" s="70"/>
      <c r="D35" s="70"/>
      <c r="E35" s="304">
        <f>SUM(E4:E34)</f>
        <v>1380.16</v>
      </c>
      <c r="F35" s="304"/>
      <c r="G35" s="71">
        <f>SUM(G4:G34)</f>
        <v>134013.53599999999</v>
      </c>
      <c r="H35" s="71">
        <f>SUM(H4:H34)</f>
        <v>0</v>
      </c>
      <c r="I35" s="71"/>
      <c r="J35" s="71">
        <f>SUM(J4:J34)</f>
        <v>0</v>
      </c>
      <c r="K35" s="71">
        <f>SUM(K4:K34)</f>
        <v>134013.53599999999</v>
      </c>
      <c r="L35" s="71">
        <f>SUM(L4:L34)</f>
        <v>0</v>
      </c>
      <c r="M35" s="71"/>
      <c r="N35" s="71"/>
      <c r="O35" s="67"/>
    </row>
    <row r="36" spans="1:15">
      <c r="A36" s="81"/>
      <c r="B36" s="82"/>
      <c r="C36" s="81"/>
      <c r="D36" s="81"/>
      <c r="E36" s="83"/>
      <c r="F36" s="83"/>
      <c r="G36" s="83"/>
      <c r="H36" s="83"/>
      <c r="I36" s="83"/>
      <c r="J36" s="84"/>
      <c r="K36" s="84"/>
      <c r="L36" s="84"/>
      <c r="M36" s="84"/>
      <c r="N36" s="83"/>
      <c r="O36" s="77"/>
    </row>
    <row r="37" spans="1:15">
      <c r="O37" s="77"/>
    </row>
    <row r="38" spans="1:15">
      <c r="O38" s="77"/>
    </row>
    <row r="39" spans="1:15">
      <c r="O39" s="77"/>
    </row>
    <row r="40" spans="1:15">
      <c r="O40" s="77"/>
    </row>
    <row r="41" spans="1:15">
      <c r="O41" s="77"/>
    </row>
    <row r="42" spans="1:15">
      <c r="A42" s="77"/>
      <c r="B42" s="67"/>
      <c r="C42" s="77"/>
      <c r="D42" s="77"/>
      <c r="E42" s="77"/>
      <c r="F42" s="77"/>
      <c r="G42" s="85"/>
      <c r="H42" s="77"/>
      <c r="I42" s="77"/>
      <c r="J42" s="67"/>
      <c r="K42" s="67"/>
      <c r="L42" s="67"/>
      <c r="M42" s="67"/>
      <c r="N42" s="77"/>
      <c r="O42" s="83"/>
    </row>
    <row r="43" spans="1:15">
      <c r="A43" s="77"/>
      <c r="B43" s="420"/>
      <c r="C43" s="420"/>
      <c r="D43" s="420"/>
      <c r="E43" s="420"/>
      <c r="F43" s="77"/>
      <c r="G43" s="77"/>
      <c r="H43" s="77"/>
      <c r="I43" s="420"/>
      <c r="J43" s="420"/>
      <c r="K43" s="420"/>
      <c r="L43" s="420"/>
      <c r="M43" s="420"/>
      <c r="N43" s="420"/>
      <c r="O43" s="83"/>
    </row>
    <row r="44" spans="1:15">
      <c r="A44" s="77"/>
      <c r="B44" s="67"/>
      <c r="C44" s="77"/>
      <c r="D44" s="77"/>
      <c r="E44" s="77"/>
      <c r="F44" s="77"/>
      <c r="G44" s="77"/>
      <c r="H44" s="77"/>
      <c r="I44" s="77"/>
      <c r="J44" s="67"/>
      <c r="K44" s="67"/>
      <c r="L44" s="67"/>
      <c r="M44" s="67"/>
      <c r="N44" s="77"/>
      <c r="O44" s="83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44"/>
  <sheetViews>
    <sheetView workbookViewId="0">
      <selection activeCell="N39" sqref="N39"/>
    </sheetView>
  </sheetViews>
  <sheetFormatPr defaultColWidth="18.28515625" defaultRowHeight="15"/>
  <cols>
    <col min="1" max="1" width="13.42578125" customWidth="1"/>
    <col min="3" max="3" width="12" customWidth="1"/>
    <col min="4" max="4" width="10.85546875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418" t="s">
        <v>28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91"/>
    </row>
    <row r="2" spans="1:18" ht="30.75">
      <c r="A2" s="107" t="s">
        <v>94</v>
      </c>
      <c r="B2" s="108" t="s">
        <v>95</v>
      </c>
      <c r="C2" s="108" t="s">
        <v>96</v>
      </c>
      <c r="D2" s="108" t="s">
        <v>111</v>
      </c>
      <c r="E2" s="302" t="s">
        <v>98</v>
      </c>
      <c r="F2" s="302" t="s">
        <v>99</v>
      </c>
      <c r="G2" s="108" t="s">
        <v>100</v>
      </c>
      <c r="H2" s="108" t="s">
        <v>101</v>
      </c>
      <c r="I2" s="108" t="s">
        <v>99</v>
      </c>
      <c r="J2" s="148" t="s">
        <v>100</v>
      </c>
      <c r="K2" s="109" t="s">
        <v>102</v>
      </c>
      <c r="L2" s="149" t="s">
        <v>103</v>
      </c>
      <c r="M2" s="154" t="s">
        <v>110</v>
      </c>
      <c r="N2" s="110" t="s">
        <v>105</v>
      </c>
      <c r="O2" s="67"/>
    </row>
    <row r="3" spans="1:18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9"/>
      <c r="M3" s="159">
        <v>0</v>
      </c>
      <c r="N3" s="168"/>
      <c r="O3" s="67"/>
    </row>
    <row r="4" spans="1:18">
      <c r="A4" s="221">
        <v>1</v>
      </c>
      <c r="B4" s="255">
        <v>45870</v>
      </c>
      <c r="C4" s="75"/>
      <c r="D4" s="171"/>
      <c r="E4" s="303">
        <v>0</v>
      </c>
      <c r="F4" s="303">
        <v>0</v>
      </c>
      <c r="G4" s="8">
        <f t="shared" ref="G4:G34" si="0">E4*F4</f>
        <v>0</v>
      </c>
      <c r="H4" s="73">
        <v>0</v>
      </c>
      <c r="I4" s="74">
        <v>0</v>
      </c>
      <c r="J4" s="8">
        <f>H4*I4</f>
        <v>0</v>
      </c>
      <c r="K4" s="8">
        <f>G4+J4</f>
        <v>0</v>
      </c>
      <c r="L4" s="76">
        <v>0</v>
      </c>
      <c r="M4" s="76">
        <f>+M3+K4-L4</f>
        <v>0</v>
      </c>
      <c r="N4" s="8"/>
    </row>
    <row r="5" spans="1:18">
      <c r="A5" s="52">
        <v>2</v>
      </c>
      <c r="B5" s="255">
        <v>45871</v>
      </c>
      <c r="C5" s="75"/>
      <c r="D5" s="171"/>
      <c r="E5" s="303">
        <v>0</v>
      </c>
      <c r="F5" s="303">
        <v>0</v>
      </c>
      <c r="G5" s="8">
        <f t="shared" si="0"/>
        <v>0</v>
      </c>
      <c r="H5" s="73">
        <v>0</v>
      </c>
      <c r="I5" s="74">
        <v>0</v>
      </c>
      <c r="J5" s="8">
        <f t="shared" ref="J5:J34" si="1">H5*I5</f>
        <v>0</v>
      </c>
      <c r="K5" s="8">
        <f t="shared" ref="K5:L34" si="2">G5+J5</f>
        <v>0</v>
      </c>
      <c r="L5" s="76">
        <v>0</v>
      </c>
      <c r="M5" s="76">
        <f t="shared" ref="M5:M34" si="3">+M4+K5-L5</f>
        <v>0</v>
      </c>
      <c r="N5" s="8"/>
    </row>
    <row r="6" spans="1:18">
      <c r="A6" s="52">
        <v>3</v>
      </c>
      <c r="B6" s="255">
        <v>45872</v>
      </c>
      <c r="C6" s="75"/>
      <c r="D6" s="171"/>
      <c r="E6" s="113">
        <v>46.14</v>
      </c>
      <c r="F6" s="382">
        <v>97.38</v>
      </c>
      <c r="G6" s="8">
        <f t="shared" si="0"/>
        <v>4493.1131999999998</v>
      </c>
      <c r="H6" s="73">
        <v>0</v>
      </c>
      <c r="I6" s="74">
        <v>0</v>
      </c>
      <c r="J6" s="8">
        <f t="shared" si="1"/>
        <v>0</v>
      </c>
      <c r="K6" s="8">
        <f t="shared" si="2"/>
        <v>4493.1131999999998</v>
      </c>
      <c r="L6" s="76">
        <v>4493.1131999999998</v>
      </c>
      <c r="M6" s="76">
        <f t="shared" si="3"/>
        <v>0</v>
      </c>
      <c r="N6" s="8"/>
    </row>
    <row r="7" spans="1:18">
      <c r="A7" s="52">
        <v>4</v>
      </c>
      <c r="B7" s="255">
        <v>45873</v>
      </c>
      <c r="C7" s="75"/>
      <c r="D7" s="171"/>
      <c r="E7" s="303">
        <v>0</v>
      </c>
      <c r="F7" s="303">
        <v>0</v>
      </c>
      <c r="G7" s="8">
        <f t="shared" si="0"/>
        <v>0</v>
      </c>
      <c r="H7" s="73">
        <v>0</v>
      </c>
      <c r="I7" s="74">
        <v>0</v>
      </c>
      <c r="J7" s="8">
        <f t="shared" si="1"/>
        <v>0</v>
      </c>
      <c r="K7" s="8">
        <f t="shared" si="2"/>
        <v>0</v>
      </c>
      <c r="L7" s="76">
        <v>0</v>
      </c>
      <c r="M7" s="76">
        <f t="shared" si="3"/>
        <v>0</v>
      </c>
      <c r="N7" s="8"/>
    </row>
    <row r="8" spans="1:18">
      <c r="A8" s="52">
        <v>5</v>
      </c>
      <c r="B8" s="255">
        <v>45874</v>
      </c>
      <c r="C8" s="75"/>
      <c r="D8" s="171"/>
      <c r="E8" s="303">
        <v>46.04</v>
      </c>
      <c r="F8" s="303">
        <v>97.38</v>
      </c>
      <c r="G8" s="8">
        <f t="shared" si="0"/>
        <v>4483.3751999999995</v>
      </c>
      <c r="H8" s="73">
        <v>0</v>
      </c>
      <c r="I8" s="74">
        <v>0</v>
      </c>
      <c r="J8" s="8">
        <f t="shared" si="1"/>
        <v>0</v>
      </c>
      <c r="K8" s="8">
        <f t="shared" si="2"/>
        <v>4483.3751999999995</v>
      </c>
      <c r="L8" s="76">
        <v>4483.3751999999995</v>
      </c>
      <c r="M8" s="76">
        <f t="shared" si="3"/>
        <v>0</v>
      </c>
      <c r="N8" s="8"/>
      <c r="O8" s="77"/>
      <c r="R8" s="264"/>
    </row>
    <row r="9" spans="1:18">
      <c r="A9" s="52">
        <v>6</v>
      </c>
      <c r="B9" s="255">
        <v>45875</v>
      </c>
      <c r="C9" s="75"/>
      <c r="D9" s="171"/>
      <c r="E9" s="303">
        <v>0</v>
      </c>
      <c r="F9" s="303">
        <v>0</v>
      </c>
      <c r="G9" s="8">
        <f t="shared" si="0"/>
        <v>0</v>
      </c>
      <c r="H9" s="386">
        <v>20</v>
      </c>
      <c r="I9" s="382">
        <v>109.55</v>
      </c>
      <c r="J9" s="8">
        <f t="shared" si="1"/>
        <v>2191</v>
      </c>
      <c r="K9" s="8">
        <f t="shared" si="2"/>
        <v>2191</v>
      </c>
      <c r="L9" s="76">
        <v>2191</v>
      </c>
      <c r="M9" s="76">
        <f t="shared" si="3"/>
        <v>0</v>
      </c>
      <c r="N9" s="8"/>
      <c r="O9" s="77"/>
    </row>
    <row r="10" spans="1:18">
      <c r="A10" s="52">
        <v>7</v>
      </c>
      <c r="B10" s="255">
        <v>45876</v>
      </c>
      <c r="C10" s="75"/>
      <c r="D10" s="171"/>
      <c r="E10" s="303">
        <v>0</v>
      </c>
      <c r="F10" s="303">
        <v>0</v>
      </c>
      <c r="G10" s="8">
        <f t="shared" si="0"/>
        <v>0</v>
      </c>
      <c r="H10" s="73">
        <v>0</v>
      </c>
      <c r="I10" s="74">
        <v>0</v>
      </c>
      <c r="J10" s="8">
        <f t="shared" si="1"/>
        <v>0</v>
      </c>
      <c r="K10" s="8">
        <f t="shared" si="2"/>
        <v>0</v>
      </c>
      <c r="L10" s="76">
        <v>0</v>
      </c>
      <c r="M10" s="76">
        <f t="shared" si="3"/>
        <v>0</v>
      </c>
      <c r="N10" s="8"/>
      <c r="O10" s="77"/>
    </row>
    <row r="11" spans="1:18">
      <c r="A11" s="52">
        <v>8</v>
      </c>
      <c r="B11" s="255">
        <v>45877</v>
      </c>
      <c r="C11" s="75"/>
      <c r="D11" s="171"/>
      <c r="E11" s="303">
        <v>0</v>
      </c>
      <c r="F11" s="303">
        <v>0</v>
      </c>
      <c r="G11" s="8">
        <f t="shared" ref="G11:G22" si="4">E11*F11</f>
        <v>0</v>
      </c>
      <c r="H11" s="73">
        <v>0</v>
      </c>
      <c r="I11" s="74">
        <v>0</v>
      </c>
      <c r="J11" s="8">
        <f t="shared" ref="J11:J22" si="5">H11*I11</f>
        <v>0</v>
      </c>
      <c r="K11" s="8">
        <f t="shared" si="2"/>
        <v>0</v>
      </c>
      <c r="L11" s="76">
        <v>0</v>
      </c>
      <c r="M11" s="76">
        <f t="shared" si="3"/>
        <v>0</v>
      </c>
      <c r="N11" s="8"/>
      <c r="O11" s="77"/>
    </row>
    <row r="12" spans="1:18">
      <c r="A12" s="52">
        <v>9</v>
      </c>
      <c r="B12" s="255">
        <v>45878</v>
      </c>
      <c r="C12" s="75"/>
      <c r="D12" s="171"/>
      <c r="E12" s="303">
        <v>0</v>
      </c>
      <c r="F12" s="303">
        <v>0</v>
      </c>
      <c r="G12" s="8">
        <f t="shared" si="4"/>
        <v>0</v>
      </c>
      <c r="H12" s="73">
        <v>0</v>
      </c>
      <c r="I12" s="74">
        <v>0</v>
      </c>
      <c r="J12" s="8">
        <f t="shared" si="5"/>
        <v>0</v>
      </c>
      <c r="K12" s="8">
        <f t="shared" si="2"/>
        <v>0</v>
      </c>
      <c r="L12" s="76">
        <v>0</v>
      </c>
      <c r="M12" s="76">
        <f t="shared" si="3"/>
        <v>0</v>
      </c>
      <c r="N12" s="8"/>
      <c r="O12" s="77"/>
    </row>
    <row r="13" spans="1:18">
      <c r="A13" s="52">
        <v>10</v>
      </c>
      <c r="B13" s="255">
        <v>45879</v>
      </c>
      <c r="C13" s="75"/>
      <c r="D13" s="171"/>
      <c r="E13" s="303">
        <v>0</v>
      </c>
      <c r="F13" s="303">
        <v>0</v>
      </c>
      <c r="G13" s="8">
        <f t="shared" si="4"/>
        <v>0</v>
      </c>
      <c r="H13" s="73">
        <v>15</v>
      </c>
      <c r="I13" s="74">
        <v>109.55</v>
      </c>
      <c r="J13" s="8">
        <f t="shared" si="5"/>
        <v>1643.25</v>
      </c>
      <c r="K13" s="8">
        <f t="shared" si="2"/>
        <v>1643.25</v>
      </c>
      <c r="L13" s="76">
        <v>1643.25</v>
      </c>
      <c r="M13" s="76">
        <f t="shared" si="3"/>
        <v>0</v>
      </c>
      <c r="N13" s="8"/>
      <c r="O13" s="77"/>
    </row>
    <row r="14" spans="1:18">
      <c r="A14" s="52">
        <v>11</v>
      </c>
      <c r="B14" s="255">
        <v>45880</v>
      </c>
      <c r="C14" s="75"/>
      <c r="D14" s="171"/>
      <c r="E14" s="303">
        <v>42.91</v>
      </c>
      <c r="F14" s="303">
        <v>97.38</v>
      </c>
      <c r="G14" s="8">
        <f t="shared" si="4"/>
        <v>4178.5757999999996</v>
      </c>
      <c r="H14" s="73">
        <v>0</v>
      </c>
      <c r="I14" s="74">
        <v>0</v>
      </c>
      <c r="J14" s="8">
        <f t="shared" si="5"/>
        <v>0</v>
      </c>
      <c r="K14" s="8">
        <f t="shared" si="2"/>
        <v>4178.5757999999996</v>
      </c>
      <c r="L14" s="76">
        <v>4178.5757999999996</v>
      </c>
      <c r="M14" s="76">
        <f t="shared" si="3"/>
        <v>0</v>
      </c>
      <c r="N14" s="8"/>
      <c r="O14" s="77"/>
    </row>
    <row r="15" spans="1:18">
      <c r="A15" s="52">
        <v>12</v>
      </c>
      <c r="B15" s="255">
        <v>45881</v>
      </c>
      <c r="C15" s="75"/>
      <c r="D15" s="171"/>
      <c r="E15" s="303">
        <v>0</v>
      </c>
      <c r="F15" s="303">
        <v>0</v>
      </c>
      <c r="G15" s="8">
        <f t="shared" si="4"/>
        <v>0</v>
      </c>
      <c r="H15" s="73">
        <v>0</v>
      </c>
      <c r="I15" s="74">
        <v>0</v>
      </c>
      <c r="J15" s="8">
        <f t="shared" si="5"/>
        <v>0</v>
      </c>
      <c r="K15" s="8">
        <f t="shared" si="2"/>
        <v>0</v>
      </c>
      <c r="L15" s="76">
        <v>0</v>
      </c>
      <c r="M15" s="76">
        <f t="shared" si="3"/>
        <v>0</v>
      </c>
      <c r="N15" s="8"/>
      <c r="O15" s="77"/>
    </row>
    <row r="16" spans="1:18">
      <c r="A16" s="52">
        <v>13</v>
      </c>
      <c r="B16" s="255">
        <v>45882</v>
      </c>
      <c r="C16" s="75"/>
      <c r="D16" s="171"/>
      <c r="E16" s="303">
        <v>0</v>
      </c>
      <c r="F16" s="303">
        <v>0</v>
      </c>
      <c r="G16" s="8">
        <f t="shared" si="4"/>
        <v>0</v>
      </c>
      <c r="H16" s="73">
        <v>0</v>
      </c>
      <c r="I16" s="74">
        <v>0</v>
      </c>
      <c r="J16" s="8">
        <f t="shared" si="5"/>
        <v>0</v>
      </c>
      <c r="K16" s="8">
        <f t="shared" si="2"/>
        <v>0</v>
      </c>
      <c r="L16" s="76">
        <v>0</v>
      </c>
      <c r="M16" s="76">
        <f t="shared" si="3"/>
        <v>0</v>
      </c>
      <c r="N16" s="8"/>
      <c r="O16" s="77"/>
    </row>
    <row r="17" spans="1:17">
      <c r="A17" s="52">
        <v>14</v>
      </c>
      <c r="B17" s="255">
        <v>45883</v>
      </c>
      <c r="C17" s="75"/>
      <c r="D17" s="171"/>
      <c r="E17" s="303">
        <v>0</v>
      </c>
      <c r="F17" s="303">
        <v>0</v>
      </c>
      <c r="G17" s="8">
        <f t="shared" si="4"/>
        <v>0</v>
      </c>
      <c r="H17" s="73">
        <v>0</v>
      </c>
      <c r="I17" s="74">
        <v>0</v>
      </c>
      <c r="J17" s="8">
        <f t="shared" si="5"/>
        <v>0</v>
      </c>
      <c r="K17" s="8">
        <f t="shared" si="2"/>
        <v>0</v>
      </c>
      <c r="L17" s="76">
        <v>0</v>
      </c>
      <c r="M17" s="76">
        <f t="shared" si="3"/>
        <v>0</v>
      </c>
      <c r="N17" s="8"/>
      <c r="O17" s="77"/>
    </row>
    <row r="18" spans="1:17">
      <c r="A18" s="52">
        <v>15</v>
      </c>
      <c r="B18" s="255">
        <v>45884</v>
      </c>
      <c r="C18" s="75"/>
      <c r="D18" s="171"/>
      <c r="E18" s="303">
        <v>0</v>
      </c>
      <c r="F18" s="303">
        <v>0</v>
      </c>
      <c r="G18" s="8">
        <f t="shared" si="4"/>
        <v>0</v>
      </c>
      <c r="H18" s="73">
        <v>0</v>
      </c>
      <c r="I18" s="74">
        <v>0</v>
      </c>
      <c r="J18" s="8">
        <f t="shared" si="5"/>
        <v>0</v>
      </c>
      <c r="K18" s="8">
        <f t="shared" si="2"/>
        <v>0</v>
      </c>
      <c r="L18" s="76">
        <v>0</v>
      </c>
      <c r="M18" s="76">
        <f t="shared" si="3"/>
        <v>0</v>
      </c>
      <c r="N18" s="198"/>
      <c r="O18" s="77"/>
    </row>
    <row r="19" spans="1:17">
      <c r="A19" s="52">
        <v>16</v>
      </c>
      <c r="B19" s="255">
        <v>45885</v>
      </c>
      <c r="C19" s="75"/>
      <c r="D19" s="171"/>
      <c r="E19" s="303">
        <v>0</v>
      </c>
      <c r="F19" s="303">
        <v>0</v>
      </c>
      <c r="G19" s="8">
        <f t="shared" si="4"/>
        <v>0</v>
      </c>
      <c r="H19" s="73">
        <v>0</v>
      </c>
      <c r="I19" s="74">
        <v>0</v>
      </c>
      <c r="J19" s="8">
        <f t="shared" si="5"/>
        <v>0</v>
      </c>
      <c r="K19" s="8">
        <f t="shared" si="2"/>
        <v>0</v>
      </c>
      <c r="L19" s="76">
        <v>0</v>
      </c>
      <c r="M19" s="335">
        <f t="shared" si="3"/>
        <v>0</v>
      </c>
      <c r="N19" s="334"/>
      <c r="O19" s="77"/>
    </row>
    <row r="20" spans="1:17">
      <c r="A20" s="52">
        <v>17</v>
      </c>
      <c r="B20" s="255">
        <v>45886</v>
      </c>
      <c r="C20" s="75"/>
      <c r="D20" s="171"/>
      <c r="E20" s="303">
        <v>0</v>
      </c>
      <c r="F20" s="303">
        <v>0</v>
      </c>
      <c r="G20" s="8">
        <f t="shared" si="4"/>
        <v>0</v>
      </c>
      <c r="H20" s="73">
        <v>0</v>
      </c>
      <c r="I20" s="74">
        <v>0</v>
      </c>
      <c r="J20" s="8">
        <f t="shared" si="5"/>
        <v>0</v>
      </c>
      <c r="K20" s="8">
        <f t="shared" si="2"/>
        <v>0</v>
      </c>
      <c r="L20" s="76">
        <v>0</v>
      </c>
      <c r="M20" s="76">
        <f t="shared" si="3"/>
        <v>0</v>
      </c>
      <c r="N20" s="21"/>
      <c r="O20" s="77"/>
    </row>
    <row r="21" spans="1:17">
      <c r="A21" s="52">
        <v>18</v>
      </c>
      <c r="B21" s="255">
        <v>45887</v>
      </c>
      <c r="C21" s="75"/>
      <c r="D21" s="171"/>
      <c r="E21" s="303">
        <v>0</v>
      </c>
      <c r="F21" s="303">
        <v>0</v>
      </c>
      <c r="G21" s="8">
        <f t="shared" si="4"/>
        <v>0</v>
      </c>
      <c r="H21" s="73">
        <v>0</v>
      </c>
      <c r="I21" s="74">
        <v>0</v>
      </c>
      <c r="J21" s="8">
        <f t="shared" si="5"/>
        <v>0</v>
      </c>
      <c r="K21" s="8">
        <f t="shared" si="2"/>
        <v>0</v>
      </c>
      <c r="L21" s="76">
        <v>0</v>
      </c>
      <c r="M21" s="76">
        <f t="shared" si="3"/>
        <v>0</v>
      </c>
      <c r="N21" s="8"/>
      <c r="O21" s="77"/>
    </row>
    <row r="22" spans="1:17">
      <c r="A22" s="52">
        <v>19</v>
      </c>
      <c r="B22" s="255">
        <v>45888</v>
      </c>
      <c r="C22" s="75"/>
      <c r="D22" s="171"/>
      <c r="E22" s="303">
        <v>0</v>
      </c>
      <c r="F22" s="303">
        <v>0</v>
      </c>
      <c r="G22" s="8">
        <f t="shared" si="4"/>
        <v>0</v>
      </c>
      <c r="H22" s="73">
        <v>0</v>
      </c>
      <c r="I22" s="74">
        <v>0</v>
      </c>
      <c r="J22" s="8">
        <f t="shared" si="5"/>
        <v>0</v>
      </c>
      <c r="K22" s="8">
        <f t="shared" si="2"/>
        <v>0</v>
      </c>
      <c r="L22" s="76">
        <v>0</v>
      </c>
      <c r="M22" s="76">
        <f t="shared" si="3"/>
        <v>0</v>
      </c>
      <c r="N22" s="8"/>
      <c r="O22" s="77"/>
      <c r="Q22" s="24"/>
    </row>
    <row r="23" spans="1:17">
      <c r="A23" s="52">
        <v>20</v>
      </c>
      <c r="B23" s="255">
        <v>45889</v>
      </c>
      <c r="C23" s="75"/>
      <c r="D23" s="171"/>
      <c r="E23" s="303">
        <v>0</v>
      </c>
      <c r="F23" s="303">
        <v>0</v>
      </c>
      <c r="G23" s="8">
        <f t="shared" si="0"/>
        <v>0</v>
      </c>
      <c r="H23" s="73">
        <v>0</v>
      </c>
      <c r="I23" s="74">
        <v>0</v>
      </c>
      <c r="J23" s="8">
        <f t="shared" si="1"/>
        <v>0</v>
      </c>
      <c r="K23" s="8">
        <f t="shared" si="2"/>
        <v>0</v>
      </c>
      <c r="L23" s="76">
        <v>0</v>
      </c>
      <c r="M23" s="76">
        <f t="shared" si="3"/>
        <v>0</v>
      </c>
      <c r="N23" s="8"/>
      <c r="O23" s="77"/>
    </row>
    <row r="24" spans="1:17">
      <c r="A24" s="52">
        <v>21</v>
      </c>
      <c r="B24" s="255">
        <v>45890</v>
      </c>
      <c r="C24" s="75"/>
      <c r="D24" s="171"/>
      <c r="E24" s="303">
        <v>0</v>
      </c>
      <c r="F24" s="303">
        <v>0</v>
      </c>
      <c r="G24" s="8">
        <f t="shared" si="0"/>
        <v>0</v>
      </c>
      <c r="H24" s="73">
        <v>0</v>
      </c>
      <c r="I24" s="74">
        <v>0</v>
      </c>
      <c r="J24" s="8">
        <f t="shared" si="1"/>
        <v>0</v>
      </c>
      <c r="K24" s="8">
        <f t="shared" si="2"/>
        <v>0</v>
      </c>
      <c r="L24" s="76">
        <v>0</v>
      </c>
      <c r="M24" s="76">
        <f t="shared" si="3"/>
        <v>0</v>
      </c>
      <c r="N24" s="8"/>
      <c r="O24" s="77"/>
    </row>
    <row r="25" spans="1:17">
      <c r="A25" s="52">
        <v>22</v>
      </c>
      <c r="B25" s="255">
        <v>45891</v>
      </c>
      <c r="C25" s="75"/>
      <c r="D25" s="171"/>
      <c r="E25" s="303">
        <v>0</v>
      </c>
      <c r="F25" s="303">
        <v>0</v>
      </c>
      <c r="G25" s="8">
        <f t="shared" si="0"/>
        <v>0</v>
      </c>
      <c r="H25" s="73">
        <v>14.19</v>
      </c>
      <c r="I25" s="74">
        <v>109.23</v>
      </c>
      <c r="J25" s="8">
        <f t="shared" si="1"/>
        <v>1549.9737</v>
      </c>
      <c r="K25" s="8">
        <f t="shared" si="2"/>
        <v>1549.9737</v>
      </c>
      <c r="L25" s="8">
        <v>1549.97</v>
      </c>
      <c r="M25" s="76">
        <f t="shared" si="3"/>
        <v>3.6999999999807187E-3</v>
      </c>
      <c r="N25" s="8"/>
      <c r="O25" s="77"/>
    </row>
    <row r="26" spans="1:17">
      <c r="A26" s="52">
        <v>23</v>
      </c>
      <c r="B26" s="255">
        <v>45892</v>
      </c>
      <c r="C26" s="75"/>
      <c r="D26" s="171"/>
      <c r="E26" s="303">
        <v>0</v>
      </c>
      <c r="F26" s="303">
        <v>0</v>
      </c>
      <c r="G26" s="8">
        <f t="shared" si="0"/>
        <v>0</v>
      </c>
      <c r="H26" s="73">
        <v>0</v>
      </c>
      <c r="I26" s="74">
        <v>0</v>
      </c>
      <c r="J26" s="8">
        <f t="shared" si="1"/>
        <v>0</v>
      </c>
      <c r="K26" s="8">
        <f t="shared" si="2"/>
        <v>0</v>
      </c>
      <c r="L26" s="76">
        <v>0</v>
      </c>
      <c r="M26" s="76">
        <f t="shared" si="3"/>
        <v>3.6999999999807187E-3</v>
      </c>
      <c r="N26" s="8"/>
      <c r="O26" s="77"/>
    </row>
    <row r="27" spans="1:17">
      <c r="A27" s="52">
        <v>24</v>
      </c>
      <c r="B27" s="255">
        <v>45893</v>
      </c>
      <c r="C27" s="75"/>
      <c r="D27" s="171"/>
      <c r="E27" s="303">
        <v>0</v>
      </c>
      <c r="F27" s="303">
        <v>0</v>
      </c>
      <c r="G27" s="8">
        <f t="shared" si="0"/>
        <v>0</v>
      </c>
      <c r="H27" s="73">
        <v>0</v>
      </c>
      <c r="I27" s="74">
        <v>0</v>
      </c>
      <c r="J27" s="8">
        <f t="shared" si="1"/>
        <v>0</v>
      </c>
      <c r="K27" s="8">
        <f t="shared" si="2"/>
        <v>0</v>
      </c>
      <c r="L27" s="76">
        <v>0</v>
      </c>
      <c r="M27" s="76">
        <f t="shared" si="3"/>
        <v>3.6999999999807187E-3</v>
      </c>
      <c r="N27" s="8"/>
      <c r="O27" s="77"/>
    </row>
    <row r="28" spans="1:17">
      <c r="A28" s="257">
        <v>25</v>
      </c>
      <c r="B28" s="255">
        <v>45894</v>
      </c>
      <c r="C28" s="75"/>
      <c r="D28" s="171"/>
      <c r="E28" s="303">
        <v>0</v>
      </c>
      <c r="F28" s="303">
        <v>0</v>
      </c>
      <c r="G28" s="8">
        <f t="shared" si="0"/>
        <v>0</v>
      </c>
      <c r="H28" s="73">
        <v>0</v>
      </c>
      <c r="I28" s="74">
        <v>0</v>
      </c>
      <c r="J28" s="8">
        <f t="shared" si="1"/>
        <v>0</v>
      </c>
      <c r="K28" s="8">
        <f t="shared" si="2"/>
        <v>0</v>
      </c>
      <c r="L28" s="76">
        <v>0</v>
      </c>
      <c r="M28" s="76">
        <f t="shared" si="3"/>
        <v>3.6999999999807187E-3</v>
      </c>
      <c r="N28" s="8"/>
      <c r="O28" s="77"/>
    </row>
    <row r="29" spans="1:17">
      <c r="A29" s="257">
        <v>26</v>
      </c>
      <c r="B29" s="255">
        <v>45895</v>
      </c>
      <c r="C29" s="75"/>
      <c r="D29" s="171"/>
      <c r="E29" s="303">
        <v>0</v>
      </c>
      <c r="F29" s="303">
        <v>0</v>
      </c>
      <c r="G29" s="8">
        <f t="shared" si="0"/>
        <v>0</v>
      </c>
      <c r="H29" s="73">
        <v>25</v>
      </c>
      <c r="I29" s="74">
        <v>109.54</v>
      </c>
      <c r="J29" s="8">
        <f t="shared" si="1"/>
        <v>2738.5</v>
      </c>
      <c r="K29" s="8">
        <f t="shared" si="2"/>
        <v>2738.5</v>
      </c>
      <c r="L29" s="8">
        <v>2738.5</v>
      </c>
      <c r="M29" s="76">
        <f t="shared" si="3"/>
        <v>3.7000000002080924E-3</v>
      </c>
      <c r="N29" s="8"/>
      <c r="O29" s="77"/>
    </row>
    <row r="30" spans="1:17">
      <c r="A30" s="257">
        <v>27</v>
      </c>
      <c r="B30" s="255">
        <v>45896</v>
      </c>
      <c r="C30" s="75"/>
      <c r="D30" s="171"/>
      <c r="E30" s="303">
        <v>0</v>
      </c>
      <c r="F30" s="303">
        <v>0</v>
      </c>
      <c r="G30" s="8">
        <f t="shared" si="0"/>
        <v>0</v>
      </c>
      <c r="H30" s="73">
        <v>0</v>
      </c>
      <c r="I30" s="74">
        <v>0</v>
      </c>
      <c r="J30" s="8">
        <f t="shared" si="1"/>
        <v>0</v>
      </c>
      <c r="K30" s="8">
        <f t="shared" si="2"/>
        <v>0</v>
      </c>
      <c r="L30" s="76">
        <v>0</v>
      </c>
      <c r="M30" s="76">
        <f t="shared" si="3"/>
        <v>3.7000000002080924E-3</v>
      </c>
      <c r="N30" s="8"/>
      <c r="O30" s="77"/>
    </row>
    <row r="31" spans="1:17">
      <c r="A31" s="257">
        <v>28</v>
      </c>
      <c r="B31" s="255">
        <v>45897</v>
      </c>
      <c r="C31" s="75"/>
      <c r="D31" s="171"/>
      <c r="E31" s="303">
        <v>0</v>
      </c>
      <c r="F31" s="303">
        <v>0</v>
      </c>
      <c r="G31" s="8">
        <f t="shared" si="0"/>
        <v>0</v>
      </c>
      <c r="H31" s="73">
        <v>0</v>
      </c>
      <c r="I31" s="74">
        <v>0</v>
      </c>
      <c r="J31" s="8">
        <f t="shared" si="1"/>
        <v>0</v>
      </c>
      <c r="K31" s="8">
        <f t="shared" si="2"/>
        <v>0</v>
      </c>
      <c r="L31" s="76">
        <v>0</v>
      </c>
      <c r="M31" s="76">
        <f t="shared" si="3"/>
        <v>3.7000000002080924E-3</v>
      </c>
      <c r="N31" s="8"/>
      <c r="O31" s="77"/>
    </row>
    <row r="32" spans="1:17">
      <c r="A32" s="258">
        <v>29</v>
      </c>
      <c r="B32" s="255">
        <v>45898</v>
      </c>
      <c r="C32" s="75"/>
      <c r="D32" s="171"/>
      <c r="E32" s="303">
        <v>0</v>
      </c>
      <c r="F32" s="303">
        <v>0</v>
      </c>
      <c r="G32" s="8">
        <f t="shared" si="0"/>
        <v>0</v>
      </c>
      <c r="H32" s="73">
        <v>0</v>
      </c>
      <c r="I32" s="74">
        <v>0</v>
      </c>
      <c r="J32" s="8">
        <f t="shared" si="1"/>
        <v>0</v>
      </c>
      <c r="K32" s="8">
        <f t="shared" si="2"/>
        <v>0</v>
      </c>
      <c r="L32" s="76">
        <v>0</v>
      </c>
      <c r="M32" s="76">
        <f t="shared" si="3"/>
        <v>3.7000000002080924E-3</v>
      </c>
      <c r="N32" s="8"/>
      <c r="O32" s="77"/>
    </row>
    <row r="33" spans="1:15">
      <c r="A33" s="258">
        <v>30</v>
      </c>
      <c r="B33" s="255">
        <v>45899</v>
      </c>
      <c r="C33" s="75"/>
      <c r="D33" s="171"/>
      <c r="E33" s="303">
        <v>89.64</v>
      </c>
      <c r="F33" s="303">
        <v>97.47</v>
      </c>
      <c r="G33" s="8">
        <f t="shared" si="0"/>
        <v>8737.2108000000007</v>
      </c>
      <c r="H33" s="73">
        <v>0</v>
      </c>
      <c r="I33" s="74">
        <v>0</v>
      </c>
      <c r="J33" s="8">
        <f t="shared" si="1"/>
        <v>0</v>
      </c>
      <c r="K33" s="8">
        <f t="shared" si="2"/>
        <v>8737.2108000000007</v>
      </c>
      <c r="L33" s="76">
        <v>8737.2099999999991</v>
      </c>
      <c r="M33" s="76">
        <f t="shared" si="3"/>
        <v>4.5000000027357601E-3</v>
      </c>
      <c r="N33" s="8"/>
      <c r="O33" s="77"/>
    </row>
    <row r="34" spans="1:15">
      <c r="A34" s="258">
        <v>31</v>
      </c>
      <c r="B34" s="255">
        <v>45900</v>
      </c>
      <c r="C34" s="75"/>
      <c r="D34" s="171"/>
      <c r="E34" s="303">
        <v>0</v>
      </c>
      <c r="F34" s="303">
        <v>0</v>
      </c>
      <c r="G34" s="8">
        <f t="shared" si="0"/>
        <v>0</v>
      </c>
      <c r="H34" s="73">
        <v>0</v>
      </c>
      <c r="I34" s="74">
        <v>0</v>
      </c>
      <c r="J34" s="8">
        <f t="shared" si="1"/>
        <v>0</v>
      </c>
      <c r="K34" s="8">
        <f t="shared" si="2"/>
        <v>0</v>
      </c>
      <c r="L34" s="76">
        <v>0</v>
      </c>
      <c r="M34" s="76">
        <f t="shared" si="3"/>
        <v>4.5000000027357601E-3</v>
      </c>
      <c r="N34" s="8"/>
      <c r="O34" s="77"/>
    </row>
    <row r="35" spans="1:15">
      <c r="A35" s="70"/>
      <c r="B35" s="70"/>
      <c r="C35" s="70"/>
      <c r="D35" s="70"/>
      <c r="E35" s="304">
        <f>SUM(E4:E34)</f>
        <v>224.73000000000002</v>
      </c>
      <c r="F35" s="304"/>
      <c r="G35" s="71">
        <f>SUM(G4:G34)</f>
        <v>21892.274999999998</v>
      </c>
      <c r="H35" s="71">
        <f>SUM(H4:H34)</f>
        <v>74.19</v>
      </c>
      <c r="I35" s="71"/>
      <c r="J35" s="71">
        <f>SUM(J4:J34)</f>
        <v>8122.7237000000005</v>
      </c>
      <c r="K35" s="71">
        <f>SUM(K4:K34)</f>
        <v>30014.998699999996</v>
      </c>
      <c r="L35" s="71">
        <f>SUM(L4:L34)</f>
        <v>30014.994199999997</v>
      </c>
      <c r="M35" s="71"/>
      <c r="N35" s="71"/>
      <c r="O35" s="67"/>
    </row>
    <row r="36" spans="1:15">
      <c r="A36" s="81"/>
      <c r="B36" s="82"/>
      <c r="C36" s="81"/>
      <c r="D36" s="81"/>
      <c r="E36" s="83"/>
      <c r="F36" s="83"/>
      <c r="G36" s="83"/>
      <c r="H36" s="83"/>
      <c r="I36" s="83"/>
      <c r="J36" s="84"/>
      <c r="K36" s="84"/>
      <c r="L36" s="84"/>
      <c r="M36" s="84"/>
      <c r="N36" s="83"/>
      <c r="O36" s="77"/>
    </row>
    <row r="37" spans="1:15">
      <c r="O37" s="77"/>
    </row>
    <row r="38" spans="1:15">
      <c r="O38" s="77"/>
    </row>
    <row r="39" spans="1:15">
      <c r="O39" s="77"/>
    </row>
    <row r="40" spans="1:15">
      <c r="O40" s="77"/>
    </row>
    <row r="41" spans="1:15">
      <c r="O41" s="77"/>
    </row>
    <row r="42" spans="1:15">
      <c r="A42" s="77"/>
      <c r="B42" s="67"/>
      <c r="C42" s="77"/>
      <c r="D42" s="77"/>
      <c r="E42" s="77"/>
      <c r="F42" s="77"/>
      <c r="G42" s="85"/>
      <c r="H42" s="77"/>
      <c r="I42" s="77"/>
      <c r="J42" s="67"/>
      <c r="K42" s="67"/>
      <c r="L42" s="67"/>
      <c r="M42" s="67"/>
      <c r="N42" s="77"/>
      <c r="O42" s="83"/>
    </row>
    <row r="43" spans="1:15">
      <c r="A43" s="77"/>
      <c r="B43" s="420"/>
      <c r="C43" s="420"/>
      <c r="D43" s="420"/>
      <c r="E43" s="420"/>
      <c r="F43" s="77"/>
      <c r="G43" s="77"/>
      <c r="H43" s="77"/>
      <c r="I43" s="420"/>
      <c r="J43" s="420"/>
      <c r="K43" s="420"/>
      <c r="L43" s="420"/>
      <c r="M43" s="420"/>
      <c r="N43" s="420"/>
      <c r="O43" s="83"/>
    </row>
    <row r="44" spans="1:15">
      <c r="A44" s="77"/>
      <c r="B44" s="67"/>
      <c r="C44" s="77"/>
      <c r="D44" s="77"/>
      <c r="E44" s="77"/>
      <c r="F44" s="77"/>
      <c r="G44" s="77"/>
      <c r="H44" s="77"/>
      <c r="I44" s="77"/>
      <c r="J44" s="67"/>
      <c r="K44" s="67"/>
      <c r="L44" s="67"/>
      <c r="M44" s="67"/>
      <c r="N44" s="77"/>
      <c r="O44" s="83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25" activePane="bottomLeft" state="frozen"/>
      <selection pane="bottomLeft" activeCell="P33" sqref="P33"/>
    </sheetView>
  </sheetViews>
  <sheetFormatPr defaultColWidth="12.28515625" defaultRowHeight="12.75"/>
  <cols>
    <col min="1" max="1" width="8.42578125" style="69" customWidth="1"/>
    <col min="2" max="3" width="12.28515625" style="69"/>
    <col min="4" max="4" width="13.5703125" style="69" customWidth="1"/>
    <col min="5" max="5" width="12.28515625" style="69"/>
    <col min="6" max="6" width="13.7109375" style="69" bestFit="1" customWidth="1"/>
    <col min="7" max="16384" width="12.28515625" style="69"/>
  </cols>
  <sheetData>
    <row r="1" spans="1:15" ht="15.75" customHeight="1">
      <c r="A1" s="407" t="s">
        <v>40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68"/>
    </row>
    <row r="2" spans="1:15" ht="15.75" customHeight="1">
      <c r="A2" s="96" t="s">
        <v>94</v>
      </c>
      <c r="B2" s="97" t="s">
        <v>95</v>
      </c>
      <c r="C2" s="97" t="s">
        <v>96</v>
      </c>
      <c r="D2" s="97" t="s">
        <v>97</v>
      </c>
      <c r="E2" s="97" t="s">
        <v>98</v>
      </c>
      <c r="F2" s="97" t="s">
        <v>99</v>
      </c>
      <c r="G2" s="97" t="s">
        <v>100</v>
      </c>
      <c r="H2" s="97" t="s">
        <v>101</v>
      </c>
      <c r="I2" s="97" t="s">
        <v>99</v>
      </c>
      <c r="J2" s="122" t="s">
        <v>100</v>
      </c>
      <c r="K2" s="124" t="s">
        <v>102</v>
      </c>
      <c r="L2" s="125" t="s">
        <v>103</v>
      </c>
      <c r="M2" s="126" t="s">
        <v>110</v>
      </c>
      <c r="N2" s="98" t="s">
        <v>105</v>
      </c>
      <c r="O2" s="35"/>
    </row>
    <row r="3" spans="1:15" ht="15.75" customHeight="1">
      <c r="A3" s="414" t="s">
        <v>106</v>
      </c>
      <c r="B3" s="415"/>
      <c r="C3" s="412"/>
      <c r="D3" s="412"/>
      <c r="E3" s="412"/>
      <c r="F3" s="412"/>
      <c r="G3" s="412"/>
      <c r="H3" s="412"/>
      <c r="I3" s="412"/>
      <c r="J3" s="422"/>
      <c r="K3" s="229">
        <v>405569.43099999975</v>
      </c>
      <c r="L3" s="228"/>
      <c r="M3" s="229">
        <v>405569.43099999975</v>
      </c>
      <c r="N3" s="228"/>
      <c r="O3" s="35">
        <v>207239.43099999998</v>
      </c>
    </row>
    <row r="4" spans="1:15" ht="15">
      <c r="A4" s="28">
        <v>1</v>
      </c>
      <c r="B4" s="29">
        <v>45870</v>
      </c>
      <c r="C4" s="117"/>
      <c r="D4" s="117"/>
      <c r="E4" s="39"/>
      <c r="F4" s="39">
        <v>0</v>
      </c>
      <c r="G4" s="39">
        <f>E4*F4</f>
        <v>0</v>
      </c>
      <c r="H4" s="224">
        <v>0</v>
      </c>
      <c r="I4" s="224">
        <v>0</v>
      </c>
      <c r="J4" s="39">
        <f>H4*I4</f>
        <v>0</v>
      </c>
      <c r="K4" s="39">
        <f>G4+J4</f>
        <v>0</v>
      </c>
      <c r="L4" s="228"/>
      <c r="M4" s="225">
        <f>M3+K4-L4</f>
        <v>405569.43099999975</v>
      </c>
      <c r="N4" s="39"/>
      <c r="O4" s="30"/>
    </row>
    <row r="5" spans="1:15" ht="15">
      <c r="A5" s="28">
        <v>2</v>
      </c>
      <c r="B5" s="29">
        <v>45871</v>
      </c>
      <c r="C5" s="117"/>
      <c r="D5" s="117"/>
      <c r="E5" s="39"/>
      <c r="F5" s="39">
        <v>0</v>
      </c>
      <c r="G5" s="39">
        <f t="shared" ref="G5:G33" si="0">E5*F5</f>
        <v>0</v>
      </c>
      <c r="H5" s="224">
        <v>0</v>
      </c>
      <c r="I5" s="224">
        <v>0</v>
      </c>
      <c r="J5" s="39">
        <f t="shared" ref="J5:J33" si="1">H5*I5</f>
        <v>0</v>
      </c>
      <c r="K5" s="39">
        <f t="shared" ref="K5:K33" si="2">G5+J5</f>
        <v>0</v>
      </c>
      <c r="L5" s="228"/>
      <c r="M5" s="225">
        <f>M4+K5-L5</f>
        <v>405569.43099999975</v>
      </c>
      <c r="N5" s="39"/>
      <c r="O5" s="30"/>
    </row>
    <row r="6" spans="1:15" ht="15">
      <c r="A6" s="28">
        <v>3</v>
      </c>
      <c r="B6" s="29">
        <v>45872</v>
      </c>
      <c r="C6" s="117"/>
      <c r="D6" s="117"/>
      <c r="E6" s="39"/>
      <c r="F6" s="39">
        <v>0</v>
      </c>
      <c r="G6" s="39">
        <f t="shared" si="0"/>
        <v>0</v>
      </c>
      <c r="H6" s="224">
        <v>0</v>
      </c>
      <c r="I6" s="224">
        <v>0</v>
      </c>
      <c r="J6" s="39">
        <f t="shared" si="1"/>
        <v>0</v>
      </c>
      <c r="K6" s="39">
        <f t="shared" si="2"/>
        <v>0</v>
      </c>
      <c r="L6" s="228"/>
      <c r="M6" s="225">
        <f>M5+K6-L6</f>
        <v>405569.43099999975</v>
      </c>
      <c r="N6" s="39"/>
      <c r="O6" s="30"/>
    </row>
    <row r="7" spans="1:15" ht="15">
      <c r="A7" s="28">
        <v>4</v>
      </c>
      <c r="B7" s="29">
        <v>45873</v>
      </c>
      <c r="C7" s="117"/>
      <c r="D7" s="117"/>
      <c r="E7" s="39"/>
      <c r="F7" s="39">
        <v>0</v>
      </c>
      <c r="G7" s="39">
        <f t="shared" si="0"/>
        <v>0</v>
      </c>
      <c r="H7" s="224">
        <v>0</v>
      </c>
      <c r="I7" s="224">
        <v>0</v>
      </c>
      <c r="J7" s="39">
        <f t="shared" si="1"/>
        <v>0</v>
      </c>
      <c r="K7" s="39">
        <f t="shared" si="2"/>
        <v>0</v>
      </c>
      <c r="L7" s="228"/>
      <c r="M7" s="225">
        <f>M6+K7-L7</f>
        <v>405569.43099999975</v>
      </c>
      <c r="N7" s="39"/>
      <c r="O7" s="30"/>
    </row>
    <row r="8" spans="1:15" ht="15">
      <c r="A8" s="28">
        <v>5</v>
      </c>
      <c r="B8" s="29">
        <v>45874</v>
      </c>
      <c r="C8" s="117"/>
      <c r="D8" s="117"/>
      <c r="E8" s="39"/>
      <c r="F8" s="39">
        <v>0</v>
      </c>
      <c r="G8" s="39">
        <f t="shared" si="0"/>
        <v>0</v>
      </c>
      <c r="H8" s="224">
        <v>0</v>
      </c>
      <c r="I8" s="224">
        <v>0</v>
      </c>
      <c r="J8" s="39">
        <f t="shared" si="1"/>
        <v>0</v>
      </c>
      <c r="K8" s="39">
        <f t="shared" si="2"/>
        <v>0</v>
      </c>
      <c r="L8" s="228"/>
      <c r="M8" s="225">
        <f>M7+K8-L8</f>
        <v>405569.43099999975</v>
      </c>
      <c r="N8" s="39"/>
      <c r="O8" s="30"/>
    </row>
    <row r="9" spans="1:15" ht="15">
      <c r="A9" s="28">
        <v>6</v>
      </c>
      <c r="B9" s="29">
        <v>45875</v>
      </c>
      <c r="C9" s="117"/>
      <c r="D9" s="117"/>
      <c r="E9" s="39"/>
      <c r="F9" s="39">
        <v>0</v>
      </c>
      <c r="G9" s="39">
        <f t="shared" si="0"/>
        <v>0</v>
      </c>
      <c r="H9" s="224">
        <v>0</v>
      </c>
      <c r="I9" s="224">
        <v>0</v>
      </c>
      <c r="J9" s="39">
        <f t="shared" si="1"/>
        <v>0</v>
      </c>
      <c r="K9" s="39">
        <f t="shared" si="2"/>
        <v>0</v>
      </c>
      <c r="L9" s="228"/>
      <c r="M9" s="225">
        <f t="shared" ref="M9:M33" si="3">M8+K9-L9</f>
        <v>405569.43099999975</v>
      </c>
      <c r="N9" s="39"/>
      <c r="O9" s="30"/>
    </row>
    <row r="10" spans="1:15" ht="15">
      <c r="A10" s="28">
        <v>7</v>
      </c>
      <c r="B10" s="29">
        <v>45876</v>
      </c>
      <c r="C10" s="117"/>
      <c r="D10" s="117"/>
      <c r="E10" s="39"/>
      <c r="F10" s="39">
        <v>0</v>
      </c>
      <c r="G10" s="39">
        <f t="shared" si="0"/>
        <v>0</v>
      </c>
      <c r="H10" s="224">
        <v>0</v>
      </c>
      <c r="I10" s="224">
        <v>0</v>
      </c>
      <c r="J10" s="39">
        <f t="shared" si="1"/>
        <v>0</v>
      </c>
      <c r="K10" s="39">
        <f t="shared" si="2"/>
        <v>0</v>
      </c>
      <c r="L10" s="228"/>
      <c r="M10" s="225">
        <f t="shared" si="3"/>
        <v>405569.43099999975</v>
      </c>
      <c r="N10" s="39"/>
      <c r="O10" s="30"/>
    </row>
    <row r="11" spans="1:15" ht="15">
      <c r="A11" s="28">
        <v>8</v>
      </c>
      <c r="B11" s="29">
        <v>45877</v>
      </c>
      <c r="C11" s="117"/>
      <c r="D11" s="117"/>
      <c r="E11" s="39"/>
      <c r="F11" s="39">
        <v>0</v>
      </c>
      <c r="G11" s="39">
        <f t="shared" si="0"/>
        <v>0</v>
      </c>
      <c r="H11" s="224">
        <v>0</v>
      </c>
      <c r="I11" s="224">
        <v>0</v>
      </c>
      <c r="J11" s="39">
        <f t="shared" si="1"/>
        <v>0</v>
      </c>
      <c r="K11" s="39">
        <f t="shared" si="2"/>
        <v>0</v>
      </c>
      <c r="L11" s="228"/>
      <c r="M11" s="225">
        <f t="shared" si="3"/>
        <v>405569.43099999975</v>
      </c>
      <c r="N11" s="39"/>
      <c r="O11" s="30"/>
    </row>
    <row r="12" spans="1:15" ht="15">
      <c r="A12" s="28">
        <v>9</v>
      </c>
      <c r="B12" s="29">
        <v>45878</v>
      </c>
      <c r="C12" s="117"/>
      <c r="D12" s="117"/>
      <c r="E12" s="39"/>
      <c r="F12" s="39">
        <v>0</v>
      </c>
      <c r="G12" s="39">
        <f t="shared" si="0"/>
        <v>0</v>
      </c>
      <c r="H12" s="224">
        <v>0</v>
      </c>
      <c r="I12" s="224">
        <v>0</v>
      </c>
      <c r="J12" s="39">
        <f t="shared" si="1"/>
        <v>0</v>
      </c>
      <c r="K12" s="39">
        <f t="shared" si="2"/>
        <v>0</v>
      </c>
      <c r="L12" s="228"/>
      <c r="M12" s="225">
        <f t="shared" si="3"/>
        <v>405569.43099999975</v>
      </c>
      <c r="N12" s="39"/>
      <c r="O12" s="30"/>
    </row>
    <row r="13" spans="1:15" ht="15">
      <c r="A13" s="28">
        <v>10</v>
      </c>
      <c r="B13" s="29">
        <v>45879</v>
      </c>
      <c r="C13" s="117"/>
      <c r="D13" s="117"/>
      <c r="E13" s="39"/>
      <c r="F13" s="39">
        <v>0</v>
      </c>
      <c r="G13" s="39">
        <f t="shared" si="0"/>
        <v>0</v>
      </c>
      <c r="H13" s="224">
        <v>0</v>
      </c>
      <c r="I13" s="224">
        <v>0</v>
      </c>
      <c r="J13" s="39">
        <f t="shared" si="1"/>
        <v>0</v>
      </c>
      <c r="K13" s="39">
        <f t="shared" si="2"/>
        <v>0</v>
      </c>
      <c r="L13" s="228"/>
      <c r="M13" s="225">
        <f t="shared" si="3"/>
        <v>405569.43099999975</v>
      </c>
      <c r="N13" s="39"/>
      <c r="O13" s="30"/>
    </row>
    <row r="14" spans="1:15" ht="15">
      <c r="A14" s="28">
        <v>11</v>
      </c>
      <c r="B14" s="29">
        <v>45880</v>
      </c>
      <c r="C14" s="117"/>
      <c r="D14" s="117"/>
      <c r="E14" s="39"/>
      <c r="F14" s="39">
        <v>0</v>
      </c>
      <c r="G14" s="39">
        <f t="shared" si="0"/>
        <v>0</v>
      </c>
      <c r="H14" s="224">
        <v>0</v>
      </c>
      <c r="I14" s="224">
        <v>0</v>
      </c>
      <c r="J14" s="39">
        <f t="shared" si="1"/>
        <v>0</v>
      </c>
      <c r="K14" s="39">
        <f t="shared" si="2"/>
        <v>0</v>
      </c>
      <c r="L14" s="228"/>
      <c r="M14" s="225">
        <f t="shared" si="3"/>
        <v>405569.43099999975</v>
      </c>
      <c r="N14" s="39"/>
      <c r="O14" s="30"/>
    </row>
    <row r="15" spans="1:15" ht="15">
      <c r="A15" s="28">
        <v>12</v>
      </c>
      <c r="B15" s="29">
        <v>45881</v>
      </c>
      <c r="C15" s="117"/>
      <c r="D15" s="117"/>
      <c r="E15" s="39"/>
      <c r="F15" s="39">
        <v>0</v>
      </c>
      <c r="G15" s="39">
        <f t="shared" si="0"/>
        <v>0</v>
      </c>
      <c r="H15" s="224">
        <v>0</v>
      </c>
      <c r="I15" s="224">
        <v>0</v>
      </c>
      <c r="J15" s="39">
        <f t="shared" si="1"/>
        <v>0</v>
      </c>
      <c r="K15" s="39">
        <f t="shared" si="2"/>
        <v>0</v>
      </c>
      <c r="L15" s="228"/>
      <c r="M15" s="225">
        <f t="shared" si="3"/>
        <v>405569.43099999975</v>
      </c>
      <c r="N15" s="39"/>
      <c r="O15" s="30"/>
    </row>
    <row r="16" spans="1:15" ht="15">
      <c r="A16" s="28">
        <v>13</v>
      </c>
      <c r="B16" s="29">
        <v>45882</v>
      </c>
      <c r="C16" s="117"/>
      <c r="D16" s="117"/>
      <c r="E16" s="39"/>
      <c r="F16" s="39">
        <v>0</v>
      </c>
      <c r="G16" s="39">
        <f t="shared" si="0"/>
        <v>0</v>
      </c>
      <c r="H16" s="224">
        <v>0</v>
      </c>
      <c r="I16" s="224">
        <v>0</v>
      </c>
      <c r="J16" s="39">
        <f t="shared" si="1"/>
        <v>0</v>
      </c>
      <c r="K16" s="39">
        <f t="shared" si="2"/>
        <v>0</v>
      </c>
      <c r="L16" s="228"/>
      <c r="M16" s="225">
        <f t="shared" si="3"/>
        <v>405569.43099999975</v>
      </c>
      <c r="N16" s="39"/>
      <c r="O16" s="30"/>
    </row>
    <row r="17" spans="1:15" ht="15">
      <c r="A17" s="28">
        <v>14</v>
      </c>
      <c r="B17" s="29">
        <v>45883</v>
      </c>
      <c r="C17" s="117"/>
      <c r="D17" s="117"/>
      <c r="E17" s="39"/>
      <c r="F17" s="39">
        <v>0</v>
      </c>
      <c r="G17" s="39">
        <f t="shared" si="0"/>
        <v>0</v>
      </c>
      <c r="H17" s="224">
        <v>0</v>
      </c>
      <c r="I17" s="224">
        <v>0</v>
      </c>
      <c r="J17" s="39">
        <f t="shared" si="1"/>
        <v>0</v>
      </c>
      <c r="K17" s="39">
        <f t="shared" si="2"/>
        <v>0</v>
      </c>
      <c r="L17" s="228"/>
      <c r="M17" s="225">
        <f t="shared" si="3"/>
        <v>405569.43099999975</v>
      </c>
      <c r="N17" s="39"/>
      <c r="O17" s="30"/>
    </row>
    <row r="18" spans="1:15" ht="15">
      <c r="A18" s="28">
        <v>15</v>
      </c>
      <c r="B18" s="29">
        <v>45884</v>
      </c>
      <c r="C18" s="117"/>
      <c r="D18" s="117"/>
      <c r="E18" s="39"/>
      <c r="F18" s="39">
        <v>0</v>
      </c>
      <c r="G18" s="39">
        <f t="shared" si="0"/>
        <v>0</v>
      </c>
      <c r="H18" s="224">
        <v>0</v>
      </c>
      <c r="I18" s="224">
        <v>0</v>
      </c>
      <c r="J18" s="39">
        <f t="shared" si="1"/>
        <v>0</v>
      </c>
      <c r="K18" s="39">
        <f t="shared" si="2"/>
        <v>0</v>
      </c>
      <c r="L18" s="228"/>
      <c r="M18" s="225">
        <f t="shared" si="3"/>
        <v>405569.43099999975</v>
      </c>
      <c r="N18" s="39"/>
      <c r="O18" s="30"/>
    </row>
    <row r="19" spans="1:15" ht="15">
      <c r="A19" s="28">
        <v>16</v>
      </c>
      <c r="B19" s="29">
        <v>45885</v>
      </c>
      <c r="C19" s="117"/>
      <c r="D19" s="117"/>
      <c r="E19" s="39"/>
      <c r="F19" s="39">
        <v>0</v>
      </c>
      <c r="G19" s="39">
        <f t="shared" si="0"/>
        <v>0</v>
      </c>
      <c r="H19" s="224">
        <v>0</v>
      </c>
      <c r="I19" s="224">
        <v>0</v>
      </c>
      <c r="J19" s="39">
        <f t="shared" si="1"/>
        <v>0</v>
      </c>
      <c r="K19" s="39">
        <f t="shared" si="2"/>
        <v>0</v>
      </c>
      <c r="L19" s="228"/>
      <c r="M19" s="225">
        <f t="shared" si="3"/>
        <v>405569.43099999975</v>
      </c>
      <c r="N19" s="39"/>
      <c r="O19" s="30"/>
    </row>
    <row r="20" spans="1:15" ht="15">
      <c r="A20" s="28">
        <v>17</v>
      </c>
      <c r="B20" s="29">
        <v>45886</v>
      </c>
      <c r="C20" s="117"/>
      <c r="D20" s="117"/>
      <c r="E20" s="39"/>
      <c r="F20" s="39">
        <v>0</v>
      </c>
      <c r="G20" s="39">
        <f t="shared" si="0"/>
        <v>0</v>
      </c>
      <c r="H20" s="224">
        <v>0</v>
      </c>
      <c r="I20" s="224">
        <v>0</v>
      </c>
      <c r="J20" s="39">
        <f t="shared" si="1"/>
        <v>0</v>
      </c>
      <c r="K20" s="39">
        <f t="shared" si="2"/>
        <v>0</v>
      </c>
      <c r="L20" s="228"/>
      <c r="M20" s="225">
        <f t="shared" si="3"/>
        <v>405569.43099999975</v>
      </c>
      <c r="N20" s="39"/>
      <c r="O20" s="30"/>
    </row>
    <row r="21" spans="1:15" ht="15">
      <c r="A21" s="28">
        <v>18</v>
      </c>
      <c r="B21" s="29">
        <v>45887</v>
      </c>
      <c r="C21" s="117"/>
      <c r="D21" s="117"/>
      <c r="E21" s="39"/>
      <c r="F21" s="39">
        <v>0</v>
      </c>
      <c r="G21" s="39">
        <f t="shared" si="0"/>
        <v>0</v>
      </c>
      <c r="H21" s="224">
        <v>0</v>
      </c>
      <c r="I21" s="224">
        <v>0</v>
      </c>
      <c r="J21" s="39">
        <f t="shared" si="1"/>
        <v>0</v>
      </c>
      <c r="K21" s="39">
        <f t="shared" si="2"/>
        <v>0</v>
      </c>
      <c r="L21" s="228"/>
      <c r="M21" s="225">
        <f t="shared" si="3"/>
        <v>405569.43099999975</v>
      </c>
      <c r="N21" s="39"/>
      <c r="O21" s="30"/>
    </row>
    <row r="22" spans="1:15" ht="15">
      <c r="A22" s="28">
        <v>19</v>
      </c>
      <c r="B22" s="29">
        <v>45888</v>
      </c>
      <c r="C22" s="117"/>
      <c r="D22" s="117"/>
      <c r="E22" s="39"/>
      <c r="F22" s="39">
        <v>0</v>
      </c>
      <c r="G22" s="39">
        <f t="shared" si="0"/>
        <v>0</v>
      </c>
      <c r="H22" s="224">
        <v>0</v>
      </c>
      <c r="I22" s="224">
        <v>0</v>
      </c>
      <c r="J22" s="39">
        <f t="shared" si="1"/>
        <v>0</v>
      </c>
      <c r="K22" s="39">
        <f t="shared" si="2"/>
        <v>0</v>
      </c>
      <c r="L22" s="228"/>
      <c r="M22" s="225">
        <f t="shared" si="3"/>
        <v>405569.43099999975</v>
      </c>
      <c r="N22" s="39"/>
      <c r="O22" s="30"/>
    </row>
    <row r="23" spans="1:15" ht="15">
      <c r="A23" s="28">
        <v>20</v>
      </c>
      <c r="B23" s="29">
        <v>45889</v>
      </c>
      <c r="C23" s="117"/>
      <c r="D23" s="117"/>
      <c r="E23" s="39"/>
      <c r="F23" s="39">
        <v>0</v>
      </c>
      <c r="G23" s="39">
        <f t="shared" ref="G23:G32" si="4">E23*F23</f>
        <v>0</v>
      </c>
      <c r="H23" s="224">
        <v>0</v>
      </c>
      <c r="I23" s="224">
        <v>0</v>
      </c>
      <c r="J23" s="39">
        <f t="shared" ref="J23:J32" si="5">H23*I23</f>
        <v>0</v>
      </c>
      <c r="K23" s="39">
        <f t="shared" ref="K23:K32" si="6">G23+J23</f>
        <v>0</v>
      </c>
      <c r="L23" s="228"/>
      <c r="M23" s="225">
        <f t="shared" si="3"/>
        <v>405569.43099999975</v>
      </c>
      <c r="N23" s="39"/>
      <c r="O23" s="30"/>
    </row>
    <row r="24" spans="1:15" ht="15">
      <c r="A24" s="28">
        <v>21</v>
      </c>
      <c r="B24" s="29">
        <v>45890</v>
      </c>
      <c r="C24" s="117"/>
      <c r="D24" s="117"/>
      <c r="E24" s="39"/>
      <c r="F24" s="39">
        <v>0</v>
      </c>
      <c r="G24" s="39">
        <f t="shared" si="4"/>
        <v>0</v>
      </c>
      <c r="H24" s="224">
        <v>0</v>
      </c>
      <c r="I24" s="224">
        <v>0</v>
      </c>
      <c r="J24" s="39">
        <f t="shared" si="5"/>
        <v>0</v>
      </c>
      <c r="K24" s="39">
        <f t="shared" si="6"/>
        <v>0</v>
      </c>
      <c r="L24" s="228"/>
      <c r="M24" s="225">
        <f t="shared" si="3"/>
        <v>405569.43099999975</v>
      </c>
      <c r="N24" s="39"/>
      <c r="O24" s="30"/>
    </row>
    <row r="25" spans="1:15" ht="15">
      <c r="A25" s="28">
        <v>22</v>
      </c>
      <c r="B25" s="29">
        <v>45891</v>
      </c>
      <c r="C25" s="117"/>
      <c r="D25" s="117"/>
      <c r="E25" s="39"/>
      <c r="F25" s="39">
        <v>0</v>
      </c>
      <c r="G25" s="39">
        <f t="shared" si="4"/>
        <v>0</v>
      </c>
      <c r="H25" s="224">
        <v>0</v>
      </c>
      <c r="I25" s="224">
        <v>0</v>
      </c>
      <c r="J25" s="39">
        <f t="shared" si="5"/>
        <v>0</v>
      </c>
      <c r="K25" s="39">
        <f t="shared" si="6"/>
        <v>0</v>
      </c>
      <c r="L25" s="228"/>
      <c r="M25" s="225">
        <f t="shared" si="3"/>
        <v>405569.43099999975</v>
      </c>
      <c r="N25" s="39"/>
      <c r="O25" s="30"/>
    </row>
    <row r="26" spans="1:15" ht="15">
      <c r="A26" s="28">
        <v>23</v>
      </c>
      <c r="B26" s="29">
        <v>45892</v>
      </c>
      <c r="C26" s="117"/>
      <c r="D26" s="117"/>
      <c r="E26" s="39"/>
      <c r="F26" s="39">
        <v>0</v>
      </c>
      <c r="G26" s="39">
        <f t="shared" si="4"/>
        <v>0</v>
      </c>
      <c r="H26" s="224">
        <v>0</v>
      </c>
      <c r="I26" s="224">
        <v>0</v>
      </c>
      <c r="J26" s="39">
        <f t="shared" si="5"/>
        <v>0</v>
      </c>
      <c r="K26" s="39">
        <f t="shared" si="6"/>
        <v>0</v>
      </c>
      <c r="L26" s="228"/>
      <c r="M26" s="225">
        <f t="shared" si="3"/>
        <v>405569.43099999975</v>
      </c>
      <c r="N26" s="39"/>
      <c r="O26" s="30"/>
    </row>
    <row r="27" spans="1:15" ht="15">
      <c r="A27" s="28">
        <v>24</v>
      </c>
      <c r="B27" s="29">
        <v>45893</v>
      </c>
      <c r="C27" s="117"/>
      <c r="D27" s="117"/>
      <c r="E27" s="39"/>
      <c r="F27" s="39">
        <v>0</v>
      </c>
      <c r="G27" s="39">
        <f t="shared" si="4"/>
        <v>0</v>
      </c>
      <c r="H27" s="224">
        <v>0</v>
      </c>
      <c r="I27" s="224">
        <v>0</v>
      </c>
      <c r="J27" s="39">
        <f t="shared" si="5"/>
        <v>0</v>
      </c>
      <c r="K27" s="39">
        <f t="shared" si="6"/>
        <v>0</v>
      </c>
      <c r="L27" s="228"/>
      <c r="M27" s="225">
        <f t="shared" si="3"/>
        <v>405569.43099999975</v>
      </c>
      <c r="N27" s="39"/>
      <c r="O27" s="30"/>
    </row>
    <row r="28" spans="1:15" ht="15">
      <c r="A28" s="28">
        <v>25</v>
      </c>
      <c r="B28" s="29">
        <v>45894</v>
      </c>
      <c r="C28" s="117"/>
      <c r="D28" s="117"/>
      <c r="E28" s="39"/>
      <c r="F28" s="39">
        <v>0</v>
      </c>
      <c r="G28" s="39">
        <f t="shared" si="4"/>
        <v>0</v>
      </c>
      <c r="H28" s="224">
        <v>0</v>
      </c>
      <c r="I28" s="224">
        <v>0</v>
      </c>
      <c r="J28" s="39">
        <f t="shared" si="5"/>
        <v>0</v>
      </c>
      <c r="K28" s="39">
        <f t="shared" si="6"/>
        <v>0</v>
      </c>
      <c r="L28" s="228"/>
      <c r="M28" s="225">
        <f>M27+K28-L28</f>
        <v>405569.43099999975</v>
      </c>
      <c r="N28" s="39"/>
      <c r="O28" s="30"/>
    </row>
    <row r="29" spans="1:15" ht="15">
      <c r="A29" s="28">
        <v>26</v>
      </c>
      <c r="B29" s="29">
        <v>45895</v>
      </c>
      <c r="C29" s="117"/>
      <c r="D29" s="117"/>
      <c r="E29" s="39"/>
      <c r="F29" s="39">
        <v>0</v>
      </c>
      <c r="G29" s="39">
        <f t="shared" si="4"/>
        <v>0</v>
      </c>
      <c r="H29" s="224">
        <v>0</v>
      </c>
      <c r="I29" s="224">
        <v>0</v>
      </c>
      <c r="J29" s="39">
        <f t="shared" si="5"/>
        <v>0</v>
      </c>
      <c r="K29" s="39">
        <f t="shared" si="6"/>
        <v>0</v>
      </c>
      <c r="L29" s="228"/>
      <c r="M29" s="225">
        <f t="shared" si="3"/>
        <v>405569.43099999975</v>
      </c>
      <c r="N29" s="39"/>
      <c r="O29" s="30"/>
    </row>
    <row r="30" spans="1:15" ht="15">
      <c r="A30" s="28">
        <v>27</v>
      </c>
      <c r="B30" s="29">
        <v>45896</v>
      </c>
      <c r="C30" s="117"/>
      <c r="D30" s="117"/>
      <c r="E30" s="39"/>
      <c r="F30" s="39">
        <v>0</v>
      </c>
      <c r="G30" s="39">
        <f t="shared" si="4"/>
        <v>0</v>
      </c>
      <c r="H30" s="224">
        <v>0</v>
      </c>
      <c r="I30" s="224">
        <v>0</v>
      </c>
      <c r="J30" s="39">
        <f t="shared" si="5"/>
        <v>0</v>
      </c>
      <c r="K30" s="39">
        <f t="shared" si="6"/>
        <v>0</v>
      </c>
      <c r="L30" s="228"/>
      <c r="M30" s="225">
        <f t="shared" si="3"/>
        <v>405569.43099999975</v>
      </c>
      <c r="N30" s="39"/>
      <c r="O30" s="30"/>
    </row>
    <row r="31" spans="1:15" ht="15">
      <c r="A31" s="28">
        <v>28</v>
      </c>
      <c r="B31" s="29">
        <v>45897</v>
      </c>
      <c r="C31" s="117"/>
      <c r="D31" s="117"/>
      <c r="E31" s="39"/>
      <c r="F31" s="39">
        <v>0</v>
      </c>
      <c r="G31" s="39">
        <f t="shared" si="4"/>
        <v>0</v>
      </c>
      <c r="H31" s="224">
        <v>110</v>
      </c>
      <c r="I31" s="224">
        <v>104.27</v>
      </c>
      <c r="J31" s="39">
        <f t="shared" si="5"/>
        <v>11469.699999999999</v>
      </c>
      <c r="K31" s="39">
        <f>G31+J31</f>
        <v>11469.699999999999</v>
      </c>
      <c r="L31" s="228"/>
      <c r="M31" s="225">
        <f t="shared" si="3"/>
        <v>417039.13099999976</v>
      </c>
      <c r="N31" s="39"/>
      <c r="O31" s="30"/>
    </row>
    <row r="32" spans="1:15" ht="15">
      <c r="A32" s="28">
        <v>29</v>
      </c>
      <c r="B32" s="29">
        <v>45898</v>
      </c>
      <c r="C32" s="117"/>
      <c r="D32" s="117"/>
      <c r="E32" s="39"/>
      <c r="F32" s="39">
        <v>0</v>
      </c>
      <c r="G32" s="39">
        <f t="shared" si="4"/>
        <v>0</v>
      </c>
      <c r="H32" s="224">
        <v>0</v>
      </c>
      <c r="I32" s="224">
        <v>0</v>
      </c>
      <c r="J32" s="39">
        <f t="shared" si="5"/>
        <v>0</v>
      </c>
      <c r="K32" s="39">
        <f t="shared" si="6"/>
        <v>0</v>
      </c>
      <c r="L32" s="228"/>
      <c r="M32" s="225">
        <f t="shared" si="3"/>
        <v>417039.13099999976</v>
      </c>
      <c r="N32" s="251"/>
      <c r="O32" s="30"/>
    </row>
    <row r="33" spans="1:15" ht="15">
      <c r="A33" s="28">
        <v>30</v>
      </c>
      <c r="B33" s="29">
        <v>45899</v>
      </c>
      <c r="C33" s="117"/>
      <c r="D33" s="117"/>
      <c r="E33" s="39"/>
      <c r="F33" s="39">
        <v>0</v>
      </c>
      <c r="G33" s="39">
        <f t="shared" si="0"/>
        <v>0</v>
      </c>
      <c r="H33" s="224">
        <v>0</v>
      </c>
      <c r="I33" s="224">
        <v>0</v>
      </c>
      <c r="J33" s="39">
        <f t="shared" si="1"/>
        <v>0</v>
      </c>
      <c r="K33" s="39">
        <f t="shared" si="2"/>
        <v>0</v>
      </c>
      <c r="L33" s="228"/>
      <c r="M33" s="225">
        <f t="shared" si="3"/>
        <v>417039.13099999976</v>
      </c>
      <c r="N33" s="251"/>
      <c r="O33" s="30"/>
    </row>
    <row r="34" spans="1:15" ht="15">
      <c r="A34" s="28">
        <v>31</v>
      </c>
      <c r="B34" s="29"/>
      <c r="C34" s="117"/>
      <c r="D34" s="117"/>
      <c r="E34" s="39"/>
      <c r="F34" s="39">
        <v>0</v>
      </c>
      <c r="G34" s="39">
        <f t="shared" ref="G34" si="7">E34*F34</f>
        <v>0</v>
      </c>
      <c r="H34" s="224"/>
      <c r="I34" s="224"/>
      <c r="J34" s="39">
        <f t="shared" ref="J34" si="8">H34*I34</f>
        <v>0</v>
      </c>
      <c r="K34" s="39">
        <f t="shared" ref="K34" si="9">G34+J34</f>
        <v>0</v>
      </c>
      <c r="L34" s="228"/>
      <c r="M34" s="251"/>
      <c r="N34" s="251"/>
      <c r="O34" s="30"/>
    </row>
    <row r="35" spans="1:15">
      <c r="A35" s="48"/>
      <c r="B35" s="48"/>
      <c r="C35" s="230"/>
      <c r="D35" s="230"/>
      <c r="E35" s="231">
        <f>SUM(E4:E34)</f>
        <v>0</v>
      </c>
      <c r="F35" s="231"/>
      <c r="G35" s="231">
        <f>SUM(G4:G34)</f>
        <v>0</v>
      </c>
      <c r="H35" s="231">
        <f>SUM(H4:H34)</f>
        <v>110</v>
      </c>
      <c r="I35" s="231"/>
      <c r="J35" s="231">
        <f>SUM(J4:J34)</f>
        <v>11469.699999999999</v>
      </c>
      <c r="K35" s="231">
        <f>SUM(K4:K34)</f>
        <v>11469.699999999999</v>
      </c>
      <c r="L35" s="231">
        <f>SUM(L4:L31)</f>
        <v>0</v>
      </c>
      <c r="M35" s="231"/>
      <c r="N35" s="231"/>
      <c r="O35" s="35"/>
    </row>
    <row r="36" spans="1:15">
      <c r="A36" s="32"/>
      <c r="B36" s="32"/>
      <c r="C36" s="32"/>
      <c r="D36" s="32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0"/>
    </row>
    <row r="37" spans="1:15">
      <c r="A37" s="30"/>
      <c r="B37" s="30"/>
      <c r="C37" s="30"/>
      <c r="D37" s="30"/>
      <c r="E37" s="30"/>
      <c r="F37" s="30"/>
      <c r="G37" s="33"/>
      <c r="H37" s="30"/>
      <c r="I37" s="30"/>
      <c r="J37" s="30"/>
      <c r="K37" s="30"/>
      <c r="L37" s="30"/>
      <c r="M37" s="30"/>
      <c r="N37" s="30"/>
      <c r="O37" s="34"/>
    </row>
    <row r="38" spans="1:15">
      <c r="A38" s="30"/>
      <c r="B38" s="421"/>
      <c r="C38" s="421"/>
      <c r="D38" s="421"/>
      <c r="E38" s="421"/>
      <c r="F38" s="30"/>
      <c r="G38" s="30"/>
      <c r="H38" s="30"/>
      <c r="I38" s="421"/>
      <c r="J38" s="421"/>
      <c r="K38" s="421"/>
      <c r="L38" s="421"/>
      <c r="M38" s="421"/>
      <c r="N38" s="421"/>
      <c r="O38" s="34"/>
    </row>
    <row r="39" spans="1:1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4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8"/>
  <sheetViews>
    <sheetView workbookViewId="0">
      <pane ySplit="2" topLeftCell="A21" activePane="bottomLeft" state="frozen"/>
      <selection pane="bottomLeft" activeCell="M35" sqref="M35"/>
    </sheetView>
  </sheetViews>
  <sheetFormatPr defaultRowHeight="15"/>
  <cols>
    <col min="1" max="1" width="4.7109375" style="51" bestFit="1" customWidth="1"/>
    <col min="2" max="2" width="10.42578125" style="51" bestFit="1" customWidth="1"/>
    <col min="3" max="3" width="7.140625" style="51" bestFit="1" customWidth="1"/>
    <col min="4" max="4" width="16" style="51" bestFit="1" customWidth="1"/>
    <col min="5" max="5" width="9.7109375" style="51" bestFit="1" customWidth="1"/>
    <col min="6" max="6" width="11.5703125" style="51" bestFit="1" customWidth="1"/>
    <col min="7" max="7" width="11.85546875" style="51" bestFit="1" customWidth="1"/>
    <col min="8" max="8" width="10.42578125" style="51" bestFit="1" customWidth="1"/>
    <col min="9" max="9" width="7.140625" style="51" bestFit="1" customWidth="1"/>
    <col min="10" max="10" width="10.85546875" style="57" bestFit="1" customWidth="1"/>
    <col min="11" max="11" width="11.85546875" style="51" bestFit="1" customWidth="1"/>
    <col min="12" max="12" width="12.42578125" style="57" bestFit="1" customWidth="1"/>
    <col min="13" max="13" width="12.42578125" style="57" customWidth="1"/>
    <col min="14" max="14" width="17.7109375" style="51" bestFit="1" customWidth="1"/>
    <col min="15" max="15" width="9.140625" style="51"/>
    <col min="16" max="16" width="11.85546875" style="51" bestFit="1" customWidth="1"/>
    <col min="17" max="16384" width="9.140625" style="51"/>
  </cols>
  <sheetData>
    <row r="1" spans="1:16">
      <c r="A1" s="423" t="s">
        <v>30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</row>
    <row r="2" spans="1:16">
      <c r="A2" s="96" t="s">
        <v>94</v>
      </c>
      <c r="B2" s="97" t="s">
        <v>95</v>
      </c>
      <c r="C2" s="97" t="s">
        <v>96</v>
      </c>
      <c r="D2" s="97" t="s">
        <v>97</v>
      </c>
      <c r="E2" s="97" t="s">
        <v>98</v>
      </c>
      <c r="F2" s="97" t="s">
        <v>99</v>
      </c>
      <c r="G2" s="97" t="s">
        <v>100</v>
      </c>
      <c r="H2" s="97" t="s">
        <v>101</v>
      </c>
      <c r="I2" s="97" t="s">
        <v>99</v>
      </c>
      <c r="J2" s="122" t="s">
        <v>100</v>
      </c>
      <c r="K2" s="97" t="s">
        <v>102</v>
      </c>
      <c r="L2" s="122" t="s">
        <v>103</v>
      </c>
      <c r="M2" s="121" t="s">
        <v>110</v>
      </c>
      <c r="N2" s="98" t="s">
        <v>105</v>
      </c>
      <c r="O2" s="35"/>
    </row>
    <row r="3" spans="1:16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24"/>
      <c r="K3" s="31">
        <v>99992.614513800188</v>
      </c>
      <c r="L3" s="52"/>
      <c r="M3" s="123">
        <f>+K3</f>
        <v>99992.614513800188</v>
      </c>
      <c r="N3" s="52"/>
      <c r="O3" s="35">
        <v>99992.614513800188</v>
      </c>
      <c r="P3" s="55"/>
    </row>
    <row r="4" spans="1:16">
      <c r="A4" s="28">
        <v>1</v>
      </c>
      <c r="B4" s="29">
        <v>45870</v>
      </c>
      <c r="C4" s="53" t="s">
        <v>114</v>
      </c>
      <c r="D4" s="54" t="s">
        <v>114</v>
      </c>
      <c r="E4" s="53">
        <v>0</v>
      </c>
      <c r="F4" s="53">
        <v>0</v>
      </c>
      <c r="G4" s="52">
        <f t="shared" ref="G4" si="0">E4*F4</f>
        <v>0</v>
      </c>
      <c r="H4" s="53">
        <v>0</v>
      </c>
      <c r="I4" s="53">
        <v>0</v>
      </c>
      <c r="J4" s="55">
        <f t="shared" ref="J4" si="1">H4*I4</f>
        <v>0</v>
      </c>
      <c r="K4" s="52">
        <f t="shared" ref="K4" si="2">G4+J4</f>
        <v>0</v>
      </c>
      <c r="L4" s="118"/>
      <c r="M4" s="55">
        <f>M3+K4-L4</f>
        <v>99992.614513800188</v>
      </c>
      <c r="N4" s="113"/>
    </row>
    <row r="5" spans="1:16">
      <c r="A5" s="28">
        <v>2</v>
      </c>
      <c r="B5" s="29">
        <v>45871</v>
      </c>
      <c r="C5" s="53" t="s">
        <v>114</v>
      </c>
      <c r="D5" s="54" t="s">
        <v>114</v>
      </c>
      <c r="E5" s="53">
        <v>0</v>
      </c>
      <c r="F5" s="53">
        <v>0</v>
      </c>
      <c r="G5" s="52">
        <f t="shared" ref="G5:G34" si="3">E5*F5</f>
        <v>0</v>
      </c>
      <c r="H5" s="53">
        <v>0</v>
      </c>
      <c r="I5" s="53">
        <v>0</v>
      </c>
      <c r="J5" s="55">
        <f t="shared" ref="J5:J34" si="4">H5*I5</f>
        <v>0</v>
      </c>
      <c r="K5" s="52">
        <f t="shared" ref="K5:K34" si="5">G5+J5</f>
        <v>0</v>
      </c>
      <c r="L5" s="118">
        <v>100000</v>
      </c>
      <c r="M5" s="55">
        <f t="shared" ref="M5:M35" si="6">M4+K5-L5</f>
        <v>-7.3854861998115666</v>
      </c>
      <c r="N5" s="113"/>
    </row>
    <row r="6" spans="1:16">
      <c r="A6" s="28">
        <v>3</v>
      </c>
      <c r="B6" s="29">
        <v>45872</v>
      </c>
      <c r="C6" s="53" t="s">
        <v>114</v>
      </c>
      <c r="D6" s="54" t="s">
        <v>114</v>
      </c>
      <c r="E6" s="53">
        <v>0</v>
      </c>
      <c r="F6" s="53">
        <v>0</v>
      </c>
      <c r="G6" s="52">
        <f t="shared" si="3"/>
        <v>0</v>
      </c>
      <c r="H6" s="53">
        <v>0</v>
      </c>
      <c r="I6" s="53">
        <v>0</v>
      </c>
      <c r="J6" s="55">
        <f t="shared" si="4"/>
        <v>0</v>
      </c>
      <c r="K6" s="52">
        <f t="shared" si="5"/>
        <v>0</v>
      </c>
      <c r="L6" s="118"/>
      <c r="M6" s="55">
        <f t="shared" si="6"/>
        <v>-7.3854861998115666</v>
      </c>
      <c r="N6" s="120"/>
    </row>
    <row r="7" spans="1:16">
      <c r="A7" s="28">
        <v>4</v>
      </c>
      <c r="B7" s="29">
        <v>45873</v>
      </c>
      <c r="C7" s="53" t="s">
        <v>114</v>
      </c>
      <c r="D7" s="54" t="s">
        <v>114</v>
      </c>
      <c r="E7" s="53">
        <v>0</v>
      </c>
      <c r="F7" s="53">
        <v>0</v>
      </c>
      <c r="G7" s="52">
        <f t="shared" si="3"/>
        <v>0</v>
      </c>
      <c r="H7" s="53">
        <v>0</v>
      </c>
      <c r="I7" s="53">
        <v>0</v>
      </c>
      <c r="J7" s="55">
        <f t="shared" si="4"/>
        <v>0</v>
      </c>
      <c r="K7" s="52">
        <f t="shared" si="5"/>
        <v>0</v>
      </c>
      <c r="L7" s="118"/>
      <c r="M7" s="55">
        <f t="shared" si="6"/>
        <v>-7.3854861998115666</v>
      </c>
      <c r="N7" s="120"/>
    </row>
    <row r="8" spans="1:16">
      <c r="A8" s="28">
        <v>5</v>
      </c>
      <c r="B8" s="29">
        <v>45874</v>
      </c>
      <c r="C8" s="53" t="s">
        <v>114</v>
      </c>
      <c r="D8" s="54" t="s">
        <v>114</v>
      </c>
      <c r="E8" s="53">
        <v>0</v>
      </c>
      <c r="F8" s="53">
        <v>0</v>
      </c>
      <c r="G8" s="52">
        <f t="shared" si="3"/>
        <v>0</v>
      </c>
      <c r="H8" s="53">
        <v>0</v>
      </c>
      <c r="I8" s="53">
        <v>0</v>
      </c>
      <c r="J8" s="55">
        <f t="shared" si="4"/>
        <v>0</v>
      </c>
      <c r="K8" s="52">
        <f t="shared" si="5"/>
        <v>0</v>
      </c>
      <c r="L8" s="118"/>
      <c r="M8" s="55">
        <f t="shared" si="6"/>
        <v>-7.3854861998115666</v>
      </c>
      <c r="N8" s="113"/>
    </row>
    <row r="9" spans="1:16">
      <c r="A9" s="28">
        <v>6</v>
      </c>
      <c r="B9" s="29">
        <v>45875</v>
      </c>
      <c r="C9" s="53" t="s">
        <v>114</v>
      </c>
      <c r="D9" s="54" t="s">
        <v>114</v>
      </c>
      <c r="E9" s="53">
        <v>0</v>
      </c>
      <c r="F9" s="53">
        <v>0</v>
      </c>
      <c r="G9" s="52">
        <f t="shared" si="3"/>
        <v>0</v>
      </c>
      <c r="H9" s="53">
        <v>0</v>
      </c>
      <c r="I9" s="53">
        <v>0</v>
      </c>
      <c r="J9" s="55">
        <f t="shared" si="4"/>
        <v>0</v>
      </c>
      <c r="K9" s="52">
        <f t="shared" si="5"/>
        <v>0</v>
      </c>
      <c r="L9" s="118"/>
      <c r="M9" s="55">
        <f t="shared" si="6"/>
        <v>-7.3854861998115666</v>
      </c>
      <c r="N9" s="120"/>
    </row>
    <row r="10" spans="1:16">
      <c r="A10" s="28">
        <v>7</v>
      </c>
      <c r="B10" s="29">
        <v>45876</v>
      </c>
      <c r="C10" s="53" t="s">
        <v>114</v>
      </c>
      <c r="D10" s="54" t="s">
        <v>114</v>
      </c>
      <c r="E10" s="53">
        <v>2000</v>
      </c>
      <c r="F10" s="53">
        <v>91.3</v>
      </c>
      <c r="G10" s="52">
        <f t="shared" si="3"/>
        <v>182600</v>
      </c>
      <c r="H10" s="53">
        <v>105</v>
      </c>
      <c r="I10" s="53">
        <v>103.24</v>
      </c>
      <c r="J10" s="55">
        <f t="shared" si="4"/>
        <v>10840.199999999999</v>
      </c>
      <c r="K10" s="52">
        <f t="shared" si="5"/>
        <v>193440.2</v>
      </c>
      <c r="L10" s="118"/>
      <c r="M10" s="55">
        <f t="shared" si="6"/>
        <v>193432.8145138002</v>
      </c>
      <c r="N10" s="113"/>
    </row>
    <row r="11" spans="1:16">
      <c r="A11" s="28">
        <v>8</v>
      </c>
      <c r="B11" s="29">
        <v>45877</v>
      </c>
      <c r="C11" s="53" t="s">
        <v>114</v>
      </c>
      <c r="D11" s="54" t="s">
        <v>114</v>
      </c>
      <c r="E11" s="53">
        <v>0</v>
      </c>
      <c r="F11" s="53">
        <v>0</v>
      </c>
      <c r="G11" s="52">
        <f t="shared" si="3"/>
        <v>0</v>
      </c>
      <c r="H11" s="53">
        <v>0</v>
      </c>
      <c r="I11" s="53">
        <v>0</v>
      </c>
      <c r="J11" s="55">
        <f t="shared" si="4"/>
        <v>0</v>
      </c>
      <c r="K11" s="52">
        <f t="shared" si="5"/>
        <v>0</v>
      </c>
      <c r="L11" s="118"/>
      <c r="M11" s="55">
        <f t="shared" si="6"/>
        <v>193432.8145138002</v>
      </c>
      <c r="N11" s="119"/>
    </row>
    <row r="12" spans="1:16">
      <c r="A12" s="28">
        <v>9</v>
      </c>
      <c r="B12" s="29">
        <v>45878</v>
      </c>
      <c r="C12" s="53" t="s">
        <v>114</v>
      </c>
      <c r="D12" s="54" t="s">
        <v>114</v>
      </c>
      <c r="E12" s="53">
        <v>0</v>
      </c>
      <c r="F12" s="53">
        <v>0</v>
      </c>
      <c r="G12" s="52">
        <f t="shared" si="3"/>
        <v>0</v>
      </c>
      <c r="H12" s="53">
        <v>0</v>
      </c>
      <c r="I12" s="53">
        <v>0</v>
      </c>
      <c r="J12" s="55">
        <f t="shared" si="4"/>
        <v>0</v>
      </c>
      <c r="K12" s="52">
        <f t="shared" si="5"/>
        <v>0</v>
      </c>
      <c r="L12" s="118"/>
      <c r="M12" s="55">
        <f t="shared" si="6"/>
        <v>193432.8145138002</v>
      </c>
      <c r="N12" s="113"/>
    </row>
    <row r="13" spans="1:16">
      <c r="A13" s="28">
        <v>10</v>
      </c>
      <c r="B13" s="29">
        <v>45879</v>
      </c>
      <c r="C13" s="53" t="s">
        <v>114</v>
      </c>
      <c r="D13" s="54" t="s">
        <v>114</v>
      </c>
      <c r="E13" s="53">
        <v>0</v>
      </c>
      <c r="F13" s="53">
        <v>0</v>
      </c>
      <c r="G13" s="52">
        <f t="shared" si="3"/>
        <v>0</v>
      </c>
      <c r="H13" s="53">
        <v>0</v>
      </c>
      <c r="I13" s="53">
        <v>0</v>
      </c>
      <c r="J13" s="55">
        <f t="shared" si="4"/>
        <v>0</v>
      </c>
      <c r="K13" s="52">
        <f t="shared" si="5"/>
        <v>0</v>
      </c>
      <c r="L13" s="118"/>
      <c r="M13" s="55">
        <f t="shared" si="6"/>
        <v>193432.8145138002</v>
      </c>
      <c r="N13" s="113"/>
    </row>
    <row r="14" spans="1:16">
      <c r="A14" s="28">
        <v>11</v>
      </c>
      <c r="B14" s="29">
        <v>45880</v>
      </c>
      <c r="C14" s="53" t="s">
        <v>114</v>
      </c>
      <c r="D14" s="54" t="s">
        <v>114</v>
      </c>
      <c r="E14" s="53">
        <v>0</v>
      </c>
      <c r="F14" s="53">
        <v>0</v>
      </c>
      <c r="G14" s="52">
        <f t="shared" si="3"/>
        <v>0</v>
      </c>
      <c r="H14" s="53">
        <v>0</v>
      </c>
      <c r="I14" s="53">
        <v>0</v>
      </c>
      <c r="J14" s="55">
        <f t="shared" si="4"/>
        <v>0</v>
      </c>
      <c r="K14" s="52">
        <f t="shared" si="5"/>
        <v>0</v>
      </c>
      <c r="L14" s="118"/>
      <c r="M14" s="55">
        <f t="shared" si="6"/>
        <v>193432.8145138002</v>
      </c>
      <c r="N14" s="113"/>
    </row>
    <row r="15" spans="1:16">
      <c r="A15" s="28">
        <v>12</v>
      </c>
      <c r="B15" s="29">
        <v>45881</v>
      </c>
      <c r="C15" s="53" t="s">
        <v>114</v>
      </c>
      <c r="D15" s="54" t="s">
        <v>114</v>
      </c>
      <c r="E15" s="53">
        <v>0</v>
      </c>
      <c r="F15" s="53">
        <v>0</v>
      </c>
      <c r="G15" s="52">
        <f t="shared" si="3"/>
        <v>0</v>
      </c>
      <c r="H15" s="53">
        <v>0</v>
      </c>
      <c r="I15" s="53">
        <v>0</v>
      </c>
      <c r="J15" s="55">
        <f t="shared" si="4"/>
        <v>0</v>
      </c>
      <c r="K15" s="52">
        <f t="shared" si="5"/>
        <v>0</v>
      </c>
      <c r="L15" s="118"/>
      <c r="M15" s="55">
        <f t="shared" si="6"/>
        <v>193432.8145138002</v>
      </c>
      <c r="N15" s="113"/>
    </row>
    <row r="16" spans="1:16">
      <c r="A16" s="28">
        <v>13</v>
      </c>
      <c r="B16" s="29">
        <v>45882</v>
      </c>
      <c r="C16" s="53" t="s">
        <v>114</v>
      </c>
      <c r="D16" s="54" t="s">
        <v>114</v>
      </c>
      <c r="E16" s="53">
        <v>0</v>
      </c>
      <c r="F16" s="53">
        <v>0</v>
      </c>
      <c r="G16" s="52">
        <f t="shared" si="3"/>
        <v>0</v>
      </c>
      <c r="H16" s="53">
        <v>0</v>
      </c>
      <c r="I16" s="53">
        <v>0</v>
      </c>
      <c r="J16" s="55">
        <f t="shared" si="4"/>
        <v>0</v>
      </c>
      <c r="K16" s="52">
        <f t="shared" si="5"/>
        <v>0</v>
      </c>
      <c r="L16" s="118">
        <v>150000</v>
      </c>
      <c r="M16" s="55">
        <f t="shared" si="6"/>
        <v>43432.8145138002</v>
      </c>
      <c r="N16" s="113"/>
    </row>
    <row r="17" spans="1:14">
      <c r="A17" s="28">
        <v>14</v>
      </c>
      <c r="B17" s="29">
        <v>45883</v>
      </c>
      <c r="C17" s="53" t="s">
        <v>114</v>
      </c>
      <c r="D17" s="54" t="s">
        <v>114</v>
      </c>
      <c r="E17" s="53">
        <v>0</v>
      </c>
      <c r="F17" s="53">
        <v>0</v>
      </c>
      <c r="G17" s="52">
        <f t="shared" si="3"/>
        <v>0</v>
      </c>
      <c r="H17" s="53">
        <v>0</v>
      </c>
      <c r="I17" s="53">
        <v>0</v>
      </c>
      <c r="J17" s="55">
        <f t="shared" si="4"/>
        <v>0</v>
      </c>
      <c r="K17" s="52">
        <f t="shared" si="5"/>
        <v>0</v>
      </c>
      <c r="L17" s="118"/>
      <c r="M17" s="55">
        <f t="shared" si="6"/>
        <v>43432.8145138002</v>
      </c>
      <c r="N17" s="113"/>
    </row>
    <row r="18" spans="1:14">
      <c r="A18" s="28">
        <v>15</v>
      </c>
      <c r="B18" s="29">
        <v>45884</v>
      </c>
      <c r="C18" s="53" t="s">
        <v>114</v>
      </c>
      <c r="D18" s="54" t="s">
        <v>114</v>
      </c>
      <c r="E18" s="53">
        <v>0</v>
      </c>
      <c r="F18" s="53">
        <v>0</v>
      </c>
      <c r="G18" s="52">
        <f t="shared" si="3"/>
        <v>0</v>
      </c>
      <c r="H18" s="53">
        <v>0</v>
      </c>
      <c r="I18" s="53">
        <v>0</v>
      </c>
      <c r="J18" s="55">
        <f t="shared" si="4"/>
        <v>0</v>
      </c>
      <c r="K18" s="52">
        <f t="shared" si="5"/>
        <v>0</v>
      </c>
      <c r="L18" s="118"/>
      <c r="M18" s="55">
        <f t="shared" si="6"/>
        <v>43432.8145138002</v>
      </c>
      <c r="N18" s="113"/>
    </row>
    <row r="19" spans="1:14">
      <c r="A19" s="28">
        <v>16</v>
      </c>
      <c r="B19" s="29">
        <v>45885</v>
      </c>
      <c r="C19" s="53" t="s">
        <v>114</v>
      </c>
      <c r="D19" s="54" t="s">
        <v>114</v>
      </c>
      <c r="E19" s="53">
        <v>0</v>
      </c>
      <c r="F19" s="53">
        <v>0</v>
      </c>
      <c r="G19" s="52">
        <f t="shared" si="3"/>
        <v>0</v>
      </c>
      <c r="H19" s="53">
        <v>0</v>
      </c>
      <c r="I19" s="53">
        <v>0</v>
      </c>
      <c r="J19" s="55">
        <f t="shared" si="4"/>
        <v>0</v>
      </c>
      <c r="K19" s="52">
        <f t="shared" si="5"/>
        <v>0</v>
      </c>
      <c r="L19" s="118"/>
      <c r="M19" s="55">
        <f t="shared" si="6"/>
        <v>43432.8145138002</v>
      </c>
      <c r="N19" s="113"/>
    </row>
    <row r="20" spans="1:14">
      <c r="A20" s="28">
        <v>17</v>
      </c>
      <c r="B20" s="29">
        <v>45886</v>
      </c>
      <c r="C20" s="53" t="s">
        <v>114</v>
      </c>
      <c r="D20" s="54" t="s">
        <v>114</v>
      </c>
      <c r="E20" s="53">
        <v>0</v>
      </c>
      <c r="F20" s="53">
        <v>0</v>
      </c>
      <c r="G20" s="52">
        <f t="shared" si="3"/>
        <v>0</v>
      </c>
      <c r="H20" s="53">
        <v>0</v>
      </c>
      <c r="I20" s="53">
        <v>0</v>
      </c>
      <c r="J20" s="55">
        <f t="shared" si="4"/>
        <v>0</v>
      </c>
      <c r="K20" s="52">
        <f t="shared" si="5"/>
        <v>0</v>
      </c>
      <c r="L20" s="118"/>
      <c r="M20" s="55">
        <f t="shared" si="6"/>
        <v>43432.8145138002</v>
      </c>
      <c r="N20" s="113"/>
    </row>
    <row r="21" spans="1:14">
      <c r="A21" s="28">
        <v>18</v>
      </c>
      <c r="B21" s="29">
        <v>45887</v>
      </c>
      <c r="C21" s="53" t="s">
        <v>114</v>
      </c>
      <c r="D21" s="54" t="s">
        <v>114</v>
      </c>
      <c r="E21" s="53">
        <v>0</v>
      </c>
      <c r="F21" s="53">
        <v>0</v>
      </c>
      <c r="G21" s="52">
        <f t="shared" si="3"/>
        <v>0</v>
      </c>
      <c r="H21" s="53">
        <v>0</v>
      </c>
      <c r="I21" s="53">
        <v>0</v>
      </c>
      <c r="J21" s="55">
        <f t="shared" si="4"/>
        <v>0</v>
      </c>
      <c r="K21" s="52">
        <f t="shared" si="5"/>
        <v>0</v>
      </c>
      <c r="L21" s="118"/>
      <c r="M21" s="55">
        <f t="shared" si="6"/>
        <v>43432.8145138002</v>
      </c>
      <c r="N21" s="113"/>
    </row>
    <row r="22" spans="1:14">
      <c r="A22" s="28">
        <v>19</v>
      </c>
      <c r="B22" s="29">
        <v>45888</v>
      </c>
      <c r="C22" s="53" t="s">
        <v>114</v>
      </c>
      <c r="D22" s="54" t="s">
        <v>114</v>
      </c>
      <c r="E22" s="53">
        <v>0</v>
      </c>
      <c r="F22" s="53">
        <v>0</v>
      </c>
      <c r="G22" s="52">
        <f t="shared" si="3"/>
        <v>0</v>
      </c>
      <c r="H22" s="53">
        <v>105</v>
      </c>
      <c r="I22" s="53">
        <v>103.24</v>
      </c>
      <c r="J22" s="55">
        <f t="shared" si="4"/>
        <v>10840.199999999999</v>
      </c>
      <c r="K22" s="52">
        <f t="shared" si="5"/>
        <v>10840.199999999999</v>
      </c>
      <c r="L22" s="118"/>
      <c r="M22" s="55">
        <f t="shared" si="6"/>
        <v>54273.014513800197</v>
      </c>
      <c r="N22" s="113"/>
    </row>
    <row r="23" spans="1:14">
      <c r="A23" s="28">
        <v>20</v>
      </c>
      <c r="B23" s="29">
        <v>45889</v>
      </c>
      <c r="C23" s="53" t="s">
        <v>114</v>
      </c>
      <c r="D23" s="54" t="s">
        <v>114</v>
      </c>
      <c r="E23" s="53">
        <v>0</v>
      </c>
      <c r="F23" s="53">
        <v>0</v>
      </c>
      <c r="G23" s="52">
        <f t="shared" si="3"/>
        <v>0</v>
      </c>
      <c r="H23" s="53">
        <v>0</v>
      </c>
      <c r="I23" s="53">
        <v>0</v>
      </c>
      <c r="J23" s="55">
        <f t="shared" si="4"/>
        <v>0</v>
      </c>
      <c r="K23" s="52">
        <f t="shared" si="5"/>
        <v>0</v>
      </c>
      <c r="L23" s="118"/>
      <c r="M23" s="55">
        <f t="shared" si="6"/>
        <v>54273.014513800197</v>
      </c>
      <c r="N23" s="113"/>
    </row>
    <row r="24" spans="1:14">
      <c r="A24" s="28">
        <v>21</v>
      </c>
      <c r="B24" s="29">
        <v>45890</v>
      </c>
      <c r="C24" s="53" t="s">
        <v>114</v>
      </c>
      <c r="D24" s="54" t="s">
        <v>114</v>
      </c>
      <c r="E24" s="53">
        <v>1000</v>
      </c>
      <c r="F24" s="53">
        <v>91.3</v>
      </c>
      <c r="G24" s="52">
        <f t="shared" si="3"/>
        <v>91300</v>
      </c>
      <c r="H24" s="53">
        <v>0</v>
      </c>
      <c r="I24" s="53">
        <v>0</v>
      </c>
      <c r="J24" s="55">
        <f t="shared" si="4"/>
        <v>0</v>
      </c>
      <c r="K24" s="52">
        <f t="shared" si="5"/>
        <v>91300</v>
      </c>
      <c r="L24" s="118"/>
      <c r="M24" s="55">
        <f t="shared" si="6"/>
        <v>145573.01451380021</v>
      </c>
      <c r="N24" s="113"/>
    </row>
    <row r="25" spans="1:14">
      <c r="A25" s="28">
        <v>22</v>
      </c>
      <c r="B25" s="29">
        <v>45891</v>
      </c>
      <c r="C25" s="53" t="s">
        <v>114</v>
      </c>
      <c r="D25" s="54" t="s">
        <v>114</v>
      </c>
      <c r="E25" s="53">
        <v>0</v>
      </c>
      <c r="F25" s="53">
        <v>0</v>
      </c>
      <c r="G25" s="52">
        <f t="shared" si="3"/>
        <v>0</v>
      </c>
      <c r="H25" s="53">
        <v>0</v>
      </c>
      <c r="I25" s="53">
        <v>0</v>
      </c>
      <c r="J25" s="55">
        <f t="shared" si="4"/>
        <v>0</v>
      </c>
      <c r="K25" s="52">
        <f t="shared" si="5"/>
        <v>0</v>
      </c>
      <c r="L25" s="118"/>
      <c r="M25" s="55">
        <f t="shared" si="6"/>
        <v>145573.01451380021</v>
      </c>
      <c r="N25" s="113"/>
    </row>
    <row r="26" spans="1:14">
      <c r="A26" s="28">
        <v>23</v>
      </c>
      <c r="B26" s="29">
        <v>45892</v>
      </c>
      <c r="C26" s="53" t="s">
        <v>114</v>
      </c>
      <c r="D26" s="54" t="s">
        <v>114</v>
      </c>
      <c r="E26" s="53">
        <v>0</v>
      </c>
      <c r="F26" s="53">
        <v>0</v>
      </c>
      <c r="G26" s="52">
        <f t="shared" si="3"/>
        <v>0</v>
      </c>
      <c r="H26" s="53">
        <v>0</v>
      </c>
      <c r="I26" s="53">
        <v>0</v>
      </c>
      <c r="J26" s="55">
        <f t="shared" si="4"/>
        <v>0</v>
      </c>
      <c r="K26" s="52">
        <f t="shared" si="5"/>
        <v>0</v>
      </c>
      <c r="L26" s="118"/>
      <c r="M26" s="55">
        <f t="shared" si="6"/>
        <v>145573.01451380021</v>
      </c>
      <c r="N26" s="113"/>
    </row>
    <row r="27" spans="1:14">
      <c r="A27" s="28">
        <v>24</v>
      </c>
      <c r="B27" s="29">
        <v>45893</v>
      </c>
      <c r="C27" s="53" t="s">
        <v>114</v>
      </c>
      <c r="D27" s="54" t="s">
        <v>114</v>
      </c>
      <c r="E27" s="53">
        <v>0</v>
      </c>
      <c r="F27" s="53">
        <v>0</v>
      </c>
      <c r="G27" s="52">
        <f t="shared" si="3"/>
        <v>0</v>
      </c>
      <c r="H27" s="53">
        <v>0</v>
      </c>
      <c r="I27" s="53">
        <v>0</v>
      </c>
      <c r="J27" s="55">
        <f t="shared" si="4"/>
        <v>0</v>
      </c>
      <c r="K27" s="52">
        <f t="shared" si="5"/>
        <v>0</v>
      </c>
      <c r="L27" s="118"/>
      <c r="M27" s="55">
        <f t="shared" si="6"/>
        <v>145573.01451380021</v>
      </c>
      <c r="N27" s="113"/>
    </row>
    <row r="28" spans="1:14">
      <c r="A28" s="28">
        <v>25</v>
      </c>
      <c r="B28" s="29">
        <v>45894</v>
      </c>
      <c r="C28" s="53"/>
      <c r="D28" s="54"/>
      <c r="E28" s="53">
        <v>1400</v>
      </c>
      <c r="F28" s="53">
        <v>91.3</v>
      </c>
      <c r="G28" s="52">
        <f t="shared" si="3"/>
        <v>127820</v>
      </c>
      <c r="H28" s="53">
        <v>105</v>
      </c>
      <c r="I28" s="53">
        <v>103.24</v>
      </c>
      <c r="J28" s="55">
        <f t="shared" si="4"/>
        <v>10840.199999999999</v>
      </c>
      <c r="K28" s="52">
        <f t="shared" si="5"/>
        <v>138660.20000000001</v>
      </c>
      <c r="L28" s="118"/>
      <c r="M28" s="55">
        <f t="shared" si="6"/>
        <v>284233.21451380022</v>
      </c>
      <c r="N28" s="113"/>
    </row>
    <row r="29" spans="1:14">
      <c r="A29" s="28">
        <v>26</v>
      </c>
      <c r="B29" s="29">
        <v>45895</v>
      </c>
      <c r="C29" s="53" t="s">
        <v>114</v>
      </c>
      <c r="D29" s="54" t="s">
        <v>114</v>
      </c>
      <c r="E29" s="53">
        <v>0</v>
      </c>
      <c r="F29" s="53">
        <v>0</v>
      </c>
      <c r="G29" s="52">
        <f t="shared" si="3"/>
        <v>0</v>
      </c>
      <c r="H29" s="53">
        <v>0</v>
      </c>
      <c r="I29" s="53">
        <v>0</v>
      </c>
      <c r="J29" s="55">
        <f t="shared" si="4"/>
        <v>0</v>
      </c>
      <c r="K29" s="52">
        <f t="shared" si="5"/>
        <v>0</v>
      </c>
      <c r="L29" s="118"/>
      <c r="M29" s="55">
        <f t="shared" si="6"/>
        <v>284233.21451380022</v>
      </c>
      <c r="N29" s="113"/>
    </row>
    <row r="30" spans="1:14">
      <c r="A30" s="28">
        <v>27</v>
      </c>
      <c r="B30" s="29">
        <v>45896</v>
      </c>
      <c r="C30" s="53" t="s">
        <v>114</v>
      </c>
      <c r="D30" s="54" t="s">
        <v>114</v>
      </c>
      <c r="E30" s="53">
        <v>0</v>
      </c>
      <c r="F30" s="53">
        <v>0</v>
      </c>
      <c r="G30" s="52">
        <f t="shared" si="3"/>
        <v>0</v>
      </c>
      <c r="H30" s="53">
        <v>0</v>
      </c>
      <c r="I30" s="53">
        <v>0</v>
      </c>
      <c r="J30" s="55">
        <f t="shared" si="4"/>
        <v>0</v>
      </c>
      <c r="K30" s="52">
        <f t="shared" si="5"/>
        <v>0</v>
      </c>
      <c r="L30" s="118"/>
      <c r="M30" s="55">
        <f t="shared" si="6"/>
        <v>284233.21451380022</v>
      </c>
      <c r="N30" s="113"/>
    </row>
    <row r="31" spans="1:14">
      <c r="A31" s="28">
        <v>28</v>
      </c>
      <c r="B31" s="29">
        <v>45897</v>
      </c>
      <c r="C31" s="53" t="s">
        <v>114</v>
      </c>
      <c r="D31" s="54" t="s">
        <v>114</v>
      </c>
      <c r="E31" s="53">
        <v>0</v>
      </c>
      <c r="F31" s="53">
        <v>0</v>
      </c>
      <c r="G31" s="52">
        <f t="shared" si="3"/>
        <v>0</v>
      </c>
      <c r="H31" s="53">
        <v>0</v>
      </c>
      <c r="I31" s="53">
        <v>0</v>
      </c>
      <c r="J31" s="55">
        <f t="shared" si="4"/>
        <v>0</v>
      </c>
      <c r="K31" s="52">
        <f t="shared" si="5"/>
        <v>0</v>
      </c>
      <c r="L31" s="118"/>
      <c r="M31" s="55">
        <f t="shared" si="6"/>
        <v>284233.21451380022</v>
      </c>
      <c r="N31" s="113"/>
    </row>
    <row r="32" spans="1:14">
      <c r="A32" s="28">
        <v>29</v>
      </c>
      <c r="B32" s="29">
        <v>45898</v>
      </c>
      <c r="C32" s="52"/>
      <c r="D32" s="54" t="s">
        <v>114</v>
      </c>
      <c r="E32" s="53">
        <v>0</v>
      </c>
      <c r="F32" s="53">
        <v>0</v>
      </c>
      <c r="G32" s="52">
        <f t="shared" si="3"/>
        <v>0</v>
      </c>
      <c r="H32" s="53">
        <v>0</v>
      </c>
      <c r="I32" s="53">
        <v>0</v>
      </c>
      <c r="J32" s="55">
        <f t="shared" si="4"/>
        <v>0</v>
      </c>
      <c r="K32" s="52">
        <f t="shared" si="5"/>
        <v>0</v>
      </c>
      <c r="L32" s="118"/>
      <c r="M32" s="55">
        <f t="shared" si="6"/>
        <v>284233.21451380022</v>
      </c>
      <c r="N32" s="113"/>
    </row>
    <row r="33" spans="1:34">
      <c r="A33" s="28">
        <v>30</v>
      </c>
      <c r="B33" s="29">
        <v>45899</v>
      </c>
      <c r="C33" s="52"/>
      <c r="D33" s="54" t="s">
        <v>114</v>
      </c>
      <c r="E33" s="53">
        <v>0</v>
      </c>
      <c r="F33" s="53">
        <v>0</v>
      </c>
      <c r="G33" s="52">
        <f t="shared" si="3"/>
        <v>0</v>
      </c>
      <c r="H33" s="53">
        <v>0</v>
      </c>
      <c r="I33" s="53">
        <v>0</v>
      </c>
      <c r="J33" s="55">
        <f t="shared" si="4"/>
        <v>0</v>
      </c>
      <c r="K33" s="52">
        <f t="shared" si="5"/>
        <v>0</v>
      </c>
      <c r="L33" s="118"/>
      <c r="M33" s="55">
        <f t="shared" si="6"/>
        <v>284233.21451380022</v>
      </c>
      <c r="N33" s="113"/>
    </row>
    <row r="34" spans="1:34">
      <c r="A34" s="28">
        <v>31</v>
      </c>
      <c r="B34" s="29">
        <v>45900</v>
      </c>
      <c r="C34" s="52"/>
      <c r="D34" s="54" t="s">
        <v>114</v>
      </c>
      <c r="E34" s="53">
        <v>0</v>
      </c>
      <c r="F34" s="53">
        <v>0</v>
      </c>
      <c r="G34" s="52">
        <f t="shared" si="3"/>
        <v>0</v>
      </c>
      <c r="H34" s="53">
        <v>0</v>
      </c>
      <c r="I34" s="53">
        <v>0</v>
      </c>
      <c r="J34" s="55">
        <f t="shared" si="4"/>
        <v>0</v>
      </c>
      <c r="K34" s="52">
        <f t="shared" si="5"/>
        <v>0</v>
      </c>
      <c r="L34" s="118"/>
      <c r="M34" s="55">
        <f t="shared" si="6"/>
        <v>284233.21451380022</v>
      </c>
      <c r="N34" s="113"/>
    </row>
    <row r="35" spans="1:34">
      <c r="A35" s="28">
        <v>32</v>
      </c>
      <c r="B35" s="29"/>
      <c r="C35" s="52"/>
      <c r="D35" s="54" t="s">
        <v>114</v>
      </c>
      <c r="E35" s="53">
        <v>0</v>
      </c>
      <c r="F35" s="53"/>
      <c r="G35" s="52">
        <f t="shared" ref="G5:G35" si="7">E35*F35</f>
        <v>0</v>
      </c>
      <c r="H35" s="53">
        <v>0</v>
      </c>
      <c r="I35" s="53"/>
      <c r="J35" s="55">
        <f t="shared" ref="J5:J35" si="8">H35*I35</f>
        <v>0</v>
      </c>
      <c r="K35" s="52">
        <f t="shared" ref="K5:K35" si="9">G35+J35</f>
        <v>0</v>
      </c>
      <c r="L35" s="118"/>
      <c r="M35" s="55">
        <f t="shared" si="6"/>
        <v>284233.21451380022</v>
      </c>
      <c r="N35" s="113"/>
    </row>
    <row r="36" spans="1:34">
      <c r="A36" s="48"/>
      <c r="B36" s="48"/>
      <c r="C36" s="48"/>
      <c r="D36" s="48"/>
      <c r="E36" s="49">
        <f>SUM(E4:E35)</f>
        <v>4400</v>
      </c>
      <c r="F36" s="49"/>
      <c r="G36" s="49">
        <f>SUM(G4:G35)</f>
        <v>401720</v>
      </c>
      <c r="H36" s="49">
        <f>SUM(H4:H35)</f>
        <v>315</v>
      </c>
      <c r="I36" s="49"/>
      <c r="J36" s="49">
        <f>SUM(J4:J35)</f>
        <v>32520.6</v>
      </c>
      <c r="K36" s="49">
        <f>SUM(K4:K35)</f>
        <v>434240.60000000003</v>
      </c>
      <c r="L36" s="49">
        <f>SUM(L4:L35)</f>
        <v>250000</v>
      </c>
      <c r="M36" s="49"/>
      <c r="N36" s="49"/>
      <c r="O36" s="35"/>
    </row>
    <row r="37" spans="1:34" s="56" customFormat="1" ht="20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</row>
    <row r="38" spans="1:34">
      <c r="J38" s="51"/>
      <c r="L38" s="51"/>
      <c r="M38" s="51"/>
    </row>
  </sheetData>
  <mergeCells count="2">
    <mergeCell ref="A1:N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38"/>
  <sheetViews>
    <sheetView topLeftCell="A32" workbookViewId="0">
      <selection activeCell="S43" sqref="S43"/>
    </sheetView>
  </sheetViews>
  <sheetFormatPr defaultRowHeight="15"/>
  <cols>
    <col min="2" max="2" width="12" customWidth="1"/>
    <col min="7" max="7" width="13" customWidth="1"/>
    <col min="10" max="10" width="10.85546875" bestFit="1" customWidth="1"/>
    <col min="11" max="11" width="10.42578125" bestFit="1" customWidth="1"/>
    <col min="12" max="13" width="11.85546875" bestFit="1" customWidth="1"/>
  </cols>
  <sheetData>
    <row r="1" spans="1:34">
      <c r="A1" s="423" t="s">
        <v>32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</row>
    <row r="2" spans="1:34" ht="27">
      <c r="A2" s="96" t="s">
        <v>94</v>
      </c>
      <c r="B2" s="97" t="s">
        <v>95</v>
      </c>
      <c r="C2" s="97" t="s">
        <v>96</v>
      </c>
      <c r="D2" s="97" t="s">
        <v>97</v>
      </c>
      <c r="E2" s="97" t="s">
        <v>98</v>
      </c>
      <c r="F2" s="97" t="s">
        <v>99</v>
      </c>
      <c r="G2" s="97" t="s">
        <v>100</v>
      </c>
      <c r="H2" s="97" t="s">
        <v>101</v>
      </c>
      <c r="I2" s="97" t="s">
        <v>99</v>
      </c>
      <c r="J2" s="122" t="s">
        <v>100</v>
      </c>
      <c r="K2" s="97" t="s">
        <v>102</v>
      </c>
      <c r="L2" s="122" t="s">
        <v>103</v>
      </c>
      <c r="M2" s="121" t="s">
        <v>110</v>
      </c>
      <c r="N2" s="98" t="s">
        <v>105</v>
      </c>
      <c r="O2" s="35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</row>
    <row r="3" spans="1:34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24"/>
      <c r="K3" s="31">
        <v>0</v>
      </c>
      <c r="L3" s="52"/>
      <c r="M3" s="123">
        <f>+K3</f>
        <v>0</v>
      </c>
      <c r="N3" s="52"/>
      <c r="O3" s="35">
        <v>99992.614513800188</v>
      </c>
      <c r="P3" s="55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</row>
    <row r="4" spans="1:34">
      <c r="A4" s="28">
        <v>1</v>
      </c>
      <c r="B4" s="29">
        <v>45870</v>
      </c>
      <c r="C4" s="53" t="s">
        <v>114</v>
      </c>
      <c r="D4" s="54" t="s">
        <v>114</v>
      </c>
      <c r="E4" s="53">
        <v>2400</v>
      </c>
      <c r="F4" s="53">
        <v>91.33</v>
      </c>
      <c r="G4" s="52">
        <f t="shared" ref="G4:G35" si="0">E4*F4</f>
        <v>219192</v>
      </c>
      <c r="H4" s="53">
        <v>105</v>
      </c>
      <c r="I4" s="53">
        <v>103.27</v>
      </c>
      <c r="J4" s="55">
        <f t="shared" ref="J4:J35" si="1">H4*I4</f>
        <v>10843.35</v>
      </c>
      <c r="K4" s="52">
        <f t="shared" ref="K4:K35" si="2">G4+J4</f>
        <v>230035.35</v>
      </c>
      <c r="L4" s="118"/>
      <c r="M4" s="55">
        <f>M3+K4-L4</f>
        <v>230035.35</v>
      </c>
      <c r="N4" s="113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</row>
    <row r="5" spans="1:34">
      <c r="A5" s="28">
        <v>2</v>
      </c>
      <c r="B5" s="29">
        <v>45871</v>
      </c>
      <c r="C5" s="53" t="s">
        <v>114</v>
      </c>
      <c r="D5" s="54" t="s">
        <v>114</v>
      </c>
      <c r="E5" s="53">
        <v>0</v>
      </c>
      <c r="F5" s="53">
        <v>0</v>
      </c>
      <c r="G5" s="52">
        <f t="shared" si="0"/>
        <v>0</v>
      </c>
      <c r="H5" s="53">
        <v>0</v>
      </c>
      <c r="I5" s="53">
        <v>0</v>
      </c>
      <c r="J5" s="55">
        <f t="shared" si="1"/>
        <v>0</v>
      </c>
      <c r="K5" s="52">
        <f t="shared" si="2"/>
        <v>0</v>
      </c>
      <c r="L5" s="118">
        <v>0</v>
      </c>
      <c r="M5" s="55">
        <f t="shared" ref="M5:M35" si="3">M4+K5-L5</f>
        <v>230035.35</v>
      </c>
      <c r="N5" s="113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</row>
    <row r="6" spans="1:34">
      <c r="A6" s="28">
        <v>3</v>
      </c>
      <c r="B6" s="29">
        <v>45872</v>
      </c>
      <c r="C6" s="53" t="s">
        <v>114</v>
      </c>
      <c r="D6" s="54" t="s">
        <v>114</v>
      </c>
      <c r="E6" s="53">
        <v>0</v>
      </c>
      <c r="F6" s="53">
        <v>0</v>
      </c>
      <c r="G6" s="52">
        <f t="shared" si="0"/>
        <v>0</v>
      </c>
      <c r="H6" s="53">
        <v>0</v>
      </c>
      <c r="I6" s="53">
        <v>0</v>
      </c>
      <c r="J6" s="55">
        <f t="shared" si="1"/>
        <v>0</v>
      </c>
      <c r="K6" s="52">
        <f t="shared" si="2"/>
        <v>0</v>
      </c>
      <c r="L6" s="118"/>
      <c r="M6" s="55">
        <f t="shared" si="3"/>
        <v>230035.35</v>
      </c>
      <c r="N6" s="120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</row>
    <row r="7" spans="1:34">
      <c r="A7" s="28">
        <v>4</v>
      </c>
      <c r="B7" s="29">
        <v>45873</v>
      </c>
      <c r="C7" s="53" t="s">
        <v>114</v>
      </c>
      <c r="D7" s="54" t="s">
        <v>114</v>
      </c>
      <c r="E7" s="53">
        <v>0</v>
      </c>
      <c r="F7" s="53">
        <v>0</v>
      </c>
      <c r="G7" s="52">
        <f t="shared" si="0"/>
        <v>0</v>
      </c>
      <c r="H7" s="53">
        <v>0</v>
      </c>
      <c r="I7" s="53">
        <v>0</v>
      </c>
      <c r="J7" s="55">
        <f t="shared" si="1"/>
        <v>0</v>
      </c>
      <c r="K7" s="52">
        <f t="shared" si="2"/>
        <v>0</v>
      </c>
      <c r="L7" s="118"/>
      <c r="M7" s="55">
        <f t="shared" si="3"/>
        <v>230035.35</v>
      </c>
      <c r="N7" s="120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</row>
    <row r="8" spans="1:34">
      <c r="A8" s="28">
        <v>5</v>
      </c>
      <c r="B8" s="29">
        <v>45874</v>
      </c>
      <c r="C8" s="53" t="s">
        <v>114</v>
      </c>
      <c r="D8" s="54" t="s">
        <v>114</v>
      </c>
      <c r="E8" s="53">
        <v>0</v>
      </c>
      <c r="F8" s="53">
        <v>0</v>
      </c>
      <c r="G8" s="52">
        <f t="shared" si="0"/>
        <v>0</v>
      </c>
      <c r="H8" s="53">
        <v>0</v>
      </c>
      <c r="I8" s="53">
        <v>0</v>
      </c>
      <c r="J8" s="55">
        <f t="shared" si="1"/>
        <v>0</v>
      </c>
      <c r="K8" s="52">
        <f t="shared" si="2"/>
        <v>0</v>
      </c>
      <c r="L8" s="118"/>
      <c r="M8" s="55">
        <f t="shared" si="3"/>
        <v>230035.35</v>
      </c>
      <c r="N8" s="113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</row>
    <row r="9" spans="1:34">
      <c r="A9" s="28">
        <v>6</v>
      </c>
      <c r="B9" s="29">
        <v>45875</v>
      </c>
      <c r="C9" s="53" t="s">
        <v>114</v>
      </c>
      <c r="D9" s="54" t="s">
        <v>114</v>
      </c>
      <c r="E9" s="53">
        <v>0</v>
      </c>
      <c r="F9" s="53">
        <v>0</v>
      </c>
      <c r="G9" s="52">
        <f t="shared" si="0"/>
        <v>0</v>
      </c>
      <c r="H9" s="53">
        <v>0</v>
      </c>
      <c r="I9" s="53">
        <v>0</v>
      </c>
      <c r="J9" s="55">
        <f t="shared" si="1"/>
        <v>0</v>
      </c>
      <c r="K9" s="52">
        <f t="shared" si="2"/>
        <v>0</v>
      </c>
      <c r="L9" s="118"/>
      <c r="M9" s="55">
        <f t="shared" si="3"/>
        <v>230035.35</v>
      </c>
      <c r="N9" s="120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</row>
    <row r="10" spans="1:34">
      <c r="A10" s="28">
        <v>7</v>
      </c>
      <c r="B10" s="29">
        <v>45876</v>
      </c>
      <c r="C10" s="53" t="s">
        <v>114</v>
      </c>
      <c r="D10" s="54" t="s">
        <v>114</v>
      </c>
      <c r="E10" s="53">
        <v>0</v>
      </c>
      <c r="F10" s="53">
        <v>0</v>
      </c>
      <c r="G10" s="52">
        <f t="shared" si="0"/>
        <v>0</v>
      </c>
      <c r="H10" s="53">
        <v>0</v>
      </c>
      <c r="I10" s="53">
        <v>0</v>
      </c>
      <c r="J10" s="55">
        <f t="shared" si="1"/>
        <v>0</v>
      </c>
      <c r="K10" s="52">
        <f t="shared" si="2"/>
        <v>0</v>
      </c>
      <c r="L10" s="118"/>
      <c r="M10" s="55">
        <f t="shared" si="3"/>
        <v>230035.35</v>
      </c>
      <c r="N10" s="113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</row>
    <row r="11" spans="1:34">
      <c r="A11" s="28">
        <v>8</v>
      </c>
      <c r="B11" s="29">
        <v>45877</v>
      </c>
      <c r="C11" s="53" t="s">
        <v>114</v>
      </c>
      <c r="D11" s="54" t="s">
        <v>114</v>
      </c>
      <c r="E11" s="53">
        <v>0</v>
      </c>
      <c r="F11" s="53">
        <v>0</v>
      </c>
      <c r="G11" s="52">
        <f t="shared" si="0"/>
        <v>0</v>
      </c>
      <c r="H11" s="53">
        <v>0</v>
      </c>
      <c r="I11" s="53">
        <v>0</v>
      </c>
      <c r="J11" s="55">
        <f t="shared" si="1"/>
        <v>0</v>
      </c>
      <c r="K11" s="52">
        <f t="shared" si="2"/>
        <v>0</v>
      </c>
      <c r="L11" s="118"/>
      <c r="M11" s="55">
        <f t="shared" si="3"/>
        <v>230035.35</v>
      </c>
      <c r="N11" s="119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</row>
    <row r="12" spans="1:34">
      <c r="A12" s="28">
        <v>9</v>
      </c>
      <c r="B12" s="29">
        <v>45878</v>
      </c>
      <c r="C12" s="53" t="s">
        <v>114</v>
      </c>
      <c r="D12" s="54" t="s">
        <v>114</v>
      </c>
      <c r="E12" s="53">
        <v>0</v>
      </c>
      <c r="F12" s="53">
        <v>0</v>
      </c>
      <c r="G12" s="52">
        <f t="shared" si="0"/>
        <v>0</v>
      </c>
      <c r="H12" s="53">
        <v>0</v>
      </c>
      <c r="I12" s="53">
        <v>0</v>
      </c>
      <c r="J12" s="55">
        <f t="shared" si="1"/>
        <v>0</v>
      </c>
      <c r="K12" s="52">
        <f t="shared" si="2"/>
        <v>0</v>
      </c>
      <c r="L12" s="118"/>
      <c r="M12" s="55">
        <f t="shared" si="3"/>
        <v>230035.35</v>
      </c>
      <c r="N12" s="113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</row>
    <row r="13" spans="1:34">
      <c r="A13" s="28">
        <v>10</v>
      </c>
      <c r="B13" s="29">
        <v>45879</v>
      </c>
      <c r="C13" s="53" t="s">
        <v>114</v>
      </c>
      <c r="D13" s="54" t="s">
        <v>114</v>
      </c>
      <c r="E13" s="53">
        <v>0</v>
      </c>
      <c r="F13" s="53">
        <v>0</v>
      </c>
      <c r="G13" s="52">
        <f t="shared" si="0"/>
        <v>0</v>
      </c>
      <c r="H13" s="53">
        <v>0</v>
      </c>
      <c r="I13" s="53">
        <v>0</v>
      </c>
      <c r="J13" s="55">
        <f t="shared" si="1"/>
        <v>0</v>
      </c>
      <c r="K13" s="52">
        <f t="shared" si="2"/>
        <v>0</v>
      </c>
      <c r="L13" s="118"/>
      <c r="M13" s="55">
        <f t="shared" si="3"/>
        <v>230035.35</v>
      </c>
      <c r="N13" s="113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</row>
    <row r="14" spans="1:34">
      <c r="A14" s="28">
        <v>11</v>
      </c>
      <c r="B14" s="29">
        <v>45880</v>
      </c>
      <c r="C14" s="53" t="s">
        <v>114</v>
      </c>
      <c r="D14" s="54" t="s">
        <v>114</v>
      </c>
      <c r="E14" s="53">
        <v>0</v>
      </c>
      <c r="F14" s="53">
        <v>0</v>
      </c>
      <c r="G14" s="52">
        <f t="shared" si="0"/>
        <v>0</v>
      </c>
      <c r="H14" s="53">
        <v>0</v>
      </c>
      <c r="I14" s="53">
        <v>0</v>
      </c>
      <c r="J14" s="55">
        <f t="shared" si="1"/>
        <v>0</v>
      </c>
      <c r="K14" s="52">
        <f t="shared" si="2"/>
        <v>0</v>
      </c>
      <c r="L14" s="118"/>
      <c r="M14" s="55">
        <f t="shared" si="3"/>
        <v>230035.35</v>
      </c>
      <c r="N14" s="113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</row>
    <row r="15" spans="1:34" ht="14.25" customHeight="1">
      <c r="A15" s="28">
        <v>12</v>
      </c>
      <c r="B15" s="29">
        <v>45881</v>
      </c>
      <c r="C15" s="53" t="s">
        <v>114</v>
      </c>
      <c r="D15" s="54" t="s">
        <v>114</v>
      </c>
      <c r="E15" s="53">
        <v>0</v>
      </c>
      <c r="F15" s="53">
        <v>0</v>
      </c>
      <c r="G15" s="52">
        <f t="shared" si="0"/>
        <v>0</v>
      </c>
      <c r="H15" s="53">
        <v>0</v>
      </c>
      <c r="I15" s="53">
        <v>0</v>
      </c>
      <c r="J15" s="55">
        <f t="shared" si="1"/>
        <v>0</v>
      </c>
      <c r="K15" s="52">
        <f t="shared" si="2"/>
        <v>0</v>
      </c>
      <c r="L15" s="118">
        <v>230000</v>
      </c>
      <c r="M15" s="55">
        <f t="shared" si="3"/>
        <v>35.350000000005821</v>
      </c>
      <c r="N15" s="113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</row>
    <row r="16" spans="1:34">
      <c r="A16" s="28">
        <v>13</v>
      </c>
      <c r="B16" s="29">
        <v>45882</v>
      </c>
      <c r="C16" s="53" t="s">
        <v>114</v>
      </c>
      <c r="D16" s="54" t="s">
        <v>114</v>
      </c>
      <c r="E16" s="53">
        <v>2400</v>
      </c>
      <c r="F16" s="53">
        <v>91.33</v>
      </c>
      <c r="G16" s="52">
        <f t="shared" si="0"/>
        <v>219192</v>
      </c>
      <c r="H16" s="53">
        <v>105</v>
      </c>
      <c r="I16" s="53">
        <v>103.27</v>
      </c>
      <c r="J16" s="55">
        <f t="shared" si="1"/>
        <v>10843.35</v>
      </c>
      <c r="K16" s="52">
        <f t="shared" si="2"/>
        <v>230035.35</v>
      </c>
      <c r="L16" s="118"/>
      <c r="M16" s="55">
        <f t="shared" si="3"/>
        <v>230070.7</v>
      </c>
      <c r="N16" s="113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</row>
    <row r="17" spans="1:34">
      <c r="A17" s="28">
        <v>14</v>
      </c>
      <c r="B17" s="29">
        <v>45883</v>
      </c>
      <c r="C17" s="53" t="s">
        <v>114</v>
      </c>
      <c r="D17" s="54" t="s">
        <v>114</v>
      </c>
      <c r="E17" s="53">
        <v>0</v>
      </c>
      <c r="F17" s="53">
        <v>0</v>
      </c>
      <c r="G17" s="52">
        <f t="shared" si="0"/>
        <v>0</v>
      </c>
      <c r="H17" s="53">
        <v>0</v>
      </c>
      <c r="I17" s="53">
        <v>0</v>
      </c>
      <c r="J17" s="55">
        <f t="shared" si="1"/>
        <v>0</v>
      </c>
      <c r="K17" s="52">
        <f t="shared" si="2"/>
        <v>0</v>
      </c>
      <c r="L17" s="118"/>
      <c r="M17" s="55">
        <f t="shared" si="3"/>
        <v>230070.7</v>
      </c>
      <c r="N17" s="113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</row>
    <row r="18" spans="1:34">
      <c r="A18" s="28">
        <v>15</v>
      </c>
      <c r="B18" s="29">
        <v>45884</v>
      </c>
      <c r="C18" s="53" t="s">
        <v>114</v>
      </c>
      <c r="D18" s="54" t="s">
        <v>114</v>
      </c>
      <c r="E18" s="53">
        <v>0</v>
      </c>
      <c r="F18" s="53">
        <v>0</v>
      </c>
      <c r="G18" s="52">
        <f t="shared" si="0"/>
        <v>0</v>
      </c>
      <c r="H18" s="53">
        <v>0</v>
      </c>
      <c r="I18" s="53">
        <v>0</v>
      </c>
      <c r="J18" s="55">
        <f t="shared" si="1"/>
        <v>0</v>
      </c>
      <c r="K18" s="52">
        <f t="shared" si="2"/>
        <v>0</v>
      </c>
      <c r="L18" s="118"/>
      <c r="M18" s="55">
        <f t="shared" si="3"/>
        <v>230070.7</v>
      </c>
      <c r="N18" s="113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</row>
    <row r="19" spans="1:34">
      <c r="A19" s="28">
        <v>16</v>
      </c>
      <c r="B19" s="29">
        <v>45885</v>
      </c>
      <c r="C19" s="53" t="s">
        <v>114</v>
      </c>
      <c r="D19" s="54" t="s">
        <v>114</v>
      </c>
      <c r="E19" s="53">
        <v>0</v>
      </c>
      <c r="F19" s="53">
        <v>0</v>
      </c>
      <c r="G19" s="52">
        <f t="shared" si="0"/>
        <v>0</v>
      </c>
      <c r="H19" s="53">
        <v>0</v>
      </c>
      <c r="I19" s="53">
        <v>0</v>
      </c>
      <c r="J19" s="55">
        <f t="shared" si="1"/>
        <v>0</v>
      </c>
      <c r="K19" s="52">
        <f t="shared" si="2"/>
        <v>0</v>
      </c>
      <c r="L19" s="118"/>
      <c r="M19" s="55">
        <f t="shared" si="3"/>
        <v>230070.7</v>
      </c>
      <c r="N19" s="113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</row>
    <row r="20" spans="1:34">
      <c r="A20" s="28">
        <v>17</v>
      </c>
      <c r="B20" s="29">
        <v>45886</v>
      </c>
      <c r="C20" s="53" t="s">
        <v>114</v>
      </c>
      <c r="D20" s="54" t="s">
        <v>114</v>
      </c>
      <c r="E20" s="53">
        <v>0</v>
      </c>
      <c r="F20" s="53">
        <v>0</v>
      </c>
      <c r="G20" s="52">
        <f t="shared" si="0"/>
        <v>0</v>
      </c>
      <c r="H20" s="53">
        <v>0</v>
      </c>
      <c r="I20" s="53">
        <v>0</v>
      </c>
      <c r="J20" s="55">
        <f t="shared" si="1"/>
        <v>0</v>
      </c>
      <c r="K20" s="52">
        <f t="shared" si="2"/>
        <v>0</v>
      </c>
      <c r="L20" s="118"/>
      <c r="M20" s="55">
        <f t="shared" si="3"/>
        <v>230070.7</v>
      </c>
      <c r="N20" s="113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</row>
    <row r="21" spans="1:34">
      <c r="A21" s="28">
        <v>18</v>
      </c>
      <c r="B21" s="29">
        <v>45887</v>
      </c>
      <c r="C21" s="53" t="s">
        <v>114</v>
      </c>
      <c r="D21" s="54" t="s">
        <v>114</v>
      </c>
      <c r="E21" s="53">
        <v>0</v>
      </c>
      <c r="F21" s="53">
        <v>0</v>
      </c>
      <c r="G21" s="52">
        <f t="shared" si="0"/>
        <v>0</v>
      </c>
      <c r="H21" s="53">
        <v>0</v>
      </c>
      <c r="I21" s="53">
        <v>0</v>
      </c>
      <c r="J21" s="55">
        <f t="shared" si="1"/>
        <v>0</v>
      </c>
      <c r="K21" s="52">
        <f t="shared" si="2"/>
        <v>0</v>
      </c>
      <c r="L21" s="118"/>
      <c r="M21" s="55">
        <f t="shared" si="3"/>
        <v>230070.7</v>
      </c>
      <c r="N21" s="113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</row>
    <row r="22" spans="1:34">
      <c r="A22" s="28">
        <v>19</v>
      </c>
      <c r="B22" s="29">
        <v>45888</v>
      </c>
      <c r="C22" s="53" t="s">
        <v>114</v>
      </c>
      <c r="D22" s="54" t="s">
        <v>114</v>
      </c>
      <c r="E22" s="53">
        <v>0</v>
      </c>
      <c r="F22" s="53">
        <v>0</v>
      </c>
      <c r="G22" s="52">
        <f t="shared" si="0"/>
        <v>0</v>
      </c>
      <c r="H22" s="53">
        <v>0</v>
      </c>
      <c r="I22" s="53">
        <v>0</v>
      </c>
      <c r="J22" s="55">
        <f t="shared" si="1"/>
        <v>0</v>
      </c>
      <c r="K22" s="52">
        <f t="shared" si="2"/>
        <v>0</v>
      </c>
      <c r="L22" s="118"/>
      <c r="M22" s="55">
        <f t="shared" si="3"/>
        <v>230070.7</v>
      </c>
      <c r="N22" s="113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</row>
    <row r="23" spans="1:34">
      <c r="A23" s="28">
        <v>20</v>
      </c>
      <c r="B23" s="29">
        <v>45889</v>
      </c>
      <c r="C23" s="53" t="s">
        <v>114</v>
      </c>
      <c r="D23" s="54" t="s">
        <v>114</v>
      </c>
      <c r="E23" s="53">
        <v>0</v>
      </c>
      <c r="F23" s="53">
        <v>0</v>
      </c>
      <c r="G23" s="52">
        <f t="shared" si="0"/>
        <v>0</v>
      </c>
      <c r="H23" s="53">
        <v>0</v>
      </c>
      <c r="I23" s="53">
        <v>0</v>
      </c>
      <c r="J23" s="55">
        <f t="shared" si="1"/>
        <v>0</v>
      </c>
      <c r="K23" s="52">
        <f t="shared" si="2"/>
        <v>0</v>
      </c>
      <c r="L23" s="118"/>
      <c r="M23" s="55">
        <f t="shared" si="3"/>
        <v>230070.7</v>
      </c>
      <c r="N23" s="113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</row>
    <row r="24" spans="1:34">
      <c r="A24" s="28">
        <v>21</v>
      </c>
      <c r="B24" s="29">
        <v>45890</v>
      </c>
      <c r="C24" s="53" t="s">
        <v>114</v>
      </c>
      <c r="D24" s="54" t="s">
        <v>114</v>
      </c>
      <c r="E24" s="53">
        <v>0</v>
      </c>
      <c r="F24" s="53">
        <v>0</v>
      </c>
      <c r="G24" s="52">
        <f t="shared" si="0"/>
        <v>0</v>
      </c>
      <c r="H24" s="53">
        <v>0</v>
      </c>
      <c r="I24" s="53">
        <v>0</v>
      </c>
      <c r="J24" s="55">
        <f t="shared" si="1"/>
        <v>0</v>
      </c>
      <c r="K24" s="52">
        <f t="shared" si="2"/>
        <v>0</v>
      </c>
      <c r="L24" s="118"/>
      <c r="M24" s="55">
        <f t="shared" si="3"/>
        <v>230070.7</v>
      </c>
      <c r="N24" s="113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</row>
    <row r="25" spans="1:34">
      <c r="A25" s="28">
        <v>22</v>
      </c>
      <c r="B25" s="29">
        <v>45891</v>
      </c>
      <c r="C25" s="53" t="s">
        <v>114</v>
      </c>
      <c r="D25" s="54" t="s">
        <v>114</v>
      </c>
      <c r="E25" s="53">
        <v>0</v>
      </c>
      <c r="F25" s="53">
        <v>0</v>
      </c>
      <c r="G25" s="52">
        <f t="shared" si="0"/>
        <v>0</v>
      </c>
      <c r="H25" s="53">
        <v>0</v>
      </c>
      <c r="I25" s="53">
        <v>0</v>
      </c>
      <c r="J25" s="55">
        <f t="shared" si="1"/>
        <v>0</v>
      </c>
      <c r="K25" s="52">
        <f t="shared" si="2"/>
        <v>0</v>
      </c>
      <c r="L25" s="118"/>
      <c r="M25" s="55">
        <f t="shared" si="3"/>
        <v>230070.7</v>
      </c>
      <c r="N25" s="113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</row>
    <row r="26" spans="1:34">
      <c r="A26" s="28">
        <v>23</v>
      </c>
      <c r="B26" s="29">
        <v>45892</v>
      </c>
      <c r="C26" s="53" t="s">
        <v>114</v>
      </c>
      <c r="D26" s="54" t="s">
        <v>114</v>
      </c>
      <c r="E26" s="53">
        <v>0</v>
      </c>
      <c r="F26" s="53">
        <v>0</v>
      </c>
      <c r="G26" s="52">
        <f t="shared" si="0"/>
        <v>0</v>
      </c>
      <c r="H26" s="53">
        <v>0</v>
      </c>
      <c r="I26" s="53">
        <v>0</v>
      </c>
      <c r="J26" s="55">
        <f t="shared" si="1"/>
        <v>0</v>
      </c>
      <c r="K26" s="52">
        <f t="shared" si="2"/>
        <v>0</v>
      </c>
      <c r="L26" s="118"/>
      <c r="M26" s="55">
        <f t="shared" si="3"/>
        <v>230070.7</v>
      </c>
      <c r="N26" s="113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</row>
    <row r="27" spans="1:34">
      <c r="A27" s="28">
        <v>24</v>
      </c>
      <c r="B27" s="29">
        <v>45893</v>
      </c>
      <c r="C27" s="53" t="s">
        <v>114</v>
      </c>
      <c r="D27" s="54" t="s">
        <v>114</v>
      </c>
      <c r="E27" s="53">
        <v>0</v>
      </c>
      <c r="F27" s="53">
        <v>0</v>
      </c>
      <c r="G27" s="52">
        <f t="shared" si="0"/>
        <v>0</v>
      </c>
      <c r="H27" s="53">
        <v>0</v>
      </c>
      <c r="I27" s="53">
        <v>0</v>
      </c>
      <c r="J27" s="55">
        <f t="shared" si="1"/>
        <v>0</v>
      </c>
      <c r="K27" s="52">
        <f t="shared" si="2"/>
        <v>0</v>
      </c>
      <c r="L27" s="118"/>
      <c r="M27" s="55">
        <f t="shared" si="3"/>
        <v>230070.7</v>
      </c>
      <c r="N27" s="113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</row>
    <row r="28" spans="1:34">
      <c r="A28" s="28">
        <v>25</v>
      </c>
      <c r="B28" s="29">
        <v>45894</v>
      </c>
      <c r="C28" s="53"/>
      <c r="D28" s="54"/>
      <c r="E28" s="53">
        <v>0</v>
      </c>
      <c r="F28" s="53">
        <v>0</v>
      </c>
      <c r="G28" s="52">
        <f t="shared" si="0"/>
        <v>0</v>
      </c>
      <c r="H28" s="53">
        <v>0</v>
      </c>
      <c r="I28" s="53">
        <v>0</v>
      </c>
      <c r="J28" s="55">
        <f t="shared" si="1"/>
        <v>0</v>
      </c>
      <c r="K28" s="52">
        <f t="shared" si="2"/>
        <v>0</v>
      </c>
      <c r="L28" s="118"/>
      <c r="M28" s="55">
        <f t="shared" si="3"/>
        <v>230070.7</v>
      </c>
      <c r="N28" s="113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</row>
    <row r="29" spans="1:34">
      <c r="A29" s="28">
        <v>26</v>
      </c>
      <c r="B29" s="29">
        <v>45895</v>
      </c>
      <c r="C29" s="53" t="s">
        <v>114</v>
      </c>
      <c r="D29" s="54" t="s">
        <v>114</v>
      </c>
      <c r="E29" s="53">
        <v>0</v>
      </c>
      <c r="F29" s="53">
        <v>0</v>
      </c>
      <c r="G29" s="52">
        <f t="shared" si="0"/>
        <v>0</v>
      </c>
      <c r="H29" s="53">
        <v>0</v>
      </c>
      <c r="I29" s="53">
        <v>0</v>
      </c>
      <c r="J29" s="55">
        <f t="shared" si="1"/>
        <v>0</v>
      </c>
      <c r="K29" s="52">
        <f t="shared" si="2"/>
        <v>0</v>
      </c>
      <c r="L29" s="118"/>
      <c r="M29" s="55">
        <f t="shared" si="3"/>
        <v>230070.7</v>
      </c>
      <c r="N29" s="113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</row>
    <row r="30" spans="1:34">
      <c r="A30" s="28">
        <v>27</v>
      </c>
      <c r="B30" s="29">
        <v>45896</v>
      </c>
      <c r="C30" s="53" t="s">
        <v>114</v>
      </c>
      <c r="D30" s="54" t="s">
        <v>114</v>
      </c>
      <c r="E30" s="53">
        <v>0</v>
      </c>
      <c r="F30" s="53">
        <v>0</v>
      </c>
      <c r="G30" s="52">
        <f t="shared" si="0"/>
        <v>0</v>
      </c>
      <c r="H30" s="53">
        <v>0</v>
      </c>
      <c r="I30" s="53">
        <v>0</v>
      </c>
      <c r="J30" s="55">
        <f t="shared" si="1"/>
        <v>0</v>
      </c>
      <c r="K30" s="52">
        <f t="shared" si="2"/>
        <v>0</v>
      </c>
      <c r="L30" s="118"/>
      <c r="M30" s="55">
        <f t="shared" si="3"/>
        <v>230070.7</v>
      </c>
      <c r="N30" s="113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</row>
    <row r="31" spans="1:34">
      <c r="A31" s="28">
        <v>28</v>
      </c>
      <c r="B31" s="29">
        <v>45897</v>
      </c>
      <c r="C31" s="53" t="s">
        <v>114</v>
      </c>
      <c r="D31" s="54" t="s">
        <v>114</v>
      </c>
      <c r="E31" s="53">
        <v>0</v>
      </c>
      <c r="F31" s="53">
        <v>0</v>
      </c>
      <c r="G31" s="52">
        <f t="shared" si="0"/>
        <v>0</v>
      </c>
      <c r="H31" s="53">
        <v>0</v>
      </c>
      <c r="I31" s="53">
        <v>0</v>
      </c>
      <c r="J31" s="55">
        <f t="shared" si="1"/>
        <v>0</v>
      </c>
      <c r="K31" s="52">
        <f t="shared" si="2"/>
        <v>0</v>
      </c>
      <c r="L31" s="118"/>
      <c r="M31" s="55">
        <f t="shared" si="3"/>
        <v>230070.7</v>
      </c>
      <c r="N31" s="113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</row>
    <row r="32" spans="1:34">
      <c r="A32" s="28">
        <v>29</v>
      </c>
      <c r="B32" s="29">
        <v>45898</v>
      </c>
      <c r="C32" s="52"/>
      <c r="D32" s="54" t="s">
        <v>114</v>
      </c>
      <c r="E32" s="53">
        <v>0</v>
      </c>
      <c r="F32" s="53">
        <v>0</v>
      </c>
      <c r="G32" s="52">
        <f t="shared" si="0"/>
        <v>0</v>
      </c>
      <c r="H32" s="53">
        <v>0</v>
      </c>
      <c r="I32" s="53">
        <v>0</v>
      </c>
      <c r="J32" s="55">
        <f t="shared" si="1"/>
        <v>0</v>
      </c>
      <c r="K32" s="52">
        <f t="shared" si="2"/>
        <v>0</v>
      </c>
      <c r="L32" s="118"/>
      <c r="M32" s="55">
        <f t="shared" si="3"/>
        <v>230070.7</v>
      </c>
      <c r="N32" s="113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</row>
    <row r="33" spans="1:34">
      <c r="A33" s="28">
        <v>30</v>
      </c>
      <c r="B33" s="29">
        <v>45899</v>
      </c>
      <c r="C33" s="52"/>
      <c r="D33" s="54" t="s">
        <v>114</v>
      </c>
      <c r="E33" s="53">
        <v>0</v>
      </c>
      <c r="F33" s="53">
        <v>0</v>
      </c>
      <c r="G33" s="52">
        <f t="shared" si="0"/>
        <v>0</v>
      </c>
      <c r="H33" s="53">
        <v>0</v>
      </c>
      <c r="I33" s="53">
        <v>0</v>
      </c>
      <c r="J33" s="55">
        <f t="shared" si="1"/>
        <v>0</v>
      </c>
      <c r="K33" s="52">
        <f t="shared" si="2"/>
        <v>0</v>
      </c>
      <c r="L33" s="118"/>
      <c r="M33" s="55">
        <f t="shared" si="3"/>
        <v>230070.7</v>
      </c>
      <c r="N33" s="113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</row>
    <row r="34" spans="1:34">
      <c r="A34" s="28">
        <v>31</v>
      </c>
      <c r="B34" s="29">
        <v>45900</v>
      </c>
      <c r="C34" s="52"/>
      <c r="D34" s="54" t="s">
        <v>114</v>
      </c>
      <c r="E34" s="53">
        <v>0</v>
      </c>
      <c r="F34" s="53">
        <v>0</v>
      </c>
      <c r="G34" s="52">
        <f t="shared" si="0"/>
        <v>0</v>
      </c>
      <c r="H34" s="53">
        <v>0</v>
      </c>
      <c r="I34" s="53">
        <v>0</v>
      </c>
      <c r="J34" s="55">
        <f t="shared" si="1"/>
        <v>0</v>
      </c>
      <c r="K34" s="52">
        <f t="shared" si="2"/>
        <v>0</v>
      </c>
      <c r="L34" s="118"/>
      <c r="M34" s="55">
        <f t="shared" si="3"/>
        <v>230070.7</v>
      </c>
      <c r="N34" s="113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</row>
    <row r="35" spans="1:34">
      <c r="A35" s="28">
        <v>32</v>
      </c>
      <c r="B35" s="29"/>
      <c r="C35" s="52"/>
      <c r="D35" s="54" t="s">
        <v>114</v>
      </c>
      <c r="E35" s="53">
        <v>0</v>
      </c>
      <c r="F35" s="53"/>
      <c r="G35" s="52">
        <f t="shared" si="0"/>
        <v>0</v>
      </c>
      <c r="H35" s="53">
        <v>0</v>
      </c>
      <c r="I35" s="53"/>
      <c r="J35" s="55">
        <f t="shared" si="1"/>
        <v>0</v>
      </c>
      <c r="K35" s="52">
        <f t="shared" si="2"/>
        <v>0</v>
      </c>
      <c r="L35" s="118"/>
      <c r="M35" s="55">
        <f t="shared" si="3"/>
        <v>230070.7</v>
      </c>
      <c r="N35" s="113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</row>
    <row r="36" spans="1:34">
      <c r="A36" s="48"/>
      <c r="B36" s="48"/>
      <c r="C36" s="48"/>
      <c r="D36" s="48"/>
      <c r="E36" s="49">
        <f>SUM(E4:E35)</f>
        <v>4800</v>
      </c>
      <c r="F36" s="49"/>
      <c r="G36" s="49">
        <f>SUM(G4:G35)</f>
        <v>438384</v>
      </c>
      <c r="H36" s="49">
        <f>SUM(H4:H35)</f>
        <v>210</v>
      </c>
      <c r="I36" s="49"/>
      <c r="J36" s="49">
        <f>SUM(J4:J35)</f>
        <v>21686.7</v>
      </c>
      <c r="K36" s="49">
        <f>SUM(K4:K35)</f>
        <v>460070.7</v>
      </c>
      <c r="L36" s="49">
        <f>SUM(L4:L35)</f>
        <v>230000</v>
      </c>
      <c r="M36" s="49"/>
      <c r="N36" s="49"/>
      <c r="O36" s="35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</row>
    <row r="37" spans="1:34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</row>
    <row r="38" spans="1:34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</row>
  </sheetData>
  <mergeCells count="2">
    <mergeCell ref="A1:N1"/>
    <mergeCell ref="A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A26" activePane="bottomLeft" state="frozen"/>
      <selection pane="bottomLeft" activeCell="G47" sqref="G47"/>
    </sheetView>
  </sheetViews>
  <sheetFormatPr defaultColWidth="9.140625" defaultRowHeight="12.75"/>
  <cols>
    <col min="1" max="1" width="5.28515625" style="35" bestFit="1" customWidth="1"/>
    <col min="2" max="2" width="11.85546875" style="35" bestFit="1" customWidth="1"/>
    <col min="3" max="3" width="10.7109375" style="35" bestFit="1" customWidth="1"/>
    <col min="4" max="4" width="21.5703125" style="35" customWidth="1"/>
    <col min="5" max="5" width="10.85546875" style="35" bestFit="1" customWidth="1"/>
    <col min="6" max="6" width="13.7109375" style="35" bestFit="1" customWidth="1"/>
    <col min="7" max="7" width="15.28515625" style="35" customWidth="1"/>
    <col min="8" max="8" width="10.85546875" style="35" bestFit="1" customWidth="1"/>
    <col min="9" max="9" width="8.140625" style="35" bestFit="1" customWidth="1"/>
    <col min="10" max="10" width="10.85546875" style="35" bestFit="1" customWidth="1"/>
    <col min="11" max="11" width="13.85546875" style="35" bestFit="1" customWidth="1"/>
    <col min="12" max="12" width="12.7109375" style="35" bestFit="1" customWidth="1"/>
    <col min="13" max="13" width="12.7109375" style="35" customWidth="1"/>
    <col min="14" max="14" width="17.7109375" style="35" bestFit="1" customWidth="1"/>
    <col min="15" max="15" width="13.7109375" style="35" customWidth="1"/>
    <col min="16" max="16384" width="9.140625" style="35"/>
  </cols>
  <sheetData>
    <row r="1" spans="1:24" ht="12.75" customHeight="1">
      <c r="A1" s="416" t="s">
        <v>34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</row>
    <row r="2" spans="1:24" ht="13.5">
      <c r="A2" s="112" t="s">
        <v>94</v>
      </c>
      <c r="B2" s="116" t="s">
        <v>95</v>
      </c>
      <c r="C2" s="116" t="s">
        <v>96</v>
      </c>
      <c r="D2" s="116" t="s">
        <v>97</v>
      </c>
      <c r="E2" s="116" t="s">
        <v>98</v>
      </c>
      <c r="F2" s="116" t="s">
        <v>99</v>
      </c>
      <c r="G2" s="116" t="s">
        <v>100</v>
      </c>
      <c r="H2" s="116" t="s">
        <v>101</v>
      </c>
      <c r="I2" s="116" t="s">
        <v>99</v>
      </c>
      <c r="J2" s="116" t="s">
        <v>100</v>
      </c>
      <c r="K2" s="116" t="s">
        <v>102</v>
      </c>
      <c r="L2" s="116" t="s">
        <v>103</v>
      </c>
      <c r="M2" s="116" t="s">
        <v>110</v>
      </c>
      <c r="N2" s="116" t="s">
        <v>105</v>
      </c>
    </row>
    <row r="3" spans="1:24" ht="15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9"/>
      <c r="K3" s="162">
        <v>0</v>
      </c>
      <c r="L3" s="161"/>
      <c r="M3" s="161">
        <f>+K3</f>
        <v>0</v>
      </c>
      <c r="N3" s="117"/>
    </row>
    <row r="4" spans="1:24" ht="15">
      <c r="A4" s="28">
        <v>1</v>
      </c>
      <c r="B4" s="29">
        <v>45870</v>
      </c>
      <c r="C4" s="310"/>
      <c r="D4" s="311"/>
      <c r="E4" s="38"/>
      <c r="F4" s="38"/>
      <c r="G4" s="38">
        <f>E4*F4</f>
        <v>0</v>
      </c>
      <c r="H4" s="132">
        <v>0</v>
      </c>
      <c r="I4" s="132"/>
      <c r="J4" s="38">
        <f>H4*I4</f>
        <v>0</v>
      </c>
      <c r="K4" s="39">
        <f>G4+J4</f>
        <v>0</v>
      </c>
      <c r="L4" s="39">
        <v>0</v>
      </c>
      <c r="M4" s="39">
        <f>M3+K4-L4</f>
        <v>0</v>
      </c>
      <c r="N4" s="50"/>
    </row>
    <row r="5" spans="1:24" ht="15">
      <c r="A5" s="28">
        <v>2</v>
      </c>
      <c r="B5" s="29">
        <v>45871</v>
      </c>
      <c r="C5" s="310"/>
      <c r="D5" s="311"/>
      <c r="E5" s="38"/>
      <c r="F5" s="38"/>
      <c r="G5" s="38">
        <f t="shared" ref="G5:G34" si="0">E5*F5</f>
        <v>0</v>
      </c>
      <c r="H5" s="132">
        <v>0</v>
      </c>
      <c r="I5" s="132">
        <v>0</v>
      </c>
      <c r="J5" s="38">
        <f t="shared" ref="J5:J34" si="1">H5*I5</f>
        <v>0</v>
      </c>
      <c r="K5" s="39">
        <f t="shared" ref="K5:K34" si="2">G5+J5</f>
        <v>0</v>
      </c>
      <c r="L5" s="39">
        <v>0</v>
      </c>
      <c r="M5" s="39">
        <f t="shared" ref="M5:M34" si="3">M4+K5-L5</f>
        <v>0</v>
      </c>
      <c r="N5" s="50"/>
    </row>
    <row r="6" spans="1:24" ht="15">
      <c r="A6" s="28">
        <v>3</v>
      </c>
      <c r="B6" s="29">
        <v>45872</v>
      </c>
      <c r="C6" s="310"/>
      <c r="D6" s="311"/>
      <c r="E6" s="38"/>
      <c r="F6" s="38"/>
      <c r="G6" s="38">
        <f t="shared" si="0"/>
        <v>0</v>
      </c>
      <c r="H6" s="132">
        <v>0</v>
      </c>
      <c r="I6" s="132">
        <v>0</v>
      </c>
      <c r="J6" s="38">
        <f t="shared" si="1"/>
        <v>0</v>
      </c>
      <c r="K6" s="39">
        <f t="shared" si="2"/>
        <v>0</v>
      </c>
      <c r="L6" s="39">
        <v>0</v>
      </c>
      <c r="M6" s="39">
        <f t="shared" si="3"/>
        <v>0</v>
      </c>
      <c r="N6" s="50"/>
    </row>
    <row r="7" spans="1:24" ht="15">
      <c r="A7" s="28">
        <v>4</v>
      </c>
      <c r="B7" s="29">
        <v>45873</v>
      </c>
      <c r="C7" s="310"/>
      <c r="D7" s="311"/>
      <c r="E7" s="38"/>
      <c r="F7" s="38"/>
      <c r="G7" s="38">
        <f t="shared" si="0"/>
        <v>0</v>
      </c>
      <c r="H7" s="132">
        <v>0</v>
      </c>
      <c r="I7" s="132">
        <v>0</v>
      </c>
      <c r="J7" s="38">
        <f t="shared" si="1"/>
        <v>0</v>
      </c>
      <c r="K7" s="39">
        <f t="shared" si="2"/>
        <v>0</v>
      </c>
      <c r="L7" s="39">
        <v>0</v>
      </c>
      <c r="M7" s="39">
        <f t="shared" si="3"/>
        <v>0</v>
      </c>
      <c r="N7" s="50"/>
    </row>
    <row r="8" spans="1:24" ht="15">
      <c r="A8" s="28">
        <v>5</v>
      </c>
      <c r="B8" s="29">
        <v>45874</v>
      </c>
      <c r="C8" s="310"/>
      <c r="D8" s="311"/>
      <c r="E8" s="38"/>
      <c r="F8" s="38"/>
      <c r="G8" s="38">
        <f t="shared" ref="G8:G34" si="4">E8*F8</f>
        <v>0</v>
      </c>
      <c r="H8" s="132">
        <v>0</v>
      </c>
      <c r="I8" s="132">
        <v>0</v>
      </c>
      <c r="J8" s="38">
        <f t="shared" ref="J8:J34" si="5">H8*I8</f>
        <v>0</v>
      </c>
      <c r="K8" s="39">
        <f t="shared" ref="K8:K34" si="6">G8+J8</f>
        <v>0</v>
      </c>
      <c r="L8" s="39">
        <v>0</v>
      </c>
      <c r="M8" s="39">
        <f t="shared" si="3"/>
        <v>0</v>
      </c>
      <c r="N8" s="50"/>
    </row>
    <row r="9" spans="1:24" ht="15">
      <c r="A9" s="28">
        <v>6</v>
      </c>
      <c r="B9" s="29">
        <v>45875</v>
      </c>
      <c r="C9" s="310"/>
      <c r="D9" s="311"/>
      <c r="E9" s="38"/>
      <c r="F9" s="38"/>
      <c r="G9" s="38">
        <f t="shared" si="4"/>
        <v>0</v>
      </c>
      <c r="H9" s="132">
        <v>0</v>
      </c>
      <c r="I9" s="132">
        <v>0</v>
      </c>
      <c r="J9" s="38">
        <f t="shared" si="5"/>
        <v>0</v>
      </c>
      <c r="K9" s="39">
        <f t="shared" si="6"/>
        <v>0</v>
      </c>
      <c r="L9" s="39">
        <v>0</v>
      </c>
      <c r="M9" s="39">
        <f t="shared" si="3"/>
        <v>0</v>
      </c>
      <c r="N9" s="50"/>
    </row>
    <row r="10" spans="1:24" ht="15">
      <c r="A10" s="28">
        <v>7</v>
      </c>
      <c r="B10" s="29">
        <v>45876</v>
      </c>
      <c r="C10" s="310"/>
      <c r="D10" s="311"/>
      <c r="E10" s="38"/>
      <c r="F10" s="38"/>
      <c r="G10" s="38">
        <f t="shared" si="4"/>
        <v>0</v>
      </c>
      <c r="H10" s="132">
        <v>0</v>
      </c>
      <c r="I10" s="132">
        <v>0</v>
      </c>
      <c r="J10" s="38">
        <f t="shared" si="5"/>
        <v>0</v>
      </c>
      <c r="K10" s="39">
        <f t="shared" si="6"/>
        <v>0</v>
      </c>
      <c r="L10" s="39">
        <v>0</v>
      </c>
      <c r="M10" s="39">
        <f t="shared" si="3"/>
        <v>0</v>
      </c>
      <c r="N10" s="50"/>
    </row>
    <row r="11" spans="1:24" ht="15">
      <c r="A11" s="28">
        <v>8</v>
      </c>
      <c r="B11" s="29">
        <v>45877</v>
      </c>
      <c r="C11" s="310"/>
      <c r="D11" s="311"/>
      <c r="E11" s="38"/>
      <c r="F11" s="38"/>
      <c r="G11" s="38">
        <f t="shared" si="4"/>
        <v>0</v>
      </c>
      <c r="H11" s="132">
        <v>0</v>
      </c>
      <c r="I11" s="132">
        <v>0</v>
      </c>
      <c r="J11" s="38">
        <f t="shared" si="5"/>
        <v>0</v>
      </c>
      <c r="K11" s="39">
        <f t="shared" si="6"/>
        <v>0</v>
      </c>
      <c r="L11" s="39">
        <v>0</v>
      </c>
      <c r="M11" s="39">
        <f t="shared" si="3"/>
        <v>0</v>
      </c>
      <c r="N11" s="50"/>
    </row>
    <row r="12" spans="1:24" ht="15">
      <c r="A12" s="28">
        <v>9</v>
      </c>
      <c r="B12" s="29">
        <v>45878</v>
      </c>
      <c r="C12" s="310"/>
      <c r="D12" s="311"/>
      <c r="E12" s="38"/>
      <c r="F12" s="38"/>
      <c r="G12" s="38">
        <f t="shared" si="4"/>
        <v>0</v>
      </c>
      <c r="H12" s="132">
        <v>0</v>
      </c>
      <c r="I12" s="132">
        <v>0</v>
      </c>
      <c r="J12" s="38">
        <f t="shared" si="5"/>
        <v>0</v>
      </c>
      <c r="K12" s="39">
        <f t="shared" si="6"/>
        <v>0</v>
      </c>
      <c r="L12" s="39">
        <v>0</v>
      </c>
      <c r="M12" s="39">
        <f t="shared" si="3"/>
        <v>0</v>
      </c>
      <c r="N12" s="50"/>
    </row>
    <row r="13" spans="1:24" ht="15">
      <c r="A13" s="28">
        <v>10</v>
      </c>
      <c r="B13" s="29">
        <v>45879</v>
      </c>
      <c r="C13" s="310"/>
      <c r="D13" s="311"/>
      <c r="E13" s="38"/>
      <c r="F13" s="38"/>
      <c r="G13" s="38">
        <f t="shared" si="4"/>
        <v>0</v>
      </c>
      <c r="H13" s="132">
        <v>0</v>
      </c>
      <c r="I13" s="132">
        <v>0</v>
      </c>
      <c r="J13" s="38">
        <f t="shared" si="5"/>
        <v>0</v>
      </c>
      <c r="K13" s="39">
        <f t="shared" si="6"/>
        <v>0</v>
      </c>
      <c r="L13" s="39">
        <v>0</v>
      </c>
      <c r="M13" s="39">
        <f t="shared" si="3"/>
        <v>0</v>
      </c>
      <c r="N13" s="50"/>
    </row>
    <row r="14" spans="1:24" ht="15">
      <c r="A14" s="28">
        <v>11</v>
      </c>
      <c r="B14" s="29">
        <v>45880</v>
      </c>
      <c r="C14" s="310"/>
      <c r="D14" s="311"/>
      <c r="E14" s="38"/>
      <c r="F14" s="38"/>
      <c r="G14" s="38">
        <f t="shared" si="4"/>
        <v>0</v>
      </c>
      <c r="H14" s="132">
        <v>0</v>
      </c>
      <c r="I14" s="132">
        <v>0</v>
      </c>
      <c r="J14" s="38">
        <f t="shared" si="5"/>
        <v>0</v>
      </c>
      <c r="K14" s="39">
        <f t="shared" si="6"/>
        <v>0</v>
      </c>
      <c r="L14" s="39">
        <v>0</v>
      </c>
      <c r="M14" s="39">
        <f t="shared" si="3"/>
        <v>0</v>
      </c>
      <c r="N14" s="50"/>
    </row>
    <row r="15" spans="1:24" ht="15">
      <c r="A15" s="28">
        <v>12</v>
      </c>
      <c r="B15" s="29">
        <v>45881</v>
      </c>
      <c r="C15" s="310"/>
      <c r="D15" s="311"/>
      <c r="E15" s="38"/>
      <c r="F15" s="38"/>
      <c r="G15" s="38">
        <f t="shared" si="4"/>
        <v>0</v>
      </c>
      <c r="H15" s="132">
        <v>0</v>
      </c>
      <c r="I15" s="132">
        <v>0</v>
      </c>
      <c r="J15" s="38">
        <f t="shared" si="5"/>
        <v>0</v>
      </c>
      <c r="K15" s="39">
        <f t="shared" si="6"/>
        <v>0</v>
      </c>
      <c r="L15" s="39">
        <v>0</v>
      </c>
      <c r="M15" s="39">
        <f t="shared" si="3"/>
        <v>0</v>
      </c>
      <c r="N15" s="50"/>
    </row>
    <row r="16" spans="1:24" ht="15">
      <c r="A16" s="28">
        <v>13</v>
      </c>
      <c r="B16" s="29">
        <v>45882</v>
      </c>
      <c r="C16" s="310"/>
      <c r="D16" s="311"/>
      <c r="E16" s="38"/>
      <c r="F16" s="38"/>
      <c r="G16" s="38">
        <f t="shared" si="4"/>
        <v>0</v>
      </c>
      <c r="H16" s="132">
        <v>0</v>
      </c>
      <c r="I16" s="132">
        <v>0</v>
      </c>
      <c r="J16" s="38">
        <f t="shared" si="5"/>
        <v>0</v>
      </c>
      <c r="K16" s="39">
        <f t="shared" si="6"/>
        <v>0</v>
      </c>
      <c r="L16" s="39">
        <v>0</v>
      </c>
      <c r="M16" s="39">
        <f t="shared" si="3"/>
        <v>0</v>
      </c>
      <c r="N16" s="50"/>
      <c r="X16" s="35">
        <f>100*104</f>
        <v>10400</v>
      </c>
    </row>
    <row r="17" spans="1:14" ht="15">
      <c r="A17" s="28">
        <v>14</v>
      </c>
      <c r="B17" s="29">
        <v>45883</v>
      </c>
      <c r="C17" s="310"/>
      <c r="D17" s="311"/>
      <c r="E17" s="38"/>
      <c r="F17" s="38"/>
      <c r="G17" s="38">
        <f t="shared" si="4"/>
        <v>0</v>
      </c>
      <c r="H17" s="132">
        <v>0</v>
      </c>
      <c r="I17" s="132">
        <v>0</v>
      </c>
      <c r="J17" s="38">
        <f t="shared" si="5"/>
        <v>0</v>
      </c>
      <c r="K17" s="39">
        <f t="shared" si="6"/>
        <v>0</v>
      </c>
      <c r="L17" s="39">
        <v>0</v>
      </c>
      <c r="M17" s="39">
        <f t="shared" si="3"/>
        <v>0</v>
      </c>
      <c r="N17" s="50"/>
    </row>
    <row r="18" spans="1:14" ht="15">
      <c r="A18" s="28">
        <v>15</v>
      </c>
      <c r="B18" s="29">
        <v>45884</v>
      </c>
      <c r="C18" s="310"/>
      <c r="D18" s="311"/>
      <c r="E18" s="38"/>
      <c r="F18" s="38"/>
      <c r="G18" s="38">
        <f t="shared" si="4"/>
        <v>0</v>
      </c>
      <c r="H18" s="132">
        <v>0</v>
      </c>
      <c r="I18" s="132">
        <v>0</v>
      </c>
      <c r="J18" s="38">
        <f t="shared" si="5"/>
        <v>0</v>
      </c>
      <c r="K18" s="39">
        <f t="shared" si="6"/>
        <v>0</v>
      </c>
      <c r="L18" s="39">
        <v>0</v>
      </c>
      <c r="M18" s="39">
        <f t="shared" si="3"/>
        <v>0</v>
      </c>
      <c r="N18" s="50"/>
    </row>
    <row r="19" spans="1:14" ht="15">
      <c r="A19" s="28">
        <v>16</v>
      </c>
      <c r="B19" s="29">
        <v>45885</v>
      </c>
      <c r="C19" s="310"/>
      <c r="D19" s="311"/>
      <c r="E19" s="38"/>
      <c r="F19" s="38"/>
      <c r="G19" s="38">
        <f t="shared" si="4"/>
        <v>0</v>
      </c>
      <c r="H19" s="132">
        <v>0</v>
      </c>
      <c r="I19" s="132">
        <v>0</v>
      </c>
      <c r="J19" s="38">
        <f t="shared" si="5"/>
        <v>0</v>
      </c>
      <c r="K19" s="39">
        <f t="shared" si="6"/>
        <v>0</v>
      </c>
      <c r="L19" s="39">
        <v>0</v>
      </c>
      <c r="M19" s="39">
        <f t="shared" si="3"/>
        <v>0</v>
      </c>
      <c r="N19" s="50"/>
    </row>
    <row r="20" spans="1:14" ht="15">
      <c r="A20" s="28">
        <v>17</v>
      </c>
      <c r="B20" s="29">
        <v>45886</v>
      </c>
      <c r="C20" s="310"/>
      <c r="D20" s="311"/>
      <c r="E20" s="38"/>
      <c r="F20" s="38"/>
      <c r="G20" s="38">
        <f t="shared" si="4"/>
        <v>0</v>
      </c>
      <c r="H20" s="132">
        <v>0</v>
      </c>
      <c r="I20" s="132">
        <v>0</v>
      </c>
      <c r="J20" s="38">
        <f t="shared" si="5"/>
        <v>0</v>
      </c>
      <c r="K20" s="39">
        <f t="shared" si="6"/>
        <v>0</v>
      </c>
      <c r="L20" s="39">
        <v>0</v>
      </c>
      <c r="M20" s="39">
        <f t="shared" si="3"/>
        <v>0</v>
      </c>
      <c r="N20" s="50"/>
    </row>
    <row r="21" spans="1:14" ht="15">
      <c r="A21" s="28">
        <v>18</v>
      </c>
      <c r="B21" s="29">
        <v>45887</v>
      </c>
      <c r="C21" s="310"/>
      <c r="D21" s="311"/>
      <c r="E21" s="38"/>
      <c r="F21" s="38"/>
      <c r="G21" s="38">
        <f t="shared" si="4"/>
        <v>0</v>
      </c>
      <c r="H21" s="132">
        <v>0</v>
      </c>
      <c r="I21" s="132">
        <v>0</v>
      </c>
      <c r="J21" s="38">
        <f t="shared" si="5"/>
        <v>0</v>
      </c>
      <c r="K21" s="39">
        <f t="shared" si="6"/>
        <v>0</v>
      </c>
      <c r="L21" s="39">
        <v>0</v>
      </c>
      <c r="M21" s="39">
        <f t="shared" si="3"/>
        <v>0</v>
      </c>
      <c r="N21" s="50"/>
    </row>
    <row r="22" spans="1:14" ht="15">
      <c r="A22" s="28">
        <v>19</v>
      </c>
      <c r="B22" s="29">
        <v>45888</v>
      </c>
      <c r="C22" s="310"/>
      <c r="D22" s="311"/>
      <c r="E22" s="38"/>
      <c r="F22" s="38"/>
      <c r="G22" s="38">
        <f t="shared" si="4"/>
        <v>0</v>
      </c>
      <c r="H22" s="132">
        <v>0</v>
      </c>
      <c r="I22" s="132">
        <v>0</v>
      </c>
      <c r="J22" s="38">
        <f t="shared" si="5"/>
        <v>0</v>
      </c>
      <c r="K22" s="39">
        <f t="shared" si="6"/>
        <v>0</v>
      </c>
      <c r="L22" s="39">
        <v>0</v>
      </c>
      <c r="M22" s="39">
        <f t="shared" si="3"/>
        <v>0</v>
      </c>
      <c r="N22" s="50"/>
    </row>
    <row r="23" spans="1:14" ht="15">
      <c r="A23" s="28">
        <v>20</v>
      </c>
      <c r="B23" s="29">
        <v>45889</v>
      </c>
      <c r="C23" s="310"/>
      <c r="D23" s="311"/>
      <c r="E23" s="38"/>
      <c r="F23" s="38"/>
      <c r="G23" s="38">
        <f t="shared" si="4"/>
        <v>0</v>
      </c>
      <c r="H23" s="132">
        <v>0</v>
      </c>
      <c r="I23" s="132">
        <v>0</v>
      </c>
      <c r="J23" s="38">
        <f t="shared" si="5"/>
        <v>0</v>
      </c>
      <c r="K23" s="39">
        <f t="shared" si="6"/>
        <v>0</v>
      </c>
      <c r="L23" s="39">
        <v>0</v>
      </c>
      <c r="M23" s="39">
        <f t="shared" si="3"/>
        <v>0</v>
      </c>
      <c r="N23" s="50"/>
    </row>
    <row r="24" spans="1:14" ht="15">
      <c r="A24" s="28">
        <v>21</v>
      </c>
      <c r="B24" s="29">
        <v>45890</v>
      </c>
      <c r="C24" s="310"/>
      <c r="D24" s="311"/>
      <c r="E24" s="38"/>
      <c r="F24" s="38"/>
      <c r="G24" s="38">
        <f t="shared" si="4"/>
        <v>0</v>
      </c>
      <c r="H24" s="132">
        <v>0</v>
      </c>
      <c r="I24" s="132">
        <v>0</v>
      </c>
      <c r="J24" s="38">
        <f t="shared" si="5"/>
        <v>0</v>
      </c>
      <c r="K24" s="39">
        <f t="shared" si="6"/>
        <v>0</v>
      </c>
      <c r="L24" s="39">
        <v>0</v>
      </c>
      <c r="M24" s="39">
        <f t="shared" si="3"/>
        <v>0</v>
      </c>
      <c r="N24" s="50"/>
    </row>
    <row r="25" spans="1:14" ht="15">
      <c r="A25" s="28">
        <v>22</v>
      </c>
      <c r="B25" s="29">
        <v>45891</v>
      </c>
      <c r="C25" s="310"/>
      <c r="D25" s="311"/>
      <c r="E25" s="38"/>
      <c r="F25" s="38"/>
      <c r="G25" s="38">
        <f t="shared" si="4"/>
        <v>0</v>
      </c>
      <c r="H25" s="132">
        <v>0</v>
      </c>
      <c r="I25" s="132">
        <v>0</v>
      </c>
      <c r="J25" s="38">
        <f t="shared" si="5"/>
        <v>0</v>
      </c>
      <c r="K25" s="39">
        <f t="shared" si="6"/>
        <v>0</v>
      </c>
      <c r="L25" s="39">
        <v>0</v>
      </c>
      <c r="M25" s="39">
        <f t="shared" si="3"/>
        <v>0</v>
      </c>
      <c r="N25" s="50"/>
    </row>
    <row r="26" spans="1:14" ht="15">
      <c r="A26" s="28">
        <v>23</v>
      </c>
      <c r="B26" s="29">
        <v>45892</v>
      </c>
      <c r="C26" s="310"/>
      <c r="D26" s="311"/>
      <c r="E26" s="38"/>
      <c r="F26" s="38"/>
      <c r="G26" s="38">
        <f t="shared" si="4"/>
        <v>0</v>
      </c>
      <c r="H26" s="132">
        <v>70</v>
      </c>
      <c r="I26" s="132">
        <v>103.99</v>
      </c>
      <c r="J26" s="38">
        <f t="shared" si="5"/>
        <v>7279.2999999999993</v>
      </c>
      <c r="K26" s="39">
        <f t="shared" si="6"/>
        <v>7279.2999999999993</v>
      </c>
      <c r="L26" s="39">
        <v>0</v>
      </c>
      <c r="M26" s="39">
        <f t="shared" si="3"/>
        <v>7279.2999999999993</v>
      </c>
      <c r="N26" s="50"/>
    </row>
    <row r="27" spans="1:14" ht="15">
      <c r="A27" s="28">
        <v>24</v>
      </c>
      <c r="B27" s="29">
        <v>45893</v>
      </c>
      <c r="C27" s="310"/>
      <c r="D27" s="311"/>
      <c r="E27" s="38"/>
      <c r="F27" s="38"/>
      <c r="G27" s="38">
        <f t="shared" si="4"/>
        <v>0</v>
      </c>
      <c r="H27" s="132">
        <v>0</v>
      </c>
      <c r="I27" s="132">
        <v>0</v>
      </c>
      <c r="J27" s="38">
        <f t="shared" si="5"/>
        <v>0</v>
      </c>
      <c r="K27" s="39">
        <f t="shared" si="6"/>
        <v>0</v>
      </c>
      <c r="L27" s="39">
        <v>0</v>
      </c>
      <c r="M27" s="39">
        <f t="shared" si="3"/>
        <v>7279.2999999999993</v>
      </c>
      <c r="N27" s="50"/>
    </row>
    <row r="28" spans="1:14" ht="15">
      <c r="A28" s="28">
        <v>25</v>
      </c>
      <c r="B28" s="29">
        <v>45894</v>
      </c>
      <c r="C28" s="310"/>
      <c r="D28" s="311"/>
      <c r="E28" s="38"/>
      <c r="F28" s="38"/>
      <c r="G28" s="38">
        <f t="shared" si="4"/>
        <v>0</v>
      </c>
      <c r="H28" s="132">
        <v>0</v>
      </c>
      <c r="I28" s="132">
        <v>0</v>
      </c>
      <c r="J28" s="38">
        <f t="shared" si="5"/>
        <v>0</v>
      </c>
      <c r="K28" s="39">
        <f t="shared" si="6"/>
        <v>0</v>
      </c>
      <c r="L28" s="39">
        <v>0</v>
      </c>
      <c r="M28" s="39">
        <f t="shared" si="3"/>
        <v>7279.2999999999993</v>
      </c>
      <c r="N28" s="50"/>
    </row>
    <row r="29" spans="1:14" ht="15">
      <c r="A29" s="28">
        <v>26</v>
      </c>
      <c r="B29" s="29">
        <v>45895</v>
      </c>
      <c r="C29" s="310"/>
      <c r="D29" s="311"/>
      <c r="E29" s="38"/>
      <c r="F29" s="38"/>
      <c r="G29" s="38">
        <f t="shared" si="4"/>
        <v>0</v>
      </c>
      <c r="H29" s="132">
        <v>0</v>
      </c>
      <c r="I29" s="132">
        <v>0</v>
      </c>
      <c r="J29" s="38">
        <f t="shared" si="5"/>
        <v>0</v>
      </c>
      <c r="K29" s="39">
        <f t="shared" si="6"/>
        <v>0</v>
      </c>
      <c r="L29" s="39">
        <v>0</v>
      </c>
      <c r="M29" s="39">
        <f t="shared" si="3"/>
        <v>7279.2999999999993</v>
      </c>
      <c r="N29" s="50"/>
    </row>
    <row r="30" spans="1:14" ht="15">
      <c r="A30" s="28">
        <v>27</v>
      </c>
      <c r="B30" s="29">
        <v>45896</v>
      </c>
      <c r="C30" s="310"/>
      <c r="D30" s="311"/>
      <c r="E30" s="38"/>
      <c r="F30" s="38"/>
      <c r="G30" s="38">
        <f t="shared" si="4"/>
        <v>0</v>
      </c>
      <c r="H30" s="132">
        <v>0</v>
      </c>
      <c r="I30" s="132">
        <v>0</v>
      </c>
      <c r="J30" s="38">
        <f t="shared" si="5"/>
        <v>0</v>
      </c>
      <c r="K30" s="39">
        <f t="shared" si="6"/>
        <v>0</v>
      </c>
      <c r="L30" s="39">
        <v>0</v>
      </c>
      <c r="M30" s="39">
        <f t="shared" si="3"/>
        <v>7279.2999999999993</v>
      </c>
      <c r="N30" s="50"/>
    </row>
    <row r="31" spans="1:14" ht="15">
      <c r="A31" s="28">
        <v>28</v>
      </c>
      <c r="B31" s="29">
        <v>45897</v>
      </c>
      <c r="C31" s="310"/>
      <c r="D31" s="311"/>
      <c r="E31" s="38"/>
      <c r="F31" s="38"/>
      <c r="G31" s="38">
        <f t="shared" si="4"/>
        <v>0</v>
      </c>
      <c r="H31" s="132">
        <v>0</v>
      </c>
      <c r="I31" s="132">
        <v>0</v>
      </c>
      <c r="J31" s="38">
        <f t="shared" si="5"/>
        <v>0</v>
      </c>
      <c r="K31" s="39">
        <f t="shared" si="6"/>
        <v>0</v>
      </c>
      <c r="L31" s="39">
        <v>0</v>
      </c>
      <c r="M31" s="39">
        <f t="shared" si="3"/>
        <v>7279.2999999999993</v>
      </c>
      <c r="N31" s="50"/>
    </row>
    <row r="32" spans="1:14" ht="15">
      <c r="A32" s="28">
        <v>29</v>
      </c>
      <c r="B32" s="29">
        <v>45898</v>
      </c>
      <c r="C32" s="310"/>
      <c r="D32" s="311"/>
      <c r="E32" s="38"/>
      <c r="F32" s="38"/>
      <c r="G32" s="38">
        <f t="shared" si="4"/>
        <v>0</v>
      </c>
      <c r="H32" s="132">
        <v>0</v>
      </c>
      <c r="I32" s="132">
        <v>0</v>
      </c>
      <c r="J32" s="38">
        <f t="shared" si="5"/>
        <v>0</v>
      </c>
      <c r="K32" s="39">
        <f t="shared" si="6"/>
        <v>0</v>
      </c>
      <c r="L32" s="39">
        <v>0</v>
      </c>
      <c r="M32" s="39">
        <f t="shared" si="3"/>
        <v>7279.2999999999993</v>
      </c>
      <c r="N32" s="50"/>
    </row>
    <row r="33" spans="1:14" ht="15">
      <c r="A33" s="28">
        <v>30</v>
      </c>
      <c r="B33" s="29">
        <v>45899</v>
      </c>
      <c r="C33" s="310"/>
      <c r="D33" s="311"/>
      <c r="E33" s="38"/>
      <c r="F33" s="38"/>
      <c r="G33" s="38">
        <f t="shared" si="4"/>
        <v>0</v>
      </c>
      <c r="H33" s="132">
        <v>0</v>
      </c>
      <c r="I33" s="132">
        <v>0</v>
      </c>
      <c r="J33" s="38">
        <f t="shared" si="5"/>
        <v>0</v>
      </c>
      <c r="K33" s="39">
        <f t="shared" si="6"/>
        <v>0</v>
      </c>
      <c r="L33" s="39">
        <v>0</v>
      </c>
      <c r="M33" s="39">
        <f t="shared" si="3"/>
        <v>7279.2999999999993</v>
      </c>
      <c r="N33" s="50"/>
    </row>
    <row r="34" spans="1:14" ht="15">
      <c r="A34" s="28">
        <v>31</v>
      </c>
      <c r="B34" s="29">
        <v>45900</v>
      </c>
      <c r="C34" s="117"/>
      <c r="D34" s="131"/>
      <c r="E34" s="38"/>
      <c r="F34" s="38"/>
      <c r="G34" s="38">
        <f t="shared" si="4"/>
        <v>0</v>
      </c>
      <c r="H34" s="132">
        <v>0</v>
      </c>
      <c r="I34" s="132">
        <v>0</v>
      </c>
      <c r="J34" s="38">
        <f t="shared" si="5"/>
        <v>0</v>
      </c>
      <c r="K34" s="39">
        <f t="shared" si="6"/>
        <v>0</v>
      </c>
      <c r="L34" s="39">
        <v>0</v>
      </c>
      <c r="M34" s="39">
        <f t="shared" si="3"/>
        <v>7279.2999999999993</v>
      </c>
      <c r="N34" s="50"/>
    </row>
    <row r="35" spans="1:14">
      <c r="A35" s="48"/>
      <c r="B35" s="48"/>
      <c r="C35" s="48"/>
      <c r="D35" s="48"/>
      <c r="E35" s="49">
        <f>SUM(E4:E34)</f>
        <v>0</v>
      </c>
      <c r="F35" s="49"/>
      <c r="G35" s="49">
        <f>SUM(G4:G34)</f>
        <v>0</v>
      </c>
      <c r="H35" s="49">
        <f>SUM(H4:H34)</f>
        <v>70</v>
      </c>
      <c r="I35" s="49"/>
      <c r="J35" s="49">
        <f>SUM(J4:J34)</f>
        <v>7279.2999999999993</v>
      </c>
      <c r="K35" s="49">
        <f>SUM(K4:K34)</f>
        <v>7279.2999999999993</v>
      </c>
      <c r="L35" s="49">
        <f>SUM(L4:L34)</f>
        <v>0</v>
      </c>
      <c r="M35" s="49"/>
      <c r="N35" s="49"/>
    </row>
    <row r="36" spans="1:14">
      <c r="A36" s="40"/>
      <c r="B36" s="40"/>
      <c r="C36" s="40"/>
      <c r="D36" s="40"/>
      <c r="E36" s="41"/>
      <c r="F36" s="41"/>
      <c r="G36" s="41"/>
      <c r="H36" s="41"/>
      <c r="I36" s="41"/>
      <c r="J36" s="41"/>
      <c r="K36" s="41"/>
      <c r="L36" s="41"/>
      <c r="M36" s="41"/>
      <c r="N36" s="41"/>
    </row>
    <row r="37" spans="1:14">
      <c r="G37" s="42"/>
    </row>
    <row r="38" spans="1:14">
      <c r="B38" s="425"/>
      <c r="C38" s="425"/>
      <c r="D38" s="425"/>
      <c r="E38" s="425"/>
      <c r="I38" s="425"/>
      <c r="J38" s="425"/>
      <c r="K38" s="425"/>
      <c r="L38" s="425"/>
      <c r="M38" s="425"/>
      <c r="N38" s="425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O35"/>
  <sheetViews>
    <sheetView topLeftCell="A27" workbookViewId="0">
      <selection activeCell="N41" sqref="N41"/>
    </sheetView>
  </sheetViews>
  <sheetFormatPr defaultRowHeight="15"/>
  <cols>
    <col min="2" max="2" width="9.57031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5" ht="15.75" customHeight="1">
      <c r="A1" s="416" t="s">
        <v>36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</row>
    <row r="2" spans="1:15" ht="27">
      <c r="A2" s="112" t="s">
        <v>94</v>
      </c>
      <c r="B2" s="116" t="s">
        <v>95</v>
      </c>
      <c r="C2" s="116" t="s">
        <v>96</v>
      </c>
      <c r="D2" s="116" t="s">
        <v>97</v>
      </c>
      <c r="E2" s="116" t="s">
        <v>98</v>
      </c>
      <c r="F2" s="116" t="s">
        <v>99</v>
      </c>
      <c r="G2" s="116" t="s">
        <v>100</v>
      </c>
      <c r="H2" s="116" t="s">
        <v>101</v>
      </c>
      <c r="I2" s="116" t="s">
        <v>99</v>
      </c>
      <c r="J2" s="116" t="s">
        <v>100</v>
      </c>
      <c r="K2" s="116" t="s">
        <v>102</v>
      </c>
      <c r="L2" s="116" t="s">
        <v>103</v>
      </c>
      <c r="M2" s="116" t="s">
        <v>110</v>
      </c>
      <c r="N2" s="116" t="s">
        <v>105</v>
      </c>
    </row>
    <row r="3" spans="1:15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9"/>
      <c r="K3">
        <v>618231.25190000003</v>
      </c>
      <c r="L3" s="161"/>
      <c r="M3" s="161">
        <f>+K3</f>
        <v>618231.25190000003</v>
      </c>
      <c r="N3" s="117"/>
      <c r="O3">
        <v>618231.25190000003</v>
      </c>
    </row>
    <row r="4" spans="1:15">
      <c r="A4" s="28">
        <v>1</v>
      </c>
      <c r="B4" s="29">
        <v>45870</v>
      </c>
      <c r="C4" s="117">
        <v>0</v>
      </c>
      <c r="D4" s="131"/>
      <c r="E4" s="39">
        <v>0</v>
      </c>
      <c r="F4" s="39">
        <v>0</v>
      </c>
      <c r="G4" s="39">
        <f>E4*F4</f>
        <v>0</v>
      </c>
      <c r="H4" s="132">
        <v>0</v>
      </c>
      <c r="I4" s="132">
        <v>0</v>
      </c>
      <c r="J4" s="39">
        <f>H4*I4</f>
        <v>0</v>
      </c>
      <c r="K4" s="39">
        <f>G4+J4</f>
        <v>0</v>
      </c>
      <c r="L4" s="39">
        <v>250000</v>
      </c>
      <c r="M4" s="39">
        <f>M3+K4-L4</f>
        <v>368231.25190000003</v>
      </c>
      <c r="N4" s="50"/>
    </row>
    <row r="5" spans="1:15">
      <c r="A5" s="28">
        <v>2</v>
      </c>
      <c r="B5" s="29">
        <v>45871</v>
      </c>
      <c r="C5" s="117">
        <v>0</v>
      </c>
      <c r="D5" s="131"/>
      <c r="E5" s="39">
        <v>0</v>
      </c>
      <c r="F5" s="39">
        <v>0</v>
      </c>
      <c r="G5" s="39">
        <f t="shared" ref="G5:G33" si="0">E5*F5</f>
        <v>0</v>
      </c>
      <c r="H5" s="132">
        <v>0</v>
      </c>
      <c r="I5" s="132">
        <v>0</v>
      </c>
      <c r="J5" s="39">
        <f t="shared" ref="J5:J33" si="1">H5*I5</f>
        <v>0</v>
      </c>
      <c r="K5" s="39">
        <f t="shared" ref="K5:K33" si="2">G5+J5</f>
        <v>0</v>
      </c>
      <c r="L5" s="39">
        <v>0</v>
      </c>
      <c r="M5" s="39">
        <f>M4+K5-L5</f>
        <v>368231.25190000003</v>
      </c>
      <c r="N5" s="50"/>
    </row>
    <row r="6" spans="1:15">
      <c r="A6" s="28">
        <v>3</v>
      </c>
      <c r="B6" s="29">
        <v>45872</v>
      </c>
      <c r="C6" s="117">
        <v>0</v>
      </c>
      <c r="D6" s="131"/>
      <c r="E6" s="39">
        <v>0</v>
      </c>
      <c r="F6" s="39">
        <v>0</v>
      </c>
      <c r="G6" s="39">
        <f t="shared" si="0"/>
        <v>0</v>
      </c>
      <c r="H6" s="132">
        <v>0</v>
      </c>
      <c r="I6" s="132">
        <v>0</v>
      </c>
      <c r="J6" s="39">
        <f t="shared" si="1"/>
        <v>0</v>
      </c>
      <c r="K6" s="39">
        <f t="shared" si="2"/>
        <v>0</v>
      </c>
      <c r="L6" s="39">
        <v>0</v>
      </c>
      <c r="M6" s="39">
        <f>M5+K6-L6</f>
        <v>368231.25190000003</v>
      </c>
      <c r="N6" s="50"/>
    </row>
    <row r="7" spans="1:15">
      <c r="A7" s="28">
        <v>4</v>
      </c>
      <c r="B7" s="29">
        <v>45873</v>
      </c>
      <c r="C7" s="117">
        <v>0</v>
      </c>
      <c r="D7" s="131"/>
      <c r="E7" s="39">
        <v>2000</v>
      </c>
      <c r="F7" s="39">
        <v>91.55</v>
      </c>
      <c r="G7" s="39">
        <f t="shared" si="0"/>
        <v>183100</v>
      </c>
      <c r="H7" s="132">
        <v>70</v>
      </c>
      <c r="I7" s="132">
        <v>103.73</v>
      </c>
      <c r="J7" s="39">
        <f t="shared" si="1"/>
        <v>7261.1</v>
      </c>
      <c r="K7" s="39">
        <f t="shared" si="2"/>
        <v>190361.1</v>
      </c>
      <c r="L7" s="39">
        <v>300000</v>
      </c>
      <c r="M7" s="39">
        <f>M6+K7-L7</f>
        <v>258592.35190000001</v>
      </c>
      <c r="N7" s="50"/>
    </row>
    <row r="8" spans="1:15">
      <c r="A8" s="28">
        <v>5</v>
      </c>
      <c r="B8" s="29">
        <v>45874</v>
      </c>
      <c r="C8" s="117">
        <v>0</v>
      </c>
      <c r="D8" s="131"/>
      <c r="E8" s="39">
        <v>0</v>
      </c>
      <c r="F8" s="39">
        <v>0</v>
      </c>
      <c r="G8" s="39">
        <f t="shared" si="0"/>
        <v>0</v>
      </c>
      <c r="H8" s="132">
        <v>0</v>
      </c>
      <c r="I8" s="132">
        <v>0</v>
      </c>
      <c r="J8" s="39">
        <f t="shared" si="1"/>
        <v>0</v>
      </c>
      <c r="K8" s="39">
        <f t="shared" si="2"/>
        <v>0</v>
      </c>
      <c r="L8" s="39">
        <v>0</v>
      </c>
      <c r="M8" s="39">
        <f>M7+K8-L8</f>
        <v>258592.35190000001</v>
      </c>
      <c r="N8" s="50"/>
    </row>
    <row r="9" spans="1:15">
      <c r="A9" s="28">
        <v>6</v>
      </c>
      <c r="B9" s="29">
        <v>45875</v>
      </c>
      <c r="C9" s="117">
        <v>0</v>
      </c>
      <c r="D9" s="131"/>
      <c r="E9" s="39">
        <v>0</v>
      </c>
      <c r="F9" s="39">
        <v>0</v>
      </c>
      <c r="G9" s="39">
        <f t="shared" si="0"/>
        <v>0</v>
      </c>
      <c r="H9" s="132">
        <v>0</v>
      </c>
      <c r="I9" s="132">
        <v>0</v>
      </c>
      <c r="J9" s="39">
        <f t="shared" si="1"/>
        <v>0</v>
      </c>
      <c r="K9" s="39">
        <f t="shared" si="2"/>
        <v>0</v>
      </c>
      <c r="L9" s="39">
        <v>0</v>
      </c>
      <c r="M9" s="39">
        <f>M8+K9-L9</f>
        <v>258592.35190000001</v>
      </c>
      <c r="N9" s="50"/>
    </row>
    <row r="10" spans="1:15">
      <c r="A10" s="28">
        <v>7</v>
      </c>
      <c r="B10" s="29">
        <v>45876</v>
      </c>
      <c r="C10" s="117">
        <v>0</v>
      </c>
      <c r="D10" s="131"/>
      <c r="E10" s="39">
        <v>0</v>
      </c>
      <c r="F10" s="39">
        <v>0</v>
      </c>
      <c r="G10" s="39">
        <f t="shared" si="0"/>
        <v>0</v>
      </c>
      <c r="H10" s="132">
        <v>0</v>
      </c>
      <c r="I10" s="132">
        <v>0</v>
      </c>
      <c r="J10" s="39">
        <f t="shared" si="1"/>
        <v>0</v>
      </c>
      <c r="K10" s="39">
        <f t="shared" si="2"/>
        <v>0</v>
      </c>
      <c r="L10" s="39">
        <v>0</v>
      </c>
      <c r="M10" s="39">
        <f>M9+K10-L10</f>
        <v>258592.35190000001</v>
      </c>
      <c r="N10" s="50"/>
    </row>
    <row r="11" spans="1:15">
      <c r="A11" s="28">
        <v>8</v>
      </c>
      <c r="B11" s="29">
        <v>45877</v>
      </c>
      <c r="C11" s="117">
        <v>0</v>
      </c>
      <c r="D11" s="131"/>
      <c r="E11" s="39">
        <v>0</v>
      </c>
      <c r="F11" s="39">
        <v>0</v>
      </c>
      <c r="G11" s="39">
        <f t="shared" si="0"/>
        <v>0</v>
      </c>
      <c r="H11" s="132">
        <v>70</v>
      </c>
      <c r="I11" s="132">
        <v>103.73</v>
      </c>
      <c r="J11" s="39">
        <f t="shared" si="1"/>
        <v>7261.1</v>
      </c>
      <c r="K11" s="39">
        <f t="shared" si="2"/>
        <v>7261.1</v>
      </c>
      <c r="L11" s="39">
        <v>0</v>
      </c>
      <c r="M11" s="39">
        <f>M10+K11-L11</f>
        <v>265853.45189999999</v>
      </c>
      <c r="N11" s="50"/>
    </row>
    <row r="12" spans="1:15">
      <c r="A12" s="28">
        <v>9</v>
      </c>
      <c r="B12" s="29">
        <v>45878</v>
      </c>
      <c r="C12" s="117">
        <v>0</v>
      </c>
      <c r="D12" s="131"/>
      <c r="E12" s="39">
        <v>0</v>
      </c>
      <c r="F12" s="39">
        <v>0</v>
      </c>
      <c r="G12" s="39">
        <f t="shared" si="0"/>
        <v>0</v>
      </c>
      <c r="H12" s="132">
        <v>0</v>
      </c>
      <c r="I12" s="132">
        <v>0</v>
      </c>
      <c r="J12" s="39">
        <f t="shared" si="1"/>
        <v>0</v>
      </c>
      <c r="K12" s="39">
        <f t="shared" si="2"/>
        <v>0</v>
      </c>
      <c r="L12" s="39">
        <v>0</v>
      </c>
      <c r="M12" s="39">
        <f>M11+K12-L12</f>
        <v>265853.45189999999</v>
      </c>
      <c r="N12" s="50"/>
    </row>
    <row r="13" spans="1:15">
      <c r="A13" s="28">
        <v>10</v>
      </c>
      <c r="B13" s="29">
        <v>45879</v>
      </c>
      <c r="C13" s="117">
        <v>0</v>
      </c>
      <c r="D13" s="131"/>
      <c r="E13" s="39">
        <v>0</v>
      </c>
      <c r="F13" s="39">
        <v>0</v>
      </c>
      <c r="G13" s="39">
        <f t="shared" si="0"/>
        <v>0</v>
      </c>
      <c r="H13" s="132">
        <v>0</v>
      </c>
      <c r="I13" s="132">
        <v>0</v>
      </c>
      <c r="J13" s="39">
        <f t="shared" si="1"/>
        <v>0</v>
      </c>
      <c r="K13" s="39">
        <f t="shared" si="2"/>
        <v>0</v>
      </c>
      <c r="L13" s="39">
        <v>0</v>
      </c>
      <c r="M13" s="39">
        <f>M12+K13-L13</f>
        <v>265853.45189999999</v>
      </c>
      <c r="N13" s="50"/>
    </row>
    <row r="14" spans="1:15">
      <c r="A14" s="28">
        <v>11</v>
      </c>
      <c r="B14" s="29">
        <v>45880</v>
      </c>
      <c r="C14" s="117">
        <v>0</v>
      </c>
      <c r="D14" s="131"/>
      <c r="E14" s="39">
        <v>0</v>
      </c>
      <c r="F14" s="39">
        <v>0</v>
      </c>
      <c r="G14" s="39">
        <f t="shared" si="0"/>
        <v>0</v>
      </c>
      <c r="H14" s="132">
        <v>0</v>
      </c>
      <c r="I14" s="132">
        <v>0</v>
      </c>
      <c r="J14" s="39">
        <f t="shared" si="1"/>
        <v>0</v>
      </c>
      <c r="K14" s="39">
        <f t="shared" si="2"/>
        <v>0</v>
      </c>
      <c r="L14" s="39">
        <v>0</v>
      </c>
      <c r="M14" s="39">
        <f>M13+K14-L14</f>
        <v>265853.45189999999</v>
      </c>
      <c r="N14" s="50"/>
    </row>
    <row r="15" spans="1:15">
      <c r="A15" s="28">
        <v>12</v>
      </c>
      <c r="B15" s="29">
        <v>45881</v>
      </c>
      <c r="C15" s="117">
        <v>0</v>
      </c>
      <c r="D15" s="131"/>
      <c r="E15" s="39">
        <v>0</v>
      </c>
      <c r="F15" s="39">
        <v>0</v>
      </c>
      <c r="G15" s="39">
        <f t="shared" si="0"/>
        <v>0</v>
      </c>
      <c r="H15" s="132">
        <v>0</v>
      </c>
      <c r="I15" s="132">
        <v>0</v>
      </c>
      <c r="J15" s="39">
        <f t="shared" si="1"/>
        <v>0</v>
      </c>
      <c r="K15" s="39">
        <f t="shared" si="2"/>
        <v>0</v>
      </c>
      <c r="L15" s="39">
        <v>0</v>
      </c>
      <c r="M15" s="39">
        <f>M14+K15-L15</f>
        <v>265853.45189999999</v>
      </c>
      <c r="N15" s="50"/>
    </row>
    <row r="16" spans="1:15">
      <c r="A16" s="28">
        <v>13</v>
      </c>
      <c r="B16" s="29">
        <v>45882</v>
      </c>
      <c r="C16" s="117">
        <v>0</v>
      </c>
      <c r="D16" s="131"/>
      <c r="E16" s="39">
        <v>2000</v>
      </c>
      <c r="F16" s="39">
        <v>91.55</v>
      </c>
      <c r="G16" s="39">
        <f t="shared" si="0"/>
        <v>183100</v>
      </c>
      <c r="H16" s="132">
        <v>70</v>
      </c>
      <c r="I16" s="132">
        <v>103.73</v>
      </c>
      <c r="J16" s="39">
        <f t="shared" si="1"/>
        <v>7261.1</v>
      </c>
      <c r="K16" s="39">
        <f t="shared" si="2"/>
        <v>190361.1</v>
      </c>
      <c r="L16" s="39">
        <v>0</v>
      </c>
      <c r="M16" s="39">
        <f>M15+K16-L16</f>
        <v>456214.55189999996</v>
      </c>
      <c r="N16" s="50"/>
    </row>
    <row r="17" spans="1:14">
      <c r="A17" s="28">
        <v>14</v>
      </c>
      <c r="B17" s="29">
        <v>45883</v>
      </c>
      <c r="C17" s="117">
        <v>0</v>
      </c>
      <c r="D17" s="131"/>
      <c r="E17" s="39">
        <v>0</v>
      </c>
      <c r="F17" s="39">
        <v>0</v>
      </c>
      <c r="G17" s="39">
        <f t="shared" si="0"/>
        <v>0</v>
      </c>
      <c r="H17" s="132">
        <v>0</v>
      </c>
      <c r="I17" s="132">
        <v>0</v>
      </c>
      <c r="J17" s="39">
        <f t="shared" si="1"/>
        <v>0</v>
      </c>
      <c r="K17" s="39">
        <f t="shared" si="2"/>
        <v>0</v>
      </c>
      <c r="L17" s="39">
        <v>200000</v>
      </c>
      <c r="M17" s="39">
        <f>M16+K17-L17</f>
        <v>256214.55189999996</v>
      </c>
      <c r="N17" s="50"/>
    </row>
    <row r="18" spans="1:14">
      <c r="A18" s="28">
        <v>15</v>
      </c>
      <c r="B18" s="29">
        <v>45884</v>
      </c>
      <c r="C18" s="117">
        <v>0</v>
      </c>
      <c r="D18" s="131"/>
      <c r="E18" s="39">
        <v>0</v>
      </c>
      <c r="F18" s="39">
        <v>0</v>
      </c>
      <c r="G18" s="39">
        <f t="shared" si="0"/>
        <v>0</v>
      </c>
      <c r="H18" s="132">
        <v>0</v>
      </c>
      <c r="I18" s="132">
        <v>0</v>
      </c>
      <c r="J18" s="39">
        <f t="shared" si="1"/>
        <v>0</v>
      </c>
      <c r="K18" s="39">
        <f t="shared" si="2"/>
        <v>0</v>
      </c>
      <c r="L18" s="39">
        <v>0</v>
      </c>
      <c r="M18" s="39">
        <f>M17+K18-L18</f>
        <v>256214.55189999996</v>
      </c>
      <c r="N18" s="50"/>
    </row>
    <row r="19" spans="1:14">
      <c r="A19" s="28">
        <v>16</v>
      </c>
      <c r="B19" s="29">
        <v>45885</v>
      </c>
      <c r="C19" s="117">
        <v>0</v>
      </c>
      <c r="D19" s="131"/>
      <c r="E19" s="39">
        <v>0</v>
      </c>
      <c r="F19" s="39">
        <v>0</v>
      </c>
      <c r="G19" s="39">
        <f t="shared" si="0"/>
        <v>0</v>
      </c>
      <c r="H19" s="132">
        <v>0</v>
      </c>
      <c r="I19" s="132">
        <v>0</v>
      </c>
      <c r="J19" s="39">
        <f t="shared" si="1"/>
        <v>0</v>
      </c>
      <c r="K19" s="39">
        <f t="shared" si="2"/>
        <v>0</v>
      </c>
      <c r="L19" s="39">
        <v>0</v>
      </c>
      <c r="M19" s="39">
        <f>M18+K19-L19</f>
        <v>256214.55189999996</v>
      </c>
      <c r="N19" s="50"/>
    </row>
    <row r="20" spans="1:14">
      <c r="A20" s="28">
        <v>17</v>
      </c>
      <c r="B20" s="29">
        <v>45886</v>
      </c>
      <c r="C20" s="117">
        <v>0</v>
      </c>
      <c r="D20" s="131"/>
      <c r="E20" s="39">
        <v>0</v>
      </c>
      <c r="F20" s="39">
        <v>0</v>
      </c>
      <c r="G20" s="39">
        <f t="shared" si="0"/>
        <v>0</v>
      </c>
      <c r="H20" s="132">
        <v>0</v>
      </c>
      <c r="I20" s="132">
        <v>0</v>
      </c>
      <c r="J20" s="39">
        <f t="shared" si="1"/>
        <v>0</v>
      </c>
      <c r="K20" s="39">
        <f t="shared" si="2"/>
        <v>0</v>
      </c>
      <c r="L20" s="39">
        <v>0</v>
      </c>
      <c r="M20" s="39">
        <f>M19+K20-L20</f>
        <v>256214.55189999996</v>
      </c>
      <c r="N20" s="50"/>
    </row>
    <row r="21" spans="1:14">
      <c r="A21" s="28">
        <v>18</v>
      </c>
      <c r="B21" s="29">
        <v>45887</v>
      </c>
      <c r="C21" s="117">
        <v>0</v>
      </c>
      <c r="D21" s="131"/>
      <c r="E21" s="39">
        <v>0</v>
      </c>
      <c r="F21" s="39">
        <v>0</v>
      </c>
      <c r="G21" s="39">
        <f t="shared" si="0"/>
        <v>0</v>
      </c>
      <c r="H21" s="132">
        <v>0</v>
      </c>
      <c r="I21" s="132">
        <v>0</v>
      </c>
      <c r="J21" s="39">
        <f t="shared" si="1"/>
        <v>0</v>
      </c>
      <c r="K21" s="39">
        <f t="shared" si="2"/>
        <v>0</v>
      </c>
      <c r="L21" s="39">
        <v>0</v>
      </c>
      <c r="M21" s="39">
        <f>M20+K21-L21</f>
        <v>256214.55189999996</v>
      </c>
      <c r="N21" s="50"/>
    </row>
    <row r="22" spans="1:14">
      <c r="A22" s="28">
        <v>19</v>
      </c>
      <c r="B22" s="29">
        <v>45888</v>
      </c>
      <c r="C22" s="117">
        <v>0</v>
      </c>
      <c r="D22" s="131"/>
      <c r="E22" s="39">
        <v>0</v>
      </c>
      <c r="F22" s="39">
        <v>0</v>
      </c>
      <c r="G22" s="39">
        <f t="shared" si="0"/>
        <v>0</v>
      </c>
      <c r="H22" s="132">
        <v>0</v>
      </c>
      <c r="I22" s="132">
        <v>0</v>
      </c>
      <c r="J22" s="39">
        <f t="shared" si="1"/>
        <v>0</v>
      </c>
      <c r="K22" s="39">
        <f t="shared" si="2"/>
        <v>0</v>
      </c>
      <c r="L22" s="39">
        <v>0</v>
      </c>
      <c r="M22" s="39">
        <f>M21+K22-L22</f>
        <v>256214.55189999996</v>
      </c>
      <c r="N22" s="50"/>
    </row>
    <row r="23" spans="1:14">
      <c r="A23" s="28">
        <v>20</v>
      </c>
      <c r="B23" s="29">
        <v>45889</v>
      </c>
      <c r="C23" s="117">
        <v>0</v>
      </c>
      <c r="D23" s="131"/>
      <c r="E23" s="39">
        <v>0</v>
      </c>
      <c r="F23" s="39">
        <v>0</v>
      </c>
      <c r="G23" s="39">
        <f t="shared" si="0"/>
        <v>0</v>
      </c>
      <c r="H23" s="132">
        <v>0</v>
      </c>
      <c r="I23" s="132">
        <v>0</v>
      </c>
      <c r="J23" s="39">
        <f t="shared" si="1"/>
        <v>0</v>
      </c>
      <c r="K23" s="39">
        <f t="shared" si="2"/>
        <v>0</v>
      </c>
      <c r="L23" s="39">
        <v>0</v>
      </c>
      <c r="M23" s="39">
        <f>M22+K23-L23</f>
        <v>256214.55189999996</v>
      </c>
      <c r="N23" s="50"/>
    </row>
    <row r="24" spans="1:14">
      <c r="A24" s="28">
        <v>21</v>
      </c>
      <c r="B24" s="29">
        <v>45890</v>
      </c>
      <c r="C24" s="117">
        <v>0</v>
      </c>
      <c r="D24" s="131"/>
      <c r="E24" s="39">
        <v>0</v>
      </c>
      <c r="F24" s="39">
        <v>0</v>
      </c>
      <c r="G24" s="39">
        <f t="shared" si="0"/>
        <v>0</v>
      </c>
      <c r="H24" s="132">
        <v>0</v>
      </c>
      <c r="I24" s="132">
        <v>0</v>
      </c>
      <c r="J24" s="39">
        <f t="shared" si="1"/>
        <v>0</v>
      </c>
      <c r="K24" s="39">
        <f t="shared" si="2"/>
        <v>0</v>
      </c>
      <c r="L24" s="39">
        <v>0</v>
      </c>
      <c r="M24" s="39">
        <f>M23+K24-L24</f>
        <v>256214.55189999996</v>
      </c>
      <c r="N24" s="50"/>
    </row>
    <row r="25" spans="1:14">
      <c r="A25" s="28">
        <v>22</v>
      </c>
      <c r="B25" s="29">
        <v>45891</v>
      </c>
      <c r="C25" s="117">
        <v>0</v>
      </c>
      <c r="D25" s="131"/>
      <c r="E25" s="39">
        <v>0</v>
      </c>
      <c r="F25" s="39">
        <v>0</v>
      </c>
      <c r="G25" s="39">
        <f t="shared" si="0"/>
        <v>0</v>
      </c>
      <c r="H25" s="132">
        <v>0</v>
      </c>
      <c r="I25" s="132">
        <v>0</v>
      </c>
      <c r="J25" s="39">
        <f t="shared" si="1"/>
        <v>0</v>
      </c>
      <c r="K25" s="39">
        <f t="shared" si="2"/>
        <v>0</v>
      </c>
      <c r="L25" s="39">
        <v>0</v>
      </c>
      <c r="M25" s="39">
        <f>M24+K25-L25</f>
        <v>256214.55189999996</v>
      </c>
      <c r="N25" s="50"/>
    </row>
    <row r="26" spans="1:14">
      <c r="A26" s="28">
        <v>23</v>
      </c>
      <c r="B26" s="29">
        <v>45892</v>
      </c>
      <c r="C26" s="117">
        <v>0</v>
      </c>
      <c r="D26" s="131"/>
      <c r="E26" s="39">
        <v>0</v>
      </c>
      <c r="F26" s="39">
        <v>0</v>
      </c>
      <c r="G26" s="39">
        <f t="shared" si="0"/>
        <v>0</v>
      </c>
      <c r="H26" s="132">
        <v>0</v>
      </c>
      <c r="I26" s="132">
        <v>0</v>
      </c>
      <c r="J26" s="39">
        <f t="shared" si="1"/>
        <v>0</v>
      </c>
      <c r="K26" s="39">
        <f t="shared" si="2"/>
        <v>0</v>
      </c>
      <c r="L26" s="39">
        <v>0</v>
      </c>
      <c r="M26" s="39">
        <f>M25+K26-L26</f>
        <v>256214.55189999996</v>
      </c>
      <c r="N26" s="50"/>
    </row>
    <row r="27" spans="1:14">
      <c r="A27" s="28">
        <v>24</v>
      </c>
      <c r="B27" s="29">
        <v>45893</v>
      </c>
      <c r="C27" s="117">
        <v>0</v>
      </c>
      <c r="D27" s="131"/>
      <c r="E27" s="39">
        <v>2000</v>
      </c>
      <c r="F27" s="39">
        <v>91.55</v>
      </c>
      <c r="G27" s="39">
        <f t="shared" si="0"/>
        <v>183100</v>
      </c>
      <c r="H27" s="132">
        <v>0</v>
      </c>
      <c r="I27" s="132">
        <v>0</v>
      </c>
      <c r="J27" s="39">
        <f t="shared" si="1"/>
        <v>0</v>
      </c>
      <c r="K27" s="39">
        <f t="shared" si="2"/>
        <v>183100</v>
      </c>
      <c r="L27" s="39">
        <v>0</v>
      </c>
      <c r="M27" s="39">
        <f>M26+K27-L27</f>
        <v>439314.55189999996</v>
      </c>
      <c r="N27" s="50"/>
    </row>
    <row r="28" spans="1:14">
      <c r="A28" s="28">
        <v>25</v>
      </c>
      <c r="B28" s="29">
        <v>45894</v>
      </c>
      <c r="C28" s="117">
        <v>0</v>
      </c>
      <c r="D28" s="131"/>
      <c r="E28" s="39">
        <v>0</v>
      </c>
      <c r="F28" s="39">
        <v>0</v>
      </c>
      <c r="G28" s="39">
        <f t="shared" si="0"/>
        <v>0</v>
      </c>
      <c r="H28" s="132">
        <v>0</v>
      </c>
      <c r="I28" s="132">
        <v>0</v>
      </c>
      <c r="J28" s="39">
        <f t="shared" si="1"/>
        <v>0</v>
      </c>
      <c r="K28" s="39">
        <f t="shared" si="2"/>
        <v>0</v>
      </c>
      <c r="L28" s="39">
        <v>0</v>
      </c>
      <c r="M28" s="39">
        <f>M27+K28-L28</f>
        <v>439314.55189999996</v>
      </c>
      <c r="N28" s="50"/>
    </row>
    <row r="29" spans="1:14">
      <c r="A29" s="28">
        <v>26</v>
      </c>
      <c r="B29" s="29">
        <v>45895</v>
      </c>
      <c r="C29" s="117">
        <v>0</v>
      </c>
      <c r="D29" s="131"/>
      <c r="E29" s="39">
        <v>0</v>
      </c>
      <c r="F29" s="39">
        <v>0</v>
      </c>
      <c r="G29" s="39">
        <f t="shared" si="0"/>
        <v>0</v>
      </c>
      <c r="H29" s="132">
        <v>0</v>
      </c>
      <c r="I29" s="132">
        <v>0</v>
      </c>
      <c r="J29" s="39">
        <f t="shared" si="1"/>
        <v>0</v>
      </c>
      <c r="K29" s="39">
        <f t="shared" si="2"/>
        <v>0</v>
      </c>
      <c r="L29" s="39">
        <v>0</v>
      </c>
      <c r="M29" s="39">
        <f>M28+K29-L29</f>
        <v>439314.55189999996</v>
      </c>
      <c r="N29" s="50"/>
    </row>
    <row r="30" spans="1:14">
      <c r="A30" s="28">
        <v>27</v>
      </c>
      <c r="B30" s="29">
        <v>45896</v>
      </c>
      <c r="C30" s="117">
        <v>0</v>
      </c>
      <c r="D30" s="131"/>
      <c r="E30" s="39">
        <v>0</v>
      </c>
      <c r="F30" s="39">
        <v>0</v>
      </c>
      <c r="G30" s="39">
        <f t="shared" si="0"/>
        <v>0</v>
      </c>
      <c r="H30" s="132">
        <v>0</v>
      </c>
      <c r="I30" s="132">
        <v>0</v>
      </c>
      <c r="J30" s="39">
        <f t="shared" si="1"/>
        <v>0</v>
      </c>
      <c r="K30" s="39">
        <f t="shared" si="2"/>
        <v>0</v>
      </c>
      <c r="L30" s="39">
        <v>0</v>
      </c>
      <c r="M30" s="39">
        <f>M29+K30-L30</f>
        <v>439314.55189999996</v>
      </c>
      <c r="N30" s="50"/>
    </row>
    <row r="31" spans="1:14">
      <c r="A31" s="28">
        <v>28</v>
      </c>
      <c r="B31" s="29">
        <v>45897</v>
      </c>
      <c r="C31" s="117">
        <v>0</v>
      </c>
      <c r="D31" s="131"/>
      <c r="E31" s="39">
        <v>0</v>
      </c>
      <c r="F31" s="39">
        <v>0</v>
      </c>
      <c r="G31" s="39">
        <f t="shared" si="0"/>
        <v>0</v>
      </c>
      <c r="H31" s="132">
        <v>0</v>
      </c>
      <c r="I31" s="132">
        <v>0</v>
      </c>
      <c r="J31" s="39">
        <f t="shared" si="1"/>
        <v>0</v>
      </c>
      <c r="K31" s="39">
        <f t="shared" si="2"/>
        <v>0</v>
      </c>
      <c r="L31" s="39">
        <v>0</v>
      </c>
      <c r="M31" s="39">
        <f>M30+K31-L31</f>
        <v>439314.55189999996</v>
      </c>
      <c r="N31" s="50"/>
    </row>
    <row r="32" spans="1:14">
      <c r="A32" s="28">
        <v>29</v>
      </c>
      <c r="B32" s="29">
        <v>45898</v>
      </c>
      <c r="C32" s="117">
        <v>0</v>
      </c>
      <c r="D32" s="131"/>
      <c r="E32" s="39">
        <v>0</v>
      </c>
      <c r="F32" s="39">
        <v>0</v>
      </c>
      <c r="G32" s="39">
        <f t="shared" si="0"/>
        <v>0</v>
      </c>
      <c r="H32" s="132">
        <v>0</v>
      </c>
      <c r="I32" s="132">
        <v>0</v>
      </c>
      <c r="J32" s="39">
        <f t="shared" si="1"/>
        <v>0</v>
      </c>
      <c r="K32" s="39">
        <f t="shared" si="2"/>
        <v>0</v>
      </c>
      <c r="L32" s="39">
        <v>0</v>
      </c>
      <c r="M32" s="39"/>
      <c r="N32" s="50"/>
    </row>
    <row r="33" spans="1:14">
      <c r="A33" s="28">
        <v>30</v>
      </c>
      <c r="B33" s="29">
        <v>45899</v>
      </c>
      <c r="C33" s="117">
        <v>0</v>
      </c>
      <c r="D33" s="131"/>
      <c r="E33" s="39">
        <v>0</v>
      </c>
      <c r="F33" s="39">
        <v>0</v>
      </c>
      <c r="G33" s="39">
        <f t="shared" si="0"/>
        <v>0</v>
      </c>
      <c r="H33" s="132">
        <v>0</v>
      </c>
      <c r="I33" s="132">
        <v>0</v>
      </c>
      <c r="J33" s="39">
        <f t="shared" si="1"/>
        <v>0</v>
      </c>
      <c r="K33" s="39">
        <f t="shared" si="2"/>
        <v>0</v>
      </c>
      <c r="L33" s="39">
        <v>0</v>
      </c>
      <c r="M33" s="39"/>
      <c r="N33" s="50"/>
    </row>
    <row r="34" spans="1:14">
      <c r="A34" s="28">
        <v>31</v>
      </c>
      <c r="B34" s="29"/>
      <c r="C34" s="117"/>
      <c r="D34" s="131"/>
      <c r="E34" s="39"/>
      <c r="F34" s="39"/>
      <c r="G34" s="39"/>
      <c r="H34" s="132"/>
      <c r="I34" s="132"/>
      <c r="J34" s="39"/>
      <c r="K34" s="39"/>
      <c r="L34" s="39"/>
      <c r="M34" s="39"/>
      <c r="N34" s="50"/>
    </row>
    <row r="35" spans="1:14">
      <c r="A35" s="48"/>
      <c r="B35" s="48"/>
      <c r="C35" s="48"/>
      <c r="D35" s="48"/>
      <c r="E35" s="49">
        <f>SUM(E4:E34)</f>
        <v>6000</v>
      </c>
      <c r="F35" s="49"/>
      <c r="G35" s="49">
        <f>SUM(G4:G34)</f>
        <v>549300</v>
      </c>
      <c r="H35" s="49">
        <f>SUM(H4:H34)</f>
        <v>210</v>
      </c>
      <c r="I35" s="49"/>
      <c r="J35" s="49">
        <f>SUM(J4:J34)</f>
        <v>21783.300000000003</v>
      </c>
      <c r="K35" s="49">
        <f>SUM(K4:K34)</f>
        <v>571083.30000000005</v>
      </c>
      <c r="L35" s="49">
        <f>SUM(L4:L34)</f>
        <v>750000</v>
      </c>
      <c r="M35" s="49"/>
      <c r="N35" s="49"/>
    </row>
  </sheetData>
  <mergeCells count="2">
    <mergeCell ref="A1:N1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13" activePane="bottomLeft" state="frozen"/>
      <selection pane="bottomLeft" activeCell="Q38" sqref="Q38"/>
    </sheetView>
  </sheetViews>
  <sheetFormatPr defaultColWidth="9.28515625" defaultRowHeight="15"/>
  <cols>
    <col min="1" max="1" width="5.42578125" style="59" bestFit="1" customWidth="1"/>
    <col min="2" max="2" width="11" style="59" bestFit="1" customWidth="1"/>
    <col min="3" max="3" width="7.140625" style="59" bestFit="1" customWidth="1"/>
    <col min="4" max="4" width="15.140625" style="59" bestFit="1" customWidth="1"/>
    <col min="5" max="5" width="9.28515625" style="59"/>
    <col min="6" max="6" width="9.85546875" style="59" bestFit="1" customWidth="1"/>
    <col min="7" max="7" width="10.42578125" style="59" bestFit="1" customWidth="1"/>
    <col min="8" max="8" width="9.28515625" style="59"/>
    <col min="9" max="9" width="7.140625" style="59" bestFit="1" customWidth="1"/>
    <col min="10" max="10" width="9.5703125" style="59" bestFit="1" customWidth="1"/>
    <col min="11" max="11" width="12.28515625" style="59" customWidth="1"/>
    <col min="12" max="12" width="11.7109375" style="59" bestFit="1" customWidth="1"/>
    <col min="13" max="13" width="11.7109375" style="59" customWidth="1"/>
    <col min="14" max="14" width="17.7109375" style="59" bestFit="1" customWidth="1"/>
    <col min="15" max="16384" width="9.28515625" style="59"/>
  </cols>
  <sheetData>
    <row r="1" spans="1:15" ht="15.75">
      <c r="A1" s="426" t="s">
        <v>42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5">
      <c r="A2" s="96" t="s">
        <v>94</v>
      </c>
      <c r="B2" s="97" t="s">
        <v>95</v>
      </c>
      <c r="C2" s="97" t="s">
        <v>96</v>
      </c>
      <c r="D2" s="97" t="s">
        <v>97</v>
      </c>
      <c r="E2" s="97" t="s">
        <v>98</v>
      </c>
      <c r="F2" s="97" t="s">
        <v>99</v>
      </c>
      <c r="G2" s="97" t="s">
        <v>100</v>
      </c>
      <c r="H2" s="97" t="s">
        <v>101</v>
      </c>
      <c r="I2" s="97" t="s">
        <v>99</v>
      </c>
      <c r="J2" s="122" t="s">
        <v>100</v>
      </c>
      <c r="K2" s="124" t="s">
        <v>102</v>
      </c>
      <c r="L2" s="125" t="s">
        <v>103</v>
      </c>
      <c r="M2" s="126" t="s">
        <v>110</v>
      </c>
      <c r="N2" s="98" t="s">
        <v>105</v>
      </c>
      <c r="O2" s="35"/>
    </row>
    <row r="3" spans="1:15" ht="15.75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9"/>
      <c r="K3" s="60">
        <v>26749.799999999988</v>
      </c>
      <c r="L3" s="58"/>
      <c r="M3" s="130">
        <f>+K3</f>
        <v>26749.799999999988</v>
      </c>
      <c r="N3" s="58"/>
      <c r="O3" s="59">
        <v>26749.799999999988</v>
      </c>
    </row>
    <row r="4" spans="1:15" ht="15.75">
      <c r="A4" s="28">
        <v>1</v>
      </c>
      <c r="B4" s="29">
        <v>45870</v>
      </c>
      <c r="C4" s="128"/>
      <c r="D4" s="129"/>
      <c r="E4" s="88">
        <v>0</v>
      </c>
      <c r="F4" s="127"/>
      <c r="G4" s="127">
        <f>E4*F4</f>
        <v>0</v>
      </c>
      <c r="H4" s="127">
        <v>0</v>
      </c>
      <c r="I4" s="127">
        <v>0</v>
      </c>
      <c r="J4" s="127">
        <f>H4*I4</f>
        <v>0</v>
      </c>
      <c r="K4" s="127">
        <f>G4+J4</f>
        <v>0</v>
      </c>
      <c r="L4" s="127"/>
      <c r="M4" s="133">
        <f>M3+K4-L4</f>
        <v>26749.799999999988</v>
      </c>
      <c r="N4" s="127"/>
    </row>
    <row r="5" spans="1:15" ht="15.75">
      <c r="A5" s="28">
        <v>2</v>
      </c>
      <c r="B5" s="29">
        <v>45871</v>
      </c>
      <c r="C5" s="25"/>
      <c r="D5" s="26"/>
      <c r="E5" s="88">
        <v>0</v>
      </c>
      <c r="F5" s="127"/>
      <c r="G5" s="127">
        <f t="shared" ref="G5:G34" si="0">E5*F5</f>
        <v>0</v>
      </c>
      <c r="H5" s="127">
        <v>70</v>
      </c>
      <c r="I5" s="127">
        <v>104.14</v>
      </c>
      <c r="J5" s="127">
        <f t="shared" ref="J5:J34" si="1">H5*I5</f>
        <v>7289.8</v>
      </c>
      <c r="K5" s="127">
        <f t="shared" ref="K5:K34" si="2">G5+J5</f>
        <v>7289.8</v>
      </c>
      <c r="L5" s="127">
        <v>0</v>
      </c>
      <c r="M5" s="133">
        <f>M4+K5-L5</f>
        <v>34039.599999999991</v>
      </c>
      <c r="N5" s="50"/>
    </row>
    <row r="6" spans="1:15" ht="18.75" customHeight="1">
      <c r="A6" s="28">
        <v>3</v>
      </c>
      <c r="B6" s="29">
        <v>45872</v>
      </c>
      <c r="C6" s="234"/>
      <c r="D6" s="211"/>
      <c r="E6" s="88">
        <v>0</v>
      </c>
      <c r="F6" s="127"/>
      <c r="G6" s="127">
        <f t="shared" si="0"/>
        <v>0</v>
      </c>
      <c r="H6" s="127">
        <v>0</v>
      </c>
      <c r="I6" s="127">
        <v>0</v>
      </c>
      <c r="J6" s="127">
        <f t="shared" si="1"/>
        <v>0</v>
      </c>
      <c r="K6" s="127">
        <f t="shared" si="2"/>
        <v>0</v>
      </c>
      <c r="L6" s="127">
        <v>26700</v>
      </c>
      <c r="M6" s="133">
        <f>M5+K6-L6</f>
        <v>7339.5999999999913</v>
      </c>
      <c r="N6" s="58"/>
    </row>
    <row r="7" spans="1:15" ht="15.75">
      <c r="A7" s="28">
        <v>4</v>
      </c>
      <c r="B7" s="29">
        <v>45873</v>
      </c>
      <c r="C7" s="232"/>
      <c r="D7" s="233"/>
      <c r="E7" s="88">
        <v>0</v>
      </c>
      <c r="F7" s="127"/>
      <c r="G7" s="127">
        <f t="shared" si="0"/>
        <v>0</v>
      </c>
      <c r="H7" s="127">
        <v>0</v>
      </c>
      <c r="I7" s="127">
        <v>0</v>
      </c>
      <c r="J7" s="127">
        <f t="shared" si="1"/>
        <v>0</v>
      </c>
      <c r="K7" s="127">
        <f t="shared" si="2"/>
        <v>0</v>
      </c>
      <c r="L7" s="127"/>
      <c r="M7" s="133">
        <f>M6+K7-L7</f>
        <v>7339.5999999999913</v>
      </c>
      <c r="N7" s="50"/>
    </row>
    <row r="8" spans="1:15" ht="15.75" customHeight="1">
      <c r="A8" s="28">
        <v>5</v>
      </c>
      <c r="B8" s="29">
        <v>45874</v>
      </c>
      <c r="C8" s="127"/>
      <c r="D8" s="127"/>
      <c r="E8" s="88">
        <v>0</v>
      </c>
      <c r="F8" s="127"/>
      <c r="G8" s="127">
        <f t="shared" si="0"/>
        <v>0</v>
      </c>
      <c r="H8" s="127">
        <v>0</v>
      </c>
      <c r="I8" s="127">
        <v>0</v>
      </c>
      <c r="J8" s="127">
        <f t="shared" si="1"/>
        <v>0</v>
      </c>
      <c r="K8" s="127">
        <f t="shared" si="2"/>
        <v>0</v>
      </c>
      <c r="L8" s="127"/>
      <c r="M8" s="133">
        <f t="shared" ref="M8:M34" si="3">M7+K8-L8</f>
        <v>7339.5999999999913</v>
      </c>
      <c r="N8" s="58"/>
    </row>
    <row r="9" spans="1:15" ht="15.75" customHeight="1">
      <c r="A9" s="28">
        <v>6</v>
      </c>
      <c r="B9" s="29">
        <v>45875</v>
      </c>
      <c r="C9" s="58"/>
      <c r="D9" s="127"/>
      <c r="E9" s="88">
        <v>0</v>
      </c>
      <c r="F9" s="127"/>
      <c r="G9" s="127">
        <f t="shared" si="0"/>
        <v>0</v>
      </c>
      <c r="H9" s="127">
        <v>0</v>
      </c>
      <c r="I9" s="127">
        <v>0</v>
      </c>
      <c r="J9" s="127">
        <f t="shared" si="1"/>
        <v>0</v>
      </c>
      <c r="K9" s="127">
        <f t="shared" si="2"/>
        <v>0</v>
      </c>
      <c r="L9" s="127"/>
      <c r="M9" s="133">
        <f t="shared" si="3"/>
        <v>7339.5999999999913</v>
      </c>
      <c r="N9" s="58"/>
    </row>
    <row r="10" spans="1:15" ht="15.75" customHeight="1">
      <c r="A10" s="28">
        <v>7</v>
      </c>
      <c r="B10" s="29">
        <v>45876</v>
      </c>
      <c r="C10" s="58"/>
      <c r="D10" s="127"/>
      <c r="E10" s="88">
        <v>2300</v>
      </c>
      <c r="F10" s="127">
        <v>92.26</v>
      </c>
      <c r="G10" s="127">
        <f t="shared" si="0"/>
        <v>212198</v>
      </c>
      <c r="H10" s="127">
        <v>35</v>
      </c>
      <c r="I10" s="127">
        <v>104.14</v>
      </c>
      <c r="J10" s="127">
        <f t="shared" si="1"/>
        <v>3644.9</v>
      </c>
      <c r="K10" s="127">
        <f t="shared" si="2"/>
        <v>215842.9</v>
      </c>
      <c r="L10" s="127"/>
      <c r="M10" s="133">
        <f t="shared" si="3"/>
        <v>223182.5</v>
      </c>
      <c r="N10" s="58"/>
    </row>
    <row r="11" spans="1:15" ht="15.75" customHeight="1">
      <c r="A11" s="28">
        <v>8</v>
      </c>
      <c r="B11" s="29">
        <v>45877</v>
      </c>
      <c r="C11" s="58"/>
      <c r="D11" s="127"/>
      <c r="E11" s="88">
        <v>0</v>
      </c>
      <c r="F11" s="127"/>
      <c r="G11" s="127">
        <f t="shared" si="0"/>
        <v>0</v>
      </c>
      <c r="H11" s="127">
        <v>0</v>
      </c>
      <c r="I11" s="127">
        <v>0</v>
      </c>
      <c r="J11" s="127">
        <f t="shared" si="1"/>
        <v>0</v>
      </c>
      <c r="K11" s="127">
        <f t="shared" si="2"/>
        <v>0</v>
      </c>
      <c r="L11" s="127"/>
      <c r="M11" s="133">
        <f t="shared" si="3"/>
        <v>223182.5</v>
      </c>
      <c r="N11" s="58"/>
    </row>
    <row r="12" spans="1:15" ht="15.75" customHeight="1">
      <c r="A12" s="28">
        <v>9</v>
      </c>
      <c r="B12" s="29">
        <v>45878</v>
      </c>
      <c r="C12" s="58"/>
      <c r="D12" s="127"/>
      <c r="E12" s="88">
        <v>0</v>
      </c>
      <c r="F12" s="127"/>
      <c r="G12" s="127">
        <f t="shared" si="0"/>
        <v>0</v>
      </c>
      <c r="H12" s="127">
        <v>0</v>
      </c>
      <c r="I12" s="127">
        <v>0</v>
      </c>
      <c r="J12" s="127">
        <f t="shared" si="1"/>
        <v>0</v>
      </c>
      <c r="K12" s="127">
        <f t="shared" si="2"/>
        <v>0</v>
      </c>
      <c r="L12" s="127"/>
      <c r="M12" s="133">
        <f t="shared" si="3"/>
        <v>223182.5</v>
      </c>
      <c r="N12" s="58"/>
    </row>
    <row r="13" spans="1:15" ht="15.75" customHeight="1">
      <c r="A13" s="28">
        <v>10</v>
      </c>
      <c r="B13" s="29">
        <v>45879</v>
      </c>
      <c r="C13" s="58"/>
      <c r="D13" s="127"/>
      <c r="E13" s="88">
        <v>0</v>
      </c>
      <c r="F13" s="127"/>
      <c r="G13" s="127">
        <f t="shared" si="0"/>
        <v>0</v>
      </c>
      <c r="H13" s="127">
        <v>0</v>
      </c>
      <c r="I13" s="127">
        <v>0</v>
      </c>
      <c r="J13" s="127">
        <f t="shared" si="1"/>
        <v>0</v>
      </c>
      <c r="K13" s="127">
        <f t="shared" si="2"/>
        <v>0</v>
      </c>
      <c r="L13" s="127"/>
      <c r="M13" s="133">
        <f t="shared" si="3"/>
        <v>223182.5</v>
      </c>
      <c r="N13" s="58"/>
    </row>
    <row r="14" spans="1:15" ht="15.75" customHeight="1">
      <c r="A14" s="28">
        <v>11</v>
      </c>
      <c r="B14" s="29">
        <v>45880</v>
      </c>
      <c r="C14" s="58"/>
      <c r="D14" s="127"/>
      <c r="E14" s="88">
        <v>0</v>
      </c>
      <c r="F14" s="127"/>
      <c r="G14" s="127">
        <f t="shared" si="0"/>
        <v>0</v>
      </c>
      <c r="H14" s="127">
        <v>0</v>
      </c>
      <c r="I14" s="127">
        <v>0</v>
      </c>
      <c r="J14" s="127">
        <f t="shared" si="1"/>
        <v>0</v>
      </c>
      <c r="K14" s="127">
        <f t="shared" si="2"/>
        <v>0</v>
      </c>
      <c r="L14" s="127"/>
      <c r="M14" s="133">
        <f t="shared" si="3"/>
        <v>223182.5</v>
      </c>
      <c r="N14" s="58"/>
    </row>
    <row r="15" spans="1:15" ht="15.75" customHeight="1">
      <c r="A15" s="28">
        <v>12</v>
      </c>
      <c r="B15" s="29">
        <v>45881</v>
      </c>
      <c r="C15" s="58"/>
      <c r="D15" s="127"/>
      <c r="E15" s="88">
        <v>0</v>
      </c>
      <c r="F15" s="127"/>
      <c r="G15" s="127">
        <f t="shared" si="0"/>
        <v>0</v>
      </c>
      <c r="H15" s="127">
        <v>0</v>
      </c>
      <c r="I15" s="127">
        <v>0</v>
      </c>
      <c r="J15" s="127">
        <f t="shared" si="1"/>
        <v>0</v>
      </c>
      <c r="K15" s="127">
        <f t="shared" si="2"/>
        <v>0</v>
      </c>
      <c r="L15" s="127"/>
      <c r="M15" s="133">
        <f t="shared" si="3"/>
        <v>223182.5</v>
      </c>
      <c r="N15" s="58"/>
    </row>
    <row r="16" spans="1:15" ht="15.75" customHeight="1">
      <c r="A16" s="28">
        <v>13</v>
      </c>
      <c r="B16" s="29">
        <v>45882</v>
      </c>
      <c r="C16" s="58"/>
      <c r="D16" s="127"/>
      <c r="E16" s="88">
        <v>0</v>
      </c>
      <c r="F16" s="127"/>
      <c r="G16" s="127">
        <f t="shared" si="0"/>
        <v>0</v>
      </c>
      <c r="H16" s="127">
        <v>0</v>
      </c>
      <c r="I16" s="127">
        <v>0</v>
      </c>
      <c r="J16" s="127">
        <f t="shared" si="1"/>
        <v>0</v>
      </c>
      <c r="K16" s="127">
        <f t="shared" si="2"/>
        <v>0</v>
      </c>
      <c r="L16" s="127">
        <v>223000</v>
      </c>
      <c r="M16" s="133">
        <f t="shared" si="3"/>
        <v>182.5</v>
      </c>
      <c r="N16" s="58"/>
    </row>
    <row r="17" spans="1:14" ht="15.75" customHeight="1">
      <c r="A17" s="28">
        <v>14</v>
      </c>
      <c r="B17" s="29">
        <v>45883</v>
      </c>
      <c r="C17" s="58"/>
      <c r="D17" s="127"/>
      <c r="E17" s="88">
        <v>0</v>
      </c>
      <c r="F17" s="127"/>
      <c r="G17" s="127">
        <f t="shared" si="0"/>
        <v>0</v>
      </c>
      <c r="H17" s="127">
        <v>0</v>
      </c>
      <c r="I17" s="127">
        <v>0</v>
      </c>
      <c r="J17" s="127">
        <f t="shared" si="1"/>
        <v>0</v>
      </c>
      <c r="K17" s="127">
        <f t="shared" si="2"/>
        <v>0</v>
      </c>
      <c r="L17" s="127"/>
      <c r="M17" s="133">
        <f>M16+K17-L17</f>
        <v>182.5</v>
      </c>
      <c r="N17" s="58"/>
    </row>
    <row r="18" spans="1:14" ht="15.75" customHeight="1">
      <c r="A18" s="28">
        <v>15</v>
      </c>
      <c r="B18" s="29">
        <v>45884</v>
      </c>
      <c r="C18" s="58"/>
      <c r="D18" s="127"/>
      <c r="E18" s="88">
        <v>0</v>
      </c>
      <c r="F18" s="127"/>
      <c r="G18" s="127">
        <f t="shared" si="0"/>
        <v>0</v>
      </c>
      <c r="H18" s="127">
        <v>0</v>
      </c>
      <c r="I18" s="127">
        <v>0</v>
      </c>
      <c r="J18" s="127">
        <f t="shared" si="1"/>
        <v>0</v>
      </c>
      <c r="K18" s="127">
        <f t="shared" si="2"/>
        <v>0</v>
      </c>
      <c r="L18" s="127"/>
      <c r="M18" s="133">
        <f t="shared" si="3"/>
        <v>182.5</v>
      </c>
      <c r="N18" s="58"/>
    </row>
    <row r="19" spans="1:14" ht="15.75" customHeight="1">
      <c r="A19" s="28">
        <v>16</v>
      </c>
      <c r="B19" s="29">
        <v>45885</v>
      </c>
      <c r="C19" s="58"/>
      <c r="D19" s="127"/>
      <c r="E19" s="88">
        <v>0</v>
      </c>
      <c r="F19" s="127"/>
      <c r="G19" s="127">
        <f t="shared" si="0"/>
        <v>0</v>
      </c>
      <c r="H19" s="127">
        <v>0</v>
      </c>
      <c r="I19" s="127">
        <v>0</v>
      </c>
      <c r="J19" s="127">
        <f t="shared" si="1"/>
        <v>0</v>
      </c>
      <c r="K19" s="127">
        <f t="shared" si="2"/>
        <v>0</v>
      </c>
      <c r="L19" s="127"/>
      <c r="M19" s="133">
        <f t="shared" si="3"/>
        <v>182.5</v>
      </c>
      <c r="N19" s="58"/>
    </row>
    <row r="20" spans="1:14" ht="15.75" customHeight="1">
      <c r="A20" s="28">
        <v>17</v>
      </c>
      <c r="B20" s="29">
        <v>45886</v>
      </c>
      <c r="C20" s="58"/>
      <c r="D20" s="127"/>
      <c r="E20" s="88">
        <v>0</v>
      </c>
      <c r="F20" s="127"/>
      <c r="G20" s="127">
        <f t="shared" si="0"/>
        <v>0</v>
      </c>
      <c r="H20" s="127">
        <v>0</v>
      </c>
      <c r="I20" s="127">
        <v>0</v>
      </c>
      <c r="J20" s="127">
        <f t="shared" si="1"/>
        <v>0</v>
      </c>
      <c r="K20" s="127">
        <f t="shared" si="2"/>
        <v>0</v>
      </c>
      <c r="L20" s="127"/>
      <c r="M20" s="133">
        <f t="shared" si="3"/>
        <v>182.5</v>
      </c>
      <c r="N20" s="58"/>
    </row>
    <row r="21" spans="1:14" ht="15.75" customHeight="1">
      <c r="A21" s="28">
        <v>18</v>
      </c>
      <c r="B21" s="29">
        <v>45887</v>
      </c>
      <c r="C21" s="58"/>
      <c r="D21" s="127"/>
      <c r="E21" s="88">
        <v>0</v>
      </c>
      <c r="F21" s="127"/>
      <c r="G21" s="127">
        <f t="shared" si="0"/>
        <v>0</v>
      </c>
      <c r="H21" s="127">
        <v>0</v>
      </c>
      <c r="I21" s="127">
        <v>0</v>
      </c>
      <c r="J21" s="127">
        <f t="shared" si="1"/>
        <v>0</v>
      </c>
      <c r="K21" s="127">
        <f t="shared" si="2"/>
        <v>0</v>
      </c>
      <c r="L21" s="127"/>
      <c r="M21" s="133">
        <f t="shared" si="3"/>
        <v>182.5</v>
      </c>
      <c r="N21" s="58"/>
    </row>
    <row r="22" spans="1:14" ht="15.75" customHeight="1">
      <c r="A22" s="28">
        <v>19</v>
      </c>
      <c r="B22" s="29">
        <v>45888</v>
      </c>
      <c r="C22" s="58"/>
      <c r="D22" s="127"/>
      <c r="E22" s="88">
        <v>0</v>
      </c>
      <c r="F22" s="127"/>
      <c r="G22" s="127">
        <f t="shared" si="0"/>
        <v>0</v>
      </c>
      <c r="H22" s="127">
        <v>0</v>
      </c>
      <c r="I22" s="127">
        <v>0</v>
      </c>
      <c r="J22" s="127">
        <f t="shared" si="1"/>
        <v>0</v>
      </c>
      <c r="K22" s="127">
        <f t="shared" si="2"/>
        <v>0</v>
      </c>
      <c r="L22" s="127"/>
      <c r="M22" s="133">
        <f t="shared" si="3"/>
        <v>182.5</v>
      </c>
      <c r="N22" s="58"/>
    </row>
    <row r="23" spans="1:14" ht="15.75" customHeight="1">
      <c r="A23" s="28">
        <v>20</v>
      </c>
      <c r="B23" s="29">
        <v>45889</v>
      </c>
      <c r="C23" s="58"/>
      <c r="D23" s="127"/>
      <c r="E23" s="88">
        <v>0</v>
      </c>
      <c r="F23" s="127"/>
      <c r="G23" s="127">
        <f t="shared" si="0"/>
        <v>0</v>
      </c>
      <c r="H23" s="127">
        <v>70</v>
      </c>
      <c r="I23" s="127">
        <v>104.14</v>
      </c>
      <c r="J23" s="127">
        <f t="shared" si="1"/>
        <v>7289.8</v>
      </c>
      <c r="K23" s="127">
        <f t="shared" si="2"/>
        <v>7289.8</v>
      </c>
      <c r="L23" s="127"/>
      <c r="M23" s="133">
        <f t="shared" si="3"/>
        <v>7472.3</v>
      </c>
      <c r="N23" s="58"/>
    </row>
    <row r="24" spans="1:14" ht="15.75" customHeight="1">
      <c r="A24" s="28">
        <v>21</v>
      </c>
      <c r="B24" s="29">
        <v>45890</v>
      </c>
      <c r="C24" s="58"/>
      <c r="D24" s="127"/>
      <c r="E24" s="88">
        <v>0</v>
      </c>
      <c r="F24" s="127"/>
      <c r="G24" s="127">
        <f t="shared" si="0"/>
        <v>0</v>
      </c>
      <c r="H24" s="127">
        <v>0</v>
      </c>
      <c r="I24" s="127">
        <v>0</v>
      </c>
      <c r="J24" s="127">
        <f t="shared" si="1"/>
        <v>0</v>
      </c>
      <c r="K24" s="127">
        <f t="shared" si="2"/>
        <v>0</v>
      </c>
      <c r="L24" s="127"/>
      <c r="M24" s="133">
        <f t="shared" si="3"/>
        <v>7472.3</v>
      </c>
      <c r="N24" s="58"/>
    </row>
    <row r="25" spans="1:14" ht="15.75" customHeight="1">
      <c r="A25" s="28">
        <v>22</v>
      </c>
      <c r="B25" s="29">
        <v>45891</v>
      </c>
      <c r="C25" s="58"/>
      <c r="D25" s="127"/>
      <c r="E25" s="88">
        <v>0</v>
      </c>
      <c r="F25" s="127"/>
      <c r="G25" s="127">
        <f t="shared" si="0"/>
        <v>0</v>
      </c>
      <c r="H25" s="127">
        <v>0</v>
      </c>
      <c r="I25" s="127">
        <v>0</v>
      </c>
      <c r="J25" s="127">
        <f t="shared" si="1"/>
        <v>0</v>
      </c>
      <c r="K25" s="127">
        <f t="shared" si="2"/>
        <v>0</v>
      </c>
      <c r="L25" s="127"/>
      <c r="M25" s="133">
        <f t="shared" si="3"/>
        <v>7472.3</v>
      </c>
      <c r="N25" s="58"/>
    </row>
    <row r="26" spans="1:14" ht="15.75" customHeight="1">
      <c r="A26" s="28">
        <v>23</v>
      </c>
      <c r="B26" s="29">
        <v>45892</v>
      </c>
      <c r="C26" s="58"/>
      <c r="D26" s="127"/>
      <c r="E26" s="88">
        <v>2000</v>
      </c>
      <c r="F26" s="127">
        <v>92.26</v>
      </c>
      <c r="G26" s="127">
        <f t="shared" si="0"/>
        <v>184520</v>
      </c>
      <c r="H26" s="127">
        <v>0</v>
      </c>
      <c r="I26" s="127">
        <v>0</v>
      </c>
      <c r="J26" s="127">
        <f t="shared" si="1"/>
        <v>0</v>
      </c>
      <c r="K26" s="127">
        <f t="shared" si="2"/>
        <v>184520</v>
      </c>
      <c r="L26" s="127"/>
      <c r="M26" s="133">
        <f t="shared" si="3"/>
        <v>191992.3</v>
      </c>
      <c r="N26" s="58"/>
    </row>
    <row r="27" spans="1:14" ht="15.75" customHeight="1">
      <c r="A27" s="28">
        <v>24</v>
      </c>
      <c r="B27" s="29">
        <v>45893</v>
      </c>
      <c r="C27" s="58"/>
      <c r="D27" s="127"/>
      <c r="E27" s="88">
        <v>0</v>
      </c>
      <c r="F27" s="127"/>
      <c r="G27" s="127">
        <f t="shared" si="0"/>
        <v>0</v>
      </c>
      <c r="H27" s="127">
        <v>0</v>
      </c>
      <c r="I27" s="127">
        <v>0</v>
      </c>
      <c r="J27" s="127">
        <f t="shared" si="1"/>
        <v>0</v>
      </c>
      <c r="K27" s="127">
        <f t="shared" si="2"/>
        <v>0</v>
      </c>
      <c r="L27" s="127"/>
      <c r="M27" s="133">
        <f t="shared" si="3"/>
        <v>191992.3</v>
      </c>
      <c r="N27" s="58"/>
    </row>
    <row r="28" spans="1:14" ht="15.75" customHeight="1">
      <c r="A28" s="28">
        <v>25</v>
      </c>
      <c r="B28" s="29">
        <v>45894</v>
      </c>
      <c r="C28" s="58"/>
      <c r="D28" s="127"/>
      <c r="E28" s="88">
        <v>0</v>
      </c>
      <c r="F28" s="127"/>
      <c r="G28" s="127">
        <f t="shared" si="0"/>
        <v>0</v>
      </c>
      <c r="H28" s="127">
        <v>0</v>
      </c>
      <c r="I28" s="127">
        <v>0</v>
      </c>
      <c r="J28" s="127">
        <f t="shared" si="1"/>
        <v>0</v>
      </c>
      <c r="K28" s="127">
        <f t="shared" si="2"/>
        <v>0</v>
      </c>
      <c r="L28" s="127"/>
      <c r="M28" s="133">
        <f t="shared" si="3"/>
        <v>191992.3</v>
      </c>
      <c r="N28" s="58"/>
    </row>
    <row r="29" spans="1:14" ht="15.75" customHeight="1">
      <c r="A29" s="28">
        <v>26</v>
      </c>
      <c r="B29" s="29">
        <v>45895</v>
      </c>
      <c r="C29" s="58"/>
      <c r="D29" s="127"/>
      <c r="E29" s="88">
        <v>0</v>
      </c>
      <c r="F29" s="127"/>
      <c r="G29" s="127">
        <f t="shared" si="0"/>
        <v>0</v>
      </c>
      <c r="H29" s="127">
        <v>0</v>
      </c>
      <c r="I29" s="127">
        <v>0</v>
      </c>
      <c r="J29" s="127">
        <f t="shared" si="1"/>
        <v>0</v>
      </c>
      <c r="K29" s="127">
        <f t="shared" si="2"/>
        <v>0</v>
      </c>
      <c r="L29" s="127"/>
      <c r="M29" s="133">
        <f t="shared" si="3"/>
        <v>191992.3</v>
      </c>
      <c r="N29" s="58"/>
    </row>
    <row r="30" spans="1:14" ht="15.75" customHeight="1">
      <c r="A30" s="28">
        <v>27</v>
      </c>
      <c r="B30" s="29">
        <v>45896</v>
      </c>
      <c r="C30" s="58"/>
      <c r="D30" s="127"/>
      <c r="E30" s="88">
        <v>0</v>
      </c>
      <c r="F30" s="127"/>
      <c r="G30" s="127">
        <f t="shared" si="0"/>
        <v>0</v>
      </c>
      <c r="H30" s="127">
        <v>0</v>
      </c>
      <c r="I30" s="127">
        <v>0</v>
      </c>
      <c r="J30" s="127">
        <f t="shared" si="1"/>
        <v>0</v>
      </c>
      <c r="K30" s="127">
        <f t="shared" si="2"/>
        <v>0</v>
      </c>
      <c r="L30" s="127"/>
      <c r="M30" s="133">
        <f t="shared" si="3"/>
        <v>191992.3</v>
      </c>
      <c r="N30" s="58"/>
    </row>
    <row r="31" spans="1:14" ht="15.75" customHeight="1">
      <c r="A31" s="28">
        <v>28</v>
      </c>
      <c r="B31" s="29">
        <v>45897</v>
      </c>
      <c r="C31" s="58"/>
      <c r="D31" s="127"/>
      <c r="E31" s="88">
        <v>0</v>
      </c>
      <c r="F31" s="127"/>
      <c r="G31" s="127">
        <f t="shared" si="0"/>
        <v>0</v>
      </c>
      <c r="H31" s="127">
        <v>0</v>
      </c>
      <c r="I31" s="127">
        <v>0</v>
      </c>
      <c r="J31" s="127">
        <f t="shared" si="1"/>
        <v>0</v>
      </c>
      <c r="K31" s="127">
        <f t="shared" si="2"/>
        <v>0</v>
      </c>
      <c r="L31" s="127"/>
      <c r="M31" s="133">
        <f t="shared" si="3"/>
        <v>191992.3</v>
      </c>
      <c r="N31" s="58"/>
    </row>
    <row r="32" spans="1:14" ht="15.75" customHeight="1">
      <c r="A32" s="28">
        <v>29</v>
      </c>
      <c r="B32" s="29">
        <v>45898</v>
      </c>
      <c r="C32" s="58"/>
      <c r="D32" s="127"/>
      <c r="E32" s="88">
        <v>0</v>
      </c>
      <c r="F32" s="127"/>
      <c r="G32" s="127">
        <f t="shared" si="0"/>
        <v>0</v>
      </c>
      <c r="H32" s="127">
        <v>0</v>
      </c>
      <c r="I32" s="127">
        <v>0</v>
      </c>
      <c r="J32" s="127">
        <f t="shared" si="1"/>
        <v>0</v>
      </c>
      <c r="K32" s="127">
        <f t="shared" si="2"/>
        <v>0</v>
      </c>
      <c r="L32" s="127"/>
      <c r="M32" s="133">
        <f t="shared" si="3"/>
        <v>191992.3</v>
      </c>
      <c r="N32" s="58"/>
    </row>
    <row r="33" spans="1:15" ht="15.75" customHeight="1">
      <c r="A33" s="28">
        <v>30</v>
      </c>
      <c r="B33" s="29">
        <v>45899</v>
      </c>
      <c r="C33" s="58"/>
      <c r="D33" s="127"/>
      <c r="E33" s="88">
        <v>0</v>
      </c>
      <c r="F33" s="127"/>
      <c r="G33" s="127">
        <f t="shared" si="0"/>
        <v>0</v>
      </c>
      <c r="H33" s="127">
        <v>0</v>
      </c>
      <c r="I33" s="127">
        <v>0</v>
      </c>
      <c r="J33" s="127">
        <f t="shared" si="1"/>
        <v>0</v>
      </c>
      <c r="K33" s="127">
        <f t="shared" si="2"/>
        <v>0</v>
      </c>
      <c r="L33" s="127"/>
      <c r="M33" s="133">
        <f t="shared" si="3"/>
        <v>191992.3</v>
      </c>
      <c r="N33" s="58"/>
    </row>
    <row r="34" spans="1:15" ht="15.75" customHeight="1">
      <c r="A34" s="28">
        <v>31</v>
      </c>
      <c r="B34" s="29">
        <v>45900</v>
      </c>
      <c r="C34" s="58"/>
      <c r="D34" s="127"/>
      <c r="E34" s="88">
        <v>0</v>
      </c>
      <c r="F34" s="127"/>
      <c r="G34" s="127">
        <f t="shared" si="0"/>
        <v>0</v>
      </c>
      <c r="H34" s="127">
        <v>0</v>
      </c>
      <c r="I34" s="127">
        <v>0</v>
      </c>
      <c r="J34" s="127">
        <f t="shared" si="1"/>
        <v>0</v>
      </c>
      <c r="K34" s="127">
        <f t="shared" si="2"/>
        <v>0</v>
      </c>
      <c r="L34" s="127"/>
      <c r="M34" s="133">
        <f t="shared" si="3"/>
        <v>191992.3</v>
      </c>
      <c r="N34" s="58"/>
    </row>
    <row r="35" spans="1:15">
      <c r="A35" s="48"/>
      <c r="B35" s="48"/>
      <c r="C35" s="48"/>
      <c r="D35" s="48"/>
      <c r="E35" s="49">
        <f>SUM(E4:E34)</f>
        <v>4300</v>
      </c>
      <c r="F35" s="49"/>
      <c r="G35" s="49">
        <f>SUM(G4:G34)</f>
        <v>396718</v>
      </c>
      <c r="H35" s="49">
        <f>SUM(H4:H34)</f>
        <v>175</v>
      </c>
      <c r="I35" s="49"/>
      <c r="J35" s="49">
        <f>SUM(J4:J34)</f>
        <v>18224.5</v>
      </c>
      <c r="K35" s="49">
        <f>SUM(K4:K34)</f>
        <v>414942.5</v>
      </c>
      <c r="L35" s="49">
        <f>SUM(L4:L34)</f>
        <v>249700</v>
      </c>
      <c r="M35" s="49"/>
      <c r="N35" s="49"/>
      <c r="O35" s="35"/>
    </row>
    <row r="37" spans="1:15">
      <c r="D37" s="51"/>
      <c r="E37" s="51"/>
    </row>
  </sheetData>
  <mergeCells count="2">
    <mergeCell ref="A1:N1"/>
    <mergeCell ref="A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35"/>
  <sheetViews>
    <sheetView topLeftCell="A17" workbookViewId="0">
      <selection activeCell="R15" sqref="R15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  <col min="15" max="15" width="12" customWidth="1"/>
  </cols>
  <sheetData>
    <row r="1" spans="1:14" ht="15.75">
      <c r="A1" s="416" t="s">
        <v>44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</row>
    <row r="2" spans="1:14">
      <c r="A2" s="112" t="s">
        <v>94</v>
      </c>
      <c r="B2" s="116" t="s">
        <v>95</v>
      </c>
      <c r="C2" s="116" t="s">
        <v>96</v>
      </c>
      <c r="D2" s="116" t="s">
        <v>97</v>
      </c>
      <c r="E2" s="116" t="s">
        <v>98</v>
      </c>
      <c r="F2" s="116" t="s">
        <v>99</v>
      </c>
      <c r="G2" s="116" t="s">
        <v>100</v>
      </c>
      <c r="H2" s="116" t="s">
        <v>101</v>
      </c>
      <c r="I2" s="116" t="s">
        <v>99</v>
      </c>
      <c r="J2" s="116" t="s">
        <v>100</v>
      </c>
      <c r="K2" s="116" t="s">
        <v>102</v>
      </c>
      <c r="L2" s="116" t="s">
        <v>103</v>
      </c>
      <c r="M2" s="116" t="s">
        <v>110</v>
      </c>
      <c r="N2" s="116" t="s">
        <v>105</v>
      </c>
    </row>
    <row r="3" spans="1:14">
      <c r="A3" s="427" t="s">
        <v>106</v>
      </c>
      <c r="B3" s="427"/>
      <c r="C3" s="427"/>
      <c r="D3" s="427"/>
      <c r="E3" s="427"/>
      <c r="F3" s="427"/>
      <c r="G3" s="427"/>
      <c r="H3" s="427"/>
      <c r="I3" s="427"/>
      <c r="J3" s="427"/>
      <c r="K3" s="104">
        <v>0</v>
      </c>
      <c r="L3" s="104">
        <v>0</v>
      </c>
      <c r="M3" s="104">
        <f>+K3</f>
        <v>0</v>
      </c>
      <c r="N3" s="19"/>
    </row>
    <row r="4" spans="1:14">
      <c r="A4" s="28">
        <v>1</v>
      </c>
      <c r="B4" s="29">
        <v>45870</v>
      </c>
      <c r="C4" s="19"/>
      <c r="D4" s="19"/>
      <c r="E4" s="95">
        <v>0</v>
      </c>
      <c r="F4" s="95">
        <v>0</v>
      </c>
      <c r="G4" s="19">
        <f>E4*F4</f>
        <v>0</v>
      </c>
      <c r="H4" s="95">
        <v>0</v>
      </c>
      <c r="I4" s="95">
        <v>0</v>
      </c>
      <c r="J4" s="19">
        <f>H4*I4</f>
        <v>0</v>
      </c>
      <c r="K4" s="19">
        <f>G4+J4</f>
        <v>0</v>
      </c>
      <c r="L4" s="19">
        <f>K4</f>
        <v>0</v>
      </c>
      <c r="M4" s="19">
        <f>M3+K4-L4</f>
        <v>0</v>
      </c>
      <c r="N4" s="50"/>
    </row>
    <row r="5" spans="1:14">
      <c r="A5" s="28">
        <v>2</v>
      </c>
      <c r="B5" s="29">
        <v>45871</v>
      </c>
      <c r="C5" s="19"/>
      <c r="D5" s="19"/>
      <c r="E5" s="95">
        <v>300</v>
      </c>
      <c r="F5" s="95">
        <v>92.25</v>
      </c>
      <c r="G5" s="19">
        <f t="shared" ref="G5:G33" si="0">E5*F5</f>
        <v>27675</v>
      </c>
      <c r="H5" s="95">
        <v>20</v>
      </c>
      <c r="I5" s="95">
        <v>104.13</v>
      </c>
      <c r="J5" s="19">
        <f t="shared" ref="J5:J33" si="1">H5*I5</f>
        <v>2082.6</v>
      </c>
      <c r="K5" s="19">
        <f t="shared" ref="K5:K33" si="2">G5+J5</f>
        <v>29757.599999999999</v>
      </c>
      <c r="L5" s="19">
        <f t="shared" ref="L5:L33" si="3">K5</f>
        <v>29757.599999999999</v>
      </c>
      <c r="M5" s="19">
        <f t="shared" ref="M5:M27" si="4">M4+K5-L5</f>
        <v>0</v>
      </c>
      <c r="N5" s="50"/>
    </row>
    <row r="6" spans="1:14">
      <c r="A6" s="28">
        <v>3</v>
      </c>
      <c r="B6" s="29">
        <v>45872</v>
      </c>
      <c r="C6" s="19"/>
      <c r="D6" s="19"/>
      <c r="E6" s="95">
        <v>0</v>
      </c>
      <c r="F6" s="95">
        <v>0</v>
      </c>
      <c r="G6" s="19">
        <f t="shared" si="0"/>
        <v>0</v>
      </c>
      <c r="H6" s="95">
        <v>0</v>
      </c>
      <c r="I6" s="95">
        <v>0</v>
      </c>
      <c r="J6" s="19">
        <f t="shared" si="1"/>
        <v>0</v>
      </c>
      <c r="K6" s="19">
        <f t="shared" si="2"/>
        <v>0</v>
      </c>
      <c r="L6" s="19">
        <f t="shared" si="3"/>
        <v>0</v>
      </c>
      <c r="M6" s="19">
        <f t="shared" si="4"/>
        <v>0</v>
      </c>
      <c r="N6" s="50"/>
    </row>
    <row r="7" spans="1:14">
      <c r="A7" s="28">
        <v>4</v>
      </c>
      <c r="B7" s="29">
        <v>45873</v>
      </c>
      <c r="C7" s="19"/>
      <c r="D7" s="19"/>
      <c r="E7" s="95">
        <v>420</v>
      </c>
      <c r="F7" s="95">
        <v>92.25</v>
      </c>
      <c r="G7" s="19">
        <f t="shared" si="0"/>
        <v>38745</v>
      </c>
      <c r="H7" s="95">
        <v>10</v>
      </c>
      <c r="I7" s="95">
        <v>104.13</v>
      </c>
      <c r="J7" s="19">
        <f t="shared" si="1"/>
        <v>1041.3</v>
      </c>
      <c r="K7" s="19">
        <f t="shared" si="2"/>
        <v>39786.300000000003</v>
      </c>
      <c r="L7" s="19">
        <f t="shared" si="3"/>
        <v>39786.300000000003</v>
      </c>
      <c r="M7" s="19">
        <f t="shared" si="4"/>
        <v>0</v>
      </c>
      <c r="N7" s="50"/>
    </row>
    <row r="8" spans="1:14">
      <c r="A8" s="28">
        <v>5</v>
      </c>
      <c r="B8" s="29">
        <v>45874</v>
      </c>
      <c r="C8" s="19"/>
      <c r="D8" s="19"/>
      <c r="E8" s="95">
        <v>0</v>
      </c>
      <c r="F8" s="95">
        <v>0</v>
      </c>
      <c r="G8" s="19">
        <f t="shared" si="0"/>
        <v>0</v>
      </c>
      <c r="H8" s="95">
        <v>0</v>
      </c>
      <c r="I8" s="95">
        <v>0</v>
      </c>
      <c r="J8" s="19">
        <f t="shared" si="1"/>
        <v>0</v>
      </c>
      <c r="K8" s="19">
        <f t="shared" si="2"/>
        <v>0</v>
      </c>
      <c r="L8" s="19">
        <f t="shared" si="3"/>
        <v>0</v>
      </c>
      <c r="M8" s="19">
        <f t="shared" si="4"/>
        <v>0</v>
      </c>
      <c r="N8" s="50"/>
    </row>
    <row r="9" spans="1:14">
      <c r="A9" s="28">
        <v>6</v>
      </c>
      <c r="B9" s="29">
        <v>45875</v>
      </c>
      <c r="C9" s="19"/>
      <c r="D9" s="19"/>
      <c r="E9" s="95">
        <v>429.99</v>
      </c>
      <c r="F9" s="95">
        <v>92.23</v>
      </c>
      <c r="G9" s="19">
        <f t="shared" si="0"/>
        <v>39657.977700000003</v>
      </c>
      <c r="H9" s="95">
        <v>0</v>
      </c>
      <c r="I9" s="95">
        <v>0</v>
      </c>
      <c r="J9" s="19">
        <f t="shared" si="1"/>
        <v>0</v>
      </c>
      <c r="K9" s="19">
        <f t="shared" si="2"/>
        <v>39657.977700000003</v>
      </c>
      <c r="L9" s="19">
        <f t="shared" si="3"/>
        <v>39657.977700000003</v>
      </c>
      <c r="M9" s="19">
        <f t="shared" si="4"/>
        <v>0</v>
      </c>
      <c r="N9" s="50"/>
    </row>
    <row r="10" spans="1:14">
      <c r="A10" s="28">
        <v>7</v>
      </c>
      <c r="B10" s="29">
        <v>45876</v>
      </c>
      <c r="C10" s="19"/>
      <c r="D10" s="19"/>
      <c r="E10" s="95">
        <v>0</v>
      </c>
      <c r="F10" s="95">
        <v>0</v>
      </c>
      <c r="G10" s="19">
        <f t="shared" si="0"/>
        <v>0</v>
      </c>
      <c r="H10" s="95">
        <v>0</v>
      </c>
      <c r="I10" s="95">
        <v>0</v>
      </c>
      <c r="J10" s="19">
        <f t="shared" si="1"/>
        <v>0</v>
      </c>
      <c r="K10" s="19">
        <f t="shared" si="2"/>
        <v>0</v>
      </c>
      <c r="L10" s="19">
        <f t="shared" si="3"/>
        <v>0</v>
      </c>
      <c r="M10" s="19">
        <f t="shared" si="4"/>
        <v>0</v>
      </c>
      <c r="N10" s="50"/>
    </row>
    <row r="11" spans="1:14">
      <c r="A11" s="28">
        <v>8</v>
      </c>
      <c r="B11" s="29">
        <v>45877</v>
      </c>
      <c r="C11" s="19"/>
      <c r="D11" s="19"/>
      <c r="E11" s="95">
        <v>0</v>
      </c>
      <c r="F11" s="95">
        <v>0</v>
      </c>
      <c r="G11" s="19">
        <f t="shared" si="0"/>
        <v>0</v>
      </c>
      <c r="H11" s="95">
        <v>0</v>
      </c>
      <c r="I11" s="95">
        <v>0</v>
      </c>
      <c r="J11" s="19">
        <f t="shared" si="1"/>
        <v>0</v>
      </c>
      <c r="K11" s="19">
        <f t="shared" si="2"/>
        <v>0</v>
      </c>
      <c r="L11" s="19">
        <f t="shared" si="3"/>
        <v>0</v>
      </c>
      <c r="M11" s="19">
        <f t="shared" si="4"/>
        <v>0</v>
      </c>
      <c r="N11" s="50"/>
    </row>
    <row r="12" spans="1:14">
      <c r="A12" s="28">
        <v>9</v>
      </c>
      <c r="B12" s="29">
        <v>45878</v>
      </c>
      <c r="C12" s="19"/>
      <c r="D12" s="19"/>
      <c r="E12" s="95">
        <v>0</v>
      </c>
      <c r="F12" s="95">
        <v>0</v>
      </c>
      <c r="G12" s="19">
        <f t="shared" si="0"/>
        <v>0</v>
      </c>
      <c r="H12" s="95">
        <v>0</v>
      </c>
      <c r="I12" s="95">
        <v>0</v>
      </c>
      <c r="J12" s="19">
        <f t="shared" si="1"/>
        <v>0</v>
      </c>
      <c r="K12" s="19">
        <f t="shared" si="2"/>
        <v>0</v>
      </c>
      <c r="L12" s="19">
        <f t="shared" si="3"/>
        <v>0</v>
      </c>
      <c r="M12" s="19">
        <f t="shared" si="4"/>
        <v>0</v>
      </c>
      <c r="N12" s="50"/>
    </row>
    <row r="13" spans="1:14">
      <c r="A13" s="28">
        <v>10</v>
      </c>
      <c r="B13" s="29">
        <v>45879</v>
      </c>
      <c r="C13" s="19"/>
      <c r="D13" s="19"/>
      <c r="E13" s="95">
        <v>180</v>
      </c>
      <c r="F13" s="95">
        <v>92.23</v>
      </c>
      <c r="G13" s="19">
        <f t="shared" si="0"/>
        <v>16601.400000000001</v>
      </c>
      <c r="H13" s="95">
        <v>30</v>
      </c>
      <c r="I13" s="95">
        <v>104.13</v>
      </c>
      <c r="J13" s="19">
        <f t="shared" si="1"/>
        <v>3123.8999999999996</v>
      </c>
      <c r="K13" s="19">
        <f t="shared" si="2"/>
        <v>19725.300000000003</v>
      </c>
      <c r="L13" s="19">
        <f t="shared" si="3"/>
        <v>19725.300000000003</v>
      </c>
      <c r="M13" s="19">
        <f t="shared" si="4"/>
        <v>0</v>
      </c>
      <c r="N13" s="50"/>
    </row>
    <row r="14" spans="1:14">
      <c r="A14" s="28">
        <v>11</v>
      </c>
      <c r="B14" s="29">
        <v>45880</v>
      </c>
      <c r="C14" s="19"/>
      <c r="D14" s="19"/>
      <c r="E14" s="95">
        <v>430</v>
      </c>
      <c r="F14" s="95">
        <v>92.25</v>
      </c>
      <c r="G14" s="19">
        <f t="shared" si="0"/>
        <v>39667.5</v>
      </c>
      <c r="H14" s="95">
        <v>0</v>
      </c>
      <c r="I14" s="95">
        <v>0</v>
      </c>
      <c r="J14" s="19">
        <f t="shared" si="1"/>
        <v>0</v>
      </c>
      <c r="K14" s="19">
        <f t="shared" si="2"/>
        <v>39667.5</v>
      </c>
      <c r="L14" s="19">
        <f t="shared" si="3"/>
        <v>39667.5</v>
      </c>
      <c r="M14" s="19">
        <f t="shared" si="4"/>
        <v>0</v>
      </c>
      <c r="N14" s="50"/>
    </row>
    <row r="15" spans="1:14">
      <c r="A15" s="28">
        <v>12</v>
      </c>
      <c r="B15" s="29">
        <v>45881</v>
      </c>
      <c r="C15" s="19"/>
      <c r="D15" s="19"/>
      <c r="E15" s="95">
        <v>0</v>
      </c>
      <c r="F15" s="95">
        <v>0</v>
      </c>
      <c r="G15" s="19">
        <f t="shared" si="0"/>
        <v>0</v>
      </c>
      <c r="H15" s="95">
        <v>0</v>
      </c>
      <c r="I15" s="95">
        <v>0</v>
      </c>
      <c r="J15" s="19">
        <f t="shared" si="1"/>
        <v>0</v>
      </c>
      <c r="K15" s="19">
        <f t="shared" si="2"/>
        <v>0</v>
      </c>
      <c r="L15" s="19">
        <f t="shared" si="3"/>
        <v>0</v>
      </c>
      <c r="M15" s="19">
        <f t="shared" si="4"/>
        <v>0</v>
      </c>
      <c r="N15" s="50"/>
    </row>
    <row r="16" spans="1:14">
      <c r="A16" s="28">
        <v>13</v>
      </c>
      <c r="B16" s="29">
        <v>45882</v>
      </c>
      <c r="C16" s="19"/>
      <c r="D16" s="19"/>
      <c r="E16" s="95">
        <v>0</v>
      </c>
      <c r="F16" s="95">
        <v>0</v>
      </c>
      <c r="G16" s="19">
        <f t="shared" si="0"/>
        <v>0</v>
      </c>
      <c r="H16" s="95">
        <v>0</v>
      </c>
      <c r="I16" s="95">
        <v>0</v>
      </c>
      <c r="J16" s="19">
        <f t="shared" si="1"/>
        <v>0</v>
      </c>
      <c r="K16" s="19">
        <f t="shared" si="2"/>
        <v>0</v>
      </c>
      <c r="L16" s="19">
        <f t="shared" si="3"/>
        <v>0</v>
      </c>
      <c r="M16" s="19">
        <f t="shared" si="4"/>
        <v>0</v>
      </c>
      <c r="N16" s="50"/>
    </row>
    <row r="17" spans="1:14">
      <c r="A17" s="28">
        <v>14</v>
      </c>
      <c r="B17" s="29">
        <v>45883</v>
      </c>
      <c r="C17" s="19"/>
      <c r="D17" s="19"/>
      <c r="E17" s="95">
        <v>0</v>
      </c>
      <c r="F17" s="95">
        <v>0</v>
      </c>
      <c r="G17" s="19">
        <f t="shared" si="0"/>
        <v>0</v>
      </c>
      <c r="H17" s="95">
        <v>35</v>
      </c>
      <c r="I17" s="95">
        <v>104.13</v>
      </c>
      <c r="J17" s="19">
        <f t="shared" si="1"/>
        <v>3644.5499999999997</v>
      </c>
      <c r="K17" s="19">
        <f t="shared" si="2"/>
        <v>3644.5499999999997</v>
      </c>
      <c r="L17" s="19">
        <f t="shared" si="3"/>
        <v>3644.5499999999997</v>
      </c>
      <c r="M17" s="19">
        <f t="shared" si="4"/>
        <v>0</v>
      </c>
      <c r="N17" s="50"/>
    </row>
    <row r="18" spans="1:14">
      <c r="A18" s="28">
        <v>15</v>
      </c>
      <c r="B18" s="29">
        <v>45884</v>
      </c>
      <c r="C18" s="19"/>
      <c r="D18" s="19"/>
      <c r="E18" s="95">
        <v>0</v>
      </c>
      <c r="F18" s="95">
        <v>0</v>
      </c>
      <c r="G18" s="19">
        <f t="shared" si="0"/>
        <v>0</v>
      </c>
      <c r="H18" s="95">
        <v>0</v>
      </c>
      <c r="I18" s="95">
        <v>0</v>
      </c>
      <c r="J18" s="19">
        <f t="shared" si="1"/>
        <v>0</v>
      </c>
      <c r="K18" s="19">
        <f t="shared" si="2"/>
        <v>0</v>
      </c>
      <c r="L18" s="19">
        <f t="shared" si="3"/>
        <v>0</v>
      </c>
      <c r="M18" s="19">
        <f t="shared" si="4"/>
        <v>0</v>
      </c>
      <c r="N18" s="50"/>
    </row>
    <row r="19" spans="1:14">
      <c r="A19" s="28">
        <v>16</v>
      </c>
      <c r="B19" s="29">
        <v>45885</v>
      </c>
      <c r="C19" s="19"/>
      <c r="D19" s="19"/>
      <c r="E19" s="95">
        <v>0</v>
      </c>
      <c r="F19" s="95">
        <v>0</v>
      </c>
      <c r="G19" s="19">
        <f t="shared" si="0"/>
        <v>0</v>
      </c>
      <c r="H19" s="95">
        <v>0</v>
      </c>
      <c r="I19" s="95">
        <v>0</v>
      </c>
      <c r="J19" s="19">
        <f t="shared" si="1"/>
        <v>0</v>
      </c>
      <c r="K19" s="19">
        <f t="shared" si="2"/>
        <v>0</v>
      </c>
      <c r="L19" s="19">
        <f t="shared" si="3"/>
        <v>0</v>
      </c>
      <c r="M19" s="19">
        <f t="shared" si="4"/>
        <v>0</v>
      </c>
      <c r="N19" s="50"/>
    </row>
    <row r="20" spans="1:14">
      <c r="A20" s="28">
        <v>17</v>
      </c>
      <c r="B20" s="29">
        <v>45886</v>
      </c>
      <c r="C20" s="19"/>
      <c r="D20" s="19"/>
      <c r="E20" s="95">
        <v>0</v>
      </c>
      <c r="F20" s="95">
        <v>0</v>
      </c>
      <c r="G20" s="19">
        <f t="shared" si="0"/>
        <v>0</v>
      </c>
      <c r="H20" s="95">
        <v>0</v>
      </c>
      <c r="I20" s="95">
        <v>0</v>
      </c>
      <c r="J20" s="19">
        <f t="shared" si="1"/>
        <v>0</v>
      </c>
      <c r="K20" s="19">
        <f t="shared" si="2"/>
        <v>0</v>
      </c>
      <c r="L20" s="19">
        <f t="shared" si="3"/>
        <v>0</v>
      </c>
      <c r="M20" s="19">
        <f t="shared" si="4"/>
        <v>0</v>
      </c>
      <c r="N20" s="50"/>
    </row>
    <row r="21" spans="1:14">
      <c r="A21" s="28">
        <v>18</v>
      </c>
      <c r="B21" s="29">
        <v>45887</v>
      </c>
      <c r="C21" s="19"/>
      <c r="D21" s="19"/>
      <c r="E21" s="95">
        <v>0</v>
      </c>
      <c r="F21" s="95">
        <v>0</v>
      </c>
      <c r="G21" s="19">
        <f t="shared" si="0"/>
        <v>0</v>
      </c>
      <c r="H21" s="95">
        <v>0</v>
      </c>
      <c r="I21" s="95">
        <v>0</v>
      </c>
      <c r="J21" s="19">
        <f t="shared" si="1"/>
        <v>0</v>
      </c>
      <c r="K21" s="19">
        <f t="shared" si="2"/>
        <v>0</v>
      </c>
      <c r="L21" s="19">
        <f t="shared" si="3"/>
        <v>0</v>
      </c>
      <c r="M21" s="19">
        <f t="shared" si="4"/>
        <v>0</v>
      </c>
      <c r="N21" s="50"/>
    </row>
    <row r="22" spans="1:14">
      <c r="A22" s="28">
        <v>19</v>
      </c>
      <c r="B22" s="29">
        <v>45888</v>
      </c>
      <c r="C22" s="19"/>
      <c r="D22" s="19"/>
      <c r="E22" s="95">
        <v>0</v>
      </c>
      <c r="F22" s="95">
        <v>0</v>
      </c>
      <c r="G22" s="19">
        <f t="shared" si="0"/>
        <v>0</v>
      </c>
      <c r="H22" s="95">
        <v>0</v>
      </c>
      <c r="I22" s="95">
        <v>0</v>
      </c>
      <c r="J22" s="19">
        <f t="shared" si="1"/>
        <v>0</v>
      </c>
      <c r="K22" s="19">
        <f t="shared" si="2"/>
        <v>0</v>
      </c>
      <c r="L22" s="19">
        <f t="shared" si="3"/>
        <v>0</v>
      </c>
      <c r="M22" s="19">
        <f t="shared" si="4"/>
        <v>0</v>
      </c>
      <c r="N22" s="50"/>
    </row>
    <row r="23" spans="1:14">
      <c r="A23" s="28">
        <v>20</v>
      </c>
      <c r="B23" s="29">
        <v>45889</v>
      </c>
      <c r="C23" s="19"/>
      <c r="D23" s="19"/>
      <c r="E23" s="95">
        <v>0</v>
      </c>
      <c r="F23" s="95">
        <v>0</v>
      </c>
      <c r="G23" s="19">
        <f t="shared" si="0"/>
        <v>0</v>
      </c>
      <c r="H23" s="95">
        <v>0</v>
      </c>
      <c r="I23" s="95">
        <v>0</v>
      </c>
      <c r="J23" s="19">
        <f t="shared" si="1"/>
        <v>0</v>
      </c>
      <c r="K23" s="19">
        <f t="shared" si="2"/>
        <v>0</v>
      </c>
      <c r="L23" s="19">
        <f t="shared" si="3"/>
        <v>0</v>
      </c>
      <c r="M23" s="19">
        <f t="shared" si="4"/>
        <v>0</v>
      </c>
      <c r="N23" s="50"/>
    </row>
    <row r="24" spans="1:14">
      <c r="A24" s="28">
        <v>21</v>
      </c>
      <c r="B24" s="29">
        <v>45890</v>
      </c>
      <c r="C24" s="19"/>
      <c r="D24" s="19"/>
      <c r="E24" s="95">
        <v>500</v>
      </c>
      <c r="F24" s="95">
        <v>92.23</v>
      </c>
      <c r="G24" s="19">
        <f t="shared" si="0"/>
        <v>46115</v>
      </c>
      <c r="H24" s="95">
        <v>35</v>
      </c>
      <c r="I24" s="95">
        <v>104.13</v>
      </c>
      <c r="J24" s="19">
        <f t="shared" si="1"/>
        <v>3644.5499999999997</v>
      </c>
      <c r="K24" s="19">
        <f t="shared" si="2"/>
        <v>49759.55</v>
      </c>
      <c r="L24" s="19">
        <f t="shared" si="3"/>
        <v>49759.55</v>
      </c>
      <c r="M24" s="19">
        <f t="shared" si="4"/>
        <v>0</v>
      </c>
      <c r="N24" s="50"/>
    </row>
    <row r="25" spans="1:14">
      <c r="A25" s="28">
        <v>22</v>
      </c>
      <c r="B25" s="29">
        <v>45891</v>
      </c>
      <c r="C25" s="19"/>
      <c r="D25" s="19"/>
      <c r="E25" s="95">
        <v>0</v>
      </c>
      <c r="F25" s="95">
        <v>0</v>
      </c>
      <c r="G25" s="19">
        <f t="shared" si="0"/>
        <v>0</v>
      </c>
      <c r="H25" s="95">
        <v>0</v>
      </c>
      <c r="I25" s="95">
        <v>0</v>
      </c>
      <c r="J25" s="19">
        <f t="shared" si="1"/>
        <v>0</v>
      </c>
      <c r="K25" s="19">
        <f t="shared" si="2"/>
        <v>0</v>
      </c>
      <c r="L25" s="19">
        <f t="shared" si="3"/>
        <v>0</v>
      </c>
      <c r="M25" s="19">
        <f t="shared" si="4"/>
        <v>0</v>
      </c>
      <c r="N25" s="50"/>
    </row>
    <row r="26" spans="1:14">
      <c r="A26" s="28">
        <v>23</v>
      </c>
      <c r="B26" s="29">
        <v>45892</v>
      </c>
      <c r="C26" s="19"/>
      <c r="D26" s="19"/>
      <c r="E26" s="95">
        <v>433.7</v>
      </c>
      <c r="F26" s="95">
        <v>92.23</v>
      </c>
      <c r="G26" s="19">
        <f t="shared" si="0"/>
        <v>40000.150999999998</v>
      </c>
      <c r="H26" s="95">
        <v>0</v>
      </c>
      <c r="I26" s="95">
        <v>0</v>
      </c>
      <c r="J26" s="19">
        <f t="shared" si="1"/>
        <v>0</v>
      </c>
      <c r="K26" s="19">
        <f t="shared" si="2"/>
        <v>40000.150999999998</v>
      </c>
      <c r="L26" s="19">
        <f t="shared" si="3"/>
        <v>40000.150999999998</v>
      </c>
      <c r="M26" s="19">
        <f t="shared" si="4"/>
        <v>0</v>
      </c>
      <c r="N26" s="50"/>
    </row>
    <row r="27" spans="1:14">
      <c r="A27" s="28">
        <v>24</v>
      </c>
      <c r="B27" s="29">
        <v>45893</v>
      </c>
      <c r="C27" s="19"/>
      <c r="D27" s="19"/>
      <c r="E27" s="95">
        <v>0</v>
      </c>
      <c r="F27" s="95">
        <v>0</v>
      </c>
      <c r="G27" s="19">
        <f t="shared" si="0"/>
        <v>0</v>
      </c>
      <c r="H27" s="95">
        <v>0</v>
      </c>
      <c r="I27" s="95">
        <v>0</v>
      </c>
      <c r="J27" s="19">
        <f t="shared" si="1"/>
        <v>0</v>
      </c>
      <c r="K27" s="19">
        <f t="shared" si="2"/>
        <v>0</v>
      </c>
      <c r="L27" s="19">
        <f t="shared" si="3"/>
        <v>0</v>
      </c>
      <c r="M27" s="19">
        <f t="shared" si="4"/>
        <v>0</v>
      </c>
      <c r="N27" s="50"/>
    </row>
    <row r="28" spans="1:14">
      <c r="A28" s="28">
        <v>25</v>
      </c>
      <c r="B28" s="29">
        <v>45894</v>
      </c>
      <c r="C28" s="19"/>
      <c r="D28" s="19"/>
      <c r="E28" s="95">
        <v>0</v>
      </c>
      <c r="F28" s="95">
        <v>0</v>
      </c>
      <c r="G28" s="19">
        <f t="shared" si="0"/>
        <v>0</v>
      </c>
      <c r="H28" s="95">
        <v>0</v>
      </c>
      <c r="I28" s="95">
        <v>0</v>
      </c>
      <c r="J28" s="19">
        <f t="shared" si="1"/>
        <v>0</v>
      </c>
      <c r="K28" s="19">
        <f t="shared" si="2"/>
        <v>0</v>
      </c>
      <c r="L28" s="19">
        <f t="shared" si="3"/>
        <v>0</v>
      </c>
      <c r="M28" s="19">
        <v>0</v>
      </c>
      <c r="N28" s="50"/>
    </row>
    <row r="29" spans="1:14">
      <c r="A29" s="28">
        <v>26</v>
      </c>
      <c r="B29" s="29">
        <v>45895</v>
      </c>
      <c r="C29" s="19"/>
      <c r="D29" s="19"/>
      <c r="E29" s="95">
        <v>0</v>
      </c>
      <c r="F29" s="95">
        <v>0</v>
      </c>
      <c r="G29" s="19">
        <f t="shared" si="0"/>
        <v>0</v>
      </c>
      <c r="H29" s="95">
        <v>0</v>
      </c>
      <c r="I29" s="95">
        <v>0</v>
      </c>
      <c r="J29" s="19">
        <f t="shared" si="1"/>
        <v>0</v>
      </c>
      <c r="K29" s="19">
        <f t="shared" si="2"/>
        <v>0</v>
      </c>
      <c r="L29" s="19">
        <f t="shared" si="3"/>
        <v>0</v>
      </c>
      <c r="M29" s="19">
        <v>0</v>
      </c>
      <c r="N29" s="50"/>
    </row>
    <row r="30" spans="1:14">
      <c r="A30" s="28">
        <v>27</v>
      </c>
      <c r="B30" s="29">
        <v>45896</v>
      </c>
      <c r="C30" s="19"/>
      <c r="D30" s="19"/>
      <c r="E30" s="95">
        <v>0</v>
      </c>
      <c r="F30" s="95">
        <v>0</v>
      </c>
      <c r="G30" s="19">
        <f t="shared" si="0"/>
        <v>0</v>
      </c>
      <c r="H30" s="95">
        <v>0</v>
      </c>
      <c r="I30" s="95">
        <v>0</v>
      </c>
      <c r="J30" s="19">
        <f t="shared" si="1"/>
        <v>0</v>
      </c>
      <c r="K30" s="19">
        <f t="shared" si="2"/>
        <v>0</v>
      </c>
      <c r="L30" s="19">
        <f t="shared" si="3"/>
        <v>0</v>
      </c>
      <c r="M30" s="19">
        <v>0</v>
      </c>
      <c r="N30" s="50"/>
    </row>
    <row r="31" spans="1:14">
      <c r="A31" s="28">
        <v>28</v>
      </c>
      <c r="B31" s="29">
        <v>45897</v>
      </c>
      <c r="C31" s="19"/>
      <c r="D31" s="19"/>
      <c r="E31" s="95">
        <v>0</v>
      </c>
      <c r="F31" s="95">
        <v>0</v>
      </c>
      <c r="G31" s="19">
        <f t="shared" si="0"/>
        <v>0</v>
      </c>
      <c r="H31" s="95">
        <v>0</v>
      </c>
      <c r="I31" s="95">
        <v>0</v>
      </c>
      <c r="J31" s="19">
        <f t="shared" si="1"/>
        <v>0</v>
      </c>
      <c r="K31" s="19">
        <f t="shared" si="2"/>
        <v>0</v>
      </c>
      <c r="L31" s="19">
        <f t="shared" si="3"/>
        <v>0</v>
      </c>
      <c r="M31" s="19">
        <v>0</v>
      </c>
      <c r="N31" s="50"/>
    </row>
    <row r="32" spans="1:14">
      <c r="A32" s="28">
        <v>29</v>
      </c>
      <c r="B32" s="29">
        <v>45898</v>
      </c>
      <c r="C32" s="19"/>
      <c r="D32" s="19"/>
      <c r="E32" s="95">
        <v>0</v>
      </c>
      <c r="F32" s="95">
        <v>0</v>
      </c>
      <c r="G32" s="19">
        <f t="shared" si="0"/>
        <v>0</v>
      </c>
      <c r="H32" s="95">
        <v>0</v>
      </c>
      <c r="I32" s="95">
        <v>0</v>
      </c>
      <c r="J32" s="19">
        <f t="shared" si="1"/>
        <v>0</v>
      </c>
      <c r="K32" s="19">
        <f t="shared" si="2"/>
        <v>0</v>
      </c>
      <c r="L32" s="19">
        <f t="shared" si="3"/>
        <v>0</v>
      </c>
      <c r="M32" s="19"/>
      <c r="N32" s="50"/>
    </row>
    <row r="33" spans="1:14">
      <c r="A33" s="28">
        <v>30</v>
      </c>
      <c r="B33" s="29">
        <v>45899</v>
      </c>
      <c r="C33" s="19"/>
      <c r="D33" s="19"/>
      <c r="E33" s="95">
        <v>216</v>
      </c>
      <c r="F33" s="95">
        <v>92.23</v>
      </c>
      <c r="G33" s="19">
        <f t="shared" si="0"/>
        <v>19921.68</v>
      </c>
      <c r="H33" s="95">
        <v>0</v>
      </c>
      <c r="I33" s="95">
        <v>0</v>
      </c>
      <c r="J33" s="19">
        <f t="shared" si="1"/>
        <v>0</v>
      </c>
      <c r="K33" s="19">
        <f t="shared" si="2"/>
        <v>19921.68</v>
      </c>
      <c r="L33" s="19">
        <f t="shared" si="3"/>
        <v>19921.68</v>
      </c>
      <c r="M33" s="19"/>
      <c r="N33" s="50"/>
    </row>
    <row r="34" spans="1:14">
      <c r="A34" s="28">
        <v>31</v>
      </c>
      <c r="B34" s="29"/>
      <c r="C34" s="19"/>
      <c r="D34" s="19"/>
      <c r="E34" s="95"/>
      <c r="F34" s="95"/>
      <c r="G34" s="19"/>
      <c r="H34" s="95"/>
      <c r="I34" s="95"/>
      <c r="J34" s="19"/>
      <c r="K34" s="19"/>
      <c r="L34" s="19"/>
      <c r="M34" s="19"/>
      <c r="N34" s="50"/>
    </row>
    <row r="35" spans="1:14">
      <c r="A35" s="48"/>
      <c r="B35" s="48"/>
      <c r="C35" s="48"/>
      <c r="D35" s="48"/>
      <c r="E35" s="48">
        <f>SUM(E4:E34)</f>
        <v>2909.6899999999996</v>
      </c>
      <c r="F35" s="48"/>
      <c r="G35" s="48">
        <f>SUM(G4:G34)</f>
        <v>268383.70870000002</v>
      </c>
      <c r="H35" s="48">
        <f>SUM(H4:H34)</f>
        <v>130</v>
      </c>
      <c r="I35" s="48"/>
      <c r="J35" s="48">
        <f>SUM(J4:J34)</f>
        <v>13536.899999999998</v>
      </c>
      <c r="K35" s="48">
        <f>SUM(K4:K34)</f>
        <v>281920.60869999998</v>
      </c>
      <c r="L35" s="48">
        <f>SUM(L4:L34)</f>
        <v>281920.60869999998</v>
      </c>
      <c r="M35" s="48"/>
      <c r="N35" s="48"/>
    </row>
  </sheetData>
  <mergeCells count="2">
    <mergeCell ref="A1:N1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5"/>
  <sheetViews>
    <sheetView workbookViewId="0">
      <pane ySplit="2" topLeftCell="A19" activePane="bottomLeft" state="frozen"/>
      <selection pane="bottomLeft" activeCell="S47" sqref="S47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2.710937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28" t="s">
        <v>38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91"/>
    </row>
    <row r="2" spans="1:15">
      <c r="A2" s="134" t="s">
        <v>94</v>
      </c>
      <c r="B2" s="135" t="s">
        <v>95</v>
      </c>
      <c r="C2" s="135" t="s">
        <v>96</v>
      </c>
      <c r="D2" s="135" t="s">
        <v>97</v>
      </c>
      <c r="E2" s="135" t="s">
        <v>98</v>
      </c>
      <c r="F2" s="135" t="s">
        <v>99</v>
      </c>
      <c r="G2" s="135" t="s">
        <v>100</v>
      </c>
      <c r="H2" s="135" t="s">
        <v>101</v>
      </c>
      <c r="I2" s="135" t="s">
        <v>99</v>
      </c>
      <c r="J2" s="136" t="s">
        <v>100</v>
      </c>
      <c r="K2" s="134" t="s">
        <v>102</v>
      </c>
      <c r="L2" s="137" t="s">
        <v>103</v>
      </c>
      <c r="M2" s="137" t="s">
        <v>110</v>
      </c>
      <c r="N2" s="135" t="s">
        <v>105</v>
      </c>
      <c r="O2" s="67"/>
    </row>
    <row r="3" spans="1:15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9"/>
      <c r="K3" s="105">
        <v>46138.763999999966</v>
      </c>
      <c r="L3" s="44"/>
      <c r="M3" s="44">
        <f>+K3</f>
        <v>46138.763999999966</v>
      </c>
      <c r="N3" s="19"/>
      <c r="O3" s="67">
        <v>46138.763999999966</v>
      </c>
    </row>
    <row r="4" spans="1:15">
      <c r="A4" s="28">
        <v>1</v>
      </c>
      <c r="B4" s="29">
        <v>45870</v>
      </c>
      <c r="C4" s="138"/>
      <c r="D4" s="139"/>
      <c r="E4" s="102">
        <v>0</v>
      </c>
      <c r="F4" s="102">
        <v>0</v>
      </c>
      <c r="G4" s="21">
        <f>E4*F4</f>
        <v>0</v>
      </c>
      <c r="H4" s="102">
        <v>0</v>
      </c>
      <c r="I4" s="102"/>
      <c r="J4" s="21">
        <f>H4*I4</f>
        <v>0</v>
      </c>
      <c r="K4" s="21">
        <f>G4+J4</f>
        <v>0</v>
      </c>
      <c r="L4" s="140">
        <v>0</v>
      </c>
      <c r="M4" s="140">
        <f>M3+K4-L4</f>
        <v>46138.763999999966</v>
      </c>
      <c r="N4" s="50"/>
    </row>
    <row r="5" spans="1:15">
      <c r="A5" s="28">
        <v>2</v>
      </c>
      <c r="B5" s="29">
        <v>45871</v>
      </c>
      <c r="C5" s="75"/>
      <c r="D5" s="139"/>
      <c r="E5" s="102">
        <v>0</v>
      </c>
      <c r="F5" s="102">
        <v>0</v>
      </c>
      <c r="G5" s="21">
        <f t="shared" ref="G5:G35" si="0">E5*F5</f>
        <v>0</v>
      </c>
      <c r="H5" s="102">
        <v>0</v>
      </c>
      <c r="I5" s="102"/>
      <c r="J5" s="21">
        <f t="shared" ref="J5:J35" si="1">H5*I5</f>
        <v>0</v>
      </c>
      <c r="K5" s="21">
        <f t="shared" ref="K5:K35" si="2">G5+J5</f>
        <v>0</v>
      </c>
      <c r="L5" s="140">
        <v>0</v>
      </c>
      <c r="M5" s="140">
        <f>M4+K5-L5</f>
        <v>46138.763999999966</v>
      </c>
      <c r="N5" s="50"/>
    </row>
    <row r="6" spans="1:15">
      <c r="A6" s="28">
        <v>3</v>
      </c>
      <c r="B6" s="29">
        <v>45872</v>
      </c>
      <c r="C6" s="75"/>
      <c r="D6" s="139"/>
      <c r="E6" s="102">
        <v>0</v>
      </c>
      <c r="F6" s="102">
        <v>0</v>
      </c>
      <c r="G6" s="21">
        <f t="shared" si="0"/>
        <v>0</v>
      </c>
      <c r="H6" s="102">
        <v>0</v>
      </c>
      <c r="I6" s="102"/>
      <c r="J6" s="21">
        <f t="shared" si="1"/>
        <v>0</v>
      </c>
      <c r="K6" s="21">
        <f t="shared" si="2"/>
        <v>0</v>
      </c>
      <c r="L6" s="140">
        <v>0</v>
      </c>
      <c r="M6" s="140">
        <f>M5+K6-L6</f>
        <v>46138.763999999966</v>
      </c>
      <c r="N6" s="50"/>
    </row>
    <row r="7" spans="1:15">
      <c r="A7" s="28">
        <v>4</v>
      </c>
      <c r="B7" s="29">
        <v>45873</v>
      </c>
      <c r="C7" s="75"/>
      <c r="D7" s="139"/>
      <c r="E7" s="102">
        <v>500</v>
      </c>
      <c r="F7" s="102">
        <v>92.26</v>
      </c>
      <c r="G7" s="21">
        <f t="shared" si="0"/>
        <v>46130</v>
      </c>
      <c r="H7" s="102">
        <v>35</v>
      </c>
      <c r="I7" s="102">
        <v>104.13</v>
      </c>
      <c r="J7" s="21">
        <f t="shared" si="1"/>
        <v>3644.5499999999997</v>
      </c>
      <c r="K7" s="21">
        <f t="shared" si="2"/>
        <v>49774.55</v>
      </c>
      <c r="L7" s="140">
        <v>0</v>
      </c>
      <c r="M7" s="140">
        <f>M6+K7-L7</f>
        <v>95913.313999999969</v>
      </c>
      <c r="N7" s="50"/>
    </row>
    <row r="8" spans="1:15">
      <c r="A8" s="28">
        <v>5</v>
      </c>
      <c r="B8" s="29">
        <v>45874</v>
      </c>
      <c r="C8" s="75"/>
      <c r="D8" s="139"/>
      <c r="E8" s="102">
        <v>0</v>
      </c>
      <c r="F8" s="102">
        <v>0</v>
      </c>
      <c r="G8" s="21">
        <f t="shared" si="0"/>
        <v>0</v>
      </c>
      <c r="H8" s="102">
        <v>0</v>
      </c>
      <c r="I8" s="102"/>
      <c r="J8" s="21">
        <f t="shared" si="1"/>
        <v>0</v>
      </c>
      <c r="K8" s="21">
        <f t="shared" si="2"/>
        <v>0</v>
      </c>
      <c r="L8" s="140">
        <v>0</v>
      </c>
      <c r="M8" s="140">
        <f t="shared" ref="M8:M34" si="3">M7+K8-L8</f>
        <v>95913.313999999969</v>
      </c>
      <c r="N8" s="50"/>
      <c r="O8" s="77"/>
    </row>
    <row r="9" spans="1:15">
      <c r="A9" s="28">
        <v>6</v>
      </c>
      <c r="B9" s="29">
        <v>45875</v>
      </c>
      <c r="C9" s="75"/>
      <c r="D9" s="139"/>
      <c r="E9" s="102">
        <v>0</v>
      </c>
      <c r="F9" s="102">
        <v>0</v>
      </c>
      <c r="G9" s="21">
        <f t="shared" si="0"/>
        <v>0</v>
      </c>
      <c r="H9" s="102">
        <v>0</v>
      </c>
      <c r="I9" s="102"/>
      <c r="J9" s="21">
        <f t="shared" si="1"/>
        <v>0</v>
      </c>
      <c r="K9" s="21">
        <f t="shared" si="2"/>
        <v>0</v>
      </c>
      <c r="L9" s="140">
        <v>0</v>
      </c>
      <c r="M9" s="140">
        <f t="shared" si="3"/>
        <v>95913.313999999969</v>
      </c>
      <c r="N9" s="50"/>
      <c r="O9" s="77"/>
    </row>
    <row r="10" spans="1:15">
      <c r="A10" s="28">
        <v>7</v>
      </c>
      <c r="B10" s="29">
        <v>45876</v>
      </c>
      <c r="C10" s="75"/>
      <c r="D10" s="139"/>
      <c r="E10" s="102">
        <v>400</v>
      </c>
      <c r="F10" s="102">
        <v>92.26</v>
      </c>
      <c r="G10" s="21">
        <f t="shared" si="0"/>
        <v>36904</v>
      </c>
      <c r="H10" s="102">
        <v>35</v>
      </c>
      <c r="I10" s="102">
        <v>104.13</v>
      </c>
      <c r="J10" s="21">
        <f t="shared" si="1"/>
        <v>3644.5499999999997</v>
      </c>
      <c r="K10" s="21">
        <f t="shared" si="2"/>
        <v>40548.550000000003</v>
      </c>
      <c r="L10" s="140">
        <v>40548.550000000003</v>
      </c>
      <c r="M10" s="140">
        <f t="shared" si="3"/>
        <v>95913.313999999969</v>
      </c>
      <c r="N10" s="50"/>
      <c r="O10" s="77"/>
    </row>
    <row r="11" spans="1:15">
      <c r="A11" s="28">
        <v>8</v>
      </c>
      <c r="B11" s="29">
        <v>45877</v>
      </c>
      <c r="C11" s="75"/>
      <c r="D11" s="139"/>
      <c r="E11" s="102">
        <v>400</v>
      </c>
      <c r="F11" s="102">
        <v>92.26</v>
      </c>
      <c r="G11" s="21">
        <f t="shared" si="0"/>
        <v>36904</v>
      </c>
      <c r="H11" s="102">
        <v>0</v>
      </c>
      <c r="I11" s="102"/>
      <c r="J11" s="21">
        <f t="shared" si="1"/>
        <v>0</v>
      </c>
      <c r="K11" s="21">
        <f t="shared" si="2"/>
        <v>36904</v>
      </c>
      <c r="L11" s="140">
        <v>0</v>
      </c>
      <c r="M11" s="140">
        <f t="shared" si="3"/>
        <v>132817.31399999995</v>
      </c>
      <c r="N11" s="50"/>
      <c r="O11" s="77"/>
    </row>
    <row r="12" spans="1:15">
      <c r="A12" s="28">
        <v>9</v>
      </c>
      <c r="B12" s="29">
        <v>45878</v>
      </c>
      <c r="C12" s="75"/>
      <c r="D12" s="139"/>
      <c r="E12" s="102">
        <v>400</v>
      </c>
      <c r="F12" s="102">
        <v>92.26</v>
      </c>
      <c r="G12" s="21">
        <f t="shared" si="0"/>
        <v>36904</v>
      </c>
      <c r="H12" s="102">
        <v>0</v>
      </c>
      <c r="I12" s="102"/>
      <c r="J12" s="21">
        <f t="shared" si="1"/>
        <v>0</v>
      </c>
      <c r="K12" s="21">
        <f t="shared" si="2"/>
        <v>36904</v>
      </c>
      <c r="L12" s="140">
        <v>0</v>
      </c>
      <c r="M12" s="140">
        <f t="shared" si="3"/>
        <v>169721.31399999995</v>
      </c>
      <c r="N12" s="50"/>
      <c r="O12" s="77"/>
    </row>
    <row r="13" spans="1:15">
      <c r="A13" s="28">
        <v>10</v>
      </c>
      <c r="B13" s="29">
        <v>45879</v>
      </c>
      <c r="C13" s="75"/>
      <c r="D13" s="139"/>
      <c r="E13" s="102">
        <v>0</v>
      </c>
      <c r="F13" s="102">
        <v>0</v>
      </c>
      <c r="G13" s="21">
        <f t="shared" si="0"/>
        <v>0</v>
      </c>
      <c r="H13" s="102">
        <v>0</v>
      </c>
      <c r="I13" s="102"/>
      <c r="J13" s="21">
        <f t="shared" si="1"/>
        <v>0</v>
      </c>
      <c r="K13" s="21">
        <f t="shared" si="2"/>
        <v>0</v>
      </c>
      <c r="L13" s="140">
        <v>0</v>
      </c>
      <c r="M13" s="140">
        <f t="shared" si="3"/>
        <v>169721.31399999995</v>
      </c>
      <c r="N13" s="50"/>
      <c r="O13" s="77"/>
    </row>
    <row r="14" spans="1:15">
      <c r="A14" s="28">
        <v>11</v>
      </c>
      <c r="B14" s="29">
        <v>45880</v>
      </c>
      <c r="C14" s="75"/>
      <c r="D14" s="139"/>
      <c r="E14" s="102">
        <v>400</v>
      </c>
      <c r="F14" s="102">
        <v>92.26</v>
      </c>
      <c r="G14" s="21">
        <f t="shared" si="0"/>
        <v>36904</v>
      </c>
      <c r="H14" s="102">
        <v>35</v>
      </c>
      <c r="I14" s="102">
        <v>104.13</v>
      </c>
      <c r="J14" s="21">
        <f t="shared" si="1"/>
        <v>3644.5499999999997</v>
      </c>
      <c r="K14" s="21">
        <f t="shared" si="2"/>
        <v>40548.550000000003</v>
      </c>
      <c r="L14" s="140">
        <v>169712</v>
      </c>
      <c r="M14" s="140">
        <f t="shared" si="3"/>
        <v>40557.863999999943</v>
      </c>
      <c r="N14" s="50"/>
      <c r="O14" s="77"/>
    </row>
    <row r="15" spans="1:15">
      <c r="A15" s="28">
        <v>12</v>
      </c>
      <c r="B15" s="29">
        <v>45881</v>
      </c>
      <c r="C15" s="75"/>
      <c r="D15" s="139"/>
      <c r="E15" s="102">
        <v>0</v>
      </c>
      <c r="F15" s="102">
        <v>0</v>
      </c>
      <c r="G15" s="21">
        <f t="shared" si="0"/>
        <v>0</v>
      </c>
      <c r="H15" s="102">
        <v>0</v>
      </c>
      <c r="I15" s="102"/>
      <c r="J15" s="21">
        <f t="shared" si="1"/>
        <v>0</v>
      </c>
      <c r="K15" s="21">
        <f t="shared" si="2"/>
        <v>0</v>
      </c>
      <c r="L15" s="140">
        <v>0</v>
      </c>
      <c r="M15" s="140">
        <f t="shared" si="3"/>
        <v>40557.863999999943</v>
      </c>
      <c r="N15" s="50"/>
      <c r="O15" s="77"/>
    </row>
    <row r="16" spans="1:15">
      <c r="A16" s="28">
        <v>13</v>
      </c>
      <c r="B16" s="29">
        <v>45882</v>
      </c>
      <c r="C16" s="75"/>
      <c r="D16" s="139"/>
      <c r="E16" s="102">
        <v>500</v>
      </c>
      <c r="F16" s="102">
        <v>92.26</v>
      </c>
      <c r="G16" s="21">
        <f t="shared" si="0"/>
        <v>46130</v>
      </c>
      <c r="H16" s="102">
        <v>0</v>
      </c>
      <c r="I16" s="102"/>
      <c r="J16" s="21">
        <f t="shared" si="1"/>
        <v>0</v>
      </c>
      <c r="K16" s="21">
        <f t="shared" si="2"/>
        <v>46130</v>
      </c>
      <c r="L16" s="140">
        <v>0</v>
      </c>
      <c r="M16" s="140">
        <f t="shared" si="3"/>
        <v>86687.863999999943</v>
      </c>
      <c r="N16" s="50"/>
      <c r="O16" s="77"/>
    </row>
    <row r="17" spans="1:22">
      <c r="A17" s="28">
        <v>14</v>
      </c>
      <c r="B17" s="29">
        <v>45883</v>
      </c>
      <c r="C17" s="75"/>
      <c r="D17" s="139"/>
      <c r="E17" s="102">
        <v>0</v>
      </c>
      <c r="F17" s="102">
        <v>0</v>
      </c>
      <c r="G17" s="21">
        <f t="shared" si="0"/>
        <v>0</v>
      </c>
      <c r="H17" s="102">
        <v>0</v>
      </c>
      <c r="I17" s="102"/>
      <c r="J17" s="21">
        <f t="shared" si="1"/>
        <v>0</v>
      </c>
      <c r="K17" s="21">
        <f t="shared" si="2"/>
        <v>0</v>
      </c>
      <c r="L17" s="140">
        <v>0</v>
      </c>
      <c r="M17" s="140">
        <f t="shared" si="3"/>
        <v>86687.863999999943</v>
      </c>
      <c r="N17" s="50"/>
      <c r="O17" s="77"/>
    </row>
    <row r="18" spans="1:22">
      <c r="A18" s="28">
        <v>15</v>
      </c>
      <c r="B18" s="29">
        <v>45884</v>
      </c>
      <c r="C18" s="75"/>
      <c r="D18" s="139"/>
      <c r="E18" s="102">
        <v>0</v>
      </c>
      <c r="F18" s="102">
        <v>0</v>
      </c>
      <c r="G18" s="21">
        <f t="shared" si="0"/>
        <v>0</v>
      </c>
      <c r="H18" s="102">
        <v>0</v>
      </c>
      <c r="I18" s="102"/>
      <c r="J18" s="21">
        <f t="shared" si="1"/>
        <v>0</v>
      </c>
      <c r="K18" s="21">
        <f t="shared" si="2"/>
        <v>0</v>
      </c>
      <c r="L18" s="140">
        <v>0</v>
      </c>
      <c r="M18" s="140">
        <f t="shared" si="3"/>
        <v>86687.863999999943</v>
      </c>
      <c r="N18" s="50"/>
      <c r="O18" s="77"/>
    </row>
    <row r="19" spans="1:22">
      <c r="A19" s="28">
        <v>16</v>
      </c>
      <c r="B19" s="29">
        <v>45885</v>
      </c>
      <c r="C19" s="75"/>
      <c r="D19" s="139"/>
      <c r="E19" s="102">
        <v>0</v>
      </c>
      <c r="F19" s="102">
        <v>0</v>
      </c>
      <c r="G19" s="21">
        <f t="shared" si="0"/>
        <v>0</v>
      </c>
      <c r="H19" s="102">
        <v>0</v>
      </c>
      <c r="I19" s="102"/>
      <c r="J19" s="21">
        <f t="shared" si="1"/>
        <v>0</v>
      </c>
      <c r="K19" s="21">
        <f t="shared" si="2"/>
        <v>0</v>
      </c>
      <c r="L19" s="140">
        <v>0</v>
      </c>
      <c r="M19" s="140">
        <f t="shared" si="3"/>
        <v>86687.863999999943</v>
      </c>
      <c r="N19" s="50"/>
      <c r="O19" s="77"/>
    </row>
    <row r="20" spans="1:22">
      <c r="A20" s="28">
        <v>17</v>
      </c>
      <c r="B20" s="29">
        <v>45886</v>
      </c>
      <c r="C20" s="75"/>
      <c r="D20" s="139"/>
      <c r="E20" s="102">
        <v>500</v>
      </c>
      <c r="F20" s="102">
        <v>92.26</v>
      </c>
      <c r="G20" s="21">
        <f t="shared" si="0"/>
        <v>46130</v>
      </c>
      <c r="H20" s="102">
        <v>35</v>
      </c>
      <c r="I20" s="102">
        <v>104.13</v>
      </c>
      <c r="J20" s="21">
        <f t="shared" si="1"/>
        <v>3644.5499999999997</v>
      </c>
      <c r="K20" s="21">
        <f t="shared" si="2"/>
        <v>49774.55</v>
      </c>
      <c r="L20" s="140">
        <v>0</v>
      </c>
      <c r="M20" s="140">
        <f t="shared" si="3"/>
        <v>136462.41399999993</v>
      </c>
      <c r="N20" s="50"/>
      <c r="O20" s="77"/>
      <c r="V20">
        <f>400*90.23</f>
        <v>36092</v>
      </c>
    </row>
    <row r="21" spans="1:22">
      <c r="A21" s="28">
        <v>18</v>
      </c>
      <c r="B21" s="29">
        <v>45887</v>
      </c>
      <c r="C21" s="75"/>
      <c r="D21" s="139"/>
      <c r="E21" s="102">
        <v>0</v>
      </c>
      <c r="F21" s="102">
        <v>0</v>
      </c>
      <c r="G21" s="21">
        <f t="shared" si="0"/>
        <v>0</v>
      </c>
      <c r="H21" s="102">
        <v>0</v>
      </c>
      <c r="I21" s="102"/>
      <c r="J21" s="21">
        <f t="shared" si="1"/>
        <v>0</v>
      </c>
      <c r="K21" s="21">
        <f t="shared" si="2"/>
        <v>0</v>
      </c>
      <c r="L21" s="140">
        <v>0</v>
      </c>
      <c r="M21" s="140">
        <f t="shared" si="3"/>
        <v>136462.41399999993</v>
      </c>
      <c r="N21" s="50"/>
      <c r="O21" s="77"/>
      <c r="V21">
        <f>35*104.14</f>
        <v>3644.9</v>
      </c>
    </row>
    <row r="22" spans="1:22">
      <c r="A22" s="28">
        <v>19</v>
      </c>
      <c r="B22" s="29">
        <v>45888</v>
      </c>
      <c r="C22" s="75"/>
      <c r="D22" s="139"/>
      <c r="E22" s="102">
        <v>0</v>
      </c>
      <c r="F22" s="102">
        <v>0</v>
      </c>
      <c r="G22" s="21">
        <f t="shared" si="0"/>
        <v>0</v>
      </c>
      <c r="H22" s="102">
        <v>0</v>
      </c>
      <c r="I22" s="102"/>
      <c r="J22" s="21">
        <f t="shared" si="1"/>
        <v>0</v>
      </c>
      <c r="K22" s="21">
        <f t="shared" si="2"/>
        <v>0</v>
      </c>
      <c r="L22" s="140">
        <v>0</v>
      </c>
      <c r="M22" s="140">
        <f t="shared" si="3"/>
        <v>136462.41399999993</v>
      </c>
      <c r="N22" s="50"/>
      <c r="O22" s="77"/>
    </row>
    <row r="23" spans="1:22">
      <c r="A23" s="28">
        <v>20</v>
      </c>
      <c r="B23" s="29">
        <v>45889</v>
      </c>
      <c r="C23" s="75"/>
      <c r="D23" s="139"/>
      <c r="E23" s="102">
        <v>0</v>
      </c>
      <c r="F23" s="102">
        <v>0</v>
      </c>
      <c r="G23" s="21">
        <f t="shared" si="0"/>
        <v>0</v>
      </c>
      <c r="H23" s="102">
        <v>0</v>
      </c>
      <c r="I23" s="102"/>
      <c r="J23" s="21">
        <f t="shared" si="1"/>
        <v>0</v>
      </c>
      <c r="K23" s="21">
        <f t="shared" si="2"/>
        <v>0</v>
      </c>
      <c r="L23" s="140">
        <v>136462</v>
      </c>
      <c r="M23" s="140">
        <f t="shared" si="3"/>
        <v>0.41399999993154779</v>
      </c>
      <c r="N23" s="299"/>
      <c r="O23" s="285"/>
    </row>
    <row r="24" spans="1:22">
      <c r="A24" s="28">
        <v>21</v>
      </c>
      <c r="B24" s="29">
        <v>45890</v>
      </c>
      <c r="C24" s="75"/>
      <c r="D24" s="139"/>
      <c r="E24" s="102">
        <v>220</v>
      </c>
      <c r="F24" s="102">
        <v>92.26</v>
      </c>
      <c r="G24" s="21">
        <f t="shared" si="0"/>
        <v>20297.2</v>
      </c>
      <c r="H24" s="102">
        <v>0</v>
      </c>
      <c r="I24" s="102"/>
      <c r="J24" s="21">
        <f t="shared" si="1"/>
        <v>0</v>
      </c>
      <c r="K24" s="21">
        <f t="shared" si="2"/>
        <v>20297.2</v>
      </c>
      <c r="L24" s="140">
        <v>0</v>
      </c>
      <c r="M24" s="140">
        <f t="shared" si="3"/>
        <v>20297.613999999932</v>
      </c>
      <c r="N24" s="50"/>
      <c r="O24" s="77"/>
    </row>
    <row r="25" spans="1:22">
      <c r="A25" s="28">
        <v>22</v>
      </c>
      <c r="B25" s="29">
        <v>45891</v>
      </c>
      <c r="C25" s="75"/>
      <c r="D25" s="139"/>
      <c r="E25" s="102">
        <v>280</v>
      </c>
      <c r="F25" s="102">
        <v>92.26</v>
      </c>
      <c r="G25" s="21">
        <f t="shared" si="0"/>
        <v>25832.800000000003</v>
      </c>
      <c r="H25" s="102">
        <v>35</v>
      </c>
      <c r="I25" s="102">
        <v>104.13</v>
      </c>
      <c r="J25" s="21">
        <f t="shared" si="1"/>
        <v>3644.5499999999997</v>
      </c>
      <c r="K25" s="21">
        <f t="shared" si="2"/>
        <v>29477.350000000002</v>
      </c>
      <c r="L25" s="140">
        <v>0</v>
      </c>
      <c r="M25" s="140">
        <f t="shared" si="3"/>
        <v>49774.963999999934</v>
      </c>
      <c r="N25" s="50"/>
      <c r="O25" s="77"/>
    </row>
    <row r="26" spans="1:22">
      <c r="A26" s="28">
        <v>23</v>
      </c>
      <c r="B26" s="29">
        <v>45892</v>
      </c>
      <c r="C26" s="75"/>
      <c r="D26" s="139"/>
      <c r="E26" s="102">
        <v>500</v>
      </c>
      <c r="F26" s="102">
        <v>92.26</v>
      </c>
      <c r="G26" s="21">
        <f t="shared" si="0"/>
        <v>46130</v>
      </c>
      <c r="H26" s="102">
        <v>0</v>
      </c>
      <c r="I26" s="102"/>
      <c r="J26" s="21">
        <f t="shared" si="1"/>
        <v>0</v>
      </c>
      <c r="K26" s="21">
        <f t="shared" si="2"/>
        <v>46130</v>
      </c>
      <c r="L26" s="140">
        <v>0</v>
      </c>
      <c r="M26" s="140">
        <f t="shared" si="3"/>
        <v>95904.963999999934</v>
      </c>
      <c r="N26" s="50"/>
      <c r="O26" s="77"/>
    </row>
    <row r="27" spans="1:22">
      <c r="A27" s="28">
        <v>24</v>
      </c>
      <c r="B27" s="29">
        <v>45893</v>
      </c>
      <c r="C27" s="75"/>
      <c r="D27" s="139"/>
      <c r="E27" s="102">
        <v>0</v>
      </c>
      <c r="F27" s="102">
        <v>0</v>
      </c>
      <c r="G27" s="21">
        <f t="shared" si="0"/>
        <v>0</v>
      </c>
      <c r="H27" s="102">
        <v>0</v>
      </c>
      <c r="I27" s="102"/>
      <c r="J27" s="21">
        <f t="shared" si="1"/>
        <v>0</v>
      </c>
      <c r="K27" s="21">
        <f t="shared" si="2"/>
        <v>0</v>
      </c>
      <c r="L27" s="140">
        <v>0</v>
      </c>
      <c r="M27" s="140">
        <f t="shared" si="3"/>
        <v>95904.963999999934</v>
      </c>
      <c r="N27" s="50"/>
      <c r="O27" s="77"/>
    </row>
    <row r="28" spans="1:22">
      <c r="A28" s="28">
        <v>25</v>
      </c>
      <c r="B28" s="29">
        <v>45894</v>
      </c>
      <c r="C28" s="75"/>
      <c r="D28" s="139"/>
      <c r="E28" s="102">
        <v>500</v>
      </c>
      <c r="F28" s="102">
        <v>92.26</v>
      </c>
      <c r="G28" s="21">
        <f t="shared" si="0"/>
        <v>46130</v>
      </c>
      <c r="H28" s="102">
        <v>35</v>
      </c>
      <c r="I28" s="102">
        <v>104.13</v>
      </c>
      <c r="J28" s="21">
        <f t="shared" si="1"/>
        <v>3644.5499999999997</v>
      </c>
      <c r="K28" s="21">
        <f t="shared" si="2"/>
        <v>49774.55</v>
      </c>
      <c r="L28" s="140">
        <v>0</v>
      </c>
      <c r="M28" s="140">
        <f t="shared" si="3"/>
        <v>145679.51399999994</v>
      </c>
      <c r="N28" s="50"/>
      <c r="O28" s="77"/>
    </row>
    <row r="29" spans="1:22">
      <c r="A29" s="28">
        <v>26</v>
      </c>
      <c r="B29" s="29">
        <v>45895</v>
      </c>
      <c r="C29" s="75"/>
      <c r="D29" s="139"/>
      <c r="E29" s="102">
        <v>500</v>
      </c>
      <c r="F29" s="102">
        <v>92.26</v>
      </c>
      <c r="G29" s="21">
        <f t="shared" si="0"/>
        <v>46130</v>
      </c>
      <c r="H29" s="102">
        <v>0</v>
      </c>
      <c r="I29" s="102"/>
      <c r="J29" s="21">
        <f t="shared" si="1"/>
        <v>0</v>
      </c>
      <c r="K29" s="21">
        <f t="shared" si="2"/>
        <v>46130</v>
      </c>
      <c r="L29" s="140">
        <v>0</v>
      </c>
      <c r="M29" s="140">
        <f t="shared" si="3"/>
        <v>191809.51399999994</v>
      </c>
      <c r="N29" s="50"/>
      <c r="O29" s="77"/>
    </row>
    <row r="30" spans="1:22">
      <c r="A30" s="28">
        <v>27</v>
      </c>
      <c r="B30" s="29">
        <v>45896</v>
      </c>
      <c r="C30" s="75"/>
      <c r="D30" s="139"/>
      <c r="E30" s="102">
        <v>0</v>
      </c>
      <c r="F30" s="102">
        <v>0</v>
      </c>
      <c r="G30" s="21">
        <f t="shared" si="0"/>
        <v>0</v>
      </c>
      <c r="H30" s="102">
        <v>0</v>
      </c>
      <c r="I30" s="102"/>
      <c r="J30" s="21">
        <f t="shared" si="1"/>
        <v>0</v>
      </c>
      <c r="K30" s="21">
        <f t="shared" si="2"/>
        <v>0</v>
      </c>
      <c r="L30" s="140">
        <v>0</v>
      </c>
      <c r="M30" s="140">
        <f t="shared" si="3"/>
        <v>191809.51399999994</v>
      </c>
      <c r="N30" s="50"/>
      <c r="O30" s="77"/>
    </row>
    <row r="31" spans="1:22">
      <c r="A31" s="28">
        <v>28</v>
      </c>
      <c r="B31" s="29">
        <v>45897</v>
      </c>
      <c r="C31" s="75"/>
      <c r="D31" s="139"/>
      <c r="E31" s="102">
        <v>0</v>
      </c>
      <c r="F31" s="102">
        <v>0</v>
      </c>
      <c r="G31" s="21">
        <f t="shared" si="0"/>
        <v>0</v>
      </c>
      <c r="H31" s="102">
        <v>0</v>
      </c>
      <c r="I31" s="102"/>
      <c r="J31" s="21">
        <f t="shared" si="1"/>
        <v>0</v>
      </c>
      <c r="K31" s="21">
        <f t="shared" si="2"/>
        <v>0</v>
      </c>
      <c r="L31" s="140">
        <v>0</v>
      </c>
      <c r="M31" s="140">
        <f t="shared" si="3"/>
        <v>191809.51399999994</v>
      </c>
      <c r="N31" s="50"/>
      <c r="O31" s="77"/>
    </row>
    <row r="32" spans="1:22">
      <c r="A32" s="28">
        <v>29</v>
      </c>
      <c r="B32" s="29">
        <v>45898</v>
      </c>
      <c r="C32" s="75"/>
      <c r="D32" s="139"/>
      <c r="E32" s="102">
        <v>0</v>
      </c>
      <c r="F32" s="102">
        <v>0</v>
      </c>
      <c r="G32" s="21">
        <f t="shared" si="0"/>
        <v>0</v>
      </c>
      <c r="H32" s="102">
        <v>0</v>
      </c>
      <c r="I32" s="102"/>
      <c r="J32" s="21">
        <f t="shared" si="1"/>
        <v>0</v>
      </c>
      <c r="K32" s="21">
        <f t="shared" si="2"/>
        <v>0</v>
      </c>
      <c r="L32" s="140">
        <v>0</v>
      </c>
      <c r="M32" s="140">
        <f t="shared" si="3"/>
        <v>191809.51399999994</v>
      </c>
      <c r="N32" s="50"/>
      <c r="O32" s="77"/>
    </row>
    <row r="33" spans="1:19">
      <c r="A33" s="28">
        <v>30</v>
      </c>
      <c r="B33" s="29">
        <v>45899</v>
      </c>
      <c r="C33" s="75"/>
      <c r="D33" s="139"/>
      <c r="E33" s="102">
        <v>216.78</v>
      </c>
      <c r="F33" s="102">
        <v>92.26</v>
      </c>
      <c r="G33" s="21">
        <f t="shared" si="0"/>
        <v>20000.122800000001</v>
      </c>
      <c r="H33" s="102">
        <v>0</v>
      </c>
      <c r="I33" s="102"/>
      <c r="J33" s="21">
        <f t="shared" si="1"/>
        <v>0</v>
      </c>
      <c r="K33" s="21">
        <f t="shared" si="2"/>
        <v>20000.122800000001</v>
      </c>
      <c r="L33" s="140">
        <v>20000.12</v>
      </c>
      <c r="M33" s="140">
        <f t="shared" si="3"/>
        <v>191809.51679999995</v>
      </c>
      <c r="N33" s="50"/>
      <c r="O33" s="77"/>
    </row>
    <row r="34" spans="1:19">
      <c r="A34" s="28">
        <v>31</v>
      </c>
      <c r="B34" s="29">
        <v>45900</v>
      </c>
      <c r="C34" s="75"/>
      <c r="D34" s="139"/>
      <c r="E34" s="102">
        <v>0</v>
      </c>
      <c r="F34" s="102">
        <v>0</v>
      </c>
      <c r="G34" s="21">
        <f t="shared" si="0"/>
        <v>0</v>
      </c>
      <c r="H34" s="102">
        <v>0</v>
      </c>
      <c r="I34" s="102"/>
      <c r="J34" s="21">
        <f t="shared" si="1"/>
        <v>0</v>
      </c>
      <c r="K34" s="21">
        <f t="shared" si="2"/>
        <v>0</v>
      </c>
      <c r="L34" s="140">
        <v>0</v>
      </c>
      <c r="M34" s="140">
        <f t="shared" si="3"/>
        <v>191809.51679999995</v>
      </c>
      <c r="N34" s="50"/>
      <c r="O34" s="77"/>
    </row>
    <row r="35" spans="1:19">
      <c r="A35" s="28"/>
      <c r="B35" s="29"/>
      <c r="C35" s="75"/>
      <c r="D35" s="139"/>
      <c r="E35" s="102">
        <v>0</v>
      </c>
      <c r="F35" s="102">
        <v>0</v>
      </c>
      <c r="G35" s="21">
        <f t="shared" si="0"/>
        <v>0</v>
      </c>
      <c r="H35" s="102">
        <v>0</v>
      </c>
      <c r="I35" s="102"/>
      <c r="J35" s="21">
        <f t="shared" si="1"/>
        <v>0</v>
      </c>
      <c r="K35" s="21">
        <f t="shared" si="2"/>
        <v>0</v>
      </c>
      <c r="L35" s="140">
        <v>0</v>
      </c>
      <c r="M35" s="140">
        <f t="shared" ref="M35" si="4">M34+K35-L35</f>
        <v>191809.51679999995</v>
      </c>
      <c r="N35" s="50"/>
      <c r="O35" s="77"/>
    </row>
    <row r="36" spans="1:19">
      <c r="A36" s="48"/>
      <c r="B36" s="48"/>
      <c r="C36" s="48"/>
      <c r="D36" s="48"/>
      <c r="E36" s="49">
        <f>SUM(E4:E34)</f>
        <v>5316.78</v>
      </c>
      <c r="F36" s="49"/>
      <c r="G36" s="49">
        <f>SUM(G4:G34)</f>
        <v>490526.12280000001</v>
      </c>
      <c r="H36" s="49">
        <f>SUM(H4:H34)</f>
        <v>210</v>
      </c>
      <c r="I36" s="49"/>
      <c r="J36" s="49">
        <f>SUM(J4:J34)</f>
        <v>21867.3</v>
      </c>
      <c r="K36" s="49">
        <f>SUM(K4:K34)</f>
        <v>512393.4228</v>
      </c>
      <c r="L36" s="49">
        <f>SUM(L4:L34)</f>
        <v>366722.67</v>
      </c>
      <c r="M36" s="49"/>
      <c r="N36" s="49"/>
      <c r="O36" s="35"/>
    </row>
    <row r="37" spans="1:19">
      <c r="A37" s="81"/>
      <c r="B37" s="82"/>
      <c r="C37" s="81"/>
      <c r="D37" s="81"/>
      <c r="E37" s="83">
        <v>0</v>
      </c>
      <c r="F37" s="83"/>
      <c r="G37" s="83">
        <v>0</v>
      </c>
      <c r="H37" s="83">
        <v>0</v>
      </c>
      <c r="I37" s="83"/>
      <c r="J37" s="84">
        <v>0</v>
      </c>
      <c r="K37" s="84">
        <f>G37+J37</f>
        <v>0</v>
      </c>
      <c r="L37" s="84">
        <v>0</v>
      </c>
      <c r="M37" s="84"/>
      <c r="N37" s="83"/>
      <c r="O37" s="77"/>
    </row>
    <row r="38" spans="1:19">
      <c r="E38" s="145"/>
      <c r="F38" s="145"/>
      <c r="G38" s="145"/>
      <c r="H38" s="145"/>
      <c r="I38" s="145"/>
      <c r="J38" s="145"/>
      <c r="K38" s="145"/>
      <c r="L38" s="145"/>
      <c r="M38" s="286"/>
      <c r="O38" s="77"/>
    </row>
    <row r="39" spans="1:19">
      <c r="O39" s="77"/>
    </row>
    <row r="40" spans="1:19">
      <c r="M40" s="188"/>
      <c r="O40" s="77"/>
    </row>
    <row r="41" spans="1:19">
      <c r="O41" s="77"/>
    </row>
    <row r="42" spans="1:19">
      <c r="O42" s="77"/>
      <c r="S42">
        <v>9052944708</v>
      </c>
    </row>
    <row r="43" spans="1:19">
      <c r="A43" s="77"/>
      <c r="B43" s="67"/>
      <c r="C43" s="77"/>
      <c r="D43" s="77"/>
      <c r="E43" s="77"/>
      <c r="F43" s="77"/>
      <c r="G43" s="85"/>
      <c r="H43" s="77"/>
      <c r="I43" s="77"/>
      <c r="J43" s="67"/>
      <c r="K43" s="67"/>
      <c r="L43" s="67"/>
      <c r="M43" s="67"/>
      <c r="N43" s="77"/>
      <c r="O43" s="83"/>
    </row>
    <row r="44" spans="1:19">
      <c r="A44" s="77"/>
      <c r="B44" s="420"/>
      <c r="C44" s="420"/>
      <c r="D44" s="420"/>
      <c r="E44" s="420"/>
      <c r="F44" s="77"/>
      <c r="G44" s="77"/>
      <c r="H44" s="77"/>
      <c r="I44" s="420"/>
      <c r="J44" s="420"/>
      <c r="K44" s="420"/>
      <c r="L44" s="420"/>
      <c r="M44" s="420"/>
      <c r="N44" s="420"/>
      <c r="O44" s="83"/>
    </row>
    <row r="45" spans="1:19">
      <c r="A45" s="77"/>
      <c r="B45" s="67"/>
      <c r="C45" s="77"/>
      <c r="D45" s="77"/>
      <c r="E45" s="77"/>
      <c r="F45" s="77"/>
      <c r="G45" s="77"/>
      <c r="H45" s="77"/>
      <c r="I45" s="77"/>
      <c r="J45" s="67"/>
      <c r="K45" s="67"/>
      <c r="L45" s="67"/>
      <c r="M45" s="67"/>
      <c r="N45" s="77"/>
      <c r="O45" s="83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workbookViewId="0">
      <selection activeCell="Q43" sqref="Q43"/>
    </sheetView>
  </sheetViews>
  <sheetFormatPr defaultRowHeight="15"/>
  <cols>
    <col min="2" max="2" width="10.140625" bestFit="1" customWidth="1"/>
  </cols>
  <sheetData>
    <row r="1" spans="1:14" ht="15.75">
      <c r="A1" s="416" t="s">
        <v>115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</row>
    <row r="2" spans="1:14" ht="27">
      <c r="A2" s="112" t="s">
        <v>94</v>
      </c>
      <c r="B2" s="116" t="s">
        <v>95</v>
      </c>
      <c r="C2" s="116" t="s">
        <v>96</v>
      </c>
      <c r="D2" s="116" t="s">
        <v>97</v>
      </c>
      <c r="E2" s="116" t="s">
        <v>98</v>
      </c>
      <c r="F2" s="116" t="s">
        <v>99</v>
      </c>
      <c r="G2" s="116" t="s">
        <v>100</v>
      </c>
      <c r="H2" s="116" t="s">
        <v>101</v>
      </c>
      <c r="I2" s="116" t="s">
        <v>99</v>
      </c>
      <c r="J2" s="116" t="s">
        <v>100</v>
      </c>
      <c r="K2" s="116" t="s">
        <v>102</v>
      </c>
      <c r="L2" s="116" t="s">
        <v>103</v>
      </c>
      <c r="M2" s="116" t="s">
        <v>110</v>
      </c>
      <c r="N2" s="116" t="s">
        <v>105</v>
      </c>
    </row>
    <row r="3" spans="1:14">
      <c r="A3" s="427" t="s">
        <v>106</v>
      </c>
      <c r="B3" s="427"/>
      <c r="C3" s="427"/>
      <c r="D3" s="427"/>
      <c r="E3" s="427"/>
      <c r="F3" s="427"/>
      <c r="G3" s="427"/>
      <c r="H3" s="427"/>
      <c r="I3" s="427"/>
      <c r="J3" s="427"/>
      <c r="K3" s="104">
        <v>0</v>
      </c>
      <c r="L3" s="104">
        <v>0</v>
      </c>
      <c r="M3" s="104">
        <f>+K3</f>
        <v>0</v>
      </c>
      <c r="N3" s="19"/>
    </row>
    <row r="4" spans="1:14">
      <c r="A4" s="28">
        <v>1</v>
      </c>
      <c r="B4" s="29">
        <v>45870</v>
      </c>
      <c r="C4" s="19"/>
      <c r="D4" s="19"/>
      <c r="E4" s="95">
        <v>0</v>
      </c>
      <c r="F4" s="95">
        <v>0</v>
      </c>
      <c r="G4" s="19">
        <f>E4*F4</f>
        <v>0</v>
      </c>
      <c r="H4" s="95">
        <v>0</v>
      </c>
      <c r="I4" s="95">
        <v>0</v>
      </c>
      <c r="J4" s="19">
        <f>H4*I4</f>
        <v>0</v>
      </c>
      <c r="K4" s="19">
        <f>G4+J4</f>
        <v>0</v>
      </c>
      <c r="L4" s="19">
        <f>K4</f>
        <v>0</v>
      </c>
      <c r="M4" s="19">
        <f>M3+K4-L4</f>
        <v>0</v>
      </c>
      <c r="N4" s="50"/>
    </row>
    <row r="5" spans="1:14">
      <c r="A5" s="28">
        <v>2</v>
      </c>
      <c r="B5" s="29">
        <v>45871</v>
      </c>
      <c r="C5" s="19"/>
      <c r="D5" s="19"/>
      <c r="E5" s="95">
        <v>0</v>
      </c>
      <c r="F5" s="95">
        <v>0</v>
      </c>
      <c r="G5" s="19">
        <f t="shared" ref="G5:G33" si="0">E5*F5</f>
        <v>0</v>
      </c>
      <c r="H5" s="95">
        <v>0</v>
      </c>
      <c r="I5" s="95">
        <v>0</v>
      </c>
      <c r="J5" s="19">
        <f t="shared" ref="J5:J33" si="1">H5*I5</f>
        <v>0</v>
      </c>
      <c r="K5" s="19">
        <f t="shared" ref="K5:K33" si="2">G5+J5</f>
        <v>0</v>
      </c>
      <c r="L5" s="19">
        <f t="shared" ref="L5:L33" si="3">K5</f>
        <v>0</v>
      </c>
      <c r="M5" s="19">
        <f t="shared" ref="M5:M27" si="4">M4+K5-L5</f>
        <v>0</v>
      </c>
      <c r="N5" s="50"/>
    </row>
    <row r="6" spans="1:14">
      <c r="A6" s="28">
        <v>3</v>
      </c>
      <c r="B6" s="29">
        <v>45872</v>
      </c>
      <c r="C6" s="19"/>
      <c r="D6" s="19"/>
      <c r="E6" s="95">
        <v>0</v>
      </c>
      <c r="F6" s="95">
        <v>0</v>
      </c>
      <c r="G6" s="19">
        <f t="shared" si="0"/>
        <v>0</v>
      </c>
      <c r="H6" s="95">
        <v>0</v>
      </c>
      <c r="I6" s="95">
        <v>0</v>
      </c>
      <c r="J6" s="19">
        <f t="shared" si="1"/>
        <v>0</v>
      </c>
      <c r="K6" s="19">
        <f t="shared" si="2"/>
        <v>0</v>
      </c>
      <c r="L6" s="19">
        <f t="shared" si="3"/>
        <v>0</v>
      </c>
      <c r="M6" s="19">
        <f t="shared" si="4"/>
        <v>0</v>
      </c>
      <c r="N6" s="50"/>
    </row>
    <row r="7" spans="1:14">
      <c r="A7" s="28">
        <v>4</v>
      </c>
      <c r="B7" s="29">
        <v>45873</v>
      </c>
      <c r="C7" s="19"/>
      <c r="D7" s="19"/>
      <c r="E7" s="95">
        <v>97.59</v>
      </c>
      <c r="F7" s="95">
        <v>92.22</v>
      </c>
      <c r="G7" s="19">
        <f t="shared" si="0"/>
        <v>8999.7497999999996</v>
      </c>
      <c r="H7" s="95">
        <v>9.61</v>
      </c>
      <c r="I7" s="95">
        <v>104.08</v>
      </c>
      <c r="J7" s="19">
        <f t="shared" si="1"/>
        <v>1000.2087999999999</v>
      </c>
      <c r="K7" s="19">
        <f t="shared" si="2"/>
        <v>9999.9585999999999</v>
      </c>
      <c r="L7" s="19">
        <f t="shared" si="3"/>
        <v>9999.9585999999999</v>
      </c>
      <c r="M7" s="19">
        <f t="shared" si="4"/>
        <v>0</v>
      </c>
      <c r="N7" s="50"/>
    </row>
    <row r="8" spans="1:14">
      <c r="A8" s="28">
        <v>5</v>
      </c>
      <c r="B8" s="29">
        <v>45874</v>
      </c>
      <c r="C8" s="19"/>
      <c r="D8" s="19"/>
      <c r="E8" s="95">
        <v>0</v>
      </c>
      <c r="F8" s="95">
        <v>0</v>
      </c>
      <c r="G8" s="19">
        <f t="shared" si="0"/>
        <v>0</v>
      </c>
      <c r="H8" s="95">
        <v>0</v>
      </c>
      <c r="I8" s="95">
        <v>0</v>
      </c>
      <c r="J8" s="19">
        <f t="shared" si="1"/>
        <v>0</v>
      </c>
      <c r="K8" s="19">
        <f t="shared" si="2"/>
        <v>0</v>
      </c>
      <c r="L8" s="19">
        <f t="shared" si="3"/>
        <v>0</v>
      </c>
      <c r="M8" s="19">
        <f t="shared" si="4"/>
        <v>0</v>
      </c>
      <c r="N8" s="50"/>
    </row>
    <row r="9" spans="1:14">
      <c r="A9" s="28">
        <v>6</v>
      </c>
      <c r="B9" s="29">
        <v>45875</v>
      </c>
      <c r="C9" s="19"/>
      <c r="D9" s="19"/>
      <c r="E9" s="95">
        <v>0</v>
      </c>
      <c r="F9" s="95">
        <v>0</v>
      </c>
      <c r="G9" s="19">
        <f t="shared" si="0"/>
        <v>0</v>
      </c>
      <c r="H9" s="95">
        <v>0</v>
      </c>
      <c r="I9" s="95">
        <v>0</v>
      </c>
      <c r="J9" s="19">
        <f t="shared" si="1"/>
        <v>0</v>
      </c>
      <c r="K9" s="19">
        <f t="shared" si="2"/>
        <v>0</v>
      </c>
      <c r="L9" s="19">
        <f t="shared" si="3"/>
        <v>0</v>
      </c>
      <c r="M9" s="19">
        <f t="shared" si="4"/>
        <v>0</v>
      </c>
      <c r="N9" s="50"/>
    </row>
    <row r="10" spans="1:14">
      <c r="A10" s="28">
        <v>7</v>
      </c>
      <c r="B10" s="29">
        <v>45876</v>
      </c>
      <c r="C10" s="19"/>
      <c r="D10" s="19"/>
      <c r="E10" s="95">
        <v>0</v>
      </c>
      <c r="F10" s="95">
        <v>0</v>
      </c>
      <c r="G10" s="19">
        <f t="shared" si="0"/>
        <v>0</v>
      </c>
      <c r="H10" s="95">
        <v>0</v>
      </c>
      <c r="I10" s="95">
        <v>0</v>
      </c>
      <c r="J10" s="19">
        <f t="shared" si="1"/>
        <v>0</v>
      </c>
      <c r="K10" s="19">
        <f t="shared" si="2"/>
        <v>0</v>
      </c>
      <c r="L10" s="19">
        <f t="shared" si="3"/>
        <v>0</v>
      </c>
      <c r="M10" s="19">
        <f t="shared" si="4"/>
        <v>0</v>
      </c>
      <c r="N10" s="50"/>
    </row>
    <row r="11" spans="1:14">
      <c r="A11" s="28">
        <v>8</v>
      </c>
      <c r="B11" s="29">
        <v>45877</v>
      </c>
      <c r="C11" s="19"/>
      <c r="D11" s="19"/>
      <c r="E11" s="95">
        <v>0</v>
      </c>
      <c r="F11" s="95">
        <v>0</v>
      </c>
      <c r="G11" s="19">
        <f t="shared" si="0"/>
        <v>0</v>
      </c>
      <c r="H11" s="95">
        <v>0</v>
      </c>
      <c r="I11" s="95">
        <v>0</v>
      </c>
      <c r="J11" s="19">
        <f t="shared" si="1"/>
        <v>0</v>
      </c>
      <c r="K11" s="19">
        <f t="shared" si="2"/>
        <v>0</v>
      </c>
      <c r="L11" s="19">
        <f t="shared" si="3"/>
        <v>0</v>
      </c>
      <c r="M11" s="19">
        <f t="shared" si="4"/>
        <v>0</v>
      </c>
      <c r="N11" s="50"/>
    </row>
    <row r="12" spans="1:14">
      <c r="A12" s="28">
        <v>9</v>
      </c>
      <c r="B12" s="29">
        <v>45878</v>
      </c>
      <c r="C12" s="19"/>
      <c r="D12" s="19"/>
      <c r="E12" s="95">
        <v>140</v>
      </c>
      <c r="F12" s="95">
        <v>92.22</v>
      </c>
      <c r="G12" s="19">
        <f t="shared" si="0"/>
        <v>12910.8</v>
      </c>
      <c r="H12" s="95">
        <v>10</v>
      </c>
      <c r="I12" s="95">
        <v>104.08</v>
      </c>
      <c r="J12" s="19">
        <f t="shared" si="1"/>
        <v>1040.8</v>
      </c>
      <c r="K12" s="19">
        <f t="shared" si="2"/>
        <v>13951.599999999999</v>
      </c>
      <c r="L12" s="19">
        <f t="shared" si="3"/>
        <v>13951.599999999999</v>
      </c>
      <c r="M12" s="19">
        <f t="shared" si="4"/>
        <v>0</v>
      </c>
      <c r="N12" s="50"/>
    </row>
    <row r="13" spans="1:14">
      <c r="A13" s="28">
        <v>10</v>
      </c>
      <c r="B13" s="29">
        <v>45879</v>
      </c>
      <c r="C13" s="19"/>
      <c r="D13" s="19"/>
      <c r="E13" s="95">
        <v>0</v>
      </c>
      <c r="F13" s="95">
        <v>0</v>
      </c>
      <c r="G13" s="19">
        <f t="shared" si="0"/>
        <v>0</v>
      </c>
      <c r="H13" s="95">
        <v>0</v>
      </c>
      <c r="I13" s="95">
        <v>0</v>
      </c>
      <c r="J13" s="19">
        <f t="shared" si="1"/>
        <v>0</v>
      </c>
      <c r="K13" s="19">
        <f t="shared" si="2"/>
        <v>0</v>
      </c>
      <c r="L13" s="19">
        <f t="shared" si="3"/>
        <v>0</v>
      </c>
      <c r="M13" s="19">
        <f t="shared" si="4"/>
        <v>0</v>
      </c>
      <c r="N13" s="50"/>
    </row>
    <row r="14" spans="1:14">
      <c r="A14" s="28">
        <v>11</v>
      </c>
      <c r="B14" s="29">
        <v>45880</v>
      </c>
      <c r="C14" s="19"/>
      <c r="D14" s="19"/>
      <c r="E14" s="95">
        <v>0</v>
      </c>
      <c r="F14" s="95">
        <v>0</v>
      </c>
      <c r="G14" s="19">
        <f t="shared" si="0"/>
        <v>0</v>
      </c>
      <c r="H14" s="95">
        <v>0</v>
      </c>
      <c r="I14" s="95">
        <v>0</v>
      </c>
      <c r="J14" s="19">
        <f t="shared" si="1"/>
        <v>0</v>
      </c>
      <c r="K14" s="19">
        <f t="shared" si="2"/>
        <v>0</v>
      </c>
      <c r="L14" s="19">
        <f t="shared" si="3"/>
        <v>0</v>
      </c>
      <c r="M14" s="19">
        <f t="shared" si="4"/>
        <v>0</v>
      </c>
      <c r="N14" s="50"/>
    </row>
    <row r="15" spans="1:14">
      <c r="A15" s="28">
        <v>12</v>
      </c>
      <c r="B15" s="29">
        <v>45881</v>
      </c>
      <c r="C15" s="19"/>
      <c r="D15" s="19"/>
      <c r="E15" s="95">
        <v>0</v>
      </c>
      <c r="F15" s="95">
        <v>0</v>
      </c>
      <c r="G15" s="19">
        <f t="shared" si="0"/>
        <v>0</v>
      </c>
      <c r="H15" s="95">
        <v>0</v>
      </c>
      <c r="I15" s="95">
        <v>0</v>
      </c>
      <c r="J15" s="19">
        <f t="shared" si="1"/>
        <v>0</v>
      </c>
      <c r="K15" s="19">
        <f t="shared" si="2"/>
        <v>0</v>
      </c>
      <c r="L15" s="19">
        <f t="shared" si="3"/>
        <v>0</v>
      </c>
      <c r="M15" s="19">
        <f t="shared" si="4"/>
        <v>0</v>
      </c>
      <c r="N15" s="50"/>
    </row>
    <row r="16" spans="1:14">
      <c r="A16" s="28">
        <v>13</v>
      </c>
      <c r="B16" s="29">
        <v>45882</v>
      </c>
      <c r="C16" s="19"/>
      <c r="D16" s="19"/>
      <c r="E16" s="95">
        <v>0</v>
      </c>
      <c r="F16" s="95">
        <v>0</v>
      </c>
      <c r="G16" s="19">
        <f t="shared" si="0"/>
        <v>0</v>
      </c>
      <c r="H16" s="95">
        <v>0</v>
      </c>
      <c r="I16" s="95">
        <v>0</v>
      </c>
      <c r="J16" s="19">
        <f t="shared" si="1"/>
        <v>0</v>
      </c>
      <c r="K16" s="19">
        <f t="shared" si="2"/>
        <v>0</v>
      </c>
      <c r="L16" s="19">
        <f t="shared" si="3"/>
        <v>0</v>
      </c>
      <c r="M16" s="19">
        <f t="shared" si="4"/>
        <v>0</v>
      </c>
      <c r="N16" s="50"/>
    </row>
    <row r="17" spans="1:14">
      <c r="A17" s="28">
        <v>14</v>
      </c>
      <c r="B17" s="29">
        <v>45883</v>
      </c>
      <c r="C17" s="19"/>
      <c r="D17" s="19"/>
      <c r="E17" s="95">
        <v>105</v>
      </c>
      <c r="F17" s="95">
        <v>92.22</v>
      </c>
      <c r="G17" s="19">
        <f t="shared" si="0"/>
        <v>9683.1</v>
      </c>
      <c r="H17" s="95">
        <v>0</v>
      </c>
      <c r="I17" s="95">
        <v>0</v>
      </c>
      <c r="J17" s="19">
        <f t="shared" si="1"/>
        <v>0</v>
      </c>
      <c r="K17" s="19">
        <f t="shared" si="2"/>
        <v>9683.1</v>
      </c>
      <c r="L17" s="19">
        <f t="shared" si="3"/>
        <v>9683.1</v>
      </c>
      <c r="M17" s="19">
        <f t="shared" si="4"/>
        <v>0</v>
      </c>
      <c r="N17" s="50"/>
    </row>
    <row r="18" spans="1:14">
      <c r="A18" s="28">
        <v>15</v>
      </c>
      <c r="B18" s="29">
        <v>45884</v>
      </c>
      <c r="C18" s="19"/>
      <c r="D18" s="19"/>
      <c r="E18" s="95">
        <v>140</v>
      </c>
      <c r="F18" s="95">
        <v>92.22</v>
      </c>
      <c r="G18" s="19">
        <f t="shared" si="0"/>
        <v>12910.8</v>
      </c>
      <c r="H18" s="95">
        <v>0</v>
      </c>
      <c r="I18" s="95">
        <v>0</v>
      </c>
      <c r="J18" s="19">
        <f t="shared" si="1"/>
        <v>0</v>
      </c>
      <c r="K18" s="19">
        <f t="shared" si="2"/>
        <v>12910.8</v>
      </c>
      <c r="L18" s="19">
        <f t="shared" si="3"/>
        <v>12910.8</v>
      </c>
      <c r="M18" s="19">
        <f t="shared" si="4"/>
        <v>0</v>
      </c>
      <c r="N18" s="50"/>
    </row>
    <row r="19" spans="1:14">
      <c r="A19" s="28">
        <v>16</v>
      </c>
      <c r="B19" s="29">
        <v>45885</v>
      </c>
      <c r="C19" s="19"/>
      <c r="D19" s="19"/>
      <c r="E19" s="95">
        <v>0</v>
      </c>
      <c r="F19" s="95">
        <v>0</v>
      </c>
      <c r="G19" s="19">
        <f t="shared" si="0"/>
        <v>0</v>
      </c>
      <c r="H19" s="95">
        <v>0</v>
      </c>
      <c r="I19" s="95">
        <v>0</v>
      </c>
      <c r="J19" s="19">
        <f t="shared" si="1"/>
        <v>0</v>
      </c>
      <c r="K19" s="19">
        <f t="shared" si="2"/>
        <v>0</v>
      </c>
      <c r="L19" s="19">
        <f t="shared" si="3"/>
        <v>0</v>
      </c>
      <c r="M19" s="19">
        <f t="shared" si="4"/>
        <v>0</v>
      </c>
      <c r="N19" s="50"/>
    </row>
    <row r="20" spans="1:14">
      <c r="A20" s="28">
        <v>17</v>
      </c>
      <c r="B20" s="29">
        <v>45886</v>
      </c>
      <c r="C20" s="19"/>
      <c r="D20" s="19"/>
      <c r="E20" s="95">
        <v>180</v>
      </c>
      <c r="F20" s="95">
        <v>92.22</v>
      </c>
      <c r="G20" s="19">
        <f t="shared" si="0"/>
        <v>16599.599999999999</v>
      </c>
      <c r="H20" s="95">
        <v>0</v>
      </c>
      <c r="I20" s="95">
        <v>0</v>
      </c>
      <c r="J20" s="19">
        <f t="shared" si="1"/>
        <v>0</v>
      </c>
      <c r="K20" s="19">
        <f t="shared" si="2"/>
        <v>16599.599999999999</v>
      </c>
      <c r="L20" s="19">
        <f t="shared" si="3"/>
        <v>16599.599999999999</v>
      </c>
      <c r="M20" s="19">
        <f t="shared" si="4"/>
        <v>0</v>
      </c>
      <c r="N20" s="50"/>
    </row>
    <row r="21" spans="1:14">
      <c r="A21" s="28">
        <v>18</v>
      </c>
      <c r="B21" s="29">
        <v>45887</v>
      </c>
      <c r="C21" s="19"/>
      <c r="D21" s="19"/>
      <c r="E21" s="95">
        <v>0</v>
      </c>
      <c r="F21" s="95">
        <v>0</v>
      </c>
      <c r="G21" s="19">
        <f t="shared" si="0"/>
        <v>0</v>
      </c>
      <c r="H21" s="95">
        <v>0</v>
      </c>
      <c r="I21" s="95">
        <v>0</v>
      </c>
      <c r="J21" s="19">
        <f t="shared" si="1"/>
        <v>0</v>
      </c>
      <c r="K21" s="19">
        <f t="shared" si="2"/>
        <v>0</v>
      </c>
      <c r="L21" s="19">
        <f t="shared" si="3"/>
        <v>0</v>
      </c>
      <c r="M21" s="19">
        <f t="shared" si="4"/>
        <v>0</v>
      </c>
      <c r="N21" s="50"/>
    </row>
    <row r="22" spans="1:14">
      <c r="A22" s="28">
        <v>19</v>
      </c>
      <c r="B22" s="29">
        <v>45888</v>
      </c>
      <c r="C22" s="19"/>
      <c r="D22" s="19"/>
      <c r="E22" s="95">
        <v>0</v>
      </c>
      <c r="F22" s="95">
        <v>0</v>
      </c>
      <c r="G22" s="19">
        <f t="shared" si="0"/>
        <v>0</v>
      </c>
      <c r="H22" s="95">
        <v>0</v>
      </c>
      <c r="I22" s="95">
        <v>0</v>
      </c>
      <c r="J22" s="19">
        <f t="shared" si="1"/>
        <v>0</v>
      </c>
      <c r="K22" s="19">
        <f t="shared" si="2"/>
        <v>0</v>
      </c>
      <c r="L22" s="19">
        <f t="shared" si="3"/>
        <v>0</v>
      </c>
      <c r="M22" s="19">
        <f t="shared" si="4"/>
        <v>0</v>
      </c>
      <c r="N22" s="50"/>
    </row>
    <row r="23" spans="1:14">
      <c r="A23" s="28">
        <v>20</v>
      </c>
      <c r="B23" s="29">
        <v>45889</v>
      </c>
      <c r="C23" s="19"/>
      <c r="D23" s="19"/>
      <c r="E23" s="95">
        <v>140</v>
      </c>
      <c r="F23" s="95">
        <v>92.26</v>
      </c>
      <c r="G23" s="19">
        <f t="shared" si="0"/>
        <v>12916.400000000001</v>
      </c>
      <c r="H23" s="95">
        <v>5.35</v>
      </c>
      <c r="I23" s="95">
        <v>104.13</v>
      </c>
      <c r="J23" s="19">
        <f t="shared" si="1"/>
        <v>557.0954999999999</v>
      </c>
      <c r="K23" s="19">
        <f t="shared" si="2"/>
        <v>13473.495500000001</v>
      </c>
      <c r="L23" s="19">
        <f t="shared" si="3"/>
        <v>13473.495500000001</v>
      </c>
      <c r="M23" s="19">
        <f t="shared" si="4"/>
        <v>0</v>
      </c>
      <c r="N23" s="50"/>
    </row>
    <row r="24" spans="1:14">
      <c r="A24" s="28">
        <v>21</v>
      </c>
      <c r="B24" s="29">
        <v>45890</v>
      </c>
      <c r="C24" s="19"/>
      <c r="D24" s="19"/>
      <c r="E24" s="95">
        <v>0</v>
      </c>
      <c r="F24" s="95">
        <v>0</v>
      </c>
      <c r="G24" s="19">
        <f t="shared" si="0"/>
        <v>0</v>
      </c>
      <c r="H24" s="95">
        <v>0</v>
      </c>
      <c r="I24" s="95">
        <v>0</v>
      </c>
      <c r="J24" s="19">
        <f t="shared" si="1"/>
        <v>0</v>
      </c>
      <c r="K24" s="19">
        <f t="shared" si="2"/>
        <v>0</v>
      </c>
      <c r="L24" s="19">
        <f t="shared" si="3"/>
        <v>0</v>
      </c>
      <c r="M24" s="19">
        <f t="shared" si="4"/>
        <v>0</v>
      </c>
      <c r="N24" s="50"/>
    </row>
    <row r="25" spans="1:14">
      <c r="A25" s="28">
        <v>22</v>
      </c>
      <c r="B25" s="29">
        <v>45891</v>
      </c>
      <c r="C25" s="19"/>
      <c r="D25" s="19"/>
      <c r="E25" s="95">
        <v>210</v>
      </c>
      <c r="F25" s="95">
        <v>92.26</v>
      </c>
      <c r="G25" s="19">
        <f t="shared" si="0"/>
        <v>19374.600000000002</v>
      </c>
      <c r="H25" s="95">
        <v>10</v>
      </c>
      <c r="I25" s="95">
        <v>104.13</v>
      </c>
      <c r="J25" s="19">
        <f t="shared" si="1"/>
        <v>1041.3</v>
      </c>
      <c r="K25" s="19">
        <f t="shared" si="2"/>
        <v>20415.900000000001</v>
      </c>
      <c r="L25" s="19">
        <f t="shared" si="3"/>
        <v>20415.900000000001</v>
      </c>
      <c r="M25" s="19">
        <f t="shared" si="4"/>
        <v>0</v>
      </c>
      <c r="N25" s="50"/>
    </row>
    <row r="26" spans="1:14">
      <c r="A26" s="28">
        <v>23</v>
      </c>
      <c r="B26" s="29">
        <v>45892</v>
      </c>
      <c r="C26" s="19"/>
      <c r="D26" s="19"/>
      <c r="E26" s="95">
        <v>0</v>
      </c>
      <c r="F26" s="95">
        <v>0</v>
      </c>
      <c r="G26" s="19">
        <f t="shared" si="0"/>
        <v>0</v>
      </c>
      <c r="H26" s="95">
        <v>0</v>
      </c>
      <c r="I26" s="95">
        <v>0</v>
      </c>
      <c r="J26" s="19">
        <f t="shared" si="1"/>
        <v>0</v>
      </c>
      <c r="K26" s="19">
        <f t="shared" si="2"/>
        <v>0</v>
      </c>
      <c r="L26" s="19">
        <f t="shared" si="3"/>
        <v>0</v>
      </c>
      <c r="M26" s="19">
        <f t="shared" si="4"/>
        <v>0</v>
      </c>
      <c r="N26" s="50"/>
    </row>
    <row r="27" spans="1:14">
      <c r="A27" s="28">
        <v>24</v>
      </c>
      <c r="B27" s="29">
        <v>45893</v>
      </c>
      <c r="C27" s="19"/>
      <c r="D27" s="19"/>
      <c r="E27" s="95">
        <v>0</v>
      </c>
      <c r="F27" s="95">
        <v>0</v>
      </c>
      <c r="G27" s="19">
        <f t="shared" si="0"/>
        <v>0</v>
      </c>
      <c r="H27" s="95">
        <v>0</v>
      </c>
      <c r="I27" s="95">
        <v>0</v>
      </c>
      <c r="J27" s="19">
        <f t="shared" si="1"/>
        <v>0</v>
      </c>
      <c r="K27" s="19">
        <f t="shared" si="2"/>
        <v>0</v>
      </c>
      <c r="L27" s="19">
        <f t="shared" si="3"/>
        <v>0</v>
      </c>
      <c r="M27" s="19">
        <f t="shared" si="4"/>
        <v>0</v>
      </c>
      <c r="N27" s="50"/>
    </row>
    <row r="28" spans="1:14">
      <c r="A28" s="28">
        <v>25</v>
      </c>
      <c r="B28" s="29">
        <v>45894</v>
      </c>
      <c r="C28" s="19"/>
      <c r="D28" s="19"/>
      <c r="E28" s="95">
        <v>0</v>
      </c>
      <c r="F28" s="95">
        <v>0</v>
      </c>
      <c r="G28" s="19">
        <f t="shared" si="0"/>
        <v>0</v>
      </c>
      <c r="H28" s="95">
        <v>0</v>
      </c>
      <c r="I28" s="95">
        <v>0</v>
      </c>
      <c r="J28" s="19">
        <f t="shared" si="1"/>
        <v>0</v>
      </c>
      <c r="K28" s="19">
        <f t="shared" si="2"/>
        <v>0</v>
      </c>
      <c r="L28" s="19">
        <f t="shared" si="3"/>
        <v>0</v>
      </c>
      <c r="M28" s="19">
        <v>0</v>
      </c>
      <c r="N28" s="50"/>
    </row>
    <row r="29" spans="1:14">
      <c r="A29" s="28">
        <v>26</v>
      </c>
      <c r="B29" s="29">
        <v>45895</v>
      </c>
      <c r="C29" s="19"/>
      <c r="D29" s="19"/>
      <c r="E29" s="95">
        <v>0</v>
      </c>
      <c r="F29" s="95">
        <v>0</v>
      </c>
      <c r="G29" s="19">
        <f t="shared" si="0"/>
        <v>0</v>
      </c>
      <c r="H29" s="95">
        <v>0</v>
      </c>
      <c r="I29" s="95">
        <v>0</v>
      </c>
      <c r="J29" s="19">
        <f t="shared" si="1"/>
        <v>0</v>
      </c>
      <c r="K29" s="19">
        <f t="shared" si="2"/>
        <v>0</v>
      </c>
      <c r="L29" s="19">
        <f t="shared" si="3"/>
        <v>0</v>
      </c>
      <c r="M29" s="19">
        <v>0</v>
      </c>
      <c r="N29" s="50"/>
    </row>
    <row r="30" spans="1:14">
      <c r="A30" s="28">
        <v>27</v>
      </c>
      <c r="B30" s="29">
        <v>45896</v>
      </c>
      <c r="C30" s="19"/>
      <c r="D30" s="19"/>
      <c r="E30" s="95">
        <v>0</v>
      </c>
      <c r="F30" s="95">
        <v>0</v>
      </c>
      <c r="G30" s="19">
        <f t="shared" si="0"/>
        <v>0</v>
      </c>
      <c r="H30" s="95">
        <v>0</v>
      </c>
      <c r="I30" s="95">
        <v>0</v>
      </c>
      <c r="J30" s="19">
        <f t="shared" si="1"/>
        <v>0</v>
      </c>
      <c r="K30" s="19">
        <f t="shared" si="2"/>
        <v>0</v>
      </c>
      <c r="L30" s="19">
        <f t="shared" si="3"/>
        <v>0</v>
      </c>
      <c r="M30" s="19">
        <v>0</v>
      </c>
      <c r="N30" s="50"/>
    </row>
    <row r="31" spans="1:14">
      <c r="A31" s="28">
        <v>28</v>
      </c>
      <c r="B31" s="29">
        <v>45897</v>
      </c>
      <c r="C31" s="19"/>
      <c r="D31" s="19"/>
      <c r="E31" s="95">
        <v>0</v>
      </c>
      <c r="F31" s="95">
        <v>0</v>
      </c>
      <c r="G31" s="19">
        <f t="shared" si="0"/>
        <v>0</v>
      </c>
      <c r="H31" s="95">
        <v>0</v>
      </c>
      <c r="I31" s="95">
        <v>0</v>
      </c>
      <c r="J31" s="19">
        <f t="shared" si="1"/>
        <v>0</v>
      </c>
      <c r="K31" s="19">
        <f t="shared" si="2"/>
        <v>0</v>
      </c>
      <c r="L31" s="19">
        <f t="shared" si="3"/>
        <v>0</v>
      </c>
      <c r="M31" s="19">
        <v>0</v>
      </c>
      <c r="N31" s="50"/>
    </row>
    <row r="32" spans="1:14">
      <c r="A32" s="28">
        <v>29</v>
      </c>
      <c r="B32" s="29">
        <v>45898</v>
      </c>
      <c r="C32" s="19"/>
      <c r="D32" s="19"/>
      <c r="E32" s="95">
        <v>0</v>
      </c>
      <c r="F32" s="95">
        <v>0</v>
      </c>
      <c r="G32" s="19">
        <f t="shared" ref="G32:G34" si="5">E32*F32</f>
        <v>0</v>
      </c>
      <c r="H32" s="95">
        <v>0</v>
      </c>
      <c r="I32" s="95">
        <v>0</v>
      </c>
      <c r="J32" s="19">
        <f t="shared" ref="J32:J34" si="6">H32*I32</f>
        <v>0</v>
      </c>
      <c r="K32" s="19">
        <f t="shared" ref="K32:K34" si="7">G32+J32</f>
        <v>0</v>
      </c>
      <c r="L32" s="19">
        <f t="shared" ref="L32:L34" si="8">K32</f>
        <v>0</v>
      </c>
      <c r="M32" s="19">
        <v>0</v>
      </c>
      <c r="N32" s="50"/>
    </row>
    <row r="33" spans="1:14">
      <c r="A33" s="28">
        <v>30</v>
      </c>
      <c r="B33" s="29">
        <v>45899</v>
      </c>
      <c r="C33" s="19"/>
      <c r="D33" s="19"/>
      <c r="E33" s="95">
        <v>0</v>
      </c>
      <c r="F33" s="95">
        <v>0</v>
      </c>
      <c r="G33" s="19">
        <f t="shared" si="5"/>
        <v>0</v>
      </c>
      <c r="H33" s="95">
        <v>0</v>
      </c>
      <c r="I33" s="95">
        <v>0</v>
      </c>
      <c r="J33" s="19">
        <f t="shared" si="6"/>
        <v>0</v>
      </c>
      <c r="K33" s="19">
        <f t="shared" si="7"/>
        <v>0</v>
      </c>
      <c r="L33" s="19">
        <f t="shared" si="8"/>
        <v>0</v>
      </c>
      <c r="M33" s="19">
        <v>0</v>
      </c>
      <c r="N33" s="50"/>
    </row>
    <row r="34" spans="1:14">
      <c r="A34" s="28">
        <v>31</v>
      </c>
      <c r="B34" s="29">
        <v>45900</v>
      </c>
      <c r="C34" s="19"/>
      <c r="D34" s="19"/>
      <c r="E34" s="95">
        <v>200</v>
      </c>
      <c r="F34" s="95">
        <v>92.22</v>
      </c>
      <c r="G34" s="19">
        <f t="shared" si="5"/>
        <v>18444</v>
      </c>
      <c r="H34" s="95">
        <v>10</v>
      </c>
      <c r="I34" s="95">
        <v>104.08</v>
      </c>
      <c r="J34" s="19">
        <f t="shared" si="6"/>
        <v>1040.8</v>
      </c>
      <c r="K34" s="19">
        <f t="shared" si="7"/>
        <v>19484.8</v>
      </c>
      <c r="L34" s="19">
        <f t="shared" si="8"/>
        <v>19484.8</v>
      </c>
      <c r="M34" s="19">
        <v>0</v>
      </c>
      <c r="N34" s="50"/>
    </row>
    <row r="35" spans="1:14">
      <c r="A35" s="48"/>
      <c r="B35" s="48"/>
      <c r="C35" s="48"/>
      <c r="D35" s="48"/>
      <c r="E35" s="48">
        <f>SUM(E4:E34)</f>
        <v>1212.5900000000001</v>
      </c>
      <c r="F35" s="48"/>
      <c r="G35" s="48">
        <f>SUM(G4:G34)</f>
        <v>111839.04980000001</v>
      </c>
      <c r="H35" s="48">
        <f>SUM(H4:H34)</f>
        <v>44.96</v>
      </c>
      <c r="I35" s="48"/>
      <c r="J35" s="48">
        <f>SUM(J4:J34)</f>
        <v>4680.2043000000003</v>
      </c>
      <c r="K35" s="48">
        <f>SUM(K4:K34)</f>
        <v>116519.25410000001</v>
      </c>
      <c r="L35" s="48">
        <f>SUM(L4:L34)</f>
        <v>116519.25410000001</v>
      </c>
      <c r="M35" s="48"/>
      <c r="N35" s="48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O49"/>
  <sheetViews>
    <sheetView workbookViewId="0">
      <pane ySplit="2" topLeftCell="A14" activePane="bottomLeft" state="frozen"/>
      <selection pane="bottomLeft" activeCell="S29" sqref="S29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855468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409" t="s">
        <v>64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61"/>
    </row>
    <row r="2" spans="1:15" ht="18" customHeight="1">
      <c r="A2" s="72" t="s">
        <v>94</v>
      </c>
      <c r="B2" s="92" t="s">
        <v>95</v>
      </c>
      <c r="C2" s="92" t="s">
        <v>96</v>
      </c>
      <c r="D2" s="92" t="s">
        <v>97</v>
      </c>
      <c r="E2" s="92" t="s">
        <v>98</v>
      </c>
      <c r="F2" s="92" t="s">
        <v>99</v>
      </c>
      <c r="G2" s="92" t="s">
        <v>100</v>
      </c>
      <c r="H2" s="92" t="s">
        <v>101</v>
      </c>
      <c r="I2" s="92" t="s">
        <v>99</v>
      </c>
      <c r="J2" s="93" t="s">
        <v>100</v>
      </c>
      <c r="K2" s="72" t="s">
        <v>102</v>
      </c>
      <c r="L2" s="94" t="s">
        <v>103</v>
      </c>
      <c r="M2" s="178" t="s">
        <v>110</v>
      </c>
      <c r="N2" s="92" t="s">
        <v>105</v>
      </c>
      <c r="O2" s="67"/>
    </row>
    <row r="3" spans="1:15" ht="18" customHeight="1">
      <c r="A3" s="156"/>
      <c r="B3" s="157"/>
      <c r="C3" s="157"/>
      <c r="D3" s="142" t="s">
        <v>106</v>
      </c>
      <c r="E3" s="157"/>
      <c r="F3" s="157"/>
      <c r="G3" s="157"/>
      <c r="H3" s="157"/>
      <c r="I3" s="157"/>
      <c r="J3" s="158"/>
      <c r="K3" s="314">
        <v>0</v>
      </c>
      <c r="L3" s="159">
        <v>0</v>
      </c>
      <c r="M3" s="159">
        <v>35526.317599999995</v>
      </c>
      <c r="N3" s="157">
        <v>35526.317599999995</v>
      </c>
      <c r="O3" s="67"/>
    </row>
    <row r="4" spans="1:15">
      <c r="A4" s="52">
        <v>1</v>
      </c>
      <c r="B4" s="226">
        <v>45870</v>
      </c>
      <c r="C4" s="27"/>
      <c r="D4" s="27"/>
      <c r="E4" s="8">
        <v>364.53</v>
      </c>
      <c r="F4" s="8">
        <v>91.47</v>
      </c>
      <c r="G4" s="8">
        <f>E4*F4</f>
        <v>33343.559099999999</v>
      </c>
      <c r="H4" s="9">
        <v>0</v>
      </c>
      <c r="I4" s="9">
        <v>0</v>
      </c>
      <c r="J4" s="8">
        <f>H4*I4</f>
        <v>0</v>
      </c>
      <c r="K4" s="8">
        <f>G4+J4</f>
        <v>33343.559099999999</v>
      </c>
      <c r="L4" s="159">
        <v>0</v>
      </c>
      <c r="M4" s="8">
        <f>M3+K4-L4</f>
        <v>68869.876699999993</v>
      </c>
      <c r="N4" s="50"/>
      <c r="O4" s="1"/>
    </row>
    <row r="5" spans="1:15">
      <c r="A5" s="52">
        <v>2</v>
      </c>
      <c r="B5" s="226">
        <v>45871</v>
      </c>
      <c r="C5" s="27"/>
      <c r="D5" s="27"/>
      <c r="E5" s="8">
        <v>0</v>
      </c>
      <c r="F5" s="8">
        <v>0</v>
      </c>
      <c r="G5" s="8">
        <f t="shared" ref="G5:G33" si="0">E5*F5</f>
        <v>0</v>
      </c>
      <c r="H5" s="9">
        <v>7</v>
      </c>
      <c r="I5" s="9">
        <v>103.4</v>
      </c>
      <c r="J5" s="8">
        <f t="shared" ref="J5:J33" si="1">H5*I5</f>
        <v>723.80000000000007</v>
      </c>
      <c r="K5" s="8">
        <f t="shared" ref="K5:L33" si="2">G5+J5</f>
        <v>723.80000000000007</v>
      </c>
      <c r="L5" s="159">
        <v>0</v>
      </c>
      <c r="M5" s="8">
        <f t="shared" ref="M5:M34" si="3">M4+K5-L5</f>
        <v>69593.676699999996</v>
      </c>
      <c r="N5" s="50"/>
      <c r="O5" s="1"/>
    </row>
    <row r="6" spans="1:15">
      <c r="A6" s="52">
        <v>3</v>
      </c>
      <c r="B6" s="226">
        <v>45872</v>
      </c>
      <c r="C6" s="27"/>
      <c r="D6" s="27"/>
      <c r="E6" s="8">
        <v>100</v>
      </c>
      <c r="F6" s="8">
        <v>91.47</v>
      </c>
      <c r="G6" s="8">
        <f t="shared" si="0"/>
        <v>9147</v>
      </c>
      <c r="H6" s="9">
        <v>5</v>
      </c>
      <c r="I6" s="9">
        <v>103.4</v>
      </c>
      <c r="J6" s="8">
        <f t="shared" si="1"/>
        <v>517</v>
      </c>
      <c r="K6" s="8">
        <f t="shared" si="2"/>
        <v>9664</v>
      </c>
      <c r="L6" s="159">
        <v>0</v>
      </c>
      <c r="M6" s="8">
        <f t="shared" si="3"/>
        <v>79257.676699999996</v>
      </c>
      <c r="N6" s="50"/>
      <c r="O6" s="1"/>
    </row>
    <row r="7" spans="1:15">
      <c r="A7" s="52">
        <v>4</v>
      </c>
      <c r="B7" s="226">
        <v>45873</v>
      </c>
      <c r="C7" s="27"/>
      <c r="D7" s="27"/>
      <c r="E7" s="8">
        <v>266.29000000000002</v>
      </c>
      <c r="F7" s="8">
        <v>91.47</v>
      </c>
      <c r="G7" s="8">
        <f t="shared" si="0"/>
        <v>24357.546300000002</v>
      </c>
      <c r="H7" s="9">
        <v>0</v>
      </c>
      <c r="I7" s="9">
        <v>0</v>
      </c>
      <c r="J7" s="8">
        <f t="shared" si="1"/>
        <v>0</v>
      </c>
      <c r="K7" s="8">
        <f t="shared" si="2"/>
        <v>24357.546300000002</v>
      </c>
      <c r="L7" s="159">
        <v>0</v>
      </c>
      <c r="M7" s="8">
        <f t="shared" si="3"/>
        <v>103615.223</v>
      </c>
      <c r="N7" s="50"/>
      <c r="O7" s="1"/>
    </row>
    <row r="8" spans="1:15">
      <c r="A8" s="52">
        <v>5</v>
      </c>
      <c r="B8" s="226">
        <v>45874</v>
      </c>
      <c r="C8" s="27"/>
      <c r="D8" s="27"/>
      <c r="E8" s="8">
        <v>181.37</v>
      </c>
      <c r="F8" s="8">
        <v>91.47</v>
      </c>
      <c r="G8" s="8">
        <f t="shared" si="0"/>
        <v>16589.9139</v>
      </c>
      <c r="H8" s="9">
        <v>0</v>
      </c>
      <c r="I8" s="9">
        <v>0</v>
      </c>
      <c r="J8" s="8">
        <f t="shared" si="1"/>
        <v>0</v>
      </c>
      <c r="K8" s="8">
        <f t="shared" si="2"/>
        <v>16589.9139</v>
      </c>
      <c r="L8" s="159">
        <v>0</v>
      </c>
      <c r="M8" s="8">
        <f t="shared" si="3"/>
        <v>120205.1369</v>
      </c>
      <c r="N8" s="50"/>
      <c r="O8" s="1"/>
    </row>
    <row r="9" spans="1:15">
      <c r="A9" s="52">
        <v>6</v>
      </c>
      <c r="B9" s="226">
        <v>45875</v>
      </c>
      <c r="C9" s="27"/>
      <c r="D9" s="27"/>
      <c r="E9" s="8">
        <v>107.89</v>
      </c>
      <c r="F9" s="8">
        <v>91.47</v>
      </c>
      <c r="G9" s="8">
        <f t="shared" si="0"/>
        <v>9868.6983</v>
      </c>
      <c r="H9" s="9">
        <v>8.8000000000000007</v>
      </c>
      <c r="I9" s="9">
        <v>103.4</v>
      </c>
      <c r="J9" s="8">
        <f t="shared" si="1"/>
        <v>909.92000000000007</v>
      </c>
      <c r="K9" s="8">
        <f t="shared" si="2"/>
        <v>10778.6183</v>
      </c>
      <c r="L9" s="159">
        <v>0</v>
      </c>
      <c r="M9" s="8">
        <f t="shared" si="3"/>
        <v>130983.7552</v>
      </c>
      <c r="N9" s="50"/>
      <c r="O9" s="1"/>
    </row>
    <row r="10" spans="1:15">
      <c r="A10" s="52">
        <v>7</v>
      </c>
      <c r="B10" s="226">
        <v>45876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9">
        <v>0</v>
      </c>
      <c r="M10" s="8">
        <f t="shared" si="3"/>
        <v>130983.7552</v>
      </c>
      <c r="N10" s="50"/>
      <c r="O10" s="1"/>
    </row>
    <row r="11" spans="1:15">
      <c r="A11" s="52">
        <v>8</v>
      </c>
      <c r="B11" s="226">
        <v>45877</v>
      </c>
      <c r="C11" s="27"/>
      <c r="D11" s="27"/>
      <c r="E11" s="8">
        <v>56.04</v>
      </c>
      <c r="F11" s="8">
        <v>91.47</v>
      </c>
      <c r="G11" s="8">
        <f t="shared" si="0"/>
        <v>5125.9787999999999</v>
      </c>
      <c r="H11" s="9">
        <v>0</v>
      </c>
      <c r="I11" s="9">
        <v>0</v>
      </c>
      <c r="J11" s="8">
        <f t="shared" si="1"/>
        <v>0</v>
      </c>
      <c r="K11" s="8">
        <f t="shared" si="2"/>
        <v>5125.9787999999999</v>
      </c>
      <c r="L11" s="159">
        <v>0</v>
      </c>
      <c r="M11" s="8">
        <f t="shared" si="3"/>
        <v>136109.734</v>
      </c>
      <c r="N11" s="50"/>
      <c r="O11" s="1"/>
    </row>
    <row r="12" spans="1:15">
      <c r="A12" s="52">
        <v>9</v>
      </c>
      <c r="B12" s="226">
        <v>45878</v>
      </c>
      <c r="C12" s="27"/>
      <c r="D12" s="27"/>
      <c r="E12" s="8">
        <v>201</v>
      </c>
      <c r="F12" s="8">
        <v>91.47</v>
      </c>
      <c r="G12" s="8">
        <f t="shared" si="0"/>
        <v>18385.47</v>
      </c>
      <c r="H12" s="9">
        <v>13.45</v>
      </c>
      <c r="I12" s="9">
        <v>103.4</v>
      </c>
      <c r="J12" s="8">
        <f t="shared" si="1"/>
        <v>1390.73</v>
      </c>
      <c r="K12" s="8">
        <f t="shared" si="2"/>
        <v>19776.2</v>
      </c>
      <c r="L12" s="159">
        <v>0</v>
      </c>
      <c r="M12" s="8">
        <f t="shared" si="3"/>
        <v>155885.93400000001</v>
      </c>
      <c r="N12" s="50"/>
      <c r="O12" s="1" t="s">
        <v>116</v>
      </c>
    </row>
    <row r="13" spans="1:15">
      <c r="A13" s="52">
        <v>10</v>
      </c>
      <c r="B13" s="226">
        <v>45879</v>
      </c>
      <c r="C13" s="27"/>
      <c r="D13" s="27"/>
      <c r="E13" s="8">
        <v>25.01</v>
      </c>
      <c r="F13" s="8">
        <v>91.47</v>
      </c>
      <c r="G13" s="8">
        <f t="shared" si="0"/>
        <v>2287.6647000000003</v>
      </c>
      <c r="H13" s="9">
        <v>0</v>
      </c>
      <c r="I13" s="9">
        <v>0</v>
      </c>
      <c r="J13" s="8">
        <f t="shared" si="1"/>
        <v>0</v>
      </c>
      <c r="K13" s="8">
        <f t="shared" si="2"/>
        <v>2287.6647000000003</v>
      </c>
      <c r="L13" s="159">
        <v>0</v>
      </c>
      <c r="M13" s="8">
        <f t="shared" si="3"/>
        <v>158173.5987</v>
      </c>
      <c r="N13" s="50"/>
      <c r="O13" s="1"/>
    </row>
    <row r="14" spans="1:15">
      <c r="A14" s="52">
        <v>11</v>
      </c>
      <c r="B14" s="226">
        <v>45880</v>
      </c>
      <c r="C14" s="27"/>
      <c r="D14" s="27"/>
      <c r="E14" s="8">
        <v>20</v>
      </c>
      <c r="F14" s="8">
        <v>91.47</v>
      </c>
      <c r="G14" s="8">
        <f t="shared" si="0"/>
        <v>1829.4</v>
      </c>
      <c r="H14" s="9">
        <v>13.57</v>
      </c>
      <c r="I14" s="9">
        <v>103.4</v>
      </c>
      <c r="J14" s="8">
        <f t="shared" si="1"/>
        <v>1403.1380000000001</v>
      </c>
      <c r="K14" s="8">
        <f t="shared" si="2"/>
        <v>3232.5380000000005</v>
      </c>
      <c r="L14" s="159">
        <v>100000</v>
      </c>
      <c r="M14" s="8">
        <f t="shared" si="3"/>
        <v>61406.136700000003</v>
      </c>
      <c r="N14" s="50"/>
      <c r="O14" s="1"/>
    </row>
    <row r="15" spans="1:15">
      <c r="A15" s="52">
        <v>12</v>
      </c>
      <c r="B15" s="226">
        <v>45881</v>
      </c>
      <c r="C15" s="27"/>
      <c r="D15" s="27"/>
      <c r="E15" s="8">
        <v>215</v>
      </c>
      <c r="F15" s="8">
        <v>91.47</v>
      </c>
      <c r="G15" s="8">
        <f t="shared" si="0"/>
        <v>19666.05</v>
      </c>
      <c r="H15" s="9">
        <v>0</v>
      </c>
      <c r="I15" s="9">
        <v>0</v>
      </c>
      <c r="J15" s="8">
        <f t="shared" si="1"/>
        <v>0</v>
      </c>
      <c r="K15" s="8">
        <f t="shared" si="2"/>
        <v>19666.05</v>
      </c>
      <c r="L15" s="159">
        <v>0</v>
      </c>
      <c r="M15" s="8">
        <f t="shared" si="3"/>
        <v>81072.186700000006</v>
      </c>
      <c r="N15" s="50"/>
      <c r="O15" s="1"/>
    </row>
    <row r="16" spans="1:15">
      <c r="A16" s="52">
        <v>13</v>
      </c>
      <c r="B16" s="226">
        <v>45882</v>
      </c>
      <c r="C16" s="27"/>
      <c r="D16" s="27"/>
      <c r="E16" s="8">
        <v>119.49</v>
      </c>
      <c r="F16" s="8">
        <v>91.47</v>
      </c>
      <c r="G16" s="8">
        <f t="shared" si="0"/>
        <v>10929.7503</v>
      </c>
      <c r="H16" s="9">
        <v>17.059999999999999</v>
      </c>
      <c r="I16" s="9">
        <v>103.4</v>
      </c>
      <c r="J16" s="8">
        <f t="shared" si="1"/>
        <v>1764.0039999999999</v>
      </c>
      <c r="K16" s="8">
        <f t="shared" si="2"/>
        <v>12693.754300000001</v>
      </c>
      <c r="L16" s="159">
        <v>0</v>
      </c>
      <c r="M16" s="8">
        <f>M15+K16-L16</f>
        <v>93765.941000000006</v>
      </c>
      <c r="N16" s="50"/>
      <c r="O16" s="1"/>
    </row>
    <row r="17" spans="1:15">
      <c r="A17" s="52">
        <v>14</v>
      </c>
      <c r="B17" s="226">
        <v>45883</v>
      </c>
      <c r="C17" s="27"/>
      <c r="D17" s="27"/>
      <c r="E17" s="387">
        <v>40.01</v>
      </c>
      <c r="F17" s="317">
        <v>91.47</v>
      </c>
      <c r="G17" s="8">
        <f t="shared" si="0"/>
        <v>3659.7147</v>
      </c>
      <c r="H17" s="9">
        <v>0</v>
      </c>
      <c r="I17" s="9">
        <v>0</v>
      </c>
      <c r="J17" s="8">
        <f t="shared" si="1"/>
        <v>0</v>
      </c>
      <c r="K17" s="8">
        <f t="shared" si="2"/>
        <v>3659.7147</v>
      </c>
      <c r="L17" s="159">
        <v>0</v>
      </c>
      <c r="M17" s="8">
        <f>M16+K17-L17</f>
        <v>97425.655700000003</v>
      </c>
      <c r="N17" s="50"/>
      <c r="O17" s="1"/>
    </row>
    <row r="18" spans="1:15">
      <c r="A18" s="52">
        <v>15</v>
      </c>
      <c r="B18" s="226">
        <v>45884</v>
      </c>
      <c r="C18" s="27"/>
      <c r="D18" s="27"/>
      <c r="E18" s="387">
        <v>50</v>
      </c>
      <c r="F18" s="317">
        <v>91.47</v>
      </c>
      <c r="G18" s="8">
        <f t="shared" si="0"/>
        <v>4573.5</v>
      </c>
      <c r="H18" s="9">
        <v>0</v>
      </c>
      <c r="I18" s="9">
        <v>0</v>
      </c>
      <c r="J18" s="8">
        <f t="shared" si="1"/>
        <v>0</v>
      </c>
      <c r="K18" s="8">
        <f t="shared" si="2"/>
        <v>4573.5</v>
      </c>
      <c r="L18" s="159">
        <v>0</v>
      </c>
      <c r="M18" s="8">
        <f t="shared" si="3"/>
        <v>101999.1557</v>
      </c>
      <c r="N18" s="50"/>
      <c r="O18" s="1"/>
    </row>
    <row r="19" spans="1:15">
      <c r="A19" s="52">
        <v>16</v>
      </c>
      <c r="B19" s="226">
        <v>45885</v>
      </c>
      <c r="C19" s="27"/>
      <c r="D19" s="27"/>
      <c r="E19" s="388">
        <v>88.73</v>
      </c>
      <c r="F19" s="317">
        <v>91.47</v>
      </c>
      <c r="G19" s="8">
        <f t="shared" si="0"/>
        <v>8116.1331</v>
      </c>
      <c r="H19" s="9">
        <v>0</v>
      </c>
      <c r="I19" s="9">
        <v>0</v>
      </c>
      <c r="J19" s="8">
        <f t="shared" si="1"/>
        <v>0</v>
      </c>
      <c r="K19" s="8">
        <f t="shared" si="2"/>
        <v>8116.1331</v>
      </c>
      <c r="L19" s="159">
        <v>0</v>
      </c>
      <c r="M19" s="8">
        <f t="shared" si="3"/>
        <v>110115.28880000001</v>
      </c>
      <c r="N19" s="50"/>
      <c r="O19" s="1"/>
    </row>
    <row r="20" spans="1:15">
      <c r="A20" s="52">
        <v>17</v>
      </c>
      <c r="B20" s="226">
        <v>45886</v>
      </c>
      <c r="C20" s="27"/>
      <c r="D20" s="27"/>
      <c r="E20" s="317">
        <v>49</v>
      </c>
      <c r="F20" s="389">
        <v>90.6</v>
      </c>
      <c r="G20" s="8">
        <f t="shared" si="0"/>
        <v>4439.3999999999996</v>
      </c>
      <c r="H20" s="9">
        <v>0</v>
      </c>
      <c r="I20" s="9">
        <v>0</v>
      </c>
      <c r="J20" s="8">
        <f t="shared" si="1"/>
        <v>0</v>
      </c>
      <c r="K20" s="8">
        <f t="shared" si="2"/>
        <v>4439.3999999999996</v>
      </c>
      <c r="L20" s="8">
        <f t="shared" si="2"/>
        <v>4439.3999999999996</v>
      </c>
      <c r="M20" s="8">
        <f t="shared" si="3"/>
        <v>110115.28880000001</v>
      </c>
      <c r="N20" s="50"/>
      <c r="O20" s="1"/>
    </row>
    <row r="21" spans="1:15">
      <c r="A21" s="52">
        <v>18</v>
      </c>
      <c r="B21" s="226">
        <v>45887</v>
      </c>
      <c r="C21" s="27"/>
      <c r="D21" s="27"/>
      <c r="E21" s="8">
        <v>46.01</v>
      </c>
      <c r="F21" s="389">
        <v>90.6</v>
      </c>
      <c r="G21" s="8">
        <f t="shared" si="0"/>
        <v>4168.5059999999994</v>
      </c>
      <c r="H21" s="9">
        <v>0</v>
      </c>
      <c r="I21" s="9">
        <v>0</v>
      </c>
      <c r="J21" s="8">
        <f t="shared" si="1"/>
        <v>0</v>
      </c>
      <c r="K21" s="8">
        <f t="shared" si="2"/>
        <v>4168.5059999999994</v>
      </c>
      <c r="L21" s="159">
        <v>4168.51</v>
      </c>
      <c r="M21" s="8">
        <f>M20+K21-L21</f>
        <v>110115.28480000001</v>
      </c>
      <c r="N21" s="50"/>
      <c r="O21" s="1"/>
    </row>
    <row r="22" spans="1:15">
      <c r="A22" s="52">
        <v>19</v>
      </c>
      <c r="B22" s="226">
        <v>45888</v>
      </c>
      <c r="C22" s="27"/>
      <c r="D22" s="27"/>
      <c r="E22" s="8">
        <v>140</v>
      </c>
      <c r="F22" s="8">
        <v>91.47</v>
      </c>
      <c r="G22" s="8">
        <f t="shared" si="0"/>
        <v>12805.8</v>
      </c>
      <c r="H22" s="9">
        <v>0</v>
      </c>
      <c r="I22" s="9">
        <v>0</v>
      </c>
      <c r="J22" s="8">
        <f t="shared" si="1"/>
        <v>0</v>
      </c>
      <c r="K22" s="8">
        <f t="shared" si="2"/>
        <v>12805.8</v>
      </c>
      <c r="L22" s="159">
        <v>0</v>
      </c>
      <c r="M22" s="8">
        <f t="shared" si="3"/>
        <v>122921.08480000001</v>
      </c>
      <c r="N22" s="50"/>
      <c r="O22" s="1"/>
    </row>
    <row r="23" spans="1:15">
      <c r="A23" s="52">
        <v>20</v>
      </c>
      <c r="B23" s="226">
        <v>45889</v>
      </c>
      <c r="C23" s="27"/>
      <c r="D23" s="27"/>
      <c r="E23" s="8">
        <v>50</v>
      </c>
      <c r="F23" s="8">
        <v>91.47</v>
      </c>
      <c r="G23" s="8">
        <f t="shared" si="0"/>
        <v>4573.5</v>
      </c>
      <c r="H23" s="9">
        <v>0</v>
      </c>
      <c r="I23" s="9">
        <v>0</v>
      </c>
      <c r="J23" s="8">
        <f t="shared" si="1"/>
        <v>0</v>
      </c>
      <c r="K23" s="8">
        <f t="shared" si="2"/>
        <v>4573.5</v>
      </c>
      <c r="L23" s="159">
        <v>0</v>
      </c>
      <c r="M23" s="8">
        <f t="shared" si="3"/>
        <v>127494.58480000001</v>
      </c>
      <c r="N23" s="50"/>
      <c r="O23" s="1"/>
    </row>
    <row r="24" spans="1:15">
      <c r="A24" s="52">
        <v>21</v>
      </c>
      <c r="B24" s="226">
        <v>45890</v>
      </c>
      <c r="C24" s="27"/>
      <c r="D24" s="27"/>
      <c r="E24" s="8">
        <v>50</v>
      </c>
      <c r="F24" s="8">
        <v>91.47</v>
      </c>
      <c r="G24" s="8">
        <f t="shared" si="0"/>
        <v>4573.5</v>
      </c>
      <c r="H24" s="9">
        <v>7.01</v>
      </c>
      <c r="I24" s="9">
        <v>103.4</v>
      </c>
      <c r="J24" s="8">
        <f t="shared" si="1"/>
        <v>724.83400000000006</v>
      </c>
      <c r="K24" s="8">
        <f t="shared" si="2"/>
        <v>5298.3339999999998</v>
      </c>
      <c r="L24" s="159">
        <v>0</v>
      </c>
      <c r="M24" s="8">
        <f t="shared" si="3"/>
        <v>132792.91880000001</v>
      </c>
      <c r="N24" s="50"/>
      <c r="O24" s="1"/>
    </row>
    <row r="25" spans="1:15">
      <c r="A25" s="52">
        <v>22</v>
      </c>
      <c r="B25" s="226">
        <v>45891</v>
      </c>
      <c r="C25" s="27"/>
      <c r="D25" s="27"/>
      <c r="E25" s="8">
        <v>200</v>
      </c>
      <c r="F25" s="8">
        <v>91.47</v>
      </c>
      <c r="G25" s="8">
        <f t="shared" si="0"/>
        <v>18294</v>
      </c>
      <c r="H25" s="9">
        <v>0</v>
      </c>
      <c r="I25" s="9">
        <v>0</v>
      </c>
      <c r="J25" s="8">
        <f t="shared" si="1"/>
        <v>0</v>
      </c>
      <c r="K25" s="8">
        <f t="shared" si="2"/>
        <v>18294</v>
      </c>
      <c r="L25" s="159">
        <v>0</v>
      </c>
      <c r="M25" s="8">
        <f t="shared" si="3"/>
        <v>151086.91880000001</v>
      </c>
      <c r="N25" s="50"/>
      <c r="O25" s="1"/>
    </row>
    <row r="26" spans="1:15">
      <c r="A26" s="52">
        <v>23</v>
      </c>
      <c r="B26" s="226">
        <v>45892</v>
      </c>
      <c r="C26" s="27"/>
      <c r="D26" s="27"/>
      <c r="E26" s="8">
        <v>0</v>
      </c>
      <c r="F26" s="8">
        <v>0</v>
      </c>
      <c r="G26" s="8">
        <f t="shared" si="0"/>
        <v>0</v>
      </c>
      <c r="H26" s="9">
        <v>7.37</v>
      </c>
      <c r="I26" s="9">
        <v>103.4</v>
      </c>
      <c r="J26" s="8">
        <f t="shared" si="1"/>
        <v>762.05800000000011</v>
      </c>
      <c r="K26" s="8">
        <f t="shared" si="2"/>
        <v>762.05800000000011</v>
      </c>
      <c r="L26" s="159">
        <v>0</v>
      </c>
      <c r="M26" s="8">
        <f t="shared" si="3"/>
        <v>151848.9768</v>
      </c>
      <c r="N26" s="50"/>
      <c r="O26" s="1"/>
    </row>
    <row r="27" spans="1:15">
      <c r="A27" s="52">
        <v>24</v>
      </c>
      <c r="B27" s="226">
        <v>45893</v>
      </c>
      <c r="C27" s="27"/>
      <c r="D27" s="27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9">
        <v>0</v>
      </c>
      <c r="M27" s="8">
        <f t="shared" si="3"/>
        <v>151848.9768</v>
      </c>
      <c r="N27" s="50"/>
      <c r="O27" s="1"/>
    </row>
    <row r="28" spans="1:15">
      <c r="A28" s="52">
        <v>25</v>
      </c>
      <c r="B28" s="226">
        <v>45894</v>
      </c>
      <c r="C28" s="27"/>
      <c r="D28" s="27"/>
      <c r="E28" s="8">
        <v>136.07</v>
      </c>
      <c r="F28" s="8">
        <v>91.47</v>
      </c>
      <c r="G28" s="8">
        <f t="shared" si="0"/>
        <v>12446.322899999999</v>
      </c>
      <c r="H28" s="9">
        <v>12.9</v>
      </c>
      <c r="I28" s="9">
        <v>103.4</v>
      </c>
      <c r="J28" s="8">
        <f t="shared" si="1"/>
        <v>1333.8600000000001</v>
      </c>
      <c r="K28" s="8">
        <f t="shared" si="2"/>
        <v>13780.1829</v>
      </c>
      <c r="L28" s="159">
        <v>0</v>
      </c>
      <c r="M28" s="8">
        <f t="shared" si="3"/>
        <v>165629.15970000002</v>
      </c>
      <c r="N28" s="50"/>
      <c r="O28" s="1"/>
    </row>
    <row r="29" spans="1:15">
      <c r="A29" s="52">
        <v>26</v>
      </c>
      <c r="B29" s="226">
        <v>45895</v>
      </c>
      <c r="C29" s="27"/>
      <c r="D29" s="27"/>
      <c r="E29" s="8">
        <v>0</v>
      </c>
      <c r="F29" s="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59">
        <v>0</v>
      </c>
      <c r="M29" s="8">
        <f t="shared" si="3"/>
        <v>165629.15970000002</v>
      </c>
      <c r="N29" s="50"/>
      <c r="O29" s="1"/>
    </row>
    <row r="30" spans="1:15">
      <c r="A30" s="52">
        <v>27</v>
      </c>
      <c r="B30" s="226">
        <v>45896</v>
      </c>
      <c r="C30" s="27"/>
      <c r="D30" s="27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59">
        <v>0</v>
      </c>
      <c r="M30" s="8">
        <f t="shared" si="3"/>
        <v>165629.15970000002</v>
      </c>
      <c r="N30" s="50"/>
      <c r="O30" s="1"/>
    </row>
    <row r="31" spans="1:15">
      <c r="A31" s="52">
        <v>28</v>
      </c>
      <c r="B31" s="226">
        <v>45897</v>
      </c>
      <c r="C31" s="27"/>
      <c r="D31" s="27"/>
      <c r="E31" s="8">
        <v>138.5</v>
      </c>
      <c r="F31" s="8">
        <v>91.47</v>
      </c>
      <c r="G31" s="8">
        <f t="shared" si="0"/>
        <v>12668.594999999999</v>
      </c>
      <c r="H31" s="9">
        <v>0</v>
      </c>
      <c r="I31" s="9">
        <v>0</v>
      </c>
      <c r="J31" s="8">
        <f t="shared" si="1"/>
        <v>0</v>
      </c>
      <c r="K31" s="8">
        <f t="shared" si="2"/>
        <v>12668.594999999999</v>
      </c>
      <c r="L31" s="159">
        <v>12668.6</v>
      </c>
      <c r="M31" s="276">
        <f t="shared" si="3"/>
        <v>165629.15470000001</v>
      </c>
      <c r="N31" s="50"/>
      <c r="O31" s="1"/>
    </row>
    <row r="32" spans="1:15">
      <c r="A32" s="221">
        <v>29</v>
      </c>
      <c r="B32" s="226">
        <v>45898</v>
      </c>
      <c r="C32" s="27"/>
      <c r="D32" s="27"/>
      <c r="E32" s="8">
        <v>57.94</v>
      </c>
      <c r="F32" s="8">
        <v>91.47</v>
      </c>
      <c r="G32" s="8">
        <f t="shared" si="0"/>
        <v>5299.7717999999995</v>
      </c>
      <c r="H32" s="9">
        <v>6</v>
      </c>
      <c r="I32" s="9">
        <v>103.4</v>
      </c>
      <c r="J32" s="8">
        <f t="shared" si="1"/>
        <v>620.40000000000009</v>
      </c>
      <c r="K32" s="8">
        <f t="shared" si="2"/>
        <v>5920.1718000000001</v>
      </c>
      <c r="L32" s="159">
        <v>5920.17</v>
      </c>
      <c r="M32" s="276">
        <f t="shared" si="3"/>
        <v>165629.15650000001</v>
      </c>
      <c r="N32" s="50"/>
      <c r="O32" s="1"/>
    </row>
    <row r="33" spans="1:15">
      <c r="A33" s="221">
        <v>30</v>
      </c>
      <c r="B33" s="226">
        <v>45899</v>
      </c>
      <c r="C33" s="27"/>
      <c r="D33" s="27"/>
      <c r="E33" s="396">
        <v>30</v>
      </c>
      <c r="F33" s="8">
        <v>91.47</v>
      </c>
      <c r="G33" s="8">
        <f t="shared" si="0"/>
        <v>2744.1</v>
      </c>
      <c r="H33" s="9">
        <v>0</v>
      </c>
      <c r="I33" s="9">
        <v>0</v>
      </c>
      <c r="J33" s="8">
        <f t="shared" si="1"/>
        <v>0</v>
      </c>
      <c r="K33" s="8">
        <f t="shared" si="2"/>
        <v>2744.1</v>
      </c>
      <c r="L33" s="159">
        <v>2744.1</v>
      </c>
      <c r="M33" s="276">
        <f t="shared" si="3"/>
        <v>165629.15650000001</v>
      </c>
      <c r="N33" s="50"/>
      <c r="O33" s="1"/>
    </row>
    <row r="34" spans="1:15">
      <c r="A34" s="221">
        <v>31</v>
      </c>
      <c r="B34" s="226">
        <v>45900</v>
      </c>
      <c r="C34" s="27"/>
      <c r="D34" s="27"/>
      <c r="E34" s="396">
        <v>10</v>
      </c>
      <c r="F34" s="8">
        <v>91.47</v>
      </c>
      <c r="G34" s="8">
        <f t="shared" ref="G5:G34" si="4">E34*F34</f>
        <v>914.7</v>
      </c>
      <c r="H34" s="9">
        <v>0</v>
      </c>
      <c r="I34" s="9">
        <v>0</v>
      </c>
      <c r="J34" s="8">
        <f t="shared" ref="J5:J34" si="5">H34*I34</f>
        <v>0</v>
      </c>
      <c r="K34" s="8">
        <f t="shared" ref="K5:K34" si="6">G34+J34</f>
        <v>914.7</v>
      </c>
      <c r="L34" s="159">
        <v>0</v>
      </c>
      <c r="M34" s="276">
        <f t="shared" si="3"/>
        <v>166543.85650000002</v>
      </c>
      <c r="N34" s="50"/>
      <c r="O34" s="1"/>
    </row>
    <row r="35" spans="1:15">
      <c r="A35" s="70"/>
      <c r="B35" s="70"/>
      <c r="C35" s="70"/>
      <c r="D35" s="70"/>
      <c r="E35" s="71">
        <f>SUM(E4:E34)</f>
        <v>2742.88</v>
      </c>
      <c r="F35" s="71"/>
      <c r="G35" s="71">
        <f>SUM(G4:G34)</f>
        <v>250808.57489999998</v>
      </c>
      <c r="H35" s="71">
        <f>SUM(H4:H34)</f>
        <v>98.160000000000011</v>
      </c>
      <c r="I35" s="71"/>
      <c r="J35" s="71">
        <f>SUM(J4:J34)</f>
        <v>10149.744000000001</v>
      </c>
      <c r="K35" s="71">
        <f>SUM(K4:K34)</f>
        <v>260958.31890000001</v>
      </c>
      <c r="L35" s="71">
        <f>SUM(L4:L34)</f>
        <v>129940.78</v>
      </c>
      <c r="M35" s="71"/>
      <c r="N35" s="71"/>
      <c r="O35" s="67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06"/>
      <c r="C38" s="406"/>
      <c r="D38" s="406"/>
      <c r="E38" s="406"/>
      <c r="F38" s="1"/>
      <c r="G38" s="1"/>
      <c r="H38" s="1"/>
      <c r="I38" s="429">
        <f>K24+L24</f>
        <v>5298.3339999999998</v>
      </c>
      <c r="J38" s="406"/>
      <c r="K38" s="406"/>
      <c r="L38" s="406"/>
      <c r="M38" s="406"/>
      <c r="N38" s="406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O49"/>
  <sheetViews>
    <sheetView workbookViewId="0">
      <selection activeCell="L34" sqref="L34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9" width="10.8554687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9.42578125" customWidth="1"/>
  </cols>
  <sheetData>
    <row r="1" spans="1:15" ht="15.75">
      <c r="A1" s="409" t="s">
        <v>66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61"/>
    </row>
    <row r="2" spans="1:15" ht="30.75">
      <c r="A2" s="72" t="s">
        <v>94</v>
      </c>
      <c r="B2" s="92" t="s">
        <v>95</v>
      </c>
      <c r="C2" s="92" t="s">
        <v>96</v>
      </c>
      <c r="D2" s="92" t="s">
        <v>97</v>
      </c>
      <c r="E2" s="92" t="s">
        <v>98</v>
      </c>
      <c r="F2" s="92" t="s">
        <v>99</v>
      </c>
      <c r="G2" s="92" t="s">
        <v>100</v>
      </c>
      <c r="H2" s="92" t="s">
        <v>101</v>
      </c>
      <c r="I2" s="92" t="s">
        <v>99</v>
      </c>
      <c r="J2" s="93" t="s">
        <v>100</v>
      </c>
      <c r="K2" s="72" t="s">
        <v>102</v>
      </c>
      <c r="L2" s="94" t="s">
        <v>103</v>
      </c>
      <c r="M2" s="178" t="s">
        <v>110</v>
      </c>
      <c r="N2" s="92" t="s">
        <v>105</v>
      </c>
      <c r="O2" s="67"/>
    </row>
    <row r="3" spans="1:15">
      <c r="A3" s="156"/>
      <c r="B3" s="157"/>
      <c r="C3" s="157"/>
      <c r="D3" s="142" t="s">
        <v>106</v>
      </c>
      <c r="E3" s="157"/>
      <c r="F3" s="157"/>
      <c r="G3" s="157"/>
      <c r="H3" s="157"/>
      <c r="I3" s="157"/>
      <c r="J3" s="158"/>
      <c r="K3" s="156">
        <v>0</v>
      </c>
      <c r="L3" s="159">
        <v>0</v>
      </c>
      <c r="M3" s="159">
        <f>+K3</f>
        <v>0</v>
      </c>
      <c r="N3" s="157"/>
      <c r="O3" s="67"/>
    </row>
    <row r="4" spans="1:15">
      <c r="A4" s="52">
        <v>1</v>
      </c>
      <c r="B4" s="226">
        <v>45870</v>
      </c>
      <c r="C4" s="27"/>
      <c r="D4" s="27"/>
      <c r="E4" s="317">
        <v>89</v>
      </c>
      <c r="F4" s="317">
        <v>91.8</v>
      </c>
      <c r="G4" s="8">
        <f>E4*F4</f>
        <v>8170.2</v>
      </c>
      <c r="H4" s="9">
        <v>10</v>
      </c>
      <c r="I4" s="9">
        <v>103.76</v>
      </c>
      <c r="J4" s="8">
        <f>H4*I4</f>
        <v>1037.6000000000001</v>
      </c>
      <c r="K4" s="8">
        <f>G4+J4</f>
        <v>9207.7999999999993</v>
      </c>
      <c r="L4" s="159">
        <v>9207.7999999999993</v>
      </c>
      <c r="M4" s="8">
        <f>M3+K4-L4</f>
        <v>0</v>
      </c>
      <c r="N4" s="50"/>
      <c r="O4" s="1"/>
    </row>
    <row r="5" spans="1:15">
      <c r="A5" s="52">
        <v>2</v>
      </c>
      <c r="B5" s="226">
        <v>45871</v>
      </c>
      <c r="C5" s="27"/>
      <c r="D5" s="27"/>
      <c r="E5" s="8">
        <v>55</v>
      </c>
      <c r="F5" s="317">
        <v>91.8</v>
      </c>
      <c r="G5" s="8">
        <f t="shared" ref="G5:G34" si="0">E5*F5</f>
        <v>5049</v>
      </c>
      <c r="H5" s="9">
        <v>0</v>
      </c>
      <c r="I5" s="9">
        <v>0</v>
      </c>
      <c r="J5" s="8">
        <f t="shared" ref="J5:J34" si="1">H5*I5</f>
        <v>0</v>
      </c>
      <c r="K5" s="8">
        <f t="shared" ref="K5:L34" si="2">G5+J5</f>
        <v>5049</v>
      </c>
      <c r="L5" s="8">
        <f t="shared" si="2"/>
        <v>5049</v>
      </c>
      <c r="M5" s="8">
        <f t="shared" ref="M5:M8" si="3">M4+K5-L5</f>
        <v>0</v>
      </c>
      <c r="N5" s="50"/>
      <c r="O5" s="1"/>
    </row>
    <row r="6" spans="1:15">
      <c r="A6" s="52">
        <v>3</v>
      </c>
      <c r="B6" s="226">
        <v>45872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9">
        <v>0</v>
      </c>
      <c r="M6" s="8">
        <f t="shared" si="3"/>
        <v>0</v>
      </c>
      <c r="N6" s="50"/>
      <c r="O6" s="1"/>
    </row>
    <row r="7" spans="1:15">
      <c r="A7" s="52">
        <v>4</v>
      </c>
      <c r="B7" s="226">
        <v>45873</v>
      </c>
      <c r="C7" s="27"/>
      <c r="D7" s="27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59">
        <v>0</v>
      </c>
      <c r="M7" s="8">
        <f t="shared" si="3"/>
        <v>0</v>
      </c>
      <c r="N7" s="50"/>
      <c r="O7" s="1"/>
    </row>
    <row r="8" spans="1:15">
      <c r="A8" s="52">
        <v>5</v>
      </c>
      <c r="B8" s="226">
        <v>45874</v>
      </c>
      <c r="C8" s="27"/>
      <c r="D8" s="27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59">
        <v>0</v>
      </c>
      <c r="M8" s="8">
        <f t="shared" si="3"/>
        <v>0</v>
      </c>
      <c r="N8" s="50"/>
      <c r="O8" s="1"/>
    </row>
    <row r="9" spans="1:15">
      <c r="A9" s="52">
        <v>6</v>
      </c>
      <c r="B9" s="226">
        <v>45875</v>
      </c>
      <c r="C9" s="27"/>
      <c r="D9" s="27"/>
      <c r="E9" s="8">
        <v>120</v>
      </c>
      <c r="F9" s="8">
        <v>91.8</v>
      </c>
      <c r="G9" s="8">
        <f t="shared" si="0"/>
        <v>11016</v>
      </c>
      <c r="H9" s="9">
        <v>0</v>
      </c>
      <c r="I9" s="9">
        <v>0</v>
      </c>
      <c r="J9" s="8">
        <f t="shared" si="1"/>
        <v>0</v>
      </c>
      <c r="K9" s="8">
        <f t="shared" si="2"/>
        <v>11016</v>
      </c>
      <c r="L9" s="159">
        <v>11016</v>
      </c>
      <c r="M9" s="8">
        <f t="shared" ref="M9:M33" si="4">M8+K9-L9</f>
        <v>0</v>
      </c>
      <c r="N9" s="50"/>
      <c r="O9" s="1"/>
    </row>
    <row r="10" spans="1:15">
      <c r="A10" s="52">
        <v>7</v>
      </c>
      <c r="B10" s="226">
        <v>45876</v>
      </c>
      <c r="C10" s="27"/>
      <c r="D10" s="27"/>
      <c r="E10" s="8">
        <v>95</v>
      </c>
      <c r="F10" s="8">
        <v>91.8</v>
      </c>
      <c r="G10" s="8">
        <f t="shared" si="0"/>
        <v>8721</v>
      </c>
      <c r="H10" s="9">
        <v>15</v>
      </c>
      <c r="I10" s="9">
        <v>103.76</v>
      </c>
      <c r="J10" s="8">
        <f t="shared" si="1"/>
        <v>1556.4</v>
      </c>
      <c r="K10" s="8">
        <f t="shared" si="2"/>
        <v>10277.4</v>
      </c>
      <c r="L10" s="159">
        <v>10277.4</v>
      </c>
      <c r="M10" s="8">
        <f t="shared" si="4"/>
        <v>0</v>
      </c>
      <c r="N10" s="50"/>
      <c r="O10" s="1"/>
    </row>
    <row r="11" spans="1:15">
      <c r="A11" s="52">
        <v>8</v>
      </c>
      <c r="B11" s="226">
        <v>45877</v>
      </c>
      <c r="C11" s="27"/>
      <c r="D11" s="27"/>
      <c r="E11" s="8">
        <v>95</v>
      </c>
      <c r="F11" s="8">
        <v>91.8</v>
      </c>
      <c r="G11" s="8">
        <f t="shared" si="0"/>
        <v>8721</v>
      </c>
      <c r="H11" s="9">
        <v>0</v>
      </c>
      <c r="I11" s="9">
        <v>0</v>
      </c>
      <c r="J11" s="8">
        <f t="shared" si="1"/>
        <v>0</v>
      </c>
      <c r="K11" s="8">
        <f t="shared" si="2"/>
        <v>8721</v>
      </c>
      <c r="L11" s="8">
        <f t="shared" si="2"/>
        <v>8721</v>
      </c>
      <c r="M11" s="8">
        <f t="shared" si="4"/>
        <v>0</v>
      </c>
      <c r="N11" s="50"/>
      <c r="O11" s="1"/>
    </row>
    <row r="12" spans="1:15">
      <c r="A12" s="52">
        <v>9</v>
      </c>
      <c r="B12" s="226">
        <v>45878</v>
      </c>
      <c r="C12" s="27"/>
      <c r="D12" s="27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9">
        <v>0</v>
      </c>
      <c r="M12" s="8">
        <f t="shared" si="4"/>
        <v>0</v>
      </c>
      <c r="N12" s="50"/>
      <c r="O12" s="1" t="s">
        <v>116</v>
      </c>
    </row>
    <row r="13" spans="1:15">
      <c r="A13" s="52">
        <v>10</v>
      </c>
      <c r="B13" s="226">
        <v>45879</v>
      </c>
      <c r="C13" s="27"/>
      <c r="D13" s="27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59">
        <v>0</v>
      </c>
      <c r="M13" s="8">
        <f t="shared" si="4"/>
        <v>0</v>
      </c>
      <c r="N13" s="50"/>
      <c r="O13" s="1"/>
    </row>
    <row r="14" spans="1:15">
      <c r="A14" s="52">
        <v>11</v>
      </c>
      <c r="B14" s="226">
        <v>45880</v>
      </c>
      <c r="C14" s="27"/>
      <c r="D14" s="27"/>
      <c r="E14" s="8">
        <v>50</v>
      </c>
      <c r="F14" s="8">
        <v>91.8</v>
      </c>
      <c r="G14" s="8">
        <f t="shared" si="0"/>
        <v>4590</v>
      </c>
      <c r="H14" s="9">
        <v>6</v>
      </c>
      <c r="I14" s="9">
        <v>103.76</v>
      </c>
      <c r="J14" s="8">
        <f t="shared" si="1"/>
        <v>622.56000000000006</v>
      </c>
      <c r="K14" s="8">
        <f t="shared" si="2"/>
        <v>5212.5600000000004</v>
      </c>
      <c r="L14" s="8">
        <v>5212.5600000000004</v>
      </c>
      <c r="M14" s="8">
        <f t="shared" si="4"/>
        <v>0</v>
      </c>
      <c r="N14" s="50"/>
      <c r="O14" s="1"/>
    </row>
    <row r="15" spans="1:15">
      <c r="A15" s="52">
        <v>12</v>
      </c>
      <c r="B15" s="226">
        <v>45881</v>
      </c>
      <c r="C15" s="27"/>
      <c r="D15" s="27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59">
        <v>0</v>
      </c>
      <c r="M15" s="8">
        <f t="shared" si="4"/>
        <v>0</v>
      </c>
      <c r="N15" s="50"/>
      <c r="O15" s="1"/>
    </row>
    <row r="16" spans="1:15">
      <c r="A16" s="52">
        <v>13</v>
      </c>
      <c r="B16" s="226">
        <v>45882</v>
      </c>
      <c r="C16" s="27"/>
      <c r="D16" s="27"/>
      <c r="E16" s="8">
        <v>95</v>
      </c>
      <c r="F16" s="8">
        <v>91.8</v>
      </c>
      <c r="G16" s="8">
        <f t="shared" si="0"/>
        <v>8721</v>
      </c>
      <c r="H16" s="9">
        <v>5</v>
      </c>
      <c r="I16" s="9">
        <v>103.76</v>
      </c>
      <c r="J16" s="8">
        <f t="shared" si="1"/>
        <v>518.80000000000007</v>
      </c>
      <c r="K16" s="8">
        <f t="shared" si="2"/>
        <v>9239.7999999999993</v>
      </c>
      <c r="L16" s="8">
        <v>9239.7999999999993</v>
      </c>
      <c r="M16" s="8">
        <f t="shared" si="4"/>
        <v>0</v>
      </c>
      <c r="N16" s="50"/>
      <c r="O16" s="1"/>
    </row>
    <row r="17" spans="1:15">
      <c r="A17" s="52">
        <v>14</v>
      </c>
      <c r="B17" s="226">
        <v>45883</v>
      </c>
      <c r="C17" s="27"/>
      <c r="D17" s="27"/>
      <c r="E17" s="8">
        <v>35</v>
      </c>
      <c r="F17" s="8">
        <v>91.8</v>
      </c>
      <c r="G17" s="8">
        <f t="shared" si="0"/>
        <v>3213</v>
      </c>
      <c r="H17" s="9">
        <v>0</v>
      </c>
      <c r="I17" s="9">
        <v>103.76</v>
      </c>
      <c r="J17" s="8">
        <f t="shared" si="1"/>
        <v>0</v>
      </c>
      <c r="K17" s="8">
        <f t="shared" si="2"/>
        <v>3213</v>
      </c>
      <c r="L17" s="8">
        <f t="shared" si="2"/>
        <v>3213</v>
      </c>
      <c r="M17" s="8">
        <f t="shared" si="4"/>
        <v>0</v>
      </c>
      <c r="N17" s="50"/>
      <c r="O17" s="1"/>
    </row>
    <row r="18" spans="1:15">
      <c r="A18" s="52">
        <v>15</v>
      </c>
      <c r="B18" s="226">
        <v>45884</v>
      </c>
      <c r="C18" s="27"/>
      <c r="D18" s="27"/>
      <c r="E18" s="8">
        <v>0</v>
      </c>
      <c r="F18" s="8">
        <v>91.8</v>
      </c>
      <c r="G18" s="8">
        <f t="shared" si="0"/>
        <v>0</v>
      </c>
      <c r="H18" s="9">
        <v>0</v>
      </c>
      <c r="I18" s="9">
        <v>103.76</v>
      </c>
      <c r="J18" s="8">
        <f t="shared" si="1"/>
        <v>0</v>
      </c>
      <c r="K18" s="8">
        <f t="shared" si="2"/>
        <v>0</v>
      </c>
      <c r="L18" s="159">
        <v>0</v>
      </c>
      <c r="M18" s="8">
        <f t="shared" si="4"/>
        <v>0</v>
      </c>
      <c r="N18" s="50"/>
      <c r="O18" s="1"/>
    </row>
    <row r="19" spans="1:15">
      <c r="A19" s="52">
        <v>16</v>
      </c>
      <c r="B19" s="226">
        <v>45885</v>
      </c>
      <c r="C19" s="27"/>
      <c r="D19" s="27"/>
      <c r="E19" s="8">
        <v>80</v>
      </c>
      <c r="F19" s="8">
        <v>91.8</v>
      </c>
      <c r="G19" s="8">
        <f t="shared" si="0"/>
        <v>7344</v>
      </c>
      <c r="H19" s="9">
        <v>5</v>
      </c>
      <c r="I19" s="9">
        <v>103.76</v>
      </c>
      <c r="J19" s="8">
        <f t="shared" si="1"/>
        <v>518.80000000000007</v>
      </c>
      <c r="K19" s="8">
        <f t="shared" si="2"/>
        <v>7862.8</v>
      </c>
      <c r="L19" s="8">
        <v>7862.8</v>
      </c>
      <c r="M19" s="8">
        <f t="shared" si="4"/>
        <v>0</v>
      </c>
      <c r="N19" s="50"/>
      <c r="O19" s="1"/>
    </row>
    <row r="20" spans="1:15">
      <c r="A20" s="52">
        <v>17</v>
      </c>
      <c r="B20" s="226">
        <v>45886</v>
      </c>
      <c r="C20" s="27"/>
      <c r="D20" s="27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59">
        <v>0</v>
      </c>
      <c r="M20" s="8">
        <f t="shared" si="4"/>
        <v>0</v>
      </c>
      <c r="N20" s="50"/>
      <c r="O20" s="1"/>
    </row>
    <row r="21" spans="1:15">
      <c r="A21" s="52">
        <v>18</v>
      </c>
      <c r="B21" s="226">
        <v>45887</v>
      </c>
      <c r="C21" s="27"/>
      <c r="D21" s="27"/>
      <c r="E21" s="8">
        <v>20</v>
      </c>
      <c r="F21" s="8">
        <v>91.8</v>
      </c>
      <c r="G21" s="8">
        <f t="shared" si="0"/>
        <v>1836</v>
      </c>
      <c r="H21" s="9">
        <v>0</v>
      </c>
      <c r="I21" s="9">
        <v>0</v>
      </c>
      <c r="J21" s="8">
        <f t="shared" si="1"/>
        <v>0</v>
      </c>
      <c r="K21" s="8">
        <f t="shared" si="2"/>
        <v>1836</v>
      </c>
      <c r="L21" s="159">
        <v>1836</v>
      </c>
      <c r="M21" s="8">
        <f t="shared" si="4"/>
        <v>0</v>
      </c>
      <c r="N21" s="50"/>
      <c r="O21" s="1"/>
    </row>
    <row r="22" spans="1:15">
      <c r="A22" s="52">
        <v>19</v>
      </c>
      <c r="B22" s="226">
        <v>45888</v>
      </c>
      <c r="C22" s="27"/>
      <c r="D22" s="27"/>
      <c r="E22" s="8">
        <v>55</v>
      </c>
      <c r="F22" s="8">
        <v>91.8</v>
      </c>
      <c r="G22" s="8">
        <f t="shared" si="0"/>
        <v>5049</v>
      </c>
      <c r="H22" s="9">
        <v>5</v>
      </c>
      <c r="I22" s="9">
        <v>103.76</v>
      </c>
      <c r="J22" s="8">
        <f t="shared" si="1"/>
        <v>518.80000000000007</v>
      </c>
      <c r="K22" s="8">
        <f t="shared" si="2"/>
        <v>5567.8</v>
      </c>
      <c r="L22" s="159">
        <v>5567.8</v>
      </c>
      <c r="M22" s="8">
        <f t="shared" si="4"/>
        <v>0</v>
      </c>
      <c r="N22" s="50"/>
      <c r="O22" s="1"/>
    </row>
    <row r="23" spans="1:15">
      <c r="A23" s="52">
        <v>20</v>
      </c>
      <c r="B23" s="226">
        <v>45889</v>
      </c>
      <c r="C23" s="27"/>
      <c r="D23" s="27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9">
        <v>0</v>
      </c>
      <c r="M23" s="8">
        <f t="shared" si="4"/>
        <v>0</v>
      </c>
      <c r="N23" s="50"/>
      <c r="O23" s="1"/>
    </row>
    <row r="24" spans="1:15">
      <c r="A24" s="52">
        <v>21</v>
      </c>
      <c r="B24" s="226">
        <v>45890</v>
      </c>
      <c r="C24" s="27"/>
      <c r="D24" s="27"/>
      <c r="E24" s="8">
        <v>50</v>
      </c>
      <c r="F24" s="8">
        <v>91.8</v>
      </c>
      <c r="G24" s="8">
        <f t="shared" si="0"/>
        <v>4590</v>
      </c>
      <c r="H24" s="9">
        <v>0</v>
      </c>
      <c r="I24" s="9">
        <v>0</v>
      </c>
      <c r="J24" s="8">
        <f t="shared" si="1"/>
        <v>0</v>
      </c>
      <c r="K24" s="8">
        <f t="shared" si="2"/>
        <v>4590</v>
      </c>
      <c r="L24" s="159">
        <v>4590</v>
      </c>
      <c r="M24" s="8">
        <f t="shared" si="4"/>
        <v>0</v>
      </c>
      <c r="N24" s="50"/>
      <c r="O24" s="1"/>
    </row>
    <row r="25" spans="1:15">
      <c r="A25" s="52">
        <v>22</v>
      </c>
      <c r="B25" s="226">
        <v>45891</v>
      </c>
      <c r="C25" s="27"/>
      <c r="D25" s="27"/>
      <c r="E25" s="8">
        <v>35</v>
      </c>
      <c r="F25" s="8">
        <v>91.8</v>
      </c>
      <c r="G25" s="8">
        <f t="shared" si="0"/>
        <v>3213</v>
      </c>
      <c r="H25" s="9">
        <v>0</v>
      </c>
      <c r="I25" s="9">
        <v>0</v>
      </c>
      <c r="J25" s="8">
        <f t="shared" si="1"/>
        <v>0</v>
      </c>
      <c r="K25" s="8">
        <f t="shared" si="2"/>
        <v>3213</v>
      </c>
      <c r="L25" s="159">
        <v>3213</v>
      </c>
      <c r="M25" s="8">
        <f t="shared" si="4"/>
        <v>0</v>
      </c>
      <c r="N25" s="50"/>
      <c r="O25" s="1"/>
    </row>
    <row r="26" spans="1:15">
      <c r="A26" s="52">
        <v>23</v>
      </c>
      <c r="B26" s="226">
        <v>45892</v>
      </c>
      <c r="C26" s="27"/>
      <c r="D26" s="27"/>
      <c r="E26" s="8">
        <v>0</v>
      </c>
      <c r="F26" s="8">
        <v>0</v>
      </c>
      <c r="G26" s="8">
        <f t="shared" si="0"/>
        <v>0</v>
      </c>
      <c r="H26" s="9">
        <v>10</v>
      </c>
      <c r="I26" s="9">
        <v>103.8</v>
      </c>
      <c r="J26" s="8">
        <f t="shared" si="1"/>
        <v>1038</v>
      </c>
      <c r="K26" s="8">
        <f t="shared" si="2"/>
        <v>1038</v>
      </c>
      <c r="L26" s="8">
        <v>1038</v>
      </c>
      <c r="M26" s="8">
        <f t="shared" si="4"/>
        <v>0</v>
      </c>
      <c r="N26" s="50"/>
      <c r="O26" s="1"/>
    </row>
    <row r="27" spans="1:15">
      <c r="A27" s="52">
        <v>24</v>
      </c>
      <c r="B27" s="226">
        <v>45893</v>
      </c>
      <c r="C27" s="27"/>
      <c r="D27" s="27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9">
        <v>0</v>
      </c>
      <c r="M27" s="8">
        <f t="shared" si="4"/>
        <v>0</v>
      </c>
      <c r="N27" s="50"/>
      <c r="O27" s="1"/>
    </row>
    <row r="28" spans="1:15">
      <c r="A28" s="52">
        <v>25</v>
      </c>
      <c r="B28" s="226">
        <v>45894</v>
      </c>
      <c r="C28" s="27"/>
      <c r="D28" s="27"/>
      <c r="E28" s="8">
        <v>0</v>
      </c>
      <c r="F28" s="8">
        <v>0</v>
      </c>
      <c r="G28" s="8">
        <f t="shared" si="0"/>
        <v>0</v>
      </c>
      <c r="H28" s="9">
        <v>10</v>
      </c>
      <c r="I28" s="9">
        <v>103.8</v>
      </c>
      <c r="J28" s="8">
        <f t="shared" si="1"/>
        <v>1038</v>
      </c>
      <c r="K28" s="8">
        <f t="shared" si="2"/>
        <v>1038</v>
      </c>
      <c r="L28" s="159">
        <v>1038</v>
      </c>
      <c r="M28" s="8">
        <f t="shared" si="4"/>
        <v>0</v>
      </c>
      <c r="N28" s="50"/>
      <c r="O28" s="1"/>
    </row>
    <row r="29" spans="1:15">
      <c r="A29" s="52">
        <v>26</v>
      </c>
      <c r="B29" s="226">
        <v>45895</v>
      </c>
      <c r="C29" s="27"/>
      <c r="D29" s="27"/>
      <c r="E29" s="8">
        <v>30</v>
      </c>
      <c r="F29" s="8">
        <v>91.8</v>
      </c>
      <c r="G29" s="8">
        <f t="shared" si="0"/>
        <v>2754</v>
      </c>
      <c r="H29" s="9">
        <v>0</v>
      </c>
      <c r="I29" s="9">
        <v>0</v>
      </c>
      <c r="J29" s="8">
        <f t="shared" si="1"/>
        <v>0</v>
      </c>
      <c r="K29" s="8">
        <f t="shared" si="2"/>
        <v>2754</v>
      </c>
      <c r="L29" s="159">
        <v>2754</v>
      </c>
      <c r="M29" s="8">
        <f t="shared" si="4"/>
        <v>0</v>
      </c>
      <c r="N29" s="50"/>
      <c r="O29" s="1"/>
    </row>
    <row r="30" spans="1:15">
      <c r="A30" s="52">
        <v>27</v>
      </c>
      <c r="B30" s="226">
        <v>45896</v>
      </c>
      <c r="C30" s="27"/>
      <c r="D30" s="27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59">
        <v>0</v>
      </c>
      <c r="M30" s="8">
        <f t="shared" si="4"/>
        <v>0</v>
      </c>
      <c r="N30" s="50"/>
      <c r="O30" s="1"/>
    </row>
    <row r="31" spans="1:15">
      <c r="A31" s="52">
        <v>28</v>
      </c>
      <c r="B31" s="226">
        <v>45897</v>
      </c>
      <c r="C31" s="27"/>
      <c r="D31" s="27"/>
      <c r="E31" s="8">
        <v>35</v>
      </c>
      <c r="F31" s="8">
        <v>91.8</v>
      </c>
      <c r="G31" s="8">
        <f t="shared" si="0"/>
        <v>3213</v>
      </c>
      <c r="H31" s="9">
        <v>5</v>
      </c>
      <c r="I31" s="9">
        <v>103.8</v>
      </c>
      <c r="J31" s="8">
        <f t="shared" si="1"/>
        <v>519</v>
      </c>
      <c r="K31" s="8">
        <f t="shared" si="2"/>
        <v>3732</v>
      </c>
      <c r="L31" s="159">
        <v>3732</v>
      </c>
      <c r="M31" s="8">
        <f t="shared" si="4"/>
        <v>0</v>
      </c>
      <c r="N31" s="50"/>
      <c r="O31" s="1"/>
    </row>
    <row r="32" spans="1:15">
      <c r="A32" s="221">
        <v>29</v>
      </c>
      <c r="B32" s="226">
        <v>45898</v>
      </c>
      <c r="C32" s="27"/>
      <c r="D32" s="27"/>
      <c r="E32" s="8">
        <v>95</v>
      </c>
      <c r="F32" s="8">
        <v>91.8</v>
      </c>
      <c r="G32" s="8">
        <f t="shared" si="0"/>
        <v>8721</v>
      </c>
      <c r="H32" s="9">
        <v>0</v>
      </c>
      <c r="I32" s="9">
        <v>0</v>
      </c>
      <c r="J32" s="8">
        <f t="shared" si="1"/>
        <v>0</v>
      </c>
      <c r="K32" s="8">
        <f t="shared" si="2"/>
        <v>8721</v>
      </c>
      <c r="L32" s="159">
        <v>8721</v>
      </c>
      <c r="M32" s="8">
        <f t="shared" si="4"/>
        <v>0</v>
      </c>
      <c r="N32" s="50"/>
      <c r="O32" s="1"/>
    </row>
    <row r="33" spans="1:15">
      <c r="A33" s="221">
        <v>30</v>
      </c>
      <c r="B33" s="226">
        <v>45899</v>
      </c>
      <c r="C33" s="27"/>
      <c r="D33" s="27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59">
        <v>0</v>
      </c>
      <c r="M33" s="8">
        <f t="shared" si="4"/>
        <v>0</v>
      </c>
      <c r="N33" s="50"/>
      <c r="O33" s="1"/>
    </row>
    <row r="34" spans="1:15">
      <c r="A34" s="221">
        <v>31</v>
      </c>
      <c r="B34" s="226">
        <v>45900</v>
      </c>
      <c r="C34" s="27"/>
      <c r="D34" s="27"/>
      <c r="E34" s="8">
        <v>25</v>
      </c>
      <c r="F34" s="8">
        <v>91.8</v>
      </c>
      <c r="G34" s="8">
        <f t="shared" si="0"/>
        <v>2295</v>
      </c>
      <c r="H34" s="9">
        <v>2</v>
      </c>
      <c r="I34" s="9">
        <v>103.8</v>
      </c>
      <c r="J34" s="8">
        <f t="shared" si="1"/>
        <v>207.6</v>
      </c>
      <c r="K34" s="8">
        <f t="shared" si="2"/>
        <v>2502.6</v>
      </c>
      <c r="L34" s="159">
        <v>2502.6</v>
      </c>
      <c r="M34" s="8"/>
      <c r="N34" s="50"/>
      <c r="O34" s="1"/>
    </row>
    <row r="35" spans="1:15">
      <c r="A35" s="70"/>
      <c r="B35" s="70"/>
      <c r="C35" s="70"/>
      <c r="D35" s="70"/>
      <c r="E35" s="71">
        <f>SUM(E4:E34)</f>
        <v>1059</v>
      </c>
      <c r="F35" s="71"/>
      <c r="G35" s="71">
        <f>SUM(G4:G34)</f>
        <v>97216.2</v>
      </c>
      <c r="H35" s="71">
        <f>SUM(H4:H34)</f>
        <v>73</v>
      </c>
      <c r="I35" s="71"/>
      <c r="J35" s="71">
        <f>SUM(J4:J34)</f>
        <v>7575.56</v>
      </c>
      <c r="K35" s="71">
        <f>SUM(K4:K34)</f>
        <v>104791.76000000001</v>
      </c>
      <c r="L35" s="71">
        <f>SUM(L4:L34)</f>
        <v>104791.76000000001</v>
      </c>
      <c r="M35" s="71"/>
      <c r="N35" s="71"/>
      <c r="O35" s="67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06"/>
      <c r="C38" s="406"/>
      <c r="D38" s="406"/>
      <c r="E38" s="406"/>
      <c r="F38" s="1"/>
      <c r="G38" s="1"/>
      <c r="H38" s="1"/>
      <c r="I38" s="429">
        <f>K24+L24</f>
        <v>9180</v>
      </c>
      <c r="J38" s="406"/>
      <c r="K38" s="406"/>
      <c r="L38" s="406"/>
      <c r="M38" s="406"/>
      <c r="N38" s="406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Q49"/>
  <sheetViews>
    <sheetView workbookViewId="0">
      <selection activeCell="Q14" sqref="Q14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</cols>
  <sheetData>
    <row r="1" spans="1:17" ht="15.75">
      <c r="A1" s="409" t="s">
        <v>117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61"/>
    </row>
    <row r="2" spans="1:17" ht="30.75">
      <c r="A2" s="72" t="s">
        <v>94</v>
      </c>
      <c r="B2" s="92" t="s">
        <v>95</v>
      </c>
      <c r="C2" s="92" t="s">
        <v>96</v>
      </c>
      <c r="D2" s="92" t="s">
        <v>97</v>
      </c>
      <c r="E2" s="92" t="s">
        <v>98</v>
      </c>
      <c r="F2" s="92" t="s">
        <v>99</v>
      </c>
      <c r="G2" s="92" t="s">
        <v>100</v>
      </c>
      <c r="H2" s="92" t="s">
        <v>101</v>
      </c>
      <c r="I2" s="92" t="s">
        <v>99</v>
      </c>
      <c r="J2" s="93" t="s">
        <v>100</v>
      </c>
      <c r="K2" s="72" t="s">
        <v>102</v>
      </c>
      <c r="L2" s="94" t="s">
        <v>103</v>
      </c>
      <c r="M2" s="178" t="s">
        <v>110</v>
      </c>
      <c r="N2" s="92" t="s">
        <v>105</v>
      </c>
      <c r="O2" s="67"/>
    </row>
    <row r="3" spans="1:17">
      <c r="A3" s="156"/>
      <c r="B3" s="157"/>
      <c r="C3" s="157"/>
      <c r="D3" s="142" t="s">
        <v>106</v>
      </c>
      <c r="E3" s="157"/>
      <c r="F3" s="157"/>
      <c r="G3" s="157"/>
      <c r="H3" s="157"/>
      <c r="I3" s="157"/>
      <c r="J3" s="158"/>
      <c r="K3" s="156">
        <v>0</v>
      </c>
      <c r="L3" s="159">
        <v>0</v>
      </c>
      <c r="M3" s="159">
        <v>53365.685800000028</v>
      </c>
      <c r="N3" s="157"/>
      <c r="O3" s="67">
        <v>53365.685800000028</v>
      </c>
    </row>
    <row r="4" spans="1:17">
      <c r="A4" s="52">
        <v>1</v>
      </c>
      <c r="B4" s="226">
        <v>45870</v>
      </c>
      <c r="C4" s="27"/>
      <c r="D4" s="27"/>
      <c r="E4" s="8">
        <v>300</v>
      </c>
      <c r="F4" s="8">
        <v>92.04</v>
      </c>
      <c r="G4" s="8">
        <f>E4*F4</f>
        <v>27612.000000000004</v>
      </c>
      <c r="H4" s="9">
        <v>0</v>
      </c>
      <c r="I4" s="9">
        <v>0</v>
      </c>
      <c r="J4" s="8">
        <f>H4*I4</f>
        <v>0</v>
      </c>
      <c r="K4" s="8">
        <f>G4+J4</f>
        <v>27612.000000000004</v>
      </c>
      <c r="L4" s="159">
        <v>0</v>
      </c>
      <c r="M4" s="8">
        <f>M3+K4-L4</f>
        <v>80977.685800000036</v>
      </c>
      <c r="N4" s="50"/>
      <c r="O4" s="1"/>
    </row>
    <row r="5" spans="1:17">
      <c r="A5" s="52">
        <v>2</v>
      </c>
      <c r="B5" s="226">
        <v>45871</v>
      </c>
      <c r="C5" s="27"/>
      <c r="D5" s="27"/>
      <c r="E5" s="8">
        <v>0</v>
      </c>
      <c r="F5" s="8">
        <v>0</v>
      </c>
      <c r="G5" s="8">
        <f t="shared" ref="G5:G34" si="0">E5*F5</f>
        <v>0</v>
      </c>
      <c r="H5" s="9">
        <v>0</v>
      </c>
      <c r="I5" s="9">
        <v>0</v>
      </c>
      <c r="J5" s="8">
        <f t="shared" ref="J5:J34" si="1">H5*I5</f>
        <v>0</v>
      </c>
      <c r="K5" s="8">
        <f t="shared" ref="K5:K34" si="2">G5+J5</f>
        <v>0</v>
      </c>
      <c r="L5" s="159">
        <v>80000</v>
      </c>
      <c r="M5" s="8">
        <f t="shared" ref="M5:M23" si="3">M4+K5-L5</f>
        <v>977.68580000003567</v>
      </c>
      <c r="N5" s="50"/>
      <c r="O5" s="1"/>
    </row>
    <row r="6" spans="1:17">
      <c r="A6" s="52">
        <v>3</v>
      </c>
      <c r="B6" s="226">
        <v>45872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9">
        <f t="shared" ref="L5:L34" si="4">+K6</f>
        <v>0</v>
      </c>
      <c r="M6" s="8">
        <f t="shared" si="3"/>
        <v>977.68580000003567</v>
      </c>
      <c r="N6" s="50"/>
      <c r="O6" s="1"/>
    </row>
    <row r="7" spans="1:17">
      <c r="A7" s="52">
        <v>4</v>
      </c>
      <c r="B7" s="226">
        <v>45873</v>
      </c>
      <c r="C7" s="27"/>
      <c r="D7" s="27"/>
      <c r="E7" s="8">
        <v>20</v>
      </c>
      <c r="F7" s="8">
        <v>92.04</v>
      </c>
      <c r="G7" s="8">
        <f t="shared" si="0"/>
        <v>1840.8000000000002</v>
      </c>
      <c r="H7" s="9">
        <v>0</v>
      </c>
      <c r="I7" s="9">
        <v>0</v>
      </c>
      <c r="J7" s="8">
        <f t="shared" si="1"/>
        <v>0</v>
      </c>
      <c r="K7" s="8">
        <f t="shared" si="2"/>
        <v>1840.8000000000002</v>
      </c>
      <c r="L7" s="159">
        <v>0</v>
      </c>
      <c r="M7" s="8">
        <f t="shared" si="3"/>
        <v>2818.4858000000359</v>
      </c>
      <c r="N7" s="50"/>
      <c r="O7" s="1"/>
    </row>
    <row r="8" spans="1:17">
      <c r="A8" s="52">
        <v>5</v>
      </c>
      <c r="B8" s="226">
        <v>45874</v>
      </c>
      <c r="C8" s="27"/>
      <c r="D8" s="27"/>
      <c r="E8" s="317">
        <v>102</v>
      </c>
      <c r="F8" s="317">
        <v>92.04</v>
      </c>
      <c r="G8" s="8">
        <f t="shared" si="0"/>
        <v>9388.08</v>
      </c>
      <c r="H8" s="9">
        <v>0</v>
      </c>
      <c r="I8" s="9">
        <v>0</v>
      </c>
      <c r="J8" s="8">
        <f t="shared" si="1"/>
        <v>0</v>
      </c>
      <c r="K8" s="8">
        <f t="shared" si="2"/>
        <v>9388.08</v>
      </c>
      <c r="L8" s="159">
        <v>0</v>
      </c>
      <c r="M8" s="8">
        <f t="shared" si="3"/>
        <v>12206.565800000037</v>
      </c>
      <c r="N8" s="50"/>
      <c r="O8" s="1"/>
    </row>
    <row r="9" spans="1:17">
      <c r="A9" s="52">
        <v>6</v>
      </c>
      <c r="B9" s="226">
        <v>45875</v>
      </c>
      <c r="C9" s="27"/>
      <c r="D9" s="27"/>
      <c r="E9" s="8">
        <v>200</v>
      </c>
      <c r="F9" s="317">
        <v>92.04</v>
      </c>
      <c r="G9" s="8">
        <f t="shared" si="0"/>
        <v>18408</v>
      </c>
      <c r="H9" s="9">
        <v>19.43</v>
      </c>
      <c r="I9" s="9">
        <v>104.02</v>
      </c>
      <c r="J9" s="8">
        <f t="shared" si="1"/>
        <v>2021.1085999999998</v>
      </c>
      <c r="K9" s="8">
        <f t="shared" si="2"/>
        <v>20429.1086</v>
      </c>
      <c r="L9" s="159">
        <v>0</v>
      </c>
      <c r="M9" s="8">
        <f t="shared" si="3"/>
        <v>32635.674400000036</v>
      </c>
      <c r="N9" s="50"/>
      <c r="O9" s="1"/>
    </row>
    <row r="10" spans="1:17">
      <c r="A10" s="52">
        <v>7</v>
      </c>
      <c r="B10" s="226">
        <v>45876</v>
      </c>
      <c r="C10" s="27"/>
      <c r="D10" s="27"/>
      <c r="E10" s="8">
        <v>280</v>
      </c>
      <c r="F10" s="317">
        <v>92.04</v>
      </c>
      <c r="G10" s="8">
        <f t="shared" si="0"/>
        <v>25771.200000000001</v>
      </c>
      <c r="H10" s="9">
        <v>0</v>
      </c>
      <c r="I10" s="9">
        <v>0</v>
      </c>
      <c r="J10" s="8">
        <f t="shared" si="1"/>
        <v>0</v>
      </c>
      <c r="K10" s="8">
        <f t="shared" si="2"/>
        <v>25771.200000000001</v>
      </c>
      <c r="L10" s="159">
        <v>0</v>
      </c>
      <c r="M10" s="8">
        <f t="shared" si="3"/>
        <v>58406.874400000037</v>
      </c>
      <c r="N10" s="50"/>
      <c r="O10" s="1"/>
    </row>
    <row r="11" spans="1:17">
      <c r="A11" s="52">
        <v>8</v>
      </c>
      <c r="B11" s="226">
        <v>45877</v>
      </c>
      <c r="C11" s="27"/>
      <c r="D11" s="27"/>
      <c r="E11" s="8">
        <v>117.36</v>
      </c>
      <c r="F11" s="317">
        <v>92.04</v>
      </c>
      <c r="G11" s="8">
        <f t="shared" si="0"/>
        <v>10801.814400000001</v>
      </c>
      <c r="H11" s="9">
        <v>0</v>
      </c>
      <c r="I11" s="9">
        <v>0</v>
      </c>
      <c r="J11" s="8">
        <f t="shared" si="1"/>
        <v>0</v>
      </c>
      <c r="K11" s="8">
        <f t="shared" si="2"/>
        <v>10801.814400000001</v>
      </c>
      <c r="L11" s="159">
        <v>0</v>
      </c>
      <c r="M11" s="8">
        <f t="shared" si="3"/>
        <v>69208.688800000033</v>
      </c>
      <c r="N11" s="50"/>
      <c r="O11" s="1"/>
    </row>
    <row r="12" spans="1:17">
      <c r="A12" s="52">
        <v>9</v>
      </c>
      <c r="B12" s="226">
        <v>45878</v>
      </c>
      <c r="C12" s="27"/>
      <c r="D12" s="27"/>
      <c r="E12" s="8">
        <v>100</v>
      </c>
      <c r="F12" s="317">
        <v>92.04</v>
      </c>
      <c r="G12" s="8">
        <f t="shared" si="0"/>
        <v>9204</v>
      </c>
      <c r="H12" s="9">
        <v>0</v>
      </c>
      <c r="I12" s="9">
        <v>0</v>
      </c>
      <c r="J12" s="8">
        <f t="shared" si="1"/>
        <v>0</v>
      </c>
      <c r="K12" s="8">
        <f t="shared" si="2"/>
        <v>9204</v>
      </c>
      <c r="L12" s="159">
        <v>0</v>
      </c>
      <c r="M12" s="8">
        <f t="shared" si="3"/>
        <v>78412.688800000033</v>
      </c>
      <c r="N12" s="50"/>
      <c r="O12" s="1" t="s">
        <v>116</v>
      </c>
    </row>
    <row r="13" spans="1:17">
      <c r="A13" s="52">
        <v>10</v>
      </c>
      <c r="B13" s="226">
        <v>45879</v>
      </c>
      <c r="C13" s="27"/>
      <c r="D13" s="27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59">
        <f t="shared" si="4"/>
        <v>0</v>
      </c>
      <c r="M13" s="8">
        <f t="shared" si="3"/>
        <v>78412.688800000033</v>
      </c>
      <c r="N13" s="50"/>
      <c r="O13" s="1"/>
      <c r="Q13" s="159">
        <f>+K13</f>
        <v>0</v>
      </c>
    </row>
    <row r="14" spans="1:17">
      <c r="A14" s="52">
        <v>11</v>
      </c>
      <c r="B14" s="226">
        <v>45880</v>
      </c>
      <c r="C14" s="27"/>
      <c r="D14" s="27"/>
      <c r="E14" s="8">
        <v>350.18</v>
      </c>
      <c r="F14" s="8">
        <v>92.04</v>
      </c>
      <c r="G14" s="8">
        <f t="shared" si="0"/>
        <v>32230.567200000001</v>
      </c>
      <c r="H14" s="9">
        <v>0</v>
      </c>
      <c r="I14" s="9">
        <v>0</v>
      </c>
      <c r="J14" s="8">
        <f t="shared" si="1"/>
        <v>0</v>
      </c>
      <c r="K14" s="8">
        <f t="shared" si="2"/>
        <v>32230.567200000001</v>
      </c>
      <c r="L14" s="159">
        <v>0</v>
      </c>
      <c r="M14" s="8">
        <f t="shared" si="3"/>
        <v>110643.25600000004</v>
      </c>
      <c r="N14" s="50"/>
      <c r="O14" s="1"/>
    </row>
    <row r="15" spans="1:17">
      <c r="A15" s="52">
        <v>12</v>
      </c>
      <c r="B15" s="226">
        <v>45881</v>
      </c>
      <c r="C15" s="27"/>
      <c r="D15" s="27"/>
      <c r="E15" s="8">
        <v>70.33</v>
      </c>
      <c r="F15" s="8">
        <v>92.04</v>
      </c>
      <c r="G15" s="8">
        <f t="shared" si="0"/>
        <v>6473.1732000000002</v>
      </c>
      <c r="H15" s="9">
        <v>0</v>
      </c>
      <c r="I15" s="9">
        <v>0</v>
      </c>
      <c r="J15" s="8">
        <f t="shared" si="1"/>
        <v>0</v>
      </c>
      <c r="K15" s="8">
        <f t="shared" si="2"/>
        <v>6473.1732000000002</v>
      </c>
      <c r="L15" s="159">
        <v>0</v>
      </c>
      <c r="M15" s="8">
        <f t="shared" si="3"/>
        <v>117116.42920000004</v>
      </c>
      <c r="N15" s="50"/>
      <c r="O15" s="1"/>
    </row>
    <row r="16" spans="1:17">
      <c r="A16" s="52">
        <v>13</v>
      </c>
      <c r="B16" s="226">
        <v>45882</v>
      </c>
      <c r="C16" s="27"/>
      <c r="D16" s="27"/>
      <c r="E16" s="8">
        <v>128.82</v>
      </c>
      <c r="F16" s="8">
        <v>92.04</v>
      </c>
      <c r="G16" s="8">
        <f t="shared" si="0"/>
        <v>11856.5928</v>
      </c>
      <c r="H16" s="9">
        <v>15</v>
      </c>
      <c r="I16" s="9">
        <v>104.02</v>
      </c>
      <c r="J16" s="8">
        <f t="shared" si="1"/>
        <v>1560.3</v>
      </c>
      <c r="K16" s="8">
        <f t="shared" si="2"/>
        <v>13416.8928</v>
      </c>
      <c r="L16" s="159">
        <v>0</v>
      </c>
      <c r="M16" s="8">
        <f t="shared" si="3"/>
        <v>130533.32200000004</v>
      </c>
      <c r="N16" s="50"/>
      <c r="O16" s="1"/>
    </row>
    <row r="17" spans="1:15">
      <c r="A17" s="52">
        <v>14</v>
      </c>
      <c r="B17" s="226">
        <v>45883</v>
      </c>
      <c r="C17" s="27"/>
      <c r="D17" s="27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59">
        <f t="shared" si="4"/>
        <v>0</v>
      </c>
      <c r="M17" s="8">
        <f t="shared" si="3"/>
        <v>130533.32200000004</v>
      </c>
      <c r="N17" s="50"/>
      <c r="O17" s="1"/>
    </row>
    <row r="18" spans="1:15">
      <c r="A18" s="52">
        <v>15</v>
      </c>
      <c r="B18" s="226">
        <v>45884</v>
      </c>
      <c r="C18" s="27"/>
      <c r="D18" s="27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9">
        <f t="shared" si="4"/>
        <v>0</v>
      </c>
      <c r="M18" s="8">
        <f t="shared" si="3"/>
        <v>130533.32200000004</v>
      </c>
      <c r="N18" s="50"/>
      <c r="O18" s="1"/>
    </row>
    <row r="19" spans="1:15">
      <c r="A19" s="52">
        <v>16</v>
      </c>
      <c r="B19" s="226">
        <v>45885</v>
      </c>
      <c r="C19" s="27"/>
      <c r="D19" s="27"/>
      <c r="E19" s="8">
        <v>340</v>
      </c>
      <c r="F19" s="8">
        <v>92.04</v>
      </c>
      <c r="G19" s="8">
        <f t="shared" si="0"/>
        <v>31293.600000000002</v>
      </c>
      <c r="H19" s="9">
        <v>0</v>
      </c>
      <c r="I19" s="9">
        <v>0</v>
      </c>
      <c r="J19" s="8">
        <f t="shared" si="1"/>
        <v>0</v>
      </c>
      <c r="K19" s="8">
        <f t="shared" si="2"/>
        <v>31293.600000000002</v>
      </c>
      <c r="L19" s="159">
        <v>0</v>
      </c>
      <c r="M19" s="8">
        <f t="shared" si="3"/>
        <v>161826.92200000005</v>
      </c>
      <c r="N19" s="50"/>
      <c r="O19" s="1"/>
    </row>
    <row r="20" spans="1:15">
      <c r="A20" s="52">
        <v>17</v>
      </c>
      <c r="B20" s="226">
        <v>45886</v>
      </c>
      <c r="C20" s="27"/>
      <c r="D20" s="27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59">
        <f t="shared" si="4"/>
        <v>0</v>
      </c>
      <c r="M20" s="8">
        <f t="shared" si="3"/>
        <v>161826.92200000005</v>
      </c>
      <c r="N20" s="50"/>
      <c r="O20" s="1"/>
    </row>
    <row r="21" spans="1:15">
      <c r="A21" s="52">
        <v>18</v>
      </c>
      <c r="B21" s="226">
        <v>45887</v>
      </c>
      <c r="C21" s="27"/>
      <c r="D21" s="27"/>
      <c r="E21" s="8">
        <v>87.79</v>
      </c>
      <c r="F21" s="8">
        <v>92.04</v>
      </c>
      <c r="G21" s="8">
        <f t="shared" si="0"/>
        <v>8080.191600000001</v>
      </c>
      <c r="H21" s="9">
        <v>0</v>
      </c>
      <c r="I21" s="9">
        <v>0</v>
      </c>
      <c r="J21" s="8">
        <f t="shared" si="1"/>
        <v>0</v>
      </c>
      <c r="K21" s="8">
        <f t="shared" si="2"/>
        <v>8080.191600000001</v>
      </c>
      <c r="L21" s="159">
        <v>0</v>
      </c>
      <c r="M21" s="8">
        <f t="shared" si="3"/>
        <v>169907.11360000004</v>
      </c>
      <c r="N21" s="50"/>
      <c r="O21" s="1"/>
    </row>
    <row r="22" spans="1:15">
      <c r="A22" s="52">
        <v>19</v>
      </c>
      <c r="B22" s="226">
        <v>45888</v>
      </c>
      <c r="C22" s="27"/>
      <c r="D22" s="27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9">
        <f t="shared" si="4"/>
        <v>0</v>
      </c>
      <c r="M22" s="8">
        <f t="shared" si="3"/>
        <v>169907.11360000004</v>
      </c>
      <c r="N22" s="50"/>
      <c r="O22" s="1"/>
    </row>
    <row r="23" spans="1:15">
      <c r="A23" s="52">
        <v>20</v>
      </c>
      <c r="B23" s="226">
        <v>45889</v>
      </c>
      <c r="C23" s="27"/>
      <c r="D23" s="27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9">
        <f t="shared" si="4"/>
        <v>0</v>
      </c>
      <c r="M23" s="8">
        <f t="shared" si="3"/>
        <v>169907.11360000004</v>
      </c>
      <c r="N23" s="50"/>
      <c r="O23" s="1"/>
    </row>
    <row r="24" spans="1:15">
      <c r="A24" s="52">
        <v>21</v>
      </c>
      <c r="B24" s="226">
        <v>45890</v>
      </c>
      <c r="C24" s="27"/>
      <c r="D24" s="27"/>
      <c r="E24" s="8">
        <v>220</v>
      </c>
      <c r="F24" s="8">
        <v>92.04</v>
      </c>
      <c r="G24" s="8">
        <f t="shared" si="0"/>
        <v>20248.800000000003</v>
      </c>
      <c r="H24" s="9">
        <v>0</v>
      </c>
      <c r="I24" s="9">
        <v>0</v>
      </c>
      <c r="J24" s="8">
        <f t="shared" si="1"/>
        <v>0</v>
      </c>
      <c r="K24" s="8">
        <f t="shared" si="2"/>
        <v>20248.800000000003</v>
      </c>
      <c r="L24" s="159">
        <v>0</v>
      </c>
      <c r="M24" s="8">
        <f t="shared" ref="L5:M34" si="5">M23+K24-L24</f>
        <v>190155.91360000003</v>
      </c>
      <c r="N24" s="50"/>
      <c r="O24" s="1"/>
    </row>
    <row r="25" spans="1:15">
      <c r="A25" s="52">
        <v>22</v>
      </c>
      <c r="B25" s="226">
        <v>45891</v>
      </c>
      <c r="C25" s="27"/>
      <c r="D25" s="27"/>
      <c r="E25" s="8">
        <v>151.33000000000001</v>
      </c>
      <c r="F25" s="8">
        <v>92.04</v>
      </c>
      <c r="G25" s="8">
        <f t="shared" si="0"/>
        <v>13928.413200000003</v>
      </c>
      <c r="H25" s="9">
        <v>0</v>
      </c>
      <c r="I25" s="9">
        <v>0</v>
      </c>
      <c r="J25" s="8">
        <f t="shared" si="1"/>
        <v>0</v>
      </c>
      <c r="K25" s="8">
        <f t="shared" si="2"/>
        <v>13928.413200000003</v>
      </c>
      <c r="L25" s="159">
        <v>0</v>
      </c>
      <c r="M25" s="8">
        <f t="shared" si="5"/>
        <v>204084.32680000004</v>
      </c>
      <c r="N25" s="50"/>
      <c r="O25" s="1"/>
    </row>
    <row r="26" spans="1:15">
      <c r="A26" s="52">
        <v>23</v>
      </c>
      <c r="B26" s="226">
        <v>45892</v>
      </c>
      <c r="C26" s="27"/>
      <c r="D26" s="27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59">
        <f t="shared" si="4"/>
        <v>0</v>
      </c>
      <c r="M26" s="8">
        <f t="shared" si="5"/>
        <v>204084.32680000004</v>
      </c>
      <c r="N26" s="50"/>
      <c r="O26" s="1"/>
    </row>
    <row r="27" spans="1:15">
      <c r="A27" s="52">
        <v>24</v>
      </c>
      <c r="B27" s="226">
        <v>45893</v>
      </c>
      <c r="C27" s="27"/>
      <c r="D27" s="27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9">
        <f t="shared" si="4"/>
        <v>0</v>
      </c>
      <c r="M27" s="8">
        <f t="shared" si="5"/>
        <v>204084.32680000004</v>
      </c>
      <c r="N27" s="50"/>
      <c r="O27" s="1"/>
    </row>
    <row r="28" spans="1:15">
      <c r="A28" s="52">
        <v>25</v>
      </c>
      <c r="B28" s="226">
        <v>45894</v>
      </c>
      <c r="C28" s="27"/>
      <c r="D28" s="27"/>
      <c r="E28" s="8">
        <v>90</v>
      </c>
      <c r="F28" s="8">
        <v>92.04</v>
      </c>
      <c r="G28" s="8">
        <f t="shared" si="0"/>
        <v>8283.6</v>
      </c>
      <c r="H28" s="9">
        <v>0</v>
      </c>
      <c r="I28" s="9">
        <v>0</v>
      </c>
      <c r="J28" s="8">
        <f t="shared" si="1"/>
        <v>0</v>
      </c>
      <c r="K28" s="8">
        <f t="shared" si="2"/>
        <v>8283.6</v>
      </c>
      <c r="L28" s="159">
        <v>0</v>
      </c>
      <c r="M28" s="8">
        <f t="shared" si="5"/>
        <v>212367.92680000004</v>
      </c>
      <c r="N28" s="50"/>
      <c r="O28" s="1"/>
    </row>
    <row r="29" spans="1:15">
      <c r="A29" s="52">
        <v>26</v>
      </c>
      <c r="B29" s="226">
        <v>45895</v>
      </c>
      <c r="C29" s="27"/>
      <c r="D29" s="27"/>
      <c r="E29" s="8">
        <v>375</v>
      </c>
      <c r="F29" s="8">
        <v>92.04</v>
      </c>
      <c r="G29" s="8">
        <f t="shared" si="0"/>
        <v>34515</v>
      </c>
      <c r="H29" s="9">
        <v>0</v>
      </c>
      <c r="I29" s="9">
        <v>0</v>
      </c>
      <c r="J29" s="8">
        <f t="shared" si="1"/>
        <v>0</v>
      </c>
      <c r="K29" s="8">
        <f t="shared" si="2"/>
        <v>34515</v>
      </c>
      <c r="L29" s="159">
        <v>0</v>
      </c>
      <c r="M29" s="8">
        <f t="shared" si="5"/>
        <v>246882.92680000004</v>
      </c>
      <c r="N29" s="50"/>
      <c r="O29" s="1"/>
    </row>
    <row r="30" spans="1:15">
      <c r="A30" s="52">
        <v>27</v>
      </c>
      <c r="B30" s="226">
        <v>45896</v>
      </c>
      <c r="C30" s="27"/>
      <c r="D30" s="27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59">
        <f t="shared" si="4"/>
        <v>0</v>
      </c>
      <c r="M30" s="8">
        <f t="shared" si="5"/>
        <v>246882.92680000004</v>
      </c>
      <c r="N30" s="50"/>
      <c r="O30" s="1"/>
    </row>
    <row r="31" spans="1:15">
      <c r="A31" s="52">
        <v>28</v>
      </c>
      <c r="B31" s="226">
        <v>45897</v>
      </c>
      <c r="C31" s="27"/>
      <c r="D31" s="27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9">
        <f t="shared" si="4"/>
        <v>0</v>
      </c>
      <c r="M31" s="8">
        <f t="shared" si="5"/>
        <v>246882.92680000004</v>
      </c>
      <c r="N31" s="50"/>
      <c r="O31" s="1"/>
    </row>
    <row r="32" spans="1:15">
      <c r="A32" s="221">
        <v>29</v>
      </c>
      <c r="B32" s="226">
        <v>45898</v>
      </c>
      <c r="C32" s="27"/>
      <c r="D32" s="27"/>
      <c r="E32" s="8">
        <v>227.02</v>
      </c>
      <c r="F32" s="8">
        <v>92.04</v>
      </c>
      <c r="G32" s="8">
        <f t="shared" si="0"/>
        <v>20894.920800000004</v>
      </c>
      <c r="H32" s="8">
        <v>20.350000000000001</v>
      </c>
      <c r="I32" s="9">
        <v>104.02</v>
      </c>
      <c r="J32" s="8">
        <f t="shared" si="1"/>
        <v>2116.8070000000002</v>
      </c>
      <c r="K32" s="8">
        <f t="shared" si="2"/>
        <v>23011.727800000004</v>
      </c>
      <c r="L32" s="159">
        <v>0</v>
      </c>
      <c r="M32" s="8">
        <f t="shared" si="5"/>
        <v>269894.65460000007</v>
      </c>
      <c r="N32" s="50"/>
      <c r="O32" s="1"/>
    </row>
    <row r="33" spans="1:15">
      <c r="A33" s="221">
        <v>30</v>
      </c>
      <c r="B33" s="226">
        <v>45899</v>
      </c>
      <c r="C33" s="27"/>
      <c r="D33" s="27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59">
        <f t="shared" si="4"/>
        <v>0</v>
      </c>
      <c r="M33" s="8">
        <f t="shared" si="5"/>
        <v>269894.65460000007</v>
      </c>
      <c r="N33" s="50"/>
      <c r="O33" s="1"/>
    </row>
    <row r="34" spans="1:15">
      <c r="A34" s="221">
        <v>31</v>
      </c>
      <c r="B34" s="226">
        <v>45900</v>
      </c>
      <c r="C34" s="27"/>
      <c r="D34" s="27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>
        <f t="shared" si="2"/>
        <v>0</v>
      </c>
      <c r="L34" s="159">
        <f t="shared" si="4"/>
        <v>0</v>
      </c>
      <c r="M34" s="8">
        <f t="shared" si="5"/>
        <v>269894.65460000007</v>
      </c>
      <c r="N34" s="50"/>
      <c r="O34" s="1"/>
    </row>
    <row r="35" spans="1:15">
      <c r="A35" s="70"/>
      <c r="B35" s="70"/>
      <c r="C35" s="70"/>
      <c r="D35" s="70"/>
      <c r="E35" s="71">
        <f>SUM(E4:E34)</f>
        <v>3159.83</v>
      </c>
      <c r="F35" s="71"/>
      <c r="G35" s="71">
        <f>SUM(G4:G34)</f>
        <v>290830.75320000009</v>
      </c>
      <c r="H35" s="71">
        <f>SUM(H4:H34)</f>
        <v>54.78</v>
      </c>
      <c r="I35" s="71"/>
      <c r="J35" s="71">
        <f>SUM(J4:J34)</f>
        <v>5698.2155999999995</v>
      </c>
      <c r="K35" s="71">
        <f>SUM(K4:K34)</f>
        <v>296528.96880000003</v>
      </c>
      <c r="L35" s="71">
        <f>SUM(L4:L34)</f>
        <v>80000</v>
      </c>
      <c r="M35" s="71"/>
      <c r="N35" s="71"/>
      <c r="O35" s="67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06"/>
      <c r="C38" s="406"/>
      <c r="D38" s="406"/>
      <c r="E38" s="406"/>
      <c r="F38" s="1"/>
      <c r="G38" s="1"/>
      <c r="H38" s="1"/>
      <c r="I38" s="429">
        <f>K24+L24</f>
        <v>20248.800000000003</v>
      </c>
      <c r="J38" s="406"/>
      <c r="K38" s="406"/>
      <c r="L38" s="406"/>
      <c r="M38" s="406"/>
      <c r="N38" s="406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3" activePane="bottomLeft" state="frozen"/>
      <selection pane="bottomLeft" activeCell="O13" sqref="O13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18" t="s">
        <v>70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91"/>
    </row>
    <row r="2" spans="1:16">
      <c r="A2" s="107" t="s">
        <v>94</v>
      </c>
      <c r="B2" s="108" t="s">
        <v>95</v>
      </c>
      <c r="C2" s="108" t="s">
        <v>96</v>
      </c>
      <c r="D2" s="108" t="s">
        <v>111</v>
      </c>
      <c r="E2" s="108" t="s">
        <v>98</v>
      </c>
      <c r="F2" s="108" t="s">
        <v>99</v>
      </c>
      <c r="G2" s="108" t="s">
        <v>100</v>
      </c>
      <c r="H2" s="108" t="s">
        <v>101</v>
      </c>
      <c r="I2" s="108" t="s">
        <v>99</v>
      </c>
      <c r="J2" s="148" t="s">
        <v>100</v>
      </c>
      <c r="K2" s="109" t="s">
        <v>102</v>
      </c>
      <c r="L2" s="149" t="s">
        <v>103</v>
      </c>
      <c r="M2" s="154" t="s">
        <v>110</v>
      </c>
      <c r="N2" s="110" t="s">
        <v>105</v>
      </c>
      <c r="O2" s="67"/>
    </row>
    <row r="3" spans="1:16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9"/>
      <c r="K3" s="175">
        <v>21726.411500000006</v>
      </c>
      <c r="L3" s="19"/>
      <c r="M3" s="115">
        <v>21726.411500000006</v>
      </c>
      <c r="N3" s="19"/>
      <c r="O3" s="67"/>
    </row>
    <row r="4" spans="1:16">
      <c r="A4" s="52">
        <v>1</v>
      </c>
      <c r="B4" s="226">
        <v>45870</v>
      </c>
      <c r="C4" s="163"/>
      <c r="D4" s="164"/>
      <c r="E4" s="165">
        <v>0</v>
      </c>
      <c r="F4" s="165">
        <v>0</v>
      </c>
      <c r="G4" s="150">
        <f>E4*F4</f>
        <v>0</v>
      </c>
      <c r="H4" s="165">
        <v>0</v>
      </c>
      <c r="I4" s="166">
        <v>0</v>
      </c>
      <c r="J4" s="22">
        <f>H4*I4</f>
        <v>0</v>
      </c>
      <c r="K4" s="22">
        <f>G4+J4</f>
        <v>0</v>
      </c>
      <c r="L4" s="152"/>
      <c r="M4" s="152">
        <f>M3+K4-L4</f>
        <v>21726.411500000006</v>
      </c>
      <c r="N4" s="153"/>
    </row>
    <row r="5" spans="1:16">
      <c r="A5" s="52">
        <v>2</v>
      </c>
      <c r="B5" s="226">
        <v>45871</v>
      </c>
      <c r="C5" s="11"/>
      <c r="D5" s="11"/>
      <c r="E5" s="165">
        <v>20</v>
      </c>
      <c r="F5" s="165">
        <v>91.83</v>
      </c>
      <c r="G5" s="150">
        <f t="shared" ref="G5:G34" si="0">E5*F5</f>
        <v>1836.6</v>
      </c>
      <c r="H5" s="165">
        <v>0</v>
      </c>
      <c r="I5" s="166">
        <v>0</v>
      </c>
      <c r="J5" s="22">
        <f t="shared" ref="J5:J34" si="1">H5*I5</f>
        <v>0</v>
      </c>
      <c r="K5" s="22">
        <f t="shared" ref="K5:K34" si="2">G5+J5</f>
        <v>1836.6</v>
      </c>
      <c r="L5" s="152">
        <v>21207</v>
      </c>
      <c r="M5" s="16">
        <f>M4+K5-L5</f>
        <v>2356.0115000000042</v>
      </c>
      <c r="N5" s="13"/>
    </row>
    <row r="6" spans="1:16">
      <c r="A6" s="52">
        <v>3</v>
      </c>
      <c r="B6" s="226">
        <v>45872</v>
      </c>
      <c r="C6" s="11"/>
      <c r="D6" s="11"/>
      <c r="E6" s="165">
        <v>0</v>
      </c>
      <c r="F6" s="165">
        <v>0</v>
      </c>
      <c r="G6" s="150">
        <f t="shared" si="0"/>
        <v>0</v>
      </c>
      <c r="H6" s="165">
        <v>0</v>
      </c>
      <c r="I6" s="166">
        <v>0</v>
      </c>
      <c r="J6" s="22">
        <f t="shared" si="1"/>
        <v>0</v>
      </c>
      <c r="K6" s="22">
        <f t="shared" si="2"/>
        <v>0</v>
      </c>
      <c r="L6" s="152"/>
      <c r="M6" s="16">
        <f>M5+K6-L6</f>
        <v>2356.0115000000042</v>
      </c>
      <c r="N6" s="14"/>
    </row>
    <row r="7" spans="1:16">
      <c r="A7" s="52">
        <v>4</v>
      </c>
      <c r="B7" s="226">
        <v>45873</v>
      </c>
      <c r="C7" s="78"/>
      <c r="D7" s="79"/>
      <c r="E7" s="165">
        <v>0</v>
      </c>
      <c r="F7" s="165">
        <v>0</v>
      </c>
      <c r="G7" s="150">
        <f t="shared" si="0"/>
        <v>0</v>
      </c>
      <c r="H7" s="165">
        <v>0</v>
      </c>
      <c r="I7" s="166">
        <v>0</v>
      </c>
      <c r="J7" s="22">
        <f t="shared" si="1"/>
        <v>0</v>
      </c>
      <c r="K7" s="22">
        <f t="shared" si="2"/>
        <v>0</v>
      </c>
      <c r="L7" s="152"/>
      <c r="M7" s="16">
        <f>M6+K7-L7</f>
        <v>2356.0115000000042</v>
      </c>
      <c r="N7" s="45"/>
    </row>
    <row r="8" spans="1:16">
      <c r="A8" s="52">
        <v>5</v>
      </c>
      <c r="B8" s="226">
        <v>45874</v>
      </c>
      <c r="C8" s="78"/>
      <c r="D8" s="79"/>
      <c r="E8" s="165">
        <v>0</v>
      </c>
      <c r="F8" s="165">
        <v>0</v>
      </c>
      <c r="G8" s="150">
        <f t="shared" si="0"/>
        <v>0</v>
      </c>
      <c r="H8" s="165">
        <v>0</v>
      </c>
      <c r="I8" s="166">
        <v>0</v>
      </c>
      <c r="J8" s="22">
        <f t="shared" si="1"/>
        <v>0</v>
      </c>
      <c r="K8" s="22">
        <f t="shared" si="2"/>
        <v>0</v>
      </c>
      <c r="L8" s="152"/>
      <c r="M8" s="16">
        <f>M7+K8-L8</f>
        <v>2356.0115000000042</v>
      </c>
      <c r="N8" s="45"/>
      <c r="O8" s="288">
        <v>8497892194</v>
      </c>
      <c r="P8" s="289" t="s">
        <v>118</v>
      </c>
    </row>
    <row r="9" spans="1:16">
      <c r="A9" s="52">
        <v>6</v>
      </c>
      <c r="B9" s="226">
        <v>45875</v>
      </c>
      <c r="C9" s="78"/>
      <c r="D9" s="79"/>
      <c r="E9" s="165">
        <v>0</v>
      </c>
      <c r="F9" s="165">
        <v>0</v>
      </c>
      <c r="G9" s="150">
        <f t="shared" si="0"/>
        <v>0</v>
      </c>
      <c r="H9" s="165">
        <v>5</v>
      </c>
      <c r="I9" s="166">
        <v>103.8</v>
      </c>
      <c r="J9" s="22">
        <f t="shared" si="1"/>
        <v>519</v>
      </c>
      <c r="K9" s="22">
        <f t="shared" si="2"/>
        <v>519</v>
      </c>
      <c r="L9" s="152"/>
      <c r="M9" s="16">
        <f>M8+K9-L9</f>
        <v>2875.0115000000042</v>
      </c>
      <c r="N9" s="45"/>
      <c r="O9" s="77"/>
    </row>
    <row r="10" spans="1:16">
      <c r="A10" s="52">
        <v>7</v>
      </c>
      <c r="B10" s="226">
        <v>45876</v>
      </c>
      <c r="C10" s="78"/>
      <c r="D10" s="79"/>
      <c r="E10" s="165">
        <v>100</v>
      </c>
      <c r="F10" s="165">
        <v>91.83</v>
      </c>
      <c r="G10" s="150">
        <f t="shared" si="0"/>
        <v>9183</v>
      </c>
      <c r="H10" s="165">
        <v>5</v>
      </c>
      <c r="I10" s="166">
        <v>103.8</v>
      </c>
      <c r="J10" s="22">
        <f t="shared" si="1"/>
        <v>519</v>
      </c>
      <c r="K10" s="22">
        <f t="shared" si="2"/>
        <v>9702</v>
      </c>
      <c r="L10" s="152"/>
      <c r="M10" s="16">
        <f>M9+K10-L10</f>
        <v>12577.011500000004</v>
      </c>
      <c r="N10" s="45"/>
      <c r="O10" s="77"/>
    </row>
    <row r="11" spans="1:16">
      <c r="A11" s="52">
        <v>8</v>
      </c>
      <c r="B11" s="226">
        <v>45877</v>
      </c>
      <c r="C11" s="78"/>
      <c r="D11" s="79"/>
      <c r="E11" s="165">
        <v>0</v>
      </c>
      <c r="F11" s="165">
        <v>0</v>
      </c>
      <c r="G11" s="150">
        <f t="shared" si="0"/>
        <v>0</v>
      </c>
      <c r="H11" s="165">
        <v>0</v>
      </c>
      <c r="I11" s="166">
        <v>0</v>
      </c>
      <c r="J11" s="22">
        <f t="shared" si="1"/>
        <v>0</v>
      </c>
      <c r="K11" s="22">
        <f t="shared" si="2"/>
        <v>0</v>
      </c>
      <c r="L11" s="152"/>
      <c r="M11" s="16">
        <f>M10+K11-L11</f>
        <v>12577.011500000004</v>
      </c>
      <c r="N11" s="45"/>
      <c r="O11" s="77"/>
    </row>
    <row r="12" spans="1:16">
      <c r="A12" s="52">
        <v>9</v>
      </c>
      <c r="B12" s="226">
        <v>45878</v>
      </c>
      <c r="C12" s="78"/>
      <c r="D12" s="79"/>
      <c r="E12" s="165">
        <v>0</v>
      </c>
      <c r="F12" s="165">
        <v>0</v>
      </c>
      <c r="G12" s="150">
        <f t="shared" si="0"/>
        <v>0</v>
      </c>
      <c r="H12" s="165">
        <v>5</v>
      </c>
      <c r="I12" s="166">
        <v>103.8</v>
      </c>
      <c r="J12" s="22">
        <f t="shared" si="1"/>
        <v>519</v>
      </c>
      <c r="K12" s="22">
        <f t="shared" si="2"/>
        <v>519</v>
      </c>
      <c r="L12" s="152"/>
      <c r="M12" s="16">
        <f>M11+K12-L12</f>
        <v>13096.011500000004</v>
      </c>
      <c r="N12" s="45"/>
      <c r="O12" s="77"/>
    </row>
    <row r="13" spans="1:16">
      <c r="A13" s="52">
        <v>10</v>
      </c>
      <c r="B13" s="226">
        <v>45879</v>
      </c>
      <c r="C13" s="78"/>
      <c r="D13" s="79"/>
      <c r="E13" s="165">
        <v>50</v>
      </c>
      <c r="F13" s="165">
        <v>91.83</v>
      </c>
      <c r="G13" s="150">
        <f t="shared" si="0"/>
        <v>4591.5</v>
      </c>
      <c r="H13" s="165">
        <v>5</v>
      </c>
      <c r="I13" s="166">
        <v>103.8</v>
      </c>
      <c r="J13" s="22">
        <f t="shared" si="1"/>
        <v>519</v>
      </c>
      <c r="K13" s="22">
        <f t="shared" si="2"/>
        <v>5110.5</v>
      </c>
      <c r="L13" s="152"/>
      <c r="M13" s="16">
        <f>M12+K13-L13</f>
        <v>18206.511500000004</v>
      </c>
      <c r="N13" s="45"/>
      <c r="O13" s="77"/>
    </row>
    <row r="14" spans="1:16">
      <c r="A14" s="52">
        <v>11</v>
      </c>
      <c r="B14" s="226">
        <v>45880</v>
      </c>
      <c r="C14" s="78"/>
      <c r="D14" s="79"/>
      <c r="E14" s="165">
        <v>0</v>
      </c>
      <c r="F14" s="165">
        <v>0</v>
      </c>
      <c r="G14" s="150">
        <f t="shared" si="0"/>
        <v>0</v>
      </c>
      <c r="H14" s="165">
        <v>0</v>
      </c>
      <c r="I14" s="166">
        <v>0</v>
      </c>
      <c r="J14" s="22">
        <f t="shared" si="1"/>
        <v>0</v>
      </c>
      <c r="K14" s="22">
        <f t="shared" si="2"/>
        <v>0</v>
      </c>
      <c r="L14" s="152"/>
      <c r="M14" s="16">
        <f>M13+K14-L14</f>
        <v>18206.511500000004</v>
      </c>
      <c r="N14" s="45"/>
      <c r="O14" s="77"/>
    </row>
    <row r="15" spans="1:16">
      <c r="A15" s="52">
        <v>12</v>
      </c>
      <c r="B15" s="226">
        <v>45881</v>
      </c>
      <c r="C15" s="78"/>
      <c r="D15" s="79"/>
      <c r="E15" s="165">
        <v>0</v>
      </c>
      <c r="F15" s="165">
        <v>0</v>
      </c>
      <c r="G15" s="150">
        <f t="shared" si="0"/>
        <v>0</v>
      </c>
      <c r="H15" s="165">
        <v>0</v>
      </c>
      <c r="I15" s="166">
        <v>0</v>
      </c>
      <c r="J15" s="22">
        <f t="shared" si="1"/>
        <v>0</v>
      </c>
      <c r="K15" s="22">
        <f t="shared" si="2"/>
        <v>0</v>
      </c>
      <c r="L15" s="152"/>
      <c r="M15" s="16">
        <f>M14+K15-L15</f>
        <v>18206.511500000004</v>
      </c>
      <c r="N15" s="45"/>
      <c r="O15" s="77"/>
    </row>
    <row r="16" spans="1:16">
      <c r="A16" s="52">
        <v>13</v>
      </c>
      <c r="B16" s="226">
        <v>45882</v>
      </c>
      <c r="C16" s="78"/>
      <c r="D16" s="79"/>
      <c r="E16" s="165">
        <v>30</v>
      </c>
      <c r="F16" s="165">
        <v>91.83</v>
      </c>
      <c r="G16" s="150">
        <f t="shared" si="0"/>
        <v>2754.9</v>
      </c>
      <c r="H16" s="165">
        <v>10</v>
      </c>
      <c r="I16" s="166">
        <v>103.8</v>
      </c>
      <c r="J16" s="22">
        <f t="shared" si="1"/>
        <v>1038</v>
      </c>
      <c r="K16" s="22">
        <f t="shared" si="2"/>
        <v>3792.9</v>
      </c>
      <c r="L16" s="152"/>
      <c r="M16" s="287">
        <f>M15+K16-L16</f>
        <v>21999.411500000006</v>
      </c>
      <c r="N16" s="45"/>
      <c r="O16" s="77"/>
    </row>
    <row r="17" spans="1:18">
      <c r="A17" s="52">
        <v>14</v>
      </c>
      <c r="B17" s="226">
        <v>45883</v>
      </c>
      <c r="C17" s="78"/>
      <c r="D17" s="79"/>
      <c r="E17" s="165">
        <v>20</v>
      </c>
      <c r="F17" s="165">
        <v>91.83</v>
      </c>
      <c r="G17" s="150">
        <f t="shared" si="0"/>
        <v>1836.6</v>
      </c>
      <c r="H17" s="165">
        <v>0</v>
      </c>
      <c r="I17" s="166">
        <v>0</v>
      </c>
      <c r="J17" s="22">
        <f t="shared" si="1"/>
        <v>0</v>
      </c>
      <c r="K17" s="22">
        <f t="shared" si="2"/>
        <v>1836.6</v>
      </c>
      <c r="L17" s="152"/>
      <c r="M17" s="16">
        <f>M16+K17-L17</f>
        <v>23836.011500000004</v>
      </c>
      <c r="N17" s="45"/>
      <c r="O17" s="77"/>
    </row>
    <row r="18" spans="1:18">
      <c r="A18" s="52">
        <v>15</v>
      </c>
      <c r="B18" s="226">
        <v>45884</v>
      </c>
      <c r="C18" s="78"/>
      <c r="D18" s="79"/>
      <c r="E18" s="165">
        <v>0</v>
      </c>
      <c r="F18" s="165">
        <v>0</v>
      </c>
      <c r="G18" s="150">
        <f t="shared" si="0"/>
        <v>0</v>
      </c>
      <c r="H18" s="165">
        <v>5</v>
      </c>
      <c r="I18" s="166">
        <v>103.8</v>
      </c>
      <c r="J18" s="22">
        <f t="shared" si="1"/>
        <v>519</v>
      </c>
      <c r="K18" s="22">
        <f t="shared" si="2"/>
        <v>519</v>
      </c>
      <c r="L18" s="152"/>
      <c r="M18" s="16">
        <f>M17+K18-L18</f>
        <v>24355.011500000004</v>
      </c>
      <c r="N18" s="45"/>
      <c r="O18" s="77"/>
    </row>
    <row r="19" spans="1:18">
      <c r="A19" s="52">
        <v>16</v>
      </c>
      <c r="B19" s="226">
        <v>45885</v>
      </c>
      <c r="C19" s="212"/>
      <c r="D19" s="213"/>
      <c r="E19" s="165">
        <v>100</v>
      </c>
      <c r="F19" s="165">
        <v>91.83</v>
      </c>
      <c r="G19" s="150">
        <f t="shared" si="0"/>
        <v>9183</v>
      </c>
      <c r="H19" s="165">
        <v>5</v>
      </c>
      <c r="I19" s="166">
        <v>103.8</v>
      </c>
      <c r="J19" s="22">
        <f t="shared" si="1"/>
        <v>519</v>
      </c>
      <c r="K19" s="22">
        <f t="shared" si="2"/>
        <v>9702</v>
      </c>
      <c r="L19" s="152"/>
      <c r="M19" s="17">
        <f>M18+K19-L19</f>
        <v>34057.011500000008</v>
      </c>
      <c r="N19" s="215"/>
      <c r="O19" s="77"/>
    </row>
    <row r="20" spans="1:18">
      <c r="A20" s="52">
        <v>17</v>
      </c>
      <c r="B20" s="226">
        <v>45886</v>
      </c>
      <c r="C20" s="75"/>
      <c r="D20" s="79"/>
      <c r="E20" s="165">
        <v>50</v>
      </c>
      <c r="F20" s="165">
        <v>91.83</v>
      </c>
      <c r="G20" s="150">
        <f t="shared" si="0"/>
        <v>4591.5</v>
      </c>
      <c r="H20" s="165">
        <v>0</v>
      </c>
      <c r="I20" s="166">
        <v>0</v>
      </c>
      <c r="J20" s="22">
        <f t="shared" si="1"/>
        <v>0</v>
      </c>
      <c r="K20" s="22">
        <f t="shared" si="2"/>
        <v>4591.5</v>
      </c>
      <c r="L20" s="152"/>
      <c r="M20" s="17">
        <f>M19+K20-L20</f>
        <v>38648.511500000008</v>
      </c>
      <c r="N20" s="45"/>
      <c r="O20" s="77"/>
    </row>
    <row r="21" spans="1:18">
      <c r="A21" s="52">
        <v>18</v>
      </c>
      <c r="B21" s="226">
        <v>45887</v>
      </c>
      <c r="C21" s="75"/>
      <c r="D21" s="79"/>
      <c r="E21" s="165">
        <v>0</v>
      </c>
      <c r="F21" s="165">
        <v>0</v>
      </c>
      <c r="G21" s="150">
        <f t="shared" si="0"/>
        <v>0</v>
      </c>
      <c r="H21" s="165">
        <v>0</v>
      </c>
      <c r="I21" s="166">
        <v>0</v>
      </c>
      <c r="J21" s="22">
        <f t="shared" si="1"/>
        <v>0</v>
      </c>
      <c r="K21" s="22">
        <f t="shared" si="2"/>
        <v>0</v>
      </c>
      <c r="L21" s="152"/>
      <c r="M21" s="17">
        <f>M20+K21-L21</f>
        <v>38648.511500000008</v>
      </c>
      <c r="N21" s="45"/>
      <c r="O21" s="77"/>
    </row>
    <row r="22" spans="1:18">
      <c r="A22" s="52">
        <v>19</v>
      </c>
      <c r="B22" s="226">
        <v>45888</v>
      </c>
      <c r="C22" s="75"/>
      <c r="D22" s="79"/>
      <c r="E22" s="165">
        <v>0</v>
      </c>
      <c r="F22" s="165">
        <v>0</v>
      </c>
      <c r="G22" s="150">
        <f t="shared" si="0"/>
        <v>0</v>
      </c>
      <c r="H22" s="165">
        <v>0</v>
      </c>
      <c r="I22" s="166">
        <v>0</v>
      </c>
      <c r="J22" s="22">
        <f t="shared" si="1"/>
        <v>0</v>
      </c>
      <c r="K22" s="22">
        <f t="shared" si="2"/>
        <v>0</v>
      </c>
      <c r="L22" s="152"/>
      <c r="M22" s="17">
        <f t="shared" ref="M22:M30" si="3">M21+K22-L22</f>
        <v>38648.511500000008</v>
      </c>
      <c r="N22" s="45"/>
      <c r="O22" s="77"/>
    </row>
    <row r="23" spans="1:18">
      <c r="A23" s="52">
        <v>20</v>
      </c>
      <c r="B23" s="226">
        <v>45889</v>
      </c>
      <c r="C23" s="75"/>
      <c r="D23" s="79"/>
      <c r="E23" s="165">
        <v>0</v>
      </c>
      <c r="F23" s="165">
        <v>0</v>
      </c>
      <c r="G23" s="150">
        <f t="shared" si="0"/>
        <v>0</v>
      </c>
      <c r="H23" s="165">
        <v>5</v>
      </c>
      <c r="I23" s="166">
        <v>103.8</v>
      </c>
      <c r="J23" s="22">
        <f t="shared" si="1"/>
        <v>519</v>
      </c>
      <c r="K23" s="22">
        <f t="shared" si="2"/>
        <v>519</v>
      </c>
      <c r="L23" s="152"/>
      <c r="M23" s="17">
        <f t="shared" si="3"/>
        <v>39167.511500000008</v>
      </c>
      <c r="N23" s="45"/>
      <c r="O23" s="77"/>
    </row>
    <row r="24" spans="1:18">
      <c r="A24" s="52">
        <v>21</v>
      </c>
      <c r="B24" s="226">
        <v>45890</v>
      </c>
      <c r="C24" s="75"/>
      <c r="D24" s="79"/>
      <c r="E24" s="165">
        <v>50</v>
      </c>
      <c r="F24" s="165">
        <v>91.83</v>
      </c>
      <c r="G24" s="150">
        <f t="shared" si="0"/>
        <v>4591.5</v>
      </c>
      <c r="H24" s="165">
        <v>5</v>
      </c>
      <c r="I24" s="166">
        <v>103.8</v>
      </c>
      <c r="J24" s="22">
        <f t="shared" si="1"/>
        <v>519</v>
      </c>
      <c r="K24" s="22">
        <f t="shared" si="2"/>
        <v>5110.5</v>
      </c>
      <c r="L24" s="152"/>
      <c r="M24" s="17">
        <f t="shared" si="3"/>
        <v>44278.011500000008</v>
      </c>
      <c r="N24" s="45"/>
      <c r="O24" s="77"/>
    </row>
    <row r="25" spans="1:18">
      <c r="A25" s="52">
        <v>22</v>
      </c>
      <c r="B25" s="226">
        <v>45891</v>
      </c>
      <c r="C25" s="75"/>
      <c r="D25" s="79"/>
      <c r="E25" s="165">
        <v>0</v>
      </c>
      <c r="F25" s="165">
        <v>0</v>
      </c>
      <c r="G25" s="150">
        <f t="shared" si="0"/>
        <v>0</v>
      </c>
      <c r="H25" s="165">
        <v>0</v>
      </c>
      <c r="I25" s="166">
        <v>0</v>
      </c>
      <c r="J25" s="22">
        <f t="shared" si="1"/>
        <v>0</v>
      </c>
      <c r="K25" s="22">
        <f t="shared" si="2"/>
        <v>0</v>
      </c>
      <c r="L25" s="152"/>
      <c r="M25" s="17">
        <f t="shared" si="3"/>
        <v>44278.011500000008</v>
      </c>
      <c r="N25" s="45"/>
      <c r="O25" s="77"/>
    </row>
    <row r="26" spans="1:18">
      <c r="A26" s="52">
        <v>23</v>
      </c>
      <c r="B26" s="226">
        <v>45892</v>
      </c>
      <c r="C26" s="75"/>
      <c r="D26" s="79"/>
      <c r="E26" s="165">
        <v>0</v>
      </c>
      <c r="F26" s="165">
        <v>0</v>
      </c>
      <c r="G26" s="150">
        <f t="shared" si="0"/>
        <v>0</v>
      </c>
      <c r="H26" s="165">
        <v>5</v>
      </c>
      <c r="I26" s="166">
        <v>103.8</v>
      </c>
      <c r="J26" s="22">
        <f t="shared" si="1"/>
        <v>519</v>
      </c>
      <c r="K26" s="22">
        <f t="shared" si="2"/>
        <v>519</v>
      </c>
      <c r="L26" s="152"/>
      <c r="M26" s="17">
        <f t="shared" si="3"/>
        <v>44797.011500000008</v>
      </c>
      <c r="N26" s="45"/>
      <c r="O26" s="77"/>
    </row>
    <row r="27" spans="1:18">
      <c r="A27" s="52">
        <v>24</v>
      </c>
      <c r="B27" s="226">
        <v>45893</v>
      </c>
      <c r="C27" s="75"/>
      <c r="D27" s="79"/>
      <c r="E27" s="165">
        <v>0</v>
      </c>
      <c r="F27" s="165">
        <v>0</v>
      </c>
      <c r="G27" s="150">
        <f t="shared" si="0"/>
        <v>0</v>
      </c>
      <c r="H27" s="165">
        <v>0</v>
      </c>
      <c r="I27" s="166">
        <v>0</v>
      </c>
      <c r="J27" s="22">
        <f t="shared" si="1"/>
        <v>0</v>
      </c>
      <c r="K27" s="22">
        <f t="shared" si="2"/>
        <v>0</v>
      </c>
      <c r="L27" s="152"/>
      <c r="M27" s="17">
        <f t="shared" si="3"/>
        <v>44797.011500000008</v>
      </c>
      <c r="N27" s="45"/>
      <c r="O27" s="77"/>
      <c r="R27">
        <v>66742</v>
      </c>
    </row>
    <row r="28" spans="1:18">
      <c r="A28" s="253">
        <v>25</v>
      </c>
      <c r="B28" s="226">
        <v>45894</v>
      </c>
      <c r="C28" s="220"/>
      <c r="D28" s="213"/>
      <c r="E28" s="165">
        <v>0</v>
      </c>
      <c r="F28" s="165">
        <v>0</v>
      </c>
      <c r="G28" s="150">
        <f t="shared" si="0"/>
        <v>0</v>
      </c>
      <c r="H28" s="165">
        <v>10</v>
      </c>
      <c r="I28" s="166">
        <v>103.8</v>
      </c>
      <c r="J28" s="22">
        <f t="shared" si="1"/>
        <v>1038</v>
      </c>
      <c r="K28" s="22">
        <f t="shared" si="2"/>
        <v>1038</v>
      </c>
      <c r="L28" s="152"/>
      <c r="M28" s="17">
        <f t="shared" si="3"/>
        <v>45835.011500000008</v>
      </c>
      <c r="N28" s="215"/>
      <c r="O28" s="77"/>
    </row>
    <row r="29" spans="1:18">
      <c r="A29" s="52">
        <v>26</v>
      </c>
      <c r="B29" s="226">
        <v>45895</v>
      </c>
      <c r="C29" s="75"/>
      <c r="D29" s="79"/>
      <c r="E29" s="165">
        <v>50</v>
      </c>
      <c r="F29" s="165">
        <v>91.83</v>
      </c>
      <c r="G29" s="150">
        <f t="shared" si="0"/>
        <v>4591.5</v>
      </c>
      <c r="H29" s="165">
        <v>0</v>
      </c>
      <c r="I29" s="166">
        <v>0</v>
      </c>
      <c r="J29" s="22">
        <f t="shared" si="1"/>
        <v>0</v>
      </c>
      <c r="K29" s="22">
        <f t="shared" si="2"/>
        <v>4591.5</v>
      </c>
      <c r="L29" s="152"/>
      <c r="M29" s="17">
        <f t="shared" si="3"/>
        <v>50426.511500000008</v>
      </c>
      <c r="N29" s="45"/>
      <c r="O29" s="77"/>
    </row>
    <row r="30" spans="1:18">
      <c r="A30" s="52">
        <v>27</v>
      </c>
      <c r="B30" s="226">
        <v>45896</v>
      </c>
      <c r="C30" s="75"/>
      <c r="D30" s="79"/>
      <c r="E30" s="165">
        <v>0</v>
      </c>
      <c r="F30" s="165">
        <v>0</v>
      </c>
      <c r="G30" s="150">
        <f t="shared" si="0"/>
        <v>0</v>
      </c>
      <c r="H30" s="165">
        <v>0</v>
      </c>
      <c r="I30" s="166">
        <v>0</v>
      </c>
      <c r="J30" s="22">
        <f t="shared" si="1"/>
        <v>0</v>
      </c>
      <c r="K30" s="22">
        <f t="shared" si="2"/>
        <v>0</v>
      </c>
      <c r="L30" s="152"/>
      <c r="M30" s="17">
        <f t="shared" si="3"/>
        <v>50426.511500000008</v>
      </c>
      <c r="N30" s="45"/>
      <c r="O30" s="77"/>
    </row>
    <row r="31" spans="1:18">
      <c r="A31" s="52">
        <v>28</v>
      </c>
      <c r="B31" s="226">
        <v>45897</v>
      </c>
      <c r="C31" s="75"/>
      <c r="D31" s="79"/>
      <c r="E31" s="165">
        <v>0</v>
      </c>
      <c r="F31" s="165">
        <v>0</v>
      </c>
      <c r="G31" s="150">
        <f t="shared" si="0"/>
        <v>0</v>
      </c>
      <c r="H31" s="165">
        <v>0</v>
      </c>
      <c r="I31" s="166">
        <v>0</v>
      </c>
      <c r="J31" s="22">
        <f t="shared" si="1"/>
        <v>0</v>
      </c>
      <c r="K31" s="22">
        <f t="shared" si="2"/>
        <v>0</v>
      </c>
      <c r="L31" s="152"/>
      <c r="M31" s="17">
        <f>M30+K31-L31</f>
        <v>50426.511500000008</v>
      </c>
      <c r="N31" s="45"/>
      <c r="O31" s="77"/>
    </row>
    <row r="32" spans="1:18">
      <c r="A32" s="52">
        <v>29</v>
      </c>
      <c r="B32" s="226">
        <v>45898</v>
      </c>
      <c r="C32" s="75"/>
      <c r="D32" s="79"/>
      <c r="E32" s="165">
        <v>100</v>
      </c>
      <c r="F32" s="165">
        <v>91.83</v>
      </c>
      <c r="G32" s="150">
        <f t="shared" si="0"/>
        <v>9183</v>
      </c>
      <c r="H32" s="165">
        <v>0</v>
      </c>
      <c r="I32" s="166">
        <v>0</v>
      </c>
      <c r="J32" s="22">
        <f t="shared" si="1"/>
        <v>0</v>
      </c>
      <c r="K32" s="22">
        <f t="shared" si="2"/>
        <v>9183</v>
      </c>
      <c r="L32" s="152"/>
      <c r="M32" s="17">
        <f>M31+K32-L32</f>
        <v>59609.511500000008</v>
      </c>
      <c r="N32" s="45"/>
      <c r="O32" s="77"/>
    </row>
    <row r="33" spans="1:15">
      <c r="A33" s="52">
        <v>30</v>
      </c>
      <c r="B33" s="226">
        <v>45899</v>
      </c>
      <c r="C33" s="75"/>
      <c r="D33" s="79"/>
      <c r="E33" s="165">
        <v>0</v>
      </c>
      <c r="F33" s="165">
        <v>0</v>
      </c>
      <c r="G33" s="150">
        <f t="shared" si="0"/>
        <v>0</v>
      </c>
      <c r="H33" s="165">
        <v>5</v>
      </c>
      <c r="I33" s="166">
        <v>103.8</v>
      </c>
      <c r="J33" s="22">
        <f t="shared" si="1"/>
        <v>519</v>
      </c>
      <c r="K33" s="22">
        <f t="shared" si="2"/>
        <v>519</v>
      </c>
      <c r="L33" s="152"/>
      <c r="M33" s="17">
        <f>M32+K33-L33</f>
        <v>60128.511500000008</v>
      </c>
      <c r="N33" s="45"/>
      <c r="O33" s="77"/>
    </row>
    <row r="34" spans="1:15">
      <c r="A34" s="52">
        <v>31</v>
      </c>
      <c r="B34" s="226"/>
      <c r="C34" s="75"/>
      <c r="D34" s="79"/>
      <c r="E34" s="165">
        <v>0</v>
      </c>
      <c r="F34" s="165">
        <v>0</v>
      </c>
      <c r="G34" s="150">
        <f t="shared" si="0"/>
        <v>0</v>
      </c>
      <c r="H34" s="165">
        <v>0</v>
      </c>
      <c r="I34" s="166">
        <v>0</v>
      </c>
      <c r="J34" s="22">
        <f t="shared" si="1"/>
        <v>0</v>
      </c>
      <c r="K34" s="22">
        <f t="shared" si="2"/>
        <v>0</v>
      </c>
      <c r="L34" s="152"/>
      <c r="M34" s="17">
        <f>M33+K34-L34</f>
        <v>60128.511500000008</v>
      </c>
      <c r="N34" s="45"/>
      <c r="O34" s="77"/>
    </row>
    <row r="35" spans="1:15">
      <c r="A35" s="172"/>
      <c r="B35" s="172"/>
      <c r="C35" s="172"/>
      <c r="D35" s="172"/>
      <c r="E35" s="173">
        <f>SUM(E4:E34)</f>
        <v>570</v>
      </c>
      <c r="F35" s="173"/>
      <c r="G35" s="173">
        <f>SUM(G4:G34)</f>
        <v>52343.1</v>
      </c>
      <c r="H35" s="173">
        <f>SUM(H4:H34)</f>
        <v>70</v>
      </c>
      <c r="I35" s="173"/>
      <c r="J35" s="173">
        <f>SUM(J4:J34)</f>
        <v>7266</v>
      </c>
      <c r="K35" s="173">
        <f>SUM(K4:K34)</f>
        <v>59609.1</v>
      </c>
      <c r="L35" s="173">
        <f>SUM(L4:L34)</f>
        <v>21207</v>
      </c>
      <c r="M35" s="173"/>
      <c r="N35" s="173"/>
      <c r="O35" s="67"/>
    </row>
    <row r="36" spans="1:15">
      <c r="A36" s="81"/>
      <c r="B36" s="82"/>
      <c r="C36" s="81"/>
      <c r="D36" s="81"/>
      <c r="E36" s="83"/>
      <c r="F36" s="83"/>
      <c r="G36" s="83"/>
      <c r="H36" s="83"/>
      <c r="I36" s="83"/>
      <c r="J36" s="84"/>
      <c r="K36" s="84"/>
      <c r="L36" s="84"/>
      <c r="M36" s="84"/>
      <c r="N36" s="83"/>
      <c r="O36" s="77"/>
    </row>
    <row r="37" spans="1:15">
      <c r="O37" s="77"/>
    </row>
    <row r="38" spans="1:15">
      <c r="O38" s="77"/>
    </row>
    <row r="39" spans="1:15">
      <c r="O39" s="77"/>
    </row>
    <row r="40" spans="1:15">
      <c r="O40" s="77"/>
    </row>
    <row r="41" spans="1:15">
      <c r="O41" s="77"/>
    </row>
    <row r="42" spans="1:15">
      <c r="A42" s="77"/>
      <c r="B42" s="67"/>
      <c r="C42" s="77"/>
      <c r="D42" s="77"/>
      <c r="E42" s="77"/>
      <c r="F42" s="77"/>
      <c r="G42" s="85"/>
      <c r="H42" s="77"/>
      <c r="I42" s="77"/>
      <c r="J42" s="67"/>
      <c r="K42" s="67"/>
      <c r="L42" s="67"/>
      <c r="M42" s="67"/>
      <c r="N42" s="77"/>
      <c r="O42" s="83"/>
    </row>
    <row r="43" spans="1:15">
      <c r="A43" s="77"/>
      <c r="B43" s="420"/>
      <c r="C43" s="420"/>
      <c r="D43" s="420"/>
      <c r="E43" s="420"/>
      <c r="F43" s="77"/>
      <c r="G43" s="77"/>
      <c r="H43" s="77"/>
      <c r="I43" s="420"/>
      <c r="J43" s="420"/>
      <c r="K43" s="420"/>
      <c r="L43" s="420"/>
      <c r="M43" s="420"/>
      <c r="N43" s="420"/>
      <c r="O43" s="83"/>
    </row>
    <row r="44" spans="1:15">
      <c r="A44" s="77"/>
      <c r="B44" s="67"/>
      <c r="C44" s="77"/>
      <c r="D44" s="77"/>
      <c r="E44" s="77"/>
      <c r="F44" s="77"/>
      <c r="G44" s="77"/>
      <c r="H44" s="77"/>
      <c r="I44" s="77"/>
      <c r="J44" s="67"/>
      <c r="K44" s="67"/>
      <c r="L44" s="67"/>
      <c r="M44" s="67"/>
      <c r="N44" s="77"/>
      <c r="O44" s="83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6"/>
  <sheetViews>
    <sheetView workbookViewId="0">
      <pane ySplit="2" topLeftCell="A3" activePane="bottomLeft" state="frozen"/>
      <selection pane="bottomLeft" activeCell="K51" sqref="K51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11" bestFit="1" customWidth="1"/>
    <col min="8" max="8" width="11.140625" style="5" customWidth="1"/>
    <col min="9" max="9" width="9.140625" style="5"/>
    <col min="10" max="10" width="10.85546875" style="111" bestFit="1" customWidth="1"/>
    <col min="11" max="11" width="12.85546875" style="5" customWidth="1"/>
    <col min="12" max="12" width="13.5703125" style="111" bestFit="1" customWidth="1"/>
    <col min="13" max="13" width="13.5703125" style="111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5" ht="15.75">
      <c r="A1" s="416" t="s">
        <v>119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</row>
    <row r="2" spans="1:15" ht="18" customHeight="1">
      <c r="A2" s="72" t="s">
        <v>94</v>
      </c>
      <c r="B2" s="92" t="s">
        <v>95</v>
      </c>
      <c r="C2" s="92" t="s">
        <v>96</v>
      </c>
      <c r="D2" s="92" t="s">
        <v>111</v>
      </c>
      <c r="E2" s="92" t="s">
        <v>98</v>
      </c>
      <c r="F2" s="92" t="s">
        <v>99</v>
      </c>
      <c r="G2" s="99" t="s">
        <v>100</v>
      </c>
      <c r="H2" s="92" t="s">
        <v>101</v>
      </c>
      <c r="I2" s="92" t="s">
        <v>99</v>
      </c>
      <c r="J2" s="99" t="s">
        <v>100</v>
      </c>
      <c r="K2" s="72" t="s">
        <v>102</v>
      </c>
      <c r="L2" s="100" t="s">
        <v>103</v>
      </c>
      <c r="M2" s="137" t="s">
        <v>110</v>
      </c>
      <c r="N2" s="92" t="s">
        <v>105</v>
      </c>
    </row>
    <row r="3" spans="1:15" ht="18" customHeight="1">
      <c r="A3" s="430" t="s">
        <v>106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354"/>
      <c r="N3" s="353">
        <v>3504.4806999999928</v>
      </c>
      <c r="O3" s="5">
        <v>3464.8446999999942</v>
      </c>
    </row>
    <row r="4" spans="1:15">
      <c r="A4" s="6">
        <v>1</v>
      </c>
      <c r="B4" s="87" t="s">
        <v>120</v>
      </c>
      <c r="C4" s="6"/>
      <c r="D4" s="6"/>
      <c r="E4" s="73">
        <v>130</v>
      </c>
      <c r="F4" s="6">
        <v>91.5</v>
      </c>
      <c r="G4" s="74">
        <f>E4*F4</f>
        <v>11895</v>
      </c>
      <c r="H4" s="73">
        <v>13.76</v>
      </c>
      <c r="I4" s="6">
        <v>103.44</v>
      </c>
      <c r="J4" s="74">
        <f>H4*I4</f>
        <v>1423.3344</v>
      </c>
      <c r="K4" s="74">
        <f>G4+J4</f>
        <v>13318.3344</v>
      </c>
      <c r="L4" s="74">
        <v>0</v>
      </c>
      <c r="M4" s="355">
        <f>+N3+K4-L4</f>
        <v>16822.815099999993</v>
      </c>
      <c r="N4" s="52" t="s">
        <v>121</v>
      </c>
    </row>
    <row r="5" spans="1:15">
      <c r="A5" s="6">
        <v>2</v>
      </c>
      <c r="B5" s="87"/>
      <c r="C5" s="6"/>
      <c r="D5" s="6"/>
      <c r="E5" s="73">
        <v>0</v>
      </c>
      <c r="F5" s="6">
        <v>0</v>
      </c>
      <c r="G5" s="74">
        <f t="shared" ref="G5:G34" si="0">E5*F5</f>
        <v>0</v>
      </c>
      <c r="H5" s="73">
        <v>0</v>
      </c>
      <c r="I5" s="6">
        <v>0</v>
      </c>
      <c r="J5" s="74">
        <f t="shared" ref="J5:J34" si="1">H5*I5</f>
        <v>0</v>
      </c>
      <c r="K5" s="74">
        <f t="shared" ref="K5:K34" si="2">G5+J5</f>
        <v>0</v>
      </c>
      <c r="L5" s="74">
        <v>0</v>
      </c>
      <c r="M5" s="160">
        <f t="shared" ref="M5:M45" si="3">M4+K5-L5</f>
        <v>16822.815099999993</v>
      </c>
      <c r="N5" s="52" t="s">
        <v>121</v>
      </c>
    </row>
    <row r="6" spans="1:15">
      <c r="A6" s="6">
        <v>3</v>
      </c>
      <c r="B6" s="87" t="s">
        <v>122</v>
      </c>
      <c r="C6" s="6"/>
      <c r="D6" s="6"/>
      <c r="E6" s="73">
        <v>44.29</v>
      </c>
      <c r="F6" s="6">
        <v>91.5</v>
      </c>
      <c r="G6" s="74">
        <f t="shared" si="0"/>
        <v>4052.5349999999999</v>
      </c>
      <c r="H6" s="73">
        <v>0</v>
      </c>
      <c r="I6" s="6">
        <v>0</v>
      </c>
      <c r="J6" s="74">
        <f t="shared" si="1"/>
        <v>0</v>
      </c>
      <c r="K6" s="74">
        <f t="shared" si="2"/>
        <v>4052.5349999999999</v>
      </c>
      <c r="L6" s="74">
        <v>0</v>
      </c>
      <c r="M6" s="160">
        <f t="shared" si="3"/>
        <v>20875.350099999992</v>
      </c>
      <c r="N6" s="52" t="s">
        <v>121</v>
      </c>
    </row>
    <row r="7" spans="1:15">
      <c r="A7" s="6"/>
      <c r="B7" s="87" t="s">
        <v>123</v>
      </c>
      <c r="C7" s="6"/>
      <c r="D7" s="6"/>
      <c r="E7" s="73">
        <v>45.68</v>
      </c>
      <c r="F7" s="6">
        <v>91.5</v>
      </c>
      <c r="G7" s="74">
        <f t="shared" si="0"/>
        <v>4179.72</v>
      </c>
      <c r="H7" s="73"/>
      <c r="I7" s="6"/>
      <c r="J7" s="74"/>
      <c r="K7" s="74">
        <f t="shared" si="2"/>
        <v>4179.72</v>
      </c>
      <c r="L7" s="74">
        <v>20000</v>
      </c>
      <c r="M7" s="160">
        <f t="shared" si="3"/>
        <v>5055.0700999999935</v>
      </c>
      <c r="N7" s="52" t="s">
        <v>121</v>
      </c>
    </row>
    <row r="8" spans="1:15">
      <c r="A8" s="6">
        <v>4</v>
      </c>
      <c r="B8" s="87" t="s">
        <v>124</v>
      </c>
      <c r="C8" s="6"/>
      <c r="D8" s="6"/>
      <c r="E8" s="73">
        <v>39.5</v>
      </c>
      <c r="F8" s="6">
        <v>91.5</v>
      </c>
      <c r="G8" s="74">
        <f t="shared" si="0"/>
        <v>3614.25</v>
      </c>
      <c r="H8" s="73">
        <v>10.99</v>
      </c>
      <c r="I8" s="6">
        <v>103.44</v>
      </c>
      <c r="J8" s="74">
        <f t="shared" si="1"/>
        <v>1136.8055999999999</v>
      </c>
      <c r="K8" s="74">
        <f t="shared" si="2"/>
        <v>4751.0555999999997</v>
      </c>
      <c r="L8" s="74">
        <v>0</v>
      </c>
      <c r="M8" s="160">
        <f t="shared" si="3"/>
        <v>9806.1256999999932</v>
      </c>
      <c r="N8" s="52" t="s">
        <v>121</v>
      </c>
    </row>
    <row r="9" spans="1:15">
      <c r="A9" s="6">
        <v>5</v>
      </c>
      <c r="B9" s="87" t="s">
        <v>125</v>
      </c>
      <c r="C9" s="6"/>
      <c r="D9" s="6"/>
      <c r="E9" s="73">
        <v>0</v>
      </c>
      <c r="F9" s="6">
        <v>91.5</v>
      </c>
      <c r="G9" s="74">
        <f t="shared" si="0"/>
        <v>0</v>
      </c>
      <c r="H9" s="73">
        <v>3</v>
      </c>
      <c r="I9" s="6">
        <v>103.44</v>
      </c>
      <c r="J9" s="74">
        <f t="shared" si="1"/>
        <v>310.32</v>
      </c>
      <c r="K9" s="74">
        <f t="shared" si="2"/>
        <v>310.32</v>
      </c>
      <c r="L9" s="74">
        <v>0</v>
      </c>
      <c r="M9" s="160">
        <f t="shared" si="3"/>
        <v>10116.445699999993</v>
      </c>
      <c r="N9" s="52" t="s">
        <v>121</v>
      </c>
    </row>
    <row r="10" spans="1:15">
      <c r="A10" s="6">
        <v>6</v>
      </c>
      <c r="B10" s="87" t="s">
        <v>126</v>
      </c>
      <c r="C10" s="6"/>
      <c r="D10" s="6"/>
      <c r="E10" s="73">
        <v>86.93</v>
      </c>
      <c r="F10" s="6">
        <v>91.5</v>
      </c>
      <c r="G10" s="74">
        <f t="shared" si="0"/>
        <v>7954.0950000000003</v>
      </c>
      <c r="H10" s="73">
        <v>0</v>
      </c>
      <c r="I10" s="6">
        <v>0</v>
      </c>
      <c r="J10" s="74">
        <f t="shared" si="1"/>
        <v>0</v>
      </c>
      <c r="K10" s="74">
        <f t="shared" si="2"/>
        <v>7954.0950000000003</v>
      </c>
      <c r="L10" s="74">
        <v>0</v>
      </c>
      <c r="M10" s="160">
        <f t="shared" si="3"/>
        <v>18070.540699999994</v>
      </c>
      <c r="N10" s="52" t="s">
        <v>121</v>
      </c>
    </row>
    <row r="11" spans="1:15">
      <c r="A11" s="6">
        <v>7</v>
      </c>
      <c r="B11" s="87" t="s">
        <v>127</v>
      </c>
      <c r="C11" s="6"/>
      <c r="D11" s="6"/>
      <c r="E11" s="73">
        <v>57.81</v>
      </c>
      <c r="F11" s="6">
        <v>91.5</v>
      </c>
      <c r="G11" s="74">
        <f t="shared" si="0"/>
        <v>5289.6149999999998</v>
      </c>
      <c r="H11" s="73">
        <v>12.18</v>
      </c>
      <c r="I11" s="6">
        <v>103.44</v>
      </c>
      <c r="J11" s="74">
        <f t="shared" si="1"/>
        <v>1259.8991999999998</v>
      </c>
      <c r="K11" s="74">
        <f t="shared" si="2"/>
        <v>6549.5141999999996</v>
      </c>
      <c r="L11" s="74">
        <v>18000</v>
      </c>
      <c r="M11" s="160">
        <f t="shared" si="3"/>
        <v>6620.0548999999955</v>
      </c>
      <c r="N11" s="52" t="s">
        <v>121</v>
      </c>
    </row>
    <row r="12" spans="1:15">
      <c r="A12" s="6">
        <v>8</v>
      </c>
      <c r="B12" s="87" t="s">
        <v>128</v>
      </c>
      <c r="C12" s="6"/>
      <c r="D12" s="6"/>
      <c r="E12" s="73">
        <v>16.52</v>
      </c>
      <c r="F12" s="6">
        <v>90.81</v>
      </c>
      <c r="G12" s="74">
        <f t="shared" si="0"/>
        <v>1500.1812</v>
      </c>
      <c r="H12" s="73">
        <v>0</v>
      </c>
      <c r="I12" s="6">
        <v>103.44</v>
      </c>
      <c r="J12" s="74">
        <f t="shared" si="1"/>
        <v>0</v>
      </c>
      <c r="K12" s="74">
        <f t="shared" si="2"/>
        <v>1500.1812</v>
      </c>
      <c r="L12" s="74">
        <v>1500</v>
      </c>
      <c r="M12" s="160">
        <f t="shared" si="3"/>
        <v>6620.2360999999955</v>
      </c>
      <c r="N12" s="52" t="s">
        <v>121</v>
      </c>
    </row>
    <row r="13" spans="1:15">
      <c r="A13" s="6">
        <v>9</v>
      </c>
      <c r="B13" s="87" t="s">
        <v>129</v>
      </c>
      <c r="C13" s="6"/>
      <c r="D13" s="6"/>
      <c r="E13" s="73">
        <v>0</v>
      </c>
      <c r="F13" s="6">
        <v>0</v>
      </c>
      <c r="G13" s="74">
        <f t="shared" si="0"/>
        <v>0</v>
      </c>
      <c r="H13" s="73">
        <v>12.9</v>
      </c>
      <c r="I13" s="6">
        <v>103.44</v>
      </c>
      <c r="J13" s="74">
        <f t="shared" si="1"/>
        <v>1334.376</v>
      </c>
      <c r="K13" s="74">
        <f t="shared" si="2"/>
        <v>1334.376</v>
      </c>
      <c r="L13" s="74">
        <v>0</v>
      </c>
      <c r="M13" s="160">
        <f t="shared" si="3"/>
        <v>7954.6120999999957</v>
      </c>
      <c r="N13" s="52" t="s">
        <v>121</v>
      </c>
    </row>
    <row r="14" spans="1:15">
      <c r="A14" s="6">
        <v>10</v>
      </c>
      <c r="B14" s="87" t="s">
        <v>130</v>
      </c>
      <c r="C14" s="6"/>
      <c r="D14" s="6"/>
      <c r="E14" s="73">
        <v>42.21</v>
      </c>
      <c r="F14" s="6">
        <v>90.81</v>
      </c>
      <c r="G14" s="74">
        <f t="shared" si="0"/>
        <v>3833.0901000000003</v>
      </c>
      <c r="H14" s="73">
        <v>0</v>
      </c>
      <c r="I14" s="6">
        <v>0</v>
      </c>
      <c r="J14" s="74">
        <f t="shared" si="1"/>
        <v>0</v>
      </c>
      <c r="K14" s="74">
        <f t="shared" si="2"/>
        <v>3833.0901000000003</v>
      </c>
      <c r="L14" s="74">
        <v>0</v>
      </c>
      <c r="M14" s="160">
        <f t="shared" si="3"/>
        <v>11787.702199999996</v>
      </c>
      <c r="N14" s="52" t="s">
        <v>121</v>
      </c>
    </row>
    <row r="15" spans="1:15">
      <c r="A15" s="6">
        <v>11</v>
      </c>
      <c r="B15" s="87" t="s">
        <v>131</v>
      </c>
      <c r="C15" s="6"/>
      <c r="D15" s="6"/>
      <c r="E15" s="73">
        <v>0</v>
      </c>
      <c r="F15" s="6">
        <v>0</v>
      </c>
      <c r="G15" s="74">
        <f t="shared" si="0"/>
        <v>0</v>
      </c>
      <c r="H15" s="73">
        <v>0</v>
      </c>
      <c r="I15" s="6">
        <v>0</v>
      </c>
      <c r="J15" s="74">
        <f t="shared" si="1"/>
        <v>0</v>
      </c>
      <c r="K15" s="74">
        <f t="shared" si="2"/>
        <v>0</v>
      </c>
      <c r="L15" s="74">
        <v>11855.13</v>
      </c>
      <c r="M15" s="160">
        <f t="shared" si="3"/>
        <v>-67.427800000003117</v>
      </c>
      <c r="N15" s="52" t="s">
        <v>121</v>
      </c>
    </row>
    <row r="16" spans="1:15">
      <c r="A16" s="6">
        <v>12</v>
      </c>
      <c r="B16" s="87" t="s">
        <v>132</v>
      </c>
      <c r="C16" s="6"/>
      <c r="D16" s="6"/>
      <c r="E16" s="73">
        <v>37.619999999999997</v>
      </c>
      <c r="F16" s="6">
        <v>91.5</v>
      </c>
      <c r="G16" s="74">
        <f t="shared" si="0"/>
        <v>3442.2299999999996</v>
      </c>
      <c r="H16" s="73">
        <v>0</v>
      </c>
      <c r="I16" s="6">
        <v>0</v>
      </c>
      <c r="J16" s="74">
        <f t="shared" si="1"/>
        <v>0</v>
      </c>
      <c r="K16" s="74">
        <f t="shared" si="2"/>
        <v>3442.2299999999996</v>
      </c>
      <c r="L16" s="74">
        <v>0</v>
      </c>
      <c r="M16" s="160">
        <f t="shared" si="3"/>
        <v>3374.8021999999964</v>
      </c>
      <c r="N16" s="52" t="s">
        <v>121</v>
      </c>
    </row>
    <row r="17" spans="1:14">
      <c r="A17" s="6">
        <v>13</v>
      </c>
      <c r="B17" s="87" t="s">
        <v>133</v>
      </c>
      <c r="C17" s="6"/>
      <c r="D17" s="6"/>
      <c r="E17" s="73">
        <v>32.380000000000003</v>
      </c>
      <c r="F17" s="6">
        <v>91.5</v>
      </c>
      <c r="G17" s="74">
        <f t="shared" si="0"/>
        <v>2962.7700000000004</v>
      </c>
      <c r="H17" s="73">
        <v>0</v>
      </c>
      <c r="I17" s="6">
        <v>0</v>
      </c>
      <c r="J17" s="74">
        <f t="shared" si="1"/>
        <v>0</v>
      </c>
      <c r="K17" s="74">
        <f t="shared" si="2"/>
        <v>2962.7700000000004</v>
      </c>
      <c r="L17" s="74">
        <v>0</v>
      </c>
      <c r="M17" s="160">
        <f t="shared" si="3"/>
        <v>6337.5721999999969</v>
      </c>
      <c r="N17" s="52" t="s">
        <v>121</v>
      </c>
    </row>
    <row r="18" spans="1:14">
      <c r="A18" s="6">
        <v>14</v>
      </c>
      <c r="B18" s="87" t="s">
        <v>134</v>
      </c>
      <c r="C18" s="6"/>
      <c r="D18" s="6"/>
      <c r="E18" s="73">
        <v>0</v>
      </c>
      <c r="F18" s="6">
        <v>0</v>
      </c>
      <c r="G18" s="74">
        <f t="shared" si="0"/>
        <v>0</v>
      </c>
      <c r="H18" s="73">
        <v>4.83</v>
      </c>
      <c r="I18" s="6">
        <v>103.44</v>
      </c>
      <c r="J18" s="74">
        <f t="shared" si="1"/>
        <v>499.61520000000002</v>
      </c>
      <c r="K18" s="74">
        <f t="shared" si="2"/>
        <v>499.61520000000002</v>
      </c>
      <c r="L18" s="74">
        <v>0</v>
      </c>
      <c r="M18" s="160">
        <f t="shared" si="3"/>
        <v>6837.1873999999971</v>
      </c>
      <c r="N18" s="52" t="s">
        <v>121</v>
      </c>
    </row>
    <row r="19" spans="1:14">
      <c r="A19" s="6">
        <v>15</v>
      </c>
      <c r="B19" s="87" t="s">
        <v>135</v>
      </c>
      <c r="C19" s="6"/>
      <c r="D19" s="6"/>
      <c r="E19" s="73">
        <v>80.510000000000005</v>
      </c>
      <c r="F19" s="6">
        <v>91.5</v>
      </c>
      <c r="G19" s="74">
        <f t="shared" si="0"/>
        <v>7366.6650000000009</v>
      </c>
      <c r="H19" s="73">
        <v>5</v>
      </c>
      <c r="I19" s="6">
        <v>103.44</v>
      </c>
      <c r="J19" s="74">
        <f t="shared" si="1"/>
        <v>517.20000000000005</v>
      </c>
      <c r="K19" s="74">
        <f t="shared" si="2"/>
        <v>7883.8650000000007</v>
      </c>
      <c r="L19" s="74">
        <v>0</v>
      </c>
      <c r="M19" s="160">
        <f t="shared" si="3"/>
        <v>14721.052399999997</v>
      </c>
      <c r="N19" s="52" t="s">
        <v>121</v>
      </c>
    </row>
    <row r="20" spans="1:14">
      <c r="A20" s="6">
        <v>16</v>
      </c>
      <c r="B20" s="87" t="s">
        <v>136</v>
      </c>
      <c r="C20" s="6"/>
      <c r="D20" s="6"/>
      <c r="E20" s="73">
        <v>0</v>
      </c>
      <c r="F20" s="6">
        <v>0</v>
      </c>
      <c r="G20" s="74">
        <f t="shared" si="0"/>
        <v>0</v>
      </c>
      <c r="H20" s="73">
        <v>7.23</v>
      </c>
      <c r="I20" s="6">
        <v>103.44</v>
      </c>
      <c r="J20" s="74">
        <f t="shared" si="1"/>
        <v>747.87120000000004</v>
      </c>
      <c r="K20" s="74">
        <f t="shared" si="2"/>
        <v>747.87120000000004</v>
      </c>
      <c r="L20" s="74">
        <v>0</v>
      </c>
      <c r="M20" s="160">
        <f t="shared" si="3"/>
        <v>15468.923599999996</v>
      </c>
      <c r="N20" s="52" t="s">
        <v>121</v>
      </c>
    </row>
    <row r="21" spans="1:14">
      <c r="A21" s="6">
        <v>17</v>
      </c>
      <c r="B21" s="87" t="s">
        <v>137</v>
      </c>
      <c r="C21" s="6"/>
      <c r="D21" s="6"/>
      <c r="E21" s="73">
        <v>0</v>
      </c>
      <c r="F21" s="6">
        <v>0</v>
      </c>
      <c r="G21" s="74">
        <f t="shared" si="0"/>
        <v>0</v>
      </c>
      <c r="H21" s="73">
        <v>0</v>
      </c>
      <c r="I21" s="6">
        <v>0</v>
      </c>
      <c r="J21" s="74">
        <f t="shared" si="1"/>
        <v>0</v>
      </c>
      <c r="K21" s="74">
        <f t="shared" si="2"/>
        <v>0</v>
      </c>
      <c r="L21" s="74">
        <v>0</v>
      </c>
      <c r="M21" s="160">
        <f t="shared" si="3"/>
        <v>15468.923599999996</v>
      </c>
      <c r="N21" s="52" t="s">
        <v>121</v>
      </c>
    </row>
    <row r="22" spans="1:14">
      <c r="A22" s="6">
        <v>18</v>
      </c>
      <c r="B22" s="87" t="s">
        <v>138</v>
      </c>
      <c r="C22" s="6"/>
      <c r="D22" s="6"/>
      <c r="E22" s="73">
        <v>0</v>
      </c>
      <c r="F22" s="6">
        <v>0</v>
      </c>
      <c r="G22" s="74">
        <f t="shared" si="0"/>
        <v>0</v>
      </c>
      <c r="H22" s="73">
        <v>3</v>
      </c>
      <c r="I22" s="6">
        <v>103.44</v>
      </c>
      <c r="J22" s="74">
        <f t="shared" si="1"/>
        <v>310.32</v>
      </c>
      <c r="K22" s="74">
        <f t="shared" si="2"/>
        <v>310.32</v>
      </c>
      <c r="L22" s="74">
        <v>0</v>
      </c>
      <c r="M22" s="160">
        <f t="shared" si="3"/>
        <v>15779.243599999996</v>
      </c>
      <c r="N22" s="52" t="s">
        <v>121</v>
      </c>
    </row>
    <row r="23" spans="1:14">
      <c r="A23" s="6">
        <v>19</v>
      </c>
      <c r="B23" s="87" t="s">
        <v>139</v>
      </c>
      <c r="C23" s="6"/>
      <c r="D23" s="6"/>
      <c r="E23" s="73">
        <v>71.209999999999994</v>
      </c>
      <c r="F23" s="6">
        <v>91.5</v>
      </c>
      <c r="G23" s="74">
        <f t="shared" si="0"/>
        <v>6515.7149999999992</v>
      </c>
      <c r="H23" s="73">
        <v>0</v>
      </c>
      <c r="I23" s="6">
        <v>0</v>
      </c>
      <c r="J23" s="74">
        <f t="shared" si="1"/>
        <v>0</v>
      </c>
      <c r="K23" s="74">
        <f t="shared" si="2"/>
        <v>6515.7149999999992</v>
      </c>
      <c r="L23" s="74">
        <v>0</v>
      </c>
      <c r="M23" s="160">
        <f t="shared" si="3"/>
        <v>22294.958599999994</v>
      </c>
      <c r="N23" s="52" t="s">
        <v>121</v>
      </c>
    </row>
    <row r="24" spans="1:14">
      <c r="A24" s="6">
        <v>21</v>
      </c>
      <c r="B24" s="87" t="s">
        <v>140</v>
      </c>
      <c r="C24" s="6"/>
      <c r="D24" s="6"/>
      <c r="E24" s="73">
        <v>50</v>
      </c>
      <c r="F24" s="6">
        <v>91.5</v>
      </c>
      <c r="G24" s="74">
        <f t="shared" si="0"/>
        <v>4575</v>
      </c>
      <c r="H24" s="73">
        <v>7.83</v>
      </c>
      <c r="I24" s="6">
        <v>103.44</v>
      </c>
      <c r="J24" s="74">
        <f t="shared" si="1"/>
        <v>809.93520000000001</v>
      </c>
      <c r="K24" s="74">
        <f t="shared" si="2"/>
        <v>5384.9351999999999</v>
      </c>
      <c r="L24" s="74">
        <v>0</v>
      </c>
      <c r="M24" s="160">
        <f t="shared" si="3"/>
        <v>27679.893799999994</v>
      </c>
      <c r="N24" s="52" t="s">
        <v>121</v>
      </c>
    </row>
    <row r="25" spans="1:14">
      <c r="A25" s="6">
        <v>22</v>
      </c>
      <c r="B25" s="87" t="s">
        <v>141</v>
      </c>
      <c r="C25" s="6"/>
      <c r="D25" s="6"/>
      <c r="E25" s="73">
        <v>44.68</v>
      </c>
      <c r="F25" s="6">
        <v>91.5</v>
      </c>
      <c r="G25" s="74">
        <f t="shared" si="0"/>
        <v>4088.22</v>
      </c>
      <c r="H25" s="73">
        <v>0</v>
      </c>
      <c r="I25" s="6">
        <v>0</v>
      </c>
      <c r="J25" s="74">
        <f t="shared" si="1"/>
        <v>0</v>
      </c>
      <c r="K25" s="74">
        <f t="shared" si="2"/>
        <v>4088.22</v>
      </c>
      <c r="L25" s="74">
        <v>0</v>
      </c>
      <c r="M25" s="160">
        <f t="shared" si="3"/>
        <v>31768.113799999996</v>
      </c>
      <c r="N25" s="52" t="s">
        <v>121</v>
      </c>
    </row>
    <row r="26" spans="1:14">
      <c r="A26" s="6">
        <v>23</v>
      </c>
      <c r="B26" s="87" t="s">
        <v>142</v>
      </c>
      <c r="C26" s="6"/>
      <c r="D26" s="6"/>
      <c r="E26" s="73">
        <v>32.67</v>
      </c>
      <c r="F26" s="6">
        <v>91.5</v>
      </c>
      <c r="G26" s="74">
        <f t="shared" si="0"/>
        <v>2989.3050000000003</v>
      </c>
      <c r="H26" s="73">
        <v>9.83</v>
      </c>
      <c r="I26" s="6">
        <v>103.44</v>
      </c>
      <c r="J26" s="74">
        <f t="shared" si="1"/>
        <v>1016.8152</v>
      </c>
      <c r="K26" s="74">
        <f t="shared" si="2"/>
        <v>4006.1202000000003</v>
      </c>
      <c r="L26" s="74">
        <v>0</v>
      </c>
      <c r="M26" s="160">
        <f t="shared" si="3"/>
        <v>35774.233999999997</v>
      </c>
      <c r="N26" s="52" t="s">
        <v>121</v>
      </c>
    </row>
    <row r="27" spans="1:14">
      <c r="A27" s="6">
        <v>24</v>
      </c>
      <c r="B27" s="87" t="s">
        <v>143</v>
      </c>
      <c r="C27" s="6"/>
      <c r="D27" s="6"/>
      <c r="E27" s="73">
        <v>19.829999999999998</v>
      </c>
      <c r="F27" s="6">
        <v>91.5</v>
      </c>
      <c r="G27" s="74">
        <f t="shared" si="0"/>
        <v>1814.4449999999999</v>
      </c>
      <c r="H27" s="73">
        <v>0</v>
      </c>
      <c r="I27" s="6">
        <v>0</v>
      </c>
      <c r="J27" s="74">
        <f t="shared" si="1"/>
        <v>0</v>
      </c>
      <c r="K27" s="74">
        <f t="shared" si="2"/>
        <v>1814.4449999999999</v>
      </c>
      <c r="L27" s="74">
        <v>0</v>
      </c>
      <c r="M27" s="160">
        <f t="shared" si="3"/>
        <v>37588.678999999996</v>
      </c>
      <c r="N27" s="52" t="s">
        <v>121</v>
      </c>
    </row>
    <row r="28" spans="1:14">
      <c r="A28" s="6">
        <v>25</v>
      </c>
      <c r="B28" s="87" t="s">
        <v>144</v>
      </c>
      <c r="C28" s="6"/>
      <c r="D28" s="6"/>
      <c r="E28" s="73">
        <v>35.270000000000003</v>
      </c>
      <c r="F28" s="6">
        <v>91.5</v>
      </c>
      <c r="G28" s="74">
        <f t="shared" si="0"/>
        <v>3227.2050000000004</v>
      </c>
      <c r="H28" s="73">
        <v>0</v>
      </c>
      <c r="I28" s="6">
        <v>0</v>
      </c>
      <c r="J28" s="74">
        <f t="shared" si="1"/>
        <v>0</v>
      </c>
      <c r="K28" s="74">
        <f t="shared" si="2"/>
        <v>3227.2050000000004</v>
      </c>
      <c r="L28" s="74">
        <v>0</v>
      </c>
      <c r="M28" s="160">
        <f t="shared" si="3"/>
        <v>40815.883999999998</v>
      </c>
      <c r="N28" s="52" t="s">
        <v>121</v>
      </c>
    </row>
    <row r="29" spans="1:14">
      <c r="A29" s="6">
        <v>26</v>
      </c>
      <c r="B29" s="87"/>
      <c r="C29" s="6"/>
      <c r="D29" s="6"/>
      <c r="E29" s="73">
        <v>0</v>
      </c>
      <c r="F29" s="6">
        <v>0</v>
      </c>
      <c r="G29" s="74">
        <f t="shared" si="0"/>
        <v>0</v>
      </c>
      <c r="H29" s="73">
        <v>0</v>
      </c>
      <c r="I29" s="6">
        <v>0</v>
      </c>
      <c r="J29" s="74">
        <f t="shared" si="1"/>
        <v>0</v>
      </c>
      <c r="K29" s="74">
        <f t="shared" si="2"/>
        <v>0</v>
      </c>
      <c r="L29" s="74">
        <v>0</v>
      </c>
      <c r="M29" s="160">
        <f t="shared" si="3"/>
        <v>40815.883999999998</v>
      </c>
      <c r="N29" s="52" t="s">
        <v>121</v>
      </c>
    </row>
    <row r="30" spans="1:14">
      <c r="A30" s="6">
        <v>27</v>
      </c>
      <c r="B30" s="87"/>
      <c r="C30" s="6"/>
      <c r="D30" s="6"/>
      <c r="E30" s="73">
        <v>0</v>
      </c>
      <c r="F30" s="6">
        <v>0</v>
      </c>
      <c r="G30" s="74">
        <f t="shared" si="0"/>
        <v>0</v>
      </c>
      <c r="H30" s="73">
        <v>0</v>
      </c>
      <c r="I30" s="6">
        <v>0</v>
      </c>
      <c r="J30" s="74">
        <f t="shared" si="1"/>
        <v>0</v>
      </c>
      <c r="K30" s="74">
        <f t="shared" si="2"/>
        <v>0</v>
      </c>
      <c r="L30" s="74">
        <v>0</v>
      </c>
      <c r="M30" s="160">
        <f t="shared" si="3"/>
        <v>40815.883999999998</v>
      </c>
      <c r="N30" s="52" t="s">
        <v>121</v>
      </c>
    </row>
    <row r="31" spans="1:14">
      <c r="A31" s="6">
        <v>28</v>
      </c>
      <c r="B31" s="87"/>
      <c r="C31" s="6"/>
      <c r="D31" s="6"/>
      <c r="E31" s="73">
        <v>0</v>
      </c>
      <c r="F31" s="6">
        <v>0</v>
      </c>
      <c r="G31" s="74">
        <f t="shared" si="0"/>
        <v>0</v>
      </c>
      <c r="H31" s="73">
        <v>0</v>
      </c>
      <c r="I31" s="6">
        <v>0</v>
      </c>
      <c r="J31" s="74">
        <f t="shared" si="1"/>
        <v>0</v>
      </c>
      <c r="K31" s="74">
        <f t="shared" si="2"/>
        <v>0</v>
      </c>
      <c r="L31" s="74">
        <v>0</v>
      </c>
      <c r="M31" s="160">
        <f t="shared" si="3"/>
        <v>40815.883999999998</v>
      </c>
      <c r="N31" s="52" t="s">
        <v>121</v>
      </c>
    </row>
    <row r="32" spans="1:14">
      <c r="A32" s="6">
        <v>29</v>
      </c>
      <c r="B32" s="87"/>
      <c r="C32" s="6"/>
      <c r="D32" s="6"/>
      <c r="E32" s="73">
        <v>0</v>
      </c>
      <c r="F32" s="6">
        <v>0</v>
      </c>
      <c r="G32" s="74">
        <f t="shared" si="0"/>
        <v>0</v>
      </c>
      <c r="H32" s="73">
        <v>0</v>
      </c>
      <c r="I32" s="6">
        <v>0</v>
      </c>
      <c r="J32" s="74">
        <f t="shared" si="1"/>
        <v>0</v>
      </c>
      <c r="K32" s="74">
        <f t="shared" si="2"/>
        <v>0</v>
      </c>
      <c r="L32" s="74">
        <v>0</v>
      </c>
      <c r="M32" s="160">
        <f t="shared" si="3"/>
        <v>40815.883999999998</v>
      </c>
      <c r="N32" s="52" t="s">
        <v>121</v>
      </c>
    </row>
    <row r="33" spans="1:15">
      <c r="A33" s="6">
        <v>30</v>
      </c>
      <c r="B33" s="87"/>
      <c r="C33" s="6"/>
      <c r="D33" s="6"/>
      <c r="E33" s="73">
        <v>0</v>
      </c>
      <c r="F33" s="6">
        <v>0</v>
      </c>
      <c r="G33" s="74">
        <f t="shared" si="0"/>
        <v>0</v>
      </c>
      <c r="H33" s="73">
        <v>0</v>
      </c>
      <c r="I33" s="6">
        <v>0</v>
      </c>
      <c r="J33" s="74">
        <f t="shared" si="1"/>
        <v>0</v>
      </c>
      <c r="K33" s="74">
        <f t="shared" si="2"/>
        <v>0</v>
      </c>
      <c r="L33" s="74">
        <v>0</v>
      </c>
      <c r="M33" s="160">
        <f t="shared" si="3"/>
        <v>40815.883999999998</v>
      </c>
      <c r="N33" s="52" t="s">
        <v>121</v>
      </c>
    </row>
    <row r="34" spans="1:15">
      <c r="A34" s="6">
        <v>31</v>
      </c>
      <c r="B34" s="87"/>
      <c r="C34" s="6"/>
      <c r="D34" s="6"/>
      <c r="E34" s="73">
        <v>0</v>
      </c>
      <c r="F34" s="6">
        <v>0</v>
      </c>
      <c r="G34" s="74">
        <f t="shared" si="0"/>
        <v>0</v>
      </c>
      <c r="H34" s="73">
        <v>0</v>
      </c>
      <c r="I34" s="6">
        <v>0</v>
      </c>
      <c r="J34" s="74">
        <f t="shared" si="1"/>
        <v>0</v>
      </c>
      <c r="K34" s="74">
        <f t="shared" si="2"/>
        <v>0</v>
      </c>
      <c r="L34" s="74">
        <v>0</v>
      </c>
      <c r="M34" s="160">
        <f t="shared" si="3"/>
        <v>40815.883999999998</v>
      </c>
      <c r="N34" s="52" t="s">
        <v>121</v>
      </c>
    </row>
    <row r="35" spans="1:15">
      <c r="A35" s="6">
        <v>32</v>
      </c>
      <c r="B35" s="87"/>
      <c r="C35" s="6"/>
      <c r="D35" s="6"/>
      <c r="E35" s="73">
        <v>0</v>
      </c>
      <c r="F35" s="6">
        <v>0</v>
      </c>
      <c r="G35" s="74">
        <f t="shared" ref="G5:G38" si="4">E35*F35</f>
        <v>0</v>
      </c>
      <c r="H35" s="73">
        <v>0</v>
      </c>
      <c r="I35" s="6">
        <v>0</v>
      </c>
      <c r="J35" s="74">
        <f t="shared" ref="J5:J38" si="5">H35*I35</f>
        <v>0</v>
      </c>
      <c r="K35" s="74">
        <f t="shared" ref="K5:L38" si="6">G35+J35</f>
        <v>0</v>
      </c>
      <c r="L35" s="74">
        <v>0</v>
      </c>
      <c r="M35" s="160">
        <f t="shared" si="3"/>
        <v>40815.883999999998</v>
      </c>
      <c r="N35" s="52" t="s">
        <v>121</v>
      </c>
    </row>
    <row r="36" spans="1:15">
      <c r="A36" s="6">
        <v>33</v>
      </c>
      <c r="B36" s="87"/>
      <c r="C36" s="6"/>
      <c r="D36" s="6"/>
      <c r="E36" s="73">
        <v>0</v>
      </c>
      <c r="F36" s="6">
        <v>0</v>
      </c>
      <c r="G36" s="74">
        <f t="shared" si="4"/>
        <v>0</v>
      </c>
      <c r="H36" s="73">
        <v>0</v>
      </c>
      <c r="I36" s="6">
        <v>0</v>
      </c>
      <c r="J36" s="74">
        <f t="shared" si="5"/>
        <v>0</v>
      </c>
      <c r="K36" s="74">
        <f t="shared" si="6"/>
        <v>0</v>
      </c>
      <c r="L36" s="74">
        <v>0</v>
      </c>
      <c r="M36" s="160">
        <f t="shared" si="3"/>
        <v>40815.883999999998</v>
      </c>
      <c r="N36" s="52" t="s">
        <v>121</v>
      </c>
    </row>
    <row r="37" spans="1:15">
      <c r="A37" s="6">
        <v>34</v>
      </c>
      <c r="B37" s="87"/>
      <c r="C37" s="6"/>
      <c r="D37" s="6"/>
      <c r="E37" s="73">
        <v>0</v>
      </c>
      <c r="F37" s="6">
        <v>0</v>
      </c>
      <c r="G37" s="74">
        <f t="shared" si="4"/>
        <v>0</v>
      </c>
      <c r="H37" s="73">
        <v>0</v>
      </c>
      <c r="I37" s="6">
        <v>0</v>
      </c>
      <c r="J37" s="74">
        <f t="shared" si="5"/>
        <v>0</v>
      </c>
      <c r="K37" s="74">
        <f t="shared" si="6"/>
        <v>0</v>
      </c>
      <c r="L37" s="74">
        <v>0</v>
      </c>
      <c r="M37" s="160">
        <f t="shared" si="3"/>
        <v>40815.883999999998</v>
      </c>
      <c r="N37" s="52" t="s">
        <v>121</v>
      </c>
    </row>
    <row r="38" spans="1:15">
      <c r="A38" s="6">
        <v>35</v>
      </c>
      <c r="B38" s="87"/>
      <c r="C38" s="6"/>
      <c r="D38" s="6"/>
      <c r="E38" s="73">
        <v>0</v>
      </c>
      <c r="F38" s="6">
        <v>0</v>
      </c>
      <c r="G38" s="74">
        <f t="shared" si="4"/>
        <v>0</v>
      </c>
      <c r="H38" s="73">
        <v>0</v>
      </c>
      <c r="I38" s="6">
        <v>0</v>
      </c>
      <c r="J38" s="74">
        <f t="shared" si="5"/>
        <v>0</v>
      </c>
      <c r="K38" s="74">
        <f t="shared" si="6"/>
        <v>0</v>
      </c>
      <c r="L38" s="74">
        <v>0</v>
      </c>
      <c r="M38" s="160">
        <f t="shared" si="3"/>
        <v>40815.883999999998</v>
      </c>
      <c r="N38" s="52" t="s">
        <v>121</v>
      </c>
    </row>
    <row r="39" spans="1:15">
      <c r="A39" s="6">
        <v>36</v>
      </c>
      <c r="B39" s="87"/>
      <c r="C39" s="6"/>
      <c r="D39" s="6"/>
      <c r="E39" s="73">
        <v>0</v>
      </c>
      <c r="F39" s="6">
        <v>0</v>
      </c>
      <c r="G39" s="74">
        <f t="shared" ref="G39:G45" si="7">E39*F39</f>
        <v>0</v>
      </c>
      <c r="H39" s="73">
        <v>0</v>
      </c>
      <c r="I39" s="6">
        <v>0</v>
      </c>
      <c r="J39" s="74">
        <f>H39*I39</f>
        <v>0</v>
      </c>
      <c r="K39" s="74">
        <f t="shared" ref="K39:K45" si="8">G39+J39</f>
        <v>0</v>
      </c>
      <c r="L39" s="74">
        <v>0</v>
      </c>
      <c r="M39" s="160">
        <f t="shared" si="3"/>
        <v>40815.883999999998</v>
      </c>
      <c r="N39" s="52" t="s">
        <v>121</v>
      </c>
    </row>
    <row r="40" spans="1:15">
      <c r="A40" s="6">
        <v>37</v>
      </c>
      <c r="B40" s="87"/>
      <c r="C40" s="6"/>
      <c r="D40" s="6"/>
      <c r="E40" s="73">
        <v>0</v>
      </c>
      <c r="F40" s="6">
        <v>0</v>
      </c>
      <c r="G40" s="74">
        <f t="shared" si="7"/>
        <v>0</v>
      </c>
      <c r="H40" s="73">
        <v>0</v>
      </c>
      <c r="I40" s="6">
        <v>0</v>
      </c>
      <c r="J40" s="74">
        <f>H40*I40</f>
        <v>0</v>
      </c>
      <c r="K40" s="74">
        <f t="shared" si="8"/>
        <v>0</v>
      </c>
      <c r="L40" s="74">
        <v>0</v>
      </c>
      <c r="M40" s="160">
        <f t="shared" si="3"/>
        <v>40815.883999999998</v>
      </c>
      <c r="N40" s="52" t="s">
        <v>121</v>
      </c>
    </row>
    <row r="41" spans="1:15">
      <c r="A41" s="6">
        <v>38</v>
      </c>
      <c r="B41" s="87"/>
      <c r="C41" s="6"/>
      <c r="D41" s="6"/>
      <c r="E41" s="73">
        <v>0</v>
      </c>
      <c r="F41" s="6">
        <v>0</v>
      </c>
      <c r="G41" s="74">
        <f t="shared" si="7"/>
        <v>0</v>
      </c>
      <c r="H41" s="73">
        <v>0</v>
      </c>
      <c r="I41" s="6">
        <v>0</v>
      </c>
      <c r="J41" s="74">
        <f>H41*I41</f>
        <v>0</v>
      </c>
      <c r="K41" s="74">
        <f t="shared" si="8"/>
        <v>0</v>
      </c>
      <c r="L41" s="174">
        <f t="shared" ref="L41:L45" si="9">+K41</f>
        <v>0</v>
      </c>
      <c r="M41" s="160">
        <f t="shared" si="3"/>
        <v>40815.883999999998</v>
      </c>
      <c r="N41" s="52" t="s">
        <v>121</v>
      </c>
    </row>
    <row r="42" spans="1:15">
      <c r="A42" s="183">
        <v>39</v>
      </c>
      <c r="B42" s="184"/>
      <c r="C42" s="183"/>
      <c r="D42" s="6"/>
      <c r="E42" s="73">
        <v>0</v>
      </c>
      <c r="F42" s="6">
        <v>0</v>
      </c>
      <c r="G42" s="74">
        <f t="shared" si="7"/>
        <v>0</v>
      </c>
      <c r="H42" s="73">
        <v>0</v>
      </c>
      <c r="I42" s="6">
        <v>0</v>
      </c>
      <c r="J42" s="74">
        <f>H42*I42</f>
        <v>0</v>
      </c>
      <c r="K42" s="74">
        <f t="shared" si="8"/>
        <v>0</v>
      </c>
      <c r="L42" s="174">
        <f t="shared" si="9"/>
        <v>0</v>
      </c>
      <c r="M42" s="160">
        <f t="shared" si="3"/>
        <v>40815.883999999998</v>
      </c>
      <c r="N42" s="52" t="s">
        <v>121</v>
      </c>
    </row>
    <row r="43" spans="1:15">
      <c r="A43" s="6">
        <v>40</v>
      </c>
      <c r="B43" s="6"/>
      <c r="C43" s="6"/>
      <c r="D43" s="6"/>
      <c r="E43" s="73">
        <v>0</v>
      </c>
      <c r="F43" s="6">
        <v>0</v>
      </c>
      <c r="G43" s="74">
        <f t="shared" si="7"/>
        <v>0</v>
      </c>
      <c r="H43" s="73">
        <v>0</v>
      </c>
      <c r="I43" s="6">
        <v>0</v>
      </c>
      <c r="J43" s="74">
        <f>H43*I43</f>
        <v>0</v>
      </c>
      <c r="K43" s="74">
        <f t="shared" si="8"/>
        <v>0</v>
      </c>
      <c r="L43" s="174">
        <f t="shared" si="9"/>
        <v>0</v>
      </c>
      <c r="M43" s="160">
        <f t="shared" si="3"/>
        <v>40815.883999999998</v>
      </c>
      <c r="N43" s="52" t="s">
        <v>121</v>
      </c>
    </row>
    <row r="44" spans="1:15">
      <c r="A44" s="183">
        <v>41</v>
      </c>
      <c r="B44" s="183"/>
      <c r="C44" s="183"/>
      <c r="D44" s="6"/>
      <c r="E44" s="73">
        <v>0</v>
      </c>
      <c r="F44" s="6">
        <v>0</v>
      </c>
      <c r="G44" s="74">
        <f t="shared" si="7"/>
        <v>0</v>
      </c>
      <c r="H44" s="73">
        <v>0</v>
      </c>
      <c r="I44" s="6">
        <v>0</v>
      </c>
      <c r="J44" s="74">
        <f>H44*I44</f>
        <v>0</v>
      </c>
      <c r="K44" s="74">
        <f t="shared" si="8"/>
        <v>0</v>
      </c>
      <c r="L44" s="174">
        <f t="shared" si="9"/>
        <v>0</v>
      </c>
      <c r="M44" s="160">
        <f t="shared" si="3"/>
        <v>40815.883999999998</v>
      </c>
      <c r="N44" s="52" t="s">
        <v>121</v>
      </c>
    </row>
    <row r="45" spans="1:15">
      <c r="A45" s="183">
        <v>42</v>
      </c>
      <c r="B45" s="183"/>
      <c r="C45" s="183"/>
      <c r="D45" s="6"/>
      <c r="E45" s="73">
        <v>0</v>
      </c>
      <c r="F45" s="6">
        <v>0</v>
      </c>
      <c r="G45" s="74">
        <f t="shared" si="7"/>
        <v>0</v>
      </c>
      <c r="H45" s="73">
        <v>0</v>
      </c>
      <c r="I45" s="6">
        <v>0</v>
      </c>
      <c r="J45" s="74">
        <f>H45*I45</f>
        <v>0</v>
      </c>
      <c r="K45" s="74">
        <f t="shared" si="8"/>
        <v>0</v>
      </c>
      <c r="L45" s="174">
        <f t="shared" si="9"/>
        <v>0</v>
      </c>
      <c r="M45" s="160">
        <f t="shared" si="3"/>
        <v>40815.883999999998</v>
      </c>
      <c r="N45" s="52" t="s">
        <v>121</v>
      </c>
    </row>
    <row r="46" spans="1:15">
      <c r="A46" s="70"/>
      <c r="B46" s="70"/>
      <c r="C46" s="70"/>
      <c r="D46" s="70"/>
      <c r="E46" s="71">
        <f>SUM(E4:E45)</f>
        <v>867.11</v>
      </c>
      <c r="F46" s="71"/>
      <c r="G46" s="71">
        <f>SUM(G4:G45)</f>
        <v>79300.041299999997</v>
      </c>
      <c r="H46" s="71">
        <f>SUM(H4:H45)</f>
        <v>90.55</v>
      </c>
      <c r="I46" s="71"/>
      <c r="J46" s="71">
        <f>SUM(J4:J45)</f>
        <v>9366.4919999999984</v>
      </c>
      <c r="K46" s="71">
        <f>SUM(K4:K45)</f>
        <v>88666.533300000025</v>
      </c>
      <c r="L46" s="71">
        <f>SUM(L4:L45)</f>
        <v>51355.13</v>
      </c>
      <c r="M46" s="71"/>
      <c r="N46" s="71"/>
      <c r="O46" s="67"/>
    </row>
  </sheetData>
  <mergeCells count="2">
    <mergeCell ref="A1:N1"/>
    <mergeCell ref="A3:L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14" activePane="bottomLeft" state="frozen"/>
      <selection pane="bottomLeft" activeCell="P36" sqref="P36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9.71093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07" t="s">
        <v>82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61"/>
    </row>
    <row r="2" spans="1:15">
      <c r="A2" s="107" t="s">
        <v>94</v>
      </c>
      <c r="B2" s="108" t="s">
        <v>95</v>
      </c>
      <c r="C2" s="108" t="s">
        <v>96</v>
      </c>
      <c r="D2" s="108" t="s">
        <v>111</v>
      </c>
      <c r="E2" s="108" t="s">
        <v>98</v>
      </c>
      <c r="F2" s="108" t="s">
        <v>99</v>
      </c>
      <c r="G2" s="108" t="s">
        <v>100</v>
      </c>
      <c r="H2" s="108" t="s">
        <v>101</v>
      </c>
      <c r="I2" s="108" t="s">
        <v>99</v>
      </c>
      <c r="J2" s="148" t="s">
        <v>100</v>
      </c>
      <c r="K2" s="109" t="s">
        <v>102</v>
      </c>
      <c r="L2" s="149" t="s">
        <v>103</v>
      </c>
      <c r="M2" s="154" t="s">
        <v>110</v>
      </c>
      <c r="N2" s="110" t="s">
        <v>105</v>
      </c>
      <c r="O2" s="67"/>
    </row>
    <row r="3" spans="1:15">
      <c r="A3" s="167"/>
      <c r="B3" s="19" t="s">
        <v>106</v>
      </c>
      <c r="C3" s="168"/>
      <c r="D3" s="168"/>
      <c r="E3" s="168"/>
      <c r="F3" s="168"/>
      <c r="G3" s="168"/>
      <c r="H3" s="168"/>
      <c r="I3" s="168"/>
      <c r="J3" s="169"/>
      <c r="K3" s="238">
        <v>105566.00320000002</v>
      </c>
      <c r="L3" s="170"/>
      <c r="M3" s="89">
        <f>+K3</f>
        <v>105566.00320000002</v>
      </c>
      <c r="N3" s="168"/>
      <c r="O3" s="67">
        <v>86559.56660000002</v>
      </c>
    </row>
    <row r="4" spans="1:15">
      <c r="A4" s="221">
        <v>1</v>
      </c>
      <c r="B4" s="255">
        <v>45870</v>
      </c>
      <c r="C4" s="75"/>
      <c r="D4" s="171"/>
      <c r="E4" s="73">
        <v>79.52</v>
      </c>
      <c r="F4" s="6">
        <v>91.23</v>
      </c>
      <c r="G4" s="8">
        <f>E4*F4</f>
        <v>7254.6095999999998</v>
      </c>
      <c r="H4" s="73">
        <v>0</v>
      </c>
      <c r="I4" s="6">
        <v>0</v>
      </c>
      <c r="J4" s="8">
        <f>H4*I4</f>
        <v>0</v>
      </c>
      <c r="K4" s="8">
        <f>G4+J4</f>
        <v>7254.6095999999998</v>
      </c>
      <c r="L4" s="76"/>
      <c r="M4" s="76">
        <f>M3+K4-L4</f>
        <v>112820.61280000002</v>
      </c>
      <c r="N4" s="45"/>
      <c r="O4" s="77"/>
    </row>
    <row r="5" spans="1:15">
      <c r="A5" s="52">
        <v>2</v>
      </c>
      <c r="B5" s="255">
        <v>45871</v>
      </c>
      <c r="C5" s="75"/>
      <c r="D5" s="79"/>
      <c r="E5" s="73">
        <v>263.61</v>
      </c>
      <c r="F5" s="6">
        <v>91.23</v>
      </c>
      <c r="G5" s="8">
        <f t="shared" ref="G5:G34" si="0">E5*F5</f>
        <v>24049.140300000003</v>
      </c>
      <c r="H5" s="73">
        <v>0</v>
      </c>
      <c r="I5" s="6">
        <v>0</v>
      </c>
      <c r="J5" s="8">
        <f t="shared" ref="J5:J34" si="1">H5*I5</f>
        <v>0</v>
      </c>
      <c r="K5" s="8">
        <f t="shared" ref="K5:K34" si="2">G5+J5</f>
        <v>24049.140300000003</v>
      </c>
      <c r="L5" s="76">
        <v>100000</v>
      </c>
      <c r="M5" s="76">
        <f t="shared" ref="M5:M19" si="3">M4+K5-L5</f>
        <v>36869.753100000031</v>
      </c>
      <c r="N5" s="45"/>
      <c r="O5" s="77"/>
    </row>
    <row r="6" spans="1:15">
      <c r="A6" s="52">
        <v>3</v>
      </c>
      <c r="B6" s="255">
        <v>45872</v>
      </c>
      <c r="C6" s="75"/>
      <c r="D6" s="79"/>
      <c r="E6" s="73">
        <v>120</v>
      </c>
      <c r="F6" s="6">
        <v>91.23</v>
      </c>
      <c r="G6" s="8">
        <f t="shared" si="0"/>
        <v>10947.6</v>
      </c>
      <c r="H6" s="73">
        <v>0</v>
      </c>
      <c r="I6" s="6">
        <v>0</v>
      </c>
      <c r="J6" s="8">
        <f t="shared" si="1"/>
        <v>0</v>
      </c>
      <c r="K6" s="8">
        <f t="shared" si="2"/>
        <v>10947.6</v>
      </c>
      <c r="L6" s="76">
        <v>0</v>
      </c>
      <c r="M6" s="76">
        <f t="shared" si="3"/>
        <v>47817.353100000029</v>
      </c>
      <c r="N6" s="45"/>
      <c r="O6" s="77"/>
    </row>
    <row r="7" spans="1:15">
      <c r="A7" s="52">
        <v>4</v>
      </c>
      <c r="B7" s="255">
        <v>45873</v>
      </c>
      <c r="C7" s="75"/>
      <c r="D7" s="79"/>
      <c r="E7" s="73">
        <v>22.19</v>
      </c>
      <c r="F7" s="6">
        <v>91.23</v>
      </c>
      <c r="G7" s="8">
        <f t="shared" si="0"/>
        <v>2024.3937000000003</v>
      </c>
      <c r="H7" s="73">
        <v>5.82</v>
      </c>
      <c r="I7" s="6">
        <v>103.16</v>
      </c>
      <c r="J7" s="8">
        <f t="shared" si="1"/>
        <v>600.39120000000003</v>
      </c>
      <c r="K7" s="8">
        <f t="shared" si="2"/>
        <v>2624.7849000000006</v>
      </c>
      <c r="L7" s="76"/>
      <c r="M7" s="76">
        <f t="shared" si="3"/>
        <v>50442.138000000028</v>
      </c>
      <c r="N7" s="45"/>
      <c r="O7" s="77"/>
    </row>
    <row r="8" spans="1:15">
      <c r="A8" s="52">
        <v>5</v>
      </c>
      <c r="B8" s="255">
        <v>45874</v>
      </c>
      <c r="C8" s="75"/>
      <c r="D8" s="79"/>
      <c r="E8" s="73">
        <v>97.75</v>
      </c>
      <c r="F8" s="6">
        <v>91.23</v>
      </c>
      <c r="G8" s="8">
        <f t="shared" si="0"/>
        <v>8917.7325000000001</v>
      </c>
      <c r="H8" s="73">
        <v>7.76</v>
      </c>
      <c r="I8" s="6">
        <v>103.16</v>
      </c>
      <c r="J8" s="8">
        <f t="shared" si="1"/>
        <v>800.52159999999992</v>
      </c>
      <c r="K8" s="8">
        <f t="shared" si="2"/>
        <v>9718.2541000000001</v>
      </c>
      <c r="L8" s="76"/>
      <c r="M8" s="76">
        <f t="shared" si="3"/>
        <v>60160.392100000026</v>
      </c>
      <c r="N8" s="45"/>
      <c r="O8" s="77"/>
    </row>
    <row r="9" spans="1:15">
      <c r="A9" s="52">
        <v>6</v>
      </c>
      <c r="B9" s="255">
        <v>45875</v>
      </c>
      <c r="C9" s="75"/>
      <c r="D9" s="79"/>
      <c r="E9" s="73">
        <v>0</v>
      </c>
      <c r="F9" s="6">
        <v>0</v>
      </c>
      <c r="G9" s="8">
        <f t="shared" si="0"/>
        <v>0</v>
      </c>
      <c r="H9" s="73">
        <v>0</v>
      </c>
      <c r="I9" s="6">
        <v>0</v>
      </c>
      <c r="J9" s="8">
        <f t="shared" si="1"/>
        <v>0</v>
      </c>
      <c r="K9" s="8">
        <f t="shared" si="2"/>
        <v>0</v>
      </c>
      <c r="L9" s="76"/>
      <c r="M9" s="76">
        <f t="shared" si="3"/>
        <v>60160.392100000026</v>
      </c>
      <c r="N9" s="45"/>
      <c r="O9" s="77"/>
    </row>
    <row r="10" spans="1:15">
      <c r="A10" s="52">
        <v>7</v>
      </c>
      <c r="B10" s="255">
        <v>45876</v>
      </c>
      <c r="C10" s="75"/>
      <c r="D10" s="79"/>
      <c r="E10" s="73">
        <v>35</v>
      </c>
      <c r="F10" s="6">
        <v>91.23</v>
      </c>
      <c r="G10" s="8">
        <f t="shared" si="0"/>
        <v>3193.05</v>
      </c>
      <c r="H10" s="73">
        <v>0</v>
      </c>
      <c r="I10" s="6">
        <v>0</v>
      </c>
      <c r="J10" s="8">
        <f t="shared" si="1"/>
        <v>0</v>
      </c>
      <c r="K10" s="8">
        <f t="shared" si="2"/>
        <v>3193.05</v>
      </c>
      <c r="L10" s="76"/>
      <c r="M10" s="76">
        <f t="shared" si="3"/>
        <v>63353.442100000029</v>
      </c>
      <c r="N10" s="45"/>
      <c r="O10" s="77"/>
    </row>
    <row r="11" spans="1:15">
      <c r="A11" s="52">
        <v>8</v>
      </c>
      <c r="B11" s="255">
        <v>45877</v>
      </c>
      <c r="C11" s="75"/>
      <c r="D11" s="79"/>
      <c r="E11" s="73">
        <v>35</v>
      </c>
      <c r="F11" s="6">
        <v>91.23</v>
      </c>
      <c r="G11" s="8">
        <f t="shared" si="0"/>
        <v>3193.05</v>
      </c>
      <c r="H11" s="73">
        <v>0</v>
      </c>
      <c r="I11" s="6">
        <v>0</v>
      </c>
      <c r="J11" s="8">
        <f t="shared" si="1"/>
        <v>0</v>
      </c>
      <c r="K11" s="8">
        <f t="shared" si="2"/>
        <v>3193.05</v>
      </c>
      <c r="L11" s="76"/>
      <c r="M11" s="76">
        <f t="shared" si="3"/>
        <v>66546.492100000032</v>
      </c>
      <c r="N11" s="45"/>
      <c r="O11" s="77"/>
    </row>
    <row r="12" spans="1:15">
      <c r="A12" s="52">
        <v>9</v>
      </c>
      <c r="B12" s="255">
        <v>45878</v>
      </c>
      <c r="C12" s="75"/>
      <c r="D12" s="79"/>
      <c r="E12" s="73">
        <v>0</v>
      </c>
      <c r="F12" s="6">
        <v>91.23</v>
      </c>
      <c r="G12" s="8">
        <f t="shared" si="0"/>
        <v>0</v>
      </c>
      <c r="H12" s="73">
        <v>0</v>
      </c>
      <c r="I12" s="6">
        <v>0</v>
      </c>
      <c r="J12" s="8">
        <f t="shared" si="1"/>
        <v>0</v>
      </c>
      <c r="K12" s="8">
        <f t="shared" si="2"/>
        <v>0</v>
      </c>
      <c r="L12" s="76"/>
      <c r="M12" s="76">
        <f t="shared" si="3"/>
        <v>66546.492100000032</v>
      </c>
      <c r="N12" s="45"/>
      <c r="O12" s="77"/>
    </row>
    <row r="13" spans="1:15">
      <c r="A13" s="52">
        <v>10</v>
      </c>
      <c r="B13" s="255">
        <v>45879</v>
      </c>
      <c r="C13" s="209"/>
      <c r="D13" s="210"/>
      <c r="E13" s="73">
        <v>50</v>
      </c>
      <c r="F13" s="6">
        <v>91.23</v>
      </c>
      <c r="G13" s="8">
        <f t="shared" si="0"/>
        <v>4561.5</v>
      </c>
      <c r="H13" s="73">
        <v>3.4</v>
      </c>
      <c r="I13" s="6">
        <v>103.16</v>
      </c>
      <c r="J13" s="8">
        <f t="shared" si="1"/>
        <v>350.74399999999997</v>
      </c>
      <c r="K13" s="8">
        <f t="shared" si="2"/>
        <v>4912.2439999999997</v>
      </c>
      <c r="L13" s="76"/>
      <c r="M13" s="76">
        <f>M12+K13-L13</f>
        <v>71458.736100000038</v>
      </c>
      <c r="N13" s="45"/>
      <c r="O13" s="77"/>
    </row>
    <row r="14" spans="1:15">
      <c r="A14" s="52">
        <v>11</v>
      </c>
      <c r="B14" s="255">
        <v>45880</v>
      </c>
      <c r="C14" s="190"/>
      <c r="D14" s="190"/>
      <c r="E14" s="73">
        <v>200</v>
      </c>
      <c r="F14" s="6">
        <v>91.23</v>
      </c>
      <c r="G14" s="8">
        <f t="shared" si="0"/>
        <v>18246</v>
      </c>
      <c r="H14" s="73">
        <v>0</v>
      </c>
      <c r="I14" s="6">
        <v>0</v>
      </c>
      <c r="J14" s="8">
        <f t="shared" si="1"/>
        <v>0</v>
      </c>
      <c r="K14" s="8">
        <f t="shared" si="2"/>
        <v>18246</v>
      </c>
      <c r="L14" s="76"/>
      <c r="M14" s="76">
        <f t="shared" si="3"/>
        <v>89704.736100000038</v>
      </c>
      <c r="N14" s="45"/>
      <c r="O14" s="77"/>
    </row>
    <row r="15" spans="1:15">
      <c r="A15" s="52">
        <v>12</v>
      </c>
      <c r="B15" s="255">
        <v>45881</v>
      </c>
      <c r="C15" s="190"/>
      <c r="D15" s="190"/>
      <c r="E15" s="73">
        <v>35</v>
      </c>
      <c r="F15" s="6">
        <v>91.23</v>
      </c>
      <c r="G15" s="8">
        <f t="shared" si="0"/>
        <v>3193.05</v>
      </c>
      <c r="H15" s="73">
        <v>0</v>
      </c>
      <c r="I15" s="6">
        <v>0</v>
      </c>
      <c r="J15" s="8">
        <f t="shared" si="1"/>
        <v>0</v>
      </c>
      <c r="K15" s="8">
        <f t="shared" si="2"/>
        <v>3193.05</v>
      </c>
      <c r="L15" s="76"/>
      <c r="M15" s="76">
        <f t="shared" si="3"/>
        <v>92897.786100000041</v>
      </c>
      <c r="N15" s="45"/>
      <c r="O15" s="77"/>
    </row>
    <row r="16" spans="1:15">
      <c r="A16" s="52">
        <v>13</v>
      </c>
      <c r="B16" s="255">
        <v>45882</v>
      </c>
      <c r="C16" s="190"/>
      <c r="D16" s="190"/>
      <c r="E16" s="73">
        <v>177.3</v>
      </c>
      <c r="F16" s="6">
        <v>91.23</v>
      </c>
      <c r="G16" s="8">
        <f t="shared" si="0"/>
        <v>16175.079000000002</v>
      </c>
      <c r="H16" s="73">
        <v>5</v>
      </c>
      <c r="I16" s="6">
        <v>103.16</v>
      </c>
      <c r="J16" s="8">
        <f t="shared" si="1"/>
        <v>515.79999999999995</v>
      </c>
      <c r="K16" s="8">
        <f t="shared" si="2"/>
        <v>16690.879000000001</v>
      </c>
      <c r="L16" s="76"/>
      <c r="M16" s="76">
        <f t="shared" si="3"/>
        <v>109588.66510000004</v>
      </c>
      <c r="N16" s="45"/>
      <c r="O16" s="77"/>
    </row>
    <row r="17" spans="1:15">
      <c r="A17" s="52">
        <v>14</v>
      </c>
      <c r="B17" s="255">
        <v>45883</v>
      </c>
      <c r="C17" s="190"/>
      <c r="D17" s="190"/>
      <c r="E17" s="73">
        <v>142.19999999999999</v>
      </c>
      <c r="F17" s="6">
        <v>91.23</v>
      </c>
      <c r="G17" s="8">
        <f t="shared" si="0"/>
        <v>12972.905999999999</v>
      </c>
      <c r="H17" s="73">
        <v>7.76</v>
      </c>
      <c r="I17" s="6">
        <v>103.16</v>
      </c>
      <c r="J17" s="8">
        <f t="shared" si="1"/>
        <v>800.52159999999992</v>
      </c>
      <c r="K17" s="8">
        <f t="shared" si="2"/>
        <v>13773.427599999999</v>
      </c>
      <c r="L17" s="76"/>
      <c r="M17" s="76">
        <f t="shared" si="3"/>
        <v>123362.09270000004</v>
      </c>
      <c r="N17" s="45"/>
      <c r="O17" s="77"/>
    </row>
    <row r="18" spans="1:15">
      <c r="A18" s="52">
        <v>15</v>
      </c>
      <c r="B18" s="255">
        <v>45884</v>
      </c>
      <c r="C18" s="190"/>
      <c r="D18" s="190"/>
      <c r="E18" s="73">
        <v>0</v>
      </c>
      <c r="F18" s="6">
        <v>91.23</v>
      </c>
      <c r="G18" s="8">
        <f t="shared" si="0"/>
        <v>0</v>
      </c>
      <c r="H18" s="73">
        <v>0</v>
      </c>
      <c r="I18" s="6">
        <v>0</v>
      </c>
      <c r="J18" s="8">
        <f t="shared" si="1"/>
        <v>0</v>
      </c>
      <c r="K18" s="8">
        <f t="shared" si="2"/>
        <v>0</v>
      </c>
      <c r="L18" s="76"/>
      <c r="M18" s="76">
        <f t="shared" si="3"/>
        <v>123362.09270000004</v>
      </c>
      <c r="N18" s="45"/>
      <c r="O18" s="77"/>
    </row>
    <row r="19" spans="1:15">
      <c r="A19" s="52">
        <v>16</v>
      </c>
      <c r="B19" s="255">
        <v>45885</v>
      </c>
      <c r="C19" s="190"/>
      <c r="D19" s="190"/>
      <c r="E19" s="73">
        <v>73.28</v>
      </c>
      <c r="F19" s="6">
        <v>91.23</v>
      </c>
      <c r="G19" s="8">
        <f t="shared" si="0"/>
        <v>6685.3344000000006</v>
      </c>
      <c r="H19" s="73">
        <v>5</v>
      </c>
      <c r="I19" s="6">
        <v>103.16</v>
      </c>
      <c r="J19" s="8">
        <f t="shared" si="1"/>
        <v>515.79999999999995</v>
      </c>
      <c r="K19" s="8">
        <f t="shared" si="2"/>
        <v>7201.1344000000008</v>
      </c>
      <c r="L19" s="76"/>
      <c r="M19" s="76">
        <f t="shared" si="3"/>
        <v>130563.22710000003</v>
      </c>
      <c r="N19" s="45"/>
      <c r="O19" s="77"/>
    </row>
    <row r="20" spans="1:15">
      <c r="A20" s="52">
        <v>17</v>
      </c>
      <c r="B20" s="255">
        <v>45886</v>
      </c>
      <c r="C20" s="190"/>
      <c r="D20" s="190"/>
      <c r="E20" s="73">
        <v>0</v>
      </c>
      <c r="F20" s="6">
        <v>0</v>
      </c>
      <c r="G20" s="8">
        <f t="shared" si="0"/>
        <v>0</v>
      </c>
      <c r="H20" s="73">
        <v>0</v>
      </c>
      <c r="I20" s="6">
        <v>0</v>
      </c>
      <c r="J20" s="8">
        <f t="shared" si="1"/>
        <v>0</v>
      </c>
      <c r="K20" s="8">
        <f t="shared" si="2"/>
        <v>0</v>
      </c>
      <c r="L20" s="76"/>
      <c r="M20" s="76">
        <f t="shared" ref="M20:M34" si="4">M19+K20-L20</f>
        <v>130563.22710000003</v>
      </c>
      <c r="N20" s="45"/>
      <c r="O20" s="77"/>
    </row>
    <row r="21" spans="1:15">
      <c r="A21" s="52">
        <v>18</v>
      </c>
      <c r="B21" s="255">
        <v>45887</v>
      </c>
      <c r="C21" s="190"/>
      <c r="D21" s="190"/>
      <c r="E21" s="73">
        <v>103</v>
      </c>
      <c r="F21" s="6">
        <v>91.23</v>
      </c>
      <c r="G21" s="8">
        <f t="shared" si="0"/>
        <v>9396.69</v>
      </c>
      <c r="H21" s="73">
        <v>0</v>
      </c>
      <c r="I21" s="6">
        <v>0</v>
      </c>
      <c r="J21" s="8">
        <f t="shared" si="1"/>
        <v>0</v>
      </c>
      <c r="K21" s="8">
        <f t="shared" si="2"/>
        <v>9396.69</v>
      </c>
      <c r="L21" s="76"/>
      <c r="M21" s="76">
        <f t="shared" si="4"/>
        <v>139959.91710000002</v>
      </c>
      <c r="N21" s="45"/>
      <c r="O21" s="77"/>
    </row>
    <row r="22" spans="1:15">
      <c r="A22" s="52">
        <v>19</v>
      </c>
      <c r="B22" s="255">
        <v>45888</v>
      </c>
      <c r="C22" s="190"/>
      <c r="D22" s="190"/>
      <c r="E22" s="73">
        <v>24.94</v>
      </c>
      <c r="F22" s="6">
        <v>91.23</v>
      </c>
      <c r="G22" s="8">
        <f t="shared" si="0"/>
        <v>2275.2762000000002</v>
      </c>
      <c r="H22" s="73">
        <v>7.19</v>
      </c>
      <c r="I22" s="6">
        <v>103.16</v>
      </c>
      <c r="J22" s="8">
        <f t="shared" si="1"/>
        <v>741.72040000000004</v>
      </c>
      <c r="K22" s="8">
        <f t="shared" si="2"/>
        <v>3016.9966000000004</v>
      </c>
      <c r="L22" s="76"/>
      <c r="M22" s="76">
        <f t="shared" si="4"/>
        <v>142976.91370000003</v>
      </c>
      <c r="N22" s="45"/>
      <c r="O22" s="77"/>
    </row>
    <row r="23" spans="1:15">
      <c r="A23" s="52">
        <v>20</v>
      </c>
      <c r="B23" s="255">
        <v>45889</v>
      </c>
      <c r="C23" s="190"/>
      <c r="D23" s="190"/>
      <c r="E23" s="73">
        <v>0</v>
      </c>
      <c r="F23" s="6">
        <v>0</v>
      </c>
      <c r="G23" s="8">
        <f t="shared" si="0"/>
        <v>0</v>
      </c>
      <c r="H23" s="73">
        <v>1.95</v>
      </c>
      <c r="I23" s="6">
        <v>103.16</v>
      </c>
      <c r="J23" s="8">
        <f t="shared" si="1"/>
        <v>201.16199999999998</v>
      </c>
      <c r="K23" s="8">
        <f t="shared" si="2"/>
        <v>201.16199999999998</v>
      </c>
      <c r="L23" s="76"/>
      <c r="M23" s="76">
        <f t="shared" si="4"/>
        <v>143178.07570000004</v>
      </c>
      <c r="N23" s="45"/>
      <c r="O23" s="77"/>
    </row>
    <row r="24" spans="1:15">
      <c r="A24" s="52">
        <v>21</v>
      </c>
      <c r="B24" s="255">
        <v>45890</v>
      </c>
      <c r="C24" s="190"/>
      <c r="D24" s="190"/>
      <c r="E24" s="73">
        <v>235</v>
      </c>
      <c r="F24" s="6">
        <v>91.23</v>
      </c>
      <c r="G24" s="8">
        <f t="shared" si="0"/>
        <v>21439.05</v>
      </c>
      <c r="H24" s="73">
        <v>5</v>
      </c>
      <c r="I24" s="6">
        <v>103.16</v>
      </c>
      <c r="J24" s="8">
        <f t="shared" si="1"/>
        <v>515.79999999999995</v>
      </c>
      <c r="K24" s="8">
        <f t="shared" si="2"/>
        <v>21954.85</v>
      </c>
      <c r="L24" s="76"/>
      <c r="M24" s="76">
        <f t="shared" si="4"/>
        <v>165132.92570000005</v>
      </c>
      <c r="N24" s="45"/>
      <c r="O24" s="77"/>
    </row>
    <row r="25" spans="1:15">
      <c r="A25" s="52">
        <v>22</v>
      </c>
      <c r="B25" s="255">
        <v>45891</v>
      </c>
      <c r="C25" s="190"/>
      <c r="D25" s="190"/>
      <c r="E25" s="73">
        <v>0</v>
      </c>
      <c r="F25" s="6">
        <v>0</v>
      </c>
      <c r="G25" s="8">
        <f t="shared" si="0"/>
        <v>0</v>
      </c>
      <c r="H25" s="73">
        <v>5</v>
      </c>
      <c r="I25" s="6">
        <v>103.16</v>
      </c>
      <c r="J25" s="8">
        <f t="shared" si="1"/>
        <v>515.79999999999995</v>
      </c>
      <c r="K25" s="8">
        <f t="shared" si="2"/>
        <v>515.79999999999995</v>
      </c>
      <c r="L25" s="76"/>
      <c r="M25" s="76">
        <f t="shared" si="4"/>
        <v>165648.72570000004</v>
      </c>
      <c r="N25" s="45"/>
      <c r="O25" s="77"/>
    </row>
    <row r="26" spans="1:15">
      <c r="A26" s="52">
        <v>23</v>
      </c>
      <c r="B26" s="255">
        <v>45892</v>
      </c>
      <c r="C26" s="236"/>
      <c r="D26" s="236"/>
      <c r="E26" s="73">
        <v>0</v>
      </c>
      <c r="F26" s="6">
        <v>0</v>
      </c>
      <c r="G26" s="8">
        <f t="shared" si="0"/>
        <v>0</v>
      </c>
      <c r="H26" s="73">
        <v>0</v>
      </c>
      <c r="I26" s="6">
        <v>0</v>
      </c>
      <c r="J26" s="8">
        <f t="shared" si="1"/>
        <v>0</v>
      </c>
      <c r="K26" s="8">
        <f t="shared" si="2"/>
        <v>0</v>
      </c>
      <c r="L26" s="76"/>
      <c r="M26" s="76">
        <f t="shared" si="4"/>
        <v>165648.72570000004</v>
      </c>
      <c r="N26" s="237"/>
      <c r="O26" s="77">
        <v>51702</v>
      </c>
    </row>
    <row r="27" spans="1:15">
      <c r="A27" s="52">
        <v>24</v>
      </c>
      <c r="B27" s="255">
        <v>45893</v>
      </c>
      <c r="C27" s="236"/>
      <c r="D27" s="236"/>
      <c r="E27" s="73">
        <v>0</v>
      </c>
      <c r="F27" s="6">
        <v>0</v>
      </c>
      <c r="G27" s="8">
        <f t="shared" si="0"/>
        <v>0</v>
      </c>
      <c r="H27" s="73">
        <v>0</v>
      </c>
      <c r="I27" s="6">
        <v>0</v>
      </c>
      <c r="J27" s="8">
        <f t="shared" si="1"/>
        <v>0</v>
      </c>
      <c r="K27" s="8">
        <f t="shared" si="2"/>
        <v>0</v>
      </c>
      <c r="L27" s="76"/>
      <c r="M27" s="76">
        <f t="shared" si="4"/>
        <v>165648.72570000004</v>
      </c>
      <c r="N27" s="237"/>
      <c r="O27" s="77"/>
    </row>
    <row r="28" spans="1:15">
      <c r="A28" s="257">
        <v>25</v>
      </c>
      <c r="B28" s="255">
        <v>45894</v>
      </c>
      <c r="C28" s="236"/>
      <c r="D28" s="236"/>
      <c r="E28" s="73">
        <v>100</v>
      </c>
      <c r="F28" s="6">
        <v>91.23</v>
      </c>
      <c r="G28" s="8">
        <f t="shared" si="0"/>
        <v>9123</v>
      </c>
      <c r="H28" s="73">
        <v>0</v>
      </c>
      <c r="I28" s="6">
        <v>0</v>
      </c>
      <c r="J28" s="8">
        <f t="shared" si="1"/>
        <v>0</v>
      </c>
      <c r="K28" s="8">
        <f t="shared" si="2"/>
        <v>9123</v>
      </c>
      <c r="L28" s="76"/>
      <c r="M28" s="76">
        <f>M27+K28-L28</f>
        <v>174771.72570000004</v>
      </c>
      <c r="N28" s="237"/>
      <c r="O28" s="77"/>
    </row>
    <row r="29" spans="1:15">
      <c r="A29" s="257">
        <v>26</v>
      </c>
      <c r="B29" s="255">
        <v>45895</v>
      </c>
      <c r="C29" s="236"/>
      <c r="D29" s="236"/>
      <c r="E29" s="73">
        <v>63.14</v>
      </c>
      <c r="F29" s="6">
        <v>91.23</v>
      </c>
      <c r="G29" s="8">
        <f t="shared" si="0"/>
        <v>5760.2622000000001</v>
      </c>
      <c r="H29" s="73">
        <v>0</v>
      </c>
      <c r="I29" s="6">
        <v>0</v>
      </c>
      <c r="J29" s="8">
        <f t="shared" si="1"/>
        <v>0</v>
      </c>
      <c r="K29" s="8">
        <f t="shared" si="2"/>
        <v>5760.2622000000001</v>
      </c>
      <c r="L29" s="76"/>
      <c r="M29" s="76">
        <f t="shared" si="4"/>
        <v>180531.98790000004</v>
      </c>
      <c r="N29" s="237"/>
      <c r="O29" s="77"/>
    </row>
    <row r="30" spans="1:15">
      <c r="A30" s="257">
        <v>27</v>
      </c>
      <c r="B30" s="255">
        <v>45896</v>
      </c>
      <c r="C30" s="236"/>
      <c r="D30" s="236"/>
      <c r="E30" s="73">
        <v>0</v>
      </c>
      <c r="F30" s="6">
        <v>0</v>
      </c>
      <c r="G30" s="8">
        <f t="shared" si="0"/>
        <v>0</v>
      </c>
      <c r="H30" s="73">
        <v>0</v>
      </c>
      <c r="I30" s="6">
        <v>0</v>
      </c>
      <c r="J30" s="8">
        <f t="shared" si="1"/>
        <v>0</v>
      </c>
      <c r="K30" s="8">
        <f t="shared" si="2"/>
        <v>0</v>
      </c>
      <c r="L30" s="76"/>
      <c r="M30" s="76">
        <f t="shared" si="4"/>
        <v>180531.98790000004</v>
      </c>
      <c r="N30" s="237"/>
      <c r="O30" s="77"/>
    </row>
    <row r="31" spans="1:15">
      <c r="A31" s="257">
        <v>28</v>
      </c>
      <c r="B31" s="255">
        <v>45897</v>
      </c>
      <c r="C31" s="236"/>
      <c r="D31" s="236"/>
      <c r="E31" s="73">
        <v>75.64</v>
      </c>
      <c r="F31" s="6">
        <v>91.23</v>
      </c>
      <c r="G31" s="8">
        <f t="shared" si="0"/>
        <v>6900.6372000000001</v>
      </c>
      <c r="H31" s="73">
        <v>0</v>
      </c>
      <c r="I31" s="6">
        <v>0</v>
      </c>
      <c r="J31" s="8">
        <f t="shared" si="1"/>
        <v>0</v>
      </c>
      <c r="K31" s="8">
        <f t="shared" si="2"/>
        <v>6900.6372000000001</v>
      </c>
      <c r="L31" s="76"/>
      <c r="M31" s="76">
        <f t="shared" si="4"/>
        <v>187432.62510000003</v>
      </c>
      <c r="N31" s="237"/>
      <c r="O31" s="77"/>
    </row>
    <row r="32" spans="1:15">
      <c r="A32" s="258">
        <v>29</v>
      </c>
      <c r="B32" s="255">
        <v>45898</v>
      </c>
      <c r="C32" s="236"/>
      <c r="D32" s="236"/>
      <c r="E32" s="73">
        <v>0</v>
      </c>
      <c r="F32" s="6">
        <v>0</v>
      </c>
      <c r="G32" s="8">
        <f t="shared" si="0"/>
        <v>0</v>
      </c>
      <c r="H32" s="73">
        <v>9.84</v>
      </c>
      <c r="I32" s="6">
        <v>103.16</v>
      </c>
      <c r="J32" s="8">
        <f t="shared" si="1"/>
        <v>1015.0944</v>
      </c>
      <c r="K32" s="8">
        <f t="shared" si="2"/>
        <v>1015.0944</v>
      </c>
      <c r="L32" s="76"/>
      <c r="M32" s="76">
        <f t="shared" si="4"/>
        <v>188447.71950000004</v>
      </c>
      <c r="N32" s="237"/>
      <c r="O32" s="77"/>
    </row>
    <row r="33" spans="1:15">
      <c r="A33" s="258">
        <v>30</v>
      </c>
      <c r="B33" s="255">
        <v>45899</v>
      </c>
      <c r="C33" s="236"/>
      <c r="D33" s="236"/>
      <c r="E33" s="73">
        <v>0</v>
      </c>
      <c r="F33" s="6">
        <v>0</v>
      </c>
      <c r="G33" s="8">
        <f t="shared" si="0"/>
        <v>0</v>
      </c>
      <c r="H33" s="73">
        <v>5</v>
      </c>
      <c r="I33" s="6">
        <v>103.16</v>
      </c>
      <c r="J33" s="8">
        <f t="shared" si="1"/>
        <v>515.79999999999995</v>
      </c>
      <c r="K33" s="8">
        <f t="shared" si="2"/>
        <v>515.79999999999995</v>
      </c>
      <c r="L33" s="76"/>
      <c r="M33" s="76">
        <f t="shared" si="4"/>
        <v>188963.51950000002</v>
      </c>
      <c r="N33" s="237"/>
      <c r="O33" s="77"/>
    </row>
    <row r="34" spans="1:15">
      <c r="A34" s="258">
        <v>31</v>
      </c>
      <c r="B34" s="255">
        <v>45900</v>
      </c>
      <c r="C34" s="236"/>
      <c r="D34" s="236"/>
      <c r="E34" s="73">
        <v>0</v>
      </c>
      <c r="F34" s="6">
        <v>0</v>
      </c>
      <c r="G34" s="8">
        <f t="shared" si="0"/>
        <v>0</v>
      </c>
      <c r="H34" s="73">
        <v>0</v>
      </c>
      <c r="I34" s="6">
        <v>0</v>
      </c>
      <c r="J34" s="8">
        <f t="shared" si="1"/>
        <v>0</v>
      </c>
      <c r="K34" s="8">
        <f t="shared" si="2"/>
        <v>0</v>
      </c>
      <c r="L34" s="76"/>
      <c r="M34" s="76">
        <f t="shared" si="4"/>
        <v>188963.51950000002</v>
      </c>
      <c r="N34" s="237"/>
      <c r="O34" s="77"/>
    </row>
    <row r="35" spans="1:15">
      <c r="A35" s="172"/>
      <c r="B35" s="172"/>
      <c r="C35" s="172"/>
      <c r="D35" s="172"/>
      <c r="E35" s="173">
        <f>SUM(E4:E34)</f>
        <v>1932.5700000000002</v>
      </c>
      <c r="F35" s="173"/>
      <c r="G35" s="173">
        <f>SUM(G4:G34)</f>
        <v>176308.36110000001</v>
      </c>
      <c r="H35" s="173">
        <f>SUM(H4:H34)</f>
        <v>68.72</v>
      </c>
      <c r="I35" s="173"/>
      <c r="J35" s="173">
        <f>SUM(J4:J34)</f>
        <v>7089.1552000000011</v>
      </c>
      <c r="K35" s="173">
        <f>SUM(K4:K34)</f>
        <v>183397.51629999999</v>
      </c>
      <c r="L35" s="173">
        <f>SUM(L4:L31)</f>
        <v>100000</v>
      </c>
      <c r="M35" s="173"/>
      <c r="N35" s="173"/>
      <c r="O35" s="67"/>
    </row>
    <row r="36" spans="1:15">
      <c r="A36" s="81"/>
      <c r="B36" s="82"/>
      <c r="C36" s="81"/>
      <c r="D36" s="81"/>
      <c r="E36" s="83"/>
      <c r="F36" s="83"/>
      <c r="G36" s="83"/>
      <c r="H36" s="83"/>
      <c r="I36" s="83"/>
      <c r="J36" s="84"/>
      <c r="K36" s="84"/>
      <c r="L36" s="84"/>
      <c r="M36" s="84"/>
      <c r="N36" s="83"/>
      <c r="O36" s="77"/>
    </row>
  </sheetData>
  <mergeCells count="1">
    <mergeCell ref="A1:N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workbookViewId="0">
      <selection activeCell="T35" sqref="T35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416" t="s">
        <v>84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5"/>
    </row>
    <row r="2" spans="1:16" ht="30.75">
      <c r="A2" s="72" t="s">
        <v>94</v>
      </c>
      <c r="B2" s="92" t="s">
        <v>95</v>
      </c>
      <c r="C2" s="92" t="s">
        <v>96</v>
      </c>
      <c r="D2" s="92" t="s">
        <v>111</v>
      </c>
      <c r="E2" s="92" t="s">
        <v>98</v>
      </c>
      <c r="F2" s="92" t="s">
        <v>99</v>
      </c>
      <c r="G2" s="99" t="s">
        <v>100</v>
      </c>
      <c r="H2" s="92" t="s">
        <v>101</v>
      </c>
      <c r="I2" s="92" t="s">
        <v>99</v>
      </c>
      <c r="J2" s="99" t="s">
        <v>100</v>
      </c>
      <c r="K2" s="72" t="s">
        <v>102</v>
      </c>
      <c r="L2" s="100" t="s">
        <v>103</v>
      </c>
      <c r="M2" s="94" t="s">
        <v>110</v>
      </c>
      <c r="N2" s="92" t="s">
        <v>105</v>
      </c>
      <c r="O2" s="5"/>
    </row>
    <row r="3" spans="1:16">
      <c r="A3" s="430" t="s">
        <v>106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2"/>
      <c r="M3" s="433">
        <v>908.20409999999981</v>
      </c>
      <c r="N3" s="434"/>
      <c r="O3" s="5"/>
    </row>
    <row r="4" spans="1:16">
      <c r="A4" s="221">
        <v>1</v>
      </c>
      <c r="B4" s="255">
        <v>45870</v>
      </c>
      <c r="C4" s="6"/>
      <c r="D4" s="6"/>
      <c r="E4" s="73">
        <v>300</v>
      </c>
      <c r="F4" s="6">
        <v>91.23</v>
      </c>
      <c r="G4" s="74">
        <f>E4*F4</f>
        <v>27369</v>
      </c>
      <c r="H4" s="73">
        <v>0</v>
      </c>
      <c r="I4" s="6">
        <v>0</v>
      </c>
      <c r="J4" s="74">
        <f>H4*I4</f>
        <v>0</v>
      </c>
      <c r="K4" s="74">
        <f>G4+J4</f>
        <v>27369</v>
      </c>
      <c r="L4" s="174">
        <v>0</v>
      </c>
      <c r="M4" s="160">
        <f>M3+K4-L4</f>
        <v>28277.204099999999</v>
      </c>
      <c r="N4" s="52"/>
      <c r="O4" s="5">
        <v>908.20409999999981</v>
      </c>
    </row>
    <row r="5" spans="1:16">
      <c r="A5" s="52">
        <v>2</v>
      </c>
      <c r="B5" s="255">
        <v>45871</v>
      </c>
      <c r="C5" s="6"/>
      <c r="D5" s="6"/>
      <c r="E5" s="73">
        <v>0</v>
      </c>
      <c r="F5" s="6">
        <v>0</v>
      </c>
      <c r="G5" s="74">
        <f t="shared" ref="G5:G43" si="0">E5*F5</f>
        <v>0</v>
      </c>
      <c r="H5" s="73">
        <v>0</v>
      </c>
      <c r="I5" s="6">
        <v>0</v>
      </c>
      <c r="J5" s="74">
        <f t="shared" ref="J5:J43" si="1">H5*I5</f>
        <v>0</v>
      </c>
      <c r="K5" s="74">
        <f t="shared" ref="K5:K43" si="2">G5+J5</f>
        <v>0</v>
      </c>
      <c r="L5" s="174">
        <v>0</v>
      </c>
      <c r="M5" s="160">
        <f t="shared" ref="M5:M43" si="3">M4+K5-L5</f>
        <v>28277.204099999999</v>
      </c>
      <c r="N5" s="52"/>
      <c r="O5" s="5"/>
    </row>
    <row r="6" spans="1:16">
      <c r="A6" s="52">
        <v>3</v>
      </c>
      <c r="B6" s="255">
        <v>45872</v>
      </c>
      <c r="C6" s="6"/>
      <c r="D6" s="6"/>
      <c r="E6" s="73">
        <v>0</v>
      </c>
      <c r="F6" s="6">
        <v>0</v>
      </c>
      <c r="G6" s="74">
        <f t="shared" si="0"/>
        <v>0</v>
      </c>
      <c r="H6" s="73">
        <v>0</v>
      </c>
      <c r="I6" s="6">
        <v>0</v>
      </c>
      <c r="J6" s="74">
        <f t="shared" si="1"/>
        <v>0</v>
      </c>
      <c r="K6" s="74">
        <f t="shared" si="2"/>
        <v>0</v>
      </c>
      <c r="L6" s="174">
        <v>0</v>
      </c>
      <c r="M6" s="160">
        <f t="shared" si="3"/>
        <v>28277.204099999999</v>
      </c>
      <c r="N6" s="52"/>
      <c r="O6" s="5"/>
    </row>
    <row r="7" spans="1:16">
      <c r="A7" s="52">
        <v>4</v>
      </c>
      <c r="B7" s="255">
        <v>45873</v>
      </c>
      <c r="C7" s="6"/>
      <c r="D7" s="6"/>
      <c r="E7" s="73">
        <v>0</v>
      </c>
      <c r="F7" s="6">
        <v>0</v>
      </c>
      <c r="G7" s="74">
        <f t="shared" si="0"/>
        <v>0</v>
      </c>
      <c r="H7" s="73">
        <v>6</v>
      </c>
      <c r="I7" s="6">
        <v>110.47</v>
      </c>
      <c r="J7" s="74">
        <f t="shared" si="1"/>
        <v>662.81999999999994</v>
      </c>
      <c r="K7" s="74">
        <f t="shared" si="2"/>
        <v>662.81999999999994</v>
      </c>
      <c r="L7" s="174">
        <v>0</v>
      </c>
      <c r="M7" s="160">
        <f t="shared" si="3"/>
        <v>28940.024099999999</v>
      </c>
      <c r="N7" s="52"/>
      <c r="O7" s="5"/>
    </row>
    <row r="8" spans="1:16">
      <c r="A8" s="52">
        <v>5</v>
      </c>
      <c r="B8" s="255">
        <v>45874</v>
      </c>
      <c r="C8" s="6"/>
      <c r="D8" s="6"/>
      <c r="E8" s="73">
        <v>0</v>
      </c>
      <c r="F8" s="6">
        <v>0</v>
      </c>
      <c r="G8" s="74">
        <f t="shared" si="0"/>
        <v>0</v>
      </c>
      <c r="H8" s="73">
        <v>0</v>
      </c>
      <c r="I8" s="6">
        <v>0</v>
      </c>
      <c r="J8" s="74">
        <f t="shared" si="1"/>
        <v>0</v>
      </c>
      <c r="K8" s="74">
        <f t="shared" si="2"/>
        <v>0</v>
      </c>
      <c r="L8" s="174">
        <v>0</v>
      </c>
      <c r="M8" s="160">
        <f t="shared" si="3"/>
        <v>28940.024099999999</v>
      </c>
      <c r="N8" s="52"/>
      <c r="O8" s="5"/>
    </row>
    <row r="9" spans="1:16">
      <c r="A9" s="52">
        <v>6</v>
      </c>
      <c r="B9" s="255">
        <v>45875</v>
      </c>
      <c r="C9" s="6"/>
      <c r="D9" s="6"/>
      <c r="E9" s="73">
        <v>0</v>
      </c>
      <c r="F9" s="6">
        <v>0</v>
      </c>
      <c r="G9" s="74">
        <f t="shared" si="0"/>
        <v>0</v>
      </c>
      <c r="H9" s="73">
        <v>0</v>
      </c>
      <c r="I9" s="6">
        <v>0</v>
      </c>
      <c r="J9" s="74">
        <f t="shared" si="1"/>
        <v>0</v>
      </c>
      <c r="K9" s="74">
        <f t="shared" si="2"/>
        <v>0</v>
      </c>
      <c r="L9" s="174">
        <v>0</v>
      </c>
      <c r="M9" s="160">
        <f t="shared" si="3"/>
        <v>28940.024099999999</v>
      </c>
      <c r="N9" s="52"/>
      <c r="O9" s="5"/>
    </row>
    <row r="10" spans="1:16">
      <c r="A10" s="52">
        <v>7</v>
      </c>
      <c r="B10" s="255">
        <v>45876</v>
      </c>
      <c r="C10" s="6"/>
      <c r="D10" s="6"/>
      <c r="E10" s="73">
        <v>0</v>
      </c>
      <c r="F10" s="6">
        <v>0</v>
      </c>
      <c r="G10" s="74">
        <f t="shared" si="0"/>
        <v>0</v>
      </c>
      <c r="H10" s="73">
        <v>0</v>
      </c>
      <c r="I10" s="6">
        <v>0</v>
      </c>
      <c r="J10" s="74">
        <f t="shared" si="1"/>
        <v>0</v>
      </c>
      <c r="K10" s="74">
        <f t="shared" si="2"/>
        <v>0</v>
      </c>
      <c r="L10" s="174">
        <v>28913.3</v>
      </c>
      <c r="M10" s="160">
        <f t="shared" si="3"/>
        <v>26.724099999999453</v>
      </c>
      <c r="N10" s="52"/>
      <c r="O10" s="5"/>
    </row>
    <row r="11" spans="1:16">
      <c r="A11" s="52">
        <v>8</v>
      </c>
      <c r="B11" s="255">
        <v>45877</v>
      </c>
      <c r="C11" s="6"/>
      <c r="D11" s="6"/>
      <c r="E11" s="73">
        <v>0</v>
      </c>
      <c r="F11" s="6">
        <v>0</v>
      </c>
      <c r="G11" s="74">
        <f t="shared" si="0"/>
        <v>0</v>
      </c>
      <c r="H11" s="73">
        <v>0</v>
      </c>
      <c r="I11" s="6">
        <v>0</v>
      </c>
      <c r="J11" s="74">
        <f t="shared" si="1"/>
        <v>0</v>
      </c>
      <c r="K11" s="74">
        <f t="shared" si="2"/>
        <v>0</v>
      </c>
      <c r="L11" s="174">
        <v>0</v>
      </c>
      <c r="M11" s="160">
        <f t="shared" si="3"/>
        <v>26.724099999999453</v>
      </c>
      <c r="N11" s="52"/>
      <c r="O11" s="5"/>
      <c r="P11" s="76">
        <f>P10+N11-O11</f>
        <v>0</v>
      </c>
    </row>
    <row r="12" spans="1:16">
      <c r="A12" s="52">
        <v>9</v>
      </c>
      <c r="B12" s="255">
        <v>45878</v>
      </c>
      <c r="C12" s="6"/>
      <c r="D12" s="6"/>
      <c r="E12" s="73">
        <v>210.03</v>
      </c>
      <c r="F12" s="6">
        <v>91.23</v>
      </c>
      <c r="G12" s="74">
        <f t="shared" si="0"/>
        <v>19161.036899999999</v>
      </c>
      <c r="H12" s="73">
        <v>0</v>
      </c>
      <c r="I12" s="6">
        <v>0</v>
      </c>
      <c r="J12" s="74">
        <f t="shared" si="1"/>
        <v>0</v>
      </c>
      <c r="K12" s="74">
        <f t="shared" si="2"/>
        <v>19161.036899999999</v>
      </c>
      <c r="L12" s="174">
        <v>0</v>
      </c>
      <c r="M12" s="160">
        <f t="shared" si="3"/>
        <v>19187.760999999999</v>
      </c>
      <c r="N12" s="52"/>
      <c r="O12" s="5"/>
    </row>
    <row r="13" spans="1:16">
      <c r="A13" s="52">
        <v>10</v>
      </c>
      <c r="B13" s="255">
        <v>45879</v>
      </c>
      <c r="C13" s="6"/>
      <c r="D13" s="6"/>
      <c r="E13" s="73">
        <v>0</v>
      </c>
      <c r="F13" s="6">
        <v>0</v>
      </c>
      <c r="G13" s="74">
        <f t="shared" si="0"/>
        <v>0</v>
      </c>
      <c r="H13" s="73">
        <v>0</v>
      </c>
      <c r="I13" s="6">
        <v>0</v>
      </c>
      <c r="J13" s="74">
        <f t="shared" si="1"/>
        <v>0</v>
      </c>
      <c r="K13" s="74">
        <f t="shared" si="2"/>
        <v>0</v>
      </c>
      <c r="L13" s="174">
        <v>0</v>
      </c>
      <c r="M13" s="160">
        <f t="shared" si="3"/>
        <v>19187.760999999999</v>
      </c>
      <c r="N13" s="52"/>
      <c r="O13" s="5"/>
    </row>
    <row r="14" spans="1:16">
      <c r="A14" s="52">
        <v>11</v>
      </c>
      <c r="B14" s="255">
        <v>45880</v>
      </c>
      <c r="C14" s="6"/>
      <c r="D14" s="6"/>
      <c r="E14" s="73">
        <v>0</v>
      </c>
      <c r="F14" s="6">
        <v>0</v>
      </c>
      <c r="G14" s="74">
        <f t="shared" si="0"/>
        <v>0</v>
      </c>
      <c r="H14" s="73">
        <v>0</v>
      </c>
      <c r="I14" s="6">
        <v>0</v>
      </c>
      <c r="J14" s="74">
        <f t="shared" si="1"/>
        <v>0</v>
      </c>
      <c r="K14" s="74">
        <f t="shared" si="2"/>
        <v>0</v>
      </c>
      <c r="L14" s="174">
        <v>0</v>
      </c>
      <c r="M14" s="160">
        <f t="shared" si="3"/>
        <v>19187.760999999999</v>
      </c>
      <c r="N14" s="52"/>
      <c r="O14" s="5"/>
    </row>
    <row r="15" spans="1:16">
      <c r="A15" s="52">
        <v>12</v>
      </c>
      <c r="B15" s="255">
        <v>45881</v>
      </c>
      <c r="C15" s="6"/>
      <c r="D15" s="6"/>
      <c r="E15" s="73">
        <v>0</v>
      </c>
      <c r="F15" s="6">
        <v>0</v>
      </c>
      <c r="G15" s="74">
        <f t="shared" si="0"/>
        <v>0</v>
      </c>
      <c r="H15" s="73">
        <v>0</v>
      </c>
      <c r="I15" s="6">
        <v>0</v>
      </c>
      <c r="J15" s="74">
        <f t="shared" si="1"/>
        <v>0</v>
      </c>
      <c r="K15" s="74">
        <f t="shared" si="2"/>
        <v>0</v>
      </c>
      <c r="L15" s="174">
        <v>0</v>
      </c>
      <c r="M15" s="160">
        <f t="shared" si="3"/>
        <v>19187.760999999999</v>
      </c>
      <c r="N15" s="52"/>
      <c r="O15" s="5"/>
    </row>
    <row r="16" spans="1:16">
      <c r="A16" s="52">
        <v>13</v>
      </c>
      <c r="B16" s="255">
        <v>45882</v>
      </c>
      <c r="C16" s="6"/>
      <c r="D16" s="6"/>
      <c r="E16" s="73">
        <v>0</v>
      </c>
      <c r="F16" s="6">
        <v>0</v>
      </c>
      <c r="G16" s="74">
        <f t="shared" si="0"/>
        <v>0</v>
      </c>
      <c r="H16" s="73">
        <v>0</v>
      </c>
      <c r="I16" s="6">
        <v>0</v>
      </c>
      <c r="J16" s="74">
        <f t="shared" si="1"/>
        <v>0</v>
      </c>
      <c r="K16" s="74">
        <f t="shared" si="2"/>
        <v>0</v>
      </c>
      <c r="L16" s="174">
        <v>0</v>
      </c>
      <c r="M16" s="160">
        <f t="shared" si="3"/>
        <v>19187.760999999999</v>
      </c>
      <c r="N16" s="52"/>
      <c r="O16" s="5"/>
    </row>
    <row r="17" spans="1:15">
      <c r="A17" s="52">
        <v>14</v>
      </c>
      <c r="B17" s="255">
        <v>45883</v>
      </c>
      <c r="C17" s="6"/>
      <c r="D17" s="6"/>
      <c r="E17" s="73">
        <v>107.01</v>
      </c>
      <c r="F17" s="6">
        <v>91.23</v>
      </c>
      <c r="G17" s="74">
        <f t="shared" si="0"/>
        <v>9762.5223000000005</v>
      </c>
      <c r="H17" s="73">
        <v>0</v>
      </c>
      <c r="I17" s="6">
        <v>0</v>
      </c>
      <c r="J17" s="74">
        <f t="shared" si="1"/>
        <v>0</v>
      </c>
      <c r="K17" s="74">
        <f t="shared" si="2"/>
        <v>9762.5223000000005</v>
      </c>
      <c r="L17" s="174">
        <v>0</v>
      </c>
      <c r="M17" s="160">
        <f t="shared" si="3"/>
        <v>28950.283299999999</v>
      </c>
      <c r="N17" s="52"/>
      <c r="O17" s="5"/>
    </row>
    <row r="18" spans="1:15">
      <c r="A18" s="52">
        <v>15</v>
      </c>
      <c r="B18" s="255">
        <v>45884</v>
      </c>
      <c r="C18" s="6"/>
      <c r="D18" s="6"/>
      <c r="E18" s="73">
        <v>0</v>
      </c>
      <c r="F18" s="6">
        <v>0</v>
      </c>
      <c r="G18" s="74">
        <f t="shared" si="0"/>
        <v>0</v>
      </c>
      <c r="H18" s="73">
        <v>0</v>
      </c>
      <c r="I18" s="6">
        <v>0</v>
      </c>
      <c r="J18" s="74">
        <f t="shared" si="1"/>
        <v>0</v>
      </c>
      <c r="K18" s="74">
        <f t="shared" si="2"/>
        <v>0</v>
      </c>
      <c r="L18" s="174">
        <v>0</v>
      </c>
      <c r="M18" s="160">
        <f>M17+K18-L18</f>
        <v>28950.283299999999</v>
      </c>
      <c r="N18" s="52"/>
      <c r="O18" s="5"/>
    </row>
    <row r="19" spans="1:15">
      <c r="A19" s="52">
        <v>16</v>
      </c>
      <c r="B19" s="255">
        <v>45885</v>
      </c>
      <c r="C19" s="6"/>
      <c r="D19" s="6"/>
      <c r="E19" s="73">
        <v>0</v>
      </c>
      <c r="F19" s="6">
        <v>0</v>
      </c>
      <c r="G19" s="74">
        <f t="shared" si="0"/>
        <v>0</v>
      </c>
      <c r="H19" s="73">
        <v>0</v>
      </c>
      <c r="I19" s="6">
        <v>0</v>
      </c>
      <c r="J19" s="74">
        <f t="shared" si="1"/>
        <v>0</v>
      </c>
      <c r="K19" s="74">
        <f t="shared" si="2"/>
        <v>0</v>
      </c>
      <c r="L19" s="174">
        <v>0</v>
      </c>
      <c r="M19" s="160">
        <f t="shared" si="3"/>
        <v>28950.283299999999</v>
      </c>
      <c r="N19" s="52"/>
      <c r="O19" s="5"/>
    </row>
    <row r="20" spans="1:15">
      <c r="A20" s="52">
        <v>17</v>
      </c>
      <c r="B20" s="255">
        <v>45886</v>
      </c>
      <c r="C20" s="6"/>
      <c r="D20" s="6"/>
      <c r="E20" s="73">
        <v>0</v>
      </c>
      <c r="F20" s="6">
        <v>0</v>
      </c>
      <c r="G20" s="74">
        <f t="shared" si="0"/>
        <v>0</v>
      </c>
      <c r="H20" s="73">
        <v>0</v>
      </c>
      <c r="I20" s="6">
        <v>0</v>
      </c>
      <c r="J20" s="74">
        <f t="shared" si="1"/>
        <v>0</v>
      </c>
      <c r="K20" s="74">
        <f t="shared" si="2"/>
        <v>0</v>
      </c>
      <c r="L20" s="174">
        <v>0</v>
      </c>
      <c r="M20" s="160">
        <f t="shared" si="3"/>
        <v>28950.283299999999</v>
      </c>
      <c r="N20" s="52"/>
      <c r="O20" s="5"/>
    </row>
    <row r="21" spans="1:15">
      <c r="A21" s="52">
        <v>18</v>
      </c>
      <c r="B21" s="255">
        <v>45887</v>
      </c>
      <c r="C21" s="6"/>
      <c r="D21" s="6"/>
      <c r="E21" s="73">
        <v>0</v>
      </c>
      <c r="F21" s="6">
        <v>0</v>
      </c>
      <c r="G21" s="74">
        <f t="shared" si="0"/>
        <v>0</v>
      </c>
      <c r="H21" s="73">
        <v>0</v>
      </c>
      <c r="I21" s="6">
        <v>0</v>
      </c>
      <c r="J21" s="74">
        <f t="shared" si="1"/>
        <v>0</v>
      </c>
      <c r="K21" s="74">
        <f t="shared" si="2"/>
        <v>0</v>
      </c>
      <c r="L21" s="174">
        <v>0</v>
      </c>
      <c r="M21" s="160">
        <f t="shared" si="3"/>
        <v>28950.283299999999</v>
      </c>
      <c r="N21" s="52"/>
      <c r="O21" s="5"/>
    </row>
    <row r="22" spans="1:15">
      <c r="A22" s="52">
        <v>19</v>
      </c>
      <c r="B22" s="255">
        <v>45888</v>
      </c>
      <c r="C22" s="6"/>
      <c r="D22" s="6"/>
      <c r="E22" s="73">
        <v>0</v>
      </c>
      <c r="F22" s="6">
        <v>0</v>
      </c>
      <c r="G22" s="74">
        <f t="shared" si="0"/>
        <v>0</v>
      </c>
      <c r="H22" s="73">
        <v>0</v>
      </c>
      <c r="I22" s="6">
        <v>0</v>
      </c>
      <c r="J22" s="74">
        <f t="shared" si="1"/>
        <v>0</v>
      </c>
      <c r="K22" s="74">
        <f t="shared" si="2"/>
        <v>0</v>
      </c>
      <c r="L22" s="174">
        <v>28919.91</v>
      </c>
      <c r="M22" s="160">
        <f t="shared" si="3"/>
        <v>30.37329999999929</v>
      </c>
      <c r="N22" s="52"/>
      <c r="O22" s="5"/>
    </row>
    <row r="23" spans="1:15">
      <c r="A23" s="52">
        <v>20</v>
      </c>
      <c r="B23" s="255">
        <v>45889</v>
      </c>
      <c r="C23" s="6"/>
      <c r="D23" s="6"/>
      <c r="E23" s="73">
        <v>0</v>
      </c>
      <c r="F23" s="6">
        <v>0</v>
      </c>
      <c r="G23" s="74">
        <f t="shared" si="0"/>
        <v>0</v>
      </c>
      <c r="H23" s="73">
        <v>0</v>
      </c>
      <c r="I23" s="6">
        <v>0</v>
      </c>
      <c r="J23" s="74">
        <f t="shared" si="1"/>
        <v>0</v>
      </c>
      <c r="K23" s="74">
        <f t="shared" si="2"/>
        <v>0</v>
      </c>
      <c r="L23" s="174">
        <v>0</v>
      </c>
      <c r="M23" s="160">
        <f t="shared" si="3"/>
        <v>30.37329999999929</v>
      </c>
      <c r="N23" s="52"/>
      <c r="O23" s="5"/>
    </row>
    <row r="24" spans="1:15">
      <c r="A24" s="52">
        <v>21</v>
      </c>
      <c r="B24" s="255">
        <v>45890</v>
      </c>
      <c r="C24" s="6"/>
      <c r="D24" s="6"/>
      <c r="E24" s="73">
        <v>0</v>
      </c>
      <c r="F24" s="6">
        <v>0</v>
      </c>
      <c r="G24" s="74">
        <f t="shared" si="0"/>
        <v>0</v>
      </c>
      <c r="H24" s="73">
        <v>0</v>
      </c>
      <c r="I24" s="6">
        <v>0</v>
      </c>
      <c r="J24" s="74">
        <f t="shared" si="1"/>
        <v>0</v>
      </c>
      <c r="K24" s="74">
        <f t="shared" si="2"/>
        <v>0</v>
      </c>
      <c r="L24" s="174">
        <v>0</v>
      </c>
      <c r="M24" s="160">
        <f t="shared" si="3"/>
        <v>30.37329999999929</v>
      </c>
      <c r="N24" s="52"/>
      <c r="O24" s="5"/>
    </row>
    <row r="25" spans="1:15">
      <c r="A25" s="52">
        <v>22</v>
      </c>
      <c r="B25" s="255">
        <v>45891</v>
      </c>
      <c r="C25" s="6"/>
      <c r="D25" s="6"/>
      <c r="E25" s="73">
        <v>0</v>
      </c>
      <c r="F25" s="6">
        <v>0</v>
      </c>
      <c r="G25" s="74">
        <f t="shared" si="0"/>
        <v>0</v>
      </c>
      <c r="H25" s="73">
        <v>0</v>
      </c>
      <c r="I25" s="6">
        <v>0</v>
      </c>
      <c r="J25" s="74">
        <f t="shared" si="1"/>
        <v>0</v>
      </c>
      <c r="K25" s="74">
        <f t="shared" si="2"/>
        <v>0</v>
      </c>
      <c r="L25" s="174">
        <v>0</v>
      </c>
      <c r="M25" s="160">
        <f t="shared" si="3"/>
        <v>30.37329999999929</v>
      </c>
      <c r="N25" s="52"/>
      <c r="O25" s="5"/>
    </row>
    <row r="26" spans="1:15">
      <c r="A26" s="52">
        <v>23</v>
      </c>
      <c r="B26" s="255">
        <v>45892</v>
      </c>
      <c r="C26" s="6"/>
      <c r="D26" s="6"/>
      <c r="E26" s="73">
        <v>0</v>
      </c>
      <c r="F26" s="6">
        <v>0</v>
      </c>
      <c r="G26" s="74">
        <f t="shared" si="0"/>
        <v>0</v>
      </c>
      <c r="H26" s="73">
        <v>0</v>
      </c>
      <c r="I26" s="6">
        <v>0</v>
      </c>
      <c r="J26" s="74">
        <f t="shared" si="1"/>
        <v>0</v>
      </c>
      <c r="K26" s="74">
        <f t="shared" si="2"/>
        <v>0</v>
      </c>
      <c r="L26" s="174">
        <v>0</v>
      </c>
      <c r="M26" s="160">
        <f t="shared" si="3"/>
        <v>30.37329999999929</v>
      </c>
      <c r="N26" s="52"/>
      <c r="O26" s="5"/>
    </row>
    <row r="27" spans="1:15">
      <c r="A27" s="52">
        <v>24</v>
      </c>
      <c r="B27" s="255">
        <v>45893</v>
      </c>
      <c r="C27" s="6"/>
      <c r="D27" s="6"/>
      <c r="E27" s="73">
        <v>0</v>
      </c>
      <c r="F27" s="6">
        <v>0</v>
      </c>
      <c r="G27" s="74">
        <f t="shared" si="0"/>
        <v>0</v>
      </c>
      <c r="H27" s="73">
        <v>0</v>
      </c>
      <c r="I27" s="6">
        <v>0</v>
      </c>
      <c r="J27" s="74">
        <f t="shared" si="1"/>
        <v>0</v>
      </c>
      <c r="K27" s="74">
        <f t="shared" si="2"/>
        <v>0</v>
      </c>
      <c r="L27" s="174">
        <v>0</v>
      </c>
      <c r="M27" s="160">
        <f t="shared" si="3"/>
        <v>30.37329999999929</v>
      </c>
      <c r="N27" s="6"/>
      <c r="O27" s="5"/>
    </row>
    <row r="28" spans="1:15">
      <c r="A28" s="257">
        <v>25</v>
      </c>
      <c r="B28" s="255">
        <v>45894</v>
      </c>
      <c r="C28" s="6"/>
      <c r="D28" s="6"/>
      <c r="E28" s="73">
        <v>239.35</v>
      </c>
      <c r="F28" s="6">
        <v>91.23</v>
      </c>
      <c r="G28" s="74">
        <f t="shared" si="0"/>
        <v>21835.9005</v>
      </c>
      <c r="H28" s="73">
        <v>0</v>
      </c>
      <c r="I28" s="6">
        <v>0</v>
      </c>
      <c r="J28" s="74">
        <f t="shared" si="1"/>
        <v>0</v>
      </c>
      <c r="K28" s="74">
        <f t="shared" si="2"/>
        <v>21835.9005</v>
      </c>
      <c r="L28" s="174">
        <v>0</v>
      </c>
      <c r="M28" s="160">
        <f t="shared" si="3"/>
        <v>21866.273799999999</v>
      </c>
      <c r="N28" s="6"/>
      <c r="O28" s="5"/>
    </row>
    <row r="29" spans="1:15">
      <c r="A29" s="257">
        <v>26</v>
      </c>
      <c r="B29" s="255">
        <v>45895</v>
      </c>
      <c r="C29" s="6"/>
      <c r="D29" s="6"/>
      <c r="E29" s="73">
        <v>0</v>
      </c>
      <c r="F29" s="6">
        <v>0</v>
      </c>
      <c r="G29" s="74">
        <f t="shared" si="0"/>
        <v>0</v>
      </c>
      <c r="H29" s="73">
        <v>5</v>
      </c>
      <c r="I29" s="6">
        <v>110.47</v>
      </c>
      <c r="J29" s="74">
        <f t="shared" si="1"/>
        <v>552.35</v>
      </c>
      <c r="K29" s="74">
        <f t="shared" si="2"/>
        <v>552.35</v>
      </c>
      <c r="L29" s="174">
        <v>0</v>
      </c>
      <c r="M29" s="160">
        <f t="shared" si="3"/>
        <v>22418.623799999998</v>
      </c>
      <c r="N29" s="6"/>
      <c r="O29" s="5"/>
    </row>
    <row r="30" spans="1:15">
      <c r="A30" s="257">
        <v>27</v>
      </c>
      <c r="B30" s="255">
        <v>45896</v>
      </c>
      <c r="C30" s="6"/>
      <c r="D30" s="6"/>
      <c r="E30" s="73">
        <v>0</v>
      </c>
      <c r="F30" s="6">
        <v>0</v>
      </c>
      <c r="G30" s="74">
        <f t="shared" si="0"/>
        <v>0</v>
      </c>
      <c r="H30" s="73">
        <v>0</v>
      </c>
      <c r="I30" s="6">
        <v>0</v>
      </c>
      <c r="J30" s="74">
        <f t="shared" si="1"/>
        <v>0</v>
      </c>
      <c r="K30" s="74">
        <f t="shared" si="2"/>
        <v>0</v>
      </c>
      <c r="L30" s="174">
        <v>0</v>
      </c>
      <c r="M30" s="160">
        <f t="shared" si="3"/>
        <v>22418.623799999998</v>
      </c>
      <c r="N30" s="6"/>
      <c r="O30" s="5"/>
    </row>
    <row r="31" spans="1:15">
      <c r="A31" s="257">
        <v>28</v>
      </c>
      <c r="B31" s="255">
        <v>45897</v>
      </c>
      <c r="C31" s="6"/>
      <c r="D31" s="6"/>
      <c r="E31" s="73">
        <v>0</v>
      </c>
      <c r="F31" s="6">
        <v>91.23</v>
      </c>
      <c r="G31" s="74">
        <f t="shared" si="0"/>
        <v>0</v>
      </c>
      <c r="H31" s="73">
        <v>4.7</v>
      </c>
      <c r="I31" s="6">
        <v>110.47</v>
      </c>
      <c r="J31" s="74">
        <f t="shared" si="1"/>
        <v>519.20900000000006</v>
      </c>
      <c r="K31" s="74">
        <f t="shared" si="2"/>
        <v>519.20900000000006</v>
      </c>
      <c r="L31" s="174">
        <v>0</v>
      </c>
      <c r="M31" s="160">
        <f t="shared" si="3"/>
        <v>22937.832799999996</v>
      </c>
      <c r="N31" s="6"/>
      <c r="O31" s="5"/>
    </row>
    <row r="32" spans="1:15">
      <c r="A32" s="258">
        <v>29</v>
      </c>
      <c r="B32" s="255">
        <v>45898</v>
      </c>
      <c r="C32" s="6"/>
      <c r="D32" s="6"/>
      <c r="E32" s="73">
        <v>0</v>
      </c>
      <c r="F32" s="6">
        <v>0</v>
      </c>
      <c r="G32" s="74">
        <f t="shared" si="0"/>
        <v>0</v>
      </c>
      <c r="H32" s="73">
        <v>0</v>
      </c>
      <c r="I32" s="6">
        <v>0</v>
      </c>
      <c r="J32" s="74">
        <f t="shared" si="1"/>
        <v>0</v>
      </c>
      <c r="K32" s="74">
        <f t="shared" si="2"/>
        <v>0</v>
      </c>
      <c r="L32" s="174">
        <v>0</v>
      </c>
      <c r="M32" s="160">
        <f t="shared" si="3"/>
        <v>22937.832799999996</v>
      </c>
      <c r="N32" s="6"/>
      <c r="O32" s="5"/>
    </row>
    <row r="33" spans="1:15">
      <c r="A33" s="258">
        <v>30</v>
      </c>
      <c r="B33" s="255">
        <v>45899</v>
      </c>
      <c r="C33" s="6"/>
      <c r="D33" s="6"/>
      <c r="E33" s="73">
        <v>0</v>
      </c>
      <c r="F33" s="6">
        <v>0</v>
      </c>
      <c r="G33" s="74">
        <v>0</v>
      </c>
      <c r="H33" s="74">
        <v>15</v>
      </c>
      <c r="I33" s="73">
        <v>110.47</v>
      </c>
      <c r="J33" s="74">
        <f t="shared" si="1"/>
        <v>1657.05</v>
      </c>
      <c r="K33" s="74">
        <f t="shared" si="2"/>
        <v>1657.05</v>
      </c>
      <c r="L33" s="174">
        <v>0</v>
      </c>
      <c r="M33" s="160">
        <f t="shared" si="3"/>
        <v>24594.882799999996</v>
      </c>
      <c r="N33" s="6"/>
      <c r="O33" s="5"/>
    </row>
    <row r="34" spans="1:15">
      <c r="A34" s="258">
        <v>31</v>
      </c>
      <c r="B34" s="255">
        <v>45900</v>
      </c>
      <c r="C34" s="6"/>
      <c r="D34" s="6"/>
      <c r="E34" s="73">
        <v>79.819999999999993</v>
      </c>
      <c r="F34" s="6">
        <v>91.23</v>
      </c>
      <c r="G34" s="74">
        <f t="shared" si="0"/>
        <v>7281.9785999999995</v>
      </c>
      <c r="H34" s="73">
        <v>0</v>
      </c>
      <c r="I34" s="6">
        <v>0</v>
      </c>
      <c r="J34" s="74">
        <f t="shared" si="1"/>
        <v>0</v>
      </c>
      <c r="K34" s="74">
        <f t="shared" si="2"/>
        <v>7281.9785999999995</v>
      </c>
      <c r="L34" s="174">
        <v>0</v>
      </c>
      <c r="M34" s="160">
        <f t="shared" si="3"/>
        <v>31876.861399999994</v>
      </c>
      <c r="N34" s="6"/>
      <c r="O34" s="5"/>
    </row>
    <row r="35" spans="1:15">
      <c r="A35" s="52">
        <v>34</v>
      </c>
      <c r="B35" s="87"/>
      <c r="C35" s="6"/>
      <c r="D35" s="6"/>
      <c r="E35" s="73">
        <v>0</v>
      </c>
      <c r="F35" s="6">
        <v>0</v>
      </c>
      <c r="G35" s="74">
        <f t="shared" si="0"/>
        <v>0</v>
      </c>
      <c r="H35" s="73">
        <v>0</v>
      </c>
      <c r="I35" s="6">
        <v>0</v>
      </c>
      <c r="J35" s="74">
        <f t="shared" si="1"/>
        <v>0</v>
      </c>
      <c r="K35" s="74">
        <f t="shared" si="2"/>
        <v>0</v>
      </c>
      <c r="L35" s="174">
        <v>0</v>
      </c>
      <c r="M35" s="160">
        <f t="shared" si="3"/>
        <v>31876.861399999994</v>
      </c>
      <c r="N35" s="6"/>
      <c r="O35" s="5"/>
    </row>
    <row r="36" spans="1:15">
      <c r="A36" s="52">
        <v>35</v>
      </c>
      <c r="B36" s="87"/>
      <c r="C36" s="6"/>
      <c r="D36" s="6"/>
      <c r="E36" s="73">
        <v>0</v>
      </c>
      <c r="F36" s="6">
        <v>0</v>
      </c>
      <c r="G36" s="74">
        <f t="shared" si="0"/>
        <v>0</v>
      </c>
      <c r="H36" s="73">
        <v>0</v>
      </c>
      <c r="I36" s="6">
        <v>0</v>
      </c>
      <c r="J36" s="74">
        <f t="shared" si="1"/>
        <v>0</v>
      </c>
      <c r="K36" s="74">
        <f t="shared" si="2"/>
        <v>0</v>
      </c>
      <c r="L36" s="174">
        <v>0</v>
      </c>
      <c r="M36" s="160">
        <f t="shared" si="3"/>
        <v>31876.861399999994</v>
      </c>
      <c r="N36" s="6"/>
      <c r="O36" s="5"/>
    </row>
    <row r="37" spans="1:15">
      <c r="A37" s="52">
        <v>36</v>
      </c>
      <c r="B37" s="87"/>
      <c r="C37" s="6"/>
      <c r="D37" s="6"/>
      <c r="E37" s="73">
        <v>0</v>
      </c>
      <c r="F37" s="6">
        <v>0</v>
      </c>
      <c r="G37" s="74">
        <f t="shared" si="0"/>
        <v>0</v>
      </c>
      <c r="H37" s="73">
        <v>0</v>
      </c>
      <c r="I37" s="6">
        <v>0</v>
      </c>
      <c r="J37" s="74">
        <f t="shared" si="1"/>
        <v>0</v>
      </c>
      <c r="K37" s="74">
        <f t="shared" si="2"/>
        <v>0</v>
      </c>
      <c r="L37" s="174">
        <v>0</v>
      </c>
      <c r="M37" s="160">
        <f t="shared" si="3"/>
        <v>31876.861399999994</v>
      </c>
      <c r="N37" s="6"/>
      <c r="O37" s="5"/>
    </row>
    <row r="38" spans="1:15">
      <c r="A38" s="52">
        <v>37</v>
      </c>
      <c r="B38" s="87"/>
      <c r="C38" s="6"/>
      <c r="D38" s="6"/>
      <c r="E38" s="73">
        <v>0</v>
      </c>
      <c r="F38" s="6">
        <v>0</v>
      </c>
      <c r="G38" s="74">
        <f t="shared" si="0"/>
        <v>0</v>
      </c>
      <c r="H38" s="73">
        <v>0</v>
      </c>
      <c r="I38" s="6">
        <v>0</v>
      </c>
      <c r="J38" s="74">
        <f t="shared" si="1"/>
        <v>0</v>
      </c>
      <c r="K38" s="74">
        <f t="shared" si="2"/>
        <v>0</v>
      </c>
      <c r="L38" s="174">
        <v>0</v>
      </c>
      <c r="M38" s="160">
        <f t="shared" si="3"/>
        <v>31876.861399999994</v>
      </c>
      <c r="N38" s="6"/>
      <c r="O38" s="5"/>
    </row>
    <row r="39" spans="1:15">
      <c r="A39" s="52">
        <v>38</v>
      </c>
      <c r="B39" s="87"/>
      <c r="C39" s="6"/>
      <c r="D39" s="6"/>
      <c r="E39" s="73">
        <v>0</v>
      </c>
      <c r="F39" s="6">
        <v>0</v>
      </c>
      <c r="G39" s="74">
        <f t="shared" si="0"/>
        <v>0</v>
      </c>
      <c r="H39" s="73">
        <v>0</v>
      </c>
      <c r="I39" s="6">
        <v>0</v>
      </c>
      <c r="J39" s="74">
        <f t="shared" si="1"/>
        <v>0</v>
      </c>
      <c r="K39" s="74">
        <f t="shared" si="2"/>
        <v>0</v>
      </c>
      <c r="L39" s="174">
        <v>0</v>
      </c>
      <c r="M39" s="160">
        <f t="shared" si="3"/>
        <v>31876.861399999994</v>
      </c>
      <c r="N39" s="6"/>
      <c r="O39" s="5"/>
    </row>
    <row r="40" spans="1:15">
      <c r="A40" s="253">
        <v>39</v>
      </c>
      <c r="B40" s="184"/>
      <c r="C40" s="183"/>
      <c r="D40" s="6"/>
      <c r="E40" s="73">
        <v>0</v>
      </c>
      <c r="F40" s="6">
        <v>0</v>
      </c>
      <c r="G40" s="74">
        <f t="shared" si="0"/>
        <v>0</v>
      </c>
      <c r="H40" s="73">
        <v>0</v>
      </c>
      <c r="I40" s="6">
        <v>0</v>
      </c>
      <c r="J40" s="74">
        <f t="shared" si="1"/>
        <v>0</v>
      </c>
      <c r="K40" s="74">
        <f t="shared" si="2"/>
        <v>0</v>
      </c>
      <c r="L40" s="174">
        <v>0</v>
      </c>
      <c r="M40" s="160">
        <f t="shared" si="3"/>
        <v>31876.861399999994</v>
      </c>
      <c r="N40" s="183"/>
      <c r="O40" s="5"/>
    </row>
    <row r="41" spans="1:15">
      <c r="A41" s="52">
        <v>40</v>
      </c>
      <c r="B41" s="6"/>
      <c r="C41" s="6"/>
      <c r="D41" s="6"/>
      <c r="E41" s="73">
        <v>0</v>
      </c>
      <c r="F41" s="6">
        <v>0</v>
      </c>
      <c r="G41" s="74">
        <f t="shared" si="0"/>
        <v>0</v>
      </c>
      <c r="H41" s="73">
        <v>0</v>
      </c>
      <c r="I41" s="6">
        <v>0</v>
      </c>
      <c r="J41" s="74">
        <f t="shared" si="1"/>
        <v>0</v>
      </c>
      <c r="K41" s="74">
        <f t="shared" si="2"/>
        <v>0</v>
      </c>
      <c r="L41" s="174">
        <v>0</v>
      </c>
      <c r="M41" s="160">
        <f t="shared" si="3"/>
        <v>31876.861399999994</v>
      </c>
      <c r="N41" s="6"/>
      <c r="O41" s="5"/>
    </row>
    <row r="42" spans="1:15">
      <c r="A42" s="253">
        <v>41</v>
      </c>
      <c r="B42" s="183"/>
      <c r="C42" s="183"/>
      <c r="D42" s="6"/>
      <c r="E42" s="73">
        <v>0</v>
      </c>
      <c r="F42" s="6">
        <v>0</v>
      </c>
      <c r="G42" s="74">
        <f t="shared" si="0"/>
        <v>0</v>
      </c>
      <c r="H42" s="73">
        <v>0</v>
      </c>
      <c r="I42" s="6">
        <v>0</v>
      </c>
      <c r="J42" s="74">
        <f t="shared" si="1"/>
        <v>0</v>
      </c>
      <c r="K42" s="74">
        <f t="shared" si="2"/>
        <v>0</v>
      </c>
      <c r="L42" s="174">
        <v>0</v>
      </c>
      <c r="M42" s="160">
        <f t="shared" si="3"/>
        <v>31876.861399999994</v>
      </c>
      <c r="N42" s="183"/>
      <c r="O42" s="5"/>
    </row>
    <row r="43" spans="1:15">
      <c r="A43" s="253">
        <v>42</v>
      </c>
      <c r="B43" s="183"/>
      <c r="C43" s="183"/>
      <c r="D43" s="6"/>
      <c r="E43" s="73">
        <v>0</v>
      </c>
      <c r="F43" s="6">
        <v>0</v>
      </c>
      <c r="G43" s="74">
        <f t="shared" si="0"/>
        <v>0</v>
      </c>
      <c r="H43" s="73">
        <v>0</v>
      </c>
      <c r="I43" s="6">
        <v>0</v>
      </c>
      <c r="J43" s="74">
        <f t="shared" si="1"/>
        <v>0</v>
      </c>
      <c r="K43" s="74">
        <f t="shared" si="2"/>
        <v>0</v>
      </c>
      <c r="L43" s="174">
        <v>0</v>
      </c>
      <c r="M43" s="160">
        <f t="shared" si="3"/>
        <v>31876.861399999994</v>
      </c>
      <c r="N43" s="183"/>
      <c r="O43" s="5"/>
    </row>
    <row r="44" spans="1:15">
      <c r="A44" s="70"/>
      <c r="B44" s="70"/>
      <c r="C44" s="70"/>
      <c r="D44" s="70"/>
      <c r="E44" s="71">
        <f>SUM(E4:E43)</f>
        <v>936.21</v>
      </c>
      <c r="F44" s="71"/>
      <c r="G44" s="71">
        <f>SUM(G4:G43)</f>
        <v>85410.438300000009</v>
      </c>
      <c r="H44" s="71">
        <f>SUM(H4:H43)</f>
        <v>30.7</v>
      </c>
      <c r="I44" s="71"/>
      <c r="J44" s="71">
        <f>SUM(J4:J43)</f>
        <v>3391.4290000000001</v>
      </c>
      <c r="K44" s="71">
        <f>SUM(K4:K43)</f>
        <v>88801.867300000013</v>
      </c>
      <c r="L44" s="71">
        <f>SUM(L4:L43)</f>
        <v>57833.21</v>
      </c>
      <c r="M44" s="71">
        <f>SUM(M4:M43)</f>
        <v>868520.27790000034</v>
      </c>
      <c r="N44" s="71"/>
      <c r="O44" s="67"/>
    </row>
    <row r="45" spans="1:15">
      <c r="A45" s="5"/>
      <c r="B45" s="5"/>
      <c r="C45" s="5"/>
      <c r="D45" s="5"/>
      <c r="E45" s="5"/>
      <c r="F45" s="5"/>
      <c r="G45" s="111"/>
      <c r="H45" s="5"/>
      <c r="I45" s="5"/>
      <c r="J45" s="111"/>
      <c r="K45" s="5"/>
      <c r="L45" s="111"/>
      <c r="M45" s="111"/>
      <c r="N45" s="5"/>
      <c r="O45" s="5"/>
    </row>
    <row r="46" spans="1:15">
      <c r="A46" s="5"/>
      <c r="B46" s="5"/>
      <c r="C46" s="5"/>
      <c r="D46" s="5"/>
      <c r="E46" s="5"/>
      <c r="F46" s="5"/>
      <c r="G46" s="111"/>
      <c r="H46" s="5"/>
      <c r="I46" s="5"/>
      <c r="J46" s="111"/>
      <c r="K46" s="5"/>
      <c r="L46" s="111"/>
      <c r="M46" s="111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workbookViewId="0">
      <selection activeCell="P48" sqref="P48"/>
    </sheetView>
  </sheetViews>
  <sheetFormatPr defaultRowHeight="15"/>
  <cols>
    <col min="1" max="1" width="6.140625" customWidth="1"/>
    <col min="2" max="2" width="10.85546875" bestFit="1" customWidth="1"/>
    <col min="7" max="7" width="11.85546875" bestFit="1" customWidth="1"/>
    <col min="10" max="10" width="1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16" t="s">
        <v>88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5"/>
    </row>
    <row r="2" spans="1:15" ht="30.75">
      <c r="A2" s="72" t="s">
        <v>94</v>
      </c>
      <c r="B2" s="92" t="s">
        <v>95</v>
      </c>
      <c r="C2" s="92" t="s">
        <v>96</v>
      </c>
      <c r="D2" s="92" t="s">
        <v>111</v>
      </c>
      <c r="E2" s="92" t="s">
        <v>98</v>
      </c>
      <c r="F2" s="92" t="s">
        <v>99</v>
      </c>
      <c r="G2" s="99" t="s">
        <v>100</v>
      </c>
      <c r="H2" s="92" t="s">
        <v>101</v>
      </c>
      <c r="I2" s="92" t="s">
        <v>99</v>
      </c>
      <c r="J2" s="99" t="s">
        <v>100</v>
      </c>
      <c r="K2" s="72" t="s">
        <v>102</v>
      </c>
      <c r="L2" s="100" t="s">
        <v>103</v>
      </c>
      <c r="M2" s="94" t="s">
        <v>110</v>
      </c>
      <c r="N2" s="92" t="s">
        <v>105</v>
      </c>
      <c r="O2" s="5"/>
    </row>
    <row r="3" spans="1:15">
      <c r="A3" s="430" t="s">
        <v>106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2"/>
      <c r="M3" s="433">
        <v>20963.167699999998</v>
      </c>
      <c r="N3" s="434"/>
      <c r="O3" s="5"/>
    </row>
    <row r="4" spans="1:15">
      <c r="A4" s="221">
        <v>1</v>
      </c>
      <c r="B4" s="255" t="s">
        <v>145</v>
      </c>
      <c r="C4" s="6"/>
      <c r="D4" s="6"/>
      <c r="E4" s="73">
        <v>60</v>
      </c>
      <c r="F4" s="6">
        <v>91.33</v>
      </c>
      <c r="G4" s="74">
        <f>E4*F4</f>
        <v>5479.8</v>
      </c>
      <c r="H4" s="73">
        <v>5</v>
      </c>
      <c r="I4" s="6">
        <v>103.26</v>
      </c>
      <c r="J4" s="74">
        <f>H4*I4</f>
        <v>516.30000000000007</v>
      </c>
      <c r="K4" s="74">
        <f>G4+J4</f>
        <v>5996.1</v>
      </c>
      <c r="L4" s="174">
        <v>0</v>
      </c>
      <c r="M4" s="360">
        <f>M3+K4-L4</f>
        <v>26959.267699999997</v>
      </c>
      <c r="N4" s="52" t="s">
        <v>121</v>
      </c>
      <c r="O4" s="5"/>
    </row>
    <row r="5" spans="1:15">
      <c r="A5" s="52">
        <v>2</v>
      </c>
      <c r="B5" s="255" t="s">
        <v>146</v>
      </c>
      <c r="C5" s="6"/>
      <c r="D5" s="6"/>
      <c r="E5" s="73">
        <v>80</v>
      </c>
      <c r="F5" s="6">
        <v>91.33</v>
      </c>
      <c r="G5" s="74">
        <f t="shared" ref="G5:G35" si="0">E5*F5</f>
        <v>7306.4</v>
      </c>
      <c r="H5" s="73">
        <v>5</v>
      </c>
      <c r="I5" s="6">
        <v>103.26</v>
      </c>
      <c r="J5" s="74">
        <f t="shared" ref="J5:J35" si="1">H5*I5</f>
        <v>516.30000000000007</v>
      </c>
      <c r="K5" s="74">
        <f t="shared" ref="K5:K35" si="2">G5+J5</f>
        <v>7822.7</v>
      </c>
      <c r="L5" s="174">
        <v>0</v>
      </c>
      <c r="M5" s="360">
        <f t="shared" ref="M5:M14" si="3">M4+K5-L5</f>
        <v>34781.967699999994</v>
      </c>
      <c r="N5" s="52" t="s">
        <v>121</v>
      </c>
      <c r="O5" s="5"/>
    </row>
    <row r="6" spans="1:15">
      <c r="A6" s="52">
        <v>3</v>
      </c>
      <c r="B6" s="255"/>
      <c r="C6" s="6"/>
      <c r="D6" s="6"/>
      <c r="E6" s="73">
        <v>0</v>
      </c>
      <c r="F6" s="6">
        <v>0</v>
      </c>
      <c r="G6" s="74">
        <f t="shared" si="0"/>
        <v>0</v>
      </c>
      <c r="H6" s="73">
        <v>0</v>
      </c>
      <c r="I6" s="6">
        <v>103.26</v>
      </c>
      <c r="J6" s="74">
        <f t="shared" si="1"/>
        <v>0</v>
      </c>
      <c r="K6" s="74">
        <f t="shared" si="2"/>
        <v>0</v>
      </c>
      <c r="L6" s="174">
        <v>0</v>
      </c>
      <c r="M6" s="360">
        <f t="shared" si="3"/>
        <v>34781.967699999994</v>
      </c>
      <c r="N6" s="52" t="s">
        <v>121</v>
      </c>
      <c r="O6" s="5"/>
    </row>
    <row r="7" spans="1:15">
      <c r="A7" s="52">
        <v>4</v>
      </c>
      <c r="B7" s="255" t="s">
        <v>147</v>
      </c>
      <c r="C7" s="6"/>
      <c r="D7" s="6"/>
      <c r="E7" s="73">
        <v>163.57</v>
      </c>
      <c r="F7" s="6">
        <v>91.33</v>
      </c>
      <c r="G7" s="74">
        <f t="shared" si="0"/>
        <v>14938.848099999999</v>
      </c>
      <c r="H7" s="73">
        <v>17.93</v>
      </c>
      <c r="I7" s="6">
        <v>103.26</v>
      </c>
      <c r="J7" s="74">
        <f t="shared" si="1"/>
        <v>1851.4518</v>
      </c>
      <c r="K7" s="74">
        <f t="shared" si="2"/>
        <v>16790.299899999998</v>
      </c>
      <c r="L7" s="174">
        <v>0</v>
      </c>
      <c r="M7" s="360">
        <f t="shared" si="3"/>
        <v>51572.267599999992</v>
      </c>
      <c r="N7" s="52" t="s">
        <v>121</v>
      </c>
      <c r="O7" s="5"/>
    </row>
    <row r="8" spans="1:15">
      <c r="A8" s="52">
        <v>5</v>
      </c>
      <c r="B8" s="255" t="s">
        <v>123</v>
      </c>
      <c r="C8" s="6"/>
      <c r="D8" s="6"/>
      <c r="E8" s="73">
        <v>0</v>
      </c>
      <c r="F8" s="6">
        <v>0</v>
      </c>
      <c r="G8" s="74">
        <f t="shared" si="0"/>
        <v>0</v>
      </c>
      <c r="H8" s="73">
        <v>9</v>
      </c>
      <c r="I8" s="6">
        <v>103.26</v>
      </c>
      <c r="J8" s="74">
        <f t="shared" si="1"/>
        <v>929.34</v>
      </c>
      <c r="K8" s="74">
        <f t="shared" si="2"/>
        <v>929.34</v>
      </c>
      <c r="L8" s="174">
        <v>30000</v>
      </c>
      <c r="M8" s="360">
        <f t="shared" si="3"/>
        <v>22501.607599999988</v>
      </c>
      <c r="N8" s="52" t="s">
        <v>121</v>
      </c>
      <c r="O8" s="5"/>
    </row>
    <row r="9" spans="1:15">
      <c r="A9" s="52">
        <v>6</v>
      </c>
      <c r="B9" s="255" t="s">
        <v>124</v>
      </c>
      <c r="C9" s="6"/>
      <c r="D9" s="6"/>
      <c r="E9" s="73">
        <v>140</v>
      </c>
      <c r="F9" s="6">
        <v>91.33</v>
      </c>
      <c r="G9" s="74">
        <f t="shared" si="0"/>
        <v>12786.199999999999</v>
      </c>
      <c r="H9" s="73">
        <v>31</v>
      </c>
      <c r="I9" s="6">
        <v>103.26</v>
      </c>
      <c r="J9" s="74">
        <f t="shared" si="1"/>
        <v>3201.06</v>
      </c>
      <c r="K9" s="74">
        <f t="shared" si="2"/>
        <v>15987.259999999998</v>
      </c>
      <c r="L9" s="174">
        <v>0</v>
      </c>
      <c r="M9" s="360">
        <f t="shared" si="3"/>
        <v>38488.867599999983</v>
      </c>
      <c r="N9" s="52" t="s">
        <v>121</v>
      </c>
      <c r="O9" s="5"/>
    </row>
    <row r="10" spans="1:15">
      <c r="A10" s="52">
        <v>7</v>
      </c>
      <c r="B10" s="255" t="s">
        <v>148</v>
      </c>
      <c r="C10" s="6"/>
      <c r="D10" s="6"/>
      <c r="E10" s="73">
        <v>20</v>
      </c>
      <c r="F10" s="6">
        <v>91.33</v>
      </c>
      <c r="G10" s="74">
        <f t="shared" si="0"/>
        <v>1826.6</v>
      </c>
      <c r="H10" s="73">
        <v>5</v>
      </c>
      <c r="I10" s="6">
        <v>103.26</v>
      </c>
      <c r="J10" s="74">
        <f t="shared" si="1"/>
        <v>516.30000000000007</v>
      </c>
      <c r="K10" s="74">
        <f t="shared" si="2"/>
        <v>2342.9</v>
      </c>
      <c r="L10" s="174">
        <v>0</v>
      </c>
      <c r="M10" s="360">
        <f t="shared" si="3"/>
        <v>40831.767599999985</v>
      </c>
      <c r="N10" s="52" t="s">
        <v>121</v>
      </c>
      <c r="O10" s="5"/>
    </row>
    <row r="11" spans="1:15">
      <c r="A11" s="52">
        <v>8</v>
      </c>
      <c r="B11" s="255" t="s">
        <v>149</v>
      </c>
      <c r="C11" s="6"/>
      <c r="D11" s="6"/>
      <c r="E11" s="73">
        <v>0</v>
      </c>
      <c r="F11" s="6">
        <v>0</v>
      </c>
      <c r="G11" s="74">
        <f t="shared" si="0"/>
        <v>0</v>
      </c>
      <c r="H11" s="73">
        <v>5</v>
      </c>
      <c r="I11" s="6">
        <v>103.26</v>
      </c>
      <c r="J11" s="74">
        <f t="shared" si="1"/>
        <v>516.30000000000007</v>
      </c>
      <c r="K11" s="74">
        <f t="shared" si="2"/>
        <v>516.30000000000007</v>
      </c>
      <c r="L11" s="174">
        <v>0</v>
      </c>
      <c r="M11" s="360">
        <f t="shared" si="3"/>
        <v>41348.067599999988</v>
      </c>
      <c r="N11" s="52" t="s">
        <v>121</v>
      </c>
      <c r="O11" s="5"/>
    </row>
    <row r="12" spans="1:15">
      <c r="A12" s="52">
        <v>9</v>
      </c>
      <c r="B12" s="255" t="s">
        <v>125</v>
      </c>
      <c r="C12" s="6"/>
      <c r="D12" s="6"/>
      <c r="E12" s="73">
        <v>63.35</v>
      </c>
      <c r="F12" s="6">
        <v>91.33</v>
      </c>
      <c r="G12" s="74">
        <f t="shared" si="0"/>
        <v>5785.7555000000002</v>
      </c>
      <c r="H12" s="73">
        <v>0</v>
      </c>
      <c r="I12" s="6">
        <v>103.26</v>
      </c>
      <c r="J12" s="74">
        <f t="shared" si="1"/>
        <v>0</v>
      </c>
      <c r="K12" s="74">
        <f t="shared" si="2"/>
        <v>5785.7555000000002</v>
      </c>
      <c r="L12" s="174">
        <v>0</v>
      </c>
      <c r="M12" s="360">
        <f t="shared" si="3"/>
        <v>47133.823099999987</v>
      </c>
      <c r="N12" s="52" t="s">
        <v>121</v>
      </c>
      <c r="O12" s="5"/>
    </row>
    <row r="13" spans="1:15">
      <c r="A13" s="52">
        <v>10</v>
      </c>
      <c r="B13" s="255" t="s">
        <v>127</v>
      </c>
      <c r="C13" s="6"/>
      <c r="D13" s="6"/>
      <c r="E13" s="73">
        <v>20</v>
      </c>
      <c r="F13" s="6">
        <v>91.33</v>
      </c>
      <c r="G13" s="74">
        <f t="shared" si="0"/>
        <v>1826.6</v>
      </c>
      <c r="H13" s="73">
        <v>10</v>
      </c>
      <c r="I13" s="6">
        <v>103.26</v>
      </c>
      <c r="J13" s="74">
        <f t="shared" si="1"/>
        <v>1032.6000000000001</v>
      </c>
      <c r="K13" s="74">
        <f t="shared" si="2"/>
        <v>2859.2</v>
      </c>
      <c r="L13" s="174">
        <v>40000</v>
      </c>
      <c r="M13" s="360">
        <f t="shared" si="3"/>
        <v>9993.023099999984</v>
      </c>
      <c r="N13" s="52" t="s">
        <v>121</v>
      </c>
      <c r="O13" s="5"/>
    </row>
    <row r="14" spans="1:15">
      <c r="A14" s="52">
        <v>11</v>
      </c>
      <c r="B14" s="255" t="s">
        <v>128</v>
      </c>
      <c r="C14" s="6"/>
      <c r="D14" s="6"/>
      <c r="E14" s="73">
        <v>134.53</v>
      </c>
      <c r="F14" s="6">
        <v>91.33</v>
      </c>
      <c r="G14" s="74">
        <f t="shared" si="0"/>
        <v>12286.624900000001</v>
      </c>
      <c r="H14" s="73">
        <v>0</v>
      </c>
      <c r="I14" s="6">
        <v>103.26</v>
      </c>
      <c r="J14" s="74">
        <f t="shared" si="1"/>
        <v>0</v>
      </c>
      <c r="K14" s="74">
        <f t="shared" si="2"/>
        <v>12286.624900000001</v>
      </c>
      <c r="L14" s="174">
        <v>0</v>
      </c>
      <c r="M14" s="360">
        <f t="shared" si="3"/>
        <v>22279.647999999986</v>
      </c>
      <c r="N14" s="52" t="s">
        <v>121</v>
      </c>
      <c r="O14" s="5"/>
    </row>
    <row r="15" spans="1:15">
      <c r="A15" s="52">
        <v>12</v>
      </c>
      <c r="B15" s="255" t="s">
        <v>129</v>
      </c>
      <c r="C15" s="6"/>
      <c r="D15" s="6"/>
      <c r="E15" s="73">
        <v>40</v>
      </c>
      <c r="F15" s="6">
        <v>91.33</v>
      </c>
      <c r="G15" s="74">
        <f t="shared" si="0"/>
        <v>3653.2</v>
      </c>
      <c r="H15" s="73">
        <v>5</v>
      </c>
      <c r="I15" s="6">
        <v>103.26</v>
      </c>
      <c r="J15" s="74">
        <f t="shared" si="1"/>
        <v>516.30000000000007</v>
      </c>
      <c r="K15" s="74">
        <f t="shared" si="2"/>
        <v>4169.5</v>
      </c>
      <c r="L15" s="174">
        <v>0</v>
      </c>
      <c r="M15" s="361">
        <f t="shared" ref="M5:M42" si="4">M14+K15-L15</f>
        <v>26449.147999999986</v>
      </c>
      <c r="N15" s="52" t="s">
        <v>121</v>
      </c>
      <c r="O15" s="5"/>
    </row>
    <row r="16" spans="1:15">
      <c r="A16" s="52">
        <v>13</v>
      </c>
      <c r="B16" s="255" t="s">
        <v>130</v>
      </c>
      <c r="C16" s="6"/>
      <c r="D16" s="6"/>
      <c r="E16" s="73">
        <v>40.229999999999997</v>
      </c>
      <c r="F16" s="6">
        <v>91.33</v>
      </c>
      <c r="G16" s="74">
        <f t="shared" si="0"/>
        <v>3674.2058999999995</v>
      </c>
      <c r="H16" s="73">
        <v>3</v>
      </c>
      <c r="I16" s="6">
        <v>103.26</v>
      </c>
      <c r="J16" s="74">
        <f t="shared" si="1"/>
        <v>309.78000000000003</v>
      </c>
      <c r="K16" s="74">
        <f t="shared" si="2"/>
        <v>3983.9858999999997</v>
      </c>
      <c r="L16" s="174">
        <v>20000</v>
      </c>
      <c r="M16" s="361">
        <f t="shared" si="4"/>
        <v>10433.133899999986</v>
      </c>
      <c r="N16" s="52" t="s">
        <v>121</v>
      </c>
      <c r="O16" s="5"/>
    </row>
    <row r="17" spans="1:15">
      <c r="A17" s="52">
        <v>14</v>
      </c>
      <c r="B17" s="255" t="s">
        <v>150</v>
      </c>
      <c r="C17" s="6"/>
      <c r="D17" s="6"/>
      <c r="E17" s="73">
        <v>30</v>
      </c>
      <c r="F17" s="6">
        <v>91.33</v>
      </c>
      <c r="G17" s="74">
        <f t="shared" si="0"/>
        <v>2739.9</v>
      </c>
      <c r="H17" s="73">
        <v>0</v>
      </c>
      <c r="I17" s="6">
        <v>0</v>
      </c>
      <c r="J17" s="74">
        <f t="shared" si="1"/>
        <v>0</v>
      </c>
      <c r="K17" s="74">
        <f t="shared" si="2"/>
        <v>2739.9</v>
      </c>
      <c r="L17" s="174">
        <v>0</v>
      </c>
      <c r="M17" s="361">
        <f>M16+K17-L17</f>
        <v>13173.033899999986</v>
      </c>
      <c r="N17" s="52" t="s">
        <v>121</v>
      </c>
      <c r="O17" s="5"/>
    </row>
    <row r="18" spans="1:15">
      <c r="A18" s="52">
        <v>15</v>
      </c>
      <c r="B18" s="255" t="s">
        <v>131</v>
      </c>
      <c r="C18" s="6"/>
      <c r="D18" s="6"/>
      <c r="E18" s="73">
        <v>20</v>
      </c>
      <c r="F18" s="6">
        <v>91.33</v>
      </c>
      <c r="G18" s="74">
        <f t="shared" si="0"/>
        <v>1826.6</v>
      </c>
      <c r="H18" s="73">
        <v>3</v>
      </c>
      <c r="I18" s="6">
        <v>103.26</v>
      </c>
      <c r="J18" s="74">
        <f t="shared" si="1"/>
        <v>309.78000000000003</v>
      </c>
      <c r="K18" s="74">
        <f t="shared" si="2"/>
        <v>2136.38</v>
      </c>
      <c r="L18" s="174">
        <v>0</v>
      </c>
      <c r="M18" s="361">
        <f t="shared" si="4"/>
        <v>15309.413899999985</v>
      </c>
      <c r="N18" s="52" t="s">
        <v>121</v>
      </c>
      <c r="O18" s="5"/>
    </row>
    <row r="19" spans="1:15">
      <c r="A19" s="52">
        <v>16</v>
      </c>
      <c r="B19" s="255" t="s">
        <v>132</v>
      </c>
      <c r="C19" s="6"/>
      <c r="D19" s="6"/>
      <c r="E19" s="73">
        <v>50</v>
      </c>
      <c r="F19" s="6">
        <v>91.33</v>
      </c>
      <c r="G19" s="74">
        <f t="shared" si="0"/>
        <v>4566.5</v>
      </c>
      <c r="H19" s="73">
        <v>0</v>
      </c>
      <c r="I19" s="6">
        <v>0</v>
      </c>
      <c r="J19" s="74">
        <f t="shared" si="1"/>
        <v>0</v>
      </c>
      <c r="K19" s="74">
        <f t="shared" si="2"/>
        <v>4566.5</v>
      </c>
      <c r="L19" s="174">
        <v>0</v>
      </c>
      <c r="M19" s="361">
        <f t="shared" si="4"/>
        <v>19875.913899999985</v>
      </c>
      <c r="N19" s="52" t="s">
        <v>121</v>
      </c>
      <c r="O19" s="5"/>
    </row>
    <row r="20" spans="1:15">
      <c r="A20" s="52">
        <v>17</v>
      </c>
      <c r="B20" s="255" t="s">
        <v>133</v>
      </c>
      <c r="C20" s="6"/>
      <c r="D20" s="6"/>
      <c r="E20" s="73">
        <v>0</v>
      </c>
      <c r="F20" s="6">
        <v>0</v>
      </c>
      <c r="G20" s="74">
        <f t="shared" si="0"/>
        <v>0</v>
      </c>
      <c r="H20" s="73">
        <v>3</v>
      </c>
      <c r="I20" s="6">
        <v>103.26</v>
      </c>
      <c r="J20" s="74">
        <f t="shared" si="1"/>
        <v>309.78000000000003</v>
      </c>
      <c r="K20" s="74">
        <f t="shared" si="2"/>
        <v>309.78000000000003</v>
      </c>
      <c r="L20" s="174">
        <v>0</v>
      </c>
      <c r="M20" s="361">
        <f t="shared" si="4"/>
        <v>20185.693899999984</v>
      </c>
      <c r="N20" s="52" t="s">
        <v>121</v>
      </c>
      <c r="O20" s="5"/>
    </row>
    <row r="21" spans="1:15">
      <c r="A21" s="52">
        <v>18</v>
      </c>
      <c r="B21" s="255" t="s">
        <v>151</v>
      </c>
      <c r="C21" s="6"/>
      <c r="D21" s="6"/>
      <c r="E21" s="73">
        <v>20</v>
      </c>
      <c r="F21" s="6">
        <v>91.33</v>
      </c>
      <c r="G21" s="74">
        <f t="shared" si="0"/>
        <v>1826.6</v>
      </c>
      <c r="H21" s="73">
        <v>0</v>
      </c>
      <c r="I21" s="6">
        <v>0</v>
      </c>
      <c r="J21" s="74">
        <f t="shared" si="1"/>
        <v>0</v>
      </c>
      <c r="K21" s="74">
        <f t="shared" si="2"/>
        <v>1826.6</v>
      </c>
      <c r="L21" s="174">
        <v>0</v>
      </c>
      <c r="M21" s="361">
        <f t="shared" si="4"/>
        <v>22012.293899999982</v>
      </c>
      <c r="N21" s="52" t="s">
        <v>121</v>
      </c>
      <c r="O21" s="5"/>
    </row>
    <row r="22" spans="1:15">
      <c r="A22" s="52">
        <v>19</v>
      </c>
      <c r="B22" s="255" t="s">
        <v>134</v>
      </c>
      <c r="C22" s="6"/>
      <c r="D22" s="6"/>
      <c r="E22" s="73">
        <v>0</v>
      </c>
      <c r="F22" s="6">
        <v>0</v>
      </c>
      <c r="G22" s="74">
        <f t="shared" si="0"/>
        <v>0</v>
      </c>
      <c r="H22" s="73">
        <v>0</v>
      </c>
      <c r="I22" s="6">
        <v>0</v>
      </c>
      <c r="J22" s="74">
        <f t="shared" si="1"/>
        <v>0</v>
      </c>
      <c r="K22" s="74">
        <f t="shared" si="2"/>
        <v>0</v>
      </c>
      <c r="L22" s="174">
        <v>0</v>
      </c>
      <c r="M22" s="361">
        <f t="shared" si="4"/>
        <v>22012.293899999982</v>
      </c>
      <c r="N22" s="52" t="s">
        <v>121</v>
      </c>
      <c r="O22" s="5"/>
    </row>
    <row r="23" spans="1:15">
      <c r="A23" s="52">
        <v>20</v>
      </c>
      <c r="B23" s="255" t="s">
        <v>135</v>
      </c>
      <c r="C23" s="6"/>
      <c r="D23" s="6"/>
      <c r="E23" s="73">
        <v>40</v>
      </c>
      <c r="F23" s="6">
        <v>91.33</v>
      </c>
      <c r="G23" s="74">
        <f t="shared" si="0"/>
        <v>3653.2</v>
      </c>
      <c r="H23" s="73">
        <v>12</v>
      </c>
      <c r="I23" s="6">
        <v>103.26</v>
      </c>
      <c r="J23" s="74">
        <f t="shared" si="1"/>
        <v>1239.1200000000001</v>
      </c>
      <c r="K23" s="74">
        <f t="shared" si="2"/>
        <v>4892.32</v>
      </c>
      <c r="L23" s="174">
        <v>0</v>
      </c>
      <c r="M23" s="361">
        <f t="shared" si="4"/>
        <v>26904.613899999982</v>
      </c>
      <c r="N23" s="52"/>
      <c r="O23" s="5"/>
    </row>
    <row r="24" spans="1:15">
      <c r="A24" s="52">
        <v>21</v>
      </c>
      <c r="B24" s="255" t="s">
        <v>136</v>
      </c>
      <c r="C24" s="6"/>
      <c r="D24" s="6"/>
      <c r="E24" s="73">
        <v>0</v>
      </c>
      <c r="F24" s="6">
        <v>0</v>
      </c>
      <c r="G24" s="74">
        <f t="shared" si="0"/>
        <v>0</v>
      </c>
      <c r="H24" s="73">
        <v>6</v>
      </c>
      <c r="I24" s="6">
        <v>103.26</v>
      </c>
      <c r="J24" s="74">
        <f t="shared" si="1"/>
        <v>619.56000000000006</v>
      </c>
      <c r="K24" s="74">
        <f t="shared" si="2"/>
        <v>619.56000000000006</v>
      </c>
      <c r="L24" s="174">
        <v>0</v>
      </c>
      <c r="M24" s="361">
        <f t="shared" si="4"/>
        <v>27524.173899999983</v>
      </c>
      <c r="N24" s="52"/>
      <c r="O24" s="5"/>
    </row>
    <row r="25" spans="1:15">
      <c r="A25" s="52">
        <v>22</v>
      </c>
      <c r="B25" s="255" t="s">
        <v>139</v>
      </c>
      <c r="C25" s="6"/>
      <c r="D25" s="6"/>
      <c r="E25" s="73">
        <v>30</v>
      </c>
      <c r="F25" s="6">
        <v>91.33</v>
      </c>
      <c r="G25" s="74">
        <f t="shared" si="0"/>
        <v>2739.9</v>
      </c>
      <c r="H25" s="73">
        <v>0</v>
      </c>
      <c r="I25" s="6">
        <v>0</v>
      </c>
      <c r="J25" s="74">
        <f t="shared" si="1"/>
        <v>0</v>
      </c>
      <c r="K25" s="74">
        <f t="shared" si="2"/>
        <v>2739.9</v>
      </c>
      <c r="L25" s="174">
        <v>0</v>
      </c>
      <c r="M25" s="308">
        <f t="shared" si="4"/>
        <v>30264.073899999985</v>
      </c>
      <c r="N25" s="52"/>
      <c r="O25" s="5"/>
    </row>
    <row r="26" spans="1:15">
      <c r="A26" s="52">
        <v>23</v>
      </c>
      <c r="B26" s="255" t="s">
        <v>140</v>
      </c>
      <c r="C26" s="6"/>
      <c r="D26" s="6"/>
      <c r="E26" s="73">
        <v>40</v>
      </c>
      <c r="F26" s="6">
        <v>91.33</v>
      </c>
      <c r="G26" s="74">
        <f t="shared" si="0"/>
        <v>3653.2</v>
      </c>
      <c r="H26" s="73">
        <v>5</v>
      </c>
      <c r="I26" s="6">
        <v>103.26</v>
      </c>
      <c r="J26" s="74">
        <f t="shared" si="1"/>
        <v>516.30000000000007</v>
      </c>
      <c r="K26" s="74">
        <f t="shared" si="2"/>
        <v>4169.5</v>
      </c>
      <c r="L26" s="174">
        <v>0</v>
      </c>
      <c r="M26" s="308">
        <f t="shared" si="4"/>
        <v>34433.573899999988</v>
      </c>
      <c r="N26" s="6"/>
      <c r="O26" s="5"/>
    </row>
    <row r="27" spans="1:15">
      <c r="A27" s="52">
        <v>24</v>
      </c>
      <c r="B27" s="255" t="s">
        <v>142</v>
      </c>
      <c r="C27" s="6"/>
      <c r="D27" s="6"/>
      <c r="E27" s="73">
        <v>30</v>
      </c>
      <c r="F27" s="6">
        <v>91.33</v>
      </c>
      <c r="G27" s="74">
        <f t="shared" si="0"/>
        <v>2739.9</v>
      </c>
      <c r="H27" s="73">
        <v>0</v>
      </c>
      <c r="I27" s="6">
        <v>0</v>
      </c>
      <c r="J27" s="74">
        <f t="shared" si="1"/>
        <v>0</v>
      </c>
      <c r="K27" s="74">
        <f t="shared" si="2"/>
        <v>2739.9</v>
      </c>
      <c r="L27" s="174">
        <v>0</v>
      </c>
      <c r="M27" s="308">
        <f t="shared" si="4"/>
        <v>37173.47389999999</v>
      </c>
      <c r="N27" s="6"/>
      <c r="O27" s="5"/>
    </row>
    <row r="28" spans="1:15">
      <c r="A28" s="257">
        <v>25</v>
      </c>
      <c r="B28" s="255"/>
      <c r="C28" s="6"/>
      <c r="D28" s="6"/>
      <c r="E28" s="73">
        <v>0</v>
      </c>
      <c r="F28" s="6">
        <v>0</v>
      </c>
      <c r="G28" s="74">
        <f t="shared" si="0"/>
        <v>0</v>
      </c>
      <c r="H28" s="73">
        <v>0</v>
      </c>
      <c r="I28" s="6">
        <v>0</v>
      </c>
      <c r="J28" s="74">
        <f t="shared" si="1"/>
        <v>0</v>
      </c>
      <c r="K28" s="74">
        <f t="shared" si="2"/>
        <v>0</v>
      </c>
      <c r="L28" s="174">
        <v>0</v>
      </c>
      <c r="M28" s="308">
        <f t="shared" si="4"/>
        <v>37173.47389999999</v>
      </c>
      <c r="N28" s="6"/>
      <c r="O28" s="5"/>
    </row>
    <row r="29" spans="1:15">
      <c r="A29" s="257">
        <v>26</v>
      </c>
      <c r="B29" s="255"/>
      <c r="C29" s="6"/>
      <c r="D29" s="6"/>
      <c r="E29" s="73">
        <v>0</v>
      </c>
      <c r="F29" s="6">
        <v>0</v>
      </c>
      <c r="G29" s="74">
        <f t="shared" si="0"/>
        <v>0</v>
      </c>
      <c r="H29" s="73">
        <v>0</v>
      </c>
      <c r="I29" s="6">
        <v>0</v>
      </c>
      <c r="J29" s="74">
        <f t="shared" si="1"/>
        <v>0</v>
      </c>
      <c r="K29" s="74">
        <f t="shared" si="2"/>
        <v>0</v>
      </c>
      <c r="L29" s="174">
        <v>0</v>
      </c>
      <c r="M29" s="308">
        <f t="shared" si="4"/>
        <v>37173.47389999999</v>
      </c>
      <c r="N29" s="6"/>
      <c r="O29" s="5"/>
    </row>
    <row r="30" spans="1:15">
      <c r="A30" s="257">
        <v>27</v>
      </c>
      <c r="B30" s="255"/>
      <c r="C30" s="6"/>
      <c r="D30" s="6"/>
      <c r="E30" s="73">
        <v>0</v>
      </c>
      <c r="F30" s="6">
        <v>0</v>
      </c>
      <c r="G30" s="74">
        <f t="shared" si="0"/>
        <v>0</v>
      </c>
      <c r="H30" s="73">
        <v>0</v>
      </c>
      <c r="I30" s="6">
        <v>0</v>
      </c>
      <c r="J30" s="74">
        <f t="shared" si="1"/>
        <v>0</v>
      </c>
      <c r="K30" s="74">
        <f t="shared" si="2"/>
        <v>0</v>
      </c>
      <c r="L30" s="174">
        <v>0</v>
      </c>
      <c r="M30" s="308">
        <f t="shared" si="4"/>
        <v>37173.47389999999</v>
      </c>
      <c r="N30" s="6"/>
      <c r="O30" s="5"/>
    </row>
    <row r="31" spans="1:15">
      <c r="A31" s="257">
        <v>28</v>
      </c>
      <c r="B31" s="255"/>
      <c r="C31" s="6"/>
      <c r="D31" s="6"/>
      <c r="E31" s="73">
        <v>0</v>
      </c>
      <c r="F31" s="6">
        <v>0</v>
      </c>
      <c r="G31" s="74">
        <f t="shared" si="0"/>
        <v>0</v>
      </c>
      <c r="H31" s="73">
        <v>0</v>
      </c>
      <c r="I31" s="6">
        <v>0</v>
      </c>
      <c r="J31" s="74">
        <f t="shared" si="1"/>
        <v>0</v>
      </c>
      <c r="K31" s="74">
        <f t="shared" si="2"/>
        <v>0</v>
      </c>
      <c r="L31" s="174">
        <v>0</v>
      </c>
      <c r="M31" s="308">
        <f t="shared" si="4"/>
        <v>37173.47389999999</v>
      </c>
      <c r="N31" s="6"/>
      <c r="O31" s="5"/>
    </row>
    <row r="32" spans="1:15">
      <c r="A32" s="258">
        <v>29</v>
      </c>
      <c r="B32" s="255"/>
      <c r="C32" s="6"/>
      <c r="D32" s="6"/>
      <c r="E32" s="73">
        <v>0</v>
      </c>
      <c r="F32" s="6">
        <v>0</v>
      </c>
      <c r="G32" s="74">
        <f t="shared" si="0"/>
        <v>0</v>
      </c>
      <c r="H32" s="73">
        <v>0</v>
      </c>
      <c r="I32" s="6">
        <v>0</v>
      </c>
      <c r="J32" s="74">
        <f t="shared" si="1"/>
        <v>0</v>
      </c>
      <c r="K32" s="74">
        <f t="shared" si="2"/>
        <v>0</v>
      </c>
      <c r="L32" s="174">
        <v>0</v>
      </c>
      <c r="M32" s="308">
        <f t="shared" si="4"/>
        <v>37173.47389999999</v>
      </c>
      <c r="N32" s="6"/>
      <c r="O32" s="5"/>
    </row>
    <row r="33" spans="1:15">
      <c r="A33" s="258">
        <v>30</v>
      </c>
      <c r="B33" s="255"/>
      <c r="C33" s="6"/>
      <c r="D33" s="6"/>
      <c r="E33" s="73">
        <v>0</v>
      </c>
      <c r="F33" s="6">
        <v>0</v>
      </c>
      <c r="G33" s="74">
        <f t="shared" si="0"/>
        <v>0</v>
      </c>
      <c r="H33" s="73">
        <v>0</v>
      </c>
      <c r="I33" s="6">
        <v>0</v>
      </c>
      <c r="J33" s="74">
        <f t="shared" si="1"/>
        <v>0</v>
      </c>
      <c r="K33" s="74">
        <f t="shared" si="2"/>
        <v>0</v>
      </c>
      <c r="L33" s="174">
        <v>0</v>
      </c>
      <c r="M33" s="308">
        <f t="shared" si="4"/>
        <v>37173.47389999999</v>
      </c>
      <c r="N33" s="6"/>
      <c r="O33" s="5"/>
    </row>
    <row r="34" spans="1:15">
      <c r="A34" s="258">
        <v>31</v>
      </c>
      <c r="B34" s="255"/>
      <c r="C34" s="6"/>
      <c r="D34" s="6"/>
      <c r="E34" s="73">
        <v>0</v>
      </c>
      <c r="F34" s="6">
        <v>0</v>
      </c>
      <c r="G34" s="74">
        <f t="shared" si="0"/>
        <v>0</v>
      </c>
      <c r="H34" s="73">
        <v>0</v>
      </c>
      <c r="I34" s="6">
        <v>0</v>
      </c>
      <c r="J34" s="74">
        <f t="shared" si="1"/>
        <v>0</v>
      </c>
      <c r="K34" s="74">
        <f t="shared" si="2"/>
        <v>0</v>
      </c>
      <c r="L34" s="174">
        <v>0</v>
      </c>
      <c r="M34" s="308">
        <f t="shared" si="4"/>
        <v>37173.47389999999</v>
      </c>
      <c r="N34" s="6"/>
      <c r="O34" s="5"/>
    </row>
    <row r="35" spans="1:15">
      <c r="A35" s="6">
        <v>35</v>
      </c>
      <c r="B35" s="87"/>
      <c r="C35" s="6"/>
      <c r="D35" s="6"/>
      <c r="E35" s="73">
        <v>0</v>
      </c>
      <c r="F35" s="6">
        <v>0</v>
      </c>
      <c r="G35" s="74">
        <f t="shared" si="0"/>
        <v>0</v>
      </c>
      <c r="H35" s="73">
        <v>0</v>
      </c>
      <c r="I35" s="6">
        <v>0</v>
      </c>
      <c r="J35" s="74">
        <f t="shared" si="1"/>
        <v>0</v>
      </c>
      <c r="K35" s="74">
        <f t="shared" si="2"/>
        <v>0</v>
      </c>
      <c r="L35" s="174">
        <v>0</v>
      </c>
      <c r="M35" s="308">
        <f t="shared" si="4"/>
        <v>37173.47389999999</v>
      </c>
      <c r="N35" s="6"/>
      <c r="O35" s="5"/>
    </row>
    <row r="36" spans="1:15">
      <c r="A36" s="6">
        <v>36</v>
      </c>
      <c r="B36" s="87"/>
      <c r="C36" s="6"/>
      <c r="D36" s="6"/>
      <c r="E36" s="73">
        <v>0</v>
      </c>
      <c r="F36" s="6">
        <v>0</v>
      </c>
      <c r="G36" s="74">
        <f t="shared" ref="G5:G38" si="5">E36*F36</f>
        <v>0</v>
      </c>
      <c r="H36" s="73">
        <v>0</v>
      </c>
      <c r="I36" s="6">
        <v>0</v>
      </c>
      <c r="J36" s="74">
        <f t="shared" ref="J5:J38" si="6">H36*I36</f>
        <v>0</v>
      </c>
      <c r="K36" s="74">
        <f t="shared" ref="K5:M38" si="7">G36+J36</f>
        <v>0</v>
      </c>
      <c r="L36" s="174">
        <f t="shared" ref="L5:M38" si="8">+K36</f>
        <v>0</v>
      </c>
      <c r="M36" s="308">
        <f t="shared" si="4"/>
        <v>37173.47389999999</v>
      </c>
      <c r="N36" s="6"/>
      <c r="O36" s="5"/>
    </row>
    <row r="37" spans="1:15">
      <c r="A37" s="6">
        <v>37</v>
      </c>
      <c r="B37" s="87"/>
      <c r="C37" s="6"/>
      <c r="D37" s="6"/>
      <c r="E37" s="73">
        <v>0</v>
      </c>
      <c r="F37" s="6">
        <v>0</v>
      </c>
      <c r="G37" s="74">
        <f t="shared" si="5"/>
        <v>0</v>
      </c>
      <c r="H37" s="73">
        <v>0</v>
      </c>
      <c r="I37" s="6">
        <v>0</v>
      </c>
      <c r="J37" s="74">
        <f t="shared" si="6"/>
        <v>0</v>
      </c>
      <c r="K37" s="74">
        <f t="shared" si="7"/>
        <v>0</v>
      </c>
      <c r="L37" s="174">
        <f t="shared" si="8"/>
        <v>0</v>
      </c>
      <c r="M37" s="308">
        <f t="shared" si="4"/>
        <v>37173.47389999999</v>
      </c>
      <c r="N37" s="6"/>
      <c r="O37" s="5"/>
    </row>
    <row r="38" spans="1:15">
      <c r="A38" s="6">
        <v>38</v>
      </c>
      <c r="B38" s="87"/>
      <c r="C38" s="6"/>
      <c r="D38" s="6"/>
      <c r="E38" s="73">
        <v>0</v>
      </c>
      <c r="F38" s="6">
        <v>0</v>
      </c>
      <c r="G38" s="74">
        <f t="shared" si="5"/>
        <v>0</v>
      </c>
      <c r="H38" s="73">
        <v>0</v>
      </c>
      <c r="I38" s="6">
        <v>0</v>
      </c>
      <c r="J38" s="74">
        <f t="shared" si="6"/>
        <v>0</v>
      </c>
      <c r="K38" s="74">
        <f t="shared" si="7"/>
        <v>0</v>
      </c>
      <c r="L38" s="174">
        <f t="shared" si="8"/>
        <v>0</v>
      </c>
      <c r="M38" s="308">
        <f t="shared" si="4"/>
        <v>37173.47389999999</v>
      </c>
      <c r="N38" s="6"/>
      <c r="O38" s="5"/>
    </row>
    <row r="39" spans="1:15">
      <c r="A39" s="183">
        <v>39</v>
      </c>
      <c r="B39" s="184"/>
      <c r="C39" s="183"/>
      <c r="D39" s="6"/>
      <c r="E39" s="73">
        <v>0</v>
      </c>
      <c r="F39" s="6">
        <v>0</v>
      </c>
      <c r="G39" s="74">
        <f t="shared" ref="G5:G41" si="9">E39*F39</f>
        <v>0</v>
      </c>
      <c r="H39" s="73">
        <v>0</v>
      </c>
      <c r="I39" s="6">
        <v>0</v>
      </c>
      <c r="J39" s="74">
        <f t="shared" ref="J5:J41" si="10">H39*I39</f>
        <v>0</v>
      </c>
      <c r="K39" s="74">
        <f t="shared" ref="K5:K41" si="11">G39+J39</f>
        <v>0</v>
      </c>
      <c r="L39" s="174">
        <f t="shared" ref="L5:L41" si="12">+K39</f>
        <v>0</v>
      </c>
      <c r="M39" s="308">
        <f t="shared" si="4"/>
        <v>37173.47389999999</v>
      </c>
      <c r="N39" s="183"/>
      <c r="O39" s="5"/>
    </row>
    <row r="40" spans="1:15">
      <c r="A40" s="6">
        <v>40</v>
      </c>
      <c r="B40" s="6"/>
      <c r="C40" s="6"/>
      <c r="D40" s="6"/>
      <c r="E40" s="73">
        <v>0</v>
      </c>
      <c r="F40" s="6">
        <v>0</v>
      </c>
      <c r="G40" s="74">
        <f t="shared" si="9"/>
        <v>0</v>
      </c>
      <c r="H40" s="73">
        <v>0</v>
      </c>
      <c r="I40" s="6">
        <v>0</v>
      </c>
      <c r="J40" s="74">
        <f t="shared" si="10"/>
        <v>0</v>
      </c>
      <c r="K40" s="74">
        <f t="shared" si="11"/>
        <v>0</v>
      </c>
      <c r="L40" s="174">
        <f t="shared" si="12"/>
        <v>0</v>
      </c>
      <c r="M40" s="308">
        <f t="shared" si="4"/>
        <v>37173.47389999999</v>
      </c>
      <c r="N40" s="6"/>
      <c r="O40" s="5"/>
    </row>
    <row r="41" spans="1:15">
      <c r="A41" s="183">
        <v>41</v>
      </c>
      <c r="B41" s="183"/>
      <c r="C41" s="183"/>
      <c r="D41" s="6"/>
      <c r="E41" s="73">
        <v>0</v>
      </c>
      <c r="F41" s="6">
        <v>0</v>
      </c>
      <c r="G41" s="74">
        <f t="shared" si="9"/>
        <v>0</v>
      </c>
      <c r="H41" s="73">
        <v>0</v>
      </c>
      <c r="I41" s="6">
        <v>0</v>
      </c>
      <c r="J41" s="74">
        <f t="shared" si="10"/>
        <v>0</v>
      </c>
      <c r="K41" s="74">
        <f t="shared" si="11"/>
        <v>0</v>
      </c>
      <c r="L41" s="174">
        <f t="shared" si="12"/>
        <v>0</v>
      </c>
      <c r="M41" s="308">
        <f t="shared" si="4"/>
        <v>37173.47389999999</v>
      </c>
      <c r="N41" s="183"/>
      <c r="O41" s="5"/>
    </row>
    <row r="42" spans="1:15">
      <c r="A42" s="183">
        <v>42</v>
      </c>
      <c r="B42" s="183"/>
      <c r="C42" s="183"/>
      <c r="D42" s="6"/>
      <c r="E42" s="73">
        <v>0</v>
      </c>
      <c r="F42" s="6">
        <v>0</v>
      </c>
      <c r="G42" s="74">
        <f t="shared" ref="G5:G42" si="13">E42*F42</f>
        <v>0</v>
      </c>
      <c r="H42" s="73"/>
      <c r="I42" s="6"/>
      <c r="J42" s="74">
        <f t="shared" ref="J5:J42" si="14">H42*I42</f>
        <v>0</v>
      </c>
      <c r="K42" s="185">
        <f t="shared" ref="K5:K42" si="15">G42+J42</f>
        <v>0</v>
      </c>
      <c r="L42" s="186">
        <f t="shared" ref="L5:L42" si="16">+K42</f>
        <v>0</v>
      </c>
      <c r="M42" s="308">
        <f t="shared" si="4"/>
        <v>37173.47389999999</v>
      </c>
      <c r="N42" s="183"/>
      <c r="O42" s="5"/>
    </row>
    <row r="43" spans="1:15">
      <c r="A43" s="70"/>
      <c r="B43" s="70"/>
      <c r="C43" s="70"/>
      <c r="D43" s="70"/>
      <c r="E43" s="71">
        <f>SUM(E4:E42)</f>
        <v>1021.68</v>
      </c>
      <c r="F43" s="71"/>
      <c r="G43" s="71">
        <f>SUM(G4:G42)</f>
        <v>93310.03439999999</v>
      </c>
      <c r="H43" s="71">
        <f>SUM(H4:H42)</f>
        <v>124.93</v>
      </c>
      <c r="I43" s="71"/>
      <c r="J43" s="71">
        <f>SUM(J4:J42)</f>
        <v>12900.271800000002</v>
      </c>
      <c r="K43" s="71">
        <f>SUM(K4:K42)</f>
        <v>106210.30619999999</v>
      </c>
      <c r="L43" s="71">
        <f>SUM(L4:L42)</f>
        <v>90000</v>
      </c>
      <c r="M43" s="71"/>
      <c r="N43" s="71"/>
      <c r="O43" s="67"/>
    </row>
    <row r="44" spans="1:15">
      <c r="A44" s="5"/>
      <c r="B44" s="5"/>
      <c r="C44" s="5"/>
      <c r="D44" s="5"/>
      <c r="E44" s="5"/>
      <c r="F44" s="5"/>
      <c r="G44" s="111"/>
      <c r="H44" s="5"/>
      <c r="I44" s="5"/>
      <c r="J44" s="111"/>
      <c r="K44" s="5"/>
      <c r="L44" s="111"/>
      <c r="M44" s="111"/>
      <c r="N44" s="5"/>
      <c r="O44" s="5"/>
    </row>
    <row r="45" spans="1:15">
      <c r="A45" s="5"/>
      <c r="B45" s="5"/>
      <c r="C45" s="5"/>
      <c r="D45" s="5"/>
      <c r="E45" s="5"/>
      <c r="F45" s="5"/>
      <c r="G45" s="111"/>
      <c r="H45" s="5"/>
      <c r="I45" s="5"/>
      <c r="J45" s="111"/>
      <c r="K45" s="5"/>
      <c r="L45" s="111"/>
      <c r="M45" s="111"/>
      <c r="N45" s="5"/>
      <c r="O45" s="5"/>
    </row>
    <row r="46" spans="1:15">
      <c r="L46">
        <v>41648.541499999999</v>
      </c>
    </row>
    <row r="47" spans="1:15">
      <c r="L47" s="188">
        <f>L43+L46</f>
        <v>131648.54149999999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workbookViewId="0">
      <selection activeCell="M39" sqref="M39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416" t="s">
        <v>90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</row>
    <row r="2" spans="1:18" ht="30.75">
      <c r="A2" s="72" t="s">
        <v>94</v>
      </c>
      <c r="B2" s="92" t="s">
        <v>95</v>
      </c>
      <c r="C2" s="92" t="s">
        <v>96</v>
      </c>
      <c r="D2" s="92" t="s">
        <v>111</v>
      </c>
      <c r="E2" s="92" t="s">
        <v>98</v>
      </c>
      <c r="F2" s="92" t="s">
        <v>99</v>
      </c>
      <c r="G2" s="99" t="s">
        <v>100</v>
      </c>
      <c r="H2" s="92" t="s">
        <v>101</v>
      </c>
      <c r="I2" s="92" t="s">
        <v>99</v>
      </c>
      <c r="J2" s="99" t="s">
        <v>100</v>
      </c>
      <c r="K2" s="72" t="s">
        <v>102</v>
      </c>
      <c r="L2" s="100" t="s">
        <v>103</v>
      </c>
      <c r="M2" s="94" t="s">
        <v>110</v>
      </c>
      <c r="N2" s="92" t="s">
        <v>105</v>
      </c>
    </row>
    <row r="3" spans="1:18">
      <c r="A3" s="430" t="s">
        <v>106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2"/>
      <c r="M3" s="433">
        <v>49509.852599999984</v>
      </c>
      <c r="N3" s="434"/>
    </row>
    <row r="4" spans="1:18">
      <c r="A4" s="221">
        <v>1</v>
      </c>
      <c r="B4" s="255">
        <v>45870</v>
      </c>
      <c r="C4" s="6"/>
      <c r="D4" s="6"/>
      <c r="E4" s="73">
        <v>72.739999999999995</v>
      </c>
      <c r="F4" s="391">
        <v>91.62</v>
      </c>
      <c r="G4" s="74">
        <f>E4*F4</f>
        <v>6664.4387999999999</v>
      </c>
      <c r="H4" s="73">
        <v>0</v>
      </c>
      <c r="I4" s="6">
        <v>0</v>
      </c>
      <c r="J4" s="74">
        <f>H4*I4</f>
        <v>0</v>
      </c>
      <c r="K4" s="74">
        <f>G4+J4</f>
        <v>6664.4387999999999</v>
      </c>
      <c r="L4" s="174">
        <v>35000</v>
      </c>
      <c r="M4" s="160">
        <f>M3+K4-L4</f>
        <v>21174.291399999987</v>
      </c>
      <c r="N4" s="52" t="s">
        <v>121</v>
      </c>
    </row>
    <row r="5" spans="1:18">
      <c r="A5" s="52">
        <v>2</v>
      </c>
      <c r="B5" s="255">
        <v>45871</v>
      </c>
      <c r="C5" s="6"/>
      <c r="D5" s="6"/>
      <c r="E5" s="73">
        <v>85.91</v>
      </c>
      <c r="F5" s="391">
        <v>91.62</v>
      </c>
      <c r="G5" s="74">
        <f t="shared" ref="G5:G37" si="0">E5*F5</f>
        <v>7871.0742</v>
      </c>
      <c r="H5" s="73">
        <v>0</v>
      </c>
      <c r="I5" s="6">
        <v>0</v>
      </c>
      <c r="J5" s="74">
        <f t="shared" ref="J5:J37" si="1">H5*I5</f>
        <v>0</v>
      </c>
      <c r="K5" s="74">
        <f t="shared" ref="K5:K37" si="2">G5+J5</f>
        <v>7871.0742</v>
      </c>
      <c r="L5" s="174">
        <v>0</v>
      </c>
      <c r="M5" s="160">
        <f t="shared" ref="M5:M33" si="3">M4+K5-L5</f>
        <v>29045.365599999986</v>
      </c>
      <c r="N5" s="52" t="s">
        <v>121</v>
      </c>
    </row>
    <row r="6" spans="1:18">
      <c r="A6" s="52">
        <v>3</v>
      </c>
      <c r="B6" s="255">
        <v>45872</v>
      </c>
      <c r="C6" s="6"/>
      <c r="D6" s="6"/>
      <c r="E6" s="73">
        <v>75</v>
      </c>
      <c r="F6" s="391">
        <v>91.62</v>
      </c>
      <c r="G6" s="74">
        <f t="shared" si="0"/>
        <v>6871.5</v>
      </c>
      <c r="H6" s="73">
        <v>0</v>
      </c>
      <c r="I6" s="6">
        <v>0</v>
      </c>
      <c r="J6" s="74">
        <f t="shared" si="1"/>
        <v>0</v>
      </c>
      <c r="K6" s="74">
        <f t="shared" si="2"/>
        <v>6871.5</v>
      </c>
      <c r="L6" s="174">
        <v>0</v>
      </c>
      <c r="M6" s="160">
        <f t="shared" si="3"/>
        <v>35916.86559999999</v>
      </c>
      <c r="N6" s="52" t="s">
        <v>121</v>
      </c>
    </row>
    <row r="7" spans="1:18">
      <c r="A7" s="52">
        <v>4</v>
      </c>
      <c r="B7" s="255">
        <v>45873</v>
      </c>
      <c r="C7" s="6"/>
      <c r="D7" s="6"/>
      <c r="E7" s="73">
        <v>20</v>
      </c>
      <c r="F7" s="391">
        <v>91.62</v>
      </c>
      <c r="G7" s="74">
        <f t="shared" si="0"/>
        <v>1832.4</v>
      </c>
      <c r="H7" s="73">
        <v>20</v>
      </c>
      <c r="I7" s="6">
        <v>103.57</v>
      </c>
      <c r="J7" s="74">
        <f t="shared" si="1"/>
        <v>2071.3999999999996</v>
      </c>
      <c r="K7" s="74">
        <f t="shared" si="2"/>
        <v>3903.7999999999997</v>
      </c>
      <c r="L7" s="174">
        <v>0</v>
      </c>
      <c r="M7" s="160">
        <f t="shared" si="3"/>
        <v>39820.665599999993</v>
      </c>
      <c r="N7" s="52" t="s">
        <v>121</v>
      </c>
    </row>
    <row r="8" spans="1:18">
      <c r="A8" s="52">
        <v>5</v>
      </c>
      <c r="B8" s="255">
        <v>45874</v>
      </c>
      <c r="C8" s="6"/>
      <c r="D8" s="6"/>
      <c r="E8" s="73">
        <v>125</v>
      </c>
      <c r="F8" s="391">
        <v>91.62</v>
      </c>
      <c r="G8" s="74">
        <f t="shared" si="0"/>
        <v>11452.5</v>
      </c>
      <c r="H8" s="73">
        <v>0</v>
      </c>
      <c r="I8" s="6">
        <v>0</v>
      </c>
      <c r="J8" s="74">
        <f t="shared" si="1"/>
        <v>0</v>
      </c>
      <c r="K8" s="74">
        <f t="shared" si="2"/>
        <v>11452.5</v>
      </c>
      <c r="L8" s="174">
        <v>0</v>
      </c>
      <c r="M8" s="160">
        <f t="shared" si="3"/>
        <v>51273.165599999993</v>
      </c>
      <c r="N8" s="52" t="s">
        <v>121</v>
      </c>
    </row>
    <row r="9" spans="1:18">
      <c r="A9" s="52">
        <v>6</v>
      </c>
      <c r="B9" s="255">
        <v>45875</v>
      </c>
      <c r="C9" s="6"/>
      <c r="D9" s="6"/>
      <c r="E9" s="73">
        <v>83.94</v>
      </c>
      <c r="F9" s="391">
        <v>91.62</v>
      </c>
      <c r="G9" s="74">
        <f t="shared" si="0"/>
        <v>7690.5828000000001</v>
      </c>
      <c r="H9" s="73">
        <v>0</v>
      </c>
      <c r="I9" s="6">
        <v>0</v>
      </c>
      <c r="J9" s="74">
        <f t="shared" si="1"/>
        <v>0</v>
      </c>
      <c r="K9" s="74">
        <f t="shared" si="2"/>
        <v>7690.5828000000001</v>
      </c>
      <c r="L9" s="174">
        <v>0</v>
      </c>
      <c r="M9" s="160">
        <f t="shared" si="3"/>
        <v>58963.748399999997</v>
      </c>
      <c r="N9" s="52" t="s">
        <v>121</v>
      </c>
    </row>
    <row r="10" spans="1:18">
      <c r="A10" s="52">
        <v>7</v>
      </c>
      <c r="B10" s="255">
        <v>45876</v>
      </c>
      <c r="C10" s="6"/>
      <c r="D10" s="6"/>
      <c r="E10" s="73">
        <v>92.74</v>
      </c>
      <c r="F10" s="391">
        <v>91.62</v>
      </c>
      <c r="G10" s="74">
        <f t="shared" si="0"/>
        <v>8496.8387999999995</v>
      </c>
      <c r="H10" s="73">
        <v>4.83</v>
      </c>
      <c r="I10" s="6">
        <v>103.57</v>
      </c>
      <c r="J10" s="74">
        <f t="shared" si="1"/>
        <v>500.24309999999997</v>
      </c>
      <c r="K10" s="74">
        <f t="shared" si="2"/>
        <v>8997.0818999999992</v>
      </c>
      <c r="L10" s="174">
        <v>0</v>
      </c>
      <c r="M10" s="160">
        <f t="shared" si="3"/>
        <v>67960.830300000001</v>
      </c>
      <c r="N10" s="52" t="s">
        <v>121</v>
      </c>
    </row>
    <row r="11" spans="1:18">
      <c r="A11" s="52">
        <v>8</v>
      </c>
      <c r="B11" s="255">
        <v>45877</v>
      </c>
      <c r="C11" s="6"/>
      <c r="D11" s="6"/>
      <c r="E11" s="73">
        <v>87.29</v>
      </c>
      <c r="F11" s="391">
        <v>91.62</v>
      </c>
      <c r="G11" s="74">
        <f t="shared" si="0"/>
        <v>7997.5098000000007</v>
      </c>
      <c r="H11" s="73">
        <v>3.86</v>
      </c>
      <c r="I11" s="6">
        <v>103.57</v>
      </c>
      <c r="J11" s="74">
        <f t="shared" si="1"/>
        <v>399.78019999999998</v>
      </c>
      <c r="K11" s="74">
        <f t="shared" si="2"/>
        <v>8397.2900000000009</v>
      </c>
      <c r="L11" s="174">
        <v>0</v>
      </c>
      <c r="M11" s="160">
        <f t="shared" si="3"/>
        <v>76358.12030000001</v>
      </c>
      <c r="N11" s="52" t="s">
        <v>121</v>
      </c>
    </row>
    <row r="12" spans="1:18">
      <c r="A12" s="52">
        <v>9</v>
      </c>
      <c r="B12" s="255">
        <v>45878</v>
      </c>
      <c r="C12" s="6"/>
      <c r="D12" s="6"/>
      <c r="E12" s="73">
        <v>60</v>
      </c>
      <c r="F12" s="391">
        <v>91.62</v>
      </c>
      <c r="G12" s="74">
        <f t="shared" si="0"/>
        <v>5497.2000000000007</v>
      </c>
      <c r="H12" s="73">
        <v>35</v>
      </c>
      <c r="I12" s="6">
        <v>103.57</v>
      </c>
      <c r="J12" s="74">
        <f t="shared" si="1"/>
        <v>3624.95</v>
      </c>
      <c r="K12" s="74">
        <f t="shared" si="2"/>
        <v>9122.1500000000015</v>
      </c>
      <c r="L12" s="174">
        <v>0</v>
      </c>
      <c r="M12" s="160">
        <f t="shared" si="3"/>
        <v>85480.270300000004</v>
      </c>
      <c r="N12" s="52" t="s">
        <v>121</v>
      </c>
      <c r="R12" s="283"/>
    </row>
    <row r="13" spans="1:18">
      <c r="A13" s="52">
        <v>10</v>
      </c>
      <c r="B13" s="255">
        <v>45879</v>
      </c>
      <c r="C13" s="6"/>
      <c r="D13" s="6"/>
      <c r="E13" s="73">
        <v>112.74</v>
      </c>
      <c r="F13" s="391">
        <v>91.62</v>
      </c>
      <c r="G13" s="74">
        <f t="shared" si="0"/>
        <v>10329.238799999999</v>
      </c>
      <c r="H13" s="73">
        <v>0</v>
      </c>
      <c r="I13" s="6">
        <v>0</v>
      </c>
      <c r="J13" s="74">
        <f t="shared" si="1"/>
        <v>0</v>
      </c>
      <c r="K13" s="74">
        <f t="shared" si="2"/>
        <v>10329.238799999999</v>
      </c>
      <c r="L13" s="174">
        <v>0</v>
      </c>
      <c r="M13" s="160">
        <f t="shared" si="3"/>
        <v>95809.509099999996</v>
      </c>
      <c r="N13" s="52" t="s">
        <v>121</v>
      </c>
    </row>
    <row r="14" spans="1:18">
      <c r="A14" s="52">
        <v>11</v>
      </c>
      <c r="B14" s="255">
        <v>45880</v>
      </c>
      <c r="C14" s="6"/>
      <c r="D14" s="6"/>
      <c r="E14" s="73">
        <v>50</v>
      </c>
      <c r="F14" s="391">
        <v>91.62</v>
      </c>
      <c r="G14" s="74">
        <f t="shared" si="0"/>
        <v>4581</v>
      </c>
      <c r="H14" s="73">
        <v>0</v>
      </c>
      <c r="I14" s="6">
        <v>0</v>
      </c>
      <c r="J14" s="74">
        <f t="shared" si="1"/>
        <v>0</v>
      </c>
      <c r="K14" s="74">
        <f t="shared" si="2"/>
        <v>4581</v>
      </c>
      <c r="L14" s="174">
        <v>0</v>
      </c>
      <c r="M14" s="160">
        <f t="shared" si="3"/>
        <v>100390.5091</v>
      </c>
      <c r="N14" s="52" t="s">
        <v>121</v>
      </c>
    </row>
    <row r="15" spans="1:18">
      <c r="A15" s="52">
        <v>12</v>
      </c>
      <c r="B15" s="255">
        <v>45881</v>
      </c>
      <c r="C15" s="6"/>
      <c r="D15" s="6"/>
      <c r="E15" s="73">
        <v>0</v>
      </c>
      <c r="F15" s="391">
        <v>91.62</v>
      </c>
      <c r="G15" s="74">
        <f t="shared" si="0"/>
        <v>0</v>
      </c>
      <c r="H15" s="73">
        <v>0</v>
      </c>
      <c r="I15" s="6">
        <v>0</v>
      </c>
      <c r="J15" s="74">
        <f t="shared" si="1"/>
        <v>0</v>
      </c>
      <c r="K15" s="74">
        <f t="shared" si="2"/>
        <v>0</v>
      </c>
      <c r="L15" s="174">
        <v>80000</v>
      </c>
      <c r="M15" s="160">
        <f t="shared" si="3"/>
        <v>20390.509099999996</v>
      </c>
      <c r="N15" s="52" t="s">
        <v>121</v>
      </c>
    </row>
    <row r="16" spans="1:18">
      <c r="A16" s="52">
        <v>13</v>
      </c>
      <c r="B16" s="255">
        <v>45882</v>
      </c>
      <c r="C16" s="6"/>
      <c r="D16" s="6"/>
      <c r="E16" s="73">
        <v>167.58</v>
      </c>
      <c r="F16" s="391">
        <v>91.62</v>
      </c>
      <c r="G16" s="74">
        <f t="shared" si="0"/>
        <v>15353.679600000001</v>
      </c>
      <c r="H16" s="73">
        <v>0</v>
      </c>
      <c r="I16" s="6">
        <v>0</v>
      </c>
      <c r="J16" s="74">
        <f t="shared" si="1"/>
        <v>0</v>
      </c>
      <c r="K16" s="74">
        <f t="shared" si="2"/>
        <v>15353.679600000001</v>
      </c>
      <c r="L16" s="174">
        <v>0</v>
      </c>
      <c r="M16" s="160">
        <f t="shared" si="3"/>
        <v>35744.188699999999</v>
      </c>
      <c r="N16" s="52" t="s">
        <v>121</v>
      </c>
    </row>
    <row r="17" spans="1:14">
      <c r="A17" s="52">
        <v>14</v>
      </c>
      <c r="B17" s="255">
        <v>45883</v>
      </c>
      <c r="C17" s="6"/>
      <c r="D17" s="6"/>
      <c r="E17" s="73">
        <v>44.31</v>
      </c>
      <c r="F17" s="391">
        <v>91.62</v>
      </c>
      <c r="G17" s="74">
        <f t="shared" si="0"/>
        <v>4059.6822000000002</v>
      </c>
      <c r="H17" s="73">
        <v>5</v>
      </c>
      <c r="I17" s="6">
        <v>103.57</v>
      </c>
      <c r="J17" s="74">
        <f t="shared" si="1"/>
        <v>517.84999999999991</v>
      </c>
      <c r="K17" s="74">
        <f t="shared" si="2"/>
        <v>4577.5321999999996</v>
      </c>
      <c r="L17" s="174">
        <v>0</v>
      </c>
      <c r="M17" s="160">
        <f t="shared" si="3"/>
        <v>40321.7209</v>
      </c>
      <c r="N17" s="52" t="s">
        <v>121</v>
      </c>
    </row>
    <row r="18" spans="1:14">
      <c r="A18" s="52">
        <v>15</v>
      </c>
      <c r="B18" s="255">
        <v>45884</v>
      </c>
      <c r="C18" s="6"/>
      <c r="D18" s="6"/>
      <c r="E18" s="73">
        <v>82.74</v>
      </c>
      <c r="F18" s="391">
        <v>91.62</v>
      </c>
      <c r="G18" s="74">
        <f t="shared" si="0"/>
        <v>7580.6387999999997</v>
      </c>
      <c r="H18" s="73">
        <v>0</v>
      </c>
      <c r="I18" s="6">
        <v>0</v>
      </c>
      <c r="J18" s="74">
        <f t="shared" si="1"/>
        <v>0</v>
      </c>
      <c r="K18" s="74">
        <f t="shared" si="2"/>
        <v>7580.6387999999997</v>
      </c>
      <c r="L18" s="174">
        <v>0</v>
      </c>
      <c r="M18" s="160">
        <f t="shared" si="3"/>
        <v>47902.359700000001</v>
      </c>
      <c r="N18" s="52" t="s">
        <v>121</v>
      </c>
    </row>
    <row r="19" spans="1:14">
      <c r="A19" s="52">
        <v>16</v>
      </c>
      <c r="B19" s="255">
        <v>45885</v>
      </c>
      <c r="C19" s="6"/>
      <c r="D19" s="6"/>
      <c r="E19" s="73">
        <v>52.74</v>
      </c>
      <c r="F19" s="391">
        <v>91.62</v>
      </c>
      <c r="G19" s="74">
        <f t="shared" si="0"/>
        <v>4832.0388000000003</v>
      </c>
      <c r="H19" s="73">
        <v>35</v>
      </c>
      <c r="I19" s="6">
        <v>103.57</v>
      </c>
      <c r="J19" s="74">
        <f t="shared" si="1"/>
        <v>3624.95</v>
      </c>
      <c r="K19" s="74">
        <f t="shared" si="2"/>
        <v>8456.9887999999992</v>
      </c>
      <c r="L19" s="174">
        <v>0</v>
      </c>
      <c r="M19" s="160">
        <f t="shared" si="3"/>
        <v>56359.3485</v>
      </c>
      <c r="N19" s="52" t="s">
        <v>121</v>
      </c>
    </row>
    <row r="20" spans="1:14">
      <c r="A20" s="52">
        <v>17</v>
      </c>
      <c r="B20" s="255">
        <v>45886</v>
      </c>
      <c r="C20" s="6"/>
      <c r="D20" s="6"/>
      <c r="E20" s="73">
        <v>110.87</v>
      </c>
      <c r="F20" s="391">
        <v>91.62</v>
      </c>
      <c r="G20" s="74">
        <f t="shared" si="0"/>
        <v>10157.9094</v>
      </c>
      <c r="H20" s="73">
        <v>0</v>
      </c>
      <c r="I20" s="6">
        <v>0</v>
      </c>
      <c r="J20" s="74">
        <f t="shared" si="1"/>
        <v>0</v>
      </c>
      <c r="K20" s="74">
        <f t="shared" si="2"/>
        <v>10157.9094</v>
      </c>
      <c r="L20" s="174">
        <v>0</v>
      </c>
      <c r="M20" s="160">
        <f t="shared" si="3"/>
        <v>66517.257899999997</v>
      </c>
      <c r="N20" s="52" t="s">
        <v>121</v>
      </c>
    </row>
    <row r="21" spans="1:14">
      <c r="A21" s="52">
        <v>18</v>
      </c>
      <c r="B21" s="255">
        <v>45887</v>
      </c>
      <c r="C21" s="6"/>
      <c r="D21" s="6"/>
      <c r="E21" s="73">
        <v>0</v>
      </c>
      <c r="F21" s="391">
        <v>91.62</v>
      </c>
      <c r="G21" s="74">
        <f t="shared" si="0"/>
        <v>0</v>
      </c>
      <c r="H21" s="73">
        <v>0</v>
      </c>
      <c r="I21" s="6">
        <v>0</v>
      </c>
      <c r="J21" s="74">
        <f t="shared" si="1"/>
        <v>0</v>
      </c>
      <c r="K21" s="74">
        <f t="shared" si="2"/>
        <v>0</v>
      </c>
      <c r="L21" s="174">
        <f t="shared" ref="L5:L37" si="4">+K21</f>
        <v>0</v>
      </c>
      <c r="M21" s="160">
        <f t="shared" si="3"/>
        <v>66517.257899999997</v>
      </c>
      <c r="N21" s="52" t="s">
        <v>121</v>
      </c>
    </row>
    <row r="22" spans="1:14">
      <c r="A22" s="52">
        <v>19</v>
      </c>
      <c r="B22" s="255">
        <v>45888</v>
      </c>
      <c r="C22" s="6"/>
      <c r="D22" s="6"/>
      <c r="E22" s="73">
        <v>32.74</v>
      </c>
      <c r="F22" s="391">
        <v>91.62</v>
      </c>
      <c r="G22" s="74">
        <f t="shared" si="0"/>
        <v>2999.6388000000002</v>
      </c>
      <c r="H22" s="73">
        <v>0</v>
      </c>
      <c r="I22" s="6">
        <v>0</v>
      </c>
      <c r="J22" s="74">
        <f t="shared" si="1"/>
        <v>0</v>
      </c>
      <c r="K22" s="74">
        <f t="shared" si="2"/>
        <v>2999.6388000000002</v>
      </c>
      <c r="L22" s="174">
        <v>0</v>
      </c>
      <c r="M22" s="160">
        <f t="shared" si="3"/>
        <v>69516.896699999998</v>
      </c>
      <c r="N22" s="52" t="s">
        <v>121</v>
      </c>
    </row>
    <row r="23" spans="1:14">
      <c r="A23" s="52">
        <v>20</v>
      </c>
      <c r="B23" s="255">
        <v>45889</v>
      </c>
      <c r="C23" s="6"/>
      <c r="D23" s="6"/>
      <c r="E23" s="73">
        <v>37.11</v>
      </c>
      <c r="F23" s="391">
        <v>91.62</v>
      </c>
      <c r="G23" s="74">
        <f t="shared" si="0"/>
        <v>3400.0182</v>
      </c>
      <c r="H23" s="73">
        <v>0</v>
      </c>
      <c r="I23" s="6">
        <v>0</v>
      </c>
      <c r="J23" s="74">
        <f t="shared" si="1"/>
        <v>0</v>
      </c>
      <c r="K23" s="74">
        <f t="shared" si="2"/>
        <v>3400.0182</v>
      </c>
      <c r="L23" s="174">
        <v>0</v>
      </c>
      <c r="M23" s="160">
        <f t="shared" si="3"/>
        <v>72916.914900000003</v>
      </c>
      <c r="N23" s="52"/>
    </row>
    <row r="24" spans="1:14">
      <c r="A24" s="52">
        <v>21</v>
      </c>
      <c r="B24" s="255">
        <v>45890</v>
      </c>
      <c r="C24" s="6"/>
      <c r="D24" s="6"/>
      <c r="E24" s="73">
        <v>82.12</v>
      </c>
      <c r="F24" s="391">
        <v>91.62</v>
      </c>
      <c r="G24" s="74">
        <f t="shared" si="0"/>
        <v>7523.8344000000006</v>
      </c>
      <c r="H24" s="73">
        <v>0</v>
      </c>
      <c r="I24" s="6">
        <v>0</v>
      </c>
      <c r="J24" s="74">
        <f t="shared" si="1"/>
        <v>0</v>
      </c>
      <c r="K24" s="74">
        <f t="shared" si="2"/>
        <v>7523.8344000000006</v>
      </c>
      <c r="L24" s="174">
        <v>0</v>
      </c>
      <c r="M24" s="160">
        <f t="shared" si="3"/>
        <v>80440.74930000001</v>
      </c>
      <c r="N24" s="52"/>
    </row>
    <row r="25" spans="1:14">
      <c r="A25" s="52">
        <v>22</v>
      </c>
      <c r="B25" s="255">
        <v>45891</v>
      </c>
      <c r="C25" s="6"/>
      <c r="D25" s="6"/>
      <c r="E25" s="73">
        <v>20</v>
      </c>
      <c r="F25" s="391">
        <v>91.62</v>
      </c>
      <c r="G25" s="74">
        <f t="shared" si="0"/>
        <v>1832.4</v>
      </c>
      <c r="H25" s="73">
        <v>4.83</v>
      </c>
      <c r="I25" s="6">
        <v>103.57</v>
      </c>
      <c r="J25" s="74">
        <f t="shared" si="1"/>
        <v>500.24309999999997</v>
      </c>
      <c r="K25" s="74">
        <f t="shared" si="2"/>
        <v>2332.6431000000002</v>
      </c>
      <c r="L25" s="174">
        <v>0</v>
      </c>
      <c r="M25" s="160">
        <f t="shared" si="3"/>
        <v>82773.392400000012</v>
      </c>
      <c r="N25" s="52"/>
    </row>
    <row r="26" spans="1:14">
      <c r="A26" s="52">
        <v>23</v>
      </c>
      <c r="B26" s="255">
        <v>45892</v>
      </c>
      <c r="C26" s="6"/>
      <c r="D26" s="6"/>
      <c r="E26" s="391">
        <v>32.74</v>
      </c>
      <c r="F26" s="391">
        <v>91.62</v>
      </c>
      <c r="G26" s="74">
        <f t="shared" si="0"/>
        <v>2999.6388000000002</v>
      </c>
      <c r="H26" s="73">
        <v>0</v>
      </c>
      <c r="I26" s="6">
        <v>0</v>
      </c>
      <c r="J26" s="74">
        <f t="shared" si="1"/>
        <v>0</v>
      </c>
      <c r="K26" s="74">
        <f t="shared" si="2"/>
        <v>2999.6388000000002</v>
      </c>
      <c r="L26" s="174">
        <v>0</v>
      </c>
      <c r="M26" s="160">
        <f t="shared" si="3"/>
        <v>85773.031200000012</v>
      </c>
      <c r="N26" s="6"/>
    </row>
    <row r="27" spans="1:14">
      <c r="A27" s="52">
        <v>24</v>
      </c>
      <c r="B27" s="255">
        <v>45893</v>
      </c>
      <c r="C27" s="6"/>
      <c r="D27" s="6"/>
      <c r="E27" s="391">
        <v>37.5</v>
      </c>
      <c r="F27" s="391">
        <v>91.62</v>
      </c>
      <c r="G27" s="74">
        <f t="shared" si="0"/>
        <v>3435.75</v>
      </c>
      <c r="H27" s="73">
        <v>0</v>
      </c>
      <c r="I27" s="6">
        <v>0</v>
      </c>
      <c r="J27" s="74">
        <f t="shared" si="1"/>
        <v>0</v>
      </c>
      <c r="K27" s="74">
        <f t="shared" si="2"/>
        <v>3435.75</v>
      </c>
      <c r="L27" s="174">
        <v>0</v>
      </c>
      <c r="M27" s="160">
        <f t="shared" si="3"/>
        <v>89208.781200000012</v>
      </c>
      <c r="N27" s="6"/>
    </row>
    <row r="28" spans="1:14">
      <c r="A28" s="257">
        <v>25</v>
      </c>
      <c r="B28" s="255">
        <v>45894</v>
      </c>
      <c r="C28" s="6"/>
      <c r="D28" s="6"/>
      <c r="E28" s="73">
        <v>73.39</v>
      </c>
      <c r="F28" s="391">
        <v>91.62</v>
      </c>
      <c r="G28" s="74">
        <f t="shared" si="0"/>
        <v>6723.9918000000007</v>
      </c>
      <c r="H28" s="73">
        <v>0</v>
      </c>
      <c r="I28" s="6">
        <v>0</v>
      </c>
      <c r="J28" s="74">
        <f t="shared" si="1"/>
        <v>0</v>
      </c>
      <c r="K28" s="74">
        <f t="shared" si="2"/>
        <v>6723.9918000000007</v>
      </c>
      <c r="L28" s="174">
        <v>0</v>
      </c>
      <c r="M28" s="160">
        <f t="shared" si="3"/>
        <v>95932.773000000016</v>
      </c>
      <c r="N28" s="6"/>
    </row>
    <row r="29" spans="1:14">
      <c r="A29" s="257">
        <v>26</v>
      </c>
      <c r="B29" s="255">
        <v>45895</v>
      </c>
      <c r="C29" s="6"/>
      <c r="D29" s="6"/>
      <c r="E29" s="73">
        <v>0</v>
      </c>
      <c r="F29" s="6">
        <v>0</v>
      </c>
      <c r="G29" s="74">
        <f t="shared" si="0"/>
        <v>0</v>
      </c>
      <c r="H29" s="73">
        <v>0</v>
      </c>
      <c r="I29" s="6">
        <v>0</v>
      </c>
      <c r="J29" s="74">
        <f t="shared" si="1"/>
        <v>0</v>
      </c>
      <c r="K29" s="74">
        <f t="shared" si="2"/>
        <v>0</v>
      </c>
      <c r="L29" s="174">
        <f t="shared" si="4"/>
        <v>0</v>
      </c>
      <c r="M29" s="160">
        <f t="shared" si="3"/>
        <v>95932.773000000016</v>
      </c>
      <c r="N29" s="6"/>
    </row>
    <row r="30" spans="1:14">
      <c r="A30" s="257">
        <v>27</v>
      </c>
      <c r="B30" s="255">
        <v>45896</v>
      </c>
      <c r="C30" s="6"/>
      <c r="D30" s="6"/>
      <c r="E30" s="73">
        <v>0</v>
      </c>
      <c r="F30" s="6">
        <v>0</v>
      </c>
      <c r="G30" s="74">
        <f t="shared" si="0"/>
        <v>0</v>
      </c>
      <c r="H30" s="73">
        <v>0</v>
      </c>
      <c r="I30" s="6">
        <v>0</v>
      </c>
      <c r="J30" s="74">
        <f t="shared" si="1"/>
        <v>0</v>
      </c>
      <c r="K30" s="74">
        <f t="shared" si="2"/>
        <v>0</v>
      </c>
      <c r="L30" s="174">
        <f t="shared" si="4"/>
        <v>0</v>
      </c>
      <c r="M30" s="160">
        <f t="shared" si="3"/>
        <v>95932.773000000016</v>
      </c>
      <c r="N30" s="6"/>
    </row>
    <row r="31" spans="1:14">
      <c r="A31" s="257">
        <v>28</v>
      </c>
      <c r="B31" s="255">
        <v>45897</v>
      </c>
      <c r="C31" s="6"/>
      <c r="D31" s="6"/>
      <c r="E31" s="73">
        <v>47.74</v>
      </c>
      <c r="F31" s="6">
        <v>91.62</v>
      </c>
      <c r="G31" s="74">
        <f t="shared" si="0"/>
        <v>4373.9388000000008</v>
      </c>
      <c r="H31" s="73">
        <v>0</v>
      </c>
      <c r="I31" s="6">
        <v>0</v>
      </c>
      <c r="J31" s="74">
        <f t="shared" si="1"/>
        <v>0</v>
      </c>
      <c r="K31" s="74">
        <f t="shared" si="2"/>
        <v>4373.9388000000008</v>
      </c>
      <c r="L31" s="174">
        <v>0</v>
      </c>
      <c r="M31" s="160">
        <f t="shared" si="3"/>
        <v>100306.71180000002</v>
      </c>
      <c r="N31" s="6"/>
    </row>
    <row r="32" spans="1:14">
      <c r="A32" s="258">
        <v>29</v>
      </c>
      <c r="B32" s="255">
        <v>45898</v>
      </c>
      <c r="C32" s="6"/>
      <c r="D32" s="6"/>
      <c r="E32" s="73">
        <v>50</v>
      </c>
      <c r="F32" s="6">
        <v>91.62</v>
      </c>
      <c r="G32" s="74">
        <f t="shared" si="0"/>
        <v>4581</v>
      </c>
      <c r="H32" s="73">
        <v>14.83</v>
      </c>
      <c r="I32" s="6">
        <v>103.54</v>
      </c>
      <c r="J32" s="74">
        <f t="shared" si="1"/>
        <v>1535.4982</v>
      </c>
      <c r="K32" s="74">
        <f t="shared" si="2"/>
        <v>6116.4982</v>
      </c>
      <c r="L32" s="174">
        <v>0</v>
      </c>
      <c r="M32" s="160">
        <f t="shared" si="3"/>
        <v>106423.21000000002</v>
      </c>
      <c r="N32" s="6"/>
    </row>
    <row r="33" spans="1:17">
      <c r="A33" s="258">
        <v>30</v>
      </c>
      <c r="B33" s="255">
        <v>45899</v>
      </c>
      <c r="C33" s="6"/>
      <c r="D33" s="6"/>
      <c r="E33" s="73">
        <v>99.12</v>
      </c>
      <c r="F33" s="6">
        <v>91.62</v>
      </c>
      <c r="G33" s="74">
        <f t="shared" si="0"/>
        <v>9081.3744000000006</v>
      </c>
      <c r="H33" s="73">
        <v>10</v>
      </c>
      <c r="I33" s="6">
        <v>103.54</v>
      </c>
      <c r="J33" s="74">
        <f t="shared" si="1"/>
        <v>1035.4000000000001</v>
      </c>
      <c r="K33" s="74">
        <f t="shared" si="2"/>
        <v>10116.7744</v>
      </c>
      <c r="L33" s="174">
        <v>0</v>
      </c>
      <c r="M33" s="160">
        <f t="shared" si="3"/>
        <v>116539.98440000002</v>
      </c>
      <c r="N33" s="6"/>
    </row>
    <row r="34" spans="1:17">
      <c r="A34" s="258">
        <v>31</v>
      </c>
      <c r="B34" s="255">
        <v>45900</v>
      </c>
      <c r="C34" s="6"/>
      <c r="D34" s="6"/>
      <c r="E34" s="73">
        <v>37.11</v>
      </c>
      <c r="F34" s="6">
        <v>91.62</v>
      </c>
      <c r="G34" s="74">
        <f t="shared" si="0"/>
        <v>3400.0182</v>
      </c>
      <c r="H34" s="73">
        <v>0</v>
      </c>
      <c r="I34" s="6">
        <v>0</v>
      </c>
      <c r="J34" s="74">
        <f t="shared" si="1"/>
        <v>0</v>
      </c>
      <c r="K34" s="74">
        <f t="shared" si="2"/>
        <v>3400.0182</v>
      </c>
      <c r="L34" s="174">
        <v>0</v>
      </c>
      <c r="M34" s="160">
        <f t="shared" ref="M17:M39" si="5">M33+K34-L34</f>
        <v>119940.00260000002</v>
      </c>
      <c r="N34" s="6"/>
    </row>
    <row r="35" spans="1:17">
      <c r="A35" s="6">
        <v>35</v>
      </c>
      <c r="B35" s="87"/>
      <c r="C35" s="6"/>
      <c r="D35" s="6"/>
      <c r="E35" s="73">
        <v>0</v>
      </c>
      <c r="F35" s="6">
        <v>0</v>
      </c>
      <c r="G35" s="74">
        <f t="shared" si="0"/>
        <v>0</v>
      </c>
      <c r="H35" s="73">
        <v>0</v>
      </c>
      <c r="I35" s="6">
        <v>0</v>
      </c>
      <c r="J35" s="74">
        <f t="shared" si="1"/>
        <v>0</v>
      </c>
      <c r="K35" s="74">
        <f t="shared" si="2"/>
        <v>0</v>
      </c>
      <c r="L35" s="174">
        <v>0</v>
      </c>
      <c r="M35" s="160">
        <f t="shared" si="5"/>
        <v>119940.00260000002</v>
      </c>
      <c r="N35" s="6"/>
    </row>
    <row r="36" spans="1:17">
      <c r="A36" s="6">
        <v>36</v>
      </c>
      <c r="B36" s="87"/>
      <c r="C36" s="6"/>
      <c r="D36" s="6"/>
      <c r="E36" s="73">
        <v>0</v>
      </c>
      <c r="F36" s="6">
        <v>0</v>
      </c>
      <c r="G36" s="74">
        <f t="shared" si="0"/>
        <v>0</v>
      </c>
      <c r="H36" s="73">
        <v>0</v>
      </c>
      <c r="I36" s="6">
        <v>0</v>
      </c>
      <c r="J36" s="74">
        <f t="shared" si="1"/>
        <v>0</v>
      </c>
      <c r="K36" s="74">
        <f t="shared" si="2"/>
        <v>0</v>
      </c>
      <c r="L36" s="174">
        <f t="shared" si="4"/>
        <v>0</v>
      </c>
      <c r="M36" s="160">
        <f t="shared" si="5"/>
        <v>119940.00260000002</v>
      </c>
      <c r="N36" s="6"/>
    </row>
    <row r="37" spans="1:17">
      <c r="A37" s="6">
        <v>37</v>
      </c>
      <c r="B37" s="87"/>
      <c r="C37" s="6"/>
      <c r="D37" s="6"/>
      <c r="E37" s="73">
        <v>0</v>
      </c>
      <c r="F37" s="6">
        <v>0</v>
      </c>
      <c r="G37" s="74">
        <f t="shared" si="0"/>
        <v>0</v>
      </c>
      <c r="H37" s="73">
        <v>0</v>
      </c>
      <c r="I37" s="6">
        <v>0</v>
      </c>
      <c r="J37" s="74">
        <f t="shared" si="1"/>
        <v>0</v>
      </c>
      <c r="K37" s="74">
        <f t="shared" si="2"/>
        <v>0</v>
      </c>
      <c r="L37" s="174">
        <f t="shared" si="4"/>
        <v>0</v>
      </c>
      <c r="M37" s="160">
        <f t="shared" si="5"/>
        <v>119940.00260000002</v>
      </c>
      <c r="N37" s="6"/>
    </row>
    <row r="38" spans="1:17">
      <c r="A38" s="6">
        <v>38</v>
      </c>
      <c r="B38" s="87"/>
      <c r="C38" s="6"/>
      <c r="D38" s="6"/>
      <c r="E38" s="73">
        <v>0</v>
      </c>
      <c r="F38" s="6">
        <v>0</v>
      </c>
      <c r="G38" s="74">
        <f t="shared" ref="G5:G40" si="6">E38*F38</f>
        <v>0</v>
      </c>
      <c r="H38" s="73">
        <v>0</v>
      </c>
      <c r="I38" s="6">
        <v>0</v>
      </c>
      <c r="J38" s="74">
        <f t="shared" ref="J5:J40" si="7">H38*I38</f>
        <v>0</v>
      </c>
      <c r="K38" s="74">
        <f t="shared" ref="K5:K40" si="8">G38+J38</f>
        <v>0</v>
      </c>
      <c r="L38" s="174">
        <f t="shared" ref="L5:L40" si="9">+K38</f>
        <v>0</v>
      </c>
      <c r="M38" s="160">
        <f t="shared" si="5"/>
        <v>119940.00260000002</v>
      </c>
      <c r="N38" s="6"/>
    </row>
    <row r="39" spans="1:17">
      <c r="A39" s="183">
        <v>39</v>
      </c>
      <c r="B39" s="184"/>
      <c r="C39" s="183"/>
      <c r="D39" s="6"/>
      <c r="E39" s="73">
        <v>0</v>
      </c>
      <c r="F39" s="6">
        <v>0</v>
      </c>
      <c r="G39" s="74">
        <f t="shared" si="6"/>
        <v>0</v>
      </c>
      <c r="H39" s="73">
        <v>0</v>
      </c>
      <c r="I39" s="6">
        <v>0</v>
      </c>
      <c r="J39" s="74">
        <f t="shared" si="7"/>
        <v>0</v>
      </c>
      <c r="K39" s="74">
        <f t="shared" si="8"/>
        <v>0</v>
      </c>
      <c r="L39" s="174">
        <f t="shared" si="9"/>
        <v>0</v>
      </c>
      <c r="M39" s="160">
        <f t="shared" si="5"/>
        <v>119940.00260000002</v>
      </c>
      <c r="N39" s="183"/>
    </row>
    <row r="40" spans="1:17">
      <c r="A40" s="6">
        <v>40</v>
      </c>
      <c r="B40" s="6"/>
      <c r="C40" s="6"/>
      <c r="D40" s="6"/>
      <c r="E40" s="73">
        <v>0</v>
      </c>
      <c r="F40" s="6">
        <v>0</v>
      </c>
      <c r="G40" s="74">
        <f t="shared" si="6"/>
        <v>0</v>
      </c>
      <c r="H40" s="73">
        <v>0</v>
      </c>
      <c r="I40" s="6">
        <v>0</v>
      </c>
      <c r="J40" s="74">
        <f t="shared" si="7"/>
        <v>0</v>
      </c>
      <c r="K40" s="74">
        <f t="shared" si="8"/>
        <v>0</v>
      </c>
      <c r="L40" s="174">
        <f t="shared" si="9"/>
        <v>0</v>
      </c>
      <c r="M40" s="160">
        <v>0</v>
      </c>
      <c r="N40" s="6"/>
    </row>
    <row r="41" spans="1:17">
      <c r="A41" s="183">
        <v>41</v>
      </c>
      <c r="B41" s="183"/>
      <c r="C41" s="183"/>
      <c r="D41" s="6"/>
      <c r="E41" s="73">
        <v>0</v>
      </c>
      <c r="F41" s="6">
        <v>0</v>
      </c>
      <c r="G41" s="74">
        <f t="shared" ref="G5:G42" si="10">E41*F41</f>
        <v>0</v>
      </c>
      <c r="H41" s="73">
        <v>0</v>
      </c>
      <c r="I41" s="6">
        <v>0</v>
      </c>
      <c r="J41" s="74">
        <f t="shared" ref="J5:J42" si="11">H41*I41</f>
        <v>0</v>
      </c>
      <c r="K41" s="74">
        <f t="shared" ref="K5:K42" si="12">G41+J41</f>
        <v>0</v>
      </c>
      <c r="L41" s="174">
        <f t="shared" ref="L5:L42" si="13">+K41</f>
        <v>0</v>
      </c>
      <c r="M41" s="187">
        <v>0</v>
      </c>
      <c r="N41" s="183"/>
    </row>
    <row r="42" spans="1:17">
      <c r="A42" s="183">
        <v>42</v>
      </c>
      <c r="B42" s="183"/>
      <c r="C42" s="183"/>
      <c r="D42" s="6"/>
      <c r="E42" s="73">
        <v>0</v>
      </c>
      <c r="F42" s="6">
        <v>0</v>
      </c>
      <c r="G42" s="74">
        <f t="shared" si="10"/>
        <v>0</v>
      </c>
      <c r="H42" s="73"/>
      <c r="I42" s="6"/>
      <c r="J42" s="74">
        <f t="shared" si="11"/>
        <v>0</v>
      </c>
      <c r="K42" s="185">
        <f t="shared" si="12"/>
        <v>0</v>
      </c>
      <c r="L42" s="186">
        <f t="shared" si="13"/>
        <v>0</v>
      </c>
      <c r="M42" s="187">
        <v>0</v>
      </c>
      <c r="N42" s="183"/>
    </row>
    <row r="43" spans="1:17">
      <c r="A43" s="70"/>
      <c r="B43" s="70"/>
      <c r="C43" s="70"/>
      <c r="D43" s="70"/>
      <c r="E43" s="71">
        <f>SUM(E4:E42)</f>
        <v>1873.1699999999998</v>
      </c>
      <c r="F43" s="71"/>
      <c r="G43" s="71">
        <f>SUM(G4:G42)</f>
        <v>171619.83539999998</v>
      </c>
      <c r="H43" s="71">
        <f>SUM(H4:H42)</f>
        <v>133.35</v>
      </c>
      <c r="I43" s="71"/>
      <c r="J43" s="71">
        <f>SUM(J4:J42)</f>
        <v>13810.314599999998</v>
      </c>
      <c r="K43" s="71">
        <f>SUM(K4:K42)</f>
        <v>185430.14999999991</v>
      </c>
      <c r="L43" s="71">
        <f>SUM(L4:L42)</f>
        <v>115000</v>
      </c>
      <c r="M43" s="71"/>
      <c r="N43" s="71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Q49"/>
  <sheetViews>
    <sheetView workbookViewId="0">
      <selection activeCell="M46" sqref="M46"/>
    </sheetView>
  </sheetViews>
  <sheetFormatPr defaultRowHeight="15"/>
  <cols>
    <col min="2" max="2" width="10.85546875" bestFit="1" customWidth="1"/>
    <col min="4" max="4" width="16.140625" customWidth="1"/>
    <col min="7" max="7" width="11.85546875" bestFit="1" customWidth="1"/>
    <col min="11" max="12" width="16" customWidth="1"/>
    <col min="13" max="13" width="14.42578125" bestFit="1" customWidth="1"/>
    <col min="14" max="14" width="14.7109375" bestFit="1" customWidth="1"/>
  </cols>
  <sheetData>
    <row r="1" spans="1:15" ht="15.75">
      <c r="A1" s="416" t="s">
        <v>86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5"/>
    </row>
    <row r="2" spans="1:15" ht="30.75">
      <c r="A2" s="72" t="s">
        <v>94</v>
      </c>
      <c r="B2" s="92" t="s">
        <v>95</v>
      </c>
      <c r="C2" s="92" t="s">
        <v>96</v>
      </c>
      <c r="D2" s="92" t="s">
        <v>111</v>
      </c>
      <c r="E2" s="92" t="s">
        <v>98</v>
      </c>
      <c r="F2" s="92" t="s">
        <v>99</v>
      </c>
      <c r="G2" s="99" t="s">
        <v>100</v>
      </c>
      <c r="H2" s="92" t="s">
        <v>101</v>
      </c>
      <c r="I2" s="92" t="s">
        <v>99</v>
      </c>
      <c r="J2" s="99" t="s">
        <v>100</v>
      </c>
      <c r="K2" s="72" t="s">
        <v>102</v>
      </c>
      <c r="L2" s="100" t="s">
        <v>103</v>
      </c>
      <c r="M2" s="94" t="s">
        <v>110</v>
      </c>
      <c r="N2" s="92" t="s">
        <v>105</v>
      </c>
      <c r="O2" s="5"/>
    </row>
    <row r="3" spans="1:15">
      <c r="A3" s="430" t="s">
        <v>106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2"/>
      <c r="M3" s="433">
        <v>9020.7912999999971</v>
      </c>
      <c r="N3" s="434"/>
      <c r="O3" s="5"/>
    </row>
    <row r="4" spans="1:15">
      <c r="A4" s="221">
        <v>1</v>
      </c>
      <c r="B4" s="255" t="s">
        <v>152</v>
      </c>
      <c r="C4" s="6"/>
      <c r="D4" s="6"/>
      <c r="E4" s="73">
        <v>132.80000000000001</v>
      </c>
      <c r="F4" s="6">
        <v>91.45</v>
      </c>
      <c r="G4" s="74">
        <f>E4*F4</f>
        <v>12144.560000000001</v>
      </c>
      <c r="H4" s="73">
        <v>0</v>
      </c>
      <c r="I4" s="6">
        <v>0</v>
      </c>
      <c r="J4" s="74">
        <f>H4*I4</f>
        <v>0</v>
      </c>
      <c r="K4" s="74">
        <f>G4+J4</f>
        <v>12144.560000000001</v>
      </c>
      <c r="L4" s="356">
        <v>0</v>
      </c>
      <c r="M4" s="160">
        <f>M3+K4-L4</f>
        <v>21165.351299999998</v>
      </c>
      <c r="N4" s="52" t="s">
        <v>121</v>
      </c>
      <c r="O4" s="5"/>
    </row>
    <row r="5" spans="1:15">
      <c r="A5" s="52">
        <v>2</v>
      </c>
      <c r="B5" s="255" t="s">
        <v>153</v>
      </c>
      <c r="C5" s="6"/>
      <c r="D5" s="6"/>
      <c r="E5" s="73">
        <v>21.87</v>
      </c>
      <c r="F5" s="6">
        <v>91.45</v>
      </c>
      <c r="G5" s="74">
        <f t="shared" ref="G5:G38" si="0">E5*F5</f>
        <v>2000.0115000000001</v>
      </c>
      <c r="H5" s="73">
        <v>4.83</v>
      </c>
      <c r="I5" s="6">
        <v>103.39</v>
      </c>
      <c r="J5" s="74">
        <f t="shared" ref="J5:J38" si="1">H5*I5</f>
        <v>499.37369999999999</v>
      </c>
      <c r="K5" s="74">
        <f t="shared" ref="K5:L38" si="2">G5+J5</f>
        <v>2499.3852000000002</v>
      </c>
      <c r="L5" s="356">
        <v>19688.21</v>
      </c>
      <c r="M5" s="160">
        <f t="shared" ref="M5:M46" si="3">M4+K5-L5</f>
        <v>3976.5264999999999</v>
      </c>
      <c r="N5" s="52" t="s">
        <v>121</v>
      </c>
      <c r="O5" s="5"/>
    </row>
    <row r="6" spans="1:15">
      <c r="A6" s="52">
        <v>3</v>
      </c>
      <c r="B6" s="255" t="s">
        <v>154</v>
      </c>
      <c r="C6" s="6"/>
      <c r="D6" s="6"/>
      <c r="E6" s="73">
        <v>147.61000000000001</v>
      </c>
      <c r="F6" s="6">
        <v>91.45</v>
      </c>
      <c r="G6" s="74">
        <f t="shared" si="0"/>
        <v>13498.934500000001</v>
      </c>
      <c r="H6" s="73">
        <v>4.83</v>
      </c>
      <c r="I6" s="6">
        <v>103.39</v>
      </c>
      <c r="J6" s="74">
        <f t="shared" si="1"/>
        <v>499.37369999999999</v>
      </c>
      <c r="K6" s="74">
        <f t="shared" si="2"/>
        <v>13998.308200000001</v>
      </c>
      <c r="L6" s="356">
        <v>0</v>
      </c>
      <c r="M6" s="160">
        <f t="shared" si="3"/>
        <v>17974.834699999999</v>
      </c>
      <c r="N6" s="52" t="s">
        <v>121</v>
      </c>
      <c r="O6" s="5"/>
    </row>
    <row r="7" spans="1:15">
      <c r="A7" s="221">
        <v>4</v>
      </c>
      <c r="B7" s="255" t="s">
        <v>155</v>
      </c>
      <c r="C7" s="6"/>
      <c r="D7" s="6"/>
      <c r="E7" s="73">
        <v>16.399999999999999</v>
      </c>
      <c r="F7" s="6">
        <v>91.45</v>
      </c>
      <c r="G7" s="74">
        <f t="shared" si="0"/>
        <v>1499.78</v>
      </c>
      <c r="H7" s="73">
        <v>0</v>
      </c>
      <c r="I7" s="6">
        <v>0</v>
      </c>
      <c r="J7" s="74">
        <f t="shared" si="1"/>
        <v>0</v>
      </c>
      <c r="K7" s="74">
        <f t="shared" si="2"/>
        <v>1499.78</v>
      </c>
      <c r="L7" s="356">
        <v>0</v>
      </c>
      <c r="M7" s="160">
        <f t="shared" si="3"/>
        <v>19474.614699999998</v>
      </c>
      <c r="N7" s="52" t="s">
        <v>121</v>
      </c>
      <c r="O7" s="5"/>
    </row>
    <row r="8" spans="1:15">
      <c r="A8" s="52">
        <v>5</v>
      </c>
      <c r="B8" s="255" t="s">
        <v>156</v>
      </c>
      <c r="C8" s="6"/>
      <c r="D8" s="6"/>
      <c r="E8" s="73">
        <v>32.799999999999997</v>
      </c>
      <c r="F8" s="6">
        <v>91.45</v>
      </c>
      <c r="G8" s="74">
        <f t="shared" si="0"/>
        <v>2999.56</v>
      </c>
      <c r="H8" s="73">
        <v>0</v>
      </c>
      <c r="I8" s="6">
        <v>0</v>
      </c>
      <c r="J8" s="74">
        <f t="shared" si="1"/>
        <v>0</v>
      </c>
      <c r="K8" s="74">
        <f t="shared" si="2"/>
        <v>2999.56</v>
      </c>
      <c r="L8" s="356">
        <v>18500</v>
      </c>
      <c r="M8" s="160">
        <f t="shared" si="3"/>
        <v>3974.1746999999996</v>
      </c>
      <c r="N8" s="52" t="s">
        <v>121</v>
      </c>
      <c r="O8" s="5"/>
    </row>
    <row r="9" spans="1:15">
      <c r="A9" s="52">
        <v>6</v>
      </c>
      <c r="B9" s="255" t="s">
        <v>108</v>
      </c>
      <c r="C9" s="6"/>
      <c r="D9" s="6"/>
      <c r="E9" s="73">
        <v>32.799999999999997</v>
      </c>
      <c r="F9" s="6">
        <v>91.45</v>
      </c>
      <c r="G9" s="74">
        <f t="shared" si="0"/>
        <v>2999.56</v>
      </c>
      <c r="H9" s="73">
        <v>0</v>
      </c>
      <c r="I9" s="6">
        <v>0</v>
      </c>
      <c r="J9" s="74">
        <f t="shared" si="1"/>
        <v>0</v>
      </c>
      <c r="K9" s="74">
        <f t="shared" si="2"/>
        <v>2999.56</v>
      </c>
      <c r="L9" s="356">
        <v>0</v>
      </c>
      <c r="M9" s="160">
        <f t="shared" si="3"/>
        <v>6973.7346999999991</v>
      </c>
      <c r="N9" s="52" t="s">
        <v>121</v>
      </c>
      <c r="O9" s="5"/>
    </row>
    <row r="10" spans="1:15">
      <c r="A10" s="221">
        <v>7</v>
      </c>
      <c r="B10" s="255" t="s">
        <v>157</v>
      </c>
      <c r="C10" s="6"/>
      <c r="D10" s="6"/>
      <c r="E10" s="73">
        <v>32.799999999999997</v>
      </c>
      <c r="F10" s="6">
        <v>91.45</v>
      </c>
      <c r="G10" s="74">
        <f t="shared" si="0"/>
        <v>2999.56</v>
      </c>
      <c r="H10" s="73">
        <v>0</v>
      </c>
      <c r="I10" s="6">
        <v>0</v>
      </c>
      <c r="J10" s="74">
        <f t="shared" si="1"/>
        <v>0</v>
      </c>
      <c r="K10" s="74">
        <f t="shared" si="2"/>
        <v>2999.56</v>
      </c>
      <c r="L10" s="356">
        <v>0</v>
      </c>
      <c r="M10" s="160">
        <f t="shared" si="3"/>
        <v>9973.2946999999986</v>
      </c>
      <c r="N10" s="52" t="s">
        <v>121</v>
      </c>
      <c r="O10" s="5"/>
    </row>
    <row r="11" spans="1:15">
      <c r="A11" s="52">
        <v>8</v>
      </c>
      <c r="B11" s="255" t="s">
        <v>158</v>
      </c>
      <c r="C11" s="6"/>
      <c r="D11" s="6"/>
      <c r="E11" s="73">
        <v>62.8</v>
      </c>
      <c r="F11" s="6">
        <v>91.45</v>
      </c>
      <c r="G11" s="74">
        <f t="shared" si="0"/>
        <v>5743.0599999999995</v>
      </c>
      <c r="H11" s="73">
        <v>0</v>
      </c>
      <c r="I11" s="6">
        <v>0</v>
      </c>
      <c r="J11" s="74">
        <f t="shared" si="1"/>
        <v>0</v>
      </c>
      <c r="K11" s="74">
        <f t="shared" si="2"/>
        <v>5743.0599999999995</v>
      </c>
      <c r="L11" s="356">
        <v>0</v>
      </c>
      <c r="M11" s="160">
        <f t="shared" si="3"/>
        <v>15716.354699999998</v>
      </c>
      <c r="N11" s="52" t="s">
        <v>121</v>
      </c>
      <c r="O11" s="5"/>
    </row>
    <row r="12" spans="1:15">
      <c r="A12" s="52">
        <v>9</v>
      </c>
      <c r="B12" s="255" t="s">
        <v>159</v>
      </c>
      <c r="C12" s="6"/>
      <c r="D12" s="6"/>
      <c r="E12" s="73">
        <v>0</v>
      </c>
      <c r="F12" s="6">
        <v>0</v>
      </c>
      <c r="G12" s="74">
        <f t="shared" si="0"/>
        <v>0</v>
      </c>
      <c r="H12" s="73">
        <v>4.83</v>
      </c>
      <c r="I12" s="6">
        <v>103.39</v>
      </c>
      <c r="J12" s="74">
        <f t="shared" si="1"/>
        <v>499.37369999999999</v>
      </c>
      <c r="K12" s="74">
        <f t="shared" si="2"/>
        <v>499.37369999999999</v>
      </c>
      <c r="L12" s="74">
        <v>499.37</v>
      </c>
      <c r="M12" s="160">
        <f t="shared" si="3"/>
        <v>15716.358399999997</v>
      </c>
      <c r="N12" s="52" t="s">
        <v>121</v>
      </c>
      <c r="O12" s="5"/>
    </row>
    <row r="13" spans="1:15">
      <c r="A13" s="221">
        <v>10</v>
      </c>
      <c r="B13" s="255" t="s">
        <v>126</v>
      </c>
      <c r="C13" s="6"/>
      <c r="D13" s="6"/>
      <c r="E13" s="73">
        <v>87.47</v>
      </c>
      <c r="F13" s="6">
        <v>91.45</v>
      </c>
      <c r="G13" s="74">
        <f t="shared" si="0"/>
        <v>7999.1315000000004</v>
      </c>
      <c r="H13" s="73">
        <v>4.83</v>
      </c>
      <c r="I13" s="6">
        <v>103.39</v>
      </c>
      <c r="J13" s="74">
        <f t="shared" si="1"/>
        <v>499.37369999999999</v>
      </c>
      <c r="K13" s="74">
        <f t="shared" si="2"/>
        <v>8498.5051999999996</v>
      </c>
      <c r="L13" s="356">
        <v>16243.5</v>
      </c>
      <c r="M13" s="160">
        <f t="shared" si="3"/>
        <v>7971.3635999999969</v>
      </c>
      <c r="N13" s="52" t="s">
        <v>121</v>
      </c>
      <c r="O13" s="5"/>
    </row>
    <row r="14" spans="1:15">
      <c r="A14" s="52">
        <v>11</v>
      </c>
      <c r="B14" s="255" t="s">
        <v>127</v>
      </c>
      <c r="C14" s="6"/>
      <c r="D14" s="6"/>
      <c r="E14" s="73">
        <v>159.1</v>
      </c>
      <c r="F14" s="6">
        <v>91.45</v>
      </c>
      <c r="G14" s="74">
        <f t="shared" si="0"/>
        <v>14549.695</v>
      </c>
      <c r="H14" s="73">
        <v>0</v>
      </c>
      <c r="I14" s="6">
        <v>0</v>
      </c>
      <c r="J14" s="74">
        <f t="shared" si="1"/>
        <v>0</v>
      </c>
      <c r="K14" s="74">
        <f t="shared" si="2"/>
        <v>14549.695</v>
      </c>
      <c r="L14" s="356">
        <v>0</v>
      </c>
      <c r="M14" s="160">
        <f t="shared" si="3"/>
        <v>22521.058599999997</v>
      </c>
      <c r="N14" s="52" t="s">
        <v>121</v>
      </c>
      <c r="O14" s="5"/>
    </row>
    <row r="15" spans="1:15">
      <c r="A15" s="52">
        <v>12</v>
      </c>
      <c r="B15" s="255" t="s">
        <v>128</v>
      </c>
      <c r="C15" s="6"/>
      <c r="D15" s="6"/>
      <c r="E15" s="73">
        <v>0</v>
      </c>
      <c r="F15" s="6">
        <v>0</v>
      </c>
      <c r="G15" s="74">
        <f t="shared" si="0"/>
        <v>0</v>
      </c>
      <c r="H15" s="73">
        <v>4.83</v>
      </c>
      <c r="I15" s="6">
        <v>103.39</v>
      </c>
      <c r="J15" s="74">
        <f t="shared" si="1"/>
        <v>499.37369999999999</v>
      </c>
      <c r="K15" s="74">
        <f t="shared" si="2"/>
        <v>499.37369999999999</v>
      </c>
      <c r="L15" s="356">
        <v>23050.57</v>
      </c>
      <c r="M15" s="160">
        <f t="shared" si="3"/>
        <v>-30.137700000002951</v>
      </c>
      <c r="N15" s="52" t="s">
        <v>121</v>
      </c>
      <c r="O15" s="5"/>
    </row>
    <row r="16" spans="1:15">
      <c r="A16" s="221">
        <v>13</v>
      </c>
      <c r="B16" s="255" t="s">
        <v>129</v>
      </c>
      <c r="C16" s="6"/>
      <c r="D16" s="6"/>
      <c r="E16" s="73">
        <v>47.02</v>
      </c>
      <c r="F16" s="6">
        <v>91.45</v>
      </c>
      <c r="G16" s="74">
        <f t="shared" si="0"/>
        <v>4299.9790000000003</v>
      </c>
      <c r="H16" s="73">
        <v>0</v>
      </c>
      <c r="I16" s="6">
        <v>0</v>
      </c>
      <c r="J16" s="74">
        <f t="shared" si="1"/>
        <v>0</v>
      </c>
      <c r="K16" s="74">
        <f t="shared" si="2"/>
        <v>4299.9790000000003</v>
      </c>
      <c r="L16" s="356">
        <v>0</v>
      </c>
      <c r="M16" s="160">
        <f t="shared" si="3"/>
        <v>4269.8412999999973</v>
      </c>
      <c r="N16" s="52" t="s">
        <v>121</v>
      </c>
      <c r="O16" s="5"/>
    </row>
    <row r="17" spans="1:17">
      <c r="A17" s="52">
        <v>14</v>
      </c>
      <c r="B17" s="255" t="s">
        <v>130</v>
      </c>
      <c r="C17" s="6"/>
      <c r="D17" s="6"/>
      <c r="E17" s="73">
        <v>26.24</v>
      </c>
      <c r="F17" s="6">
        <v>91.45</v>
      </c>
      <c r="G17" s="74">
        <f t="shared" si="0"/>
        <v>2399.6480000000001</v>
      </c>
      <c r="H17" s="73">
        <v>0</v>
      </c>
      <c r="I17" s="6">
        <v>0</v>
      </c>
      <c r="J17" s="74">
        <f t="shared" si="1"/>
        <v>0</v>
      </c>
      <c r="K17" s="74">
        <f t="shared" si="2"/>
        <v>2399.6480000000001</v>
      </c>
      <c r="L17" s="356">
        <v>0</v>
      </c>
      <c r="M17" s="160">
        <f t="shared" si="3"/>
        <v>6669.4892999999975</v>
      </c>
      <c r="N17" s="52" t="s">
        <v>121</v>
      </c>
      <c r="O17" s="5"/>
    </row>
    <row r="18" spans="1:17">
      <c r="A18" s="52">
        <v>15</v>
      </c>
      <c r="B18" s="255" t="s">
        <v>150</v>
      </c>
      <c r="C18" s="6"/>
      <c r="D18" s="6"/>
      <c r="E18" s="73">
        <v>0</v>
      </c>
      <c r="F18" s="6">
        <v>0</v>
      </c>
      <c r="G18" s="74">
        <f t="shared" si="0"/>
        <v>0</v>
      </c>
      <c r="H18" s="73">
        <v>4.83</v>
      </c>
      <c r="I18" s="6">
        <v>103.39</v>
      </c>
      <c r="J18" s="74">
        <f t="shared" si="1"/>
        <v>499.37369999999999</v>
      </c>
      <c r="K18" s="74">
        <f t="shared" si="2"/>
        <v>499.37369999999999</v>
      </c>
      <c r="L18" s="356">
        <v>0</v>
      </c>
      <c r="M18" s="160">
        <f t="shared" si="3"/>
        <v>7168.8629999999976</v>
      </c>
      <c r="N18" s="52" t="s">
        <v>121</v>
      </c>
      <c r="O18" s="5"/>
    </row>
    <row r="19" spans="1:17">
      <c r="A19" s="221">
        <v>16</v>
      </c>
      <c r="B19" s="255" t="s">
        <v>131</v>
      </c>
      <c r="C19" s="6"/>
      <c r="D19" s="6"/>
      <c r="E19" s="73">
        <v>110</v>
      </c>
      <c r="F19" s="6">
        <v>91.45</v>
      </c>
      <c r="G19" s="74">
        <f t="shared" si="0"/>
        <v>10059.5</v>
      </c>
      <c r="H19" s="73">
        <v>0</v>
      </c>
      <c r="I19" s="6">
        <v>0</v>
      </c>
      <c r="J19" s="74">
        <f t="shared" si="1"/>
        <v>0</v>
      </c>
      <c r="K19" s="74">
        <f t="shared" si="2"/>
        <v>10059.5</v>
      </c>
      <c r="L19" s="356">
        <v>2899.65</v>
      </c>
      <c r="M19" s="160">
        <f t="shared" si="3"/>
        <v>14328.712999999998</v>
      </c>
      <c r="N19" s="52" t="s">
        <v>121</v>
      </c>
      <c r="O19" s="5"/>
    </row>
    <row r="20" spans="1:17">
      <c r="A20" s="52">
        <v>17</v>
      </c>
      <c r="B20" s="255" t="s">
        <v>132</v>
      </c>
      <c r="C20" s="6"/>
      <c r="D20" s="6"/>
      <c r="E20" s="73">
        <v>124.64</v>
      </c>
      <c r="F20" s="6">
        <v>91.45</v>
      </c>
      <c r="G20" s="74">
        <f t="shared" si="0"/>
        <v>11398.328</v>
      </c>
      <c r="H20" s="73">
        <v>0</v>
      </c>
      <c r="I20" s="6">
        <v>0</v>
      </c>
      <c r="J20" s="74">
        <f t="shared" si="1"/>
        <v>0</v>
      </c>
      <c r="K20" s="74">
        <f t="shared" si="2"/>
        <v>11398.328</v>
      </c>
      <c r="L20" s="356">
        <v>0</v>
      </c>
      <c r="M20" s="160">
        <f t="shared" si="3"/>
        <v>25727.040999999997</v>
      </c>
      <c r="N20" s="52" t="s">
        <v>121</v>
      </c>
      <c r="O20" s="5"/>
    </row>
    <row r="21" spans="1:17">
      <c r="A21" s="52">
        <v>18</v>
      </c>
      <c r="B21" s="255" t="s">
        <v>133</v>
      </c>
      <c r="C21" s="6"/>
      <c r="D21" s="6"/>
      <c r="E21" s="73">
        <v>0</v>
      </c>
      <c r="F21" s="6">
        <v>0</v>
      </c>
      <c r="G21" s="74">
        <f t="shared" si="0"/>
        <v>0</v>
      </c>
      <c r="H21" s="73">
        <v>0</v>
      </c>
      <c r="I21" s="6">
        <v>0</v>
      </c>
      <c r="J21" s="74">
        <f t="shared" si="1"/>
        <v>0</v>
      </c>
      <c r="K21" s="74">
        <f t="shared" si="2"/>
        <v>0</v>
      </c>
      <c r="L21" s="356">
        <v>3000</v>
      </c>
      <c r="M21" s="160">
        <f t="shared" si="3"/>
        <v>22727.040999999997</v>
      </c>
      <c r="N21" s="52" t="s">
        <v>121</v>
      </c>
      <c r="O21" s="5"/>
      <c r="Q21">
        <f>76.54*91.45</f>
        <v>6999.5830000000005</v>
      </c>
    </row>
    <row r="22" spans="1:17">
      <c r="A22" s="221">
        <v>19</v>
      </c>
      <c r="B22" s="255" t="s">
        <v>151</v>
      </c>
      <c r="C22" s="6"/>
      <c r="D22" s="6"/>
      <c r="E22" s="73">
        <v>0</v>
      </c>
      <c r="F22" s="6">
        <v>0</v>
      </c>
      <c r="G22" s="74">
        <f t="shared" si="0"/>
        <v>0</v>
      </c>
      <c r="H22" s="73">
        <v>0</v>
      </c>
      <c r="I22" s="6">
        <v>0</v>
      </c>
      <c r="J22" s="74">
        <f t="shared" si="1"/>
        <v>0</v>
      </c>
      <c r="K22" s="74">
        <f t="shared" si="2"/>
        <v>0</v>
      </c>
      <c r="L22" s="356">
        <v>22727.040000000001</v>
      </c>
      <c r="M22" s="160">
        <f t="shared" si="3"/>
        <v>9.9999999656574801E-4</v>
      </c>
      <c r="N22" s="52" t="s">
        <v>121</v>
      </c>
      <c r="O22" s="5"/>
    </row>
    <row r="23" spans="1:17">
      <c r="A23" s="52">
        <v>20</v>
      </c>
      <c r="B23" s="255" t="s">
        <v>134</v>
      </c>
      <c r="C23" s="6"/>
      <c r="D23" s="6"/>
      <c r="E23" s="73">
        <v>54.67</v>
      </c>
      <c r="F23" s="6">
        <v>91.45</v>
      </c>
      <c r="G23" s="74">
        <f t="shared" si="0"/>
        <v>4999.5715</v>
      </c>
      <c r="H23" s="73">
        <v>4.83</v>
      </c>
      <c r="I23" s="6">
        <v>103.39</v>
      </c>
      <c r="J23" s="74">
        <f t="shared" si="1"/>
        <v>499.37369999999999</v>
      </c>
      <c r="K23" s="74">
        <f t="shared" si="2"/>
        <v>5498.9452000000001</v>
      </c>
      <c r="L23" s="356">
        <v>0</v>
      </c>
      <c r="M23" s="160">
        <f t="shared" si="3"/>
        <v>5498.9461999999967</v>
      </c>
      <c r="N23" s="52" t="s">
        <v>121</v>
      </c>
      <c r="O23" s="5"/>
    </row>
    <row r="24" spans="1:17">
      <c r="A24" s="52">
        <v>21</v>
      </c>
      <c r="B24" s="255" t="s">
        <v>135</v>
      </c>
      <c r="C24" s="6"/>
      <c r="D24" s="6"/>
      <c r="E24" s="73">
        <v>132.80000000000001</v>
      </c>
      <c r="F24" s="6">
        <v>91.45</v>
      </c>
      <c r="G24" s="74">
        <f t="shared" si="0"/>
        <v>12144.560000000001</v>
      </c>
      <c r="H24" s="73">
        <v>4.83</v>
      </c>
      <c r="I24" s="6">
        <v>103.39</v>
      </c>
      <c r="J24" s="74">
        <f t="shared" si="1"/>
        <v>499.37369999999999</v>
      </c>
      <c r="K24" s="74">
        <f t="shared" si="2"/>
        <v>12643.933700000001</v>
      </c>
      <c r="L24" s="356">
        <v>0</v>
      </c>
      <c r="M24" s="160">
        <f t="shared" si="3"/>
        <v>18142.8799</v>
      </c>
      <c r="N24" s="52" t="s">
        <v>121</v>
      </c>
      <c r="O24" s="5"/>
    </row>
    <row r="25" spans="1:17">
      <c r="A25" s="221">
        <v>22</v>
      </c>
      <c r="B25" s="255" t="s">
        <v>137</v>
      </c>
      <c r="C25" s="6"/>
      <c r="D25" s="6"/>
      <c r="E25" s="73">
        <v>0</v>
      </c>
      <c r="F25" s="6">
        <v>0</v>
      </c>
      <c r="G25" s="74">
        <f t="shared" si="0"/>
        <v>0</v>
      </c>
      <c r="H25" s="73">
        <v>0</v>
      </c>
      <c r="I25" s="6">
        <v>0</v>
      </c>
      <c r="J25" s="74">
        <f t="shared" si="1"/>
        <v>0</v>
      </c>
      <c r="K25" s="74">
        <f t="shared" si="2"/>
        <v>0</v>
      </c>
      <c r="L25" s="356">
        <v>18000</v>
      </c>
      <c r="M25" s="160">
        <f t="shared" si="3"/>
        <v>142.87989999999991</v>
      </c>
      <c r="N25" s="52" t="s">
        <v>121</v>
      </c>
      <c r="O25" s="5"/>
    </row>
    <row r="26" spans="1:17">
      <c r="A26" s="52">
        <v>23</v>
      </c>
      <c r="B26" s="255" t="s">
        <v>138</v>
      </c>
      <c r="C26" s="6"/>
      <c r="D26" s="6"/>
      <c r="E26" s="73">
        <v>87.47</v>
      </c>
      <c r="F26" s="6">
        <v>91.45</v>
      </c>
      <c r="G26" s="74">
        <f t="shared" si="0"/>
        <v>7999.1315000000004</v>
      </c>
      <c r="H26" s="73">
        <v>0</v>
      </c>
      <c r="I26" s="6">
        <v>0</v>
      </c>
      <c r="J26" s="74">
        <f t="shared" si="1"/>
        <v>0</v>
      </c>
      <c r="K26" s="74">
        <f t="shared" si="2"/>
        <v>7999.1315000000004</v>
      </c>
      <c r="L26" s="356">
        <v>0</v>
      </c>
      <c r="M26" s="160">
        <f t="shared" si="3"/>
        <v>8142.0114000000003</v>
      </c>
      <c r="N26" s="52" t="s">
        <v>121</v>
      </c>
      <c r="O26" s="5">
        <v>14616</v>
      </c>
    </row>
    <row r="27" spans="1:17">
      <c r="A27" s="52">
        <v>24</v>
      </c>
      <c r="B27" s="255" t="s">
        <v>140</v>
      </c>
      <c r="C27" s="6"/>
      <c r="D27" s="6"/>
      <c r="E27" s="73">
        <v>217.34</v>
      </c>
      <c r="F27" s="6">
        <v>91.45</v>
      </c>
      <c r="G27" s="74">
        <f t="shared" si="0"/>
        <v>19875.743000000002</v>
      </c>
      <c r="H27" s="73">
        <v>9.66</v>
      </c>
      <c r="I27" s="6">
        <v>103.39</v>
      </c>
      <c r="J27" s="74">
        <f t="shared" si="1"/>
        <v>998.74739999999997</v>
      </c>
      <c r="K27" s="74">
        <f t="shared" si="2"/>
        <v>20874.490400000002</v>
      </c>
      <c r="L27" s="356">
        <v>0</v>
      </c>
      <c r="M27" s="160">
        <f t="shared" si="3"/>
        <v>29016.501800000002</v>
      </c>
      <c r="N27" s="52" t="s">
        <v>121</v>
      </c>
      <c r="O27" s="5"/>
    </row>
    <row r="28" spans="1:17">
      <c r="A28" s="221">
        <v>25</v>
      </c>
      <c r="B28" s="255" t="s">
        <v>141</v>
      </c>
      <c r="C28" s="6"/>
      <c r="D28" s="6"/>
      <c r="E28" s="73">
        <v>65.61</v>
      </c>
      <c r="F28" s="6">
        <v>91.45</v>
      </c>
      <c r="G28" s="74">
        <f t="shared" si="0"/>
        <v>6000.0344999999998</v>
      </c>
      <c r="H28" s="73">
        <v>0</v>
      </c>
      <c r="I28" s="6">
        <v>0</v>
      </c>
      <c r="J28" s="74">
        <f t="shared" si="1"/>
        <v>0</v>
      </c>
      <c r="K28" s="74">
        <f t="shared" si="2"/>
        <v>6000.0344999999998</v>
      </c>
      <c r="L28" s="356">
        <v>0</v>
      </c>
      <c r="M28" s="160">
        <f t="shared" si="3"/>
        <v>35016.5363</v>
      </c>
      <c r="N28" s="52" t="s">
        <v>121</v>
      </c>
      <c r="O28" s="5"/>
    </row>
    <row r="29" spans="1:17">
      <c r="A29" s="52">
        <v>26</v>
      </c>
      <c r="B29" s="255" t="s">
        <v>142</v>
      </c>
      <c r="C29" s="6"/>
      <c r="D29" s="6"/>
      <c r="E29" s="73">
        <v>0</v>
      </c>
      <c r="F29" s="6">
        <v>0</v>
      </c>
      <c r="G29" s="74">
        <f t="shared" si="0"/>
        <v>0</v>
      </c>
      <c r="H29" s="73">
        <v>0</v>
      </c>
      <c r="I29" s="6">
        <v>0</v>
      </c>
      <c r="J29" s="74">
        <f t="shared" si="1"/>
        <v>0</v>
      </c>
      <c r="K29" s="74">
        <f t="shared" si="2"/>
        <v>0</v>
      </c>
      <c r="L29" s="356">
        <v>10000</v>
      </c>
      <c r="M29" s="160">
        <f t="shared" si="3"/>
        <v>25016.5363</v>
      </c>
      <c r="N29" s="52" t="s">
        <v>121</v>
      </c>
      <c r="O29" s="5"/>
    </row>
    <row r="30" spans="1:17">
      <c r="A30" s="52">
        <v>27</v>
      </c>
      <c r="B30" s="255" t="s">
        <v>143</v>
      </c>
      <c r="C30" s="6"/>
      <c r="D30" s="6"/>
      <c r="E30" s="73">
        <v>54.67</v>
      </c>
      <c r="F30" s="6">
        <v>91.45</v>
      </c>
      <c r="G30" s="74">
        <f t="shared" si="0"/>
        <v>4999.5715</v>
      </c>
      <c r="H30" s="73">
        <v>0</v>
      </c>
      <c r="I30" s="6">
        <v>0</v>
      </c>
      <c r="J30" s="74">
        <f t="shared" si="1"/>
        <v>0</v>
      </c>
      <c r="K30" s="74">
        <f t="shared" si="2"/>
        <v>4999.5715</v>
      </c>
      <c r="L30" s="356">
        <v>0</v>
      </c>
      <c r="M30" s="160">
        <f t="shared" si="3"/>
        <v>30016.107799999998</v>
      </c>
      <c r="N30" s="52" t="s">
        <v>121</v>
      </c>
      <c r="O30" s="5"/>
    </row>
    <row r="31" spans="1:17">
      <c r="A31" s="221">
        <v>28</v>
      </c>
      <c r="B31" s="255" t="s">
        <v>144</v>
      </c>
      <c r="C31" s="6"/>
      <c r="D31" s="6"/>
      <c r="E31" s="73">
        <v>87.47</v>
      </c>
      <c r="F31" s="6">
        <v>91.45</v>
      </c>
      <c r="G31" s="74">
        <f t="shared" si="0"/>
        <v>7999.1315000000004</v>
      </c>
      <c r="H31" s="73">
        <v>0</v>
      </c>
      <c r="I31" s="6">
        <v>0</v>
      </c>
      <c r="J31" s="74">
        <f t="shared" si="1"/>
        <v>0</v>
      </c>
      <c r="K31" s="74">
        <f t="shared" si="2"/>
        <v>7999.1315000000004</v>
      </c>
      <c r="L31" s="356">
        <v>0</v>
      </c>
      <c r="M31" s="160">
        <f t="shared" si="3"/>
        <v>38015.239300000001</v>
      </c>
      <c r="N31" s="52" t="s">
        <v>121</v>
      </c>
      <c r="O31" s="5"/>
    </row>
    <row r="32" spans="1:17">
      <c r="A32" s="52">
        <v>29</v>
      </c>
      <c r="B32" s="255" t="s">
        <v>160</v>
      </c>
      <c r="C32" s="6"/>
      <c r="D32" s="6"/>
      <c r="E32" s="395">
        <v>76.540000000000006</v>
      </c>
      <c r="F32" s="6">
        <v>91.45</v>
      </c>
      <c r="G32" s="74">
        <f t="shared" si="0"/>
        <v>6999.5830000000005</v>
      </c>
      <c r="H32" s="73">
        <v>4.83</v>
      </c>
      <c r="I32" s="6">
        <v>103.39</v>
      </c>
      <c r="J32" s="74">
        <f t="shared" si="1"/>
        <v>499.37369999999999</v>
      </c>
      <c r="K32" s="74">
        <f t="shared" si="2"/>
        <v>7498.9567000000006</v>
      </c>
      <c r="L32" s="356">
        <v>0</v>
      </c>
      <c r="M32" s="160">
        <f t="shared" si="3"/>
        <v>45514.196000000004</v>
      </c>
      <c r="N32" s="52" t="s">
        <v>121</v>
      </c>
      <c r="O32" s="5"/>
    </row>
    <row r="33" spans="1:15">
      <c r="A33" s="52">
        <v>30</v>
      </c>
      <c r="B33" s="255"/>
      <c r="C33" s="6"/>
      <c r="D33" s="6"/>
      <c r="E33" s="73">
        <v>0</v>
      </c>
      <c r="F33" s="6">
        <v>0</v>
      </c>
      <c r="G33" s="74">
        <f t="shared" si="0"/>
        <v>0</v>
      </c>
      <c r="H33" s="73">
        <v>0</v>
      </c>
      <c r="I33" s="6">
        <v>0</v>
      </c>
      <c r="J33" s="74">
        <f t="shared" si="1"/>
        <v>0</v>
      </c>
      <c r="K33" s="74">
        <f t="shared" si="2"/>
        <v>0</v>
      </c>
      <c r="L33" s="356">
        <v>0</v>
      </c>
      <c r="M33" s="160">
        <f t="shared" si="3"/>
        <v>45514.196000000004</v>
      </c>
      <c r="N33" s="52" t="s">
        <v>121</v>
      </c>
      <c r="O33" s="5"/>
    </row>
    <row r="34" spans="1:15">
      <c r="A34" s="221">
        <v>31</v>
      </c>
      <c r="B34" s="255"/>
      <c r="C34" s="6"/>
      <c r="D34" s="6"/>
      <c r="E34" s="73">
        <v>0</v>
      </c>
      <c r="F34" s="6">
        <v>0</v>
      </c>
      <c r="G34" s="74">
        <f t="shared" si="0"/>
        <v>0</v>
      </c>
      <c r="H34" s="73">
        <v>0</v>
      </c>
      <c r="I34" s="6">
        <v>0</v>
      </c>
      <c r="J34" s="74">
        <f t="shared" si="1"/>
        <v>0</v>
      </c>
      <c r="K34" s="74">
        <f t="shared" si="2"/>
        <v>0</v>
      </c>
      <c r="L34" s="356">
        <v>0</v>
      </c>
      <c r="M34" s="160">
        <f t="shared" si="3"/>
        <v>45514.196000000004</v>
      </c>
      <c r="N34" s="52" t="s">
        <v>121</v>
      </c>
      <c r="O34" s="5"/>
    </row>
    <row r="35" spans="1:15">
      <c r="A35" s="52">
        <v>32</v>
      </c>
      <c r="B35" s="255"/>
      <c r="C35" s="6"/>
      <c r="D35" s="6"/>
      <c r="E35" s="73">
        <v>0</v>
      </c>
      <c r="F35" s="6">
        <v>0</v>
      </c>
      <c r="G35" s="74">
        <f t="shared" si="0"/>
        <v>0</v>
      </c>
      <c r="H35" s="73">
        <v>0</v>
      </c>
      <c r="I35" s="6">
        <v>0</v>
      </c>
      <c r="J35" s="74">
        <f t="shared" si="1"/>
        <v>0</v>
      </c>
      <c r="K35" s="74">
        <f t="shared" si="2"/>
        <v>0</v>
      </c>
      <c r="L35" s="356">
        <v>0</v>
      </c>
      <c r="M35" s="160">
        <f t="shared" si="3"/>
        <v>45514.196000000004</v>
      </c>
      <c r="N35" s="52" t="s">
        <v>121</v>
      </c>
      <c r="O35" s="5"/>
    </row>
    <row r="36" spans="1:15">
      <c r="A36" s="52">
        <v>33</v>
      </c>
      <c r="B36" s="255"/>
      <c r="C36" s="6"/>
      <c r="D36" s="6"/>
      <c r="E36" s="73">
        <v>0</v>
      </c>
      <c r="F36" s="6">
        <v>0</v>
      </c>
      <c r="G36" s="74">
        <f t="shared" si="0"/>
        <v>0</v>
      </c>
      <c r="H36" s="73">
        <v>0</v>
      </c>
      <c r="I36" s="6">
        <v>0</v>
      </c>
      <c r="J36" s="74">
        <f t="shared" si="1"/>
        <v>0</v>
      </c>
      <c r="K36" s="74">
        <f t="shared" si="2"/>
        <v>0</v>
      </c>
      <c r="L36" s="356">
        <v>0</v>
      </c>
      <c r="M36" s="160">
        <f t="shared" si="3"/>
        <v>45514.196000000004</v>
      </c>
      <c r="N36" s="52" t="s">
        <v>121</v>
      </c>
      <c r="O36" s="5"/>
    </row>
    <row r="37" spans="1:15">
      <c r="A37" s="221">
        <v>34</v>
      </c>
      <c r="B37" s="255"/>
      <c r="C37" s="6"/>
      <c r="D37" s="6"/>
      <c r="E37" s="73">
        <v>0</v>
      </c>
      <c r="F37" s="6">
        <v>0</v>
      </c>
      <c r="G37" s="74">
        <f t="shared" si="0"/>
        <v>0</v>
      </c>
      <c r="H37" s="73">
        <v>0</v>
      </c>
      <c r="I37" s="6">
        <v>0</v>
      </c>
      <c r="J37" s="74">
        <f t="shared" si="1"/>
        <v>0</v>
      </c>
      <c r="K37" s="74">
        <f t="shared" si="2"/>
        <v>0</v>
      </c>
      <c r="L37" s="356">
        <v>0</v>
      </c>
      <c r="M37" s="160">
        <f t="shared" si="3"/>
        <v>45514.196000000004</v>
      </c>
      <c r="N37" s="52" t="s">
        <v>121</v>
      </c>
      <c r="O37" s="5"/>
    </row>
    <row r="38" spans="1:15">
      <c r="A38" s="52">
        <v>35</v>
      </c>
      <c r="B38" s="255"/>
      <c r="C38" s="6"/>
      <c r="D38" s="6"/>
      <c r="E38" s="73">
        <v>0</v>
      </c>
      <c r="F38" s="6">
        <v>0</v>
      </c>
      <c r="G38" s="74">
        <f t="shared" si="0"/>
        <v>0</v>
      </c>
      <c r="H38" s="73">
        <v>0</v>
      </c>
      <c r="I38" s="6">
        <v>0</v>
      </c>
      <c r="J38" s="74">
        <f t="shared" si="1"/>
        <v>0</v>
      </c>
      <c r="K38" s="74">
        <f t="shared" si="2"/>
        <v>0</v>
      </c>
      <c r="L38" s="356">
        <v>0</v>
      </c>
      <c r="M38" s="160">
        <f t="shared" si="3"/>
        <v>45514.196000000004</v>
      </c>
      <c r="N38" s="6"/>
      <c r="O38" s="5"/>
    </row>
    <row r="39" spans="1:15">
      <c r="A39" s="52">
        <v>36</v>
      </c>
      <c r="B39" s="255"/>
      <c r="C39" s="6"/>
      <c r="D39" s="6"/>
      <c r="E39" s="73">
        <v>0</v>
      </c>
      <c r="F39" s="6">
        <v>0</v>
      </c>
      <c r="G39" s="74">
        <f t="shared" ref="G39:G43" si="4">E39*F39</f>
        <v>0</v>
      </c>
      <c r="H39" s="73">
        <v>0</v>
      </c>
      <c r="I39" s="6">
        <v>0</v>
      </c>
      <c r="J39" s="74">
        <f t="shared" ref="J5:J43" si="5">H39*I39</f>
        <v>0</v>
      </c>
      <c r="K39" s="74">
        <f t="shared" ref="K5:K43" si="6">G39+J39</f>
        <v>0</v>
      </c>
      <c r="L39" s="356">
        <v>0</v>
      </c>
      <c r="M39" s="160">
        <f t="shared" si="3"/>
        <v>45514.196000000004</v>
      </c>
      <c r="N39" s="6"/>
      <c r="O39" s="5"/>
    </row>
    <row r="40" spans="1:15">
      <c r="A40" s="221">
        <v>37</v>
      </c>
      <c r="B40" s="255"/>
      <c r="C40" s="6"/>
      <c r="D40" s="6"/>
      <c r="E40" s="73">
        <v>0</v>
      </c>
      <c r="F40" s="6">
        <v>0</v>
      </c>
      <c r="G40" s="74">
        <f t="shared" si="4"/>
        <v>0</v>
      </c>
      <c r="H40" s="73">
        <v>0</v>
      </c>
      <c r="I40" s="6">
        <v>0</v>
      </c>
      <c r="J40" s="74">
        <f t="shared" si="5"/>
        <v>0</v>
      </c>
      <c r="K40" s="74">
        <f t="shared" si="6"/>
        <v>0</v>
      </c>
      <c r="L40" s="174">
        <f t="shared" ref="L5:L43" si="7">+K40</f>
        <v>0</v>
      </c>
      <c r="M40" s="160">
        <f t="shared" si="3"/>
        <v>45514.196000000004</v>
      </c>
      <c r="N40" s="6"/>
      <c r="O40" s="5"/>
    </row>
    <row r="41" spans="1:15">
      <c r="A41" s="52">
        <v>38</v>
      </c>
      <c r="B41" s="255"/>
      <c r="C41" s="6"/>
      <c r="D41" s="6"/>
      <c r="E41" s="73">
        <v>0</v>
      </c>
      <c r="F41" s="6">
        <v>0</v>
      </c>
      <c r="G41" s="74">
        <f t="shared" si="4"/>
        <v>0</v>
      </c>
      <c r="H41" s="73">
        <v>0</v>
      </c>
      <c r="I41" s="6">
        <v>0</v>
      </c>
      <c r="J41" s="74">
        <f t="shared" si="5"/>
        <v>0</v>
      </c>
      <c r="K41" s="74">
        <f t="shared" si="6"/>
        <v>0</v>
      </c>
      <c r="L41" s="174">
        <f t="shared" si="7"/>
        <v>0</v>
      </c>
      <c r="M41" s="160">
        <f t="shared" si="3"/>
        <v>45514.196000000004</v>
      </c>
      <c r="N41" s="6"/>
      <c r="O41" s="5"/>
    </row>
    <row r="42" spans="1:15">
      <c r="A42" s="52">
        <v>39</v>
      </c>
      <c r="B42" s="255"/>
      <c r="C42" s="6"/>
      <c r="D42" s="6"/>
      <c r="E42" s="73">
        <v>0</v>
      </c>
      <c r="F42" s="6">
        <v>0</v>
      </c>
      <c r="G42" s="74">
        <f t="shared" si="4"/>
        <v>0</v>
      </c>
      <c r="H42" s="73">
        <v>0</v>
      </c>
      <c r="I42" s="6">
        <v>0</v>
      </c>
      <c r="J42" s="74">
        <f t="shared" si="5"/>
        <v>0</v>
      </c>
      <c r="K42" s="74">
        <f t="shared" si="6"/>
        <v>0</v>
      </c>
      <c r="L42" s="174">
        <f t="shared" si="7"/>
        <v>0</v>
      </c>
      <c r="M42" s="160">
        <f t="shared" si="3"/>
        <v>45514.196000000004</v>
      </c>
      <c r="N42" s="6"/>
      <c r="O42" s="5"/>
    </row>
    <row r="43" spans="1:15">
      <c r="A43" s="221">
        <v>40</v>
      </c>
      <c r="B43" s="184"/>
      <c r="C43" s="183"/>
      <c r="D43" s="6"/>
      <c r="E43" s="73">
        <v>0</v>
      </c>
      <c r="F43" s="6">
        <v>0</v>
      </c>
      <c r="G43" s="74">
        <f t="shared" si="4"/>
        <v>0</v>
      </c>
      <c r="H43" s="73">
        <v>0</v>
      </c>
      <c r="I43" s="6">
        <v>0</v>
      </c>
      <c r="J43" s="74">
        <f t="shared" si="5"/>
        <v>0</v>
      </c>
      <c r="K43" s="74">
        <f t="shared" si="6"/>
        <v>0</v>
      </c>
      <c r="L43" s="174">
        <f t="shared" si="7"/>
        <v>0</v>
      </c>
      <c r="M43" s="160">
        <f t="shared" si="3"/>
        <v>45514.196000000004</v>
      </c>
      <c r="N43" s="183"/>
      <c r="O43" s="5"/>
    </row>
    <row r="44" spans="1:15">
      <c r="A44" s="52">
        <v>41</v>
      </c>
      <c r="B44" s="6"/>
      <c r="C44" s="6"/>
      <c r="D44" s="6"/>
      <c r="E44" s="73">
        <v>0</v>
      </c>
      <c r="F44" s="6">
        <v>0</v>
      </c>
      <c r="G44" s="74">
        <f t="shared" ref="G31:G46" si="8">E44*F44</f>
        <v>0</v>
      </c>
      <c r="H44" s="73"/>
      <c r="I44" s="6"/>
      <c r="J44" s="74">
        <f t="shared" ref="J31:J46" si="9">H44*I44</f>
        <v>0</v>
      </c>
      <c r="K44" s="74">
        <f t="shared" ref="K31:K46" si="10">G44+J44</f>
        <v>0</v>
      </c>
      <c r="L44" s="174">
        <f t="shared" ref="L31:L46" si="11">+K44</f>
        <v>0</v>
      </c>
      <c r="M44" s="160">
        <f t="shared" si="3"/>
        <v>45514.196000000004</v>
      </c>
      <c r="N44" s="6"/>
      <c r="O44" s="5"/>
    </row>
    <row r="45" spans="1:15">
      <c r="A45" s="52">
        <v>42</v>
      </c>
      <c r="B45" s="183"/>
      <c r="C45" s="183"/>
      <c r="D45" s="6"/>
      <c r="E45" s="73">
        <v>0</v>
      </c>
      <c r="F45" s="6">
        <v>0</v>
      </c>
      <c r="G45" s="74">
        <f t="shared" si="8"/>
        <v>0</v>
      </c>
      <c r="H45" s="73"/>
      <c r="I45" s="6"/>
      <c r="J45" s="74">
        <f t="shared" si="9"/>
        <v>0</v>
      </c>
      <c r="K45" s="185">
        <f t="shared" si="10"/>
        <v>0</v>
      </c>
      <c r="L45" s="174">
        <f t="shared" si="11"/>
        <v>0</v>
      </c>
      <c r="M45" s="160">
        <f t="shared" si="3"/>
        <v>45514.196000000004</v>
      </c>
      <c r="N45" s="183"/>
      <c r="O45" s="5"/>
    </row>
    <row r="46" spans="1:15">
      <c r="A46" s="52"/>
      <c r="B46" s="183"/>
      <c r="C46" s="183"/>
      <c r="D46" s="6"/>
      <c r="E46" s="73">
        <v>0</v>
      </c>
      <c r="F46" s="6">
        <v>0</v>
      </c>
      <c r="G46" s="74">
        <f t="shared" si="8"/>
        <v>0</v>
      </c>
      <c r="H46" s="73"/>
      <c r="I46" s="6"/>
      <c r="J46" s="74">
        <f t="shared" si="9"/>
        <v>0</v>
      </c>
      <c r="K46" s="185">
        <f t="shared" si="10"/>
        <v>0</v>
      </c>
      <c r="L46" s="186">
        <f t="shared" si="11"/>
        <v>0</v>
      </c>
      <c r="M46" s="160">
        <f t="shared" si="3"/>
        <v>45514.196000000004</v>
      </c>
      <c r="N46" s="183"/>
      <c r="O46" s="5"/>
    </row>
    <row r="47" spans="1:15">
      <c r="A47" s="70"/>
      <c r="B47" s="70"/>
      <c r="C47" s="70"/>
      <c r="D47" s="70"/>
      <c r="E47" s="71">
        <f>SUM(E4:E46)</f>
        <v>1810.92</v>
      </c>
      <c r="F47" s="71"/>
      <c r="G47" s="71">
        <f>SUM(G4:G46)</f>
        <v>165608.63400000002</v>
      </c>
      <c r="H47" s="71">
        <f>SUM(H4:H46)</f>
        <v>53.129999999999995</v>
      </c>
      <c r="I47" s="71"/>
      <c r="J47" s="71">
        <f>SUM(J4:J46)</f>
        <v>5493.1107000000002</v>
      </c>
      <c r="K47" s="71">
        <f>SUM(K4:K46)</f>
        <v>171101.74469999998</v>
      </c>
      <c r="L47" s="71">
        <f>SUM(L4:L46)</f>
        <v>134608.34</v>
      </c>
      <c r="M47" s="71"/>
      <c r="N47" s="71"/>
      <c r="O47" s="67"/>
    </row>
    <row r="48" spans="1:15">
      <c r="A48" s="5"/>
      <c r="B48" s="5"/>
      <c r="C48" s="5"/>
      <c r="D48" s="5"/>
      <c r="E48" s="5"/>
      <c r="F48" s="5"/>
      <c r="G48" s="111"/>
      <c r="H48" s="5"/>
      <c r="I48" s="5"/>
      <c r="J48" s="111"/>
      <c r="K48" s="5"/>
      <c r="L48" s="111"/>
      <c r="M48" s="111"/>
      <c r="N48" s="5"/>
      <c r="O48" s="5"/>
    </row>
    <row r="49" spans="1:15">
      <c r="A49" s="5"/>
      <c r="B49" s="5"/>
      <c r="C49" s="5"/>
      <c r="D49" s="5"/>
      <c r="E49" s="5"/>
      <c r="F49" s="5"/>
      <c r="G49" s="111"/>
      <c r="H49" s="5"/>
      <c r="I49" s="5"/>
      <c r="J49" s="111"/>
      <c r="K49" s="5"/>
      <c r="L49" s="111"/>
      <c r="M49" s="111"/>
      <c r="N49" s="5"/>
      <c r="O49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R37"/>
  <sheetViews>
    <sheetView workbookViewId="0">
      <selection activeCell="Q30" sqref="Q30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18" ht="15.75" customHeight="1">
      <c r="A1" s="435" t="s">
        <v>48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</row>
    <row r="2" spans="1:18">
      <c r="A2" s="134" t="s">
        <v>94</v>
      </c>
      <c r="B2" s="134" t="s">
        <v>95</v>
      </c>
      <c r="C2" s="134" t="s">
        <v>96</v>
      </c>
      <c r="D2" s="134" t="s">
        <v>97</v>
      </c>
      <c r="E2" s="189" t="s">
        <v>98</v>
      </c>
      <c r="F2" s="189" t="s">
        <v>99</v>
      </c>
      <c r="G2" s="189" t="s">
        <v>100</v>
      </c>
      <c r="H2" s="189" t="s">
        <v>101</v>
      </c>
      <c r="I2" s="189" t="s">
        <v>99</v>
      </c>
      <c r="J2" s="189" t="s">
        <v>100</v>
      </c>
      <c r="K2" s="189" t="s">
        <v>102</v>
      </c>
      <c r="L2" s="134" t="s">
        <v>161</v>
      </c>
      <c r="M2" s="137" t="s">
        <v>103</v>
      </c>
      <c r="N2" s="134" t="s">
        <v>105</v>
      </c>
    </row>
    <row r="3" spans="1:18">
      <c r="A3" s="19"/>
      <c r="B3" s="19"/>
      <c r="C3" s="19"/>
      <c r="D3" s="19" t="s">
        <v>106</v>
      </c>
      <c r="E3" s="19"/>
      <c r="F3" s="19"/>
      <c r="G3" s="19"/>
      <c r="H3" s="19"/>
      <c r="I3" s="19"/>
      <c r="J3" s="19"/>
      <c r="K3" s="19">
        <v>0</v>
      </c>
      <c r="L3" s="19"/>
      <c r="M3" s="19">
        <f>+K3</f>
        <v>0</v>
      </c>
      <c r="N3" s="19"/>
    </row>
    <row r="4" spans="1:18">
      <c r="A4" s="28">
        <v>1</v>
      </c>
      <c r="B4" s="29">
        <v>45870</v>
      </c>
      <c r="C4" s="147"/>
      <c r="D4" s="147"/>
      <c r="E4" s="102">
        <v>0</v>
      </c>
      <c r="F4" s="102">
        <v>0</v>
      </c>
      <c r="G4" s="194">
        <f>F4*E4</f>
        <v>0</v>
      </c>
      <c r="H4" s="102">
        <v>0</v>
      </c>
      <c r="I4" s="102">
        <v>0</v>
      </c>
      <c r="J4" s="194">
        <f t="shared" ref="J4" si="0">H4*I4</f>
        <v>0</v>
      </c>
      <c r="K4" s="194">
        <f>G4+J4</f>
        <v>0</v>
      </c>
      <c r="L4" s="194">
        <f>+K4</f>
        <v>0</v>
      </c>
      <c r="M4" s="194">
        <f>+L4</f>
        <v>0</v>
      </c>
      <c r="N4" s="147"/>
    </row>
    <row r="5" spans="1:18">
      <c r="A5" s="28">
        <v>2</v>
      </c>
      <c r="B5" s="29">
        <v>45871</v>
      </c>
      <c r="C5" s="19"/>
      <c r="D5" s="147"/>
      <c r="E5" s="102">
        <v>0</v>
      </c>
      <c r="F5" s="102">
        <v>0</v>
      </c>
      <c r="G5" s="194">
        <f t="shared" ref="G5:G33" si="1">F5*E5</f>
        <v>0</v>
      </c>
      <c r="H5" s="102">
        <v>0</v>
      </c>
      <c r="I5" s="102">
        <v>0</v>
      </c>
      <c r="J5" s="194">
        <f t="shared" ref="J5:J33" si="2">H5*I5</f>
        <v>0</v>
      </c>
      <c r="K5" s="194">
        <f t="shared" ref="K5:K33" si="3">G5+J5</f>
        <v>0</v>
      </c>
      <c r="L5" s="194">
        <f t="shared" ref="L5:M33" si="4">+K5</f>
        <v>0</v>
      </c>
      <c r="M5" s="194">
        <f t="shared" ref="M5:M33" si="5">+L5</f>
        <v>0</v>
      </c>
      <c r="N5" s="19"/>
    </row>
    <row r="6" spans="1:18">
      <c r="A6" s="28">
        <v>3</v>
      </c>
      <c r="B6" s="29">
        <v>45872</v>
      </c>
      <c r="C6" s="19"/>
      <c r="D6" s="147"/>
      <c r="E6" s="102">
        <v>0</v>
      </c>
      <c r="F6" s="102">
        <v>0</v>
      </c>
      <c r="G6" s="194">
        <f t="shared" si="1"/>
        <v>0</v>
      </c>
      <c r="H6" s="102">
        <v>3.3</v>
      </c>
      <c r="I6" s="102">
        <v>102.77</v>
      </c>
      <c r="J6" s="194">
        <f t="shared" si="2"/>
        <v>339.14099999999996</v>
      </c>
      <c r="K6" s="194">
        <f t="shared" si="3"/>
        <v>339.14099999999996</v>
      </c>
      <c r="L6" s="194">
        <f t="shared" si="4"/>
        <v>339.14099999999996</v>
      </c>
      <c r="M6" s="194">
        <f t="shared" si="4"/>
        <v>339.14099999999996</v>
      </c>
      <c r="N6" s="19"/>
    </row>
    <row r="7" spans="1:18">
      <c r="A7" s="28">
        <v>4</v>
      </c>
      <c r="B7" s="29">
        <v>45873</v>
      </c>
      <c r="C7" s="19"/>
      <c r="D7" s="147"/>
      <c r="E7" s="102">
        <v>25</v>
      </c>
      <c r="F7" s="102">
        <v>90.88</v>
      </c>
      <c r="G7" s="194">
        <f t="shared" si="1"/>
        <v>2272</v>
      </c>
      <c r="H7" s="102">
        <v>0</v>
      </c>
      <c r="I7" s="102">
        <v>0</v>
      </c>
      <c r="J7" s="194">
        <f t="shared" si="2"/>
        <v>0</v>
      </c>
      <c r="K7" s="194">
        <f t="shared" si="3"/>
        <v>2272</v>
      </c>
      <c r="L7" s="194">
        <f t="shared" si="4"/>
        <v>2272</v>
      </c>
      <c r="M7" s="194">
        <f t="shared" si="5"/>
        <v>2272</v>
      </c>
      <c r="N7" s="19"/>
    </row>
    <row r="8" spans="1:18">
      <c r="A8" s="28">
        <v>5</v>
      </c>
      <c r="B8" s="29">
        <v>45874</v>
      </c>
      <c r="C8" s="19"/>
      <c r="D8" s="147"/>
      <c r="E8" s="102">
        <v>0</v>
      </c>
      <c r="F8" s="102">
        <v>0</v>
      </c>
      <c r="G8" s="194">
        <f t="shared" si="1"/>
        <v>0</v>
      </c>
      <c r="H8" s="102">
        <v>0</v>
      </c>
      <c r="I8" s="102">
        <v>0</v>
      </c>
      <c r="J8" s="194">
        <f t="shared" si="2"/>
        <v>0</v>
      </c>
      <c r="K8" s="194">
        <f t="shared" si="3"/>
        <v>0</v>
      </c>
      <c r="L8" s="194">
        <f t="shared" si="4"/>
        <v>0</v>
      </c>
      <c r="M8" s="194">
        <f t="shared" si="5"/>
        <v>0</v>
      </c>
      <c r="N8" s="19"/>
    </row>
    <row r="9" spans="1:18">
      <c r="A9" s="28">
        <v>6</v>
      </c>
      <c r="B9" s="29">
        <v>45875</v>
      </c>
      <c r="C9" s="19"/>
      <c r="D9" s="147"/>
      <c r="E9" s="102">
        <v>0</v>
      </c>
      <c r="F9" s="102">
        <v>0</v>
      </c>
      <c r="G9" s="194">
        <f t="shared" si="1"/>
        <v>0</v>
      </c>
      <c r="H9" s="102">
        <v>0</v>
      </c>
      <c r="I9" s="102">
        <v>0</v>
      </c>
      <c r="J9" s="194">
        <f t="shared" si="2"/>
        <v>0</v>
      </c>
      <c r="K9" s="194">
        <f t="shared" si="3"/>
        <v>0</v>
      </c>
      <c r="L9" s="194">
        <f t="shared" si="4"/>
        <v>0</v>
      </c>
      <c r="M9" s="194">
        <f t="shared" si="5"/>
        <v>0</v>
      </c>
      <c r="N9" s="19"/>
    </row>
    <row r="10" spans="1:18">
      <c r="A10" s="28">
        <v>7</v>
      </c>
      <c r="B10" s="29">
        <v>45876</v>
      </c>
      <c r="C10" s="19"/>
      <c r="D10" s="147"/>
      <c r="E10" s="102">
        <v>0</v>
      </c>
      <c r="F10" s="102">
        <v>0</v>
      </c>
      <c r="G10" s="194">
        <f t="shared" si="1"/>
        <v>0</v>
      </c>
      <c r="H10" s="102">
        <v>0</v>
      </c>
      <c r="I10" s="102">
        <v>0</v>
      </c>
      <c r="J10" s="194">
        <f t="shared" si="2"/>
        <v>0</v>
      </c>
      <c r="K10" s="194">
        <f t="shared" si="3"/>
        <v>0</v>
      </c>
      <c r="L10" s="194">
        <f t="shared" si="4"/>
        <v>0</v>
      </c>
      <c r="M10" s="194">
        <f t="shared" si="5"/>
        <v>0</v>
      </c>
      <c r="N10" s="19"/>
      <c r="R10">
        <v>4.8600000000000003</v>
      </c>
    </row>
    <row r="11" spans="1:18">
      <c r="A11" s="28">
        <v>8</v>
      </c>
      <c r="B11" s="29">
        <v>45877</v>
      </c>
      <c r="C11" s="19"/>
      <c r="D11" s="147"/>
      <c r="E11" s="102">
        <v>0</v>
      </c>
      <c r="F11" s="102">
        <v>0</v>
      </c>
      <c r="G11" s="194">
        <f t="shared" si="1"/>
        <v>0</v>
      </c>
      <c r="H11" s="102">
        <v>9.7200000000000006</v>
      </c>
      <c r="I11" s="102">
        <v>102.77</v>
      </c>
      <c r="J11" s="194">
        <f t="shared" si="2"/>
        <v>998.92439999999999</v>
      </c>
      <c r="K11" s="194">
        <f t="shared" si="3"/>
        <v>998.92439999999999</v>
      </c>
      <c r="L11" s="194">
        <f t="shared" si="4"/>
        <v>998.92439999999999</v>
      </c>
      <c r="M11" s="194">
        <f t="shared" si="5"/>
        <v>998.92439999999999</v>
      </c>
      <c r="N11" s="19"/>
      <c r="R11">
        <v>4.8600000000000003</v>
      </c>
    </row>
    <row r="12" spans="1:18">
      <c r="A12" s="28">
        <v>9</v>
      </c>
      <c r="B12" s="29">
        <v>45878</v>
      </c>
      <c r="C12" s="19"/>
      <c r="D12" s="147"/>
      <c r="E12" s="102">
        <v>0</v>
      </c>
      <c r="F12" s="102">
        <v>0</v>
      </c>
      <c r="G12" s="194">
        <f t="shared" si="1"/>
        <v>0</v>
      </c>
      <c r="H12" s="102">
        <v>0</v>
      </c>
      <c r="I12" s="102">
        <v>0</v>
      </c>
      <c r="J12" s="194">
        <f t="shared" si="2"/>
        <v>0</v>
      </c>
      <c r="K12" s="194">
        <f t="shared" si="3"/>
        <v>0</v>
      </c>
      <c r="L12" s="194">
        <f t="shared" si="4"/>
        <v>0</v>
      </c>
      <c r="M12" s="194">
        <f t="shared" si="5"/>
        <v>0</v>
      </c>
      <c r="N12" s="19"/>
      <c r="P12">
        <f>4999.17+50339.51</f>
        <v>55338.68</v>
      </c>
    </row>
    <row r="13" spans="1:18">
      <c r="A13" s="28">
        <v>10</v>
      </c>
      <c r="B13" s="29">
        <v>45879</v>
      </c>
      <c r="C13" s="19"/>
      <c r="D13" s="147"/>
      <c r="E13" s="102">
        <v>0</v>
      </c>
      <c r="F13" s="102">
        <v>0</v>
      </c>
      <c r="G13" s="194">
        <f t="shared" si="1"/>
        <v>0</v>
      </c>
      <c r="H13" s="102">
        <v>0</v>
      </c>
      <c r="I13" s="102">
        <v>0</v>
      </c>
      <c r="J13" s="194">
        <f t="shared" si="2"/>
        <v>0</v>
      </c>
      <c r="K13" s="194">
        <f t="shared" si="3"/>
        <v>0</v>
      </c>
      <c r="L13" s="194">
        <f t="shared" si="4"/>
        <v>0</v>
      </c>
      <c r="M13" s="194">
        <f t="shared" si="5"/>
        <v>0</v>
      </c>
      <c r="N13" s="19"/>
    </row>
    <row r="14" spans="1:18">
      <c r="A14" s="28">
        <v>11</v>
      </c>
      <c r="B14" s="29">
        <v>45880</v>
      </c>
      <c r="C14" s="19"/>
      <c r="D14" s="147"/>
      <c r="E14" s="102">
        <v>0</v>
      </c>
      <c r="F14" s="102">
        <v>0</v>
      </c>
      <c r="G14" s="194">
        <f t="shared" si="1"/>
        <v>0</v>
      </c>
      <c r="H14" s="102">
        <v>0</v>
      </c>
      <c r="I14" s="102">
        <v>0</v>
      </c>
      <c r="J14" s="194">
        <f t="shared" si="2"/>
        <v>0</v>
      </c>
      <c r="K14" s="194">
        <f t="shared" si="3"/>
        <v>0</v>
      </c>
      <c r="L14" s="194">
        <f t="shared" si="4"/>
        <v>0</v>
      </c>
      <c r="M14" s="194">
        <f t="shared" si="5"/>
        <v>0</v>
      </c>
      <c r="N14" s="19"/>
    </row>
    <row r="15" spans="1:18">
      <c r="A15" s="28">
        <v>12</v>
      </c>
      <c r="B15" s="29">
        <v>45881</v>
      </c>
      <c r="C15" s="19"/>
      <c r="D15" s="147"/>
      <c r="E15" s="102">
        <v>0</v>
      </c>
      <c r="F15" s="102">
        <v>0</v>
      </c>
      <c r="G15" s="194">
        <f t="shared" si="1"/>
        <v>0</v>
      </c>
      <c r="H15" s="102">
        <v>0</v>
      </c>
      <c r="I15" s="102">
        <v>0</v>
      </c>
      <c r="J15" s="194">
        <f t="shared" si="2"/>
        <v>0</v>
      </c>
      <c r="K15" s="194">
        <f t="shared" si="3"/>
        <v>0</v>
      </c>
      <c r="L15" s="194">
        <f t="shared" si="4"/>
        <v>0</v>
      </c>
      <c r="M15" s="194">
        <f t="shared" si="5"/>
        <v>0</v>
      </c>
      <c r="N15" s="19"/>
    </row>
    <row r="16" spans="1:18">
      <c r="A16" s="28">
        <v>13</v>
      </c>
      <c r="B16" s="29">
        <v>45882</v>
      </c>
      <c r="C16" s="19"/>
      <c r="D16" s="147"/>
      <c r="E16" s="102">
        <v>0</v>
      </c>
      <c r="F16" s="102">
        <v>0</v>
      </c>
      <c r="G16" s="194">
        <f t="shared" si="1"/>
        <v>0</v>
      </c>
      <c r="H16" s="102">
        <v>0</v>
      </c>
      <c r="I16" s="102">
        <v>0</v>
      </c>
      <c r="J16" s="194">
        <f t="shared" si="2"/>
        <v>0</v>
      </c>
      <c r="K16" s="194">
        <f t="shared" si="3"/>
        <v>0</v>
      </c>
      <c r="L16" s="194">
        <f t="shared" si="4"/>
        <v>0</v>
      </c>
      <c r="M16" s="194">
        <f t="shared" si="5"/>
        <v>0</v>
      </c>
      <c r="N16" s="19"/>
    </row>
    <row r="17" spans="1:14">
      <c r="A17" s="28">
        <v>14</v>
      </c>
      <c r="B17" s="29">
        <v>45883</v>
      </c>
      <c r="C17" s="19"/>
      <c r="D17" s="147"/>
      <c r="E17" s="102">
        <v>35</v>
      </c>
      <c r="F17" s="102">
        <v>90.88</v>
      </c>
      <c r="G17" s="194">
        <f t="shared" si="1"/>
        <v>3180.7999999999997</v>
      </c>
      <c r="H17" s="102">
        <v>0</v>
      </c>
      <c r="I17" s="102">
        <v>0</v>
      </c>
      <c r="J17" s="194">
        <f t="shared" si="2"/>
        <v>0</v>
      </c>
      <c r="K17" s="194">
        <f t="shared" si="3"/>
        <v>3180.7999999999997</v>
      </c>
      <c r="L17" s="194">
        <f t="shared" si="4"/>
        <v>3180.7999999999997</v>
      </c>
      <c r="M17" s="194">
        <f t="shared" si="5"/>
        <v>3180.7999999999997</v>
      </c>
      <c r="N17" s="19"/>
    </row>
    <row r="18" spans="1:14">
      <c r="A18" s="28">
        <v>15</v>
      </c>
      <c r="B18" s="29">
        <v>45884</v>
      </c>
      <c r="C18" s="19"/>
      <c r="D18" s="147"/>
      <c r="E18" s="102">
        <v>0</v>
      </c>
      <c r="F18" s="102">
        <v>0</v>
      </c>
      <c r="G18" s="194">
        <f t="shared" si="1"/>
        <v>0</v>
      </c>
      <c r="H18" s="102">
        <v>0</v>
      </c>
      <c r="I18" s="102">
        <v>0</v>
      </c>
      <c r="J18" s="194">
        <f t="shared" si="2"/>
        <v>0</v>
      </c>
      <c r="K18" s="194">
        <f t="shared" si="3"/>
        <v>0</v>
      </c>
      <c r="L18" s="194">
        <f t="shared" si="4"/>
        <v>0</v>
      </c>
      <c r="M18" s="194">
        <f t="shared" si="5"/>
        <v>0</v>
      </c>
      <c r="N18" s="19"/>
    </row>
    <row r="19" spans="1:14">
      <c r="A19" s="28">
        <v>16</v>
      </c>
      <c r="B19" s="29">
        <v>45885</v>
      </c>
      <c r="C19" s="19"/>
      <c r="D19" s="147"/>
      <c r="E19" s="102">
        <v>0</v>
      </c>
      <c r="F19" s="102">
        <v>0</v>
      </c>
      <c r="G19" s="194">
        <f t="shared" si="1"/>
        <v>0</v>
      </c>
      <c r="H19" s="102">
        <v>0</v>
      </c>
      <c r="I19" s="102">
        <v>0</v>
      </c>
      <c r="J19" s="194">
        <f t="shared" si="2"/>
        <v>0</v>
      </c>
      <c r="K19" s="194">
        <f t="shared" si="3"/>
        <v>0</v>
      </c>
      <c r="L19" s="194">
        <f t="shared" si="4"/>
        <v>0</v>
      </c>
      <c r="M19" s="194">
        <f t="shared" si="5"/>
        <v>0</v>
      </c>
      <c r="N19" s="19"/>
    </row>
    <row r="20" spans="1:14">
      <c r="A20" s="28">
        <v>17</v>
      </c>
      <c r="B20" s="29">
        <v>45886</v>
      </c>
      <c r="C20" s="19"/>
      <c r="D20" s="147"/>
      <c r="E20" s="102">
        <v>0</v>
      </c>
      <c r="F20" s="102">
        <v>0</v>
      </c>
      <c r="G20" s="194">
        <f t="shared" si="1"/>
        <v>0</v>
      </c>
      <c r="H20" s="102">
        <v>0</v>
      </c>
      <c r="I20" s="102">
        <v>0</v>
      </c>
      <c r="J20" s="194">
        <f t="shared" si="2"/>
        <v>0</v>
      </c>
      <c r="K20" s="194">
        <f t="shared" si="3"/>
        <v>0</v>
      </c>
      <c r="L20" s="194">
        <f t="shared" si="4"/>
        <v>0</v>
      </c>
      <c r="M20" s="194">
        <f t="shared" si="5"/>
        <v>0</v>
      </c>
      <c r="N20" s="19"/>
    </row>
    <row r="21" spans="1:14">
      <c r="A21" s="28">
        <v>18</v>
      </c>
      <c r="B21" s="29">
        <v>45887</v>
      </c>
      <c r="C21" s="19"/>
      <c r="D21" s="147"/>
      <c r="E21" s="102">
        <v>0</v>
      </c>
      <c r="F21" s="102">
        <v>0</v>
      </c>
      <c r="G21" s="194">
        <f t="shared" si="1"/>
        <v>0</v>
      </c>
      <c r="H21" s="102">
        <v>0</v>
      </c>
      <c r="I21" s="102">
        <v>0</v>
      </c>
      <c r="J21" s="194">
        <f t="shared" si="2"/>
        <v>0</v>
      </c>
      <c r="K21" s="194">
        <f t="shared" si="3"/>
        <v>0</v>
      </c>
      <c r="L21" s="194">
        <f t="shared" si="4"/>
        <v>0</v>
      </c>
      <c r="M21" s="194">
        <f t="shared" si="5"/>
        <v>0</v>
      </c>
      <c r="N21" s="19"/>
    </row>
    <row r="22" spans="1:14">
      <c r="A22" s="28">
        <v>19</v>
      </c>
      <c r="B22" s="29">
        <v>45888</v>
      </c>
      <c r="C22" s="19"/>
      <c r="D22" s="147"/>
      <c r="E22" s="102">
        <v>0</v>
      </c>
      <c r="F22" s="102">
        <v>0</v>
      </c>
      <c r="G22" s="194">
        <f t="shared" si="1"/>
        <v>0</v>
      </c>
      <c r="H22" s="102">
        <v>4.8600000000000003</v>
      </c>
      <c r="I22" s="102">
        <v>102.77</v>
      </c>
      <c r="J22" s="194">
        <f t="shared" si="2"/>
        <v>499.4622</v>
      </c>
      <c r="K22" s="194">
        <f t="shared" si="3"/>
        <v>499.4622</v>
      </c>
      <c r="L22" s="194">
        <f t="shared" si="4"/>
        <v>499.4622</v>
      </c>
      <c r="M22" s="194">
        <f t="shared" si="5"/>
        <v>499.4622</v>
      </c>
      <c r="N22" s="19"/>
    </row>
    <row r="23" spans="1:14">
      <c r="A23" s="28">
        <v>20</v>
      </c>
      <c r="B23" s="29">
        <v>45889</v>
      </c>
      <c r="C23" s="19"/>
      <c r="D23" s="147"/>
      <c r="E23" s="102">
        <v>0</v>
      </c>
      <c r="F23" s="102">
        <v>0</v>
      </c>
      <c r="G23" s="194">
        <f t="shared" si="1"/>
        <v>0</v>
      </c>
      <c r="H23" s="102">
        <v>0</v>
      </c>
      <c r="I23" s="102">
        <v>0</v>
      </c>
      <c r="J23" s="194">
        <f t="shared" si="2"/>
        <v>0</v>
      </c>
      <c r="K23" s="194">
        <f t="shared" si="3"/>
        <v>0</v>
      </c>
      <c r="L23" s="194">
        <f t="shared" si="4"/>
        <v>0</v>
      </c>
      <c r="M23" s="194">
        <f t="shared" si="5"/>
        <v>0</v>
      </c>
      <c r="N23" s="19">
        <v>0</v>
      </c>
    </row>
    <row r="24" spans="1:14">
      <c r="A24" s="28">
        <v>21</v>
      </c>
      <c r="B24" s="29">
        <v>45890</v>
      </c>
      <c r="C24" s="19"/>
      <c r="D24" s="147"/>
      <c r="E24" s="102">
        <v>0</v>
      </c>
      <c r="F24" s="102">
        <v>0</v>
      </c>
      <c r="G24" s="194">
        <f t="shared" si="1"/>
        <v>0</v>
      </c>
      <c r="H24" s="102">
        <v>0</v>
      </c>
      <c r="I24" s="102">
        <v>0</v>
      </c>
      <c r="J24" s="194">
        <f t="shared" si="2"/>
        <v>0</v>
      </c>
      <c r="K24" s="194">
        <f t="shared" si="3"/>
        <v>0</v>
      </c>
      <c r="L24" s="194">
        <f t="shared" si="4"/>
        <v>0</v>
      </c>
      <c r="M24" s="194">
        <f t="shared" si="5"/>
        <v>0</v>
      </c>
      <c r="N24" s="19"/>
    </row>
    <row r="25" spans="1:14">
      <c r="A25" s="28">
        <v>22</v>
      </c>
      <c r="B25" s="29">
        <v>45891</v>
      </c>
      <c r="C25" s="19"/>
      <c r="D25" s="147"/>
      <c r="E25" s="102">
        <v>0</v>
      </c>
      <c r="F25" s="102">
        <v>0</v>
      </c>
      <c r="G25" s="194">
        <f t="shared" si="1"/>
        <v>0</v>
      </c>
      <c r="H25" s="102">
        <v>0</v>
      </c>
      <c r="I25" s="102">
        <v>0</v>
      </c>
      <c r="J25" s="194">
        <f t="shared" si="2"/>
        <v>0</v>
      </c>
      <c r="K25" s="194">
        <f t="shared" si="3"/>
        <v>0</v>
      </c>
      <c r="L25" s="194">
        <f t="shared" si="4"/>
        <v>0</v>
      </c>
      <c r="M25" s="194">
        <f t="shared" si="5"/>
        <v>0</v>
      </c>
      <c r="N25" s="19"/>
    </row>
    <row r="26" spans="1:14">
      <c r="A26" s="28">
        <v>23</v>
      </c>
      <c r="B26" s="29">
        <v>45892</v>
      </c>
      <c r="C26" s="19"/>
      <c r="D26" s="147"/>
      <c r="E26" s="102">
        <v>0</v>
      </c>
      <c r="F26" s="102">
        <v>0</v>
      </c>
      <c r="G26" s="194">
        <f t="shared" si="1"/>
        <v>0</v>
      </c>
      <c r="H26" s="102">
        <v>0</v>
      </c>
      <c r="I26" s="102">
        <v>0</v>
      </c>
      <c r="J26" s="194">
        <f t="shared" si="2"/>
        <v>0</v>
      </c>
      <c r="K26" s="194">
        <f t="shared" si="3"/>
        <v>0</v>
      </c>
      <c r="L26" s="194">
        <f t="shared" si="4"/>
        <v>0</v>
      </c>
      <c r="M26" s="194">
        <f t="shared" si="5"/>
        <v>0</v>
      </c>
      <c r="N26" s="19"/>
    </row>
    <row r="27" spans="1:14">
      <c r="A27" s="28">
        <v>24</v>
      </c>
      <c r="B27" s="29">
        <v>45893</v>
      </c>
      <c r="C27" s="19"/>
      <c r="D27" s="147"/>
      <c r="E27" s="102">
        <v>0</v>
      </c>
      <c r="F27" s="102">
        <v>0</v>
      </c>
      <c r="G27" s="194">
        <f t="shared" si="1"/>
        <v>0</v>
      </c>
      <c r="H27" s="102">
        <v>0</v>
      </c>
      <c r="I27" s="102">
        <v>0</v>
      </c>
      <c r="J27" s="194">
        <f t="shared" si="2"/>
        <v>0</v>
      </c>
      <c r="K27" s="194">
        <f t="shared" si="3"/>
        <v>0</v>
      </c>
      <c r="L27" s="194">
        <f t="shared" si="4"/>
        <v>0</v>
      </c>
      <c r="M27" s="194">
        <f t="shared" si="5"/>
        <v>0</v>
      </c>
      <c r="N27" s="19"/>
    </row>
    <row r="28" spans="1:14">
      <c r="A28" s="28">
        <v>25</v>
      </c>
      <c r="B28" s="29">
        <v>45894</v>
      </c>
      <c r="C28" s="19"/>
      <c r="D28" s="147"/>
      <c r="E28" s="102">
        <v>0</v>
      </c>
      <c r="F28" s="102">
        <v>0</v>
      </c>
      <c r="G28" s="194">
        <f t="shared" si="1"/>
        <v>0</v>
      </c>
      <c r="H28" s="102">
        <v>6.03</v>
      </c>
      <c r="I28" s="102">
        <v>102.77</v>
      </c>
      <c r="J28" s="194">
        <f t="shared" si="2"/>
        <v>619.70309999999995</v>
      </c>
      <c r="K28" s="194">
        <f t="shared" si="3"/>
        <v>619.70309999999995</v>
      </c>
      <c r="L28" s="194">
        <f t="shared" si="4"/>
        <v>619.70309999999995</v>
      </c>
      <c r="M28" s="194">
        <f t="shared" si="5"/>
        <v>619.70309999999995</v>
      </c>
      <c r="N28" s="19"/>
    </row>
    <row r="29" spans="1:14">
      <c r="A29" s="28">
        <v>26</v>
      </c>
      <c r="B29" s="29">
        <v>45895</v>
      </c>
      <c r="C29" s="19"/>
      <c r="D29" s="147"/>
      <c r="E29" s="102">
        <v>0</v>
      </c>
      <c r="F29" s="102">
        <v>0</v>
      </c>
      <c r="G29" s="194">
        <f t="shared" si="1"/>
        <v>0</v>
      </c>
      <c r="H29" s="102">
        <v>0</v>
      </c>
      <c r="I29" s="102">
        <v>0</v>
      </c>
      <c r="J29" s="194">
        <f t="shared" si="2"/>
        <v>0</v>
      </c>
      <c r="K29" s="194">
        <f t="shared" si="3"/>
        <v>0</v>
      </c>
      <c r="L29" s="194">
        <f t="shared" si="4"/>
        <v>0</v>
      </c>
      <c r="M29" s="194">
        <f t="shared" si="5"/>
        <v>0</v>
      </c>
      <c r="N29" s="19"/>
    </row>
    <row r="30" spans="1:14">
      <c r="A30" s="28">
        <v>27</v>
      </c>
      <c r="B30" s="29">
        <v>45896</v>
      </c>
      <c r="C30" s="19"/>
      <c r="D30" s="147"/>
      <c r="E30" s="102">
        <v>0</v>
      </c>
      <c r="F30" s="102">
        <v>0</v>
      </c>
      <c r="G30" s="194">
        <f t="shared" si="1"/>
        <v>0</v>
      </c>
      <c r="H30" s="102">
        <v>0</v>
      </c>
      <c r="I30" s="102">
        <v>0</v>
      </c>
      <c r="J30" s="194">
        <f t="shared" si="2"/>
        <v>0</v>
      </c>
      <c r="K30" s="194">
        <f t="shared" si="3"/>
        <v>0</v>
      </c>
      <c r="L30" s="194">
        <f t="shared" si="4"/>
        <v>0</v>
      </c>
      <c r="M30" s="194">
        <f t="shared" si="5"/>
        <v>0</v>
      </c>
      <c r="N30" s="19"/>
    </row>
    <row r="31" spans="1:14">
      <c r="A31" s="28">
        <v>28</v>
      </c>
      <c r="B31" s="29">
        <v>45897</v>
      </c>
      <c r="C31" s="19"/>
      <c r="D31" s="147"/>
      <c r="E31" s="102">
        <v>0</v>
      </c>
      <c r="F31" s="102">
        <v>0</v>
      </c>
      <c r="G31" s="194">
        <f t="shared" si="1"/>
        <v>0</v>
      </c>
      <c r="H31" s="102">
        <v>0</v>
      </c>
      <c r="I31" s="102">
        <v>0</v>
      </c>
      <c r="J31" s="194">
        <f t="shared" si="2"/>
        <v>0</v>
      </c>
      <c r="K31" s="194">
        <f t="shared" si="3"/>
        <v>0</v>
      </c>
      <c r="L31" s="194">
        <f t="shared" si="4"/>
        <v>0</v>
      </c>
      <c r="M31" s="194">
        <f t="shared" si="5"/>
        <v>0</v>
      </c>
      <c r="N31" s="19"/>
    </row>
    <row r="32" spans="1:14">
      <c r="A32" s="28">
        <v>29</v>
      </c>
      <c r="B32" s="29">
        <v>45898</v>
      </c>
      <c r="C32" s="19"/>
      <c r="D32" s="147"/>
      <c r="E32" s="102">
        <v>0</v>
      </c>
      <c r="F32" s="102">
        <v>0</v>
      </c>
      <c r="G32" s="194">
        <f t="shared" si="1"/>
        <v>0</v>
      </c>
      <c r="H32" s="102">
        <v>0</v>
      </c>
      <c r="I32" s="102">
        <v>0</v>
      </c>
      <c r="J32" s="194">
        <f t="shared" si="2"/>
        <v>0</v>
      </c>
      <c r="K32" s="194">
        <f t="shared" si="3"/>
        <v>0</v>
      </c>
      <c r="L32" s="194">
        <f t="shared" si="4"/>
        <v>0</v>
      </c>
      <c r="M32" s="194">
        <f t="shared" si="5"/>
        <v>0</v>
      </c>
      <c r="N32" s="19"/>
    </row>
    <row r="33" spans="1:14">
      <c r="A33" s="28">
        <v>30</v>
      </c>
      <c r="B33" s="29">
        <v>45899</v>
      </c>
      <c r="C33" s="19"/>
      <c r="D33" s="147"/>
      <c r="E33" s="102">
        <v>0</v>
      </c>
      <c r="F33" s="102">
        <v>0</v>
      </c>
      <c r="G33" s="194">
        <f t="shared" si="1"/>
        <v>0</v>
      </c>
      <c r="H33" s="102">
        <v>0</v>
      </c>
      <c r="I33" s="102">
        <v>0</v>
      </c>
      <c r="J33" s="194">
        <f t="shared" si="2"/>
        <v>0</v>
      </c>
      <c r="K33" s="194">
        <f t="shared" si="3"/>
        <v>0</v>
      </c>
      <c r="L33" s="194">
        <f t="shared" si="4"/>
        <v>0</v>
      </c>
      <c r="M33" s="194">
        <f t="shared" si="5"/>
        <v>0</v>
      </c>
      <c r="N33" s="19"/>
    </row>
    <row r="34" spans="1:14">
      <c r="A34" s="28">
        <v>31</v>
      </c>
      <c r="B34" s="29"/>
      <c r="C34" s="19"/>
      <c r="D34" s="19"/>
      <c r="E34" s="102"/>
      <c r="F34" s="102"/>
      <c r="G34" s="194"/>
      <c r="H34" s="102"/>
      <c r="I34" s="102"/>
      <c r="J34" s="194"/>
      <c r="K34" s="194"/>
      <c r="L34" s="147"/>
      <c r="M34" s="194"/>
      <c r="N34" s="19"/>
    </row>
    <row r="35" spans="1:14">
      <c r="A35" s="48"/>
      <c r="B35" s="48"/>
      <c r="C35" s="48"/>
      <c r="D35" s="48"/>
      <c r="E35" s="48">
        <f>SUM(E4:E34)</f>
        <v>60</v>
      </c>
      <c r="F35" s="48"/>
      <c r="G35" s="48">
        <f>SUM(G4:G34)</f>
        <v>5452.7999999999993</v>
      </c>
      <c r="H35" s="48">
        <f>SUM(H4:H34)</f>
        <v>23.91</v>
      </c>
      <c r="I35" s="48"/>
      <c r="J35" s="48">
        <f>SUM(J4:J34)</f>
        <v>2457.2307000000001</v>
      </c>
      <c r="K35" s="48">
        <f>SUM(K4:K34)</f>
        <v>7910.0306999999993</v>
      </c>
      <c r="L35" s="48"/>
      <c r="M35" s="48">
        <f>SUM(M4:M34)</f>
        <v>7910.0306999999993</v>
      </c>
      <c r="N35" s="48"/>
    </row>
    <row r="37" spans="1:14">
      <c r="K37" s="24"/>
    </row>
  </sheetData>
  <mergeCells count="1">
    <mergeCell ref="A1:N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F7BF-4A84-4ADB-87E5-5334AC31BAFD}">
  <dimension ref="A1:Q36"/>
  <sheetViews>
    <sheetView workbookViewId="0">
      <pane ySplit="2" topLeftCell="Q3" activePane="bottomLeft" state="frozen"/>
      <selection pane="bottomLeft" activeCell="U28" sqref="U28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25.42578125" customWidth="1"/>
    <col min="5" max="5" width="10.7109375" bestFit="1" customWidth="1"/>
    <col min="6" max="6" width="11.85546875" customWidth="1"/>
    <col min="7" max="7" width="11.8554687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3" width="15" customWidth="1"/>
    <col min="14" max="14" width="22.5703125" customWidth="1"/>
    <col min="17" max="17" width="9.5703125" bestFit="1" customWidth="1"/>
  </cols>
  <sheetData>
    <row r="1" spans="1:14" s="101" customFormat="1" ht="15.75" customHeight="1">
      <c r="A1" s="435" t="s">
        <v>162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</row>
    <row r="2" spans="1:14">
      <c r="A2" s="72" t="s">
        <v>94</v>
      </c>
      <c r="B2" s="72" t="s">
        <v>95</v>
      </c>
      <c r="C2" s="72" t="s">
        <v>96</v>
      </c>
      <c r="D2" s="72" t="s">
        <v>97</v>
      </c>
      <c r="E2" s="100" t="s">
        <v>98</v>
      </c>
      <c r="F2" s="100" t="s">
        <v>99</v>
      </c>
      <c r="G2" s="100" t="s">
        <v>100</v>
      </c>
      <c r="H2" s="100" t="s">
        <v>101</v>
      </c>
      <c r="I2" s="100" t="s">
        <v>99</v>
      </c>
      <c r="J2" s="100" t="s">
        <v>100</v>
      </c>
      <c r="K2" s="100" t="s">
        <v>102</v>
      </c>
      <c r="L2" s="94" t="s">
        <v>103</v>
      </c>
      <c r="M2" s="94" t="s">
        <v>107</v>
      </c>
      <c r="N2" s="72" t="s">
        <v>105</v>
      </c>
    </row>
    <row r="3" spans="1:14">
      <c r="A3" s="19"/>
      <c r="B3" s="19"/>
      <c r="C3" s="19"/>
      <c r="D3" s="19" t="s">
        <v>106</v>
      </c>
      <c r="E3" s="19"/>
      <c r="F3" s="19"/>
      <c r="G3" s="19"/>
      <c r="H3" s="19"/>
      <c r="I3" s="19"/>
      <c r="J3" s="19"/>
      <c r="K3" s="44">
        <v>0</v>
      </c>
      <c r="L3" s="19"/>
      <c r="M3" s="44">
        <v>0</v>
      </c>
      <c r="N3" s="19"/>
    </row>
    <row r="4" spans="1:14">
      <c r="A4" s="28">
        <v>1</v>
      </c>
      <c r="B4" s="29">
        <v>45870</v>
      </c>
      <c r="C4" s="19"/>
      <c r="D4" s="19"/>
      <c r="E4" s="102">
        <v>0</v>
      </c>
      <c r="F4" s="102">
        <v>0</v>
      </c>
      <c r="G4" s="44">
        <f>E4*F4</f>
        <v>0</v>
      </c>
      <c r="H4" s="50">
        <v>0</v>
      </c>
      <c r="I4" s="50">
        <v>0</v>
      </c>
      <c r="J4" s="44">
        <f>H4*I4</f>
        <v>0</v>
      </c>
      <c r="K4" s="44">
        <f>G4+J4</f>
        <v>0</v>
      </c>
      <c r="L4" s="44">
        <v>0</v>
      </c>
      <c r="M4" s="44">
        <f>M3+K4-L4</f>
        <v>0</v>
      </c>
      <c r="N4" s="19"/>
    </row>
    <row r="5" spans="1:14">
      <c r="A5" s="28">
        <v>2</v>
      </c>
      <c r="B5" s="29">
        <v>45871</v>
      </c>
      <c r="C5" s="19"/>
      <c r="D5" s="19"/>
      <c r="E5" s="102">
        <v>0</v>
      </c>
      <c r="F5" s="102">
        <v>0</v>
      </c>
      <c r="G5" s="44">
        <f t="shared" ref="G5:G35" si="0">E5*F5</f>
        <v>0</v>
      </c>
      <c r="H5" s="50">
        <v>0</v>
      </c>
      <c r="I5" s="50">
        <v>0</v>
      </c>
      <c r="J5" s="44">
        <f t="shared" ref="J5:J35" si="1">H5*I5</f>
        <v>0</v>
      </c>
      <c r="K5" s="44">
        <f t="shared" ref="K5:L35" si="2">G5+J5</f>
        <v>0</v>
      </c>
      <c r="L5" s="44">
        <v>0</v>
      </c>
      <c r="M5" s="44">
        <f>M4+K5-L5</f>
        <v>0</v>
      </c>
      <c r="N5" s="19"/>
    </row>
    <row r="6" spans="1:14">
      <c r="A6" s="28">
        <v>3</v>
      </c>
      <c r="B6" s="29">
        <v>45872</v>
      </c>
      <c r="C6" s="19"/>
      <c r="D6" s="19"/>
      <c r="E6" s="102">
        <v>0</v>
      </c>
      <c r="F6" s="102">
        <v>0</v>
      </c>
      <c r="G6" s="44">
        <f t="shared" si="0"/>
        <v>0</v>
      </c>
      <c r="H6" s="50">
        <v>0</v>
      </c>
      <c r="I6" s="50">
        <v>0</v>
      </c>
      <c r="J6" s="44">
        <f t="shared" si="1"/>
        <v>0</v>
      </c>
      <c r="K6" s="44">
        <f t="shared" si="2"/>
        <v>0</v>
      </c>
      <c r="L6" s="44">
        <v>0</v>
      </c>
      <c r="M6" s="44">
        <f>M5+K6-L6</f>
        <v>0</v>
      </c>
      <c r="N6" s="19"/>
    </row>
    <row r="7" spans="1:14">
      <c r="A7" s="28">
        <v>4</v>
      </c>
      <c r="B7" s="29">
        <v>45873</v>
      </c>
      <c r="C7" s="19"/>
      <c r="D7" s="19"/>
      <c r="E7" s="102">
        <v>0</v>
      </c>
      <c r="F7" s="102">
        <v>0</v>
      </c>
      <c r="G7" s="44">
        <f t="shared" si="0"/>
        <v>0</v>
      </c>
      <c r="H7" s="50">
        <v>0</v>
      </c>
      <c r="I7" s="50">
        <v>0</v>
      </c>
      <c r="J7" s="44">
        <f t="shared" si="1"/>
        <v>0</v>
      </c>
      <c r="K7" s="44">
        <f t="shared" si="2"/>
        <v>0</v>
      </c>
      <c r="L7" s="44">
        <v>0</v>
      </c>
      <c r="M7" s="44">
        <f>M6+K7-L7</f>
        <v>0</v>
      </c>
      <c r="N7" s="19"/>
    </row>
    <row r="8" spans="1:14">
      <c r="A8" s="28">
        <v>5</v>
      </c>
      <c r="B8" s="29">
        <v>45874</v>
      </c>
      <c r="C8" s="19"/>
      <c r="D8" s="19"/>
      <c r="E8" s="102">
        <v>0</v>
      </c>
      <c r="F8" s="102">
        <v>0</v>
      </c>
      <c r="G8" s="44">
        <f t="shared" si="0"/>
        <v>0</v>
      </c>
      <c r="H8" s="50">
        <v>0</v>
      </c>
      <c r="I8" s="50">
        <v>0</v>
      </c>
      <c r="J8" s="44">
        <f t="shared" si="1"/>
        <v>0</v>
      </c>
      <c r="K8" s="44">
        <f t="shared" si="2"/>
        <v>0</v>
      </c>
      <c r="L8" s="44">
        <v>0</v>
      </c>
      <c r="M8" s="44">
        <f>M7+K8-L8</f>
        <v>0</v>
      </c>
      <c r="N8" s="19"/>
    </row>
    <row r="9" spans="1:14">
      <c r="A9" s="28">
        <v>6</v>
      </c>
      <c r="B9" s="29">
        <v>45875</v>
      </c>
      <c r="C9" s="19"/>
      <c r="D9" s="19"/>
      <c r="E9" s="102">
        <v>0</v>
      </c>
      <c r="F9" s="102">
        <v>0</v>
      </c>
      <c r="G9" s="44">
        <f t="shared" si="0"/>
        <v>0</v>
      </c>
      <c r="H9" s="50">
        <v>0</v>
      </c>
      <c r="I9" s="50">
        <v>0</v>
      </c>
      <c r="J9" s="44">
        <f t="shared" si="1"/>
        <v>0</v>
      </c>
      <c r="K9" s="44">
        <f t="shared" si="2"/>
        <v>0</v>
      </c>
      <c r="L9" s="44">
        <v>0</v>
      </c>
      <c r="M9" s="44">
        <f t="shared" ref="M9:M34" si="3">M8+K9-L9</f>
        <v>0</v>
      </c>
      <c r="N9" s="19"/>
    </row>
    <row r="10" spans="1:14">
      <c r="A10" s="28">
        <v>7</v>
      </c>
      <c r="B10" s="29">
        <v>45876</v>
      </c>
      <c r="C10" s="19"/>
      <c r="D10" s="19"/>
      <c r="E10" s="102">
        <v>0</v>
      </c>
      <c r="F10" s="102">
        <v>0</v>
      </c>
      <c r="G10" s="44">
        <f t="shared" si="0"/>
        <v>0</v>
      </c>
      <c r="H10" s="50">
        <v>0</v>
      </c>
      <c r="I10" s="50">
        <v>0</v>
      </c>
      <c r="J10" s="44">
        <f t="shared" si="1"/>
        <v>0</v>
      </c>
      <c r="K10" s="44">
        <f t="shared" si="2"/>
        <v>0</v>
      </c>
      <c r="L10" s="44">
        <v>0</v>
      </c>
      <c r="M10" s="44">
        <f t="shared" si="3"/>
        <v>0</v>
      </c>
      <c r="N10" s="19"/>
    </row>
    <row r="11" spans="1:14">
      <c r="A11" s="28">
        <v>8</v>
      </c>
      <c r="B11" s="29">
        <v>45877</v>
      </c>
      <c r="C11" s="19"/>
      <c r="D11" s="19"/>
      <c r="E11" s="102">
        <v>0</v>
      </c>
      <c r="F11" s="102">
        <v>0</v>
      </c>
      <c r="G11" s="44">
        <f t="shared" si="0"/>
        <v>0</v>
      </c>
      <c r="H11" s="50">
        <v>0</v>
      </c>
      <c r="I11" s="50">
        <v>0</v>
      </c>
      <c r="J11" s="44">
        <f t="shared" si="1"/>
        <v>0</v>
      </c>
      <c r="K11" s="44">
        <f t="shared" si="2"/>
        <v>0</v>
      </c>
      <c r="L11" s="44">
        <v>0</v>
      </c>
      <c r="M11" s="44">
        <f t="shared" si="3"/>
        <v>0</v>
      </c>
      <c r="N11" s="19"/>
    </row>
    <row r="12" spans="1:14">
      <c r="A12" s="28">
        <v>9</v>
      </c>
      <c r="B12" s="29">
        <v>45878</v>
      </c>
      <c r="C12" s="19"/>
      <c r="D12" s="19"/>
      <c r="E12" s="102">
        <v>0</v>
      </c>
      <c r="F12" s="102">
        <v>0</v>
      </c>
      <c r="G12" s="44">
        <f t="shared" si="0"/>
        <v>0</v>
      </c>
      <c r="H12" s="50">
        <v>0</v>
      </c>
      <c r="I12" s="50">
        <v>0</v>
      </c>
      <c r="J12" s="44">
        <f t="shared" si="1"/>
        <v>0</v>
      </c>
      <c r="K12" s="44">
        <f t="shared" si="2"/>
        <v>0</v>
      </c>
      <c r="L12" s="44">
        <v>0</v>
      </c>
      <c r="M12" s="44">
        <f t="shared" si="3"/>
        <v>0</v>
      </c>
      <c r="N12" s="19"/>
    </row>
    <row r="13" spans="1:14">
      <c r="A13" s="28">
        <v>10</v>
      </c>
      <c r="B13" s="29">
        <v>45879</v>
      </c>
      <c r="C13" s="19"/>
      <c r="D13" s="19"/>
      <c r="E13" s="102">
        <v>0</v>
      </c>
      <c r="F13" s="102">
        <v>0</v>
      </c>
      <c r="G13" s="44">
        <f t="shared" si="0"/>
        <v>0</v>
      </c>
      <c r="H13" s="50">
        <v>0</v>
      </c>
      <c r="I13" s="50">
        <v>0</v>
      </c>
      <c r="J13" s="44">
        <f t="shared" si="1"/>
        <v>0</v>
      </c>
      <c r="K13" s="44">
        <f t="shared" si="2"/>
        <v>0</v>
      </c>
      <c r="L13" s="44">
        <v>0</v>
      </c>
      <c r="M13" s="44">
        <f t="shared" si="3"/>
        <v>0</v>
      </c>
      <c r="N13" s="19"/>
    </row>
    <row r="14" spans="1:14">
      <c r="A14" s="28">
        <v>11</v>
      </c>
      <c r="B14" s="29">
        <v>45880</v>
      </c>
      <c r="C14" s="19"/>
      <c r="D14" s="19"/>
      <c r="E14" s="102">
        <v>0</v>
      </c>
      <c r="F14" s="102">
        <v>0</v>
      </c>
      <c r="G14" s="44">
        <f t="shared" si="0"/>
        <v>0</v>
      </c>
      <c r="H14" s="50">
        <v>0</v>
      </c>
      <c r="I14" s="50">
        <v>0</v>
      </c>
      <c r="J14" s="44">
        <f t="shared" si="1"/>
        <v>0</v>
      </c>
      <c r="K14" s="44">
        <f t="shared" si="2"/>
        <v>0</v>
      </c>
      <c r="L14" s="44">
        <v>0</v>
      </c>
      <c r="M14" s="44">
        <f t="shared" si="3"/>
        <v>0</v>
      </c>
      <c r="N14" s="19"/>
    </row>
    <row r="15" spans="1:14">
      <c r="A15" s="28">
        <v>12</v>
      </c>
      <c r="B15" s="29">
        <v>45881</v>
      </c>
      <c r="C15" s="19"/>
      <c r="D15" s="19"/>
      <c r="E15" s="102">
        <v>0</v>
      </c>
      <c r="F15" s="102">
        <v>0</v>
      </c>
      <c r="G15" s="44">
        <f t="shared" si="0"/>
        <v>0</v>
      </c>
      <c r="H15" s="50">
        <v>0</v>
      </c>
      <c r="I15" s="50">
        <v>0</v>
      </c>
      <c r="J15" s="44">
        <f t="shared" si="1"/>
        <v>0</v>
      </c>
      <c r="K15" s="44">
        <f t="shared" si="2"/>
        <v>0</v>
      </c>
      <c r="L15" s="44">
        <v>0</v>
      </c>
      <c r="M15" s="44">
        <f t="shared" si="3"/>
        <v>0</v>
      </c>
      <c r="N15" s="19"/>
    </row>
    <row r="16" spans="1:14">
      <c r="A16" s="28">
        <v>13</v>
      </c>
      <c r="B16" s="29">
        <v>45882</v>
      </c>
      <c r="C16" s="19"/>
      <c r="D16" s="19"/>
      <c r="E16" s="102">
        <v>0</v>
      </c>
      <c r="F16" s="102">
        <v>0</v>
      </c>
      <c r="G16" s="44">
        <f t="shared" si="0"/>
        <v>0</v>
      </c>
      <c r="H16" s="50">
        <v>0</v>
      </c>
      <c r="I16" s="50">
        <v>0</v>
      </c>
      <c r="J16" s="44">
        <f t="shared" si="1"/>
        <v>0</v>
      </c>
      <c r="K16" s="44">
        <f t="shared" si="2"/>
        <v>0</v>
      </c>
      <c r="L16" s="44">
        <v>0</v>
      </c>
      <c r="M16" s="44">
        <f t="shared" si="3"/>
        <v>0</v>
      </c>
      <c r="N16" s="19"/>
    </row>
    <row r="17" spans="1:17">
      <c r="A17" s="28">
        <v>14</v>
      </c>
      <c r="B17" s="29">
        <v>45883</v>
      </c>
      <c r="C17" s="19"/>
      <c r="D17" s="19"/>
      <c r="E17" s="102">
        <v>0</v>
      </c>
      <c r="F17" s="102">
        <v>0</v>
      </c>
      <c r="G17" s="44">
        <f t="shared" si="0"/>
        <v>0</v>
      </c>
      <c r="H17" s="50">
        <v>0</v>
      </c>
      <c r="I17" s="50">
        <v>0</v>
      </c>
      <c r="J17" s="44">
        <f>H17*I17</f>
        <v>0</v>
      </c>
      <c r="K17" s="44">
        <f>G17+J17</f>
        <v>0</v>
      </c>
      <c r="L17" s="44">
        <v>0</v>
      </c>
      <c r="M17" s="44">
        <f t="shared" si="3"/>
        <v>0</v>
      </c>
      <c r="N17" s="19"/>
    </row>
    <row r="18" spans="1:17">
      <c r="A18" s="28">
        <v>15</v>
      </c>
      <c r="B18" s="29">
        <v>45884</v>
      </c>
      <c r="C18" s="19"/>
      <c r="D18" s="19"/>
      <c r="E18" s="102">
        <v>0</v>
      </c>
      <c r="F18" s="102">
        <v>0</v>
      </c>
      <c r="G18" s="44">
        <f t="shared" si="0"/>
        <v>0</v>
      </c>
      <c r="H18" s="50">
        <v>0</v>
      </c>
      <c r="I18" s="50">
        <v>0</v>
      </c>
      <c r="J18" s="44">
        <f t="shared" si="1"/>
        <v>0</v>
      </c>
      <c r="K18" s="44">
        <f t="shared" si="2"/>
        <v>0</v>
      </c>
      <c r="L18" s="44">
        <v>0</v>
      </c>
      <c r="M18" s="44">
        <f t="shared" si="3"/>
        <v>0</v>
      </c>
      <c r="N18" s="19"/>
    </row>
    <row r="19" spans="1:17">
      <c r="A19" s="28">
        <v>16</v>
      </c>
      <c r="B19" s="29">
        <v>45885</v>
      </c>
      <c r="C19" s="19"/>
      <c r="D19" s="19"/>
      <c r="E19" s="102">
        <v>0</v>
      </c>
      <c r="F19" s="102">
        <v>0</v>
      </c>
      <c r="G19" s="44">
        <f t="shared" si="0"/>
        <v>0</v>
      </c>
      <c r="H19" s="50">
        <v>0</v>
      </c>
      <c r="I19" s="50">
        <v>0</v>
      </c>
      <c r="J19" s="44">
        <f t="shared" si="1"/>
        <v>0</v>
      </c>
      <c r="K19" s="44">
        <f t="shared" si="2"/>
        <v>0</v>
      </c>
      <c r="L19" s="44">
        <v>0</v>
      </c>
      <c r="M19" s="44">
        <f t="shared" si="3"/>
        <v>0</v>
      </c>
      <c r="N19" s="19"/>
    </row>
    <row r="20" spans="1:17">
      <c r="A20" s="28">
        <v>17</v>
      </c>
      <c r="B20" s="29">
        <v>45886</v>
      </c>
      <c r="C20" s="19"/>
      <c r="D20" s="19"/>
      <c r="E20" s="102">
        <v>0</v>
      </c>
      <c r="F20" s="102">
        <v>0</v>
      </c>
      <c r="G20" s="44">
        <f t="shared" si="0"/>
        <v>0</v>
      </c>
      <c r="H20" s="50">
        <v>0</v>
      </c>
      <c r="I20" s="50">
        <v>0</v>
      </c>
      <c r="J20" s="44">
        <f t="shared" si="1"/>
        <v>0</v>
      </c>
      <c r="K20" s="44">
        <f t="shared" si="2"/>
        <v>0</v>
      </c>
      <c r="L20" s="44">
        <v>0</v>
      </c>
      <c r="M20" s="44">
        <f t="shared" si="3"/>
        <v>0</v>
      </c>
      <c r="N20" s="19"/>
    </row>
    <row r="21" spans="1:17">
      <c r="A21" s="28">
        <v>18</v>
      </c>
      <c r="B21" s="29">
        <v>45887</v>
      </c>
      <c r="C21" s="19"/>
      <c r="D21" s="19"/>
      <c r="E21" s="102">
        <v>0</v>
      </c>
      <c r="F21" s="102">
        <v>0</v>
      </c>
      <c r="G21" s="44">
        <f t="shared" si="0"/>
        <v>0</v>
      </c>
      <c r="H21" s="50">
        <v>0</v>
      </c>
      <c r="I21" s="50">
        <v>0</v>
      </c>
      <c r="J21" s="44">
        <f t="shared" si="1"/>
        <v>0</v>
      </c>
      <c r="K21" s="44">
        <f t="shared" si="2"/>
        <v>0</v>
      </c>
      <c r="L21" s="44">
        <v>0</v>
      </c>
      <c r="M21" s="44">
        <f t="shared" si="3"/>
        <v>0</v>
      </c>
      <c r="N21" s="19"/>
    </row>
    <row r="22" spans="1:17">
      <c r="A22" s="28">
        <v>19</v>
      </c>
      <c r="B22" s="29">
        <v>45888</v>
      </c>
      <c r="C22" s="19"/>
      <c r="D22" s="19"/>
      <c r="E22" s="102">
        <v>0</v>
      </c>
      <c r="F22" s="102">
        <v>0</v>
      </c>
      <c r="G22" s="44">
        <f t="shared" si="0"/>
        <v>0</v>
      </c>
      <c r="H22" s="50">
        <v>0</v>
      </c>
      <c r="I22" s="50">
        <v>0</v>
      </c>
      <c r="J22" s="44">
        <f t="shared" si="1"/>
        <v>0</v>
      </c>
      <c r="K22" s="44">
        <f t="shared" si="2"/>
        <v>0</v>
      </c>
      <c r="L22" s="44">
        <v>0</v>
      </c>
      <c r="M22" s="44">
        <f t="shared" si="3"/>
        <v>0</v>
      </c>
      <c r="N22" s="19"/>
    </row>
    <row r="23" spans="1:17">
      <c r="A23" s="28">
        <v>20</v>
      </c>
      <c r="B23" s="29">
        <v>45889</v>
      </c>
      <c r="C23" s="19"/>
      <c r="D23" s="19"/>
      <c r="E23" s="102">
        <v>0</v>
      </c>
      <c r="F23" s="102">
        <v>0</v>
      </c>
      <c r="G23" s="44">
        <f t="shared" ref="G23:G24" si="4">E23*F23</f>
        <v>0</v>
      </c>
      <c r="H23" s="50">
        <v>0</v>
      </c>
      <c r="I23" s="50">
        <v>0</v>
      </c>
      <c r="J23" s="44">
        <f t="shared" ref="J23:J24" si="5">H23*I23</f>
        <v>0</v>
      </c>
      <c r="K23" s="44">
        <f t="shared" ref="K23:K24" si="6">G23+J23</f>
        <v>0</v>
      </c>
      <c r="L23" s="44">
        <v>0</v>
      </c>
      <c r="M23" s="44">
        <f t="shared" si="3"/>
        <v>0</v>
      </c>
      <c r="N23" s="19"/>
    </row>
    <row r="24" spans="1:17">
      <c r="A24" s="28">
        <v>21</v>
      </c>
      <c r="B24" s="29">
        <v>45890</v>
      </c>
      <c r="C24" s="19"/>
      <c r="D24" s="19"/>
      <c r="E24" s="102">
        <v>0</v>
      </c>
      <c r="F24" s="102">
        <v>0</v>
      </c>
      <c r="G24" s="44">
        <f t="shared" si="4"/>
        <v>0</v>
      </c>
      <c r="H24" s="50">
        <v>0</v>
      </c>
      <c r="I24" s="50">
        <v>0</v>
      </c>
      <c r="J24" s="44">
        <f t="shared" si="5"/>
        <v>0</v>
      </c>
      <c r="K24" s="44">
        <f t="shared" si="6"/>
        <v>0</v>
      </c>
      <c r="L24" s="44">
        <v>0</v>
      </c>
      <c r="M24" s="44">
        <f t="shared" si="3"/>
        <v>0</v>
      </c>
      <c r="N24" s="19"/>
    </row>
    <row r="25" spans="1:17">
      <c r="A25" s="28">
        <v>22</v>
      </c>
      <c r="B25" s="29">
        <v>45891</v>
      </c>
      <c r="C25" s="19"/>
      <c r="D25" s="19"/>
      <c r="E25" s="102">
        <v>0</v>
      </c>
      <c r="F25" s="102">
        <v>0</v>
      </c>
      <c r="G25" s="44">
        <f t="shared" si="0"/>
        <v>0</v>
      </c>
      <c r="H25" s="50">
        <v>0</v>
      </c>
      <c r="I25" s="50">
        <v>0</v>
      </c>
      <c r="J25" s="44">
        <f t="shared" si="1"/>
        <v>0</v>
      </c>
      <c r="K25" s="44">
        <f t="shared" si="2"/>
        <v>0</v>
      </c>
      <c r="L25" s="44">
        <v>0</v>
      </c>
      <c r="M25" s="44">
        <f t="shared" si="3"/>
        <v>0</v>
      </c>
      <c r="N25" s="19"/>
    </row>
    <row r="26" spans="1:17">
      <c r="A26" s="28">
        <v>23</v>
      </c>
      <c r="B26" s="29">
        <v>45892</v>
      </c>
      <c r="C26" s="19"/>
      <c r="D26" s="19"/>
      <c r="E26" s="102">
        <v>0</v>
      </c>
      <c r="F26" s="102">
        <v>0</v>
      </c>
      <c r="G26" s="44">
        <f t="shared" si="0"/>
        <v>0</v>
      </c>
      <c r="H26" s="50">
        <v>0</v>
      </c>
      <c r="I26" s="50">
        <v>0</v>
      </c>
      <c r="J26" s="44">
        <f t="shared" si="1"/>
        <v>0</v>
      </c>
      <c r="K26" s="44">
        <f t="shared" si="2"/>
        <v>0</v>
      </c>
      <c r="L26" s="44">
        <v>0</v>
      </c>
      <c r="M26" s="44">
        <f t="shared" si="3"/>
        <v>0</v>
      </c>
      <c r="N26" s="19"/>
      <c r="P26" s="24"/>
    </row>
    <row r="27" spans="1:17">
      <c r="A27" s="28">
        <v>24</v>
      </c>
      <c r="B27" s="29">
        <v>45893</v>
      </c>
      <c r="C27" s="19"/>
      <c r="D27" s="19"/>
      <c r="E27" s="102">
        <v>0</v>
      </c>
      <c r="F27" s="102">
        <v>0</v>
      </c>
      <c r="G27" s="44">
        <f t="shared" si="0"/>
        <v>0</v>
      </c>
      <c r="H27" s="50">
        <v>0</v>
      </c>
      <c r="I27" s="50">
        <v>0</v>
      </c>
      <c r="J27" s="44">
        <f t="shared" si="1"/>
        <v>0</v>
      </c>
      <c r="K27" s="44">
        <f t="shared" si="2"/>
        <v>0</v>
      </c>
      <c r="L27" s="44">
        <v>0</v>
      </c>
      <c r="M27" s="44">
        <f t="shared" si="3"/>
        <v>0</v>
      </c>
      <c r="N27" s="19"/>
    </row>
    <row r="28" spans="1:17">
      <c r="A28" s="28">
        <v>25</v>
      </c>
      <c r="B28" s="29">
        <v>45894</v>
      </c>
      <c r="C28" s="19"/>
      <c r="D28" s="275"/>
      <c r="E28" s="102">
        <v>0</v>
      </c>
      <c r="F28" s="102">
        <v>0</v>
      </c>
      <c r="G28" s="44">
        <f t="shared" si="0"/>
        <v>0</v>
      </c>
      <c r="H28" s="50">
        <v>0</v>
      </c>
      <c r="I28" s="50">
        <v>0</v>
      </c>
      <c r="J28" s="44">
        <f t="shared" si="1"/>
        <v>0</v>
      </c>
      <c r="K28" s="44">
        <f t="shared" si="2"/>
        <v>0</v>
      </c>
      <c r="L28" s="44">
        <v>0</v>
      </c>
      <c r="M28" s="44">
        <f t="shared" si="3"/>
        <v>0</v>
      </c>
      <c r="N28" s="19"/>
    </row>
    <row r="29" spans="1:17">
      <c r="A29" s="28">
        <v>26</v>
      </c>
      <c r="B29" s="29">
        <v>45895</v>
      </c>
      <c r="C29" s="19"/>
      <c r="D29" s="19"/>
      <c r="E29" s="102">
        <v>0</v>
      </c>
      <c r="F29" s="102">
        <v>0</v>
      </c>
      <c r="G29" s="44">
        <f t="shared" si="0"/>
        <v>0</v>
      </c>
      <c r="H29" s="50">
        <v>0</v>
      </c>
      <c r="I29" s="50">
        <v>0</v>
      </c>
      <c r="J29" s="44">
        <f t="shared" si="1"/>
        <v>0</v>
      </c>
      <c r="K29" s="44">
        <f t="shared" si="2"/>
        <v>0</v>
      </c>
      <c r="L29" s="44">
        <v>0</v>
      </c>
      <c r="M29" s="44">
        <f t="shared" si="3"/>
        <v>0</v>
      </c>
      <c r="N29" s="19"/>
    </row>
    <row r="30" spans="1:17">
      <c r="A30" s="28">
        <v>27</v>
      </c>
      <c r="B30" s="29">
        <v>45896</v>
      </c>
      <c r="C30" s="19"/>
      <c r="D30" s="19"/>
      <c r="E30" s="102">
        <v>0</v>
      </c>
      <c r="F30" s="102">
        <v>0</v>
      </c>
      <c r="G30" s="44">
        <f t="shared" si="0"/>
        <v>0</v>
      </c>
      <c r="H30" s="50">
        <v>0</v>
      </c>
      <c r="I30" s="50">
        <v>0</v>
      </c>
      <c r="J30" s="44">
        <f t="shared" si="1"/>
        <v>0</v>
      </c>
      <c r="K30" s="44">
        <f t="shared" si="2"/>
        <v>0</v>
      </c>
      <c r="L30" s="44">
        <v>0</v>
      </c>
      <c r="M30" s="44">
        <f t="shared" si="3"/>
        <v>0</v>
      </c>
      <c r="N30" s="19"/>
    </row>
    <row r="31" spans="1:17">
      <c r="A31" s="28">
        <v>28</v>
      </c>
      <c r="B31" s="29">
        <v>45897</v>
      </c>
      <c r="C31" s="19"/>
      <c r="D31" s="19"/>
      <c r="E31" s="102">
        <v>0</v>
      </c>
      <c r="F31" s="102">
        <v>0</v>
      </c>
      <c r="G31" s="44">
        <f t="shared" si="0"/>
        <v>0</v>
      </c>
      <c r="H31" s="50">
        <v>0</v>
      </c>
      <c r="I31" s="50">
        <v>0</v>
      </c>
      <c r="J31" s="44">
        <f t="shared" si="1"/>
        <v>0</v>
      </c>
      <c r="K31" s="44">
        <f t="shared" si="2"/>
        <v>0</v>
      </c>
      <c r="L31" s="44">
        <v>0</v>
      </c>
      <c r="M31" s="44">
        <f t="shared" si="3"/>
        <v>0</v>
      </c>
      <c r="N31" s="19"/>
    </row>
    <row r="32" spans="1:17">
      <c r="A32" s="28">
        <v>29</v>
      </c>
      <c r="B32" s="29">
        <v>45898</v>
      </c>
      <c r="C32" s="19"/>
      <c r="D32" s="19"/>
      <c r="E32" s="102">
        <v>0</v>
      </c>
      <c r="F32" s="102">
        <v>0</v>
      </c>
      <c r="G32" s="44">
        <f t="shared" si="0"/>
        <v>0</v>
      </c>
      <c r="H32" s="50">
        <v>0</v>
      </c>
      <c r="I32" s="50">
        <v>0</v>
      </c>
      <c r="J32" s="44">
        <f t="shared" si="1"/>
        <v>0</v>
      </c>
      <c r="K32" s="44">
        <f t="shared" si="2"/>
        <v>0</v>
      </c>
      <c r="L32" s="44">
        <v>0</v>
      </c>
      <c r="M32" s="44">
        <f t="shared" si="3"/>
        <v>0</v>
      </c>
      <c r="N32" s="19"/>
      <c r="Q32" s="44"/>
    </row>
    <row r="33" spans="1:17">
      <c r="A33" s="28">
        <v>30</v>
      </c>
      <c r="B33" s="29">
        <v>45899</v>
      </c>
      <c r="C33" s="19"/>
      <c r="D33" s="19"/>
      <c r="E33" s="102">
        <v>0</v>
      </c>
      <c r="F33" s="102">
        <v>0</v>
      </c>
      <c r="G33" s="44">
        <f t="shared" si="0"/>
        <v>0</v>
      </c>
      <c r="H33" s="50">
        <v>0</v>
      </c>
      <c r="I33" s="50">
        <v>0</v>
      </c>
      <c r="J33" s="44">
        <f t="shared" si="1"/>
        <v>0</v>
      </c>
      <c r="K33" s="44">
        <f t="shared" si="2"/>
        <v>0</v>
      </c>
      <c r="L33" s="44">
        <v>0</v>
      </c>
      <c r="M33" s="44">
        <f t="shared" si="3"/>
        <v>0</v>
      </c>
      <c r="N33" s="19"/>
    </row>
    <row r="34" spans="1:17">
      <c r="A34" s="28">
        <v>31</v>
      </c>
      <c r="B34" s="29">
        <v>45900</v>
      </c>
      <c r="C34" s="19"/>
      <c r="D34" s="19"/>
      <c r="E34" s="102">
        <v>0</v>
      </c>
      <c r="F34" s="102">
        <v>0</v>
      </c>
      <c r="G34" s="44">
        <f t="shared" si="0"/>
        <v>0</v>
      </c>
      <c r="H34" s="50">
        <v>0</v>
      </c>
      <c r="I34" s="50">
        <v>0</v>
      </c>
      <c r="J34" s="44">
        <f t="shared" si="1"/>
        <v>0</v>
      </c>
      <c r="K34" s="44">
        <f t="shared" si="2"/>
        <v>0</v>
      </c>
      <c r="L34" s="44">
        <v>0</v>
      </c>
      <c r="M34" s="44">
        <f t="shared" si="3"/>
        <v>0</v>
      </c>
      <c r="N34" s="19"/>
      <c r="Q34" s="286"/>
    </row>
    <row r="35" spans="1:17">
      <c r="A35" s="28">
        <v>32</v>
      </c>
      <c r="B35" s="29">
        <v>45901</v>
      </c>
      <c r="C35" s="19"/>
      <c r="D35" s="19"/>
      <c r="E35" s="102">
        <v>0</v>
      </c>
      <c r="F35" s="102">
        <v>0</v>
      </c>
      <c r="G35" s="44">
        <f t="shared" si="0"/>
        <v>0</v>
      </c>
      <c r="H35" s="50">
        <v>0</v>
      </c>
      <c r="I35" s="50">
        <v>0</v>
      </c>
      <c r="J35" s="44">
        <f t="shared" si="1"/>
        <v>0</v>
      </c>
      <c r="K35" s="44">
        <f t="shared" si="2"/>
        <v>0</v>
      </c>
      <c r="L35" s="44">
        <v>0</v>
      </c>
      <c r="M35" s="44">
        <f t="shared" ref="M9:M35" si="7">M34+K35-L35</f>
        <v>0</v>
      </c>
      <c r="N35" s="19"/>
      <c r="Q35" s="286"/>
    </row>
    <row r="36" spans="1:17">
      <c r="A36" s="48"/>
      <c r="B36" s="48"/>
      <c r="C36" s="48"/>
      <c r="D36" s="48"/>
      <c r="E36" s="48">
        <f>SUM(E4:E35)</f>
        <v>0</v>
      </c>
      <c r="F36" s="48"/>
      <c r="G36" s="48">
        <f>SUM(G4:G35)</f>
        <v>0</v>
      </c>
      <c r="H36" s="48">
        <f>SUM(H4:H35)</f>
        <v>0</v>
      </c>
      <c r="I36" s="48"/>
      <c r="J36" s="48">
        <f>SUM(J4:J35)</f>
        <v>0</v>
      </c>
      <c r="K36" s="48">
        <f>SUM(K4:K35)</f>
        <v>0</v>
      </c>
      <c r="L36" s="48">
        <f>SUM(L4:L35)</f>
        <v>0</v>
      </c>
      <c r="M36" s="48"/>
      <c r="N36" s="48"/>
      <c r="Q36" s="286"/>
    </row>
  </sheetData>
  <mergeCells count="1">
    <mergeCell ref="A1:N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717-3CA9-494A-8EBD-D74F2C499AC3}">
  <dimension ref="A1:Q37"/>
  <sheetViews>
    <sheetView workbookViewId="0">
      <selection activeCell="R19" sqref="R19"/>
    </sheetView>
  </sheetViews>
  <sheetFormatPr defaultRowHeight="15"/>
  <cols>
    <col min="1" max="1" width="5.140625" bestFit="1" customWidth="1"/>
    <col min="3" max="3" width="8" bestFit="1" customWidth="1"/>
    <col min="4" max="4" width="16" bestFit="1" customWidth="1"/>
    <col min="5" max="5" width="10.7109375" bestFit="1" customWidth="1"/>
    <col min="6" max="6" width="6.140625" bestFit="1" customWidth="1"/>
    <col min="7" max="7" width="9.28515625" bestFit="1" customWidth="1"/>
    <col min="8" max="8" width="10.7109375" bestFit="1" customWidth="1"/>
    <col min="9" max="9" width="9.28515625" customWidth="1"/>
    <col min="10" max="10" width="8.7109375" bestFit="1" customWidth="1"/>
    <col min="11" max="12" width="13.5703125" bestFit="1" customWidth="1"/>
    <col min="13" max="13" width="11.28515625" bestFit="1" customWidth="1"/>
    <col min="14" max="14" width="8.7109375" bestFit="1" customWidth="1"/>
  </cols>
  <sheetData>
    <row r="1" spans="1:17" ht="15.75">
      <c r="A1" s="435" t="s">
        <v>50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101"/>
      <c r="P1" s="101"/>
      <c r="Q1" s="101"/>
    </row>
    <row r="2" spans="1:17">
      <c r="A2" s="72" t="s">
        <v>94</v>
      </c>
      <c r="B2" s="72" t="s">
        <v>95</v>
      </c>
      <c r="C2" s="72" t="s">
        <v>96</v>
      </c>
      <c r="D2" s="72" t="s">
        <v>97</v>
      </c>
      <c r="E2" s="100" t="s">
        <v>98</v>
      </c>
      <c r="F2" s="100" t="s">
        <v>99</v>
      </c>
      <c r="G2" s="100" t="s">
        <v>100</v>
      </c>
      <c r="H2" s="100" t="s">
        <v>101</v>
      </c>
      <c r="I2" s="100" t="s">
        <v>99</v>
      </c>
      <c r="J2" s="100" t="s">
        <v>100</v>
      </c>
      <c r="K2" s="100" t="s">
        <v>102</v>
      </c>
      <c r="L2" s="94" t="s">
        <v>103</v>
      </c>
      <c r="M2" s="94" t="s">
        <v>107</v>
      </c>
      <c r="N2" s="72" t="s">
        <v>105</v>
      </c>
    </row>
    <row r="3" spans="1:17">
      <c r="A3" s="19"/>
      <c r="B3" s="19"/>
      <c r="C3" s="19"/>
      <c r="D3" s="19" t="s">
        <v>106</v>
      </c>
      <c r="E3" s="19"/>
      <c r="F3" s="19"/>
      <c r="G3" s="19"/>
      <c r="H3" s="19"/>
      <c r="I3" s="19"/>
      <c r="J3" s="19"/>
      <c r="K3" s="44">
        <v>26506.399999999994</v>
      </c>
      <c r="L3" s="19"/>
      <c r="M3" s="44">
        <v>26506.399999999994</v>
      </c>
      <c r="N3" s="19"/>
      <c r="O3" s="44">
        <v>26506.399999999994</v>
      </c>
    </row>
    <row r="4" spans="1:17">
      <c r="A4" s="28">
        <v>1</v>
      </c>
      <c r="B4" s="29">
        <v>45870</v>
      </c>
      <c r="C4" s="19"/>
      <c r="D4" s="19"/>
      <c r="E4" s="102">
        <v>400</v>
      </c>
      <c r="F4" s="102">
        <v>91.32</v>
      </c>
      <c r="G4" s="44">
        <f>E4*F4</f>
        <v>36528</v>
      </c>
      <c r="H4" s="50">
        <v>6</v>
      </c>
      <c r="I4" s="50">
        <v>103.24</v>
      </c>
      <c r="J4" s="44">
        <f>H4*I4</f>
        <v>619.43999999999994</v>
      </c>
      <c r="K4" s="44">
        <f>G4+J4</f>
        <v>37147.440000000002</v>
      </c>
      <c r="L4" s="44">
        <v>0</v>
      </c>
      <c r="M4" s="44">
        <f>M3+K4-L4</f>
        <v>63653.84</v>
      </c>
      <c r="N4" s="19"/>
    </row>
    <row r="5" spans="1:17">
      <c r="A5" s="28">
        <v>2</v>
      </c>
      <c r="B5" s="29">
        <v>45871</v>
      </c>
      <c r="C5" s="19"/>
      <c r="D5" s="19">
        <v>10</v>
      </c>
      <c r="E5" s="102">
        <v>0</v>
      </c>
      <c r="F5" s="102">
        <v>0</v>
      </c>
      <c r="G5" s="44">
        <f t="shared" ref="G5:G16" si="0">E5*F5</f>
        <v>0</v>
      </c>
      <c r="H5" s="403">
        <v>9</v>
      </c>
      <c r="I5" s="50">
        <v>103.24</v>
      </c>
      <c r="J5" s="44">
        <f t="shared" ref="J5:J15" si="1">H5*I5</f>
        <v>929.16</v>
      </c>
      <c r="K5" s="44">
        <f t="shared" ref="K5:L16" si="2">G5+J5</f>
        <v>929.16</v>
      </c>
      <c r="L5" s="44">
        <v>0</v>
      </c>
      <c r="M5" s="44">
        <f>M4+K5-L5</f>
        <v>64583</v>
      </c>
      <c r="N5" s="19"/>
      <c r="O5">
        <v>10.02</v>
      </c>
    </row>
    <row r="6" spans="1:17">
      <c r="A6" s="28">
        <v>3</v>
      </c>
      <c r="B6" s="29">
        <v>45872</v>
      </c>
      <c r="C6" s="19"/>
      <c r="D6" s="19"/>
      <c r="E6" s="102">
        <v>0</v>
      </c>
      <c r="F6" s="102">
        <v>0</v>
      </c>
      <c r="G6" s="44">
        <f t="shared" si="0"/>
        <v>0</v>
      </c>
      <c r="H6" s="50">
        <v>0</v>
      </c>
      <c r="I6" s="50">
        <v>0</v>
      </c>
      <c r="J6" s="44">
        <f t="shared" si="1"/>
        <v>0</v>
      </c>
      <c r="K6" s="44">
        <f t="shared" si="2"/>
        <v>0</v>
      </c>
      <c r="L6" s="44">
        <v>0</v>
      </c>
      <c r="M6" s="44">
        <f>M5+K6-L6</f>
        <v>64583</v>
      </c>
      <c r="N6" s="19"/>
    </row>
    <row r="7" spans="1:17">
      <c r="A7" s="28">
        <v>4</v>
      </c>
      <c r="B7" s="29">
        <v>45873</v>
      </c>
      <c r="C7" s="19"/>
      <c r="D7" s="19"/>
      <c r="E7" s="102">
        <v>320</v>
      </c>
      <c r="F7" s="102">
        <v>91.32</v>
      </c>
      <c r="G7" s="44">
        <f t="shared" si="0"/>
        <v>29222.399999999998</v>
      </c>
      <c r="H7" s="50">
        <v>6</v>
      </c>
      <c r="I7" s="50">
        <v>103.24</v>
      </c>
      <c r="J7" s="44">
        <f t="shared" si="1"/>
        <v>619.43999999999994</v>
      </c>
      <c r="K7" s="44">
        <f t="shared" si="2"/>
        <v>29841.839999999997</v>
      </c>
      <c r="L7" s="44">
        <v>0</v>
      </c>
      <c r="M7" s="44">
        <f>M6+K7-L7</f>
        <v>94424.84</v>
      </c>
      <c r="N7" s="19"/>
    </row>
    <row r="8" spans="1:17">
      <c r="A8" s="28">
        <v>5</v>
      </c>
      <c r="B8" s="29">
        <v>45874</v>
      </c>
      <c r="C8" s="19"/>
      <c r="D8" s="19"/>
      <c r="E8" s="102">
        <v>70</v>
      </c>
      <c r="F8" s="102">
        <v>91.32</v>
      </c>
      <c r="G8" s="44">
        <f t="shared" si="0"/>
        <v>6392.4</v>
      </c>
      <c r="H8" s="50">
        <v>6</v>
      </c>
      <c r="I8" s="50">
        <v>103.24</v>
      </c>
      <c r="J8" s="44">
        <f t="shared" si="1"/>
        <v>619.43999999999994</v>
      </c>
      <c r="K8" s="44">
        <f t="shared" si="2"/>
        <v>7011.8399999999992</v>
      </c>
      <c r="L8" s="44">
        <v>0</v>
      </c>
      <c r="M8" s="44">
        <f>M7+K8-L8</f>
        <v>101436.68</v>
      </c>
      <c r="N8" s="19"/>
    </row>
    <row r="9" spans="1:17">
      <c r="A9" s="28">
        <v>6</v>
      </c>
      <c r="B9" s="29">
        <v>45875</v>
      </c>
      <c r="C9" s="19"/>
      <c r="D9" s="19"/>
      <c r="E9" s="102">
        <v>770</v>
      </c>
      <c r="F9" s="102">
        <v>91.32</v>
      </c>
      <c r="G9" s="44">
        <f t="shared" si="0"/>
        <v>70316.399999999994</v>
      </c>
      <c r="H9" s="50">
        <v>12</v>
      </c>
      <c r="I9" s="50">
        <v>103.24</v>
      </c>
      <c r="J9" s="44">
        <f t="shared" si="1"/>
        <v>1238.8799999999999</v>
      </c>
      <c r="K9" s="44">
        <f t="shared" si="2"/>
        <v>71555.28</v>
      </c>
      <c r="L9" s="44">
        <v>0</v>
      </c>
      <c r="M9" s="44">
        <f t="shared" ref="M9:M36" si="3">M8+K9-L9</f>
        <v>172991.96</v>
      </c>
      <c r="N9" s="19"/>
    </row>
    <row r="10" spans="1:17">
      <c r="A10" s="28">
        <v>7</v>
      </c>
      <c r="B10" s="29">
        <v>45876</v>
      </c>
      <c r="C10" s="19"/>
      <c r="D10" s="19"/>
      <c r="E10" s="102">
        <v>0</v>
      </c>
      <c r="F10" s="102">
        <v>0</v>
      </c>
      <c r="G10" s="44">
        <f t="shared" si="0"/>
        <v>0</v>
      </c>
      <c r="H10" s="50">
        <v>0</v>
      </c>
      <c r="I10" s="50">
        <v>0</v>
      </c>
      <c r="J10" s="44">
        <f t="shared" si="1"/>
        <v>0</v>
      </c>
      <c r="K10" s="44">
        <f t="shared" si="2"/>
        <v>0</v>
      </c>
      <c r="L10" s="44">
        <v>0</v>
      </c>
      <c r="M10" s="44">
        <f t="shared" si="3"/>
        <v>172991.96</v>
      </c>
      <c r="N10" s="19"/>
    </row>
    <row r="11" spans="1:17">
      <c r="A11" s="28">
        <v>8</v>
      </c>
      <c r="B11" s="29">
        <v>45877</v>
      </c>
      <c r="C11" s="19"/>
      <c r="D11" s="19"/>
      <c r="E11" s="102">
        <v>200</v>
      </c>
      <c r="F11" s="102">
        <v>91.32</v>
      </c>
      <c r="G11" s="44">
        <f t="shared" si="0"/>
        <v>18264</v>
      </c>
      <c r="H11" s="50">
        <v>5</v>
      </c>
      <c r="I11" s="50">
        <v>103.24</v>
      </c>
      <c r="J11" s="44">
        <f t="shared" si="1"/>
        <v>516.19999999999993</v>
      </c>
      <c r="K11" s="44">
        <f t="shared" si="2"/>
        <v>18780.2</v>
      </c>
      <c r="L11" s="44">
        <v>0</v>
      </c>
      <c r="M11" s="44">
        <f t="shared" si="3"/>
        <v>191772.16</v>
      </c>
      <c r="N11" s="19"/>
    </row>
    <row r="12" spans="1:17">
      <c r="A12" s="28">
        <v>9</v>
      </c>
      <c r="B12" s="29">
        <v>45878</v>
      </c>
      <c r="C12" s="19"/>
      <c r="D12" s="19"/>
      <c r="E12" s="102">
        <v>250</v>
      </c>
      <c r="F12" s="102">
        <v>91.32</v>
      </c>
      <c r="G12" s="44">
        <f t="shared" si="0"/>
        <v>22830</v>
      </c>
      <c r="H12" s="50">
        <v>0</v>
      </c>
      <c r="I12" s="50">
        <v>0</v>
      </c>
      <c r="J12" s="44">
        <f t="shared" si="1"/>
        <v>0</v>
      </c>
      <c r="K12" s="44">
        <f t="shared" si="2"/>
        <v>22830</v>
      </c>
      <c r="L12" s="44">
        <v>0</v>
      </c>
      <c r="M12" s="44">
        <f>M11+K12-L12</f>
        <v>214602.16</v>
      </c>
      <c r="N12" s="19"/>
    </row>
    <row r="13" spans="1:17">
      <c r="A13" s="28">
        <v>10</v>
      </c>
      <c r="B13" s="29">
        <v>45879</v>
      </c>
      <c r="C13" s="19"/>
      <c r="D13" s="19"/>
      <c r="E13" s="102">
        <v>200</v>
      </c>
      <c r="F13" s="102">
        <v>91.32</v>
      </c>
      <c r="G13" s="44">
        <f t="shared" si="0"/>
        <v>18264</v>
      </c>
      <c r="H13" s="50">
        <v>12</v>
      </c>
      <c r="I13" s="50">
        <v>103.24</v>
      </c>
      <c r="J13" s="44">
        <f t="shared" si="1"/>
        <v>1238.8799999999999</v>
      </c>
      <c r="K13" s="44">
        <f t="shared" si="2"/>
        <v>19502.88</v>
      </c>
      <c r="L13" s="44">
        <v>0</v>
      </c>
      <c r="M13" s="44">
        <f t="shared" si="3"/>
        <v>234105.04</v>
      </c>
      <c r="N13" s="19"/>
    </row>
    <row r="14" spans="1:17">
      <c r="A14" s="28">
        <v>11</v>
      </c>
      <c r="B14" s="29">
        <v>45880</v>
      </c>
      <c r="C14" s="19"/>
      <c r="D14" s="19"/>
      <c r="E14" s="102">
        <v>500</v>
      </c>
      <c r="F14" s="102">
        <v>91.32</v>
      </c>
      <c r="G14" s="44">
        <f t="shared" si="0"/>
        <v>45660</v>
      </c>
      <c r="H14" s="50">
        <v>6</v>
      </c>
      <c r="I14" s="50">
        <v>103.24</v>
      </c>
      <c r="J14" s="44">
        <f t="shared" si="1"/>
        <v>619.43999999999994</v>
      </c>
      <c r="K14" s="44">
        <f t="shared" si="2"/>
        <v>46279.44</v>
      </c>
      <c r="L14" s="44">
        <v>200000</v>
      </c>
      <c r="M14" s="44">
        <f>M13+K14-L14</f>
        <v>80384.479999999981</v>
      </c>
      <c r="N14" s="19"/>
    </row>
    <row r="15" spans="1:17">
      <c r="A15" s="28">
        <v>12</v>
      </c>
      <c r="B15" s="29">
        <v>45881</v>
      </c>
      <c r="C15" s="19"/>
      <c r="D15" s="102"/>
      <c r="E15" s="102">
        <v>164.37</v>
      </c>
      <c r="F15" s="102">
        <v>91.26</v>
      </c>
      <c r="G15" s="44">
        <f t="shared" si="0"/>
        <v>15000.406200000001</v>
      </c>
      <c r="H15" s="50">
        <v>0</v>
      </c>
      <c r="I15" s="50">
        <v>0</v>
      </c>
      <c r="J15" s="44">
        <f t="shared" si="1"/>
        <v>0</v>
      </c>
      <c r="K15" s="44">
        <f t="shared" si="2"/>
        <v>15000.406200000001</v>
      </c>
      <c r="L15" s="44">
        <f t="shared" si="2"/>
        <v>15000.406200000001</v>
      </c>
      <c r="M15" s="44">
        <f>M14+K15-L15</f>
        <v>80384.479999999981</v>
      </c>
      <c r="N15" s="19"/>
    </row>
    <row r="16" spans="1:17">
      <c r="A16" s="28">
        <v>13</v>
      </c>
      <c r="B16" s="29">
        <v>45881</v>
      </c>
      <c r="C16" s="19"/>
      <c r="D16" s="19">
        <v>0</v>
      </c>
      <c r="E16" s="102">
        <v>80</v>
      </c>
      <c r="F16" s="102">
        <v>91.32</v>
      </c>
      <c r="G16" s="44">
        <f t="shared" si="0"/>
        <v>7305.5999999999995</v>
      </c>
      <c r="H16" s="50"/>
      <c r="I16" s="50"/>
      <c r="J16" s="44"/>
      <c r="K16" s="44">
        <f t="shared" si="2"/>
        <v>7305.5999999999995</v>
      </c>
      <c r="L16" s="44"/>
      <c r="M16" s="44">
        <f t="shared" si="3"/>
        <v>87690.079999999987</v>
      </c>
      <c r="N16" s="19"/>
    </row>
    <row r="17" spans="1:16">
      <c r="A17" s="28">
        <v>14</v>
      </c>
      <c r="B17" s="29">
        <v>45882</v>
      </c>
      <c r="C17" s="19"/>
      <c r="D17" s="19"/>
      <c r="E17" s="102">
        <v>422.58</v>
      </c>
      <c r="F17" s="102">
        <v>91.32</v>
      </c>
      <c r="G17" s="44">
        <f t="shared" ref="G17:G36" si="4">E17*F17</f>
        <v>38590.005599999997</v>
      </c>
      <c r="H17" s="50">
        <v>6</v>
      </c>
      <c r="I17" s="50">
        <v>103.24</v>
      </c>
      <c r="J17" s="44">
        <f t="shared" ref="J17:J36" si="5">H17*I17</f>
        <v>619.43999999999994</v>
      </c>
      <c r="K17" s="44">
        <f t="shared" ref="K17:K36" si="6">G17+J17</f>
        <v>39209.445599999999</v>
      </c>
      <c r="L17" s="44">
        <v>0</v>
      </c>
      <c r="M17" s="44">
        <f>M16+K17-L17</f>
        <v>126899.52559999999</v>
      </c>
      <c r="N17" s="19"/>
    </row>
    <row r="18" spans="1:16">
      <c r="A18" s="28">
        <v>15</v>
      </c>
      <c r="B18" s="29">
        <v>45883</v>
      </c>
      <c r="C18" s="19"/>
      <c r="D18" s="19"/>
      <c r="E18" s="102">
        <v>690</v>
      </c>
      <c r="F18" s="102">
        <v>91.32</v>
      </c>
      <c r="G18" s="44">
        <f t="shared" si="4"/>
        <v>63010.799999999996</v>
      </c>
      <c r="H18" s="50">
        <v>11</v>
      </c>
      <c r="I18" s="50">
        <v>103.24</v>
      </c>
      <c r="J18" s="44">
        <f t="shared" si="5"/>
        <v>1135.6399999999999</v>
      </c>
      <c r="K18" s="44">
        <f t="shared" si="6"/>
        <v>64146.439999999995</v>
      </c>
      <c r="L18" s="44">
        <v>0</v>
      </c>
      <c r="M18" s="44">
        <f t="shared" si="3"/>
        <v>191045.9656</v>
      </c>
      <c r="N18" s="19"/>
    </row>
    <row r="19" spans="1:16">
      <c r="A19" s="28">
        <v>16</v>
      </c>
      <c r="B19" s="29">
        <v>45884</v>
      </c>
      <c r="C19" s="19"/>
      <c r="D19" s="19"/>
      <c r="E19" s="102">
        <v>0</v>
      </c>
      <c r="F19" s="102">
        <v>0</v>
      </c>
      <c r="G19" s="44">
        <f t="shared" si="4"/>
        <v>0</v>
      </c>
      <c r="H19" s="50">
        <v>0</v>
      </c>
      <c r="I19" s="50">
        <v>0</v>
      </c>
      <c r="J19" s="44">
        <f t="shared" si="5"/>
        <v>0</v>
      </c>
      <c r="K19" s="44">
        <f t="shared" si="6"/>
        <v>0</v>
      </c>
      <c r="L19" s="44">
        <v>0</v>
      </c>
      <c r="M19" s="44">
        <f t="shared" si="3"/>
        <v>191045.9656</v>
      </c>
      <c r="N19" s="19"/>
    </row>
    <row r="20" spans="1:16">
      <c r="A20" s="28">
        <v>17</v>
      </c>
      <c r="B20" s="29">
        <v>45885</v>
      </c>
      <c r="C20" s="19"/>
      <c r="D20" s="19"/>
      <c r="E20" s="102">
        <v>200</v>
      </c>
      <c r="F20" s="102">
        <v>91.32</v>
      </c>
      <c r="G20" s="44">
        <f t="shared" si="4"/>
        <v>18264</v>
      </c>
      <c r="H20" s="50">
        <v>10</v>
      </c>
      <c r="I20" s="50">
        <v>103.24</v>
      </c>
      <c r="J20" s="44">
        <f t="shared" si="5"/>
        <v>1032.3999999999999</v>
      </c>
      <c r="K20" s="44">
        <f t="shared" si="6"/>
        <v>19296.400000000001</v>
      </c>
      <c r="L20" s="44">
        <v>0</v>
      </c>
      <c r="M20" s="44">
        <f t="shared" si="3"/>
        <v>210342.36559999999</v>
      </c>
      <c r="N20" s="19"/>
    </row>
    <row r="21" spans="1:16">
      <c r="A21" s="28">
        <v>18</v>
      </c>
      <c r="B21" s="29">
        <v>45886</v>
      </c>
      <c r="C21" s="19"/>
      <c r="D21" s="19"/>
      <c r="E21" s="102">
        <v>435</v>
      </c>
      <c r="F21" s="102">
        <v>91.32</v>
      </c>
      <c r="G21" s="44">
        <f t="shared" si="4"/>
        <v>39724.199999999997</v>
      </c>
      <c r="H21" s="50">
        <v>0</v>
      </c>
      <c r="I21" s="50">
        <v>103.24</v>
      </c>
      <c r="J21" s="44">
        <f t="shared" si="5"/>
        <v>0</v>
      </c>
      <c r="K21" s="44">
        <f t="shared" si="6"/>
        <v>39724.199999999997</v>
      </c>
      <c r="L21" s="44">
        <v>0</v>
      </c>
      <c r="M21" s="44">
        <f t="shared" si="3"/>
        <v>250066.56559999997</v>
      </c>
      <c r="N21" s="19"/>
    </row>
    <row r="22" spans="1:16">
      <c r="A22" s="28">
        <v>19</v>
      </c>
      <c r="B22" s="29">
        <v>45887</v>
      </c>
      <c r="C22" s="19"/>
      <c r="D22" s="19"/>
      <c r="E22" s="102">
        <v>40</v>
      </c>
      <c r="F22" s="102">
        <v>91.32</v>
      </c>
      <c r="G22" s="44">
        <f t="shared" si="4"/>
        <v>3652.7999999999997</v>
      </c>
      <c r="H22" s="50">
        <v>0</v>
      </c>
      <c r="I22" s="50">
        <v>103.24</v>
      </c>
      <c r="J22" s="44">
        <f t="shared" si="5"/>
        <v>0</v>
      </c>
      <c r="K22" s="44">
        <f t="shared" si="6"/>
        <v>3652.7999999999997</v>
      </c>
      <c r="L22" s="44">
        <v>0</v>
      </c>
      <c r="M22" s="44">
        <f t="shared" si="3"/>
        <v>253719.36559999996</v>
      </c>
      <c r="N22" s="19"/>
    </row>
    <row r="23" spans="1:16">
      <c r="A23" s="28">
        <v>20</v>
      </c>
      <c r="B23" s="29">
        <v>45888</v>
      </c>
      <c r="C23" s="19"/>
      <c r="D23" s="19"/>
      <c r="E23" s="102">
        <v>0</v>
      </c>
      <c r="F23" s="102">
        <v>0</v>
      </c>
      <c r="G23" s="44">
        <f t="shared" si="4"/>
        <v>0</v>
      </c>
      <c r="H23" s="50">
        <v>6</v>
      </c>
      <c r="I23" s="50">
        <v>103.24</v>
      </c>
      <c r="J23" s="44">
        <f t="shared" si="5"/>
        <v>619.43999999999994</v>
      </c>
      <c r="K23" s="44">
        <f t="shared" si="6"/>
        <v>619.43999999999994</v>
      </c>
      <c r="L23" s="44">
        <v>0</v>
      </c>
      <c r="M23" s="44">
        <f t="shared" si="3"/>
        <v>254338.80559999996</v>
      </c>
      <c r="N23" s="19"/>
    </row>
    <row r="24" spans="1:16">
      <c r="A24" s="28">
        <v>21</v>
      </c>
      <c r="B24" s="29">
        <v>45889</v>
      </c>
      <c r="C24" s="19"/>
      <c r="D24" s="19"/>
      <c r="E24" s="102">
        <v>450</v>
      </c>
      <c r="F24" s="102">
        <v>91.32</v>
      </c>
      <c r="G24" s="44">
        <f t="shared" si="4"/>
        <v>41094</v>
      </c>
      <c r="H24" s="50">
        <v>0</v>
      </c>
      <c r="I24" s="50">
        <v>0</v>
      </c>
      <c r="J24" s="44">
        <f t="shared" si="5"/>
        <v>0</v>
      </c>
      <c r="K24" s="44">
        <f t="shared" si="6"/>
        <v>41094</v>
      </c>
      <c r="L24" s="44">
        <v>0</v>
      </c>
      <c r="M24" s="44">
        <f t="shared" si="3"/>
        <v>295432.80559999996</v>
      </c>
      <c r="N24" s="19"/>
    </row>
    <row r="25" spans="1:16">
      <c r="A25" s="28">
        <v>22</v>
      </c>
      <c r="B25" s="29">
        <v>45890</v>
      </c>
      <c r="C25" s="19"/>
      <c r="D25" s="19"/>
      <c r="E25" s="102">
        <v>143.19999999999999</v>
      </c>
      <c r="F25" s="102">
        <v>91.32</v>
      </c>
      <c r="G25" s="44">
        <f t="shared" si="4"/>
        <v>13077.023999999998</v>
      </c>
      <c r="H25" s="50">
        <v>17</v>
      </c>
      <c r="I25" s="50">
        <v>103.24</v>
      </c>
      <c r="J25" s="44">
        <f t="shared" si="5"/>
        <v>1755.08</v>
      </c>
      <c r="K25" s="44">
        <f t="shared" si="6"/>
        <v>14832.103999999998</v>
      </c>
      <c r="L25" s="44">
        <v>0</v>
      </c>
      <c r="M25" s="44">
        <f t="shared" si="3"/>
        <v>310264.90959999996</v>
      </c>
      <c r="N25" s="19"/>
    </row>
    <row r="26" spans="1:16">
      <c r="A26" s="28">
        <v>23</v>
      </c>
      <c r="B26" s="29">
        <v>45891</v>
      </c>
      <c r="C26" s="19"/>
      <c r="D26" s="19"/>
      <c r="E26" s="102">
        <v>430</v>
      </c>
      <c r="F26" s="102">
        <v>91.32</v>
      </c>
      <c r="G26" s="44">
        <f t="shared" si="4"/>
        <v>39267.599999999999</v>
      </c>
      <c r="H26" s="403">
        <v>5</v>
      </c>
      <c r="I26" s="50">
        <v>103.24</v>
      </c>
      <c r="J26" s="44">
        <f t="shared" si="5"/>
        <v>516.19999999999993</v>
      </c>
      <c r="K26" s="44">
        <f t="shared" si="6"/>
        <v>39783.799999999996</v>
      </c>
      <c r="L26" s="44">
        <v>0</v>
      </c>
      <c r="M26" s="44">
        <f t="shared" si="3"/>
        <v>350048.70959999994</v>
      </c>
      <c r="N26" s="19"/>
      <c r="O26">
        <v>4</v>
      </c>
    </row>
    <row r="27" spans="1:16">
      <c r="A27" s="28">
        <v>24</v>
      </c>
      <c r="B27" s="29">
        <v>45892</v>
      </c>
      <c r="C27" s="19"/>
      <c r="D27" s="19"/>
      <c r="E27" s="102">
        <v>0</v>
      </c>
      <c r="F27" s="102">
        <v>0</v>
      </c>
      <c r="G27" s="44">
        <f t="shared" si="4"/>
        <v>0</v>
      </c>
      <c r="H27" s="50">
        <v>5</v>
      </c>
      <c r="I27" s="50">
        <v>103.24</v>
      </c>
      <c r="J27" s="44">
        <f t="shared" si="5"/>
        <v>516.19999999999993</v>
      </c>
      <c r="K27" s="44">
        <f t="shared" si="6"/>
        <v>516.19999999999993</v>
      </c>
      <c r="L27" s="44">
        <v>0</v>
      </c>
      <c r="M27" s="44">
        <f t="shared" si="3"/>
        <v>350564.90959999996</v>
      </c>
      <c r="N27" s="19"/>
      <c r="P27" s="24"/>
    </row>
    <row r="28" spans="1:16">
      <c r="A28" s="28">
        <v>25</v>
      </c>
      <c r="B28" s="29">
        <v>45893</v>
      </c>
      <c r="C28" s="19"/>
      <c r="D28" s="19"/>
      <c r="E28" s="102">
        <v>135</v>
      </c>
      <c r="F28" s="102">
        <v>91.32</v>
      </c>
      <c r="G28" s="44">
        <f t="shared" si="4"/>
        <v>12328.199999999999</v>
      </c>
      <c r="H28" s="50">
        <v>0</v>
      </c>
      <c r="I28" s="50">
        <v>0</v>
      </c>
      <c r="J28" s="44">
        <f t="shared" si="5"/>
        <v>0</v>
      </c>
      <c r="K28" s="44">
        <f t="shared" si="6"/>
        <v>12328.199999999999</v>
      </c>
      <c r="L28" s="44">
        <v>0</v>
      </c>
      <c r="M28" s="44">
        <f t="shared" si="3"/>
        <v>362893.10959999997</v>
      </c>
      <c r="N28" s="19"/>
    </row>
    <row r="29" spans="1:16">
      <c r="A29" s="28">
        <v>26</v>
      </c>
      <c r="B29" s="29">
        <v>45894</v>
      </c>
      <c r="C29" s="19"/>
      <c r="D29" s="275"/>
      <c r="E29" s="102">
        <v>400</v>
      </c>
      <c r="F29" s="102">
        <v>91.32</v>
      </c>
      <c r="G29" s="44">
        <f t="shared" si="4"/>
        <v>36528</v>
      </c>
      <c r="H29" s="50">
        <v>0</v>
      </c>
      <c r="I29" s="50">
        <v>0</v>
      </c>
      <c r="J29" s="44">
        <f t="shared" si="5"/>
        <v>0</v>
      </c>
      <c r="K29" s="44">
        <f t="shared" si="6"/>
        <v>36528</v>
      </c>
      <c r="L29" s="44">
        <v>0</v>
      </c>
      <c r="M29" s="44">
        <f t="shared" si="3"/>
        <v>399421.10959999997</v>
      </c>
      <c r="N29" s="19"/>
    </row>
    <row r="30" spans="1:16">
      <c r="A30" s="28">
        <v>27</v>
      </c>
      <c r="B30" s="29">
        <v>45895</v>
      </c>
      <c r="C30" s="19"/>
      <c r="D30" s="19"/>
      <c r="E30" s="102">
        <v>20</v>
      </c>
      <c r="F30" s="102">
        <v>91.32</v>
      </c>
      <c r="G30" s="44">
        <f t="shared" si="4"/>
        <v>1826.3999999999999</v>
      </c>
      <c r="H30" s="50">
        <v>5</v>
      </c>
      <c r="I30" s="50">
        <v>103.24</v>
      </c>
      <c r="J30" s="44">
        <f t="shared" si="5"/>
        <v>516.19999999999993</v>
      </c>
      <c r="K30" s="44">
        <f t="shared" si="6"/>
        <v>2342.6</v>
      </c>
      <c r="L30" s="44">
        <v>0</v>
      </c>
      <c r="M30" s="44">
        <f t="shared" si="3"/>
        <v>401763.70959999994</v>
      </c>
      <c r="N30" s="19"/>
    </row>
    <row r="31" spans="1:16">
      <c r="A31" s="28">
        <v>28</v>
      </c>
      <c r="B31" s="29">
        <v>45896</v>
      </c>
      <c r="C31" s="19"/>
      <c r="D31" s="19"/>
      <c r="E31" s="102">
        <v>0</v>
      </c>
      <c r="F31" s="102">
        <v>0</v>
      </c>
      <c r="G31" s="44">
        <f t="shared" si="4"/>
        <v>0</v>
      </c>
      <c r="H31" s="50">
        <v>0</v>
      </c>
      <c r="I31" s="50">
        <v>0</v>
      </c>
      <c r="J31" s="44">
        <f t="shared" si="5"/>
        <v>0</v>
      </c>
      <c r="K31" s="44">
        <f t="shared" si="6"/>
        <v>0</v>
      </c>
      <c r="L31" s="44">
        <v>0</v>
      </c>
      <c r="M31" s="44">
        <f t="shared" si="3"/>
        <v>401763.70959999994</v>
      </c>
      <c r="N31" s="19"/>
    </row>
    <row r="32" spans="1:16">
      <c r="A32" s="28">
        <v>29</v>
      </c>
      <c r="B32" s="29">
        <v>45897</v>
      </c>
      <c r="C32" s="19"/>
      <c r="D32" s="19"/>
      <c r="E32" s="102">
        <v>35</v>
      </c>
      <c r="F32" s="102">
        <v>91.32</v>
      </c>
      <c r="G32" s="44">
        <f t="shared" si="4"/>
        <v>3196.2</v>
      </c>
      <c r="H32" s="50">
        <v>0</v>
      </c>
      <c r="I32" s="50">
        <v>0</v>
      </c>
      <c r="J32" s="44">
        <f t="shared" si="5"/>
        <v>0</v>
      </c>
      <c r="K32" s="44">
        <f t="shared" si="6"/>
        <v>3196.2</v>
      </c>
      <c r="L32" s="44">
        <v>0</v>
      </c>
      <c r="M32" s="44">
        <f t="shared" si="3"/>
        <v>404959.90959999996</v>
      </c>
      <c r="N32" s="19"/>
    </row>
    <row r="33" spans="1:17">
      <c r="A33" s="28">
        <v>30</v>
      </c>
      <c r="B33" s="29">
        <v>45898</v>
      </c>
      <c r="C33" s="19"/>
      <c r="D33" s="19"/>
      <c r="E33" s="102">
        <v>400</v>
      </c>
      <c r="F33" s="102">
        <v>91.32</v>
      </c>
      <c r="G33" s="44">
        <f t="shared" si="4"/>
        <v>36528</v>
      </c>
      <c r="H33" s="50">
        <v>13</v>
      </c>
      <c r="I33" s="50">
        <v>103.24</v>
      </c>
      <c r="J33" s="44">
        <f t="shared" si="5"/>
        <v>1342.12</v>
      </c>
      <c r="K33" s="44">
        <f t="shared" si="6"/>
        <v>37870.120000000003</v>
      </c>
      <c r="L33" s="44">
        <v>0</v>
      </c>
      <c r="M33" s="44">
        <f t="shared" si="3"/>
        <v>442830.02959999995</v>
      </c>
      <c r="N33" s="19"/>
    </row>
    <row r="34" spans="1:17">
      <c r="A34" s="28">
        <v>31</v>
      </c>
      <c r="B34" s="29">
        <v>45899</v>
      </c>
      <c r="C34" s="19"/>
      <c r="D34" s="19"/>
      <c r="E34" s="102">
        <v>0</v>
      </c>
      <c r="F34" s="102">
        <v>0</v>
      </c>
      <c r="G34" s="44">
        <f t="shared" si="4"/>
        <v>0</v>
      </c>
      <c r="H34" s="50">
        <v>5</v>
      </c>
      <c r="I34" s="50">
        <v>103.24</v>
      </c>
      <c r="J34" s="44">
        <f t="shared" si="5"/>
        <v>516.19999999999993</v>
      </c>
      <c r="K34" s="44">
        <f t="shared" si="6"/>
        <v>516.19999999999993</v>
      </c>
      <c r="L34" s="44">
        <v>0</v>
      </c>
      <c r="M34" s="44">
        <f>M33+K34-L34</f>
        <v>443346.22959999996</v>
      </c>
      <c r="N34" s="19"/>
      <c r="Q34" s="286"/>
    </row>
    <row r="35" spans="1:17">
      <c r="A35" s="28">
        <v>32</v>
      </c>
      <c r="B35" s="29">
        <v>45900</v>
      </c>
      <c r="C35" s="19"/>
      <c r="D35" s="19"/>
      <c r="E35" s="102">
        <v>400</v>
      </c>
      <c r="F35" s="102">
        <v>91.32</v>
      </c>
      <c r="G35" s="44">
        <f t="shared" si="4"/>
        <v>36528</v>
      </c>
      <c r="H35" s="50">
        <v>0</v>
      </c>
      <c r="I35" s="50">
        <v>0</v>
      </c>
      <c r="J35" s="44">
        <f t="shared" si="5"/>
        <v>0</v>
      </c>
      <c r="K35" s="44">
        <f t="shared" si="6"/>
        <v>36528</v>
      </c>
      <c r="L35" s="44">
        <v>0</v>
      </c>
      <c r="M35" s="44">
        <f t="shared" si="3"/>
        <v>479874.22959999996</v>
      </c>
      <c r="N35" s="19"/>
      <c r="Q35" s="286"/>
    </row>
    <row r="36" spans="1:17">
      <c r="A36" s="28">
        <v>33</v>
      </c>
      <c r="B36" s="29"/>
      <c r="C36" s="19"/>
      <c r="D36" s="19"/>
      <c r="E36" s="102">
        <v>0</v>
      </c>
      <c r="F36" s="102">
        <v>0</v>
      </c>
      <c r="G36" s="44">
        <f t="shared" si="4"/>
        <v>0</v>
      </c>
      <c r="H36" s="50">
        <v>0</v>
      </c>
      <c r="I36" s="50">
        <v>0</v>
      </c>
      <c r="J36" s="44">
        <f t="shared" si="5"/>
        <v>0</v>
      </c>
      <c r="K36" s="44">
        <f t="shared" si="6"/>
        <v>0</v>
      </c>
      <c r="L36" s="44">
        <v>0</v>
      </c>
      <c r="M36" s="44">
        <f t="shared" si="3"/>
        <v>479874.22959999996</v>
      </c>
      <c r="N36" s="19"/>
      <c r="Q36" s="286"/>
    </row>
    <row r="37" spans="1:17">
      <c r="A37" s="48"/>
      <c r="B37" s="48"/>
      <c r="C37" s="48"/>
      <c r="D37" s="48"/>
      <c r="E37" s="48">
        <f>SUM(E4:E36)</f>
        <v>7155.15</v>
      </c>
      <c r="F37" s="48"/>
      <c r="G37" s="48">
        <f>SUM(G4:G36)</f>
        <v>653398.43579999986</v>
      </c>
      <c r="H37" s="48">
        <f>SUM(H4:H36)</f>
        <v>145</v>
      </c>
      <c r="I37" s="48"/>
      <c r="J37" s="48">
        <f>SUM(J4:J36)</f>
        <v>14969.800000000003</v>
      </c>
      <c r="K37" s="48">
        <f>SUM(K4:K36)</f>
        <v>668368.23579999979</v>
      </c>
      <c r="L37" s="48">
        <f>SUM(L4:L36)</f>
        <v>215000.4062</v>
      </c>
      <c r="M37" s="48"/>
      <c r="N37" s="48"/>
    </row>
  </sheetData>
  <mergeCells count="1">
    <mergeCell ref="A1:N1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28F-3061-4216-B142-B3435378C836}">
  <sheetPr>
    <tabColor rgb="FF002060"/>
  </sheetPr>
  <dimension ref="A1:O50"/>
  <sheetViews>
    <sheetView workbookViewId="0">
      <pane ySplit="2" topLeftCell="A3" activePane="bottomLeft" state="frozen"/>
      <selection pane="bottomLeft" activeCell="T16" sqref="T16"/>
    </sheetView>
  </sheetViews>
  <sheetFormatPr defaultRowHeight="15"/>
  <cols>
    <col min="1" max="1" width="6.140625" bestFit="1" customWidth="1"/>
    <col min="2" max="2" width="11.85546875" style="86" bestFit="1" customWidth="1"/>
    <col min="3" max="3" width="8.140625" bestFit="1" customWidth="1"/>
    <col min="4" max="4" width="16" bestFit="1" customWidth="1"/>
    <col min="5" max="5" width="10.85546875" bestFit="1" customWidth="1"/>
    <col min="6" max="6" width="11.85546875" bestFit="1" customWidth="1"/>
    <col min="7" max="7" width="11.85546875" style="206" bestFit="1" customWidth="1"/>
    <col min="8" max="8" width="10.85546875" bestFit="1" customWidth="1"/>
    <col min="9" max="9" width="8.140625" bestFit="1" customWidth="1"/>
    <col min="10" max="10" width="10.85546875" style="206" bestFit="1" customWidth="1"/>
    <col min="11" max="11" width="13.85546875" style="86" bestFit="1" customWidth="1"/>
    <col min="12" max="12" width="12.7109375" style="86" bestFit="1" customWidth="1"/>
    <col min="13" max="13" width="12.7109375" style="86" customWidth="1"/>
    <col min="14" max="14" width="14.140625" bestFit="1" customWidth="1"/>
    <col min="15" max="15" width="10.42578125" customWidth="1"/>
  </cols>
  <sheetData>
    <row r="1" spans="1:15" ht="15.75">
      <c r="A1" s="407" t="s">
        <v>72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61"/>
    </row>
    <row r="2" spans="1:15">
      <c r="A2" s="62" t="s">
        <v>94</v>
      </c>
      <c r="B2" s="63" t="s">
        <v>95</v>
      </c>
      <c r="C2" s="63" t="s">
        <v>96</v>
      </c>
      <c r="D2" s="63" t="s">
        <v>97</v>
      </c>
      <c r="E2" s="108" t="s">
        <v>98</v>
      </c>
      <c r="F2" s="108" t="s">
        <v>99</v>
      </c>
      <c r="G2" s="200" t="s">
        <v>100</v>
      </c>
      <c r="H2" s="108" t="s">
        <v>101</v>
      </c>
      <c r="I2" s="108" t="s">
        <v>99</v>
      </c>
      <c r="J2" s="207" t="s">
        <v>100</v>
      </c>
      <c r="K2" s="109" t="s">
        <v>102</v>
      </c>
      <c r="L2" s="149" t="s">
        <v>103</v>
      </c>
      <c r="M2" s="154" t="s">
        <v>110</v>
      </c>
      <c r="N2" s="110" t="s">
        <v>105</v>
      </c>
      <c r="O2" s="67"/>
    </row>
    <row r="3" spans="1:15">
      <c r="A3" s="245"/>
      <c r="B3"/>
      <c r="D3" s="106" t="s">
        <v>106</v>
      </c>
      <c r="E3" s="19"/>
      <c r="F3" s="19"/>
      <c r="G3" s="201"/>
      <c r="H3" s="19"/>
      <c r="I3" s="19"/>
      <c r="J3" s="201"/>
      <c r="K3" s="254">
        <v>0</v>
      </c>
      <c r="L3" s="19"/>
      <c r="M3" s="357">
        <v>0</v>
      </c>
      <c r="N3" s="19"/>
      <c r="O3" s="67"/>
    </row>
    <row r="4" spans="1:15">
      <c r="A4" s="52">
        <v>1</v>
      </c>
      <c r="B4" s="226">
        <v>45870</v>
      </c>
      <c r="C4" s="11"/>
      <c r="D4" s="12"/>
      <c r="E4" s="15">
        <v>0</v>
      </c>
      <c r="F4" s="15">
        <v>0</v>
      </c>
      <c r="G4" s="202">
        <f>E4*F4</f>
        <v>0</v>
      </c>
      <c r="H4" s="151">
        <v>0</v>
      </c>
      <c r="I4" s="151">
        <v>0</v>
      </c>
      <c r="J4" s="208">
        <f>H4*I4</f>
        <v>0</v>
      </c>
      <c r="K4" s="239">
        <f>G4+J4</f>
        <v>0</v>
      </c>
      <c r="L4" s="76">
        <v>0</v>
      </c>
      <c r="M4" s="240">
        <f>M3+K4-L4</f>
        <v>0</v>
      </c>
      <c r="N4" s="153"/>
      <c r="O4" s="77"/>
    </row>
    <row r="5" spans="1:15">
      <c r="A5" s="52">
        <v>2</v>
      </c>
      <c r="B5" s="226">
        <v>45871</v>
      </c>
      <c r="C5" s="242"/>
      <c r="D5" s="12"/>
      <c r="E5" s="15">
        <v>0</v>
      </c>
      <c r="F5" s="15">
        <v>0</v>
      </c>
      <c r="G5" s="202">
        <f t="shared" ref="G5:G19" si="0">E5*F5</f>
        <v>0</v>
      </c>
      <c r="H5" s="151">
        <v>0</v>
      </c>
      <c r="I5" s="151">
        <v>0</v>
      </c>
      <c r="J5" s="208">
        <f t="shared" ref="J5:J19" si="1">H5*I5</f>
        <v>0</v>
      </c>
      <c r="K5" s="239">
        <f t="shared" ref="K5:K19" si="2">G5+J5</f>
        <v>0</v>
      </c>
      <c r="L5" s="76">
        <v>0</v>
      </c>
      <c r="M5" s="240">
        <f>M4+K5-L5</f>
        <v>0</v>
      </c>
      <c r="N5" s="14"/>
      <c r="O5" s="77"/>
    </row>
    <row r="6" spans="1:15">
      <c r="A6" s="52">
        <v>3</v>
      </c>
      <c r="B6" s="226">
        <v>45872</v>
      </c>
      <c r="C6" s="75"/>
      <c r="D6" s="12"/>
      <c r="E6" s="15">
        <v>0</v>
      </c>
      <c r="F6" s="15">
        <v>0</v>
      </c>
      <c r="G6" s="202">
        <f t="shared" si="0"/>
        <v>0</v>
      </c>
      <c r="H6" s="151">
        <v>0</v>
      </c>
      <c r="I6" s="151">
        <v>0</v>
      </c>
      <c r="J6" s="208">
        <f t="shared" si="1"/>
        <v>0</v>
      </c>
      <c r="K6" s="239">
        <f t="shared" si="2"/>
        <v>0</v>
      </c>
      <c r="L6" s="76">
        <v>0</v>
      </c>
      <c r="M6" s="241">
        <f>M5+K6-L6</f>
        <v>0</v>
      </c>
      <c r="N6" s="45"/>
      <c r="O6" s="77"/>
    </row>
    <row r="7" spans="1:15">
      <c r="A7" s="52">
        <v>4</v>
      </c>
      <c r="B7" s="226">
        <v>45873</v>
      </c>
      <c r="C7" s="75"/>
      <c r="D7" s="12"/>
      <c r="E7" s="15">
        <v>0</v>
      </c>
      <c r="F7" s="15">
        <v>0</v>
      </c>
      <c r="G7" s="202">
        <f t="shared" si="0"/>
        <v>0</v>
      </c>
      <c r="H7" s="151">
        <v>0</v>
      </c>
      <c r="I7" s="151">
        <v>0</v>
      </c>
      <c r="J7" s="208">
        <f t="shared" si="1"/>
        <v>0</v>
      </c>
      <c r="K7" s="239">
        <f t="shared" si="2"/>
        <v>0</v>
      </c>
      <c r="L7" s="76">
        <v>0</v>
      </c>
      <c r="M7" s="241">
        <f t="shared" ref="M7:M33" si="3">M6+K7-L7</f>
        <v>0</v>
      </c>
      <c r="N7" s="45"/>
      <c r="O7" s="77"/>
    </row>
    <row r="8" spans="1:15">
      <c r="A8" s="52">
        <v>5</v>
      </c>
      <c r="B8" s="226">
        <v>45874</v>
      </c>
      <c r="C8" s="75"/>
      <c r="D8" s="12"/>
      <c r="E8" s="15">
        <v>0</v>
      </c>
      <c r="F8" s="15">
        <v>0</v>
      </c>
      <c r="G8" s="202">
        <f t="shared" si="0"/>
        <v>0</v>
      </c>
      <c r="H8" s="151">
        <v>0</v>
      </c>
      <c r="I8" s="151">
        <v>0</v>
      </c>
      <c r="J8" s="208">
        <f t="shared" si="1"/>
        <v>0</v>
      </c>
      <c r="K8" s="239">
        <f t="shared" si="2"/>
        <v>0</v>
      </c>
      <c r="L8" s="76">
        <v>0</v>
      </c>
      <c r="M8" s="240">
        <f t="shared" si="3"/>
        <v>0</v>
      </c>
      <c r="N8" s="237"/>
      <c r="O8" s="77"/>
    </row>
    <row r="9" spans="1:15">
      <c r="A9" s="52">
        <v>6</v>
      </c>
      <c r="B9" s="226">
        <v>45875</v>
      </c>
      <c r="C9" s="243"/>
      <c r="D9" s="12"/>
      <c r="E9" s="15">
        <v>0</v>
      </c>
      <c r="F9" s="15">
        <v>0</v>
      </c>
      <c r="G9" s="202">
        <f t="shared" si="0"/>
        <v>0</v>
      </c>
      <c r="H9" s="151">
        <v>0</v>
      </c>
      <c r="I9" s="151">
        <v>0</v>
      </c>
      <c r="J9" s="208">
        <f t="shared" si="1"/>
        <v>0</v>
      </c>
      <c r="K9" s="239">
        <f t="shared" si="2"/>
        <v>0</v>
      </c>
      <c r="L9" s="76">
        <v>0</v>
      </c>
      <c r="M9" s="240">
        <f t="shared" si="3"/>
        <v>0</v>
      </c>
      <c r="N9" s="45"/>
      <c r="O9" s="77"/>
    </row>
    <row r="10" spans="1:15">
      <c r="A10" s="52">
        <v>7</v>
      </c>
      <c r="B10" s="226">
        <v>45876</v>
      </c>
      <c r="C10" s="78"/>
      <c r="D10" s="12"/>
      <c r="E10" s="15">
        <v>0</v>
      </c>
      <c r="F10" s="15">
        <v>0</v>
      </c>
      <c r="G10" s="202">
        <f t="shared" si="0"/>
        <v>0</v>
      </c>
      <c r="H10" s="151">
        <v>0</v>
      </c>
      <c r="I10" s="151">
        <v>0</v>
      </c>
      <c r="J10" s="208">
        <f t="shared" si="1"/>
        <v>0</v>
      </c>
      <c r="K10" s="239">
        <f t="shared" si="2"/>
        <v>0</v>
      </c>
      <c r="L10" s="76">
        <v>0</v>
      </c>
      <c r="M10" s="240">
        <f t="shared" si="3"/>
        <v>0</v>
      </c>
      <c r="N10" s="45"/>
      <c r="O10" s="77"/>
    </row>
    <row r="11" spans="1:15">
      <c r="A11" s="52">
        <v>8</v>
      </c>
      <c r="B11" s="226">
        <v>45877</v>
      </c>
      <c r="C11" s="78"/>
      <c r="D11" s="12"/>
      <c r="E11" s="15">
        <v>0</v>
      </c>
      <c r="F11" s="15">
        <v>0</v>
      </c>
      <c r="G11" s="202">
        <f t="shared" si="0"/>
        <v>0</v>
      </c>
      <c r="H11" s="151">
        <v>0</v>
      </c>
      <c r="I11" s="151">
        <v>0</v>
      </c>
      <c r="J11" s="208">
        <f t="shared" si="1"/>
        <v>0</v>
      </c>
      <c r="K11" s="239">
        <f t="shared" si="2"/>
        <v>0</v>
      </c>
      <c r="L11" s="76">
        <v>0</v>
      </c>
      <c r="M11" s="240">
        <f t="shared" si="3"/>
        <v>0</v>
      </c>
      <c r="N11" s="45"/>
      <c r="O11" s="77"/>
    </row>
    <row r="12" spans="1:15">
      <c r="A12" s="52">
        <v>9</v>
      </c>
      <c r="B12" s="226">
        <v>45878</v>
      </c>
      <c r="C12" s="78"/>
      <c r="D12" s="12"/>
      <c r="E12" s="15">
        <v>0</v>
      </c>
      <c r="F12" s="15">
        <v>0</v>
      </c>
      <c r="G12" s="202">
        <f t="shared" si="0"/>
        <v>0</v>
      </c>
      <c r="H12" s="151">
        <v>0</v>
      </c>
      <c r="I12" s="151">
        <v>0</v>
      </c>
      <c r="J12" s="208">
        <f t="shared" si="1"/>
        <v>0</v>
      </c>
      <c r="K12" s="239">
        <f t="shared" si="2"/>
        <v>0</v>
      </c>
      <c r="L12" s="76">
        <v>0</v>
      </c>
      <c r="M12" s="240">
        <f t="shared" si="3"/>
        <v>0</v>
      </c>
      <c r="N12" s="45"/>
      <c r="O12" s="77"/>
    </row>
    <row r="13" spans="1:15">
      <c r="A13" s="52">
        <v>10</v>
      </c>
      <c r="B13" s="226">
        <v>45879</v>
      </c>
      <c r="C13" s="78"/>
      <c r="D13" s="12"/>
      <c r="E13" s="15">
        <v>0</v>
      </c>
      <c r="F13" s="15">
        <v>0</v>
      </c>
      <c r="G13" s="202">
        <f t="shared" si="0"/>
        <v>0</v>
      </c>
      <c r="H13" s="151">
        <v>0</v>
      </c>
      <c r="I13" s="151">
        <v>0</v>
      </c>
      <c r="J13" s="208">
        <f t="shared" si="1"/>
        <v>0</v>
      </c>
      <c r="K13" s="239">
        <f t="shared" si="2"/>
        <v>0</v>
      </c>
      <c r="L13" s="76">
        <v>0</v>
      </c>
      <c r="M13" s="240">
        <f t="shared" si="3"/>
        <v>0</v>
      </c>
      <c r="N13" s="45"/>
      <c r="O13" s="77"/>
    </row>
    <row r="14" spans="1:15">
      <c r="A14" s="52">
        <v>11</v>
      </c>
      <c r="B14" s="226">
        <v>45880</v>
      </c>
      <c r="C14" s="78"/>
      <c r="D14" s="12"/>
      <c r="E14" s="15">
        <v>0</v>
      </c>
      <c r="F14" s="15">
        <v>0</v>
      </c>
      <c r="G14" s="202">
        <f t="shared" si="0"/>
        <v>0</v>
      </c>
      <c r="H14" s="151">
        <v>0</v>
      </c>
      <c r="I14" s="151">
        <v>0</v>
      </c>
      <c r="J14" s="208">
        <f t="shared" si="1"/>
        <v>0</v>
      </c>
      <c r="K14" s="239">
        <f t="shared" si="2"/>
        <v>0</v>
      </c>
      <c r="L14" s="76">
        <v>0</v>
      </c>
      <c r="M14" s="240">
        <f t="shared" si="3"/>
        <v>0</v>
      </c>
      <c r="N14" s="45"/>
      <c r="O14" s="77"/>
    </row>
    <row r="15" spans="1:15">
      <c r="A15" s="52">
        <v>12</v>
      </c>
      <c r="B15" s="226">
        <v>45881</v>
      </c>
      <c r="C15" s="78"/>
      <c r="D15" s="12"/>
      <c r="E15" s="15">
        <v>0</v>
      </c>
      <c r="F15" s="15">
        <v>0</v>
      </c>
      <c r="G15" s="202">
        <f t="shared" si="0"/>
        <v>0</v>
      </c>
      <c r="H15" s="151">
        <v>0</v>
      </c>
      <c r="I15" s="151">
        <v>0</v>
      </c>
      <c r="J15" s="208">
        <f t="shared" si="1"/>
        <v>0</v>
      </c>
      <c r="K15" s="239">
        <f t="shared" si="2"/>
        <v>0</v>
      </c>
      <c r="L15" s="76">
        <v>0</v>
      </c>
      <c r="M15" s="240">
        <f t="shared" si="3"/>
        <v>0</v>
      </c>
      <c r="N15" s="45"/>
      <c r="O15" s="77"/>
    </row>
    <row r="16" spans="1:15">
      <c r="A16" s="52">
        <v>13</v>
      </c>
      <c r="B16" s="226">
        <v>45882</v>
      </c>
      <c r="C16" s="78"/>
      <c r="D16" s="12"/>
      <c r="E16" s="15">
        <v>0</v>
      </c>
      <c r="F16" s="15">
        <v>0</v>
      </c>
      <c r="G16" s="202">
        <f t="shared" si="0"/>
        <v>0</v>
      </c>
      <c r="H16" s="151">
        <v>0</v>
      </c>
      <c r="I16" s="151">
        <v>0</v>
      </c>
      <c r="J16" s="208">
        <f t="shared" si="1"/>
        <v>0</v>
      </c>
      <c r="K16" s="239">
        <f t="shared" si="2"/>
        <v>0</v>
      </c>
      <c r="L16" s="76">
        <v>0</v>
      </c>
      <c r="M16" s="240">
        <f t="shared" si="3"/>
        <v>0</v>
      </c>
      <c r="N16" s="45"/>
      <c r="O16" s="77"/>
    </row>
    <row r="17" spans="1:15">
      <c r="A17" s="52">
        <v>14</v>
      </c>
      <c r="B17" s="226">
        <v>45883</v>
      </c>
      <c r="C17" s="78"/>
      <c r="D17" s="12"/>
      <c r="E17" s="15">
        <v>0</v>
      </c>
      <c r="F17" s="15">
        <v>0</v>
      </c>
      <c r="G17" s="202">
        <f t="shared" si="0"/>
        <v>0</v>
      </c>
      <c r="H17" s="151">
        <v>0</v>
      </c>
      <c r="I17" s="151">
        <v>0</v>
      </c>
      <c r="J17" s="208">
        <f t="shared" si="1"/>
        <v>0</v>
      </c>
      <c r="K17" s="239">
        <f t="shared" si="2"/>
        <v>0</v>
      </c>
      <c r="L17" s="76">
        <v>0</v>
      </c>
      <c r="M17" s="240">
        <f t="shared" si="3"/>
        <v>0</v>
      </c>
      <c r="N17" s="45"/>
      <c r="O17" s="77"/>
    </row>
    <row r="18" spans="1:15">
      <c r="A18" s="52">
        <v>15</v>
      </c>
      <c r="B18" s="226">
        <v>45884</v>
      </c>
      <c r="C18" s="78"/>
      <c r="D18" s="12"/>
      <c r="E18" s="15">
        <v>0</v>
      </c>
      <c r="F18" s="15">
        <v>0</v>
      </c>
      <c r="G18" s="202">
        <f t="shared" si="0"/>
        <v>0</v>
      </c>
      <c r="H18" s="151">
        <v>0</v>
      </c>
      <c r="I18" s="151">
        <v>0</v>
      </c>
      <c r="J18" s="208">
        <f t="shared" si="1"/>
        <v>0</v>
      </c>
      <c r="K18" s="239">
        <f t="shared" si="2"/>
        <v>0</v>
      </c>
      <c r="L18" s="76">
        <v>0</v>
      </c>
      <c r="M18" s="240">
        <f t="shared" si="3"/>
        <v>0</v>
      </c>
      <c r="N18" s="45"/>
      <c r="O18" s="77"/>
    </row>
    <row r="19" spans="1:15">
      <c r="A19" s="52">
        <v>16</v>
      </c>
      <c r="B19" s="226">
        <v>45885</v>
      </c>
      <c r="C19" s="78"/>
      <c r="D19" s="12"/>
      <c r="E19" s="15">
        <v>0</v>
      </c>
      <c r="F19" s="15">
        <v>0</v>
      </c>
      <c r="G19" s="202">
        <f t="shared" si="0"/>
        <v>0</v>
      </c>
      <c r="H19" s="151">
        <v>0</v>
      </c>
      <c r="I19" s="151">
        <v>0</v>
      </c>
      <c r="J19" s="208">
        <f t="shared" si="1"/>
        <v>0</v>
      </c>
      <c r="K19" s="239">
        <f t="shared" si="2"/>
        <v>0</v>
      </c>
      <c r="L19" s="76">
        <v>0</v>
      </c>
      <c r="M19" s="240">
        <f t="shared" si="3"/>
        <v>0</v>
      </c>
      <c r="N19" s="45"/>
      <c r="O19" s="77"/>
    </row>
    <row r="20" spans="1:15">
      <c r="A20" s="52">
        <v>17</v>
      </c>
      <c r="B20" s="226">
        <v>45886</v>
      </c>
      <c r="C20" s="78"/>
      <c r="D20" s="12"/>
      <c r="E20" s="15">
        <v>0</v>
      </c>
      <c r="F20" s="15">
        <v>0</v>
      </c>
      <c r="G20" s="202">
        <f t="shared" ref="G5:G33" si="4">E20*F20</f>
        <v>0</v>
      </c>
      <c r="H20" s="151">
        <v>0</v>
      </c>
      <c r="I20" s="151">
        <v>0</v>
      </c>
      <c r="J20" s="208">
        <f t="shared" ref="J5:J33" si="5">H20*I20</f>
        <v>0</v>
      </c>
      <c r="K20" s="239">
        <f t="shared" ref="K5:K33" si="6">G20+J20</f>
        <v>0</v>
      </c>
      <c r="L20" s="76">
        <v>0</v>
      </c>
      <c r="M20" s="240">
        <f t="shared" si="3"/>
        <v>0</v>
      </c>
      <c r="N20" s="45"/>
      <c r="O20" s="77"/>
    </row>
    <row r="21" spans="1:15">
      <c r="A21" s="52">
        <v>18</v>
      </c>
      <c r="B21" s="226">
        <v>45887</v>
      </c>
      <c r="C21" s="78"/>
      <c r="D21" s="12"/>
      <c r="E21" s="15">
        <v>0</v>
      </c>
      <c r="F21" s="15">
        <v>0</v>
      </c>
      <c r="G21" s="202">
        <f t="shared" si="4"/>
        <v>0</v>
      </c>
      <c r="H21" s="151">
        <v>0</v>
      </c>
      <c r="I21" s="151">
        <v>0</v>
      </c>
      <c r="J21" s="208">
        <f t="shared" si="5"/>
        <v>0</v>
      </c>
      <c r="K21" s="239">
        <f t="shared" si="6"/>
        <v>0</v>
      </c>
      <c r="L21" s="76">
        <v>0</v>
      </c>
      <c r="M21" s="240">
        <f t="shared" si="3"/>
        <v>0</v>
      </c>
      <c r="N21" s="45"/>
      <c r="O21" s="77"/>
    </row>
    <row r="22" spans="1:15">
      <c r="A22" s="52">
        <v>19</v>
      </c>
      <c r="B22" s="226">
        <v>45888</v>
      </c>
      <c r="C22" s="78"/>
      <c r="D22" s="12"/>
      <c r="E22" s="15">
        <v>0</v>
      </c>
      <c r="F22" s="15">
        <v>0</v>
      </c>
      <c r="G22" s="202">
        <f t="shared" si="4"/>
        <v>0</v>
      </c>
      <c r="H22" s="151">
        <v>0</v>
      </c>
      <c r="I22" s="151">
        <v>0</v>
      </c>
      <c r="J22" s="208">
        <f t="shared" si="5"/>
        <v>0</v>
      </c>
      <c r="K22" s="239">
        <f t="shared" si="6"/>
        <v>0</v>
      </c>
      <c r="L22" s="76">
        <v>0</v>
      </c>
      <c r="M22" s="240">
        <f t="shared" si="3"/>
        <v>0</v>
      </c>
      <c r="N22" s="45"/>
      <c r="O22" s="77"/>
    </row>
    <row r="23" spans="1:15">
      <c r="A23" s="52">
        <v>20</v>
      </c>
      <c r="B23" s="226">
        <v>45889</v>
      </c>
      <c r="C23" s="78"/>
      <c r="D23" s="12"/>
      <c r="E23" s="15">
        <v>0</v>
      </c>
      <c r="F23" s="15">
        <v>0</v>
      </c>
      <c r="G23" s="202">
        <f t="shared" si="4"/>
        <v>0</v>
      </c>
      <c r="H23" s="151">
        <v>0</v>
      </c>
      <c r="I23" s="151">
        <v>0</v>
      </c>
      <c r="J23" s="208">
        <f t="shared" si="5"/>
        <v>0</v>
      </c>
      <c r="K23" s="239">
        <f t="shared" si="6"/>
        <v>0</v>
      </c>
      <c r="L23" s="76">
        <v>0</v>
      </c>
      <c r="M23" s="240">
        <f t="shared" si="3"/>
        <v>0</v>
      </c>
      <c r="N23" s="45"/>
      <c r="O23" s="77"/>
    </row>
    <row r="24" spans="1:15">
      <c r="A24" s="52">
        <v>21</v>
      </c>
      <c r="B24" s="226">
        <v>45890</v>
      </c>
      <c r="C24" s="78"/>
      <c r="D24" s="12"/>
      <c r="E24" s="15">
        <v>0</v>
      </c>
      <c r="F24" s="15">
        <v>0</v>
      </c>
      <c r="G24" s="202">
        <f t="shared" si="4"/>
        <v>0</v>
      </c>
      <c r="H24" s="151">
        <v>0</v>
      </c>
      <c r="I24" s="151">
        <v>0</v>
      </c>
      <c r="J24" s="208">
        <f t="shared" si="5"/>
        <v>0</v>
      </c>
      <c r="K24" s="239">
        <f t="shared" si="6"/>
        <v>0</v>
      </c>
      <c r="L24" s="76">
        <v>0</v>
      </c>
      <c r="M24" s="240">
        <f t="shared" si="3"/>
        <v>0</v>
      </c>
      <c r="N24" s="45"/>
      <c r="O24" s="77"/>
    </row>
    <row r="25" spans="1:15">
      <c r="A25" s="52">
        <v>22</v>
      </c>
      <c r="B25" s="226">
        <v>45891</v>
      </c>
      <c r="C25" s="212"/>
      <c r="D25" s="12"/>
      <c r="E25" s="15">
        <v>0</v>
      </c>
      <c r="F25" s="15">
        <v>0</v>
      </c>
      <c r="G25" s="202">
        <f t="shared" si="4"/>
        <v>0</v>
      </c>
      <c r="H25" s="151">
        <v>0</v>
      </c>
      <c r="I25" s="151">
        <v>0</v>
      </c>
      <c r="J25" s="208">
        <f t="shared" si="5"/>
        <v>0</v>
      </c>
      <c r="K25" s="239">
        <f t="shared" si="6"/>
        <v>0</v>
      </c>
      <c r="L25" s="76">
        <v>0</v>
      </c>
      <c r="M25" s="240">
        <f t="shared" si="3"/>
        <v>0</v>
      </c>
      <c r="N25" s="45"/>
      <c r="O25" s="77"/>
    </row>
    <row r="26" spans="1:15">
      <c r="A26" s="52">
        <v>23</v>
      </c>
      <c r="B26" s="226">
        <v>45892</v>
      </c>
      <c r="C26" s="75"/>
      <c r="D26" s="12"/>
      <c r="E26" s="15">
        <v>0</v>
      </c>
      <c r="F26" s="15">
        <v>0</v>
      </c>
      <c r="G26" s="202">
        <f t="shared" si="4"/>
        <v>0</v>
      </c>
      <c r="H26" s="151">
        <v>0</v>
      </c>
      <c r="I26" s="151">
        <v>0</v>
      </c>
      <c r="J26" s="208">
        <f t="shared" si="5"/>
        <v>0</v>
      </c>
      <c r="K26" s="239">
        <f t="shared" si="6"/>
        <v>0</v>
      </c>
      <c r="L26" s="76">
        <v>0</v>
      </c>
      <c r="M26" s="240">
        <f t="shared" si="3"/>
        <v>0</v>
      </c>
      <c r="N26" s="197"/>
      <c r="O26" s="77"/>
    </row>
    <row r="27" spans="1:15">
      <c r="A27" s="52">
        <v>24</v>
      </c>
      <c r="B27" s="226">
        <v>45893</v>
      </c>
      <c r="C27" s="75"/>
      <c r="D27" s="12"/>
      <c r="E27" s="15">
        <v>0</v>
      </c>
      <c r="F27" s="15">
        <v>0</v>
      </c>
      <c r="G27" s="202">
        <f t="shared" si="4"/>
        <v>0</v>
      </c>
      <c r="H27" s="151">
        <v>0</v>
      </c>
      <c r="I27" s="151">
        <v>0</v>
      </c>
      <c r="J27" s="208">
        <f t="shared" si="5"/>
        <v>0</v>
      </c>
      <c r="K27" s="239">
        <f t="shared" si="6"/>
        <v>0</v>
      </c>
      <c r="L27" s="76">
        <v>0</v>
      </c>
      <c r="M27" s="240">
        <f t="shared" si="3"/>
        <v>0</v>
      </c>
      <c r="N27" s="197"/>
      <c r="O27" s="77"/>
    </row>
    <row r="28" spans="1:15">
      <c r="A28" s="52">
        <v>25</v>
      </c>
      <c r="B28" s="226">
        <v>45894</v>
      </c>
      <c r="C28" s="75"/>
      <c r="D28" s="12"/>
      <c r="E28" s="15">
        <v>0</v>
      </c>
      <c r="F28" s="15">
        <v>0</v>
      </c>
      <c r="G28" s="202">
        <f t="shared" si="4"/>
        <v>0</v>
      </c>
      <c r="H28" s="151">
        <v>0</v>
      </c>
      <c r="I28" s="151">
        <v>0</v>
      </c>
      <c r="J28" s="208">
        <f t="shared" si="5"/>
        <v>0</v>
      </c>
      <c r="K28" s="239">
        <f t="shared" si="6"/>
        <v>0</v>
      </c>
      <c r="L28" s="76">
        <v>0</v>
      </c>
      <c r="M28" s="240">
        <f t="shared" si="3"/>
        <v>0</v>
      </c>
      <c r="N28" s="197"/>
      <c r="O28" s="77"/>
    </row>
    <row r="29" spans="1:15">
      <c r="A29" s="52">
        <v>26</v>
      </c>
      <c r="B29" s="226">
        <v>45895</v>
      </c>
      <c r="C29" s="75"/>
      <c r="D29" s="12"/>
      <c r="E29" s="15">
        <v>0</v>
      </c>
      <c r="F29" s="15">
        <v>0</v>
      </c>
      <c r="G29" s="202">
        <f t="shared" si="4"/>
        <v>0</v>
      </c>
      <c r="H29" s="151">
        <v>0</v>
      </c>
      <c r="I29" s="151">
        <v>0</v>
      </c>
      <c r="J29" s="208">
        <f t="shared" si="5"/>
        <v>0</v>
      </c>
      <c r="K29" s="239">
        <f t="shared" si="6"/>
        <v>0</v>
      </c>
      <c r="L29" s="76">
        <v>0</v>
      </c>
      <c r="M29" s="240">
        <f t="shared" si="3"/>
        <v>0</v>
      </c>
      <c r="N29" s="197"/>
      <c r="O29" s="77"/>
    </row>
    <row r="30" spans="1:15">
      <c r="A30" s="52">
        <v>27</v>
      </c>
      <c r="B30" s="226">
        <v>45896</v>
      </c>
      <c r="C30" s="75"/>
      <c r="D30" s="12"/>
      <c r="E30" s="15">
        <v>0</v>
      </c>
      <c r="F30" s="15">
        <v>0</v>
      </c>
      <c r="G30" s="202">
        <f t="shared" si="4"/>
        <v>0</v>
      </c>
      <c r="H30" s="151">
        <v>0</v>
      </c>
      <c r="I30" s="151">
        <v>0</v>
      </c>
      <c r="J30" s="208">
        <f t="shared" si="5"/>
        <v>0</v>
      </c>
      <c r="K30" s="239">
        <f t="shared" si="6"/>
        <v>0</v>
      </c>
      <c r="L30" s="76">
        <v>0</v>
      </c>
      <c r="M30" s="240">
        <f t="shared" si="3"/>
        <v>0</v>
      </c>
      <c r="N30" s="197"/>
      <c r="O30" s="77"/>
    </row>
    <row r="31" spans="1:15">
      <c r="A31" s="52">
        <v>28</v>
      </c>
      <c r="B31" s="226">
        <v>45897</v>
      </c>
      <c r="C31" s="75"/>
      <c r="D31" s="12"/>
      <c r="E31" s="15">
        <v>0</v>
      </c>
      <c r="F31" s="15">
        <v>0</v>
      </c>
      <c r="G31" s="202">
        <f t="shared" si="4"/>
        <v>0</v>
      </c>
      <c r="H31" s="151">
        <v>0</v>
      </c>
      <c r="I31" s="151">
        <v>0</v>
      </c>
      <c r="J31" s="208">
        <f t="shared" si="5"/>
        <v>0</v>
      </c>
      <c r="K31" s="239">
        <f t="shared" si="6"/>
        <v>0</v>
      </c>
      <c r="L31" s="76">
        <v>0</v>
      </c>
      <c r="M31" s="240">
        <f t="shared" si="3"/>
        <v>0</v>
      </c>
      <c r="N31" s="197"/>
      <c r="O31" s="77"/>
    </row>
    <row r="32" spans="1:15">
      <c r="A32" s="221">
        <v>29</v>
      </c>
      <c r="B32" s="226">
        <v>45898</v>
      </c>
      <c r="C32" s="75"/>
      <c r="D32" s="12"/>
      <c r="E32" s="15">
        <v>0</v>
      </c>
      <c r="F32" s="15">
        <v>0</v>
      </c>
      <c r="G32" s="202">
        <f t="shared" si="4"/>
        <v>0</v>
      </c>
      <c r="H32" s="151">
        <v>0</v>
      </c>
      <c r="I32" s="151">
        <v>0</v>
      </c>
      <c r="J32" s="208">
        <f t="shared" si="5"/>
        <v>0</v>
      </c>
      <c r="K32" s="239">
        <f t="shared" si="6"/>
        <v>0</v>
      </c>
      <c r="L32" s="76">
        <v>0</v>
      </c>
      <c r="M32" s="240">
        <f t="shared" si="3"/>
        <v>0</v>
      </c>
      <c r="N32" s="197"/>
      <c r="O32" s="77"/>
    </row>
    <row r="33" spans="1:15">
      <c r="A33" s="221">
        <v>30</v>
      </c>
      <c r="B33" s="226">
        <v>45899</v>
      </c>
      <c r="C33" s="75"/>
      <c r="D33" s="12"/>
      <c r="E33" s="15">
        <v>0</v>
      </c>
      <c r="F33" s="15">
        <v>0</v>
      </c>
      <c r="G33" s="202">
        <f t="shared" si="4"/>
        <v>0</v>
      </c>
      <c r="H33" s="151">
        <v>0</v>
      </c>
      <c r="I33" s="151">
        <v>0</v>
      </c>
      <c r="J33" s="208">
        <f t="shared" si="5"/>
        <v>0</v>
      </c>
      <c r="K33" s="239">
        <f t="shared" si="6"/>
        <v>0</v>
      </c>
      <c r="L33" s="76">
        <v>0</v>
      </c>
      <c r="M33" s="240">
        <f t="shared" ref="M33:M34" si="7">M32+K33-L33</f>
        <v>0</v>
      </c>
      <c r="N33" s="197"/>
      <c r="O33" s="77"/>
    </row>
    <row r="34" spans="1:15">
      <c r="A34" s="221">
        <v>31</v>
      </c>
      <c r="B34" s="226"/>
      <c r="C34" s="138"/>
      <c r="D34" s="79"/>
      <c r="E34" s="15">
        <v>0</v>
      </c>
      <c r="F34" s="15">
        <v>0</v>
      </c>
      <c r="G34" s="202">
        <f t="shared" ref="G33:G34" si="8">E34*F34</f>
        <v>0</v>
      </c>
      <c r="H34" s="151">
        <v>0</v>
      </c>
      <c r="I34" s="151">
        <v>0</v>
      </c>
      <c r="J34" s="208">
        <f t="shared" ref="J33:J34" si="9">H34*I34</f>
        <v>0</v>
      </c>
      <c r="K34" s="239">
        <f t="shared" ref="K33:K34" si="10">G34+J34</f>
        <v>0</v>
      </c>
      <c r="L34" s="76">
        <v>0</v>
      </c>
      <c r="M34" s="240">
        <f t="shared" si="7"/>
        <v>0</v>
      </c>
      <c r="N34" s="197"/>
      <c r="O34" s="77"/>
    </row>
    <row r="35" spans="1:15">
      <c r="A35" s="214"/>
      <c r="B35" s="214"/>
      <c r="C35" s="214"/>
      <c r="D35" s="214"/>
      <c r="E35" s="199">
        <f>SUM(E4:E33)</f>
        <v>0</v>
      </c>
      <c r="F35" s="199"/>
      <c r="G35" s="199">
        <f>SUM(G4:G33)</f>
        <v>0</v>
      </c>
      <c r="H35" s="199">
        <f>SUM(H4:H33)</f>
        <v>0</v>
      </c>
      <c r="I35" s="199"/>
      <c r="J35" s="199">
        <f>SUM(J4:J33)</f>
        <v>0</v>
      </c>
      <c r="K35" s="199">
        <f>SUM(K4:K33)</f>
        <v>0</v>
      </c>
      <c r="L35" s="199">
        <f>SUM(L4:L33)</f>
        <v>0</v>
      </c>
      <c r="M35" s="199"/>
      <c r="N35" s="80"/>
      <c r="O35" s="67"/>
    </row>
    <row r="36" spans="1:15">
      <c r="A36" s="81"/>
      <c r="B36" s="82"/>
      <c r="C36" s="81"/>
      <c r="D36" s="81"/>
      <c r="E36" s="83"/>
      <c r="F36" s="83"/>
      <c r="G36" s="203"/>
      <c r="H36" s="83"/>
      <c r="I36" s="83"/>
      <c r="J36" s="203"/>
      <c r="K36" s="84"/>
      <c r="L36" s="84"/>
      <c r="M36" s="84"/>
      <c r="N36" s="83"/>
      <c r="O36" s="77"/>
    </row>
    <row r="37" spans="1:15">
      <c r="A37" s="77"/>
      <c r="B37" s="67"/>
      <c r="C37" s="77"/>
      <c r="D37" s="77"/>
      <c r="E37" s="77"/>
      <c r="F37" s="77"/>
      <c r="G37" s="204"/>
      <c r="H37" s="77"/>
      <c r="I37" s="77"/>
      <c r="J37" s="205"/>
      <c r="K37" s="67"/>
      <c r="L37" s="67"/>
      <c r="M37" s="67"/>
      <c r="N37" s="77"/>
      <c r="O37" s="83"/>
    </row>
    <row r="38" spans="1:15">
      <c r="A38" s="77"/>
      <c r="B38" s="420"/>
      <c r="C38" s="420"/>
      <c r="D38" s="420"/>
      <c r="E38" s="420"/>
      <c r="F38" s="77"/>
      <c r="G38" s="205"/>
      <c r="H38" s="77"/>
      <c r="I38" s="420"/>
      <c r="J38" s="420"/>
      <c r="K38" s="420"/>
      <c r="L38" s="420"/>
      <c r="M38" s="420"/>
      <c r="N38" s="420"/>
      <c r="O38" s="83"/>
    </row>
    <row r="39" spans="1:15">
      <c r="A39" s="77"/>
      <c r="B39" s="67"/>
      <c r="C39" s="77"/>
      <c r="D39" s="77"/>
      <c r="E39" s="77"/>
      <c r="F39" s="77"/>
      <c r="G39" s="205"/>
      <c r="H39" s="77"/>
      <c r="I39" s="77"/>
      <c r="J39" s="205"/>
      <c r="K39" s="67"/>
      <c r="L39" s="67"/>
      <c r="M39" s="67"/>
      <c r="N39" s="77"/>
      <c r="O39" s="83"/>
    </row>
    <row r="47" spans="1:15">
      <c r="L47" s="86">
        <v>3010</v>
      </c>
    </row>
    <row r="48" spans="1:15">
      <c r="L48" s="86">
        <v>4900</v>
      </c>
    </row>
    <row r="49" spans="12:12">
      <c r="L49" s="86">
        <v>6953</v>
      </c>
    </row>
    <row r="50" spans="12:12">
      <c r="L50" s="86">
        <v>7527</v>
      </c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Q41"/>
  <sheetViews>
    <sheetView workbookViewId="0">
      <selection activeCell="Q9" sqref="Q9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4" bestFit="1" customWidth="1"/>
  </cols>
  <sheetData>
    <row r="1" spans="1:17" ht="15.75">
      <c r="A1" s="407" t="s">
        <v>74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17" ht="30.75">
      <c r="A2" s="107" t="s">
        <v>94</v>
      </c>
      <c r="B2" s="108" t="s">
        <v>95</v>
      </c>
      <c r="C2" s="108" t="s">
        <v>96</v>
      </c>
      <c r="D2" s="108" t="s">
        <v>97</v>
      </c>
      <c r="E2" s="108" t="s">
        <v>98</v>
      </c>
      <c r="F2" s="108" t="s">
        <v>99</v>
      </c>
      <c r="G2" s="200" t="s">
        <v>100</v>
      </c>
      <c r="H2" s="108" t="s">
        <v>101</v>
      </c>
      <c r="I2" s="108" t="s">
        <v>99</v>
      </c>
      <c r="J2" s="207" t="s">
        <v>100</v>
      </c>
      <c r="K2" s="109" t="s">
        <v>102</v>
      </c>
      <c r="L2" s="149" t="s">
        <v>103</v>
      </c>
      <c r="M2" s="363" t="s">
        <v>110</v>
      </c>
      <c r="N2" s="110" t="s">
        <v>105</v>
      </c>
    </row>
    <row r="3" spans="1:17">
      <c r="A3" s="167"/>
      <c r="B3" s="19"/>
      <c r="C3" s="19"/>
      <c r="D3" s="256" t="s">
        <v>106</v>
      </c>
      <c r="E3" s="19"/>
      <c r="F3" s="19"/>
      <c r="G3" s="201"/>
      <c r="H3" s="19"/>
      <c r="I3" s="19"/>
      <c r="J3" s="201"/>
      <c r="K3" s="307">
        <v>506954.43250000046</v>
      </c>
      <c r="L3" s="19"/>
      <c r="M3" s="44">
        <v>506954.43250000046</v>
      </c>
      <c r="N3" s="19">
        <v>498491.65490000008</v>
      </c>
      <c r="O3">
        <v>498746.18490000011</v>
      </c>
      <c r="P3" s="24">
        <f>N3-O3</f>
        <v>-254.53000000002794</v>
      </c>
    </row>
    <row r="4" spans="1:17">
      <c r="A4" s="221">
        <v>1</v>
      </c>
      <c r="B4" s="255">
        <v>45870</v>
      </c>
      <c r="C4" s="147"/>
      <c r="D4" s="147"/>
      <c r="E4" s="290">
        <v>38.770000000000003</v>
      </c>
      <c r="F4" s="290">
        <v>91.48</v>
      </c>
      <c r="G4" s="298">
        <f>E4*F4</f>
        <v>3546.6796000000004</v>
      </c>
      <c r="H4" s="290">
        <v>10</v>
      </c>
      <c r="I4" s="290">
        <v>103.41</v>
      </c>
      <c r="J4" s="290">
        <f>H4*I4</f>
        <v>1034.0999999999999</v>
      </c>
      <c r="K4" s="298">
        <f>G4+J4</f>
        <v>4580.7795999999998</v>
      </c>
      <c r="L4" s="147"/>
      <c r="M4" s="364">
        <f>M3+K4-L4</f>
        <v>511535.21210000047</v>
      </c>
      <c r="N4" s="147"/>
      <c r="O4" s="24"/>
    </row>
    <row r="5" spans="1:17">
      <c r="A5" s="52">
        <v>2</v>
      </c>
      <c r="B5" s="255">
        <v>45871</v>
      </c>
      <c r="C5" s="19"/>
      <c r="D5" s="19"/>
      <c r="E5" s="290">
        <v>834.54</v>
      </c>
      <c r="F5" s="290">
        <v>91.48</v>
      </c>
      <c r="G5" s="298">
        <f t="shared" ref="G5:G38" si="0">E5*F5</f>
        <v>76343.719200000007</v>
      </c>
      <c r="H5" s="290">
        <v>10</v>
      </c>
      <c r="I5" s="290">
        <v>103.41</v>
      </c>
      <c r="J5" s="290">
        <f>H5*I5</f>
        <v>1034.0999999999999</v>
      </c>
      <c r="K5" s="298">
        <f t="shared" ref="K5:K38" si="1">G5+J5</f>
        <v>77377.819200000013</v>
      </c>
      <c r="L5" s="147">
        <v>500000</v>
      </c>
      <c r="M5" s="364">
        <f t="shared" ref="M5:M39" si="2">M4+K5-L5</f>
        <v>88913.031300000497</v>
      </c>
      <c r="N5" s="19"/>
    </row>
    <row r="6" spans="1:17">
      <c r="A6" s="52">
        <v>3</v>
      </c>
      <c r="B6" s="255">
        <v>45872</v>
      </c>
      <c r="C6" s="19"/>
      <c r="D6" s="19"/>
      <c r="E6" s="290">
        <v>264.19</v>
      </c>
      <c r="F6" s="290">
        <v>91.48</v>
      </c>
      <c r="G6" s="298">
        <f t="shared" si="0"/>
        <v>24168.101200000001</v>
      </c>
      <c r="H6" s="290">
        <v>20</v>
      </c>
      <c r="I6" s="290">
        <v>103.41</v>
      </c>
      <c r="J6" s="290">
        <f t="shared" ref="J5:J38" si="3">H6*I6</f>
        <v>2068.1999999999998</v>
      </c>
      <c r="K6" s="298">
        <f t="shared" si="1"/>
        <v>26236.301200000002</v>
      </c>
      <c r="L6" s="147"/>
      <c r="M6" s="364">
        <f t="shared" si="2"/>
        <v>115149.3325000005</v>
      </c>
      <c r="N6" s="19"/>
    </row>
    <row r="7" spans="1:17">
      <c r="A7" s="221">
        <v>4</v>
      </c>
      <c r="B7" s="255">
        <v>45873</v>
      </c>
      <c r="C7" s="19"/>
      <c r="D7" s="19"/>
      <c r="E7" s="290">
        <v>434.48</v>
      </c>
      <c r="F7" s="290">
        <v>91.48</v>
      </c>
      <c r="G7" s="298">
        <f t="shared" si="0"/>
        <v>39746.2304</v>
      </c>
      <c r="H7" s="290">
        <v>23</v>
      </c>
      <c r="I7" s="290">
        <v>103.41</v>
      </c>
      <c r="J7" s="290">
        <f t="shared" si="3"/>
        <v>2378.4299999999998</v>
      </c>
      <c r="K7" s="298">
        <f t="shared" si="1"/>
        <v>42124.660400000001</v>
      </c>
      <c r="L7" s="147"/>
      <c r="M7" s="364">
        <f t="shared" si="2"/>
        <v>157273.99290000051</v>
      </c>
      <c r="N7" s="19"/>
    </row>
    <row r="8" spans="1:17">
      <c r="A8" s="52">
        <v>5</v>
      </c>
      <c r="B8" s="255">
        <v>45874</v>
      </c>
      <c r="C8" s="19"/>
      <c r="D8" s="19"/>
      <c r="E8" s="290">
        <v>456.73</v>
      </c>
      <c r="F8" s="290">
        <v>91.48</v>
      </c>
      <c r="G8" s="298">
        <f t="shared" si="0"/>
        <v>41781.660400000001</v>
      </c>
      <c r="H8" s="290">
        <v>26</v>
      </c>
      <c r="I8" s="290">
        <v>103.41</v>
      </c>
      <c r="J8" s="290">
        <f t="shared" si="3"/>
        <v>2688.66</v>
      </c>
      <c r="K8" s="298">
        <f t="shared" si="1"/>
        <v>44470.320399999997</v>
      </c>
      <c r="L8" s="147"/>
      <c r="M8" s="364">
        <f t="shared" si="2"/>
        <v>201744.3133000005</v>
      </c>
      <c r="N8" s="19"/>
    </row>
    <row r="9" spans="1:17">
      <c r="A9" s="52">
        <v>6</v>
      </c>
      <c r="B9" s="255">
        <v>45875</v>
      </c>
      <c r="C9" s="19"/>
      <c r="D9" s="19"/>
      <c r="E9" s="290">
        <v>27</v>
      </c>
      <c r="F9" s="290">
        <v>91.48</v>
      </c>
      <c r="G9" s="298">
        <f t="shared" si="0"/>
        <v>2469.96</v>
      </c>
      <c r="H9" s="290">
        <v>5</v>
      </c>
      <c r="I9" s="290">
        <v>103.41</v>
      </c>
      <c r="J9" s="290">
        <f t="shared" si="3"/>
        <v>517.04999999999995</v>
      </c>
      <c r="K9" s="298">
        <f t="shared" si="1"/>
        <v>2987.01</v>
      </c>
      <c r="L9" s="147"/>
      <c r="M9" s="364">
        <f t="shared" si="2"/>
        <v>204731.32330000051</v>
      </c>
      <c r="N9" s="19"/>
      <c r="Q9" s="404"/>
    </row>
    <row r="10" spans="1:17">
      <c r="A10" s="221">
        <v>7</v>
      </c>
      <c r="B10" s="255">
        <v>45876</v>
      </c>
      <c r="C10" s="19"/>
      <c r="D10" s="19"/>
      <c r="E10" s="290">
        <v>684.88</v>
      </c>
      <c r="F10" s="290">
        <v>91.48</v>
      </c>
      <c r="G10" s="298">
        <f t="shared" si="0"/>
        <v>62652.822400000005</v>
      </c>
      <c r="H10" s="290">
        <v>38</v>
      </c>
      <c r="I10" s="290">
        <v>103.41</v>
      </c>
      <c r="J10" s="290">
        <f t="shared" si="3"/>
        <v>3929.58</v>
      </c>
      <c r="K10" s="298">
        <f t="shared" si="1"/>
        <v>66582.402400000006</v>
      </c>
      <c r="L10" s="147"/>
      <c r="M10" s="364">
        <f t="shared" si="2"/>
        <v>271313.72570000053</v>
      </c>
      <c r="N10" s="19"/>
    </row>
    <row r="11" spans="1:17">
      <c r="A11" s="52">
        <v>8</v>
      </c>
      <c r="B11" s="255">
        <v>45877</v>
      </c>
      <c r="C11" s="19"/>
      <c r="D11" s="19"/>
      <c r="E11" s="290">
        <v>40.32</v>
      </c>
      <c r="F11" s="290">
        <v>91.48</v>
      </c>
      <c r="G11" s="298">
        <f t="shared" si="0"/>
        <v>3688.4736000000003</v>
      </c>
      <c r="H11" s="290">
        <v>21</v>
      </c>
      <c r="I11" s="290">
        <v>103.41</v>
      </c>
      <c r="J11" s="290">
        <f t="shared" si="3"/>
        <v>2171.61</v>
      </c>
      <c r="K11" s="298">
        <f t="shared" si="1"/>
        <v>5860.0835999999999</v>
      </c>
      <c r="L11" s="147"/>
      <c r="M11" s="364">
        <f t="shared" si="2"/>
        <v>277173.80930000055</v>
      </c>
      <c r="N11" s="19"/>
    </row>
    <row r="12" spans="1:17">
      <c r="A12" s="52">
        <v>9</v>
      </c>
      <c r="B12" s="255">
        <v>45878</v>
      </c>
      <c r="C12" s="19"/>
      <c r="D12" s="19"/>
      <c r="E12" s="290">
        <v>85.32</v>
      </c>
      <c r="F12" s="290">
        <v>91.48</v>
      </c>
      <c r="G12" s="298">
        <f t="shared" si="0"/>
        <v>7805.0735999999997</v>
      </c>
      <c r="H12" s="290">
        <v>0</v>
      </c>
      <c r="I12" s="290">
        <v>0</v>
      </c>
      <c r="J12" s="290">
        <f t="shared" si="3"/>
        <v>0</v>
      </c>
      <c r="K12" s="298">
        <f t="shared" si="1"/>
        <v>7805.0735999999997</v>
      </c>
      <c r="L12" s="147"/>
      <c r="M12" s="364">
        <f t="shared" si="2"/>
        <v>284978.88290000055</v>
      </c>
      <c r="N12" s="19"/>
    </row>
    <row r="13" spans="1:17">
      <c r="A13" s="221">
        <v>10</v>
      </c>
      <c r="B13" s="255">
        <v>45879</v>
      </c>
      <c r="C13" s="19"/>
      <c r="D13" s="19"/>
      <c r="E13" s="290">
        <v>0</v>
      </c>
      <c r="F13" s="290">
        <v>0</v>
      </c>
      <c r="G13" s="298">
        <f t="shared" si="0"/>
        <v>0</v>
      </c>
      <c r="H13" s="290">
        <v>16</v>
      </c>
      <c r="I13" s="290">
        <v>103.41</v>
      </c>
      <c r="J13" s="290">
        <f t="shared" si="3"/>
        <v>1654.56</v>
      </c>
      <c r="K13" s="298">
        <f t="shared" si="1"/>
        <v>1654.56</v>
      </c>
      <c r="L13" s="147"/>
      <c r="M13" s="364">
        <f t="shared" si="2"/>
        <v>286633.44290000055</v>
      </c>
      <c r="N13" s="19"/>
    </row>
    <row r="14" spans="1:17">
      <c r="A14" s="52">
        <v>11</v>
      </c>
      <c r="B14" s="255">
        <v>45880</v>
      </c>
      <c r="C14" s="19"/>
      <c r="D14" s="19"/>
      <c r="E14" s="290">
        <v>283.43</v>
      </c>
      <c r="F14" s="290">
        <v>91.48</v>
      </c>
      <c r="G14" s="298">
        <f t="shared" si="0"/>
        <v>25928.1764</v>
      </c>
      <c r="H14" s="290">
        <v>17</v>
      </c>
      <c r="I14" s="290">
        <v>103.41</v>
      </c>
      <c r="J14" s="290">
        <f t="shared" si="3"/>
        <v>1757.97</v>
      </c>
      <c r="K14" s="298">
        <f t="shared" si="1"/>
        <v>27686.146400000001</v>
      </c>
      <c r="L14" s="147"/>
      <c r="M14" s="364">
        <f t="shared" si="2"/>
        <v>314319.58930000057</v>
      </c>
      <c r="N14" s="19"/>
    </row>
    <row r="15" spans="1:17">
      <c r="A15" s="52">
        <v>12</v>
      </c>
      <c r="B15" s="255">
        <v>45881</v>
      </c>
      <c r="C15" s="19"/>
      <c r="D15" s="19"/>
      <c r="E15" s="290">
        <v>919.12</v>
      </c>
      <c r="F15" s="290">
        <v>91.48</v>
      </c>
      <c r="G15" s="298">
        <f t="shared" si="0"/>
        <v>84081.097600000008</v>
      </c>
      <c r="H15" s="290">
        <v>32</v>
      </c>
      <c r="I15" s="290">
        <v>103.41</v>
      </c>
      <c r="J15" s="290">
        <f t="shared" si="3"/>
        <v>3309.12</v>
      </c>
      <c r="K15" s="298">
        <f t="shared" si="1"/>
        <v>87390.217600000004</v>
      </c>
      <c r="L15" s="147"/>
      <c r="M15" s="364">
        <f t="shared" si="2"/>
        <v>401709.80690000055</v>
      </c>
      <c r="N15" s="19"/>
    </row>
    <row r="16" spans="1:17">
      <c r="A16" s="221">
        <v>13</v>
      </c>
      <c r="B16" s="255">
        <v>45882</v>
      </c>
      <c r="C16" s="19"/>
      <c r="D16" s="19"/>
      <c r="E16" s="290">
        <v>0</v>
      </c>
      <c r="F16" s="290">
        <v>91.48</v>
      </c>
      <c r="G16" s="298">
        <f t="shared" si="0"/>
        <v>0</v>
      </c>
      <c r="H16" s="290">
        <v>0</v>
      </c>
      <c r="I16" s="290">
        <v>103.41</v>
      </c>
      <c r="J16" s="290">
        <f t="shared" si="3"/>
        <v>0</v>
      </c>
      <c r="K16" s="298">
        <f t="shared" si="1"/>
        <v>0</v>
      </c>
      <c r="L16" s="147">
        <v>200000</v>
      </c>
      <c r="M16" s="364">
        <f t="shared" si="2"/>
        <v>201709.80690000055</v>
      </c>
      <c r="N16" s="19"/>
    </row>
    <row r="17" spans="1:16">
      <c r="A17" s="52">
        <v>14</v>
      </c>
      <c r="B17" s="255">
        <v>45883</v>
      </c>
      <c r="C17" s="19"/>
      <c r="D17" s="19"/>
      <c r="E17" s="290">
        <v>79.510000000000005</v>
      </c>
      <c r="F17" s="290">
        <v>91.48</v>
      </c>
      <c r="G17" s="298">
        <f t="shared" ref="G17" si="4">E17*F17</f>
        <v>7273.5748000000012</v>
      </c>
      <c r="H17" s="290">
        <v>22</v>
      </c>
      <c r="I17" s="290">
        <v>103.41</v>
      </c>
      <c r="J17" s="290">
        <f t="shared" si="3"/>
        <v>2275.02</v>
      </c>
      <c r="K17" s="298">
        <f t="shared" si="1"/>
        <v>9548.5948000000008</v>
      </c>
      <c r="L17" s="147"/>
      <c r="M17" s="364">
        <f t="shared" si="2"/>
        <v>211258.40170000054</v>
      </c>
      <c r="N17" s="19"/>
      <c r="P17" s="315"/>
    </row>
    <row r="18" spans="1:16">
      <c r="A18" s="52">
        <v>15</v>
      </c>
      <c r="B18" s="255">
        <v>45884</v>
      </c>
      <c r="C18" s="19"/>
      <c r="D18" s="19"/>
      <c r="E18" s="290">
        <v>44.3</v>
      </c>
      <c r="F18" s="290">
        <v>91.48</v>
      </c>
      <c r="G18" s="298">
        <f t="shared" si="0"/>
        <v>4052.5639999999999</v>
      </c>
      <c r="H18" s="290">
        <v>6</v>
      </c>
      <c r="I18" s="290">
        <v>103.41</v>
      </c>
      <c r="J18" s="290">
        <f t="shared" si="3"/>
        <v>620.46</v>
      </c>
      <c r="K18" s="298">
        <f t="shared" si="1"/>
        <v>4673.0239999999994</v>
      </c>
      <c r="L18" s="147"/>
      <c r="M18" s="364">
        <f t="shared" si="2"/>
        <v>215931.42570000055</v>
      </c>
      <c r="N18" s="19"/>
    </row>
    <row r="19" spans="1:16">
      <c r="A19" s="221">
        <v>16</v>
      </c>
      <c r="B19" s="255">
        <v>45885</v>
      </c>
      <c r="C19" s="19"/>
      <c r="D19" s="19"/>
      <c r="E19" s="290">
        <v>233.08</v>
      </c>
      <c r="F19" s="290">
        <v>91.48</v>
      </c>
      <c r="G19" s="298">
        <f t="shared" si="0"/>
        <v>21322.1584</v>
      </c>
      <c r="H19" s="290">
        <v>11</v>
      </c>
      <c r="I19" s="290">
        <v>103.41</v>
      </c>
      <c r="J19" s="290">
        <f t="shared" si="3"/>
        <v>1137.51</v>
      </c>
      <c r="K19" s="298">
        <f t="shared" si="1"/>
        <v>22459.668399999999</v>
      </c>
      <c r="L19" s="147"/>
      <c r="M19" s="364">
        <f t="shared" si="2"/>
        <v>238391.09410000054</v>
      </c>
      <c r="N19" s="19"/>
      <c r="P19" s="24">
        <f>M19-O19</f>
        <v>238391.09410000054</v>
      </c>
    </row>
    <row r="20" spans="1:16">
      <c r="A20" s="52">
        <v>17</v>
      </c>
      <c r="B20" s="255">
        <v>45886</v>
      </c>
      <c r="C20" s="19"/>
      <c r="D20" s="19"/>
      <c r="E20" s="290">
        <v>350.89</v>
      </c>
      <c r="F20" s="290">
        <v>91.48</v>
      </c>
      <c r="G20" s="298">
        <f t="shared" si="0"/>
        <v>32099.4172</v>
      </c>
      <c r="H20" s="290">
        <v>0</v>
      </c>
      <c r="I20" s="290">
        <v>0</v>
      </c>
      <c r="J20" s="290">
        <f t="shared" si="3"/>
        <v>0</v>
      </c>
      <c r="K20" s="298">
        <f t="shared" si="1"/>
        <v>32099.4172</v>
      </c>
      <c r="L20" s="147"/>
      <c r="M20" s="364">
        <f t="shared" si="2"/>
        <v>270490.51130000054</v>
      </c>
      <c r="N20" s="19"/>
    </row>
    <row r="21" spans="1:16">
      <c r="A21" s="52">
        <v>18</v>
      </c>
      <c r="B21" s="255">
        <v>45887</v>
      </c>
      <c r="C21" s="19"/>
      <c r="D21" s="19"/>
      <c r="E21" s="290">
        <v>553.41999999999996</v>
      </c>
      <c r="F21" s="290">
        <v>91.48</v>
      </c>
      <c r="G21" s="298">
        <f t="shared" si="0"/>
        <v>50626.861599999997</v>
      </c>
      <c r="H21" s="290">
        <v>10</v>
      </c>
      <c r="I21" s="290">
        <v>103.41</v>
      </c>
      <c r="J21" s="290">
        <f t="shared" si="3"/>
        <v>1034.0999999999999</v>
      </c>
      <c r="K21" s="298">
        <f t="shared" si="1"/>
        <v>51660.961599999995</v>
      </c>
      <c r="L21" s="147"/>
      <c r="M21" s="364">
        <f t="shared" si="2"/>
        <v>322151.47290000052</v>
      </c>
      <c r="N21" s="19"/>
    </row>
    <row r="22" spans="1:16">
      <c r="A22" s="221">
        <v>19</v>
      </c>
      <c r="B22" s="255">
        <v>45888</v>
      </c>
      <c r="C22" s="19"/>
      <c r="D22" s="19"/>
      <c r="E22" s="290">
        <v>39.909999999999997</v>
      </c>
      <c r="F22" s="290">
        <v>91.48</v>
      </c>
      <c r="G22" s="298">
        <f t="shared" si="0"/>
        <v>3650.9667999999997</v>
      </c>
      <c r="H22" s="290">
        <v>0</v>
      </c>
      <c r="I22" s="290">
        <v>0</v>
      </c>
      <c r="J22" s="290">
        <f t="shared" si="3"/>
        <v>0</v>
      </c>
      <c r="K22" s="298">
        <f t="shared" si="1"/>
        <v>3650.9667999999997</v>
      </c>
      <c r="L22" s="147"/>
      <c r="M22" s="364">
        <f t="shared" si="2"/>
        <v>325802.43970000051</v>
      </c>
      <c r="N22" s="19"/>
    </row>
    <row r="23" spans="1:16">
      <c r="A23" s="52">
        <v>20</v>
      </c>
      <c r="B23" s="255">
        <v>45889</v>
      </c>
      <c r="C23" s="19"/>
      <c r="D23" s="19"/>
      <c r="E23" s="290">
        <v>606.48</v>
      </c>
      <c r="F23" s="290">
        <v>91.48</v>
      </c>
      <c r="G23" s="298">
        <f t="shared" si="0"/>
        <v>55480.790400000005</v>
      </c>
      <c r="H23" s="290">
        <v>24</v>
      </c>
      <c r="I23" s="290">
        <v>103.41</v>
      </c>
      <c r="J23" s="290">
        <f t="shared" si="3"/>
        <v>2481.84</v>
      </c>
      <c r="K23" s="298">
        <f t="shared" si="1"/>
        <v>57962.630400000009</v>
      </c>
      <c r="L23" s="147"/>
      <c r="M23" s="364">
        <f t="shared" si="2"/>
        <v>383765.07010000054</v>
      </c>
      <c r="N23" s="19"/>
    </row>
    <row r="24" spans="1:16">
      <c r="A24" s="52">
        <v>21</v>
      </c>
      <c r="B24" s="255">
        <v>45890</v>
      </c>
      <c r="C24" s="19"/>
      <c r="D24" s="19"/>
      <c r="E24" s="290">
        <v>46.26</v>
      </c>
      <c r="F24" s="290">
        <v>91.48</v>
      </c>
      <c r="G24" s="298">
        <f t="shared" si="0"/>
        <v>4231.8648000000003</v>
      </c>
      <c r="H24" s="290">
        <v>21</v>
      </c>
      <c r="I24" s="290">
        <v>103.41</v>
      </c>
      <c r="J24" s="290">
        <f t="shared" si="3"/>
        <v>2171.61</v>
      </c>
      <c r="K24" s="298">
        <f t="shared" si="1"/>
        <v>6403.4748</v>
      </c>
      <c r="L24" s="147"/>
      <c r="M24" s="364">
        <f t="shared" si="2"/>
        <v>390168.54490000056</v>
      </c>
      <c r="N24" s="19"/>
    </row>
    <row r="25" spans="1:16">
      <c r="A25" s="221">
        <v>22</v>
      </c>
      <c r="B25" s="255">
        <v>45891</v>
      </c>
      <c r="C25" s="19"/>
      <c r="D25" s="19"/>
      <c r="E25" s="290">
        <v>271.25</v>
      </c>
      <c r="F25" s="290">
        <v>91.48</v>
      </c>
      <c r="G25" s="298">
        <f t="shared" si="0"/>
        <v>24813.95</v>
      </c>
      <c r="H25" s="290">
        <v>11</v>
      </c>
      <c r="I25" s="290">
        <v>103.41</v>
      </c>
      <c r="J25" s="290">
        <f t="shared" si="3"/>
        <v>1137.51</v>
      </c>
      <c r="K25" s="298">
        <f t="shared" si="1"/>
        <v>25951.46</v>
      </c>
      <c r="L25" s="147"/>
      <c r="M25" s="364">
        <f t="shared" si="2"/>
        <v>416120.00490000058</v>
      </c>
      <c r="N25" s="19"/>
    </row>
    <row r="26" spans="1:16">
      <c r="A26" s="52">
        <v>23</v>
      </c>
      <c r="B26" s="255">
        <v>45892</v>
      </c>
      <c r="C26" s="19"/>
      <c r="D26" s="19"/>
      <c r="E26" s="290">
        <v>229.46</v>
      </c>
      <c r="F26" s="290">
        <v>91.48</v>
      </c>
      <c r="G26" s="298">
        <f t="shared" si="0"/>
        <v>20991.000800000002</v>
      </c>
      <c r="H26" s="290">
        <v>5</v>
      </c>
      <c r="I26" s="290">
        <v>103.41</v>
      </c>
      <c r="J26" s="290">
        <f t="shared" si="3"/>
        <v>517.04999999999995</v>
      </c>
      <c r="K26" s="298">
        <f t="shared" si="1"/>
        <v>21508.050800000001</v>
      </c>
      <c r="L26" s="147"/>
      <c r="M26" s="364">
        <f t="shared" si="2"/>
        <v>437628.05570000061</v>
      </c>
      <c r="N26" s="19"/>
    </row>
    <row r="27" spans="1:16">
      <c r="A27" s="52">
        <v>24</v>
      </c>
      <c r="B27" s="255">
        <v>45893</v>
      </c>
      <c r="C27" s="19"/>
      <c r="D27" s="19"/>
      <c r="E27" s="290">
        <v>238.37</v>
      </c>
      <c r="F27" s="290">
        <v>91.48</v>
      </c>
      <c r="G27" s="298">
        <f t="shared" si="0"/>
        <v>21806.087600000003</v>
      </c>
      <c r="H27" s="290">
        <v>0</v>
      </c>
      <c r="I27" s="290">
        <v>0</v>
      </c>
      <c r="J27" s="290">
        <f t="shared" si="3"/>
        <v>0</v>
      </c>
      <c r="K27" s="298">
        <f t="shared" si="1"/>
        <v>21806.087600000003</v>
      </c>
      <c r="L27" s="147"/>
      <c r="M27" s="364">
        <f t="shared" si="2"/>
        <v>459434.14330000064</v>
      </c>
      <c r="N27" s="19"/>
    </row>
    <row r="28" spans="1:16">
      <c r="A28" s="221">
        <v>25</v>
      </c>
      <c r="B28" s="255">
        <v>45894</v>
      </c>
      <c r="C28" s="19"/>
      <c r="D28" s="19"/>
      <c r="E28" s="290">
        <v>212.39</v>
      </c>
      <c r="F28" s="290">
        <v>91.48</v>
      </c>
      <c r="G28" s="298">
        <f t="shared" si="0"/>
        <v>19429.4372</v>
      </c>
      <c r="H28" s="290">
        <v>32</v>
      </c>
      <c r="I28" s="290">
        <v>103.41</v>
      </c>
      <c r="J28" s="290">
        <f t="shared" si="3"/>
        <v>3309.12</v>
      </c>
      <c r="K28" s="298">
        <f t="shared" si="1"/>
        <v>22738.557199999999</v>
      </c>
      <c r="L28" s="147"/>
      <c r="M28" s="364">
        <f t="shared" si="2"/>
        <v>482172.70050000062</v>
      </c>
      <c r="N28" s="19"/>
    </row>
    <row r="29" spans="1:16">
      <c r="A29" s="52">
        <v>26</v>
      </c>
      <c r="B29" s="255">
        <v>45895</v>
      </c>
      <c r="C29" s="19"/>
      <c r="D29" s="19"/>
      <c r="E29" s="290">
        <v>363.17</v>
      </c>
      <c r="F29" s="290">
        <v>91.48</v>
      </c>
      <c r="G29" s="298">
        <f t="shared" si="0"/>
        <v>33222.791600000004</v>
      </c>
      <c r="H29" s="290">
        <v>5</v>
      </c>
      <c r="I29" s="290">
        <v>103.41</v>
      </c>
      <c r="J29" s="290">
        <f t="shared" si="3"/>
        <v>517.04999999999995</v>
      </c>
      <c r="K29" s="298">
        <f t="shared" si="1"/>
        <v>33739.841600000007</v>
      </c>
      <c r="L29" s="147"/>
      <c r="M29" s="364">
        <f t="shared" si="2"/>
        <v>515912.5421000006</v>
      </c>
      <c r="N29" s="19"/>
    </row>
    <row r="30" spans="1:16">
      <c r="A30" s="52">
        <v>27</v>
      </c>
      <c r="B30" s="255">
        <v>45896</v>
      </c>
      <c r="C30" s="19"/>
      <c r="D30" s="19"/>
      <c r="E30" s="290">
        <v>44.45</v>
      </c>
      <c r="F30" s="290">
        <v>91.48</v>
      </c>
      <c r="G30" s="298">
        <f t="shared" si="0"/>
        <v>4066.2860000000005</v>
      </c>
      <c r="H30" s="290">
        <v>12</v>
      </c>
      <c r="I30" s="290">
        <v>103.41</v>
      </c>
      <c r="J30" s="290">
        <f t="shared" si="3"/>
        <v>1240.92</v>
      </c>
      <c r="K30" s="298">
        <f t="shared" si="1"/>
        <v>5307.2060000000001</v>
      </c>
      <c r="L30" s="147"/>
      <c r="M30" s="364">
        <f t="shared" si="2"/>
        <v>521219.74810000061</v>
      </c>
      <c r="N30" s="19"/>
    </row>
    <row r="31" spans="1:16">
      <c r="A31" s="221">
        <v>28</v>
      </c>
      <c r="B31" s="255">
        <v>45897</v>
      </c>
      <c r="C31" s="103"/>
      <c r="D31" s="103"/>
      <c r="E31" s="290">
        <v>758</v>
      </c>
      <c r="F31" s="290">
        <v>91.48</v>
      </c>
      <c r="G31" s="298">
        <f t="shared" si="0"/>
        <v>69341.84</v>
      </c>
      <c r="H31" s="290">
        <v>5</v>
      </c>
      <c r="I31" s="290">
        <v>103.41</v>
      </c>
      <c r="J31" s="290">
        <f t="shared" si="3"/>
        <v>517.04999999999995</v>
      </c>
      <c r="K31" s="298">
        <f t="shared" si="1"/>
        <v>69858.89</v>
      </c>
      <c r="L31" s="147"/>
      <c r="M31" s="364">
        <f t="shared" si="2"/>
        <v>591078.63810000056</v>
      </c>
      <c r="N31" s="103"/>
    </row>
    <row r="32" spans="1:16">
      <c r="A32" s="52">
        <v>29</v>
      </c>
      <c r="B32" s="255">
        <v>45898</v>
      </c>
      <c r="C32" s="19"/>
      <c r="D32" s="19"/>
      <c r="E32" s="290">
        <v>1195.25</v>
      </c>
      <c r="F32" s="290">
        <v>91.48</v>
      </c>
      <c r="G32" s="298">
        <f t="shared" si="0"/>
        <v>109341.47</v>
      </c>
      <c r="H32" s="290">
        <v>35.74</v>
      </c>
      <c r="I32" s="290">
        <v>103.41</v>
      </c>
      <c r="J32" s="290">
        <f t="shared" si="3"/>
        <v>3695.8733999999999</v>
      </c>
      <c r="K32" s="298">
        <f t="shared" si="1"/>
        <v>113037.3434</v>
      </c>
      <c r="L32" s="147"/>
      <c r="M32" s="364">
        <f t="shared" si="2"/>
        <v>704115.98150000058</v>
      </c>
      <c r="N32" s="19"/>
    </row>
    <row r="33" spans="1:16">
      <c r="A33" s="52">
        <v>30</v>
      </c>
      <c r="B33" s="255">
        <v>45899</v>
      </c>
      <c r="C33" s="19"/>
      <c r="D33" s="19"/>
      <c r="E33" s="290">
        <v>388.05</v>
      </c>
      <c r="F33" s="290">
        <v>91.48</v>
      </c>
      <c r="G33" s="298">
        <f t="shared" si="0"/>
        <v>35498.814000000006</v>
      </c>
      <c r="H33" s="290">
        <v>35</v>
      </c>
      <c r="I33" s="290">
        <v>103.41</v>
      </c>
      <c r="J33" s="290">
        <f t="shared" si="3"/>
        <v>3619.35</v>
      </c>
      <c r="K33" s="298">
        <f t="shared" si="1"/>
        <v>39118.164000000004</v>
      </c>
      <c r="L33" s="147"/>
      <c r="M33" s="364">
        <f t="shared" si="2"/>
        <v>743234.14550000057</v>
      </c>
      <c r="N33" s="19"/>
    </row>
    <row r="34" spans="1:16">
      <c r="A34" s="221">
        <v>31</v>
      </c>
      <c r="B34" s="255">
        <v>45900</v>
      </c>
      <c r="C34" s="19"/>
      <c r="D34" s="19"/>
      <c r="E34" s="290">
        <v>0</v>
      </c>
      <c r="F34" s="290">
        <v>0</v>
      </c>
      <c r="G34" s="298">
        <f t="shared" si="0"/>
        <v>0</v>
      </c>
      <c r="H34" s="290">
        <v>0</v>
      </c>
      <c r="I34" s="290">
        <v>0</v>
      </c>
      <c r="J34" s="290">
        <f t="shared" si="3"/>
        <v>0</v>
      </c>
      <c r="K34" s="298">
        <f t="shared" si="1"/>
        <v>0</v>
      </c>
      <c r="L34" s="147"/>
      <c r="M34" s="364">
        <f t="shared" si="2"/>
        <v>743234.14550000057</v>
      </c>
      <c r="N34" s="19"/>
    </row>
    <row r="35" spans="1:16">
      <c r="A35" s="52">
        <v>32</v>
      </c>
      <c r="B35" s="255"/>
      <c r="C35" s="19"/>
      <c r="D35" s="19"/>
      <c r="E35" s="290">
        <v>0</v>
      </c>
      <c r="F35" s="290">
        <v>0</v>
      </c>
      <c r="G35" s="298">
        <f t="shared" si="0"/>
        <v>0</v>
      </c>
      <c r="H35" s="290">
        <v>0</v>
      </c>
      <c r="I35" s="290">
        <v>0</v>
      </c>
      <c r="J35" s="290">
        <f t="shared" si="3"/>
        <v>0</v>
      </c>
      <c r="K35" s="298">
        <f t="shared" si="1"/>
        <v>0</v>
      </c>
      <c r="L35" s="147"/>
      <c r="M35" s="364">
        <f t="shared" si="2"/>
        <v>743234.14550000057</v>
      </c>
      <c r="N35" s="19"/>
    </row>
    <row r="36" spans="1:16">
      <c r="A36" s="52">
        <v>33</v>
      </c>
      <c r="B36" s="255"/>
      <c r="C36" s="19"/>
      <c r="D36" s="19"/>
      <c r="E36" s="290">
        <v>0</v>
      </c>
      <c r="F36" s="290">
        <v>0</v>
      </c>
      <c r="G36" s="298">
        <f t="shared" si="0"/>
        <v>0</v>
      </c>
      <c r="H36" s="290">
        <v>0</v>
      </c>
      <c r="I36" s="290">
        <v>0</v>
      </c>
      <c r="J36" s="290">
        <f t="shared" si="3"/>
        <v>0</v>
      </c>
      <c r="K36" s="298">
        <f t="shared" si="1"/>
        <v>0</v>
      </c>
      <c r="L36" s="147"/>
      <c r="M36" s="364">
        <f t="shared" si="2"/>
        <v>743234.14550000057</v>
      </c>
      <c r="N36" s="19"/>
    </row>
    <row r="37" spans="1:16">
      <c r="A37" s="221">
        <v>34</v>
      </c>
      <c r="B37" s="255"/>
      <c r="C37" s="19"/>
      <c r="D37" s="19"/>
      <c r="E37" s="290">
        <v>0</v>
      </c>
      <c r="F37" s="290">
        <v>0</v>
      </c>
      <c r="G37" s="298">
        <f t="shared" si="0"/>
        <v>0</v>
      </c>
      <c r="H37" s="290">
        <v>0</v>
      </c>
      <c r="I37" s="290">
        <v>0</v>
      </c>
      <c r="J37" s="290">
        <f t="shared" si="3"/>
        <v>0</v>
      </c>
      <c r="K37" s="298">
        <f t="shared" si="1"/>
        <v>0</v>
      </c>
      <c r="L37" s="147"/>
      <c r="M37" s="364">
        <f t="shared" si="2"/>
        <v>743234.14550000057</v>
      </c>
      <c r="N37" s="103"/>
    </row>
    <row r="38" spans="1:16">
      <c r="A38" s="52">
        <v>35</v>
      </c>
      <c r="B38" s="255"/>
      <c r="C38" s="19"/>
      <c r="D38" s="19"/>
      <c r="E38" s="290">
        <v>0</v>
      </c>
      <c r="F38" s="290">
        <v>0</v>
      </c>
      <c r="G38" s="298">
        <f t="shared" si="0"/>
        <v>0</v>
      </c>
      <c r="H38" s="290">
        <v>0</v>
      </c>
      <c r="I38" s="290">
        <v>0</v>
      </c>
      <c r="J38" s="290">
        <f t="shared" si="3"/>
        <v>0</v>
      </c>
      <c r="K38" s="298">
        <f t="shared" si="1"/>
        <v>0</v>
      </c>
      <c r="L38" s="147"/>
      <c r="M38" s="364">
        <f t="shared" si="2"/>
        <v>743234.14550000057</v>
      </c>
      <c r="N38" s="19"/>
      <c r="P38" s="24"/>
    </row>
    <row r="39" spans="1:16">
      <c r="A39" s="51"/>
      <c r="B39" s="255"/>
      <c r="C39" s="19"/>
      <c r="D39" s="19"/>
      <c r="E39" s="290">
        <v>0</v>
      </c>
      <c r="F39" s="290">
        <v>0</v>
      </c>
      <c r="G39" s="298">
        <f t="shared" ref="G5:G39" si="5">E39*F39</f>
        <v>0</v>
      </c>
      <c r="H39" s="290">
        <v>0</v>
      </c>
      <c r="I39" s="290">
        <v>0</v>
      </c>
      <c r="J39" s="290">
        <f t="shared" ref="J5:J39" si="6">H39*I39</f>
        <v>0</v>
      </c>
      <c r="K39" s="298">
        <f t="shared" ref="K5:K39" si="7">G39+J39</f>
        <v>0</v>
      </c>
      <c r="L39" s="19"/>
      <c r="M39" s="364">
        <f t="shared" si="2"/>
        <v>743234.14550000057</v>
      </c>
      <c r="N39" s="19"/>
      <c r="P39" s="24"/>
    </row>
    <row r="40" spans="1:16">
      <c r="A40" s="196"/>
      <c r="B40" s="196"/>
      <c r="C40" s="196"/>
      <c r="D40" s="196"/>
      <c r="E40" s="196">
        <f>SUM(E4:E37)</f>
        <v>9723.02</v>
      </c>
      <c r="F40" s="196"/>
      <c r="G40" s="196">
        <f>SUM(G4:G37)</f>
        <v>889461.86959999998</v>
      </c>
      <c r="H40" s="196">
        <f>SUM(H4:H37)</f>
        <v>452.74</v>
      </c>
      <c r="I40" s="196"/>
      <c r="J40" s="196">
        <f>SUM(J4:J37)</f>
        <v>46817.843400000005</v>
      </c>
      <c r="K40" s="196">
        <f>SUM(K4:K37)</f>
        <v>936279.71300000011</v>
      </c>
      <c r="L40" s="196">
        <f>SUM(L4:L37)</f>
        <v>700000</v>
      </c>
      <c r="M40" s="196"/>
      <c r="N40" s="196"/>
    </row>
    <row r="41" spans="1:16">
      <c r="P41" s="24"/>
    </row>
  </sheetData>
  <mergeCells count="1">
    <mergeCell ref="A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O35"/>
  <sheetViews>
    <sheetView workbookViewId="0">
      <selection activeCell="S16" sqref="S16"/>
    </sheetView>
  </sheetViews>
  <sheetFormatPr defaultRowHeight="15"/>
  <cols>
    <col min="2" max="2" width="10.14062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5" ht="15.75">
      <c r="A1" s="436" t="s">
        <v>163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5" ht="30.75">
      <c r="A2" s="134" t="s">
        <v>94</v>
      </c>
      <c r="B2" s="246" t="s">
        <v>95</v>
      </c>
      <c r="C2" s="246" t="s">
        <v>96</v>
      </c>
      <c r="D2" s="246" t="s">
        <v>111</v>
      </c>
      <c r="E2" s="246" t="s">
        <v>98</v>
      </c>
      <c r="F2" s="246" t="s">
        <v>99</v>
      </c>
      <c r="G2" s="246" t="s">
        <v>100</v>
      </c>
      <c r="H2" s="246" t="s">
        <v>101</v>
      </c>
      <c r="I2" s="246" t="s">
        <v>99</v>
      </c>
      <c r="J2" s="246" t="s">
        <v>100</v>
      </c>
      <c r="K2" s="189" t="s">
        <v>102</v>
      </c>
      <c r="L2" s="189" t="s">
        <v>103</v>
      </c>
      <c r="M2" s="189" t="s">
        <v>110</v>
      </c>
      <c r="N2" s="246" t="s">
        <v>105</v>
      </c>
    </row>
    <row r="3" spans="1:15">
      <c r="A3" s="437" t="s">
        <v>106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>
        <v>122991.0978</v>
      </c>
      <c r="N3" s="437"/>
      <c r="O3">
        <v>122991.0978</v>
      </c>
    </row>
    <row r="4" spans="1:15">
      <c r="A4" s="221">
        <v>1</v>
      </c>
      <c r="B4" s="255">
        <v>45870</v>
      </c>
      <c r="C4" s="44">
        <v>0</v>
      </c>
      <c r="D4" s="44"/>
      <c r="E4" s="317">
        <v>284.88</v>
      </c>
      <c r="F4" s="358">
        <v>91.31</v>
      </c>
      <c r="G4" s="44">
        <f>E4*F4</f>
        <v>26012.392800000001</v>
      </c>
      <c r="H4" s="44">
        <v>11</v>
      </c>
      <c r="I4" s="44">
        <v>103.23</v>
      </c>
      <c r="J4" s="44">
        <f>H4*I4</f>
        <v>1135.53</v>
      </c>
      <c r="K4" s="44">
        <f>G4+J4</f>
        <v>27147.9228</v>
      </c>
      <c r="L4" s="44">
        <v>0</v>
      </c>
      <c r="M4" s="44">
        <f>M3+K4-L4</f>
        <v>150139.02059999999</v>
      </c>
      <c r="N4" s="44"/>
    </row>
    <row r="5" spans="1:15">
      <c r="A5" s="52">
        <v>2</v>
      </c>
      <c r="B5" s="255">
        <v>45871</v>
      </c>
      <c r="C5" s="44">
        <v>0</v>
      </c>
      <c r="D5" s="44"/>
      <c r="E5" s="317">
        <v>236.8</v>
      </c>
      <c r="F5" s="358">
        <v>91.31</v>
      </c>
      <c r="G5" s="44">
        <f t="shared" ref="G5:G34" si="0">E5*F5</f>
        <v>21622.208000000002</v>
      </c>
      <c r="H5" s="44">
        <v>0</v>
      </c>
      <c r="I5" s="44">
        <v>103.23</v>
      </c>
      <c r="J5" s="44">
        <f t="shared" ref="J5:J34" si="1">H5*I5</f>
        <v>0</v>
      </c>
      <c r="K5" s="44">
        <f t="shared" ref="K5:K34" si="2">G5+J5</f>
        <v>21622.208000000002</v>
      </c>
      <c r="L5" s="44">
        <v>150000</v>
      </c>
      <c r="M5" s="44">
        <f t="shared" ref="M5:M34" si="3">M4+K5-L5</f>
        <v>21761.228600000002</v>
      </c>
      <c r="N5" s="44"/>
    </row>
    <row r="6" spans="1:15">
      <c r="A6" s="52">
        <v>3</v>
      </c>
      <c r="B6" s="255">
        <v>45872</v>
      </c>
      <c r="C6" s="44">
        <v>0</v>
      </c>
      <c r="D6" s="44"/>
      <c r="E6" s="317">
        <v>0</v>
      </c>
      <c r="F6" s="358">
        <v>0</v>
      </c>
      <c r="G6" s="44">
        <f t="shared" si="0"/>
        <v>0</v>
      </c>
      <c r="H6" s="44">
        <v>0</v>
      </c>
      <c r="I6" s="44">
        <v>0</v>
      </c>
      <c r="J6" s="44">
        <f t="shared" si="1"/>
        <v>0</v>
      </c>
      <c r="K6" s="44">
        <f t="shared" si="2"/>
        <v>0</v>
      </c>
      <c r="L6" s="44">
        <v>0</v>
      </c>
      <c r="M6" s="44">
        <f t="shared" si="3"/>
        <v>21761.228600000002</v>
      </c>
      <c r="N6" s="44"/>
    </row>
    <row r="7" spans="1:15">
      <c r="A7" s="52">
        <v>4</v>
      </c>
      <c r="B7" s="255">
        <v>45873</v>
      </c>
      <c r="C7" s="44">
        <v>0</v>
      </c>
      <c r="D7" s="44"/>
      <c r="E7" s="317">
        <v>0</v>
      </c>
      <c r="F7" s="358">
        <v>0</v>
      </c>
      <c r="G7" s="44">
        <f t="shared" si="0"/>
        <v>0</v>
      </c>
      <c r="H7" s="44">
        <v>0</v>
      </c>
      <c r="I7" s="44">
        <v>0</v>
      </c>
      <c r="J7" s="44">
        <f t="shared" si="1"/>
        <v>0</v>
      </c>
      <c r="K7" s="44">
        <f t="shared" si="2"/>
        <v>0</v>
      </c>
      <c r="L7" s="44">
        <v>0</v>
      </c>
      <c r="M7" s="44">
        <f t="shared" si="3"/>
        <v>21761.228600000002</v>
      </c>
      <c r="N7" s="44"/>
    </row>
    <row r="8" spans="1:15">
      <c r="A8" s="52">
        <v>5</v>
      </c>
      <c r="B8" s="255">
        <v>45874</v>
      </c>
      <c r="C8" s="44">
        <v>0</v>
      </c>
      <c r="D8" s="44"/>
      <c r="E8" s="317">
        <v>30</v>
      </c>
      <c r="F8" s="358">
        <v>91.31</v>
      </c>
      <c r="G8" s="44">
        <f t="shared" si="0"/>
        <v>2739.3</v>
      </c>
      <c r="H8" s="44">
        <v>0</v>
      </c>
      <c r="I8" s="44">
        <v>0</v>
      </c>
      <c r="J8" s="44">
        <f t="shared" si="1"/>
        <v>0</v>
      </c>
      <c r="K8" s="44">
        <f t="shared" si="2"/>
        <v>2739.3</v>
      </c>
      <c r="L8" s="44">
        <v>0</v>
      </c>
      <c r="M8" s="44">
        <f t="shared" si="3"/>
        <v>24500.528600000001</v>
      </c>
      <c r="N8" s="44"/>
    </row>
    <row r="9" spans="1:15">
      <c r="A9" s="52">
        <v>6</v>
      </c>
      <c r="B9" s="255">
        <v>45875</v>
      </c>
      <c r="C9" s="44">
        <v>0</v>
      </c>
      <c r="D9" s="44"/>
      <c r="E9" s="317">
        <v>80.36</v>
      </c>
      <c r="F9" s="358">
        <v>91.31</v>
      </c>
      <c r="G9" s="44">
        <f t="shared" si="0"/>
        <v>7337.6716000000006</v>
      </c>
      <c r="H9" s="44">
        <v>0</v>
      </c>
      <c r="I9" s="44">
        <v>0</v>
      </c>
      <c r="J9" s="44">
        <f t="shared" si="1"/>
        <v>0</v>
      </c>
      <c r="K9" s="44">
        <f t="shared" si="2"/>
        <v>7337.6716000000006</v>
      </c>
      <c r="L9" s="44">
        <v>0</v>
      </c>
      <c r="M9" s="44">
        <f t="shared" si="3"/>
        <v>31838.200200000003</v>
      </c>
      <c r="N9" s="44"/>
    </row>
    <row r="10" spans="1:15">
      <c r="A10" s="52">
        <v>7</v>
      </c>
      <c r="B10" s="255">
        <v>45876</v>
      </c>
      <c r="C10" s="44">
        <v>0</v>
      </c>
      <c r="D10" s="44"/>
      <c r="E10" s="317">
        <v>200</v>
      </c>
      <c r="F10" s="358">
        <v>91.31</v>
      </c>
      <c r="G10" s="44">
        <f t="shared" si="0"/>
        <v>18262</v>
      </c>
      <c r="H10" s="44">
        <v>0</v>
      </c>
      <c r="I10" s="44">
        <v>0</v>
      </c>
      <c r="J10" s="44">
        <f t="shared" si="1"/>
        <v>0</v>
      </c>
      <c r="K10" s="44">
        <f t="shared" si="2"/>
        <v>18262</v>
      </c>
      <c r="L10" s="44">
        <v>0</v>
      </c>
      <c r="M10" s="44">
        <f t="shared" si="3"/>
        <v>50100.200200000007</v>
      </c>
      <c r="N10" s="44"/>
    </row>
    <row r="11" spans="1:15">
      <c r="A11" s="52">
        <v>8</v>
      </c>
      <c r="B11" s="255">
        <v>45877</v>
      </c>
      <c r="C11" s="44">
        <v>0</v>
      </c>
      <c r="D11" s="44"/>
      <c r="E11" s="317">
        <v>40</v>
      </c>
      <c r="F11" s="358">
        <v>91.31</v>
      </c>
      <c r="G11" s="44">
        <f t="shared" si="0"/>
        <v>3652.4</v>
      </c>
      <c r="H11" s="44">
        <v>6</v>
      </c>
      <c r="I11" s="44">
        <v>103.23</v>
      </c>
      <c r="J11" s="44">
        <f t="shared" si="1"/>
        <v>619.38</v>
      </c>
      <c r="K11" s="44">
        <f t="shared" si="2"/>
        <v>4271.78</v>
      </c>
      <c r="L11" s="44">
        <v>0</v>
      </c>
      <c r="M11" s="44">
        <f t="shared" si="3"/>
        <v>54371.980200000005</v>
      </c>
      <c r="N11" s="44"/>
    </row>
    <row r="12" spans="1:15">
      <c r="A12" s="52">
        <v>9</v>
      </c>
      <c r="B12" s="255">
        <v>45878</v>
      </c>
      <c r="C12" s="44">
        <v>0</v>
      </c>
      <c r="D12" s="44"/>
      <c r="E12" s="317">
        <v>0</v>
      </c>
      <c r="F12" s="358">
        <v>0</v>
      </c>
      <c r="G12" s="44">
        <f t="shared" si="0"/>
        <v>0</v>
      </c>
      <c r="H12" s="44">
        <v>0</v>
      </c>
      <c r="I12" s="44">
        <v>0</v>
      </c>
      <c r="J12" s="44">
        <f t="shared" si="1"/>
        <v>0</v>
      </c>
      <c r="K12" s="44">
        <f t="shared" si="2"/>
        <v>0</v>
      </c>
      <c r="L12" s="44">
        <v>0</v>
      </c>
      <c r="M12" s="44">
        <f t="shared" si="3"/>
        <v>54371.980200000005</v>
      </c>
      <c r="N12" s="44"/>
    </row>
    <row r="13" spans="1:15">
      <c r="A13" s="52">
        <v>10</v>
      </c>
      <c r="B13" s="255">
        <v>45879</v>
      </c>
      <c r="C13" s="44">
        <v>0</v>
      </c>
      <c r="D13" s="44"/>
      <c r="E13" s="317">
        <v>0</v>
      </c>
      <c r="F13" s="358">
        <v>0</v>
      </c>
      <c r="G13" s="44">
        <f t="shared" si="0"/>
        <v>0</v>
      </c>
      <c r="H13" s="44">
        <v>0</v>
      </c>
      <c r="I13" s="44">
        <v>0</v>
      </c>
      <c r="J13" s="44">
        <f t="shared" si="1"/>
        <v>0</v>
      </c>
      <c r="K13" s="44">
        <f t="shared" si="2"/>
        <v>0</v>
      </c>
      <c r="L13" s="44">
        <v>0</v>
      </c>
      <c r="M13" s="44">
        <f t="shared" si="3"/>
        <v>54371.980200000005</v>
      </c>
      <c r="N13" s="44"/>
    </row>
    <row r="14" spans="1:15">
      <c r="A14" s="52">
        <v>11</v>
      </c>
      <c r="B14" s="255">
        <v>45880</v>
      </c>
      <c r="C14" s="44">
        <v>0</v>
      </c>
      <c r="D14" s="44"/>
      <c r="E14" s="317">
        <v>200</v>
      </c>
      <c r="F14" s="358">
        <v>91.31</v>
      </c>
      <c r="G14" s="44">
        <f t="shared" si="0"/>
        <v>18262</v>
      </c>
      <c r="H14" s="44">
        <v>15</v>
      </c>
      <c r="I14" s="44">
        <v>103.23</v>
      </c>
      <c r="J14" s="44">
        <f t="shared" si="1"/>
        <v>1548.45</v>
      </c>
      <c r="K14" s="44">
        <f t="shared" si="2"/>
        <v>19810.45</v>
      </c>
      <c r="L14" s="44">
        <v>0</v>
      </c>
      <c r="M14" s="44">
        <f t="shared" si="3"/>
        <v>74182.430200000003</v>
      </c>
      <c r="N14" s="44"/>
    </row>
    <row r="15" spans="1:15">
      <c r="A15" s="52">
        <v>12</v>
      </c>
      <c r="B15" s="255">
        <v>45881</v>
      </c>
      <c r="C15" s="44">
        <v>0</v>
      </c>
      <c r="D15" s="44"/>
      <c r="E15" s="317">
        <v>0</v>
      </c>
      <c r="F15" s="358">
        <v>0</v>
      </c>
      <c r="G15" s="44">
        <f t="shared" si="0"/>
        <v>0</v>
      </c>
      <c r="H15" s="44">
        <v>0</v>
      </c>
      <c r="I15" s="44">
        <v>0</v>
      </c>
      <c r="J15" s="44">
        <f t="shared" si="1"/>
        <v>0</v>
      </c>
      <c r="K15" s="44">
        <f t="shared" si="2"/>
        <v>0</v>
      </c>
      <c r="L15" s="44">
        <v>0</v>
      </c>
      <c r="M15" s="44">
        <f t="shared" si="3"/>
        <v>74182.430200000003</v>
      </c>
      <c r="N15" s="44"/>
    </row>
    <row r="16" spans="1:15">
      <c r="A16" s="52">
        <v>13</v>
      </c>
      <c r="B16" s="255">
        <v>45882</v>
      </c>
      <c r="C16" s="44">
        <v>0</v>
      </c>
      <c r="D16" s="44"/>
      <c r="E16" s="317">
        <v>103.8</v>
      </c>
      <c r="F16" s="358">
        <v>91.31</v>
      </c>
      <c r="G16" s="44">
        <f t="shared" si="0"/>
        <v>9477.9779999999992</v>
      </c>
      <c r="H16" s="44">
        <v>0</v>
      </c>
      <c r="I16" s="44">
        <v>0</v>
      </c>
      <c r="J16" s="44">
        <f t="shared" si="1"/>
        <v>0</v>
      </c>
      <c r="K16" s="44">
        <f t="shared" si="2"/>
        <v>9477.9779999999992</v>
      </c>
      <c r="L16" s="44">
        <v>0</v>
      </c>
      <c r="M16" s="44">
        <f t="shared" si="3"/>
        <v>83660.408200000005</v>
      </c>
      <c r="N16" s="44"/>
    </row>
    <row r="17" spans="1:14">
      <c r="A17" s="52">
        <v>14</v>
      </c>
      <c r="B17" s="255">
        <v>45883</v>
      </c>
      <c r="C17" s="44">
        <v>0</v>
      </c>
      <c r="D17" s="44"/>
      <c r="E17" s="317">
        <v>123.01</v>
      </c>
      <c r="F17" s="358">
        <v>91.31</v>
      </c>
      <c r="G17" s="44">
        <f t="shared" si="0"/>
        <v>11232.043100000001</v>
      </c>
      <c r="H17" s="44">
        <v>6</v>
      </c>
      <c r="I17" s="44">
        <v>103.23</v>
      </c>
      <c r="J17" s="44">
        <f t="shared" si="1"/>
        <v>619.38</v>
      </c>
      <c r="K17" s="44">
        <f t="shared" si="2"/>
        <v>11851.4231</v>
      </c>
      <c r="L17" s="44">
        <v>0</v>
      </c>
      <c r="M17" s="44">
        <f t="shared" si="3"/>
        <v>95511.831300000005</v>
      </c>
      <c r="N17" s="44"/>
    </row>
    <row r="18" spans="1:14">
      <c r="A18" s="52">
        <v>15</v>
      </c>
      <c r="B18" s="255">
        <v>45884</v>
      </c>
      <c r="C18" s="44">
        <v>0</v>
      </c>
      <c r="D18" s="44"/>
      <c r="E18" s="317">
        <v>300</v>
      </c>
      <c r="F18" s="358">
        <v>91.31</v>
      </c>
      <c r="G18" s="44">
        <f t="shared" si="0"/>
        <v>27393</v>
      </c>
      <c r="H18" s="44">
        <v>0</v>
      </c>
      <c r="I18" s="44">
        <v>103.23</v>
      </c>
      <c r="J18" s="44">
        <f t="shared" si="1"/>
        <v>0</v>
      </c>
      <c r="K18" s="44">
        <f t="shared" si="2"/>
        <v>27393</v>
      </c>
      <c r="L18" s="44">
        <v>0</v>
      </c>
      <c r="M18" s="44">
        <f t="shared" si="3"/>
        <v>122904.83130000001</v>
      </c>
      <c r="N18" s="44"/>
    </row>
    <row r="19" spans="1:14">
      <c r="A19" s="52">
        <v>16</v>
      </c>
      <c r="B19" s="255">
        <v>45885</v>
      </c>
      <c r="C19" s="44">
        <v>0</v>
      </c>
      <c r="D19" s="44"/>
      <c r="E19" s="317">
        <v>0</v>
      </c>
      <c r="F19" s="358">
        <v>0</v>
      </c>
      <c r="G19" s="44">
        <f t="shared" si="0"/>
        <v>0</v>
      </c>
      <c r="H19" s="44">
        <v>27</v>
      </c>
      <c r="I19" s="44">
        <v>103.23</v>
      </c>
      <c r="J19" s="44">
        <f t="shared" si="1"/>
        <v>2787.21</v>
      </c>
      <c r="K19" s="44">
        <f t="shared" si="2"/>
        <v>2787.21</v>
      </c>
      <c r="L19" s="44">
        <v>0</v>
      </c>
      <c r="M19" s="44">
        <f t="shared" si="3"/>
        <v>125692.04130000001</v>
      </c>
      <c r="N19" s="44"/>
    </row>
    <row r="20" spans="1:14">
      <c r="A20" s="52">
        <v>17</v>
      </c>
      <c r="B20" s="255">
        <v>45886</v>
      </c>
      <c r="C20" s="44">
        <v>0</v>
      </c>
      <c r="D20" s="44"/>
      <c r="E20" s="317">
        <v>0</v>
      </c>
      <c r="F20" s="358">
        <v>0</v>
      </c>
      <c r="G20" s="44">
        <f t="shared" si="0"/>
        <v>0</v>
      </c>
      <c r="H20" s="44">
        <v>6</v>
      </c>
      <c r="I20" s="44">
        <v>103.23</v>
      </c>
      <c r="J20" s="44">
        <f t="shared" si="1"/>
        <v>619.38</v>
      </c>
      <c r="K20" s="44">
        <f t="shared" si="2"/>
        <v>619.38</v>
      </c>
      <c r="L20" s="44">
        <v>0</v>
      </c>
      <c r="M20" s="44">
        <f t="shared" si="3"/>
        <v>126311.42130000002</v>
      </c>
      <c r="N20" s="44"/>
    </row>
    <row r="21" spans="1:14">
      <c r="A21" s="52">
        <v>18</v>
      </c>
      <c r="B21" s="255">
        <v>45887</v>
      </c>
      <c r="C21" s="44">
        <v>0</v>
      </c>
      <c r="D21" s="44"/>
      <c r="E21" s="317">
        <v>37</v>
      </c>
      <c r="F21" s="358">
        <v>91.31</v>
      </c>
      <c r="G21" s="44">
        <f t="shared" si="0"/>
        <v>3378.4700000000003</v>
      </c>
      <c r="H21" s="44">
        <v>0</v>
      </c>
      <c r="I21" s="44">
        <v>0</v>
      </c>
      <c r="J21" s="44">
        <f t="shared" si="1"/>
        <v>0</v>
      </c>
      <c r="K21" s="44">
        <f t="shared" si="2"/>
        <v>3378.4700000000003</v>
      </c>
      <c r="L21" s="44">
        <v>0</v>
      </c>
      <c r="M21" s="44">
        <f t="shared" si="3"/>
        <v>129689.89130000002</v>
      </c>
      <c r="N21" s="44"/>
    </row>
    <row r="22" spans="1:14">
      <c r="A22" s="52">
        <v>19</v>
      </c>
      <c r="B22" s="255">
        <v>45888</v>
      </c>
      <c r="C22" s="44">
        <v>0</v>
      </c>
      <c r="D22" s="44"/>
      <c r="E22" s="317">
        <v>0</v>
      </c>
      <c r="F22" s="358">
        <v>0</v>
      </c>
      <c r="G22" s="44">
        <f t="shared" si="0"/>
        <v>0</v>
      </c>
      <c r="H22" s="44">
        <v>0</v>
      </c>
      <c r="I22" s="44">
        <v>0</v>
      </c>
      <c r="J22" s="44">
        <f t="shared" si="1"/>
        <v>0</v>
      </c>
      <c r="K22" s="44">
        <f>G22+J22</f>
        <v>0</v>
      </c>
      <c r="L22" s="44">
        <v>0</v>
      </c>
      <c r="M22" s="44">
        <f t="shared" si="3"/>
        <v>129689.89130000002</v>
      </c>
      <c r="N22" s="44"/>
    </row>
    <row r="23" spans="1:14">
      <c r="A23" s="52">
        <v>20</v>
      </c>
      <c r="B23" s="255">
        <v>45889</v>
      </c>
      <c r="C23" s="44">
        <v>0</v>
      </c>
      <c r="D23" s="44"/>
      <c r="E23" s="317">
        <v>0</v>
      </c>
      <c r="F23" s="358">
        <v>0</v>
      </c>
      <c r="G23" s="44">
        <f t="shared" si="0"/>
        <v>0</v>
      </c>
      <c r="H23" s="44">
        <v>10</v>
      </c>
      <c r="I23" s="44">
        <v>103.23</v>
      </c>
      <c r="J23" s="44">
        <f t="shared" si="1"/>
        <v>1032.3</v>
      </c>
      <c r="K23" s="44">
        <f>G23+J23</f>
        <v>1032.3</v>
      </c>
      <c r="L23" s="44">
        <v>0</v>
      </c>
      <c r="M23" s="44">
        <f t="shared" si="3"/>
        <v>130722.19130000002</v>
      </c>
      <c r="N23" s="44"/>
    </row>
    <row r="24" spans="1:14">
      <c r="A24" s="52">
        <v>21</v>
      </c>
      <c r="B24" s="255">
        <v>45890</v>
      </c>
      <c r="C24" s="44">
        <v>0</v>
      </c>
      <c r="D24" s="44"/>
      <c r="E24" s="317">
        <v>0</v>
      </c>
      <c r="F24" s="358">
        <v>0</v>
      </c>
      <c r="G24" s="44">
        <f t="shared" si="0"/>
        <v>0</v>
      </c>
      <c r="H24" s="44">
        <v>0</v>
      </c>
      <c r="I24" s="44">
        <v>0</v>
      </c>
      <c r="J24" s="44">
        <f t="shared" si="1"/>
        <v>0</v>
      </c>
      <c r="K24" s="44">
        <f t="shared" si="2"/>
        <v>0</v>
      </c>
      <c r="L24" s="44">
        <v>0</v>
      </c>
      <c r="M24" s="44">
        <f t="shared" si="3"/>
        <v>130722.19130000002</v>
      </c>
      <c r="N24" s="44"/>
    </row>
    <row r="25" spans="1:14">
      <c r="A25" s="52">
        <v>22</v>
      </c>
      <c r="B25" s="255">
        <v>45891</v>
      </c>
      <c r="C25" s="44">
        <v>0</v>
      </c>
      <c r="D25" s="44"/>
      <c r="E25" s="317">
        <v>0</v>
      </c>
      <c r="F25" s="358">
        <v>0</v>
      </c>
      <c r="G25" s="44">
        <f t="shared" si="0"/>
        <v>0</v>
      </c>
      <c r="H25" s="44">
        <v>0</v>
      </c>
      <c r="I25" s="44">
        <v>0</v>
      </c>
      <c r="J25" s="44">
        <f t="shared" si="1"/>
        <v>0</v>
      </c>
      <c r="K25" s="44">
        <f t="shared" si="2"/>
        <v>0</v>
      </c>
      <c r="L25" s="44">
        <v>0</v>
      </c>
      <c r="M25" s="44">
        <f t="shared" si="3"/>
        <v>130722.19130000002</v>
      </c>
      <c r="N25" s="44"/>
    </row>
    <row r="26" spans="1:14">
      <c r="A26" s="52">
        <v>23</v>
      </c>
      <c r="B26" s="255">
        <v>45892</v>
      </c>
      <c r="C26" s="44">
        <v>0</v>
      </c>
      <c r="D26" s="44"/>
      <c r="E26" s="317">
        <v>0</v>
      </c>
      <c r="F26" s="358">
        <v>0</v>
      </c>
      <c r="G26" s="44">
        <f t="shared" si="0"/>
        <v>0</v>
      </c>
      <c r="H26" s="44">
        <v>0</v>
      </c>
      <c r="I26" s="44">
        <v>0</v>
      </c>
      <c r="J26" s="44">
        <f t="shared" si="1"/>
        <v>0</v>
      </c>
      <c r="K26" s="44">
        <f t="shared" si="2"/>
        <v>0</v>
      </c>
      <c r="L26" s="44">
        <v>0</v>
      </c>
      <c r="M26" s="44">
        <f t="shared" si="3"/>
        <v>130722.19130000002</v>
      </c>
      <c r="N26" s="44"/>
    </row>
    <row r="27" spans="1:14">
      <c r="A27" s="52">
        <v>24</v>
      </c>
      <c r="B27" s="255">
        <v>45893</v>
      </c>
      <c r="C27" s="44">
        <v>0</v>
      </c>
      <c r="D27" s="44"/>
      <c r="E27" s="317">
        <v>0</v>
      </c>
      <c r="F27" s="358">
        <v>0</v>
      </c>
      <c r="G27" s="44">
        <f t="shared" si="0"/>
        <v>0</v>
      </c>
      <c r="H27" s="44">
        <v>0</v>
      </c>
      <c r="I27" s="44">
        <v>0</v>
      </c>
      <c r="J27" s="44">
        <f t="shared" si="1"/>
        <v>0</v>
      </c>
      <c r="K27" s="44">
        <f t="shared" si="2"/>
        <v>0</v>
      </c>
      <c r="L27" s="44">
        <v>0</v>
      </c>
      <c r="M27" s="44">
        <f t="shared" si="3"/>
        <v>130722.19130000002</v>
      </c>
      <c r="N27" s="44"/>
    </row>
    <row r="28" spans="1:14">
      <c r="A28" s="257">
        <v>25</v>
      </c>
      <c r="B28" s="255">
        <v>45894</v>
      </c>
      <c r="C28" s="44">
        <v>0</v>
      </c>
      <c r="D28" s="44"/>
      <c r="E28" s="317">
        <v>100</v>
      </c>
      <c r="F28" s="358">
        <v>91.31</v>
      </c>
      <c r="G28" s="44">
        <f t="shared" si="0"/>
        <v>9131</v>
      </c>
      <c r="H28" s="44">
        <v>21</v>
      </c>
      <c r="I28" s="44">
        <v>103.23</v>
      </c>
      <c r="J28" s="44">
        <f t="shared" si="1"/>
        <v>2167.83</v>
      </c>
      <c r="K28" s="44">
        <f t="shared" si="2"/>
        <v>11298.83</v>
      </c>
      <c r="L28" s="44">
        <v>0</v>
      </c>
      <c r="M28" s="44">
        <f t="shared" si="3"/>
        <v>142021.02130000002</v>
      </c>
      <c r="N28" s="44"/>
    </row>
    <row r="29" spans="1:14">
      <c r="A29" s="257">
        <v>26</v>
      </c>
      <c r="B29" s="255">
        <v>45895</v>
      </c>
      <c r="C29" s="44">
        <v>0</v>
      </c>
      <c r="D29" s="44"/>
      <c r="E29" s="317">
        <v>43.36</v>
      </c>
      <c r="F29" s="358">
        <v>91.31</v>
      </c>
      <c r="G29" s="44">
        <f t="shared" si="0"/>
        <v>3959.2015999999999</v>
      </c>
      <c r="H29" s="44">
        <v>0</v>
      </c>
      <c r="I29" s="44">
        <v>0</v>
      </c>
      <c r="J29" s="44">
        <f t="shared" si="1"/>
        <v>0</v>
      </c>
      <c r="K29" s="44">
        <f t="shared" si="2"/>
        <v>3959.2015999999999</v>
      </c>
      <c r="L29" s="44">
        <v>0</v>
      </c>
      <c r="M29" s="44">
        <f t="shared" si="3"/>
        <v>145980.22290000002</v>
      </c>
      <c r="N29" s="44"/>
    </row>
    <row r="30" spans="1:14">
      <c r="A30" s="257">
        <v>27</v>
      </c>
      <c r="B30" s="255">
        <v>45896</v>
      </c>
      <c r="C30" s="44">
        <v>0</v>
      </c>
      <c r="D30" s="44"/>
      <c r="E30" s="317">
        <v>0</v>
      </c>
      <c r="F30" s="358">
        <v>0</v>
      </c>
      <c r="G30" s="44">
        <f t="shared" si="0"/>
        <v>0</v>
      </c>
      <c r="H30" s="44">
        <v>0</v>
      </c>
      <c r="I30" s="44">
        <v>0</v>
      </c>
      <c r="J30" s="44">
        <f t="shared" si="1"/>
        <v>0</v>
      </c>
      <c r="K30" s="44">
        <f t="shared" si="2"/>
        <v>0</v>
      </c>
      <c r="L30" s="44">
        <v>0</v>
      </c>
      <c r="M30" s="44">
        <f t="shared" si="3"/>
        <v>145980.22290000002</v>
      </c>
      <c r="N30" s="44"/>
    </row>
    <row r="31" spans="1:14">
      <c r="A31" s="257">
        <v>28</v>
      </c>
      <c r="B31" s="255">
        <v>45897</v>
      </c>
      <c r="C31" s="44">
        <v>0</v>
      </c>
      <c r="D31" s="44"/>
      <c r="E31" s="317">
        <v>174.87</v>
      </c>
      <c r="F31" s="358">
        <v>91.31</v>
      </c>
      <c r="G31" s="44">
        <f t="shared" si="0"/>
        <v>15967.379700000001</v>
      </c>
      <c r="H31" s="44">
        <v>0</v>
      </c>
      <c r="I31" s="44">
        <v>0</v>
      </c>
      <c r="J31" s="44">
        <f t="shared" si="1"/>
        <v>0</v>
      </c>
      <c r="K31" s="44">
        <f t="shared" si="2"/>
        <v>15967.379700000001</v>
      </c>
      <c r="L31" s="44">
        <v>0</v>
      </c>
      <c r="M31" s="44">
        <f t="shared" si="3"/>
        <v>161947.60260000001</v>
      </c>
      <c r="N31" s="44"/>
    </row>
    <row r="32" spans="1:14">
      <c r="A32" s="258">
        <v>29</v>
      </c>
      <c r="B32" s="255">
        <v>45898</v>
      </c>
      <c r="C32" s="44">
        <v>0</v>
      </c>
      <c r="D32" s="44"/>
      <c r="E32" s="317">
        <v>486</v>
      </c>
      <c r="F32" s="358">
        <v>91.31</v>
      </c>
      <c r="G32" s="44">
        <f t="shared" si="0"/>
        <v>44376.66</v>
      </c>
      <c r="H32" s="44">
        <v>11</v>
      </c>
      <c r="I32" s="44">
        <v>103.23</v>
      </c>
      <c r="J32" s="44">
        <f t="shared" si="1"/>
        <v>1135.53</v>
      </c>
      <c r="K32" s="44">
        <f t="shared" si="2"/>
        <v>45512.19</v>
      </c>
      <c r="L32" s="44">
        <v>0</v>
      </c>
      <c r="M32" s="44">
        <f t="shared" si="3"/>
        <v>207459.79260000002</v>
      </c>
      <c r="N32" s="44"/>
    </row>
    <row r="33" spans="1:14">
      <c r="A33" s="258">
        <v>30</v>
      </c>
      <c r="B33" s="255">
        <v>45899</v>
      </c>
      <c r="C33" s="44">
        <v>0</v>
      </c>
      <c r="D33" s="44"/>
      <c r="E33" s="317">
        <v>0</v>
      </c>
      <c r="F33" s="358">
        <v>0</v>
      </c>
      <c r="G33" s="44">
        <f t="shared" si="0"/>
        <v>0</v>
      </c>
      <c r="H33" s="44">
        <v>16</v>
      </c>
      <c r="I33" s="44">
        <v>103.23</v>
      </c>
      <c r="J33" s="44">
        <f t="shared" si="1"/>
        <v>1651.68</v>
      </c>
      <c r="K33" s="44">
        <f t="shared" si="2"/>
        <v>1651.68</v>
      </c>
      <c r="L33" s="44">
        <v>0</v>
      </c>
      <c r="M33" s="44">
        <f t="shared" si="3"/>
        <v>209111.47260000001</v>
      </c>
      <c r="N33" s="44"/>
    </row>
    <row r="34" spans="1:14">
      <c r="A34" s="258">
        <v>31</v>
      </c>
      <c r="B34" s="255">
        <v>45900</v>
      </c>
      <c r="C34" s="44">
        <v>0</v>
      </c>
      <c r="D34" s="44"/>
      <c r="E34" s="317">
        <v>200</v>
      </c>
      <c r="F34" s="358">
        <v>91.31</v>
      </c>
      <c r="G34" s="44">
        <f t="shared" si="0"/>
        <v>18262</v>
      </c>
      <c r="H34" s="44">
        <v>10</v>
      </c>
      <c r="I34" s="44">
        <v>103.23</v>
      </c>
      <c r="J34" s="44">
        <f t="shared" si="1"/>
        <v>1032.3</v>
      </c>
      <c r="K34" s="44">
        <f t="shared" si="2"/>
        <v>19294.3</v>
      </c>
      <c r="L34" s="44">
        <v>0</v>
      </c>
      <c r="M34" s="44">
        <f t="shared" si="3"/>
        <v>228405.7726</v>
      </c>
      <c r="N34" s="44"/>
    </row>
    <row r="35" spans="1:14">
      <c r="A35" s="196"/>
      <c r="B35" s="196"/>
      <c r="C35" s="196"/>
      <c r="D35" s="196"/>
      <c r="E35" s="196">
        <f>SUM(E4:E34)</f>
        <v>2640.08</v>
      </c>
      <c r="F35" s="196"/>
      <c r="G35" s="196">
        <f>SUM(G4:G34)</f>
        <v>241065.70479999998</v>
      </c>
      <c r="H35" s="196">
        <f>SUM(H4:H34)</f>
        <v>139</v>
      </c>
      <c r="I35" s="196"/>
      <c r="J35" s="196">
        <f>SUM(J4:J34)</f>
        <v>14348.97</v>
      </c>
      <c r="K35" s="196">
        <f>SUM(K4:K34)</f>
        <v>255414.67479999995</v>
      </c>
      <c r="L35" s="196">
        <f>SUM(L4:L34)</f>
        <v>150000</v>
      </c>
      <c r="M35" s="196"/>
      <c r="N35" s="196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workbookViewId="0">
      <selection activeCell="R17" sqref="R17"/>
    </sheetView>
  </sheetViews>
  <sheetFormatPr defaultRowHeight="15"/>
  <cols>
    <col min="2" max="2" width="10.5703125" bestFit="1" customWidth="1"/>
    <col min="12" max="12" width="12.42578125" bestFit="1" customWidth="1"/>
  </cols>
  <sheetData>
    <row r="1" spans="1:14" ht="15.75">
      <c r="A1" s="436" t="s">
        <v>164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4" ht="30.75">
      <c r="A2" s="134" t="s">
        <v>94</v>
      </c>
      <c r="B2" s="246" t="s">
        <v>95</v>
      </c>
      <c r="C2" s="246" t="s">
        <v>96</v>
      </c>
      <c r="D2" s="246" t="s">
        <v>111</v>
      </c>
      <c r="E2" s="246" t="s">
        <v>98</v>
      </c>
      <c r="F2" s="246" t="s">
        <v>99</v>
      </c>
      <c r="G2" s="246" t="s">
        <v>100</v>
      </c>
      <c r="H2" s="246" t="s">
        <v>101</v>
      </c>
      <c r="I2" s="246" t="s">
        <v>99</v>
      </c>
      <c r="J2" s="246" t="s">
        <v>100</v>
      </c>
      <c r="K2" s="189" t="s">
        <v>102</v>
      </c>
      <c r="L2" s="189" t="s">
        <v>103</v>
      </c>
      <c r="M2" s="189" t="s">
        <v>110</v>
      </c>
      <c r="N2" s="246" t="s">
        <v>105</v>
      </c>
    </row>
    <row r="3" spans="1:14">
      <c r="A3" s="437" t="s">
        <v>106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>
        <v>0</v>
      </c>
      <c r="N3" s="437"/>
    </row>
    <row r="4" spans="1:14">
      <c r="A4" s="221">
        <v>1</v>
      </c>
      <c r="B4" s="255">
        <v>45870</v>
      </c>
      <c r="C4" s="44">
        <v>0</v>
      </c>
      <c r="D4" s="44"/>
      <c r="E4" s="44">
        <v>0</v>
      </c>
      <c r="F4" s="44">
        <v>0</v>
      </c>
      <c r="G4" s="44">
        <f>E4*F4</f>
        <v>0</v>
      </c>
      <c r="H4" s="44">
        <v>0</v>
      </c>
      <c r="I4" s="44">
        <v>0</v>
      </c>
      <c r="J4" s="44">
        <f>H4*I4</f>
        <v>0</v>
      </c>
      <c r="K4" s="44">
        <f>G4+J4</f>
        <v>0</v>
      </c>
      <c r="L4" s="44">
        <f>+K4</f>
        <v>0</v>
      </c>
      <c r="M4" s="44">
        <f>M3+K4-L4</f>
        <v>0</v>
      </c>
      <c r="N4" s="44"/>
    </row>
    <row r="5" spans="1:14">
      <c r="A5" s="52">
        <v>2</v>
      </c>
      <c r="B5" s="255">
        <v>45871</v>
      </c>
      <c r="C5" s="44">
        <v>0</v>
      </c>
      <c r="D5" s="44"/>
      <c r="E5" s="44">
        <v>0</v>
      </c>
      <c r="F5" s="44">
        <v>0</v>
      </c>
      <c r="G5" s="44">
        <f t="shared" ref="G5:G32" si="0">E5*F5</f>
        <v>0</v>
      </c>
      <c r="H5" s="44">
        <v>5</v>
      </c>
      <c r="I5" s="44">
        <v>103.22</v>
      </c>
      <c r="J5" s="44">
        <f t="shared" ref="J5:J32" si="1">H5*I5</f>
        <v>516.1</v>
      </c>
      <c r="K5" s="44">
        <f t="shared" ref="K5:K32" si="2">G5+J5</f>
        <v>516.1</v>
      </c>
      <c r="L5" s="44">
        <f t="shared" ref="L5:L32" si="3">+K5</f>
        <v>516.1</v>
      </c>
      <c r="M5" s="44">
        <f t="shared" ref="L5:M34" si="4">M4+K5-L5</f>
        <v>0</v>
      </c>
      <c r="N5" s="44"/>
    </row>
    <row r="6" spans="1:14">
      <c r="A6" s="52">
        <v>3</v>
      </c>
      <c r="B6" s="255">
        <v>45872</v>
      </c>
      <c r="C6" s="44">
        <v>0</v>
      </c>
      <c r="D6" s="44"/>
      <c r="E6" s="44">
        <v>0</v>
      </c>
      <c r="F6" s="44">
        <v>0</v>
      </c>
      <c r="G6" s="44">
        <f t="shared" si="0"/>
        <v>0</v>
      </c>
      <c r="H6" s="44">
        <v>0</v>
      </c>
      <c r="I6" s="44">
        <v>0</v>
      </c>
      <c r="J6" s="44">
        <f t="shared" si="1"/>
        <v>0</v>
      </c>
      <c r="K6" s="44">
        <f t="shared" si="2"/>
        <v>0</v>
      </c>
      <c r="L6" s="44">
        <f t="shared" si="3"/>
        <v>0</v>
      </c>
      <c r="M6" s="44">
        <f t="shared" si="4"/>
        <v>0</v>
      </c>
      <c r="N6" s="44"/>
    </row>
    <row r="7" spans="1:14">
      <c r="A7" s="52">
        <v>4</v>
      </c>
      <c r="B7" s="255">
        <v>45873</v>
      </c>
      <c r="C7" s="44">
        <v>0</v>
      </c>
      <c r="D7" s="44"/>
      <c r="E7" s="44">
        <v>0</v>
      </c>
      <c r="F7" s="44">
        <v>0</v>
      </c>
      <c r="G7" s="44">
        <f t="shared" si="0"/>
        <v>0</v>
      </c>
      <c r="H7" s="44">
        <v>0</v>
      </c>
      <c r="I7" s="44">
        <v>0</v>
      </c>
      <c r="J7" s="44">
        <f t="shared" si="1"/>
        <v>0</v>
      </c>
      <c r="K7" s="44">
        <f t="shared" si="2"/>
        <v>0</v>
      </c>
      <c r="L7" s="44">
        <f t="shared" si="3"/>
        <v>0</v>
      </c>
      <c r="M7" s="44">
        <f t="shared" si="4"/>
        <v>0</v>
      </c>
      <c r="N7" s="44"/>
    </row>
    <row r="8" spans="1:14">
      <c r="A8" s="52">
        <v>5</v>
      </c>
      <c r="B8" s="255">
        <v>45874</v>
      </c>
      <c r="C8" s="44">
        <v>0</v>
      </c>
      <c r="D8" s="44"/>
      <c r="E8" s="44">
        <v>0</v>
      </c>
      <c r="F8" s="44">
        <v>0</v>
      </c>
      <c r="G8" s="44">
        <f t="shared" si="0"/>
        <v>0</v>
      </c>
      <c r="H8" s="44">
        <v>0</v>
      </c>
      <c r="I8" s="44">
        <v>0</v>
      </c>
      <c r="J8" s="44">
        <f t="shared" si="1"/>
        <v>0</v>
      </c>
      <c r="K8" s="44">
        <f t="shared" si="2"/>
        <v>0</v>
      </c>
      <c r="L8" s="44">
        <f t="shared" si="3"/>
        <v>0</v>
      </c>
      <c r="M8" s="44">
        <f t="shared" si="4"/>
        <v>0</v>
      </c>
      <c r="N8" s="44"/>
    </row>
    <row r="9" spans="1:14">
      <c r="A9" s="52">
        <v>6</v>
      </c>
      <c r="B9" s="255">
        <v>45875</v>
      </c>
      <c r="C9" s="44">
        <v>0</v>
      </c>
      <c r="D9" s="44"/>
      <c r="E9" s="44">
        <v>0</v>
      </c>
      <c r="F9" s="44">
        <v>0</v>
      </c>
      <c r="G9" s="44">
        <f t="shared" si="0"/>
        <v>0</v>
      </c>
      <c r="H9" s="44">
        <v>0</v>
      </c>
      <c r="I9" s="44">
        <v>0</v>
      </c>
      <c r="J9" s="44">
        <f t="shared" si="1"/>
        <v>0</v>
      </c>
      <c r="K9" s="44">
        <f t="shared" si="2"/>
        <v>0</v>
      </c>
      <c r="L9" s="44">
        <f t="shared" si="3"/>
        <v>0</v>
      </c>
      <c r="M9" s="44">
        <f t="shared" si="4"/>
        <v>0</v>
      </c>
      <c r="N9" s="44"/>
    </row>
    <row r="10" spans="1:14">
      <c r="A10" s="52">
        <v>7</v>
      </c>
      <c r="B10" s="255">
        <v>45876</v>
      </c>
      <c r="C10" s="44">
        <v>0</v>
      </c>
      <c r="D10" s="44"/>
      <c r="E10" s="44">
        <v>0</v>
      </c>
      <c r="F10" s="44">
        <v>0</v>
      </c>
      <c r="G10" s="44">
        <f t="shared" si="0"/>
        <v>0</v>
      </c>
      <c r="H10" s="44">
        <v>0</v>
      </c>
      <c r="I10" s="44">
        <v>0</v>
      </c>
      <c r="J10" s="44">
        <f t="shared" si="1"/>
        <v>0</v>
      </c>
      <c r="K10" s="44">
        <f t="shared" si="2"/>
        <v>0</v>
      </c>
      <c r="L10" s="44">
        <f t="shared" si="3"/>
        <v>0</v>
      </c>
      <c r="M10" s="44">
        <f t="shared" si="4"/>
        <v>0</v>
      </c>
      <c r="N10" s="44"/>
    </row>
    <row r="11" spans="1:14">
      <c r="A11" s="52">
        <v>8</v>
      </c>
      <c r="B11" s="255">
        <v>45877</v>
      </c>
      <c r="C11" s="44">
        <v>0</v>
      </c>
      <c r="D11" s="44"/>
      <c r="E11" s="44">
        <v>0</v>
      </c>
      <c r="F11" s="44">
        <v>0</v>
      </c>
      <c r="G11" s="44">
        <f t="shared" si="0"/>
        <v>0</v>
      </c>
      <c r="H11" s="44">
        <v>0</v>
      </c>
      <c r="I11" s="44">
        <v>0</v>
      </c>
      <c r="J11" s="44">
        <f t="shared" si="1"/>
        <v>0</v>
      </c>
      <c r="K11" s="44">
        <f t="shared" si="2"/>
        <v>0</v>
      </c>
      <c r="L11" s="44">
        <f t="shared" si="3"/>
        <v>0</v>
      </c>
      <c r="M11" s="44">
        <f t="shared" si="4"/>
        <v>0</v>
      </c>
      <c r="N11" s="44"/>
    </row>
    <row r="12" spans="1:14">
      <c r="A12" s="52">
        <v>9</v>
      </c>
      <c r="B12" s="255">
        <v>45878</v>
      </c>
      <c r="C12" s="44">
        <v>0</v>
      </c>
      <c r="D12" s="44"/>
      <c r="E12" s="44">
        <v>0</v>
      </c>
      <c r="F12" s="44">
        <v>0</v>
      </c>
      <c r="G12" s="44">
        <f t="shared" si="0"/>
        <v>0</v>
      </c>
      <c r="H12" s="44">
        <v>18</v>
      </c>
      <c r="I12" s="44">
        <v>103.22</v>
      </c>
      <c r="J12" s="44">
        <f t="shared" si="1"/>
        <v>1857.96</v>
      </c>
      <c r="K12" s="44">
        <f t="shared" si="2"/>
        <v>1857.96</v>
      </c>
      <c r="L12" s="44">
        <f t="shared" si="3"/>
        <v>1857.96</v>
      </c>
      <c r="M12" s="44">
        <f t="shared" si="4"/>
        <v>0</v>
      </c>
      <c r="N12" s="44"/>
    </row>
    <row r="13" spans="1:14">
      <c r="A13" s="52">
        <v>10</v>
      </c>
      <c r="B13" s="255">
        <v>45879</v>
      </c>
      <c r="C13" s="44">
        <v>0</v>
      </c>
      <c r="D13" s="44"/>
      <c r="E13" s="44">
        <v>0</v>
      </c>
      <c r="F13" s="44">
        <v>0</v>
      </c>
      <c r="G13" s="44">
        <f t="shared" si="0"/>
        <v>0</v>
      </c>
      <c r="H13" s="44">
        <v>0</v>
      </c>
      <c r="I13" s="44">
        <v>0</v>
      </c>
      <c r="J13" s="44">
        <f t="shared" si="1"/>
        <v>0</v>
      </c>
      <c r="K13" s="44">
        <f t="shared" si="2"/>
        <v>0</v>
      </c>
      <c r="L13" s="44">
        <f t="shared" si="3"/>
        <v>0</v>
      </c>
      <c r="M13" s="44">
        <f t="shared" si="4"/>
        <v>0</v>
      </c>
      <c r="N13" s="44"/>
    </row>
    <row r="14" spans="1:14">
      <c r="A14" s="52">
        <v>11</v>
      </c>
      <c r="B14" s="255">
        <v>45880</v>
      </c>
      <c r="C14" s="44">
        <v>0</v>
      </c>
      <c r="D14" s="44"/>
      <c r="E14" s="44">
        <v>0</v>
      </c>
      <c r="F14" s="44">
        <v>0</v>
      </c>
      <c r="G14" s="44">
        <f t="shared" si="0"/>
        <v>0</v>
      </c>
      <c r="H14" s="44">
        <v>0</v>
      </c>
      <c r="I14" s="44">
        <v>0</v>
      </c>
      <c r="J14" s="44">
        <f t="shared" si="1"/>
        <v>0</v>
      </c>
      <c r="K14" s="44">
        <f t="shared" si="2"/>
        <v>0</v>
      </c>
      <c r="L14" s="44">
        <f t="shared" si="3"/>
        <v>0</v>
      </c>
      <c r="M14" s="44">
        <f t="shared" si="4"/>
        <v>0</v>
      </c>
      <c r="N14" s="44"/>
    </row>
    <row r="15" spans="1:14">
      <c r="A15" s="52">
        <v>12</v>
      </c>
      <c r="B15" s="255">
        <v>45881</v>
      </c>
      <c r="C15" s="44">
        <v>0</v>
      </c>
      <c r="D15" s="44"/>
      <c r="E15" s="44">
        <v>0</v>
      </c>
      <c r="F15" s="44">
        <v>0</v>
      </c>
      <c r="G15" s="44">
        <f t="shared" si="0"/>
        <v>0</v>
      </c>
      <c r="H15" s="44">
        <v>0</v>
      </c>
      <c r="I15" s="44">
        <v>0</v>
      </c>
      <c r="J15" s="44">
        <f t="shared" si="1"/>
        <v>0</v>
      </c>
      <c r="K15" s="44">
        <f t="shared" si="2"/>
        <v>0</v>
      </c>
      <c r="L15" s="44">
        <f t="shared" si="3"/>
        <v>0</v>
      </c>
      <c r="M15" s="44">
        <f t="shared" si="4"/>
        <v>0</v>
      </c>
      <c r="N15" s="44"/>
    </row>
    <row r="16" spans="1:14">
      <c r="A16" s="52">
        <v>13</v>
      </c>
      <c r="B16" s="255">
        <v>45882</v>
      </c>
      <c r="C16" s="44">
        <v>0</v>
      </c>
      <c r="D16" s="44"/>
      <c r="E16" s="44">
        <v>0</v>
      </c>
      <c r="F16" s="44">
        <v>0</v>
      </c>
      <c r="G16" s="44">
        <f t="shared" si="0"/>
        <v>0</v>
      </c>
      <c r="H16" s="44">
        <v>0</v>
      </c>
      <c r="I16" s="44">
        <v>0</v>
      </c>
      <c r="J16" s="44">
        <f t="shared" si="1"/>
        <v>0</v>
      </c>
      <c r="K16" s="44">
        <f t="shared" si="2"/>
        <v>0</v>
      </c>
      <c r="L16" s="44">
        <f t="shared" si="3"/>
        <v>0</v>
      </c>
      <c r="M16" s="44">
        <f t="shared" si="4"/>
        <v>0</v>
      </c>
      <c r="N16" s="44"/>
    </row>
    <row r="17" spans="1:14">
      <c r="A17" s="52">
        <v>14</v>
      </c>
      <c r="B17" s="255">
        <v>45883</v>
      </c>
      <c r="C17" s="44">
        <v>0</v>
      </c>
      <c r="D17" s="44"/>
      <c r="E17" s="44">
        <v>0</v>
      </c>
      <c r="F17" s="44">
        <v>0</v>
      </c>
      <c r="G17" s="44">
        <f t="shared" si="0"/>
        <v>0</v>
      </c>
      <c r="H17" s="44">
        <v>0</v>
      </c>
      <c r="I17" s="44">
        <v>0</v>
      </c>
      <c r="J17" s="44">
        <f t="shared" si="1"/>
        <v>0</v>
      </c>
      <c r="K17" s="44">
        <f t="shared" si="2"/>
        <v>0</v>
      </c>
      <c r="L17" s="44">
        <f t="shared" si="3"/>
        <v>0</v>
      </c>
      <c r="M17" s="44">
        <f t="shared" si="4"/>
        <v>0</v>
      </c>
      <c r="N17" s="44"/>
    </row>
    <row r="18" spans="1:14">
      <c r="A18" s="52">
        <v>15</v>
      </c>
      <c r="B18" s="255">
        <v>45884</v>
      </c>
      <c r="C18" s="44">
        <v>0</v>
      </c>
      <c r="D18" s="44"/>
      <c r="E18" s="44">
        <v>0</v>
      </c>
      <c r="F18" s="44">
        <v>0</v>
      </c>
      <c r="G18" s="44">
        <f t="shared" si="0"/>
        <v>0</v>
      </c>
      <c r="H18" s="44">
        <v>0</v>
      </c>
      <c r="I18" s="44">
        <v>0</v>
      </c>
      <c r="J18" s="44">
        <f t="shared" si="1"/>
        <v>0</v>
      </c>
      <c r="K18" s="44">
        <f t="shared" si="2"/>
        <v>0</v>
      </c>
      <c r="L18" s="44">
        <f t="shared" si="3"/>
        <v>0</v>
      </c>
      <c r="M18" s="44">
        <f t="shared" si="4"/>
        <v>0</v>
      </c>
      <c r="N18" s="44"/>
    </row>
    <row r="19" spans="1:14">
      <c r="A19" s="52">
        <v>16</v>
      </c>
      <c r="B19" s="255">
        <v>45885</v>
      </c>
      <c r="C19" s="44">
        <v>0</v>
      </c>
      <c r="D19" s="44"/>
      <c r="E19" s="44">
        <v>0</v>
      </c>
      <c r="F19" s="44">
        <v>0</v>
      </c>
      <c r="G19" s="44">
        <f t="shared" si="0"/>
        <v>0</v>
      </c>
      <c r="H19" s="44">
        <v>0</v>
      </c>
      <c r="I19" s="44">
        <v>0</v>
      </c>
      <c r="J19" s="44">
        <f t="shared" si="1"/>
        <v>0</v>
      </c>
      <c r="K19" s="44">
        <f t="shared" si="2"/>
        <v>0</v>
      </c>
      <c r="L19" s="44">
        <f t="shared" si="3"/>
        <v>0</v>
      </c>
      <c r="M19" s="44">
        <f t="shared" si="4"/>
        <v>0</v>
      </c>
      <c r="N19" s="44"/>
    </row>
    <row r="20" spans="1:14">
      <c r="A20" s="52">
        <v>17</v>
      </c>
      <c r="B20" s="255">
        <v>45886</v>
      </c>
      <c r="C20" s="44">
        <v>0</v>
      </c>
      <c r="D20" s="44"/>
      <c r="E20" s="44">
        <v>0</v>
      </c>
      <c r="F20" s="44">
        <v>0</v>
      </c>
      <c r="G20" s="44">
        <f t="shared" si="0"/>
        <v>0</v>
      </c>
      <c r="H20" s="44">
        <v>0</v>
      </c>
      <c r="I20" s="44">
        <v>0</v>
      </c>
      <c r="J20" s="44">
        <f t="shared" si="1"/>
        <v>0</v>
      </c>
      <c r="K20" s="44">
        <f t="shared" si="2"/>
        <v>0</v>
      </c>
      <c r="L20" s="44">
        <f t="shared" si="3"/>
        <v>0</v>
      </c>
      <c r="M20" s="44">
        <f t="shared" si="4"/>
        <v>0</v>
      </c>
      <c r="N20" s="44"/>
    </row>
    <row r="21" spans="1:14">
      <c r="A21" s="52">
        <v>18</v>
      </c>
      <c r="B21" s="255">
        <v>45887</v>
      </c>
      <c r="C21" s="44">
        <v>0</v>
      </c>
      <c r="D21" s="44"/>
      <c r="E21" s="44">
        <v>0</v>
      </c>
      <c r="F21" s="44">
        <v>0</v>
      </c>
      <c r="G21" s="44">
        <f t="shared" si="0"/>
        <v>0</v>
      </c>
      <c r="H21" s="44">
        <v>0</v>
      </c>
      <c r="I21" s="44">
        <v>0</v>
      </c>
      <c r="J21" s="44">
        <f t="shared" si="1"/>
        <v>0</v>
      </c>
      <c r="K21" s="44">
        <f t="shared" si="2"/>
        <v>0</v>
      </c>
      <c r="L21" s="44">
        <f t="shared" si="3"/>
        <v>0</v>
      </c>
      <c r="M21" s="44">
        <f t="shared" si="4"/>
        <v>0</v>
      </c>
      <c r="N21" s="44"/>
    </row>
    <row r="22" spans="1:14">
      <c r="A22" s="52">
        <v>19</v>
      </c>
      <c r="B22" s="255">
        <v>45888</v>
      </c>
      <c r="C22" s="44">
        <v>0</v>
      </c>
      <c r="D22" s="44"/>
      <c r="E22" s="44">
        <v>0</v>
      </c>
      <c r="F22" s="44">
        <v>0</v>
      </c>
      <c r="G22" s="44">
        <f t="shared" si="0"/>
        <v>0</v>
      </c>
      <c r="H22" s="44">
        <v>0</v>
      </c>
      <c r="I22" s="44">
        <v>0</v>
      </c>
      <c r="J22" s="44">
        <f t="shared" si="1"/>
        <v>0</v>
      </c>
      <c r="K22" s="44">
        <f t="shared" si="2"/>
        <v>0</v>
      </c>
      <c r="L22" s="44">
        <f t="shared" si="3"/>
        <v>0</v>
      </c>
      <c r="M22" s="44">
        <f t="shared" si="4"/>
        <v>0</v>
      </c>
      <c r="N22" s="44"/>
    </row>
    <row r="23" spans="1:14">
      <c r="A23" s="52">
        <v>20</v>
      </c>
      <c r="B23" s="255">
        <v>45889</v>
      </c>
      <c r="C23" s="44">
        <v>0</v>
      </c>
      <c r="D23" s="44"/>
      <c r="E23" s="44">
        <v>0</v>
      </c>
      <c r="F23" s="44">
        <v>0</v>
      </c>
      <c r="G23" s="44">
        <f t="shared" si="0"/>
        <v>0</v>
      </c>
      <c r="H23" s="44">
        <v>0</v>
      </c>
      <c r="I23" s="44">
        <v>0</v>
      </c>
      <c r="J23" s="44">
        <f t="shared" si="1"/>
        <v>0</v>
      </c>
      <c r="K23" s="44">
        <f t="shared" si="2"/>
        <v>0</v>
      </c>
      <c r="L23" s="44">
        <f t="shared" si="3"/>
        <v>0</v>
      </c>
      <c r="M23" s="44">
        <f t="shared" si="4"/>
        <v>0</v>
      </c>
      <c r="N23" s="44"/>
    </row>
    <row r="24" spans="1:14">
      <c r="A24" s="52">
        <v>21</v>
      </c>
      <c r="B24" s="255">
        <v>45890</v>
      </c>
      <c r="C24" s="44">
        <v>0</v>
      </c>
      <c r="D24" s="44"/>
      <c r="E24" s="44">
        <v>0</v>
      </c>
      <c r="F24" s="44">
        <v>0</v>
      </c>
      <c r="G24" s="44">
        <f t="shared" si="0"/>
        <v>0</v>
      </c>
      <c r="H24" s="44">
        <v>5</v>
      </c>
      <c r="I24" s="44">
        <v>103.22</v>
      </c>
      <c r="J24" s="44">
        <f t="shared" si="1"/>
        <v>516.1</v>
      </c>
      <c r="K24" s="44">
        <f t="shared" si="2"/>
        <v>516.1</v>
      </c>
      <c r="L24" s="44">
        <f t="shared" si="3"/>
        <v>516.1</v>
      </c>
      <c r="M24" s="44">
        <f t="shared" si="4"/>
        <v>0</v>
      </c>
      <c r="N24" s="44"/>
    </row>
    <row r="25" spans="1:14">
      <c r="A25" s="52">
        <v>22</v>
      </c>
      <c r="B25" s="255">
        <v>45891</v>
      </c>
      <c r="C25" s="44">
        <v>0</v>
      </c>
      <c r="D25" s="44"/>
      <c r="E25" s="44">
        <v>0</v>
      </c>
      <c r="F25" s="44">
        <v>0</v>
      </c>
      <c r="G25" s="44">
        <f t="shared" si="0"/>
        <v>0</v>
      </c>
      <c r="H25" s="44">
        <v>0</v>
      </c>
      <c r="I25" s="44">
        <v>0</v>
      </c>
      <c r="J25" s="44">
        <f t="shared" si="1"/>
        <v>0</v>
      </c>
      <c r="K25" s="44">
        <f t="shared" si="2"/>
        <v>0</v>
      </c>
      <c r="L25" s="44">
        <f t="shared" si="3"/>
        <v>0</v>
      </c>
      <c r="M25" s="44">
        <f t="shared" si="4"/>
        <v>0</v>
      </c>
      <c r="N25" s="44"/>
    </row>
    <row r="26" spans="1:14">
      <c r="A26" s="52">
        <v>23</v>
      </c>
      <c r="B26" s="255">
        <v>45892</v>
      </c>
      <c r="C26" s="44">
        <v>0</v>
      </c>
      <c r="D26" s="44"/>
      <c r="E26" s="44">
        <v>0</v>
      </c>
      <c r="F26" s="44">
        <v>0</v>
      </c>
      <c r="G26" s="44">
        <f t="shared" si="0"/>
        <v>0</v>
      </c>
      <c r="H26" s="44">
        <v>0</v>
      </c>
      <c r="I26" s="44">
        <v>0</v>
      </c>
      <c r="J26" s="44">
        <f t="shared" si="1"/>
        <v>0</v>
      </c>
      <c r="K26" s="44">
        <f t="shared" si="2"/>
        <v>0</v>
      </c>
      <c r="L26" s="44">
        <f t="shared" si="3"/>
        <v>0</v>
      </c>
      <c r="M26" s="44">
        <f t="shared" si="4"/>
        <v>0</v>
      </c>
      <c r="N26" s="44"/>
    </row>
    <row r="27" spans="1:14">
      <c r="A27" s="52">
        <v>24</v>
      </c>
      <c r="B27" s="255">
        <v>45893</v>
      </c>
      <c r="C27" s="44">
        <v>0</v>
      </c>
      <c r="D27" s="44"/>
      <c r="E27" s="44">
        <v>0</v>
      </c>
      <c r="F27" s="44">
        <v>0</v>
      </c>
      <c r="G27" s="44">
        <f t="shared" si="0"/>
        <v>0</v>
      </c>
      <c r="H27" s="44">
        <v>0</v>
      </c>
      <c r="I27" s="44">
        <v>0</v>
      </c>
      <c r="J27" s="44">
        <f t="shared" si="1"/>
        <v>0</v>
      </c>
      <c r="K27" s="44">
        <f t="shared" si="2"/>
        <v>0</v>
      </c>
      <c r="L27" s="44">
        <f t="shared" si="3"/>
        <v>0</v>
      </c>
      <c r="M27" s="44">
        <f t="shared" si="4"/>
        <v>0</v>
      </c>
      <c r="N27" s="44"/>
    </row>
    <row r="28" spans="1:14">
      <c r="A28" s="257">
        <v>25</v>
      </c>
      <c r="B28" s="255">
        <v>45894</v>
      </c>
      <c r="C28" s="44">
        <v>0</v>
      </c>
      <c r="D28" s="44"/>
      <c r="E28" s="44">
        <v>0</v>
      </c>
      <c r="F28" s="44">
        <v>0</v>
      </c>
      <c r="G28" s="44">
        <f t="shared" si="0"/>
        <v>0</v>
      </c>
      <c r="H28" s="44">
        <v>12</v>
      </c>
      <c r="I28" s="44">
        <v>103.22</v>
      </c>
      <c r="J28" s="44">
        <f t="shared" si="1"/>
        <v>1238.6399999999999</v>
      </c>
      <c r="K28" s="44">
        <f t="shared" si="2"/>
        <v>1238.6399999999999</v>
      </c>
      <c r="L28" s="44">
        <f t="shared" si="3"/>
        <v>1238.6399999999999</v>
      </c>
      <c r="M28" s="44">
        <f t="shared" si="4"/>
        <v>0</v>
      </c>
      <c r="N28" s="44"/>
    </row>
    <row r="29" spans="1:14">
      <c r="A29" s="257">
        <v>26</v>
      </c>
      <c r="B29" s="255">
        <v>45895</v>
      </c>
      <c r="C29" s="44">
        <v>0</v>
      </c>
      <c r="D29" s="44"/>
      <c r="E29" s="44">
        <v>0</v>
      </c>
      <c r="F29" s="44">
        <v>0</v>
      </c>
      <c r="G29" s="44">
        <f t="shared" si="0"/>
        <v>0</v>
      </c>
      <c r="H29" s="44">
        <v>0</v>
      </c>
      <c r="I29" s="44">
        <v>0</v>
      </c>
      <c r="J29" s="44">
        <f t="shared" si="1"/>
        <v>0</v>
      </c>
      <c r="K29" s="44">
        <f t="shared" si="2"/>
        <v>0</v>
      </c>
      <c r="L29" s="44">
        <f t="shared" si="3"/>
        <v>0</v>
      </c>
      <c r="M29" s="44">
        <f t="shared" si="4"/>
        <v>0</v>
      </c>
      <c r="N29" s="44"/>
    </row>
    <row r="30" spans="1:14">
      <c r="A30" s="257">
        <v>27</v>
      </c>
      <c r="B30" s="255">
        <v>45896</v>
      </c>
      <c r="C30" s="44">
        <v>0</v>
      </c>
      <c r="D30" s="44"/>
      <c r="E30" s="44">
        <v>0</v>
      </c>
      <c r="F30" s="44">
        <v>0</v>
      </c>
      <c r="G30" s="44">
        <f t="shared" si="0"/>
        <v>0</v>
      </c>
      <c r="H30" s="44">
        <v>0</v>
      </c>
      <c r="I30" s="44">
        <v>0</v>
      </c>
      <c r="J30" s="44">
        <f t="shared" si="1"/>
        <v>0</v>
      </c>
      <c r="K30" s="44">
        <f t="shared" si="2"/>
        <v>0</v>
      </c>
      <c r="L30" s="44">
        <f t="shared" si="3"/>
        <v>0</v>
      </c>
      <c r="M30" s="44">
        <f t="shared" si="4"/>
        <v>0</v>
      </c>
      <c r="N30" s="44"/>
    </row>
    <row r="31" spans="1:14">
      <c r="A31" s="257">
        <v>28</v>
      </c>
      <c r="B31" s="255">
        <v>45897</v>
      </c>
      <c r="C31" s="44">
        <v>0</v>
      </c>
      <c r="D31" s="44"/>
      <c r="E31" s="44">
        <v>0</v>
      </c>
      <c r="F31" s="44">
        <v>0</v>
      </c>
      <c r="G31" s="44">
        <f t="shared" si="0"/>
        <v>0</v>
      </c>
      <c r="H31" s="44">
        <v>0</v>
      </c>
      <c r="I31" s="44">
        <v>0</v>
      </c>
      <c r="J31" s="44">
        <f t="shared" si="1"/>
        <v>0</v>
      </c>
      <c r="K31" s="44">
        <f t="shared" si="2"/>
        <v>0</v>
      </c>
      <c r="L31" s="44">
        <f t="shared" si="3"/>
        <v>0</v>
      </c>
      <c r="M31" s="44">
        <f t="shared" si="4"/>
        <v>0</v>
      </c>
      <c r="N31" s="44"/>
    </row>
    <row r="32" spans="1:14">
      <c r="A32" s="258">
        <v>29</v>
      </c>
      <c r="B32" s="255">
        <v>45898</v>
      </c>
      <c r="C32" s="44">
        <v>0</v>
      </c>
      <c r="D32" s="44"/>
      <c r="E32" s="44">
        <v>0</v>
      </c>
      <c r="F32" s="44">
        <v>0</v>
      </c>
      <c r="G32" s="44">
        <f t="shared" si="0"/>
        <v>0</v>
      </c>
      <c r="H32" s="44">
        <v>0</v>
      </c>
      <c r="I32" s="44">
        <v>0</v>
      </c>
      <c r="J32" s="44">
        <f t="shared" si="1"/>
        <v>0</v>
      </c>
      <c r="K32" s="44">
        <f t="shared" si="2"/>
        <v>0</v>
      </c>
      <c r="L32" s="44">
        <f t="shared" si="3"/>
        <v>0</v>
      </c>
      <c r="M32" s="44">
        <f t="shared" si="4"/>
        <v>0</v>
      </c>
      <c r="N32" s="44"/>
    </row>
    <row r="33" spans="1:14">
      <c r="A33" s="258">
        <v>30</v>
      </c>
      <c r="B33" s="255">
        <v>45899</v>
      </c>
      <c r="C33" s="44">
        <v>0</v>
      </c>
      <c r="D33" s="44"/>
      <c r="E33" s="44">
        <v>0</v>
      </c>
      <c r="F33" s="44">
        <v>0</v>
      </c>
      <c r="G33" s="44">
        <f t="shared" ref="G5:G34" si="5">E33*F33</f>
        <v>0</v>
      </c>
      <c r="H33" s="44">
        <v>0</v>
      </c>
      <c r="I33" s="44">
        <v>0</v>
      </c>
      <c r="J33" s="44">
        <f t="shared" ref="J5:J34" si="6">H33*I33</f>
        <v>0</v>
      </c>
      <c r="K33" s="44">
        <f t="shared" ref="K5:K34" si="7">G33+J33</f>
        <v>0</v>
      </c>
      <c r="L33" s="44">
        <f t="shared" ref="L7:L34" si="8">+K33</f>
        <v>0</v>
      </c>
      <c r="M33" s="44">
        <f t="shared" si="4"/>
        <v>0</v>
      </c>
      <c r="N33" s="44"/>
    </row>
    <row r="34" spans="1:14">
      <c r="A34" s="258">
        <v>31</v>
      </c>
      <c r="B34" s="255"/>
      <c r="C34" s="44">
        <v>0</v>
      </c>
      <c r="D34" s="44"/>
      <c r="E34" s="44">
        <v>0</v>
      </c>
      <c r="F34" s="44">
        <v>0</v>
      </c>
      <c r="G34" s="44">
        <f t="shared" si="5"/>
        <v>0</v>
      </c>
      <c r="H34" s="44">
        <v>0</v>
      </c>
      <c r="I34" s="44">
        <v>0</v>
      </c>
      <c r="J34" s="44">
        <f t="shared" si="6"/>
        <v>0</v>
      </c>
      <c r="K34" s="44">
        <f t="shared" si="7"/>
        <v>0</v>
      </c>
      <c r="L34" s="44">
        <f t="shared" si="8"/>
        <v>0</v>
      </c>
      <c r="M34" s="44">
        <f t="shared" si="4"/>
        <v>0</v>
      </c>
      <c r="N34" s="44"/>
    </row>
    <row r="35" spans="1:14">
      <c r="A35" s="196"/>
      <c r="B35" s="196"/>
      <c r="C35" s="196"/>
      <c r="D35" s="196"/>
      <c r="E35" s="196">
        <f>SUM(E4:E34)</f>
        <v>0</v>
      </c>
      <c r="F35" s="196"/>
      <c r="G35" s="196">
        <f>SUM(G4:G34)</f>
        <v>0</v>
      </c>
      <c r="H35" s="196">
        <f>SUM(H4:H34)</f>
        <v>40</v>
      </c>
      <c r="I35" s="196"/>
      <c r="J35" s="196">
        <f>SUM(J4:J34)</f>
        <v>4128.7999999999993</v>
      </c>
      <c r="K35" s="196">
        <f>SUM(K4:K34)</f>
        <v>4128.7999999999993</v>
      </c>
      <c r="L35" s="196">
        <f>SUM(L4:L34)</f>
        <v>4128.7999999999993</v>
      </c>
      <c r="M35" s="196"/>
      <c r="N35" s="196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N35"/>
  <sheetViews>
    <sheetView workbookViewId="0">
      <pane ySplit="2" topLeftCell="A3" activePane="bottomLeft" state="frozen"/>
      <selection pane="bottomLeft" activeCell="Q8" sqref="Q8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4" ht="15.75" customHeight="1">
      <c r="A1" s="438" t="s">
        <v>58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</row>
    <row r="2" spans="1:14">
      <c r="A2" s="72" t="s">
        <v>94</v>
      </c>
      <c r="B2" s="72" t="s">
        <v>95</v>
      </c>
      <c r="C2" s="72" t="s">
        <v>96</v>
      </c>
      <c r="D2" s="72" t="s">
        <v>97</v>
      </c>
      <c r="E2" s="100" t="s">
        <v>98</v>
      </c>
      <c r="F2" s="100" t="s">
        <v>99</v>
      </c>
      <c r="G2" s="100" t="s">
        <v>100</v>
      </c>
      <c r="H2" s="100" t="s">
        <v>101</v>
      </c>
      <c r="I2" s="100" t="s">
        <v>99</v>
      </c>
      <c r="J2" s="100" t="s">
        <v>100</v>
      </c>
      <c r="K2" s="100" t="s">
        <v>102</v>
      </c>
      <c r="L2" s="94" t="s">
        <v>103</v>
      </c>
      <c r="M2" s="94" t="s">
        <v>110</v>
      </c>
      <c r="N2" s="72" t="s">
        <v>105</v>
      </c>
    </row>
    <row r="3" spans="1:14">
      <c r="A3" s="439" t="s">
        <v>106</v>
      </c>
      <c r="B3" s="439"/>
      <c r="C3" s="439"/>
      <c r="D3" s="439"/>
      <c r="E3" s="439"/>
      <c r="F3" s="439"/>
      <c r="G3" s="439"/>
      <c r="H3" s="439"/>
      <c r="I3" s="439"/>
      <c r="J3" s="439"/>
      <c r="K3" s="192">
        <v>0</v>
      </c>
      <c r="L3" s="111"/>
      <c r="M3" s="111">
        <f>+K3</f>
        <v>0</v>
      </c>
    </row>
    <row r="4" spans="1:14">
      <c r="A4" s="28">
        <v>1</v>
      </c>
      <c r="B4" s="29">
        <v>45870</v>
      </c>
      <c r="C4" s="6"/>
      <c r="D4" s="6"/>
      <c r="E4" s="316">
        <v>36.58</v>
      </c>
      <c r="F4" s="50">
        <v>91.92</v>
      </c>
      <c r="G4" s="74">
        <f>E4*F4</f>
        <v>3362.4335999999998</v>
      </c>
      <c r="H4" s="50">
        <v>0</v>
      </c>
      <c r="I4" s="50">
        <v>0</v>
      </c>
      <c r="J4" s="74">
        <f>H4*I4</f>
        <v>0</v>
      </c>
      <c r="K4" s="74">
        <f>G4+J4</f>
        <v>3362.4335999999998</v>
      </c>
      <c r="L4" s="74">
        <f>+K4</f>
        <v>3362.4335999999998</v>
      </c>
      <c r="M4" s="74">
        <f>M3+K4-L4</f>
        <v>0</v>
      </c>
      <c r="N4" s="6" t="s">
        <v>121</v>
      </c>
    </row>
    <row r="5" spans="1:14">
      <c r="A5" s="28">
        <v>2</v>
      </c>
      <c r="B5" s="29">
        <v>45871</v>
      </c>
      <c r="C5" s="6"/>
      <c r="D5" s="6"/>
      <c r="E5" s="316">
        <v>0</v>
      </c>
      <c r="F5" s="50">
        <v>0</v>
      </c>
      <c r="G5" s="74">
        <f t="shared" ref="G5:G34" si="0">E5*F5</f>
        <v>0</v>
      </c>
      <c r="H5" s="50">
        <v>0</v>
      </c>
      <c r="I5" s="50">
        <v>0</v>
      </c>
      <c r="J5" s="74">
        <f t="shared" ref="J5:J34" si="1">H5*I5</f>
        <v>0</v>
      </c>
      <c r="K5" s="74">
        <f t="shared" ref="K5:K34" si="2">G5+J5</f>
        <v>0</v>
      </c>
      <c r="L5" s="74">
        <f t="shared" ref="L5:L34" si="3">+K5</f>
        <v>0</v>
      </c>
      <c r="M5" s="74">
        <f t="shared" ref="M5:M31" si="4">M4+K5-L5</f>
        <v>0</v>
      </c>
      <c r="N5" s="6"/>
    </row>
    <row r="6" spans="1:14">
      <c r="A6" s="28">
        <v>3</v>
      </c>
      <c r="B6" s="29">
        <v>45872</v>
      </c>
      <c r="C6" s="6"/>
      <c r="D6" s="6"/>
      <c r="E6" s="316">
        <v>0</v>
      </c>
      <c r="F6" s="50">
        <v>0</v>
      </c>
      <c r="G6" s="74">
        <f t="shared" si="0"/>
        <v>0</v>
      </c>
      <c r="H6" s="50">
        <v>0</v>
      </c>
      <c r="I6" s="50">
        <v>0</v>
      </c>
      <c r="J6" s="74">
        <f t="shared" si="1"/>
        <v>0</v>
      </c>
      <c r="K6" s="74">
        <f t="shared" si="2"/>
        <v>0</v>
      </c>
      <c r="L6" s="74">
        <f t="shared" si="3"/>
        <v>0</v>
      </c>
      <c r="M6" s="74">
        <f t="shared" si="4"/>
        <v>0</v>
      </c>
      <c r="N6" s="6"/>
    </row>
    <row r="7" spans="1:14">
      <c r="A7" s="28">
        <v>4</v>
      </c>
      <c r="B7" s="29">
        <v>45873</v>
      </c>
      <c r="C7" s="6"/>
      <c r="D7" s="6"/>
      <c r="E7" s="316">
        <v>0</v>
      </c>
      <c r="F7" s="50">
        <v>0</v>
      </c>
      <c r="G7" s="74">
        <f t="shared" si="0"/>
        <v>0</v>
      </c>
      <c r="H7" s="50">
        <v>0</v>
      </c>
      <c r="I7" s="50">
        <v>0</v>
      </c>
      <c r="J7" s="74">
        <f t="shared" si="1"/>
        <v>0</v>
      </c>
      <c r="K7" s="74">
        <f t="shared" si="2"/>
        <v>0</v>
      </c>
      <c r="L7" s="74">
        <f t="shared" si="3"/>
        <v>0</v>
      </c>
      <c r="M7" s="74">
        <f t="shared" si="4"/>
        <v>0</v>
      </c>
      <c r="N7" s="6"/>
    </row>
    <row r="8" spans="1:14">
      <c r="A8" s="28">
        <v>5</v>
      </c>
      <c r="B8" s="29">
        <v>45874</v>
      </c>
      <c r="C8" s="6"/>
      <c r="D8" s="6"/>
      <c r="E8" s="316">
        <v>28.46</v>
      </c>
      <c r="F8" s="50">
        <v>91.92</v>
      </c>
      <c r="G8" s="74">
        <f t="shared" si="0"/>
        <v>2616.0432000000001</v>
      </c>
      <c r="H8" s="50">
        <v>0</v>
      </c>
      <c r="I8" s="50">
        <v>0</v>
      </c>
      <c r="J8" s="74">
        <f t="shared" si="1"/>
        <v>0</v>
      </c>
      <c r="K8" s="74">
        <f t="shared" si="2"/>
        <v>2616.0432000000001</v>
      </c>
      <c r="L8" s="74">
        <f t="shared" si="3"/>
        <v>2616.0432000000001</v>
      </c>
      <c r="M8" s="74">
        <f t="shared" si="4"/>
        <v>0</v>
      </c>
      <c r="N8" s="6"/>
    </row>
    <row r="9" spans="1:14">
      <c r="A9" s="28">
        <v>6</v>
      </c>
      <c r="B9" s="29">
        <v>45875</v>
      </c>
      <c r="C9" s="6"/>
      <c r="D9" s="6"/>
      <c r="E9" s="316">
        <v>0</v>
      </c>
      <c r="F9" s="50">
        <v>0</v>
      </c>
      <c r="G9" s="74">
        <f t="shared" si="0"/>
        <v>0</v>
      </c>
      <c r="H9" s="50">
        <v>0</v>
      </c>
      <c r="I9" s="50">
        <v>0</v>
      </c>
      <c r="J9" s="74">
        <f t="shared" si="1"/>
        <v>0</v>
      </c>
      <c r="K9" s="74">
        <f t="shared" si="2"/>
        <v>0</v>
      </c>
      <c r="L9" s="74">
        <f t="shared" si="3"/>
        <v>0</v>
      </c>
      <c r="M9" s="74">
        <f t="shared" si="4"/>
        <v>0</v>
      </c>
      <c r="N9" s="6"/>
    </row>
    <row r="10" spans="1:14">
      <c r="A10" s="28">
        <v>7</v>
      </c>
      <c r="B10" s="29">
        <v>45876</v>
      </c>
      <c r="C10" s="6"/>
      <c r="D10" s="6"/>
      <c r="E10" s="316">
        <v>60</v>
      </c>
      <c r="F10" s="50">
        <v>91.92</v>
      </c>
      <c r="G10" s="74">
        <f t="shared" si="0"/>
        <v>5515.2</v>
      </c>
      <c r="H10" s="50">
        <v>0</v>
      </c>
      <c r="I10" s="50">
        <v>0</v>
      </c>
      <c r="J10" s="74">
        <f t="shared" si="1"/>
        <v>0</v>
      </c>
      <c r="K10" s="74">
        <f t="shared" si="2"/>
        <v>5515.2</v>
      </c>
      <c r="L10" s="74">
        <f t="shared" si="3"/>
        <v>5515.2</v>
      </c>
      <c r="M10" s="74">
        <f t="shared" si="4"/>
        <v>0</v>
      </c>
      <c r="N10" s="6"/>
    </row>
    <row r="11" spans="1:14">
      <c r="A11" s="28">
        <v>8</v>
      </c>
      <c r="B11" s="29">
        <v>45877</v>
      </c>
      <c r="C11" s="6"/>
      <c r="D11" s="6"/>
      <c r="E11" s="316">
        <v>43.86</v>
      </c>
      <c r="F11" s="50">
        <v>91.92</v>
      </c>
      <c r="G11" s="74">
        <f t="shared" si="0"/>
        <v>4031.6111999999998</v>
      </c>
      <c r="H11" s="50">
        <v>5.48</v>
      </c>
      <c r="I11" s="50">
        <v>103.96</v>
      </c>
      <c r="J11" s="74">
        <f t="shared" si="1"/>
        <v>569.70079999999996</v>
      </c>
      <c r="K11" s="74">
        <f t="shared" si="2"/>
        <v>4601.3119999999999</v>
      </c>
      <c r="L11" s="74">
        <f t="shared" si="3"/>
        <v>4601.3119999999999</v>
      </c>
      <c r="M11" s="74">
        <f t="shared" si="4"/>
        <v>0</v>
      </c>
      <c r="N11" s="6"/>
    </row>
    <row r="12" spans="1:14">
      <c r="A12" s="28">
        <v>9</v>
      </c>
      <c r="B12" s="29">
        <v>45878</v>
      </c>
      <c r="C12" s="6"/>
      <c r="D12" s="6"/>
      <c r="E12" s="316">
        <v>0</v>
      </c>
      <c r="F12" s="50">
        <v>0</v>
      </c>
      <c r="G12" s="74">
        <f t="shared" si="0"/>
        <v>0</v>
      </c>
      <c r="H12" s="50">
        <v>0</v>
      </c>
      <c r="I12" s="50">
        <v>0</v>
      </c>
      <c r="J12" s="74">
        <f t="shared" si="1"/>
        <v>0</v>
      </c>
      <c r="K12" s="74">
        <f t="shared" si="2"/>
        <v>0</v>
      </c>
      <c r="L12" s="74">
        <f t="shared" si="3"/>
        <v>0</v>
      </c>
      <c r="M12" s="74">
        <f t="shared" si="4"/>
        <v>0</v>
      </c>
      <c r="N12" s="6"/>
    </row>
    <row r="13" spans="1:14">
      <c r="A13" s="28">
        <v>10</v>
      </c>
      <c r="B13" s="29">
        <v>45879</v>
      </c>
      <c r="C13" s="6"/>
      <c r="D13" s="6"/>
      <c r="E13" s="316">
        <v>0</v>
      </c>
      <c r="F13" s="50">
        <v>0</v>
      </c>
      <c r="G13" s="74">
        <f t="shared" si="0"/>
        <v>0</v>
      </c>
      <c r="H13" s="50">
        <v>14.81</v>
      </c>
      <c r="I13" s="50">
        <v>103.96</v>
      </c>
      <c r="J13" s="74">
        <f t="shared" si="1"/>
        <v>1539.6476</v>
      </c>
      <c r="K13" s="74">
        <f t="shared" si="2"/>
        <v>1539.6476</v>
      </c>
      <c r="L13" s="74">
        <f t="shared" si="3"/>
        <v>1539.6476</v>
      </c>
      <c r="M13" s="74">
        <f t="shared" si="4"/>
        <v>0</v>
      </c>
      <c r="N13" s="6"/>
    </row>
    <row r="14" spans="1:14">
      <c r="A14" s="28">
        <v>11</v>
      </c>
      <c r="B14" s="29">
        <v>45880</v>
      </c>
      <c r="C14" s="6"/>
      <c r="D14" s="6"/>
      <c r="E14" s="316">
        <v>0</v>
      </c>
      <c r="F14" s="50">
        <v>0</v>
      </c>
      <c r="G14" s="74">
        <f t="shared" si="0"/>
        <v>0</v>
      </c>
      <c r="H14" s="50">
        <v>0</v>
      </c>
      <c r="I14" s="50">
        <v>0</v>
      </c>
      <c r="J14" s="74">
        <f t="shared" si="1"/>
        <v>0</v>
      </c>
      <c r="K14" s="74">
        <f t="shared" si="2"/>
        <v>0</v>
      </c>
      <c r="L14" s="74">
        <f t="shared" si="3"/>
        <v>0</v>
      </c>
      <c r="M14" s="74">
        <f t="shared" si="4"/>
        <v>0</v>
      </c>
      <c r="N14" s="6"/>
    </row>
    <row r="15" spans="1:14">
      <c r="A15" s="28">
        <v>12</v>
      </c>
      <c r="B15" s="29">
        <v>45881</v>
      </c>
      <c r="C15" s="6"/>
      <c r="D15" s="6"/>
      <c r="E15" s="316">
        <v>80</v>
      </c>
      <c r="F15" s="50">
        <v>91.92</v>
      </c>
      <c r="G15" s="74">
        <f t="shared" si="0"/>
        <v>7353.6</v>
      </c>
      <c r="H15" s="50">
        <v>0</v>
      </c>
      <c r="I15" s="50">
        <v>0</v>
      </c>
      <c r="J15" s="74">
        <f t="shared" si="1"/>
        <v>0</v>
      </c>
      <c r="K15" s="74">
        <f t="shared" si="2"/>
        <v>7353.6</v>
      </c>
      <c r="L15" s="74">
        <f t="shared" si="3"/>
        <v>7353.6</v>
      </c>
      <c r="M15" s="74">
        <f t="shared" si="4"/>
        <v>0</v>
      </c>
      <c r="N15" s="6"/>
    </row>
    <row r="16" spans="1:14">
      <c r="A16" s="28">
        <v>13</v>
      </c>
      <c r="B16" s="29">
        <v>45882</v>
      </c>
      <c r="C16" s="6"/>
      <c r="D16" s="6"/>
      <c r="E16" s="316">
        <v>50</v>
      </c>
      <c r="F16" s="50">
        <v>91.92</v>
      </c>
      <c r="G16" s="74">
        <f t="shared" si="0"/>
        <v>4596</v>
      </c>
      <c r="H16" s="50">
        <v>0</v>
      </c>
      <c r="I16" s="50">
        <v>0</v>
      </c>
      <c r="J16" s="74">
        <f t="shared" si="1"/>
        <v>0</v>
      </c>
      <c r="K16" s="74">
        <f t="shared" si="2"/>
        <v>4596</v>
      </c>
      <c r="L16" s="74">
        <f t="shared" si="3"/>
        <v>4596</v>
      </c>
      <c r="M16" s="74">
        <f t="shared" si="4"/>
        <v>0</v>
      </c>
      <c r="N16" s="6"/>
    </row>
    <row r="17" spans="1:14">
      <c r="A17" s="28">
        <v>14</v>
      </c>
      <c r="B17" s="29">
        <v>45883</v>
      </c>
      <c r="C17" s="191"/>
      <c r="D17" s="6"/>
      <c r="E17" s="316">
        <v>0</v>
      </c>
      <c r="F17" s="50">
        <v>0</v>
      </c>
      <c r="G17" s="74">
        <f t="shared" si="0"/>
        <v>0</v>
      </c>
      <c r="H17" s="50">
        <v>8.27</v>
      </c>
      <c r="I17" s="50">
        <v>103.96</v>
      </c>
      <c r="J17" s="74">
        <f t="shared" si="1"/>
        <v>859.74919999999986</v>
      </c>
      <c r="K17" s="74">
        <f t="shared" si="2"/>
        <v>859.74919999999986</v>
      </c>
      <c r="L17" s="74">
        <f t="shared" si="3"/>
        <v>859.74919999999986</v>
      </c>
      <c r="M17" s="74">
        <f t="shared" si="4"/>
        <v>0</v>
      </c>
      <c r="N17" s="6"/>
    </row>
    <row r="18" spans="1:14">
      <c r="A18" s="28">
        <v>15</v>
      </c>
      <c r="B18" s="29">
        <v>45884</v>
      </c>
      <c r="C18" s="191"/>
      <c r="D18" s="6"/>
      <c r="E18" s="316">
        <v>0</v>
      </c>
      <c r="F18" s="50">
        <v>0</v>
      </c>
      <c r="G18" s="74">
        <f t="shared" si="0"/>
        <v>0</v>
      </c>
      <c r="H18" s="50">
        <v>0</v>
      </c>
      <c r="I18" s="50">
        <v>103.96</v>
      </c>
      <c r="J18" s="74">
        <f t="shared" si="1"/>
        <v>0</v>
      </c>
      <c r="K18" s="74">
        <f t="shared" si="2"/>
        <v>0</v>
      </c>
      <c r="L18" s="74">
        <f t="shared" si="3"/>
        <v>0</v>
      </c>
      <c r="M18" s="74">
        <f t="shared" si="4"/>
        <v>0</v>
      </c>
      <c r="N18" s="6"/>
    </row>
    <row r="19" spans="1:14">
      <c r="A19" s="28">
        <v>16</v>
      </c>
      <c r="B19" s="29">
        <v>45885</v>
      </c>
      <c r="C19" s="191"/>
      <c r="D19" s="6"/>
      <c r="E19" s="316">
        <v>36.33</v>
      </c>
      <c r="F19" s="50">
        <v>91.92</v>
      </c>
      <c r="G19" s="74">
        <f t="shared" si="0"/>
        <v>3339.4535999999998</v>
      </c>
      <c r="H19" s="50">
        <v>6.7</v>
      </c>
      <c r="I19" s="50">
        <v>103.96</v>
      </c>
      <c r="J19" s="74">
        <f t="shared" si="1"/>
        <v>696.53199999999993</v>
      </c>
      <c r="K19" s="74">
        <f t="shared" si="2"/>
        <v>4035.9856</v>
      </c>
      <c r="L19" s="74">
        <f t="shared" si="3"/>
        <v>4035.9856</v>
      </c>
      <c r="M19" s="74">
        <f t="shared" si="4"/>
        <v>0</v>
      </c>
      <c r="N19" s="6"/>
    </row>
    <row r="20" spans="1:14">
      <c r="A20" s="28">
        <v>17</v>
      </c>
      <c r="B20" s="29">
        <v>45886</v>
      </c>
      <c r="C20" s="191"/>
      <c r="D20" s="6"/>
      <c r="E20" s="316">
        <v>0</v>
      </c>
      <c r="F20" s="50">
        <v>0</v>
      </c>
      <c r="G20" s="74">
        <f t="shared" si="0"/>
        <v>0</v>
      </c>
      <c r="H20" s="50">
        <v>0</v>
      </c>
      <c r="I20" s="50">
        <v>0</v>
      </c>
      <c r="J20" s="74">
        <f t="shared" si="1"/>
        <v>0</v>
      </c>
      <c r="K20" s="74">
        <f t="shared" si="2"/>
        <v>0</v>
      </c>
      <c r="L20" s="74">
        <f t="shared" si="3"/>
        <v>0</v>
      </c>
      <c r="M20" s="74">
        <f t="shared" si="4"/>
        <v>0</v>
      </c>
      <c r="N20" s="6"/>
    </row>
    <row r="21" spans="1:14">
      <c r="A21" s="28">
        <v>18</v>
      </c>
      <c r="B21" s="29">
        <v>45887</v>
      </c>
      <c r="C21" s="191"/>
      <c r="D21" s="6"/>
      <c r="E21" s="316">
        <v>0</v>
      </c>
      <c r="F21" s="50">
        <v>0</v>
      </c>
      <c r="G21" s="74">
        <f t="shared" si="0"/>
        <v>0</v>
      </c>
      <c r="H21" s="50">
        <v>0</v>
      </c>
      <c r="I21" s="50">
        <v>0</v>
      </c>
      <c r="J21" s="74">
        <f t="shared" si="1"/>
        <v>0</v>
      </c>
      <c r="K21" s="74">
        <f t="shared" si="2"/>
        <v>0</v>
      </c>
      <c r="L21" s="74">
        <f t="shared" si="3"/>
        <v>0</v>
      </c>
      <c r="M21" s="74">
        <f t="shared" si="4"/>
        <v>0</v>
      </c>
      <c r="N21" s="6"/>
    </row>
    <row r="22" spans="1:14">
      <c r="A22" s="28">
        <v>19</v>
      </c>
      <c r="B22" s="29">
        <v>45888</v>
      </c>
      <c r="C22" s="191"/>
      <c r="D22" s="6"/>
      <c r="E22" s="316">
        <v>20</v>
      </c>
      <c r="F22" s="50">
        <v>91.92</v>
      </c>
      <c r="G22" s="74">
        <f t="shared" si="0"/>
        <v>1838.4</v>
      </c>
      <c r="H22" s="50">
        <v>10</v>
      </c>
      <c r="I22" s="50">
        <v>103.96</v>
      </c>
      <c r="J22" s="74">
        <f t="shared" si="1"/>
        <v>1039.5999999999999</v>
      </c>
      <c r="K22" s="74">
        <f t="shared" si="2"/>
        <v>2878</v>
      </c>
      <c r="L22" s="74">
        <f t="shared" si="3"/>
        <v>2878</v>
      </c>
      <c r="M22" s="74">
        <f t="shared" si="4"/>
        <v>0</v>
      </c>
      <c r="N22" s="6"/>
    </row>
    <row r="23" spans="1:14">
      <c r="A23" s="28">
        <v>20</v>
      </c>
      <c r="B23" s="29">
        <v>45889</v>
      </c>
      <c r="C23" s="191"/>
      <c r="D23" s="6"/>
      <c r="E23" s="316">
        <v>37.32</v>
      </c>
      <c r="F23" s="50">
        <v>91.92</v>
      </c>
      <c r="G23" s="74">
        <f t="shared" si="0"/>
        <v>3430.4544000000001</v>
      </c>
      <c r="H23" s="50">
        <v>0</v>
      </c>
      <c r="I23" s="50">
        <v>0</v>
      </c>
      <c r="J23" s="74">
        <f t="shared" si="1"/>
        <v>0</v>
      </c>
      <c r="K23" s="74">
        <f t="shared" si="2"/>
        <v>3430.4544000000001</v>
      </c>
      <c r="L23" s="74">
        <f t="shared" si="3"/>
        <v>3430.4544000000001</v>
      </c>
      <c r="M23" s="74">
        <f t="shared" si="4"/>
        <v>0</v>
      </c>
      <c r="N23" s="6"/>
    </row>
    <row r="24" spans="1:14">
      <c r="A24" s="28">
        <v>21</v>
      </c>
      <c r="B24" s="29">
        <v>45890</v>
      </c>
      <c r="C24" s="191"/>
      <c r="D24" s="6"/>
      <c r="E24" s="316">
        <v>0</v>
      </c>
      <c r="F24" s="50">
        <v>0</v>
      </c>
      <c r="G24" s="74">
        <f t="shared" si="0"/>
        <v>0</v>
      </c>
      <c r="H24" s="50">
        <v>0</v>
      </c>
      <c r="I24" s="50">
        <v>0</v>
      </c>
      <c r="J24" s="74">
        <f t="shared" si="1"/>
        <v>0</v>
      </c>
      <c r="K24" s="74">
        <f t="shared" si="2"/>
        <v>0</v>
      </c>
      <c r="L24" s="74">
        <f t="shared" si="3"/>
        <v>0</v>
      </c>
      <c r="M24" s="74">
        <f t="shared" si="4"/>
        <v>0</v>
      </c>
      <c r="N24" s="6"/>
    </row>
    <row r="25" spans="1:14">
      <c r="A25" s="28">
        <v>22</v>
      </c>
      <c r="B25" s="29">
        <v>45891</v>
      </c>
      <c r="C25" s="191"/>
      <c r="D25" s="6"/>
      <c r="E25" s="316">
        <v>32.64</v>
      </c>
      <c r="F25" s="50">
        <v>91.92</v>
      </c>
      <c r="G25" s="74">
        <f t="shared" si="0"/>
        <v>3000.2688000000003</v>
      </c>
      <c r="H25" s="50">
        <v>6.89</v>
      </c>
      <c r="I25" s="50">
        <v>103.96</v>
      </c>
      <c r="J25" s="74">
        <f t="shared" si="1"/>
        <v>716.28439999999989</v>
      </c>
      <c r="K25" s="74">
        <f t="shared" si="2"/>
        <v>3716.5532000000003</v>
      </c>
      <c r="L25" s="74">
        <f t="shared" si="3"/>
        <v>3716.5532000000003</v>
      </c>
      <c r="M25" s="74">
        <f t="shared" si="4"/>
        <v>0</v>
      </c>
      <c r="N25" s="6"/>
    </row>
    <row r="26" spans="1:14">
      <c r="A26" s="28">
        <v>23</v>
      </c>
      <c r="B26" s="29">
        <v>45892</v>
      </c>
      <c r="C26" s="191"/>
      <c r="D26" s="6"/>
      <c r="E26" s="316">
        <v>50</v>
      </c>
      <c r="F26" s="50">
        <v>91.92</v>
      </c>
      <c r="G26" s="74">
        <f t="shared" si="0"/>
        <v>4596</v>
      </c>
      <c r="H26" s="50">
        <v>0</v>
      </c>
      <c r="I26" s="50">
        <v>0</v>
      </c>
      <c r="J26" s="74">
        <f t="shared" si="1"/>
        <v>0</v>
      </c>
      <c r="K26" s="74">
        <f t="shared" si="2"/>
        <v>4596</v>
      </c>
      <c r="L26" s="74">
        <f t="shared" si="3"/>
        <v>4596</v>
      </c>
      <c r="M26" s="74">
        <f t="shared" si="4"/>
        <v>0</v>
      </c>
      <c r="N26" s="6"/>
    </row>
    <row r="27" spans="1:14">
      <c r="A27" s="28">
        <v>24</v>
      </c>
      <c r="B27" s="29">
        <v>45893</v>
      </c>
      <c r="C27" s="191"/>
      <c r="D27" s="6"/>
      <c r="E27" s="316">
        <v>0</v>
      </c>
      <c r="F27" s="50">
        <v>0</v>
      </c>
      <c r="G27" s="74">
        <f t="shared" si="0"/>
        <v>0</v>
      </c>
      <c r="H27" s="50">
        <v>0</v>
      </c>
      <c r="I27" s="50">
        <v>0</v>
      </c>
      <c r="J27" s="74">
        <f t="shared" si="1"/>
        <v>0</v>
      </c>
      <c r="K27" s="74">
        <f t="shared" si="2"/>
        <v>0</v>
      </c>
      <c r="L27" s="74">
        <f t="shared" si="3"/>
        <v>0</v>
      </c>
      <c r="M27" s="74">
        <f t="shared" si="4"/>
        <v>0</v>
      </c>
      <c r="N27" s="6"/>
    </row>
    <row r="28" spans="1:14">
      <c r="A28" s="28">
        <v>25</v>
      </c>
      <c r="B28" s="29">
        <v>45894</v>
      </c>
      <c r="C28" s="191"/>
      <c r="D28" s="6"/>
      <c r="E28" s="316">
        <v>0</v>
      </c>
      <c r="F28" s="50">
        <v>0</v>
      </c>
      <c r="G28" s="74">
        <f t="shared" si="0"/>
        <v>0</v>
      </c>
      <c r="H28" s="50">
        <v>0</v>
      </c>
      <c r="I28" s="50">
        <v>0</v>
      </c>
      <c r="J28" s="74">
        <f t="shared" si="1"/>
        <v>0</v>
      </c>
      <c r="K28" s="74">
        <f t="shared" si="2"/>
        <v>0</v>
      </c>
      <c r="L28" s="74">
        <f t="shared" si="3"/>
        <v>0</v>
      </c>
      <c r="M28" s="74">
        <f t="shared" si="4"/>
        <v>0</v>
      </c>
      <c r="N28" s="6"/>
    </row>
    <row r="29" spans="1:14">
      <c r="A29" s="28">
        <v>26</v>
      </c>
      <c r="B29" s="29">
        <v>45895</v>
      </c>
      <c r="C29" s="191"/>
      <c r="D29" s="6"/>
      <c r="E29" s="316">
        <v>30</v>
      </c>
      <c r="F29" s="50">
        <v>91.92</v>
      </c>
      <c r="G29" s="74">
        <f t="shared" si="0"/>
        <v>2757.6</v>
      </c>
      <c r="H29" s="50">
        <v>6.84</v>
      </c>
      <c r="I29" s="50">
        <v>103.96</v>
      </c>
      <c r="J29" s="74">
        <f t="shared" si="1"/>
        <v>711.08639999999991</v>
      </c>
      <c r="K29" s="74">
        <f t="shared" si="2"/>
        <v>3468.6863999999996</v>
      </c>
      <c r="L29" s="74">
        <f t="shared" si="3"/>
        <v>3468.6863999999996</v>
      </c>
      <c r="M29" s="74">
        <f t="shared" si="4"/>
        <v>0</v>
      </c>
      <c r="N29" s="6"/>
    </row>
    <row r="30" spans="1:14">
      <c r="A30" s="28">
        <v>27</v>
      </c>
      <c r="B30" s="29">
        <v>45896</v>
      </c>
      <c r="C30" s="191"/>
      <c r="D30" s="6"/>
      <c r="E30" s="316">
        <v>0</v>
      </c>
      <c r="F30" s="50">
        <v>0</v>
      </c>
      <c r="G30" s="74">
        <f t="shared" si="0"/>
        <v>0</v>
      </c>
      <c r="H30" s="50">
        <v>0</v>
      </c>
      <c r="I30" s="50">
        <v>0</v>
      </c>
      <c r="J30" s="74">
        <f t="shared" si="1"/>
        <v>0</v>
      </c>
      <c r="K30" s="74">
        <f t="shared" si="2"/>
        <v>0</v>
      </c>
      <c r="L30" s="74">
        <f t="shared" si="3"/>
        <v>0</v>
      </c>
      <c r="M30" s="74">
        <f t="shared" si="4"/>
        <v>0</v>
      </c>
      <c r="N30" s="6"/>
    </row>
    <row r="31" spans="1:14">
      <c r="A31" s="252">
        <v>28</v>
      </c>
      <c r="B31" s="29">
        <v>45897</v>
      </c>
      <c r="C31" s="191"/>
      <c r="D31" s="6"/>
      <c r="E31" s="316">
        <v>0</v>
      </c>
      <c r="F31" s="50">
        <v>0</v>
      </c>
      <c r="G31" s="74">
        <f t="shared" si="0"/>
        <v>0</v>
      </c>
      <c r="H31" s="50">
        <v>0</v>
      </c>
      <c r="I31" s="50">
        <v>0</v>
      </c>
      <c r="J31" s="74">
        <f t="shared" si="1"/>
        <v>0</v>
      </c>
      <c r="K31" s="74">
        <f t="shared" si="2"/>
        <v>0</v>
      </c>
      <c r="L31" s="74">
        <f t="shared" si="3"/>
        <v>0</v>
      </c>
      <c r="M31" s="74">
        <f t="shared" si="4"/>
        <v>0</v>
      </c>
      <c r="N31" s="6"/>
    </row>
    <row r="32" spans="1:14">
      <c r="A32" s="28">
        <v>29</v>
      </c>
      <c r="B32" s="29">
        <v>45898</v>
      </c>
      <c r="C32" s="191"/>
      <c r="D32" s="6"/>
      <c r="E32" s="316">
        <v>0</v>
      </c>
      <c r="F32" s="50">
        <v>0</v>
      </c>
      <c r="G32" s="74">
        <f t="shared" si="0"/>
        <v>0</v>
      </c>
      <c r="H32" s="50">
        <v>0</v>
      </c>
      <c r="I32" s="50">
        <v>0</v>
      </c>
      <c r="J32" s="74">
        <f t="shared" si="1"/>
        <v>0</v>
      </c>
      <c r="K32" s="74">
        <f t="shared" si="2"/>
        <v>0</v>
      </c>
      <c r="L32" s="74">
        <f t="shared" si="3"/>
        <v>0</v>
      </c>
      <c r="M32" s="74">
        <f t="shared" ref="M32:M34" si="5">M31+K32-L32</f>
        <v>0</v>
      </c>
      <c r="N32" s="6"/>
    </row>
    <row r="33" spans="1:14">
      <c r="A33" s="28">
        <v>30</v>
      </c>
      <c r="B33" s="29">
        <v>45899</v>
      </c>
      <c r="C33" s="191"/>
      <c r="D33" s="6"/>
      <c r="E33" s="316">
        <v>36.630000000000003</v>
      </c>
      <c r="F33" s="50">
        <v>91.92</v>
      </c>
      <c r="G33" s="74">
        <f t="shared" si="0"/>
        <v>3367.0296000000003</v>
      </c>
      <c r="H33" s="50">
        <v>0</v>
      </c>
      <c r="I33" s="50">
        <v>0</v>
      </c>
      <c r="J33" s="74">
        <f t="shared" si="1"/>
        <v>0</v>
      </c>
      <c r="K33" s="74">
        <f t="shared" si="2"/>
        <v>3367.0296000000003</v>
      </c>
      <c r="L33" s="74">
        <f t="shared" si="3"/>
        <v>3367.0296000000003</v>
      </c>
      <c r="M33" s="74">
        <f t="shared" si="5"/>
        <v>0</v>
      </c>
      <c r="N33" s="6"/>
    </row>
    <row r="34" spans="1:14">
      <c r="A34" s="28">
        <v>31</v>
      </c>
      <c r="B34" s="29">
        <v>45900</v>
      </c>
      <c r="C34" s="191"/>
      <c r="D34" s="6"/>
      <c r="E34" s="316">
        <v>0</v>
      </c>
      <c r="F34" s="50">
        <v>0</v>
      </c>
      <c r="G34" s="74">
        <f t="shared" si="0"/>
        <v>0</v>
      </c>
      <c r="H34" s="50">
        <v>0</v>
      </c>
      <c r="I34" s="50">
        <v>0</v>
      </c>
      <c r="J34" s="74">
        <f t="shared" si="1"/>
        <v>0</v>
      </c>
      <c r="K34" s="74">
        <f t="shared" si="2"/>
        <v>0</v>
      </c>
      <c r="L34" s="74">
        <f t="shared" si="3"/>
        <v>0</v>
      </c>
      <c r="M34" s="74">
        <f t="shared" si="5"/>
        <v>0</v>
      </c>
      <c r="N34" s="6"/>
    </row>
    <row r="35" spans="1:14">
      <c r="A35" s="48"/>
      <c r="B35" s="48"/>
      <c r="C35" s="48"/>
      <c r="D35" s="48"/>
      <c r="E35" s="48">
        <f>SUM(E4:E34)</f>
        <v>541.81999999999994</v>
      </c>
      <c r="F35" s="48"/>
      <c r="G35" s="48">
        <f>SUM(G4:G34)</f>
        <v>49804.094400000002</v>
      </c>
      <c r="H35" s="48">
        <f>SUM(H4:H34)</f>
        <v>58.989999999999995</v>
      </c>
      <c r="I35" s="48"/>
      <c r="J35" s="48">
        <f>SUM(J4:J34)</f>
        <v>6132.6003999999984</v>
      </c>
      <c r="K35" s="48">
        <f>SUM(K4:K34)</f>
        <v>55936.694800000005</v>
      </c>
      <c r="L35" s="48">
        <f>SUM(L4:L34)</f>
        <v>55936.694800000005</v>
      </c>
      <c r="M35" s="48"/>
      <c r="N35" s="48"/>
    </row>
  </sheetData>
  <mergeCells count="2">
    <mergeCell ref="A1:N1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O44"/>
  <sheetViews>
    <sheetView workbookViewId="0">
      <pane ySplit="2" topLeftCell="C3" activePane="bottomLeft" state="frozen"/>
      <selection pane="bottomLeft" activeCell="M34" sqref="M34"/>
    </sheetView>
  </sheetViews>
  <sheetFormatPr defaultRowHeight="15"/>
  <cols>
    <col min="1" max="1" width="5.140625" style="86" bestFit="1" customWidth="1"/>
    <col min="2" max="2" width="10.85546875" style="86" bestFit="1" customWidth="1"/>
    <col min="3" max="3" width="16" style="86" bestFit="1" customWidth="1"/>
    <col min="4" max="4" width="13.28515625" style="86" bestFit="1" customWidth="1"/>
    <col min="5" max="6" width="10.7109375" style="86" bestFit="1" customWidth="1"/>
    <col min="7" max="7" width="11.5703125" style="86" bestFit="1" customWidth="1"/>
    <col min="8" max="8" width="10.7109375" style="86" bestFit="1" customWidth="1"/>
    <col min="9" max="9" width="7.140625" style="86" bestFit="1" customWidth="1"/>
    <col min="10" max="10" width="9.7109375" style="86" bestFit="1" customWidth="1"/>
    <col min="11" max="11" width="13.5703125" style="86" bestFit="1" customWidth="1"/>
    <col min="12" max="12" width="13.5703125" style="297" bestFit="1" customWidth="1"/>
    <col min="13" max="13" width="15" style="86" customWidth="1"/>
    <col min="14" max="14" width="14.28515625" style="86" bestFit="1" customWidth="1"/>
    <col min="15" max="16384" width="9.140625" style="86"/>
  </cols>
  <sheetData>
    <row r="1" spans="1:15" ht="15.75">
      <c r="A1" s="407" t="s">
        <v>52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61"/>
    </row>
    <row r="2" spans="1:15">
      <c r="A2" s="107" t="s">
        <v>94</v>
      </c>
      <c r="B2" s="108" t="s">
        <v>95</v>
      </c>
      <c r="C2" s="108" t="s">
        <v>96</v>
      </c>
      <c r="D2" s="108" t="s">
        <v>111</v>
      </c>
      <c r="E2" s="108" t="s">
        <v>98</v>
      </c>
      <c r="F2" s="108" t="s">
        <v>99</v>
      </c>
      <c r="G2" s="108" t="s">
        <v>100</v>
      </c>
      <c r="H2" s="108" t="s">
        <v>101</v>
      </c>
      <c r="I2" s="108" t="s">
        <v>99</v>
      </c>
      <c r="J2" s="148" t="s">
        <v>100</v>
      </c>
      <c r="K2" s="109" t="s">
        <v>102</v>
      </c>
      <c r="L2" s="269" t="s">
        <v>103</v>
      </c>
      <c r="M2" s="154" t="s">
        <v>110</v>
      </c>
      <c r="N2" s="110" t="s">
        <v>105</v>
      </c>
      <c r="O2" s="67"/>
    </row>
    <row r="3" spans="1:15">
      <c r="A3" s="441" t="s">
        <v>106</v>
      </c>
      <c r="B3" s="442"/>
      <c r="C3" s="442"/>
      <c r="D3" s="442"/>
      <c r="E3" s="442"/>
      <c r="F3" s="442"/>
      <c r="G3" s="442"/>
      <c r="H3" s="442"/>
      <c r="I3" s="442"/>
      <c r="J3" s="443"/>
      <c r="K3" s="235">
        <v>29694.835599999984</v>
      </c>
      <c r="L3" s="235"/>
      <c r="M3" s="160">
        <v>29694.835599999984</v>
      </c>
      <c r="N3" s="168"/>
      <c r="O3" s="8"/>
    </row>
    <row r="4" spans="1:15">
      <c r="A4" s="28">
        <v>1</v>
      </c>
      <c r="B4" s="29">
        <v>45870</v>
      </c>
      <c r="C4" s="27"/>
      <c r="D4" s="20"/>
      <c r="E4" s="53">
        <v>115</v>
      </c>
      <c r="F4" s="53">
        <v>91.77</v>
      </c>
      <c r="G4" s="8">
        <f>E4*F4</f>
        <v>10553.55</v>
      </c>
      <c r="H4" s="53">
        <v>6</v>
      </c>
      <c r="I4" s="53">
        <v>103.7</v>
      </c>
      <c r="J4" s="8">
        <f>H4*I4</f>
        <v>622.20000000000005</v>
      </c>
      <c r="K4" s="8">
        <f>G4+J4</f>
        <v>11175.75</v>
      </c>
      <c r="L4" s="295">
        <v>23270</v>
      </c>
      <c r="M4" s="8">
        <f>M3+K4-L4</f>
        <v>17600.585599999984</v>
      </c>
      <c r="N4" s="8"/>
      <c r="O4" s="67"/>
    </row>
    <row r="5" spans="1:15">
      <c r="A5" s="28">
        <v>2</v>
      </c>
      <c r="B5" s="29">
        <v>45871</v>
      </c>
      <c r="C5" s="27"/>
      <c r="D5" s="20"/>
      <c r="E5" s="53">
        <v>35</v>
      </c>
      <c r="F5" s="53">
        <v>91.77</v>
      </c>
      <c r="G5" s="8">
        <f t="shared" ref="G5:G34" si="0">E5*F5</f>
        <v>3211.95</v>
      </c>
      <c r="H5" s="53">
        <v>0</v>
      </c>
      <c r="I5" s="53">
        <v>0</v>
      </c>
      <c r="J5" s="8">
        <f t="shared" ref="J5:J34" si="1">H5*I5</f>
        <v>0</v>
      </c>
      <c r="K5" s="8">
        <f t="shared" ref="K5:K34" si="2">G5+J5</f>
        <v>3211.95</v>
      </c>
      <c r="L5" s="295"/>
      <c r="M5" s="8">
        <f t="shared" ref="M5:M16" si="3">M4+K5-L5</f>
        <v>20812.535599999985</v>
      </c>
      <c r="N5" s="8"/>
      <c r="O5" s="67"/>
    </row>
    <row r="6" spans="1:15">
      <c r="A6" s="28">
        <v>3</v>
      </c>
      <c r="B6" s="29">
        <v>45872</v>
      </c>
      <c r="C6" s="27"/>
      <c r="D6" s="20"/>
      <c r="E6" s="53">
        <v>15</v>
      </c>
      <c r="F6" s="53">
        <v>91.77</v>
      </c>
      <c r="G6" s="8">
        <f t="shared" si="0"/>
        <v>1376.55</v>
      </c>
      <c r="H6" s="53">
        <v>5</v>
      </c>
      <c r="I6" s="53">
        <v>103.7</v>
      </c>
      <c r="J6" s="8">
        <f t="shared" si="1"/>
        <v>518.5</v>
      </c>
      <c r="K6" s="8">
        <f t="shared" si="2"/>
        <v>1895.05</v>
      </c>
      <c r="L6" s="295"/>
      <c r="M6" s="8">
        <f t="shared" si="3"/>
        <v>22707.585599999984</v>
      </c>
      <c r="N6" s="8"/>
      <c r="O6" s="67"/>
    </row>
    <row r="7" spans="1:15">
      <c r="A7" s="28">
        <v>4</v>
      </c>
      <c r="B7" s="29">
        <v>45873</v>
      </c>
      <c r="C7" s="27"/>
      <c r="D7" s="20"/>
      <c r="E7" s="53">
        <v>15</v>
      </c>
      <c r="F7" s="53">
        <v>91.77</v>
      </c>
      <c r="G7" s="8">
        <f t="shared" si="0"/>
        <v>1376.55</v>
      </c>
      <c r="H7" s="53">
        <v>0</v>
      </c>
      <c r="I7" s="53">
        <v>0</v>
      </c>
      <c r="J7" s="8">
        <f t="shared" si="1"/>
        <v>0</v>
      </c>
      <c r="K7" s="8">
        <f t="shared" si="2"/>
        <v>1376.55</v>
      </c>
      <c r="L7" s="295"/>
      <c r="M7" s="8">
        <f t="shared" si="3"/>
        <v>24084.135599999983</v>
      </c>
      <c r="N7" s="8"/>
      <c r="O7" s="67"/>
    </row>
    <row r="8" spans="1:15">
      <c r="A8" s="28">
        <v>5</v>
      </c>
      <c r="B8" s="29">
        <v>45874</v>
      </c>
      <c r="C8" s="27"/>
      <c r="D8" s="20"/>
      <c r="E8" s="53">
        <v>15</v>
      </c>
      <c r="F8" s="53">
        <v>91.77</v>
      </c>
      <c r="G8" s="8">
        <f t="shared" si="0"/>
        <v>1376.55</v>
      </c>
      <c r="H8" s="53">
        <v>0</v>
      </c>
      <c r="I8" s="53">
        <v>0</v>
      </c>
      <c r="J8" s="8">
        <f t="shared" si="1"/>
        <v>0</v>
      </c>
      <c r="K8" s="8">
        <f t="shared" si="2"/>
        <v>1376.55</v>
      </c>
      <c r="L8" s="295"/>
      <c r="M8" s="8">
        <f t="shared" si="3"/>
        <v>25460.685599999983</v>
      </c>
      <c r="N8" s="8"/>
      <c r="O8" s="67"/>
    </row>
    <row r="9" spans="1:15">
      <c r="A9" s="28">
        <v>6</v>
      </c>
      <c r="B9" s="29">
        <v>45875</v>
      </c>
      <c r="C9" s="27"/>
      <c r="D9" s="20"/>
      <c r="E9" s="53">
        <v>15</v>
      </c>
      <c r="F9" s="53">
        <v>91.77</v>
      </c>
      <c r="G9" s="8">
        <f t="shared" si="0"/>
        <v>1376.55</v>
      </c>
      <c r="H9" s="53">
        <v>0</v>
      </c>
      <c r="I9" s="53">
        <v>0</v>
      </c>
      <c r="J9" s="8">
        <f t="shared" si="1"/>
        <v>0</v>
      </c>
      <c r="K9" s="8">
        <f t="shared" si="2"/>
        <v>1376.55</v>
      </c>
      <c r="L9" s="295"/>
      <c r="M9" s="8">
        <f t="shared" si="3"/>
        <v>26837.235599999982</v>
      </c>
      <c r="N9" s="8"/>
      <c r="O9" s="67"/>
    </row>
    <row r="10" spans="1:15">
      <c r="A10" s="28">
        <v>7</v>
      </c>
      <c r="B10" s="29">
        <v>45876</v>
      </c>
      <c r="C10" s="27"/>
      <c r="D10" s="20"/>
      <c r="E10" s="53">
        <v>0</v>
      </c>
      <c r="F10" s="53">
        <v>0</v>
      </c>
      <c r="G10" s="8">
        <f t="shared" si="0"/>
        <v>0</v>
      </c>
      <c r="H10" s="53">
        <v>0</v>
      </c>
      <c r="I10" s="53">
        <v>0</v>
      </c>
      <c r="J10" s="8">
        <f t="shared" si="1"/>
        <v>0</v>
      </c>
      <c r="K10" s="8">
        <f t="shared" si="2"/>
        <v>0</v>
      </c>
      <c r="L10" s="295"/>
      <c r="M10" s="8">
        <f t="shared" si="3"/>
        <v>26837.235599999982</v>
      </c>
      <c r="N10" s="8"/>
      <c r="O10" s="67"/>
    </row>
    <row r="11" spans="1:15">
      <c r="A11" s="28">
        <v>8</v>
      </c>
      <c r="B11" s="29">
        <v>45877</v>
      </c>
      <c r="C11" s="27"/>
      <c r="D11" s="20"/>
      <c r="E11" s="53">
        <v>35</v>
      </c>
      <c r="F11" s="53">
        <v>91.77</v>
      </c>
      <c r="G11" s="8">
        <f t="shared" si="0"/>
        <v>3211.95</v>
      </c>
      <c r="H11" s="53">
        <v>11</v>
      </c>
      <c r="I11" s="53">
        <v>103.7</v>
      </c>
      <c r="J11" s="8">
        <f t="shared" si="1"/>
        <v>1140.7</v>
      </c>
      <c r="K11" s="8">
        <f t="shared" si="2"/>
        <v>4352.6499999999996</v>
      </c>
      <c r="L11" s="295"/>
      <c r="M11" s="8">
        <f t="shared" si="3"/>
        <v>31189.88559999998</v>
      </c>
      <c r="N11" s="8"/>
      <c r="O11" s="67"/>
    </row>
    <row r="12" spans="1:15">
      <c r="A12" s="28">
        <v>9</v>
      </c>
      <c r="B12" s="29">
        <v>45878</v>
      </c>
      <c r="C12" s="27"/>
      <c r="D12" s="20"/>
      <c r="E12" s="53">
        <v>0</v>
      </c>
      <c r="F12" s="53">
        <v>0</v>
      </c>
      <c r="G12" s="8">
        <f t="shared" si="0"/>
        <v>0</v>
      </c>
      <c r="H12" s="53">
        <v>0</v>
      </c>
      <c r="I12" s="53">
        <v>0</v>
      </c>
      <c r="J12" s="8">
        <f t="shared" si="1"/>
        <v>0</v>
      </c>
      <c r="K12" s="8">
        <f t="shared" si="2"/>
        <v>0</v>
      </c>
      <c r="L12" s="295"/>
      <c r="M12" s="8">
        <f t="shared" si="3"/>
        <v>31189.88559999998</v>
      </c>
      <c r="N12" s="8"/>
      <c r="O12" s="67"/>
    </row>
    <row r="13" spans="1:15">
      <c r="A13" s="28">
        <v>10</v>
      </c>
      <c r="B13" s="29">
        <v>45879</v>
      </c>
      <c r="C13" s="27"/>
      <c r="D13" s="20"/>
      <c r="E13" s="53">
        <v>0</v>
      </c>
      <c r="F13" s="53">
        <v>0</v>
      </c>
      <c r="G13" s="8">
        <f t="shared" si="0"/>
        <v>0</v>
      </c>
      <c r="H13" s="53">
        <v>0</v>
      </c>
      <c r="I13" s="53">
        <v>0</v>
      </c>
      <c r="J13" s="8">
        <f t="shared" si="1"/>
        <v>0</v>
      </c>
      <c r="K13" s="8">
        <f t="shared" si="2"/>
        <v>0</v>
      </c>
      <c r="L13" s="295"/>
      <c r="M13" s="8">
        <f t="shared" si="3"/>
        <v>31189.88559999998</v>
      </c>
      <c r="N13" s="21"/>
      <c r="O13" s="67"/>
    </row>
    <row r="14" spans="1:15">
      <c r="A14" s="28">
        <v>11</v>
      </c>
      <c r="B14" s="29">
        <v>45880</v>
      </c>
      <c r="C14" s="27"/>
      <c r="D14" s="20"/>
      <c r="E14" s="53">
        <v>260</v>
      </c>
      <c r="F14" s="53">
        <v>91.77</v>
      </c>
      <c r="G14" s="8">
        <f t="shared" si="0"/>
        <v>23860.2</v>
      </c>
      <c r="H14" s="53">
        <v>0</v>
      </c>
      <c r="I14" s="53">
        <v>0</v>
      </c>
      <c r="J14" s="8">
        <f t="shared" si="1"/>
        <v>0</v>
      </c>
      <c r="K14" s="8">
        <f t="shared" si="2"/>
        <v>23860.2</v>
      </c>
      <c r="L14" s="295"/>
      <c r="M14" s="8">
        <f t="shared" si="3"/>
        <v>55050.085599999977</v>
      </c>
      <c r="N14" s="21"/>
      <c r="O14" s="67"/>
    </row>
    <row r="15" spans="1:15">
      <c r="A15" s="28">
        <v>12</v>
      </c>
      <c r="B15" s="29">
        <v>45881</v>
      </c>
      <c r="C15" s="27"/>
      <c r="D15" s="20"/>
      <c r="E15" s="53">
        <v>70</v>
      </c>
      <c r="F15" s="53">
        <v>91.77</v>
      </c>
      <c r="G15" s="8">
        <f t="shared" si="0"/>
        <v>6423.9</v>
      </c>
      <c r="H15" s="53">
        <v>0</v>
      </c>
      <c r="I15" s="53">
        <v>0</v>
      </c>
      <c r="J15" s="8">
        <f t="shared" si="1"/>
        <v>0</v>
      </c>
      <c r="K15" s="8">
        <f t="shared" si="2"/>
        <v>6423.9</v>
      </c>
      <c r="L15" s="295"/>
      <c r="M15" s="8">
        <f t="shared" si="3"/>
        <v>61473.985599999978</v>
      </c>
      <c r="N15" s="21"/>
      <c r="O15" s="67"/>
    </row>
    <row r="16" spans="1:15">
      <c r="A16" s="28">
        <v>13</v>
      </c>
      <c r="B16" s="29">
        <v>45882</v>
      </c>
      <c r="C16" s="27"/>
      <c r="D16" s="20"/>
      <c r="E16" s="53">
        <v>0</v>
      </c>
      <c r="F16" s="53">
        <v>0</v>
      </c>
      <c r="G16" s="8">
        <f t="shared" si="0"/>
        <v>0</v>
      </c>
      <c r="H16" s="53">
        <v>0</v>
      </c>
      <c r="I16" s="53">
        <v>0</v>
      </c>
      <c r="J16" s="8">
        <f t="shared" si="1"/>
        <v>0</v>
      </c>
      <c r="K16" s="8">
        <f t="shared" si="2"/>
        <v>0</v>
      </c>
      <c r="L16" s="295">
        <v>50000</v>
      </c>
      <c r="M16" s="8">
        <f>M15+K16-L16</f>
        <v>11473.985599999978</v>
      </c>
      <c r="N16" s="21"/>
      <c r="O16" s="67"/>
    </row>
    <row r="17" spans="1:15">
      <c r="A17" s="28">
        <v>14</v>
      </c>
      <c r="B17" s="29">
        <v>45883</v>
      </c>
      <c r="C17" s="27"/>
      <c r="D17" s="20"/>
      <c r="E17" s="53">
        <v>20</v>
      </c>
      <c r="F17" s="53">
        <v>91.77</v>
      </c>
      <c r="G17" s="8">
        <f t="shared" si="0"/>
        <v>1835.3999999999999</v>
      </c>
      <c r="H17" s="53">
        <v>5</v>
      </c>
      <c r="I17" s="53">
        <v>111.04</v>
      </c>
      <c r="J17" s="8">
        <f t="shared" si="1"/>
        <v>555.20000000000005</v>
      </c>
      <c r="K17" s="8">
        <f t="shared" si="2"/>
        <v>2390.6</v>
      </c>
      <c r="L17" s="295"/>
      <c r="M17" s="8">
        <f>M16+K17-L17</f>
        <v>13864.585599999979</v>
      </c>
      <c r="N17" s="21"/>
      <c r="O17" s="67"/>
    </row>
    <row r="18" spans="1:15">
      <c r="A18" s="28">
        <v>15</v>
      </c>
      <c r="B18" s="29">
        <v>45884</v>
      </c>
      <c r="C18" s="27"/>
      <c r="D18" s="20"/>
      <c r="E18" s="53">
        <v>0</v>
      </c>
      <c r="F18" s="53">
        <v>0</v>
      </c>
      <c r="G18" s="8">
        <f t="shared" si="0"/>
        <v>0</v>
      </c>
      <c r="H18" s="53">
        <v>5</v>
      </c>
      <c r="I18" s="53">
        <v>103.7</v>
      </c>
      <c r="J18" s="8">
        <f t="shared" si="1"/>
        <v>518.5</v>
      </c>
      <c r="K18" s="8">
        <f t="shared" si="2"/>
        <v>518.5</v>
      </c>
      <c r="L18" s="295"/>
      <c r="M18" s="8">
        <f>M17+K18-L18</f>
        <v>14383.085599999979</v>
      </c>
      <c r="N18" s="21"/>
      <c r="O18" s="67"/>
    </row>
    <row r="19" spans="1:15">
      <c r="A19" s="28">
        <v>16</v>
      </c>
      <c r="B19" s="29">
        <v>45885</v>
      </c>
      <c r="C19" s="27"/>
      <c r="D19" s="20"/>
      <c r="E19" s="53">
        <v>0</v>
      </c>
      <c r="F19" s="53">
        <v>0</v>
      </c>
      <c r="G19" s="8">
        <f t="shared" si="0"/>
        <v>0</v>
      </c>
      <c r="H19" s="53">
        <v>0</v>
      </c>
      <c r="I19" s="53">
        <v>0</v>
      </c>
      <c r="J19" s="8">
        <f t="shared" si="1"/>
        <v>0</v>
      </c>
      <c r="K19" s="8">
        <f t="shared" si="2"/>
        <v>0</v>
      </c>
      <c r="L19" s="295"/>
      <c r="M19" s="8">
        <f>M18+K19-L19</f>
        <v>14383.085599999979</v>
      </c>
      <c r="N19" s="21"/>
      <c r="O19" s="67"/>
    </row>
    <row r="20" spans="1:15">
      <c r="A20" s="28">
        <v>17</v>
      </c>
      <c r="B20" s="29">
        <v>45886</v>
      </c>
      <c r="C20" s="27"/>
      <c r="D20" s="20"/>
      <c r="E20" s="53">
        <v>0</v>
      </c>
      <c r="F20" s="53">
        <v>0</v>
      </c>
      <c r="G20" s="8">
        <f t="shared" si="0"/>
        <v>0</v>
      </c>
      <c r="H20" s="53">
        <v>0</v>
      </c>
      <c r="I20" s="53">
        <v>0</v>
      </c>
      <c r="J20" s="8">
        <f t="shared" si="1"/>
        <v>0</v>
      </c>
      <c r="K20" s="8">
        <f t="shared" si="2"/>
        <v>0</v>
      </c>
      <c r="L20" s="295"/>
      <c r="M20" s="8">
        <f>M19+K20-L20</f>
        <v>14383.085599999979</v>
      </c>
      <c r="N20" s="21"/>
      <c r="O20" s="67"/>
    </row>
    <row r="21" spans="1:15">
      <c r="A21" s="28">
        <v>18</v>
      </c>
      <c r="B21" s="29">
        <v>45887</v>
      </c>
      <c r="C21" s="27"/>
      <c r="D21" s="20"/>
      <c r="E21" s="53">
        <v>0</v>
      </c>
      <c r="F21" s="53">
        <v>0</v>
      </c>
      <c r="G21" s="8">
        <f t="shared" si="0"/>
        <v>0</v>
      </c>
      <c r="H21" s="53">
        <v>5</v>
      </c>
      <c r="I21" s="53">
        <v>103.7</v>
      </c>
      <c r="J21" s="8">
        <f t="shared" si="1"/>
        <v>518.5</v>
      </c>
      <c r="K21" s="8">
        <f t="shared" si="2"/>
        <v>518.5</v>
      </c>
      <c r="L21" s="295"/>
      <c r="M21" s="8">
        <f>M20+K21-L21</f>
        <v>14901.585599999979</v>
      </c>
      <c r="N21" s="21"/>
      <c r="O21" s="67"/>
    </row>
    <row r="22" spans="1:15">
      <c r="A22" s="28">
        <v>19</v>
      </c>
      <c r="B22" s="29">
        <v>45888</v>
      </c>
      <c r="C22" s="27"/>
      <c r="D22" s="20"/>
      <c r="E22" s="53">
        <v>19.850000000000001</v>
      </c>
      <c r="F22" s="53">
        <v>91.77</v>
      </c>
      <c r="G22" s="8">
        <f t="shared" si="0"/>
        <v>1821.6345000000001</v>
      </c>
      <c r="H22" s="53">
        <v>5</v>
      </c>
      <c r="I22" s="53">
        <v>103.7</v>
      </c>
      <c r="J22" s="8">
        <f t="shared" si="1"/>
        <v>518.5</v>
      </c>
      <c r="K22" s="8">
        <f t="shared" si="2"/>
        <v>2340.1345000000001</v>
      </c>
      <c r="L22" s="295"/>
      <c r="M22" s="8">
        <f>M21+K22-L22</f>
        <v>17241.720099999977</v>
      </c>
      <c r="N22" s="21"/>
      <c r="O22" s="67"/>
    </row>
    <row r="23" spans="1:15">
      <c r="A23" s="28">
        <v>20</v>
      </c>
      <c r="B23" s="29">
        <v>45889</v>
      </c>
      <c r="C23" s="27"/>
      <c r="D23" s="20"/>
      <c r="E23" s="53">
        <v>0</v>
      </c>
      <c r="F23" s="53">
        <v>0</v>
      </c>
      <c r="G23" s="8">
        <f t="shared" si="0"/>
        <v>0</v>
      </c>
      <c r="H23" s="53">
        <v>0</v>
      </c>
      <c r="I23" s="53">
        <v>0</v>
      </c>
      <c r="J23" s="8">
        <f t="shared" si="1"/>
        <v>0</v>
      </c>
      <c r="K23" s="8">
        <f t="shared" si="2"/>
        <v>0</v>
      </c>
      <c r="L23" s="295"/>
      <c r="M23" s="8">
        <f>M22+K23-L23</f>
        <v>17241.720099999977</v>
      </c>
      <c r="N23" s="21"/>
      <c r="O23" s="67"/>
    </row>
    <row r="24" spans="1:15">
      <c r="A24" s="28">
        <v>21</v>
      </c>
      <c r="B24" s="29">
        <v>45890</v>
      </c>
      <c r="C24" s="27"/>
      <c r="D24" s="20"/>
      <c r="E24" s="53">
        <v>0</v>
      </c>
      <c r="F24" s="53">
        <v>0</v>
      </c>
      <c r="G24" s="8">
        <f t="shared" si="0"/>
        <v>0</v>
      </c>
      <c r="H24" s="53">
        <v>0</v>
      </c>
      <c r="I24" s="53">
        <v>0</v>
      </c>
      <c r="J24" s="8">
        <f t="shared" si="1"/>
        <v>0</v>
      </c>
      <c r="K24" s="8">
        <f t="shared" si="2"/>
        <v>0</v>
      </c>
      <c r="L24" s="295"/>
      <c r="M24" s="8">
        <f>M23+K24-L24</f>
        <v>17241.720099999977</v>
      </c>
      <c r="N24" s="21"/>
      <c r="O24" s="67"/>
    </row>
    <row r="25" spans="1:15">
      <c r="A25" s="28">
        <v>22</v>
      </c>
      <c r="B25" s="29">
        <v>45891</v>
      </c>
      <c r="C25" s="27"/>
      <c r="D25" s="20"/>
      <c r="E25" s="53">
        <v>80</v>
      </c>
      <c r="F25" s="53">
        <v>91.77</v>
      </c>
      <c r="G25" s="8">
        <f t="shared" si="0"/>
        <v>7341.5999999999995</v>
      </c>
      <c r="H25" s="53">
        <v>6</v>
      </c>
      <c r="I25" s="53">
        <v>103.7</v>
      </c>
      <c r="J25" s="8">
        <f t="shared" si="1"/>
        <v>622.20000000000005</v>
      </c>
      <c r="K25" s="8">
        <f t="shared" si="2"/>
        <v>7963.7999999999993</v>
      </c>
      <c r="L25" s="295"/>
      <c r="M25" s="8">
        <f t="shared" ref="M25:M34" si="4">M24+K25-L25</f>
        <v>25205.520099999976</v>
      </c>
      <c r="N25" s="21"/>
      <c r="O25" s="67"/>
    </row>
    <row r="26" spans="1:15">
      <c r="A26" s="28">
        <v>23</v>
      </c>
      <c r="B26" s="29">
        <v>45892</v>
      </c>
      <c r="C26" s="27"/>
      <c r="D26" s="20"/>
      <c r="E26" s="53">
        <v>97.5</v>
      </c>
      <c r="F26" s="53">
        <v>91.77</v>
      </c>
      <c r="G26" s="8">
        <f t="shared" si="0"/>
        <v>8947.5749999999989</v>
      </c>
      <c r="H26" s="53">
        <v>0</v>
      </c>
      <c r="I26" s="53">
        <v>0</v>
      </c>
      <c r="J26" s="8">
        <f t="shared" si="1"/>
        <v>0</v>
      </c>
      <c r="K26" s="8">
        <f t="shared" si="2"/>
        <v>8947.5749999999989</v>
      </c>
      <c r="L26" s="295"/>
      <c r="M26" s="8">
        <f t="shared" si="4"/>
        <v>34153.095099999977</v>
      </c>
      <c r="N26" s="21"/>
      <c r="O26" s="67"/>
    </row>
    <row r="27" spans="1:15">
      <c r="A27" s="28">
        <v>24</v>
      </c>
      <c r="B27" s="29">
        <v>45893</v>
      </c>
      <c r="C27" s="27"/>
      <c r="D27" s="20"/>
      <c r="E27" s="53">
        <v>0</v>
      </c>
      <c r="F27" s="53">
        <v>0</v>
      </c>
      <c r="G27" s="8">
        <f t="shared" si="0"/>
        <v>0</v>
      </c>
      <c r="H27" s="53">
        <v>0</v>
      </c>
      <c r="I27" s="53">
        <v>0</v>
      </c>
      <c r="J27" s="8">
        <f t="shared" si="1"/>
        <v>0</v>
      </c>
      <c r="K27" s="8">
        <f t="shared" si="2"/>
        <v>0</v>
      </c>
      <c r="L27" s="295"/>
      <c r="M27" s="8">
        <f t="shared" si="4"/>
        <v>34153.095099999977</v>
      </c>
      <c r="N27" s="21"/>
      <c r="O27" s="67"/>
    </row>
    <row r="28" spans="1:15">
      <c r="A28" s="28">
        <v>25</v>
      </c>
      <c r="B28" s="29">
        <v>45894</v>
      </c>
      <c r="C28" s="27"/>
      <c r="D28" s="20"/>
      <c r="E28" s="53">
        <v>0</v>
      </c>
      <c r="F28" s="53">
        <v>0</v>
      </c>
      <c r="G28" s="8">
        <f t="shared" si="0"/>
        <v>0</v>
      </c>
      <c r="H28" s="53">
        <v>5</v>
      </c>
      <c r="I28" s="53">
        <v>103.7</v>
      </c>
      <c r="J28" s="8">
        <f t="shared" si="1"/>
        <v>518.5</v>
      </c>
      <c r="K28" s="8">
        <f t="shared" si="2"/>
        <v>518.5</v>
      </c>
      <c r="L28" s="295"/>
      <c r="M28" s="8">
        <f t="shared" si="4"/>
        <v>34671.595099999977</v>
      </c>
      <c r="N28" s="21"/>
      <c r="O28" s="67"/>
    </row>
    <row r="29" spans="1:15">
      <c r="A29" s="28">
        <v>26</v>
      </c>
      <c r="B29" s="29">
        <v>45895</v>
      </c>
      <c r="C29" s="27"/>
      <c r="D29" s="20"/>
      <c r="E29" s="53">
        <v>0</v>
      </c>
      <c r="F29" s="53">
        <v>0</v>
      </c>
      <c r="G29" s="8">
        <f t="shared" si="0"/>
        <v>0</v>
      </c>
      <c r="H29" s="53">
        <v>0</v>
      </c>
      <c r="I29" s="53">
        <v>0</v>
      </c>
      <c r="J29" s="8">
        <f t="shared" si="1"/>
        <v>0</v>
      </c>
      <c r="K29" s="8">
        <f t="shared" si="2"/>
        <v>0</v>
      </c>
      <c r="L29" s="295"/>
      <c r="M29" s="8">
        <f t="shared" si="4"/>
        <v>34671.595099999977</v>
      </c>
      <c r="N29" s="21"/>
      <c r="O29" s="67"/>
    </row>
    <row r="30" spans="1:15">
      <c r="A30" s="28">
        <v>27</v>
      </c>
      <c r="B30" s="29">
        <v>45896</v>
      </c>
      <c r="C30" s="27"/>
      <c r="D30" s="20"/>
      <c r="E30" s="53">
        <v>0</v>
      </c>
      <c r="F30" s="53">
        <v>0</v>
      </c>
      <c r="G30" s="8">
        <f t="shared" si="0"/>
        <v>0</v>
      </c>
      <c r="H30" s="53">
        <v>0</v>
      </c>
      <c r="I30" s="53">
        <v>0</v>
      </c>
      <c r="J30" s="8">
        <f t="shared" si="1"/>
        <v>0</v>
      </c>
      <c r="K30" s="8">
        <f t="shared" si="2"/>
        <v>0</v>
      </c>
      <c r="L30" s="295"/>
      <c r="M30" s="8">
        <f t="shared" si="4"/>
        <v>34671.595099999977</v>
      </c>
      <c r="N30" s="21"/>
      <c r="O30" s="67"/>
    </row>
    <row r="31" spans="1:15">
      <c r="A31" s="252">
        <v>28</v>
      </c>
      <c r="B31" s="29">
        <v>45897</v>
      </c>
      <c r="C31" s="27"/>
      <c r="D31" s="20"/>
      <c r="E31" s="53">
        <v>46.9</v>
      </c>
      <c r="F31" s="53">
        <v>91.77</v>
      </c>
      <c r="G31" s="8">
        <f t="shared" si="0"/>
        <v>4304.0129999999999</v>
      </c>
      <c r="H31" s="53">
        <v>0</v>
      </c>
      <c r="I31" s="53">
        <v>0</v>
      </c>
      <c r="J31" s="8">
        <f t="shared" si="1"/>
        <v>0</v>
      </c>
      <c r="K31" s="8">
        <f t="shared" si="2"/>
        <v>4304.0129999999999</v>
      </c>
      <c r="L31" s="295"/>
      <c r="M31" s="8">
        <f t="shared" si="4"/>
        <v>38975.608099999976</v>
      </c>
      <c r="N31" s="21"/>
      <c r="O31" s="67"/>
    </row>
    <row r="32" spans="1:15">
      <c r="A32" s="28">
        <v>29</v>
      </c>
      <c r="B32" s="29">
        <v>45898</v>
      </c>
      <c r="C32" s="27"/>
      <c r="D32" s="20"/>
      <c r="E32" s="53">
        <v>0</v>
      </c>
      <c r="F32" s="53">
        <v>0</v>
      </c>
      <c r="G32" s="8">
        <f t="shared" si="0"/>
        <v>0</v>
      </c>
      <c r="H32" s="53">
        <v>0</v>
      </c>
      <c r="I32" s="53">
        <v>0</v>
      </c>
      <c r="J32" s="8">
        <f t="shared" si="1"/>
        <v>0</v>
      </c>
      <c r="K32" s="8">
        <f t="shared" si="2"/>
        <v>0</v>
      </c>
      <c r="L32" s="295"/>
      <c r="M32" s="8">
        <f t="shared" si="4"/>
        <v>38975.608099999976</v>
      </c>
      <c r="N32" s="21"/>
      <c r="O32" s="67"/>
    </row>
    <row r="33" spans="1:15">
      <c r="A33" s="28">
        <v>30</v>
      </c>
      <c r="B33" s="29">
        <v>45899</v>
      </c>
      <c r="C33" s="27"/>
      <c r="D33" s="20"/>
      <c r="E33" s="53">
        <v>0</v>
      </c>
      <c r="F33" s="53">
        <v>0</v>
      </c>
      <c r="G33" s="8">
        <f t="shared" si="0"/>
        <v>0</v>
      </c>
      <c r="H33" s="53">
        <v>0</v>
      </c>
      <c r="I33" s="53">
        <v>0</v>
      </c>
      <c r="J33" s="8">
        <f t="shared" si="1"/>
        <v>0</v>
      </c>
      <c r="K33" s="8">
        <f t="shared" si="2"/>
        <v>0</v>
      </c>
      <c r="L33" s="295"/>
      <c r="M33" s="8">
        <f t="shared" si="4"/>
        <v>38975.608099999976</v>
      </c>
      <c r="N33" s="21"/>
      <c r="O33" s="67"/>
    </row>
    <row r="34" spans="1:15">
      <c r="A34" s="28">
        <v>31</v>
      </c>
      <c r="B34" s="29">
        <v>45900</v>
      </c>
      <c r="C34" s="27"/>
      <c r="D34" s="20"/>
      <c r="E34" s="53">
        <v>0</v>
      </c>
      <c r="F34" s="53">
        <v>0</v>
      </c>
      <c r="G34" s="8">
        <f t="shared" si="0"/>
        <v>0</v>
      </c>
      <c r="H34" s="53">
        <v>0</v>
      </c>
      <c r="I34" s="53">
        <v>0</v>
      </c>
      <c r="J34" s="8">
        <f t="shared" si="1"/>
        <v>0</v>
      </c>
      <c r="K34" s="8">
        <f t="shared" si="2"/>
        <v>0</v>
      </c>
      <c r="L34" s="295"/>
      <c r="M34" s="8">
        <f t="shared" si="4"/>
        <v>38975.608099999976</v>
      </c>
      <c r="N34" s="21"/>
      <c r="O34" s="67"/>
    </row>
    <row r="35" spans="1:15">
      <c r="A35" s="172"/>
      <c r="B35" s="172"/>
      <c r="C35" s="172"/>
      <c r="D35" s="172"/>
      <c r="E35" s="173">
        <f>SUM(E4:E34)</f>
        <v>839.25</v>
      </c>
      <c r="F35" s="173"/>
      <c r="G35" s="173">
        <f>SUM(G4:G34)</f>
        <v>77017.972500000003</v>
      </c>
      <c r="H35" s="173">
        <f>SUM(H4:H34)</f>
        <v>53</v>
      </c>
      <c r="I35" s="173"/>
      <c r="J35" s="173">
        <f>SUM(J4:J34)</f>
        <v>5532.8</v>
      </c>
      <c r="K35" s="173">
        <f>SUM(K4:K34)</f>
        <v>82550.772500000006</v>
      </c>
      <c r="L35" s="173">
        <f>SUM(L4:L34)</f>
        <v>73270</v>
      </c>
      <c r="M35" s="173"/>
      <c r="N35" s="173"/>
      <c r="O35" s="67"/>
    </row>
    <row r="36" spans="1:15">
      <c r="A36" s="82"/>
      <c r="B36" s="82"/>
      <c r="C36" s="82"/>
      <c r="D36" s="82"/>
      <c r="E36" s="84"/>
      <c r="F36" s="84"/>
      <c r="G36" s="84"/>
      <c r="H36" s="84"/>
      <c r="I36" s="84"/>
      <c r="J36" s="84"/>
      <c r="K36" s="84"/>
      <c r="L36" s="296"/>
      <c r="M36" s="84"/>
      <c r="N36" s="84"/>
      <c r="O36" s="67"/>
    </row>
    <row r="37" spans="1:15">
      <c r="E37" s="301"/>
      <c r="F37" s="301"/>
      <c r="G37" s="301"/>
      <c r="H37" s="301"/>
      <c r="I37" s="301"/>
      <c r="J37" s="301"/>
      <c r="K37" s="301"/>
      <c r="L37" s="301"/>
      <c r="O37" s="67"/>
    </row>
    <row r="38" spans="1:15">
      <c r="O38" s="67"/>
    </row>
    <row r="39" spans="1:15">
      <c r="O39" s="67"/>
    </row>
    <row r="40" spans="1:15">
      <c r="O40" s="67"/>
    </row>
    <row r="41" spans="1:15">
      <c r="O41" s="67"/>
    </row>
    <row r="42" spans="1:15">
      <c r="A42" s="67"/>
      <c r="B42" s="67"/>
      <c r="C42" s="67"/>
      <c r="D42" s="67"/>
      <c r="E42" s="67"/>
      <c r="F42" s="67"/>
      <c r="G42" s="90"/>
      <c r="H42" s="67"/>
      <c r="I42" s="67"/>
      <c r="J42" s="67"/>
      <c r="K42" s="67"/>
      <c r="L42" s="82"/>
      <c r="M42" s="67"/>
      <c r="N42" s="67"/>
      <c r="O42" s="84"/>
    </row>
    <row r="43" spans="1:15">
      <c r="A43" s="67"/>
      <c r="B43" s="440"/>
      <c r="C43" s="440"/>
      <c r="D43" s="440"/>
      <c r="E43" s="440"/>
      <c r="F43" s="67"/>
      <c r="G43" s="67"/>
      <c r="H43" s="67"/>
      <c r="I43" s="440"/>
      <c r="J43" s="440"/>
      <c r="K43" s="440"/>
      <c r="L43" s="440"/>
      <c r="M43" s="440"/>
      <c r="N43" s="440"/>
      <c r="O43" s="84"/>
    </row>
    <row r="44" spans="1:1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82"/>
      <c r="M44" s="67"/>
      <c r="N44" s="67"/>
      <c r="O44" s="84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16" activePane="bottomLeft" state="frozen"/>
      <selection pane="bottomLeft" activeCell="S33" sqref="S33"/>
    </sheetView>
  </sheetViews>
  <sheetFormatPr defaultRowHeight="15"/>
  <cols>
    <col min="1" max="1" width="5.140625" style="77" bestFit="1" customWidth="1"/>
    <col min="2" max="2" width="10.85546875" style="77" bestFit="1" customWidth="1"/>
    <col min="3" max="3" width="8" style="77" bestFit="1" customWidth="1"/>
    <col min="4" max="4" width="16" style="77" bestFit="1" customWidth="1"/>
    <col min="5" max="5" width="10.7109375" style="77" bestFit="1" customWidth="1"/>
    <col min="6" max="6" width="14.5703125" style="77" bestFit="1" customWidth="1"/>
    <col min="7" max="7" width="11.85546875" style="77" bestFit="1" customWidth="1"/>
    <col min="8" max="8" width="10.7109375" style="77" bestFit="1" customWidth="1"/>
    <col min="9" max="9" width="7.140625" style="77" bestFit="1" customWidth="1"/>
    <col min="10" max="10" width="10.85546875" style="77" bestFit="1" customWidth="1"/>
    <col min="11" max="11" width="14.5703125" style="77" bestFit="1" customWidth="1"/>
    <col min="12" max="12" width="13.5703125" style="77" bestFit="1" customWidth="1"/>
    <col min="13" max="13" width="13.5703125" style="77" customWidth="1"/>
    <col min="14" max="14" width="14.140625" style="77" bestFit="1" customWidth="1"/>
    <col min="15" max="15" width="11.28515625" style="77" customWidth="1"/>
    <col min="16" max="16" width="9.140625" style="77" customWidth="1"/>
    <col min="17" max="16384" width="9.140625" style="77"/>
  </cols>
  <sheetData>
    <row r="1" spans="1:17" ht="15.75">
      <c r="A1" s="416" t="s">
        <v>54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91"/>
    </row>
    <row r="2" spans="1:17">
      <c r="A2" s="72" t="s">
        <v>94</v>
      </c>
      <c r="B2" s="92" t="s">
        <v>95</v>
      </c>
      <c r="C2" s="92" t="s">
        <v>96</v>
      </c>
      <c r="D2" s="92" t="s">
        <v>97</v>
      </c>
      <c r="E2" s="92" t="s">
        <v>98</v>
      </c>
      <c r="F2" s="92" t="s">
        <v>99</v>
      </c>
      <c r="G2" s="92" t="s">
        <v>100</v>
      </c>
      <c r="H2" s="92" t="s">
        <v>101</v>
      </c>
      <c r="I2" s="92" t="s">
        <v>99</v>
      </c>
      <c r="J2" s="93" t="s">
        <v>100</v>
      </c>
      <c r="K2" s="72" t="s">
        <v>102</v>
      </c>
      <c r="L2" s="94" t="s">
        <v>103</v>
      </c>
      <c r="M2" s="94" t="s">
        <v>110</v>
      </c>
      <c r="N2" s="92" t="s">
        <v>105</v>
      </c>
      <c r="O2" s="67"/>
    </row>
    <row r="3" spans="1:17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9"/>
      <c r="K3" s="175">
        <v>0</v>
      </c>
      <c r="L3" s="75"/>
      <c r="M3" s="171">
        <v>21188.9797000002</v>
      </c>
      <c r="N3" s="75"/>
      <c r="O3" s="67"/>
    </row>
    <row r="4" spans="1:17">
      <c r="A4" s="28">
        <v>1</v>
      </c>
      <c r="B4" s="29">
        <v>45870</v>
      </c>
      <c r="C4" s="75"/>
      <c r="D4" s="171"/>
      <c r="E4" s="176">
        <v>255</v>
      </c>
      <c r="F4" s="176">
        <v>91.93</v>
      </c>
      <c r="G4" s="8">
        <f>E4*F4</f>
        <v>23442.15</v>
      </c>
      <c r="H4" s="176">
        <v>25</v>
      </c>
      <c r="I4" s="176">
        <v>103.89</v>
      </c>
      <c r="J4" s="8">
        <f>H4*I4</f>
        <v>2597.25</v>
      </c>
      <c r="K4" s="8">
        <f>G4+J4</f>
        <v>26039.4</v>
      </c>
      <c r="L4" s="177">
        <v>0</v>
      </c>
      <c r="M4" s="177">
        <f>M3+K4-L4</f>
        <v>47228.379700000201</v>
      </c>
      <c r="N4" s="45"/>
    </row>
    <row r="5" spans="1:17">
      <c r="A5" s="28">
        <v>2</v>
      </c>
      <c r="B5" s="29">
        <v>45871</v>
      </c>
      <c r="C5" s="75"/>
      <c r="D5" s="171"/>
      <c r="E5" s="176">
        <v>0</v>
      </c>
      <c r="F5" s="176">
        <v>0</v>
      </c>
      <c r="G5" s="8">
        <f t="shared" ref="G5:G34" si="0">E5*F5</f>
        <v>0</v>
      </c>
      <c r="H5" s="176">
        <v>0</v>
      </c>
      <c r="I5" s="176">
        <v>0</v>
      </c>
      <c r="J5" s="8">
        <f t="shared" ref="J5:J34" si="1">H5*I5</f>
        <v>0</v>
      </c>
      <c r="K5" s="8">
        <f t="shared" ref="K5:K34" si="2">G5+J5</f>
        <v>0</v>
      </c>
      <c r="L5" s="177">
        <v>0</v>
      </c>
      <c r="M5" s="177">
        <f>M4+K5-L5</f>
        <v>47228.379700000201</v>
      </c>
      <c r="N5" s="45"/>
    </row>
    <row r="6" spans="1:17">
      <c r="A6" s="28">
        <v>3</v>
      </c>
      <c r="B6" s="29">
        <v>45872</v>
      </c>
      <c r="C6" s="75"/>
      <c r="D6" s="171"/>
      <c r="E6" s="176">
        <v>43.76</v>
      </c>
      <c r="F6" s="176">
        <v>91.93</v>
      </c>
      <c r="G6" s="8">
        <f t="shared" si="0"/>
        <v>4022.8568</v>
      </c>
      <c r="H6" s="176">
        <v>0</v>
      </c>
      <c r="I6" s="176">
        <v>0</v>
      </c>
      <c r="J6" s="8">
        <f t="shared" si="1"/>
        <v>0</v>
      </c>
      <c r="K6" s="8">
        <f t="shared" si="2"/>
        <v>4022.8568</v>
      </c>
      <c r="L6" s="177">
        <v>0</v>
      </c>
      <c r="M6" s="177">
        <f>M5+K6-L6</f>
        <v>51251.236500000203</v>
      </c>
      <c r="N6" s="45"/>
    </row>
    <row r="7" spans="1:17">
      <c r="A7" s="28">
        <v>4</v>
      </c>
      <c r="B7" s="29">
        <v>45873</v>
      </c>
      <c r="C7" s="75"/>
      <c r="D7" s="171"/>
      <c r="E7" s="176">
        <v>510</v>
      </c>
      <c r="F7" s="176">
        <v>91.93</v>
      </c>
      <c r="G7" s="8">
        <f t="shared" si="0"/>
        <v>46884.3</v>
      </c>
      <c r="H7" s="176">
        <v>0</v>
      </c>
      <c r="I7" s="176">
        <v>0</v>
      </c>
      <c r="J7" s="8">
        <f t="shared" si="1"/>
        <v>0</v>
      </c>
      <c r="K7" s="8">
        <f t="shared" si="2"/>
        <v>46884.3</v>
      </c>
      <c r="L7" s="177">
        <v>0</v>
      </c>
      <c r="M7" s="177">
        <f>M6+K7-L7</f>
        <v>98135.536500000206</v>
      </c>
      <c r="N7" s="45"/>
    </row>
    <row r="8" spans="1:17">
      <c r="A8" s="28">
        <v>5</v>
      </c>
      <c r="B8" s="29">
        <v>45874</v>
      </c>
      <c r="C8" s="75"/>
      <c r="D8" s="171"/>
      <c r="E8" s="176">
        <v>95</v>
      </c>
      <c r="F8" s="176">
        <v>91.93</v>
      </c>
      <c r="G8" s="8">
        <f t="shared" si="0"/>
        <v>8733.35</v>
      </c>
      <c r="H8" s="176">
        <v>5</v>
      </c>
      <c r="I8" s="176">
        <v>103.89</v>
      </c>
      <c r="J8" s="8">
        <f t="shared" si="1"/>
        <v>519.45000000000005</v>
      </c>
      <c r="K8" s="8">
        <f t="shared" si="2"/>
        <v>9252.8000000000011</v>
      </c>
      <c r="L8" s="177">
        <v>0</v>
      </c>
      <c r="M8" s="177">
        <f>M7+K8-L8</f>
        <v>107388.33650000021</v>
      </c>
      <c r="N8" s="45"/>
    </row>
    <row r="9" spans="1:17">
      <c r="A9" s="28">
        <v>6</v>
      </c>
      <c r="B9" s="29">
        <v>45875</v>
      </c>
      <c r="C9" s="75"/>
      <c r="D9" s="171"/>
      <c r="E9" s="176">
        <v>270</v>
      </c>
      <c r="F9" s="176">
        <v>91.93</v>
      </c>
      <c r="G9" s="8">
        <f t="shared" si="0"/>
        <v>24821.100000000002</v>
      </c>
      <c r="H9" s="176">
        <v>35</v>
      </c>
      <c r="I9" s="176">
        <v>103.89</v>
      </c>
      <c r="J9" s="8">
        <f t="shared" si="1"/>
        <v>3636.15</v>
      </c>
      <c r="K9" s="8">
        <f t="shared" si="2"/>
        <v>28457.250000000004</v>
      </c>
      <c r="L9" s="177">
        <v>0</v>
      </c>
      <c r="M9" s="177">
        <f>M8+K9-L9</f>
        <v>135845.58650000021</v>
      </c>
      <c r="N9" s="45"/>
    </row>
    <row r="10" spans="1:17">
      <c r="A10" s="28">
        <v>7</v>
      </c>
      <c r="B10" s="29">
        <v>45876</v>
      </c>
      <c r="C10" s="75"/>
      <c r="D10" s="171"/>
      <c r="E10" s="176">
        <v>485</v>
      </c>
      <c r="F10" s="176">
        <v>91.93</v>
      </c>
      <c r="G10" s="8">
        <f t="shared" si="0"/>
        <v>44586.05</v>
      </c>
      <c r="H10" s="176">
        <v>5</v>
      </c>
      <c r="I10" s="176">
        <v>103.89</v>
      </c>
      <c r="J10" s="8">
        <f t="shared" si="1"/>
        <v>519.45000000000005</v>
      </c>
      <c r="K10" s="8">
        <f t="shared" si="2"/>
        <v>45105.5</v>
      </c>
      <c r="L10" s="177">
        <v>0</v>
      </c>
      <c r="M10" s="177">
        <f>M9+K10-L10</f>
        <v>180951.08650000021</v>
      </c>
      <c r="N10" s="45"/>
    </row>
    <row r="11" spans="1:17">
      <c r="A11" s="28">
        <v>8</v>
      </c>
      <c r="B11" s="29">
        <v>45877</v>
      </c>
      <c r="C11" s="75"/>
      <c r="D11" s="171"/>
      <c r="E11" s="176">
        <v>0</v>
      </c>
      <c r="F11" s="176">
        <v>0</v>
      </c>
      <c r="G11" s="8">
        <f t="shared" si="0"/>
        <v>0</v>
      </c>
      <c r="H11" s="176">
        <v>0</v>
      </c>
      <c r="I11" s="176">
        <v>0</v>
      </c>
      <c r="J11" s="8">
        <f t="shared" si="1"/>
        <v>0</v>
      </c>
      <c r="K11" s="8">
        <f t="shared" si="2"/>
        <v>0</v>
      </c>
      <c r="L11" s="177">
        <v>0</v>
      </c>
      <c r="M11" s="177">
        <f>M10+K11-L11</f>
        <v>180951.08650000021</v>
      </c>
      <c r="N11" s="45" t="s">
        <v>165</v>
      </c>
      <c r="P11" s="284"/>
      <c r="Q11" s="285"/>
    </row>
    <row r="12" spans="1:17">
      <c r="A12" s="28">
        <v>9</v>
      </c>
      <c r="B12" s="29">
        <v>45878</v>
      </c>
      <c r="C12" s="75"/>
      <c r="D12" s="171"/>
      <c r="E12" s="176">
        <v>30</v>
      </c>
      <c r="F12" s="176">
        <v>91.93</v>
      </c>
      <c r="G12" s="8">
        <f t="shared" si="0"/>
        <v>2757.9</v>
      </c>
      <c r="H12" s="176">
        <v>0</v>
      </c>
      <c r="I12" s="176">
        <v>0</v>
      </c>
      <c r="J12" s="8">
        <f t="shared" si="1"/>
        <v>0</v>
      </c>
      <c r="K12" s="8">
        <f t="shared" si="2"/>
        <v>2757.9</v>
      </c>
      <c r="L12" s="177">
        <v>0</v>
      </c>
      <c r="M12" s="177">
        <f>M11+K12-L12</f>
        <v>183708.9865000002</v>
      </c>
      <c r="N12" s="45"/>
    </row>
    <row r="13" spans="1:17">
      <c r="A13" s="28">
        <v>10</v>
      </c>
      <c r="B13" s="29">
        <v>45879</v>
      </c>
      <c r="C13" s="75"/>
      <c r="D13" s="171"/>
      <c r="E13" s="176">
        <v>84</v>
      </c>
      <c r="F13" s="176">
        <v>91.93</v>
      </c>
      <c r="G13" s="8">
        <f t="shared" si="0"/>
        <v>7722.1200000000008</v>
      </c>
      <c r="H13" s="176">
        <v>0</v>
      </c>
      <c r="I13" s="176">
        <v>0</v>
      </c>
      <c r="J13" s="8">
        <f t="shared" si="1"/>
        <v>0</v>
      </c>
      <c r="K13" s="8">
        <f t="shared" si="2"/>
        <v>7722.1200000000008</v>
      </c>
      <c r="L13" s="177">
        <v>0</v>
      </c>
      <c r="M13" s="177">
        <f>M12+K13-L13</f>
        <v>191431.1065000002</v>
      </c>
      <c r="N13" s="45"/>
    </row>
    <row r="14" spans="1:17">
      <c r="A14" s="28">
        <v>11</v>
      </c>
      <c r="B14" s="29">
        <v>45880</v>
      </c>
      <c r="C14" s="75"/>
      <c r="D14" s="171"/>
      <c r="E14" s="176">
        <v>105</v>
      </c>
      <c r="F14" s="176">
        <v>91.93</v>
      </c>
      <c r="G14" s="8">
        <f t="shared" si="0"/>
        <v>9652.6500000000015</v>
      </c>
      <c r="H14" s="176">
        <v>0</v>
      </c>
      <c r="I14" s="176">
        <v>0</v>
      </c>
      <c r="J14" s="8">
        <f t="shared" si="1"/>
        <v>0</v>
      </c>
      <c r="K14" s="8">
        <f t="shared" si="2"/>
        <v>9652.6500000000015</v>
      </c>
      <c r="L14" s="177">
        <v>0</v>
      </c>
      <c r="M14" s="177">
        <f>M13+K14-L14</f>
        <v>201083.75650000019</v>
      </c>
      <c r="N14" s="45"/>
    </row>
    <row r="15" spans="1:17">
      <c r="A15" s="28">
        <v>12</v>
      </c>
      <c r="B15" s="29">
        <v>45881</v>
      </c>
      <c r="C15" s="75"/>
      <c r="D15" s="171"/>
      <c r="E15" s="176">
        <v>305</v>
      </c>
      <c r="F15" s="176">
        <v>91.93</v>
      </c>
      <c r="G15" s="8">
        <f t="shared" si="0"/>
        <v>28038.65</v>
      </c>
      <c r="H15" s="176">
        <v>40</v>
      </c>
      <c r="I15" s="176">
        <v>103.89</v>
      </c>
      <c r="J15" s="8">
        <f t="shared" si="1"/>
        <v>4155.6000000000004</v>
      </c>
      <c r="K15" s="8">
        <f t="shared" si="2"/>
        <v>32194.25</v>
      </c>
      <c r="L15" s="177">
        <v>0</v>
      </c>
      <c r="M15" s="177">
        <f>M14+K15-L15</f>
        <v>233278.00650000019</v>
      </c>
      <c r="N15" s="45"/>
    </row>
    <row r="16" spans="1:17">
      <c r="A16" s="28">
        <v>13</v>
      </c>
      <c r="B16" s="29">
        <v>45882</v>
      </c>
      <c r="C16" s="75"/>
      <c r="D16" s="171"/>
      <c r="E16" s="176">
        <v>300</v>
      </c>
      <c r="F16" s="176">
        <v>91.93</v>
      </c>
      <c r="G16" s="8">
        <f t="shared" si="0"/>
        <v>27579.000000000004</v>
      </c>
      <c r="H16" s="176">
        <v>47</v>
      </c>
      <c r="I16" s="176">
        <v>103.89</v>
      </c>
      <c r="J16" s="8">
        <f t="shared" si="1"/>
        <v>4882.83</v>
      </c>
      <c r="K16" s="8">
        <f t="shared" si="2"/>
        <v>32461.83</v>
      </c>
      <c r="L16" s="177">
        <v>150000</v>
      </c>
      <c r="M16" s="177">
        <f>M15+K16-L16</f>
        <v>115739.83650000021</v>
      </c>
      <c r="N16" s="45"/>
    </row>
    <row r="17" spans="1:14">
      <c r="A17" s="28">
        <v>14</v>
      </c>
      <c r="B17" s="29">
        <v>45883</v>
      </c>
      <c r="C17" s="75"/>
      <c r="D17" s="171"/>
      <c r="E17" s="176">
        <v>0</v>
      </c>
      <c r="F17" s="176">
        <v>0</v>
      </c>
      <c r="G17" s="8">
        <f t="shared" si="0"/>
        <v>0</v>
      </c>
      <c r="H17" s="176">
        <v>0</v>
      </c>
      <c r="I17" s="176">
        <v>0</v>
      </c>
      <c r="J17" s="8">
        <f t="shared" si="1"/>
        <v>0</v>
      </c>
      <c r="K17" s="8">
        <f t="shared" si="2"/>
        <v>0</v>
      </c>
      <c r="L17" s="177">
        <v>0</v>
      </c>
      <c r="M17" s="177">
        <f>M16+K17-L17</f>
        <v>115739.83650000021</v>
      </c>
      <c r="N17" s="45"/>
    </row>
    <row r="18" spans="1:14">
      <c r="A18" s="28">
        <v>15</v>
      </c>
      <c r="B18" s="29">
        <v>45884</v>
      </c>
      <c r="C18" s="75"/>
      <c r="D18" s="171"/>
      <c r="E18" s="176">
        <v>40</v>
      </c>
      <c r="F18" s="176">
        <v>91.93</v>
      </c>
      <c r="G18" s="8">
        <f t="shared" si="0"/>
        <v>3677.2000000000003</v>
      </c>
      <c r="H18" s="176">
        <v>0</v>
      </c>
      <c r="I18" s="176">
        <v>0</v>
      </c>
      <c r="J18" s="8">
        <f t="shared" si="1"/>
        <v>0</v>
      </c>
      <c r="K18" s="8">
        <f t="shared" si="2"/>
        <v>3677.2000000000003</v>
      </c>
      <c r="L18" s="177">
        <v>0</v>
      </c>
      <c r="M18" s="177">
        <f>M17+K18-L18</f>
        <v>119417.03650000021</v>
      </c>
      <c r="N18" s="45"/>
    </row>
    <row r="19" spans="1:14">
      <c r="A19" s="28">
        <v>16</v>
      </c>
      <c r="B19" s="29">
        <v>45885</v>
      </c>
      <c r="C19" s="75"/>
      <c r="D19" s="171"/>
      <c r="E19" s="176">
        <v>130</v>
      </c>
      <c r="F19" s="176">
        <v>91.93</v>
      </c>
      <c r="G19" s="8">
        <f t="shared" si="0"/>
        <v>11950.900000000001</v>
      </c>
      <c r="H19" s="176">
        <v>0</v>
      </c>
      <c r="I19" s="176">
        <v>0</v>
      </c>
      <c r="J19" s="8">
        <f t="shared" si="1"/>
        <v>0</v>
      </c>
      <c r="K19" s="8">
        <f t="shared" si="2"/>
        <v>11950.900000000001</v>
      </c>
      <c r="L19" s="177">
        <v>0</v>
      </c>
      <c r="M19" s="177">
        <f>M18+K19-L19</f>
        <v>131367.93650000021</v>
      </c>
      <c r="N19" s="45"/>
    </row>
    <row r="20" spans="1:14">
      <c r="A20" s="28">
        <v>17</v>
      </c>
      <c r="B20" s="29">
        <v>45886</v>
      </c>
      <c r="C20" s="75"/>
      <c r="D20" s="171"/>
      <c r="E20" s="176">
        <v>248</v>
      </c>
      <c r="F20" s="176">
        <v>91.93</v>
      </c>
      <c r="G20" s="8">
        <f t="shared" si="0"/>
        <v>22798.640000000003</v>
      </c>
      <c r="H20" s="176">
        <v>0</v>
      </c>
      <c r="I20" s="176">
        <v>0</v>
      </c>
      <c r="J20" s="8">
        <f t="shared" si="1"/>
        <v>0</v>
      </c>
      <c r="K20" s="8">
        <f t="shared" si="2"/>
        <v>22798.640000000003</v>
      </c>
      <c r="L20" s="177">
        <v>0</v>
      </c>
      <c r="M20" s="177">
        <f>M19+K20-L20</f>
        <v>154166.57650000023</v>
      </c>
      <c r="N20" s="45"/>
    </row>
    <row r="21" spans="1:14">
      <c r="A21" s="28">
        <v>18</v>
      </c>
      <c r="B21" s="29">
        <v>45887</v>
      </c>
      <c r="C21" s="75"/>
      <c r="D21" s="171"/>
      <c r="E21" s="176">
        <v>0</v>
      </c>
      <c r="F21" s="176">
        <v>0</v>
      </c>
      <c r="G21" s="8">
        <f t="shared" si="0"/>
        <v>0</v>
      </c>
      <c r="H21" s="176">
        <v>5</v>
      </c>
      <c r="I21" s="176">
        <v>103.89</v>
      </c>
      <c r="J21" s="8">
        <f t="shared" si="1"/>
        <v>519.45000000000005</v>
      </c>
      <c r="K21" s="8">
        <f t="shared" si="2"/>
        <v>519.45000000000005</v>
      </c>
      <c r="L21" s="177">
        <v>0</v>
      </c>
      <c r="M21" s="177">
        <f t="shared" ref="M20:M34" si="3">M20+K21-L21</f>
        <v>154686.02650000024</v>
      </c>
      <c r="N21" s="45"/>
    </row>
    <row r="22" spans="1:14">
      <c r="A22" s="28">
        <v>19</v>
      </c>
      <c r="B22" s="29">
        <v>45888</v>
      </c>
      <c r="C22" s="75"/>
      <c r="D22" s="171"/>
      <c r="E22" s="176">
        <v>35.590000000000003</v>
      </c>
      <c r="F22" s="176">
        <v>91.93</v>
      </c>
      <c r="G22" s="8">
        <f t="shared" si="0"/>
        <v>3271.7887000000005</v>
      </c>
      <c r="H22" s="176">
        <v>0</v>
      </c>
      <c r="I22" s="176">
        <v>0</v>
      </c>
      <c r="J22" s="8">
        <f t="shared" si="1"/>
        <v>0</v>
      </c>
      <c r="K22" s="8">
        <f t="shared" si="2"/>
        <v>3271.7887000000005</v>
      </c>
      <c r="L22" s="177">
        <v>0</v>
      </c>
      <c r="M22" s="177">
        <f t="shared" si="3"/>
        <v>157957.81520000024</v>
      </c>
      <c r="N22" s="45"/>
    </row>
    <row r="23" spans="1:14">
      <c r="A23" s="28">
        <v>20</v>
      </c>
      <c r="B23" s="29">
        <v>45889</v>
      </c>
      <c r="C23" s="75"/>
      <c r="D23" s="171"/>
      <c r="E23" s="176">
        <v>465</v>
      </c>
      <c r="F23" s="176">
        <v>91.93</v>
      </c>
      <c r="G23" s="8">
        <f t="shared" si="0"/>
        <v>42747.450000000004</v>
      </c>
      <c r="H23" s="176">
        <v>40</v>
      </c>
      <c r="I23" s="176">
        <v>103.89</v>
      </c>
      <c r="J23" s="8">
        <f t="shared" si="1"/>
        <v>4155.6000000000004</v>
      </c>
      <c r="K23" s="8">
        <f t="shared" si="2"/>
        <v>46903.05</v>
      </c>
      <c r="L23" s="177">
        <v>0</v>
      </c>
      <c r="M23" s="177">
        <f t="shared" si="3"/>
        <v>204860.86520000023</v>
      </c>
      <c r="N23" s="45"/>
    </row>
    <row r="24" spans="1:14">
      <c r="A24" s="28">
        <v>21</v>
      </c>
      <c r="B24" s="29">
        <v>45890</v>
      </c>
      <c r="C24" s="75"/>
      <c r="D24" s="171"/>
      <c r="E24" s="176">
        <v>81</v>
      </c>
      <c r="F24" s="176">
        <v>91.93</v>
      </c>
      <c r="G24" s="8">
        <f t="shared" si="0"/>
        <v>7446.3300000000008</v>
      </c>
      <c r="H24" s="176">
        <v>0</v>
      </c>
      <c r="I24" s="176">
        <v>0</v>
      </c>
      <c r="J24" s="8">
        <f t="shared" si="1"/>
        <v>0</v>
      </c>
      <c r="K24" s="8">
        <f t="shared" si="2"/>
        <v>7446.3300000000008</v>
      </c>
      <c r="L24" s="177">
        <v>0</v>
      </c>
      <c r="M24" s="177">
        <f t="shared" si="3"/>
        <v>212307.19520000022</v>
      </c>
      <c r="N24" s="45"/>
    </row>
    <row r="25" spans="1:14">
      <c r="A25" s="28">
        <v>22</v>
      </c>
      <c r="B25" s="29">
        <v>45891</v>
      </c>
      <c r="C25" s="75"/>
      <c r="D25" s="171"/>
      <c r="E25" s="176">
        <v>110.98</v>
      </c>
      <c r="F25" s="176">
        <v>91.93</v>
      </c>
      <c r="G25" s="8">
        <f t="shared" si="0"/>
        <v>10202.3914</v>
      </c>
      <c r="H25" s="176">
        <v>5</v>
      </c>
      <c r="I25" s="176">
        <v>103.89</v>
      </c>
      <c r="J25" s="8">
        <f t="shared" si="1"/>
        <v>519.45000000000005</v>
      </c>
      <c r="K25" s="8">
        <f t="shared" si="2"/>
        <v>10721.841400000001</v>
      </c>
      <c r="L25" s="177">
        <v>0</v>
      </c>
      <c r="M25" s="177">
        <f t="shared" si="3"/>
        <v>223029.03660000023</v>
      </c>
      <c r="N25" s="45"/>
    </row>
    <row r="26" spans="1:14">
      <c r="A26" s="28">
        <v>23</v>
      </c>
      <c r="B26" s="29">
        <v>45892</v>
      </c>
      <c r="C26" s="75"/>
      <c r="D26" s="171"/>
      <c r="E26" s="176">
        <v>258.24</v>
      </c>
      <c r="F26" s="176">
        <v>91.93</v>
      </c>
      <c r="G26" s="8">
        <f t="shared" si="0"/>
        <v>23740.003200000003</v>
      </c>
      <c r="H26" s="176">
        <v>25</v>
      </c>
      <c r="I26" s="176">
        <v>103.89</v>
      </c>
      <c r="J26" s="8">
        <f t="shared" si="1"/>
        <v>2597.25</v>
      </c>
      <c r="K26" s="8">
        <f t="shared" si="2"/>
        <v>26337.253200000003</v>
      </c>
      <c r="L26" s="177">
        <v>0</v>
      </c>
      <c r="M26" s="177">
        <f t="shared" si="3"/>
        <v>249366.28980000023</v>
      </c>
      <c r="N26" s="45"/>
    </row>
    <row r="27" spans="1:14">
      <c r="A27" s="28">
        <v>24</v>
      </c>
      <c r="B27" s="29">
        <v>45893</v>
      </c>
      <c r="C27" s="75"/>
      <c r="D27" s="171"/>
      <c r="E27" s="176">
        <v>0</v>
      </c>
      <c r="F27" s="176">
        <v>0</v>
      </c>
      <c r="G27" s="8">
        <f t="shared" si="0"/>
        <v>0</v>
      </c>
      <c r="H27" s="176">
        <v>0</v>
      </c>
      <c r="I27" s="176">
        <v>0</v>
      </c>
      <c r="J27" s="8">
        <f t="shared" si="1"/>
        <v>0</v>
      </c>
      <c r="K27" s="8">
        <f t="shared" si="2"/>
        <v>0</v>
      </c>
      <c r="L27" s="177">
        <v>0</v>
      </c>
      <c r="M27" s="177">
        <f t="shared" si="3"/>
        <v>249366.28980000023</v>
      </c>
      <c r="N27" s="45"/>
    </row>
    <row r="28" spans="1:14">
      <c r="A28" s="28">
        <v>25</v>
      </c>
      <c r="B28" s="29">
        <v>45894</v>
      </c>
      <c r="C28" s="75"/>
      <c r="D28" s="171"/>
      <c r="E28" s="176">
        <v>30</v>
      </c>
      <c r="F28" s="176">
        <v>91.93</v>
      </c>
      <c r="G28" s="8">
        <f t="shared" si="0"/>
        <v>2757.9</v>
      </c>
      <c r="H28" s="176">
        <v>5</v>
      </c>
      <c r="I28" s="176">
        <v>103.89</v>
      </c>
      <c r="J28" s="8">
        <f t="shared" si="1"/>
        <v>519.45000000000005</v>
      </c>
      <c r="K28" s="8">
        <f t="shared" si="2"/>
        <v>3277.3500000000004</v>
      </c>
      <c r="L28" s="177">
        <v>0</v>
      </c>
      <c r="M28" s="177">
        <f t="shared" si="3"/>
        <v>252643.63980000024</v>
      </c>
      <c r="N28" s="45"/>
    </row>
    <row r="29" spans="1:14">
      <c r="A29" s="28">
        <v>26</v>
      </c>
      <c r="B29" s="29">
        <v>45895</v>
      </c>
      <c r="C29" s="220"/>
      <c r="D29" s="171"/>
      <c r="E29" s="176">
        <v>41.01</v>
      </c>
      <c r="F29" s="176">
        <v>91.93</v>
      </c>
      <c r="G29" s="8">
        <f t="shared" si="0"/>
        <v>3770.0493000000001</v>
      </c>
      <c r="H29" s="176">
        <v>0</v>
      </c>
      <c r="I29" s="176">
        <v>0</v>
      </c>
      <c r="J29" s="8">
        <f t="shared" si="1"/>
        <v>0</v>
      </c>
      <c r="K29" s="8">
        <f t="shared" si="2"/>
        <v>3770.0493000000001</v>
      </c>
      <c r="L29" s="177">
        <v>0</v>
      </c>
      <c r="M29" s="177">
        <f t="shared" si="3"/>
        <v>256413.68910000025</v>
      </c>
      <c r="N29" s="45"/>
    </row>
    <row r="30" spans="1:14">
      <c r="A30" s="28">
        <v>27</v>
      </c>
      <c r="B30" s="29">
        <v>45896</v>
      </c>
      <c r="C30" s="75"/>
      <c r="D30" s="171"/>
      <c r="E30" s="176">
        <v>0</v>
      </c>
      <c r="F30" s="176">
        <v>0</v>
      </c>
      <c r="G30" s="8">
        <f t="shared" si="0"/>
        <v>0</v>
      </c>
      <c r="H30" s="176">
        <v>0</v>
      </c>
      <c r="I30" s="176">
        <v>0</v>
      </c>
      <c r="J30" s="8">
        <f t="shared" si="1"/>
        <v>0</v>
      </c>
      <c r="K30" s="8">
        <f t="shared" si="2"/>
        <v>0</v>
      </c>
      <c r="L30" s="177">
        <v>0</v>
      </c>
      <c r="M30" s="177">
        <f t="shared" si="3"/>
        <v>256413.68910000025</v>
      </c>
      <c r="N30" s="45"/>
    </row>
    <row r="31" spans="1:14">
      <c r="A31" s="28">
        <v>28</v>
      </c>
      <c r="B31" s="29">
        <v>45897</v>
      </c>
      <c r="C31" s="75"/>
      <c r="D31" s="171"/>
      <c r="E31" s="176">
        <v>95</v>
      </c>
      <c r="F31" s="176">
        <v>91.93</v>
      </c>
      <c r="G31" s="8">
        <f t="shared" si="0"/>
        <v>8733.35</v>
      </c>
      <c r="H31" s="176">
        <v>50</v>
      </c>
      <c r="I31" s="176">
        <v>103.89</v>
      </c>
      <c r="J31" s="8">
        <f t="shared" si="1"/>
        <v>5194.5</v>
      </c>
      <c r="K31" s="8">
        <f t="shared" si="2"/>
        <v>13927.85</v>
      </c>
      <c r="L31" s="177">
        <v>0</v>
      </c>
      <c r="M31" s="177">
        <f t="shared" si="3"/>
        <v>270341.53910000023</v>
      </c>
      <c r="N31" s="45"/>
    </row>
    <row r="32" spans="1:14">
      <c r="A32" s="28">
        <v>29</v>
      </c>
      <c r="B32" s="29">
        <v>45898</v>
      </c>
      <c r="C32" s="75"/>
      <c r="D32" s="171"/>
      <c r="E32" s="176">
        <v>0</v>
      </c>
      <c r="F32" s="176">
        <v>0</v>
      </c>
      <c r="G32" s="8">
        <f t="shared" si="0"/>
        <v>0</v>
      </c>
      <c r="H32" s="176">
        <v>10</v>
      </c>
      <c r="I32" s="176">
        <v>103.89</v>
      </c>
      <c r="J32" s="8">
        <f t="shared" si="1"/>
        <v>1038.9000000000001</v>
      </c>
      <c r="K32" s="8">
        <f t="shared" si="2"/>
        <v>1038.9000000000001</v>
      </c>
      <c r="L32" s="177">
        <v>0</v>
      </c>
      <c r="M32" s="177">
        <f t="shared" si="3"/>
        <v>271380.43910000025</v>
      </c>
      <c r="N32" s="45"/>
    </row>
    <row r="33" spans="1:15">
      <c r="A33" s="28">
        <v>30</v>
      </c>
      <c r="B33" s="29">
        <v>45899</v>
      </c>
      <c r="C33" s="75"/>
      <c r="D33" s="171"/>
      <c r="E33" s="176">
        <v>60</v>
      </c>
      <c r="F33" s="176">
        <v>91.93</v>
      </c>
      <c r="G33" s="8">
        <f t="shared" si="0"/>
        <v>5515.8</v>
      </c>
      <c r="H33" s="176">
        <v>0</v>
      </c>
      <c r="I33" s="176">
        <v>0</v>
      </c>
      <c r="J33" s="8">
        <f t="shared" si="1"/>
        <v>0</v>
      </c>
      <c r="K33" s="8">
        <f t="shared" si="2"/>
        <v>5515.8</v>
      </c>
      <c r="L33" s="177">
        <v>0</v>
      </c>
      <c r="M33" s="177">
        <f t="shared" si="3"/>
        <v>276896.23910000024</v>
      </c>
      <c r="N33" s="45"/>
    </row>
    <row r="34" spans="1:15">
      <c r="A34" s="28">
        <v>31</v>
      </c>
      <c r="B34" s="29">
        <v>45900</v>
      </c>
      <c r="C34" s="75"/>
      <c r="D34" s="171"/>
      <c r="E34" s="176">
        <v>0</v>
      </c>
      <c r="F34" s="176">
        <v>0</v>
      </c>
      <c r="G34" s="8">
        <f t="shared" si="0"/>
        <v>0</v>
      </c>
      <c r="H34" s="176">
        <v>0</v>
      </c>
      <c r="I34" s="176">
        <v>0</v>
      </c>
      <c r="J34" s="8">
        <f t="shared" si="1"/>
        <v>0</v>
      </c>
      <c r="K34" s="8">
        <f t="shared" si="2"/>
        <v>0</v>
      </c>
      <c r="L34" s="177">
        <v>0</v>
      </c>
      <c r="M34" s="177">
        <f t="shared" si="3"/>
        <v>276896.23910000024</v>
      </c>
      <c r="N34" s="45"/>
    </row>
    <row r="35" spans="1:15">
      <c r="A35" s="172"/>
      <c r="B35" s="172"/>
      <c r="C35" s="172"/>
      <c r="D35" s="172"/>
      <c r="E35" s="173">
        <f>SUM(E4:E34)</f>
        <v>4077.5800000000008</v>
      </c>
      <c r="F35" s="173"/>
      <c r="G35" s="173">
        <f>SUM(G4:G34)</f>
        <v>374851.92940000002</v>
      </c>
      <c r="H35" s="173">
        <f>SUM(H4:H34)</f>
        <v>297</v>
      </c>
      <c r="I35" s="71"/>
      <c r="J35" s="173">
        <f>SUM(J4:J34)</f>
        <v>30855.33</v>
      </c>
      <c r="K35" s="173">
        <f>SUM(K4:K34)</f>
        <v>405707.25939999992</v>
      </c>
      <c r="L35" s="173">
        <f>SUM(L4:L34)</f>
        <v>150000</v>
      </c>
      <c r="M35" s="71"/>
      <c r="N35" s="71"/>
      <c r="O35" s="67"/>
    </row>
    <row r="36" spans="1:15">
      <c r="A36" s="81"/>
      <c r="B36" s="82"/>
      <c r="C36" s="81"/>
      <c r="D36" s="81"/>
      <c r="E36" s="83"/>
      <c r="F36" s="83"/>
      <c r="G36" s="83"/>
      <c r="H36" s="83"/>
      <c r="I36" s="83"/>
      <c r="J36" s="84"/>
      <c r="K36" s="84"/>
      <c r="L36" s="84"/>
      <c r="M36" s="84"/>
      <c r="N36" s="83"/>
    </row>
    <row r="42" spans="1:15">
      <c r="B42" s="67"/>
      <c r="G42" s="85"/>
      <c r="J42" s="67"/>
      <c r="K42" s="67"/>
      <c r="L42" s="67"/>
      <c r="M42" s="67"/>
      <c r="O42" s="83"/>
    </row>
    <row r="43" spans="1:15">
      <c r="B43" s="420"/>
      <c r="C43" s="420"/>
      <c r="D43" s="420"/>
      <c r="E43" s="420"/>
      <c r="I43" s="420"/>
      <c r="J43" s="420"/>
      <c r="K43" s="420"/>
      <c r="L43" s="420"/>
      <c r="M43" s="420"/>
      <c r="N43" s="420"/>
      <c r="O43" s="83"/>
    </row>
    <row r="44" spans="1:15">
      <c r="B44" s="67"/>
      <c r="J44" s="67"/>
      <c r="K44" s="67"/>
      <c r="L44" s="67"/>
      <c r="M44" s="67"/>
      <c r="O44" s="83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workbookViewId="0">
      <selection activeCell="S17" sqref="S17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4" customWidth="1"/>
    <col min="8" max="8" width="12" style="24" customWidth="1"/>
    <col min="9" max="9" width="9.140625" style="24"/>
    <col min="10" max="10" width="11.140625" style="24" customWidth="1"/>
    <col min="11" max="11" width="12" style="24" customWidth="1"/>
    <col min="12" max="12" width="11.85546875" style="24" customWidth="1"/>
    <col min="13" max="13" width="13.85546875" customWidth="1"/>
  </cols>
  <sheetData>
    <row r="1" spans="1:14" ht="15.75">
      <c r="A1" s="407" t="s">
        <v>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14">
      <c r="A2" s="107" t="s">
        <v>94</v>
      </c>
      <c r="B2" s="108" t="s">
        <v>95</v>
      </c>
      <c r="C2" s="108" t="s">
        <v>96</v>
      </c>
      <c r="D2" s="108" t="s">
        <v>111</v>
      </c>
      <c r="E2" s="108" t="s">
        <v>98</v>
      </c>
      <c r="F2" s="108" t="s">
        <v>99</v>
      </c>
      <c r="G2" s="268" t="s">
        <v>100</v>
      </c>
      <c r="H2" s="268" t="s">
        <v>101</v>
      </c>
      <c r="I2" s="268" t="s">
        <v>99</v>
      </c>
      <c r="J2" s="268" t="s">
        <v>100</v>
      </c>
      <c r="K2" s="269" t="s">
        <v>102</v>
      </c>
      <c r="L2" s="269" t="s">
        <v>103</v>
      </c>
      <c r="M2" s="154" t="s">
        <v>110</v>
      </c>
      <c r="N2" s="110" t="s">
        <v>105</v>
      </c>
    </row>
    <row r="3" spans="1:14">
      <c r="A3" s="444" t="s">
        <v>106</v>
      </c>
      <c r="B3" s="445"/>
      <c r="C3" s="445"/>
      <c r="D3" s="445"/>
      <c r="E3" s="445"/>
      <c r="F3" s="445"/>
      <c r="G3" s="445"/>
      <c r="H3" s="445"/>
      <c r="I3" s="445"/>
      <c r="J3" s="446"/>
      <c r="K3" s="247">
        <v>0</v>
      </c>
      <c r="L3" s="247"/>
      <c r="M3" s="187">
        <f>+K3</f>
        <v>0</v>
      </c>
      <c r="N3" s="248"/>
    </row>
    <row r="4" spans="1:14">
      <c r="A4" s="28">
        <v>1</v>
      </c>
      <c r="B4" s="29">
        <v>45870</v>
      </c>
      <c r="C4" s="19"/>
      <c r="D4" s="19"/>
      <c r="E4" s="217">
        <v>0</v>
      </c>
      <c r="F4" s="217">
        <v>0</v>
      </c>
      <c r="G4" s="235">
        <f>E4*F4</f>
        <v>0</v>
      </c>
      <c r="H4" s="235"/>
      <c r="I4" s="235"/>
      <c r="J4" s="235"/>
      <c r="K4" s="235">
        <f>G4+J4</f>
        <v>0</v>
      </c>
      <c r="L4" s="235">
        <f>+K4</f>
        <v>0</v>
      </c>
      <c r="M4" s="217"/>
      <c r="N4" s="19"/>
    </row>
    <row r="5" spans="1:14">
      <c r="A5" s="28">
        <v>2</v>
      </c>
      <c r="B5" s="29">
        <v>45871</v>
      </c>
      <c r="C5" s="19"/>
      <c r="D5" s="19"/>
      <c r="E5" s="217">
        <v>0</v>
      </c>
      <c r="F5" s="217">
        <v>0</v>
      </c>
      <c r="G5" s="235">
        <f t="shared" ref="G5:G33" si="0">E5*F5</f>
        <v>0</v>
      </c>
      <c r="H5" s="235"/>
      <c r="I5" s="235"/>
      <c r="J5" s="235"/>
      <c r="K5" s="235">
        <f t="shared" ref="K5:K33" si="1">G5+J5</f>
        <v>0</v>
      </c>
      <c r="L5" s="235">
        <f t="shared" ref="L5:L33" si="2">+K5</f>
        <v>0</v>
      </c>
      <c r="M5" s="217"/>
      <c r="N5" s="19"/>
    </row>
    <row r="6" spans="1:14">
      <c r="A6" s="28">
        <v>3</v>
      </c>
      <c r="B6" s="29">
        <v>45872</v>
      </c>
      <c r="C6" s="19"/>
      <c r="D6" s="19"/>
      <c r="E6" s="217">
        <v>0</v>
      </c>
      <c r="F6" s="217">
        <v>0</v>
      </c>
      <c r="G6" s="235">
        <f t="shared" si="0"/>
        <v>0</v>
      </c>
      <c r="H6" s="235"/>
      <c r="I6" s="235"/>
      <c r="J6" s="235"/>
      <c r="K6" s="235">
        <f t="shared" si="1"/>
        <v>0</v>
      </c>
      <c r="L6" s="235">
        <f t="shared" si="2"/>
        <v>0</v>
      </c>
      <c r="M6" s="217"/>
      <c r="N6" s="19"/>
    </row>
    <row r="7" spans="1:14">
      <c r="A7" s="28">
        <v>4</v>
      </c>
      <c r="B7" s="29">
        <v>45873</v>
      </c>
      <c r="C7" s="19"/>
      <c r="D7" s="19"/>
      <c r="E7" s="217">
        <v>50</v>
      </c>
      <c r="F7" s="217">
        <v>91.59</v>
      </c>
      <c r="G7" s="235">
        <f t="shared" si="0"/>
        <v>4579.5</v>
      </c>
      <c r="H7" s="235">
        <v>7.73</v>
      </c>
      <c r="I7" s="235">
        <v>103.53</v>
      </c>
      <c r="J7" s="235">
        <f>H7*I7</f>
        <v>800.28690000000006</v>
      </c>
      <c r="K7" s="235">
        <f t="shared" si="1"/>
        <v>5379.7869000000001</v>
      </c>
      <c r="L7" s="235">
        <f t="shared" si="2"/>
        <v>5379.7869000000001</v>
      </c>
      <c r="M7" s="217"/>
      <c r="N7" s="19"/>
    </row>
    <row r="8" spans="1:14">
      <c r="A8" s="28">
        <v>5</v>
      </c>
      <c r="B8" s="29">
        <v>45874</v>
      </c>
      <c r="C8" s="19"/>
      <c r="D8" s="19"/>
      <c r="E8" s="217">
        <v>0</v>
      </c>
      <c r="F8" s="217">
        <v>0</v>
      </c>
      <c r="G8" s="235">
        <f t="shared" si="0"/>
        <v>0</v>
      </c>
      <c r="H8" s="235"/>
      <c r="I8" s="235"/>
      <c r="J8" s="235"/>
      <c r="K8" s="235">
        <f t="shared" si="1"/>
        <v>0</v>
      </c>
      <c r="L8" s="235">
        <f t="shared" si="2"/>
        <v>0</v>
      </c>
      <c r="M8" s="217"/>
      <c r="N8" s="19"/>
    </row>
    <row r="9" spans="1:14">
      <c r="A9" s="28">
        <v>6</v>
      </c>
      <c r="B9" s="29">
        <v>45875</v>
      </c>
      <c r="C9" s="19"/>
      <c r="D9" s="19"/>
      <c r="E9" s="217">
        <v>0</v>
      </c>
      <c r="F9" s="217">
        <v>0</v>
      </c>
      <c r="G9" s="235">
        <f t="shared" si="0"/>
        <v>0</v>
      </c>
      <c r="H9" s="235"/>
      <c r="I9" s="235"/>
      <c r="J9" s="235"/>
      <c r="K9" s="235">
        <f t="shared" si="1"/>
        <v>0</v>
      </c>
      <c r="L9" s="235">
        <f t="shared" si="2"/>
        <v>0</v>
      </c>
      <c r="M9" s="217"/>
      <c r="N9" s="19"/>
    </row>
    <row r="10" spans="1:14">
      <c r="A10" s="28">
        <v>7</v>
      </c>
      <c r="B10" s="29">
        <v>45876</v>
      </c>
      <c r="C10" s="19"/>
      <c r="D10" s="19"/>
      <c r="E10" s="217">
        <v>0</v>
      </c>
      <c r="F10" s="217">
        <v>0</v>
      </c>
      <c r="G10" s="235">
        <f t="shared" si="0"/>
        <v>0</v>
      </c>
      <c r="H10" s="235"/>
      <c r="I10" s="235"/>
      <c r="J10" s="235"/>
      <c r="K10" s="235">
        <f t="shared" si="1"/>
        <v>0</v>
      </c>
      <c r="L10" s="235">
        <f t="shared" si="2"/>
        <v>0</v>
      </c>
      <c r="M10" s="217"/>
      <c r="N10" s="19"/>
    </row>
    <row r="11" spans="1:14">
      <c r="A11" s="28">
        <v>8</v>
      </c>
      <c r="B11" s="29">
        <v>45877</v>
      </c>
      <c r="C11" s="19"/>
      <c r="D11" s="19"/>
      <c r="E11" s="217">
        <v>52</v>
      </c>
      <c r="F11" s="217">
        <v>91.59</v>
      </c>
      <c r="G11" s="235">
        <f t="shared" si="0"/>
        <v>4762.68</v>
      </c>
      <c r="H11" s="235"/>
      <c r="I11" s="235"/>
      <c r="J11" s="235"/>
      <c r="K11" s="235">
        <f t="shared" si="1"/>
        <v>4762.68</v>
      </c>
      <c r="L11" s="235">
        <f t="shared" si="2"/>
        <v>4762.68</v>
      </c>
      <c r="M11" s="217"/>
      <c r="N11" s="19"/>
    </row>
    <row r="12" spans="1:14">
      <c r="A12" s="28">
        <v>9</v>
      </c>
      <c r="B12" s="29">
        <v>45878</v>
      </c>
      <c r="C12" s="19"/>
      <c r="D12" s="19"/>
      <c r="E12" s="217">
        <v>0</v>
      </c>
      <c r="F12" s="217">
        <v>91.59</v>
      </c>
      <c r="G12" s="235">
        <f t="shared" si="0"/>
        <v>0</v>
      </c>
      <c r="H12" s="217">
        <v>8</v>
      </c>
      <c r="I12" s="235">
        <v>103.53</v>
      </c>
      <c r="J12" s="235">
        <f>H12*I12</f>
        <v>828.24</v>
      </c>
      <c r="K12" s="235">
        <f t="shared" si="1"/>
        <v>828.24</v>
      </c>
      <c r="L12" s="235">
        <f t="shared" si="2"/>
        <v>828.24</v>
      </c>
      <c r="M12" s="217"/>
      <c r="N12" s="19"/>
    </row>
    <row r="13" spans="1:14">
      <c r="A13" s="28">
        <v>10</v>
      </c>
      <c r="B13" s="29">
        <v>45879</v>
      </c>
      <c r="C13" s="19"/>
      <c r="D13" s="19"/>
      <c r="E13" s="235">
        <v>5</v>
      </c>
      <c r="F13" s="217">
        <v>91.59</v>
      </c>
      <c r="G13" s="235">
        <f t="shared" si="0"/>
        <v>457.95000000000005</v>
      </c>
      <c r="H13" s="235">
        <v>0</v>
      </c>
      <c r="I13" s="235">
        <v>103.53</v>
      </c>
      <c r="J13" s="235">
        <f>H13*I13</f>
        <v>0</v>
      </c>
      <c r="K13" s="235">
        <f t="shared" si="1"/>
        <v>457.95000000000005</v>
      </c>
      <c r="L13" s="235">
        <f t="shared" si="2"/>
        <v>457.95000000000005</v>
      </c>
      <c r="M13" s="217"/>
      <c r="N13" s="19"/>
    </row>
    <row r="14" spans="1:14">
      <c r="A14" s="28">
        <v>11</v>
      </c>
      <c r="B14" s="29">
        <v>45880</v>
      </c>
      <c r="C14" s="19"/>
      <c r="D14" s="19"/>
      <c r="E14" s="217">
        <v>50</v>
      </c>
      <c r="F14" s="217">
        <v>91.59</v>
      </c>
      <c r="G14" s="235">
        <f t="shared" si="0"/>
        <v>4579.5</v>
      </c>
      <c r="H14" s="235"/>
      <c r="I14" s="235"/>
      <c r="J14" s="235">
        <f t="shared" ref="J14:J33" si="3">H14*I14</f>
        <v>0</v>
      </c>
      <c r="K14" s="235">
        <f t="shared" si="1"/>
        <v>4579.5</v>
      </c>
      <c r="L14" s="235">
        <f t="shared" si="2"/>
        <v>4579.5</v>
      </c>
      <c r="M14" s="217"/>
      <c r="N14" s="19"/>
    </row>
    <row r="15" spans="1:14">
      <c r="A15" s="28">
        <v>12</v>
      </c>
      <c r="B15" s="29">
        <v>45881</v>
      </c>
      <c r="C15" s="19"/>
      <c r="D15" s="19"/>
      <c r="E15" s="217">
        <v>0</v>
      </c>
      <c r="F15" s="217">
        <v>0</v>
      </c>
      <c r="G15" s="235">
        <f t="shared" si="0"/>
        <v>0</v>
      </c>
      <c r="H15" s="235">
        <v>1.93</v>
      </c>
      <c r="I15" s="235">
        <v>103.53</v>
      </c>
      <c r="J15" s="235">
        <f t="shared" si="3"/>
        <v>199.81289999999998</v>
      </c>
      <c r="K15" s="235">
        <f t="shared" si="1"/>
        <v>199.81289999999998</v>
      </c>
      <c r="L15" s="235">
        <f t="shared" si="2"/>
        <v>199.81289999999998</v>
      </c>
      <c r="M15" s="217"/>
      <c r="N15" s="19"/>
    </row>
    <row r="16" spans="1:14">
      <c r="A16" s="28">
        <v>13</v>
      </c>
      <c r="B16" s="29">
        <v>45882</v>
      </c>
      <c r="C16" s="19"/>
      <c r="D16" s="19"/>
      <c r="E16" s="217">
        <v>0</v>
      </c>
      <c r="F16" s="217">
        <v>0</v>
      </c>
      <c r="G16" s="235">
        <f t="shared" si="0"/>
        <v>0</v>
      </c>
      <c r="H16" s="235"/>
      <c r="I16" s="235"/>
      <c r="J16" s="235">
        <f t="shared" si="3"/>
        <v>0</v>
      </c>
      <c r="K16" s="235">
        <f t="shared" si="1"/>
        <v>0</v>
      </c>
      <c r="L16" s="235">
        <f t="shared" si="2"/>
        <v>0</v>
      </c>
      <c r="M16" s="217"/>
      <c r="N16" s="19"/>
    </row>
    <row r="17" spans="1:15">
      <c r="A17" s="28">
        <v>14</v>
      </c>
      <c r="B17" s="29">
        <v>45883</v>
      </c>
      <c r="C17" s="19"/>
      <c r="D17" s="19"/>
      <c r="E17" s="217">
        <v>0</v>
      </c>
      <c r="F17" s="217">
        <v>0</v>
      </c>
      <c r="G17" s="235">
        <f t="shared" si="0"/>
        <v>0</v>
      </c>
      <c r="H17" s="235"/>
      <c r="I17" s="235"/>
      <c r="J17" s="235">
        <f t="shared" si="3"/>
        <v>0</v>
      </c>
      <c r="K17" s="235">
        <f t="shared" si="1"/>
        <v>0</v>
      </c>
      <c r="L17" s="235">
        <f t="shared" si="2"/>
        <v>0</v>
      </c>
      <c r="M17" s="217"/>
      <c r="N17" s="19"/>
    </row>
    <row r="18" spans="1:15">
      <c r="A18" s="28">
        <v>15</v>
      </c>
      <c r="B18" s="29">
        <v>45884</v>
      </c>
      <c r="C18" s="19"/>
      <c r="D18" s="19"/>
      <c r="E18" s="217">
        <v>0</v>
      </c>
      <c r="F18" s="217">
        <v>0</v>
      </c>
      <c r="G18" s="235">
        <f t="shared" si="0"/>
        <v>0</v>
      </c>
      <c r="H18" s="235"/>
      <c r="I18" s="235"/>
      <c r="J18" s="235">
        <f t="shared" si="3"/>
        <v>0</v>
      </c>
      <c r="K18" s="235">
        <f t="shared" si="1"/>
        <v>0</v>
      </c>
      <c r="L18" s="235">
        <f t="shared" si="2"/>
        <v>0</v>
      </c>
      <c r="M18" s="217"/>
      <c r="N18" s="19"/>
    </row>
    <row r="19" spans="1:15">
      <c r="A19" s="28">
        <v>16</v>
      </c>
      <c r="B19" s="29">
        <v>45885</v>
      </c>
      <c r="C19" s="19"/>
      <c r="D19" s="19"/>
      <c r="E19" s="217">
        <v>0</v>
      </c>
      <c r="F19" s="217">
        <v>0</v>
      </c>
      <c r="G19" s="235">
        <f t="shared" si="0"/>
        <v>0</v>
      </c>
      <c r="H19" s="235"/>
      <c r="I19" s="235"/>
      <c r="J19" s="235">
        <f t="shared" si="3"/>
        <v>0</v>
      </c>
      <c r="K19" s="235">
        <f t="shared" si="1"/>
        <v>0</v>
      </c>
      <c r="L19" s="235">
        <f t="shared" si="2"/>
        <v>0</v>
      </c>
      <c r="M19" s="217"/>
      <c r="N19" s="19"/>
    </row>
    <row r="20" spans="1:15">
      <c r="A20" s="28">
        <v>17</v>
      </c>
      <c r="B20" s="29">
        <v>45886</v>
      </c>
      <c r="C20" s="19"/>
      <c r="D20" s="19"/>
      <c r="E20" s="217">
        <v>0</v>
      </c>
      <c r="F20" s="217">
        <v>0</v>
      </c>
      <c r="G20" s="235">
        <f t="shared" si="0"/>
        <v>0</v>
      </c>
      <c r="H20" s="235"/>
      <c r="I20" s="235"/>
      <c r="J20" s="235">
        <f t="shared" si="3"/>
        <v>0</v>
      </c>
      <c r="K20" s="235">
        <f t="shared" si="1"/>
        <v>0</v>
      </c>
      <c r="L20" s="235">
        <f t="shared" si="2"/>
        <v>0</v>
      </c>
      <c r="M20" s="217"/>
      <c r="N20" s="19"/>
    </row>
    <row r="21" spans="1:15">
      <c r="A21" s="28">
        <v>18</v>
      </c>
      <c r="B21" s="29">
        <v>45887</v>
      </c>
      <c r="C21" s="19"/>
      <c r="D21" s="19"/>
      <c r="E21" s="217">
        <v>150</v>
      </c>
      <c r="F21" s="217">
        <v>91.59</v>
      </c>
      <c r="G21" s="235">
        <f t="shared" si="0"/>
        <v>13738.5</v>
      </c>
      <c r="H21" s="235"/>
      <c r="I21" s="235"/>
      <c r="J21" s="235">
        <f t="shared" si="3"/>
        <v>0</v>
      </c>
      <c r="K21" s="235">
        <f t="shared" si="1"/>
        <v>13738.5</v>
      </c>
      <c r="L21" s="235">
        <f t="shared" si="2"/>
        <v>13738.5</v>
      </c>
      <c r="M21" s="217"/>
      <c r="N21" s="19"/>
    </row>
    <row r="22" spans="1:15">
      <c r="A22" s="28">
        <v>19</v>
      </c>
      <c r="B22" s="29">
        <v>45888</v>
      </c>
      <c r="C22" s="19"/>
      <c r="D22" s="19"/>
      <c r="E22" s="217">
        <v>0</v>
      </c>
      <c r="F22" s="217">
        <v>0</v>
      </c>
      <c r="G22" s="235">
        <f t="shared" si="0"/>
        <v>0</v>
      </c>
      <c r="H22" s="235"/>
      <c r="I22" s="235"/>
      <c r="J22" s="235">
        <f t="shared" si="3"/>
        <v>0</v>
      </c>
      <c r="K22" s="235">
        <f t="shared" si="1"/>
        <v>0</v>
      </c>
      <c r="L22" s="235">
        <f t="shared" si="2"/>
        <v>0</v>
      </c>
      <c r="M22" s="217"/>
      <c r="N22" s="19"/>
    </row>
    <row r="23" spans="1:15">
      <c r="A23" s="28">
        <v>20</v>
      </c>
      <c r="B23" s="29">
        <v>45889</v>
      </c>
      <c r="C23" s="19"/>
      <c r="D23" s="19"/>
      <c r="E23" s="217">
        <v>0</v>
      </c>
      <c r="F23" s="217">
        <v>0</v>
      </c>
      <c r="G23" s="235">
        <f t="shared" si="0"/>
        <v>0</v>
      </c>
      <c r="H23" s="235"/>
      <c r="I23" s="235"/>
      <c r="J23" s="235">
        <f t="shared" si="3"/>
        <v>0</v>
      </c>
      <c r="K23" s="235">
        <f t="shared" si="1"/>
        <v>0</v>
      </c>
      <c r="L23" s="235">
        <f t="shared" si="2"/>
        <v>0</v>
      </c>
      <c r="M23" s="217"/>
      <c r="N23" s="19"/>
    </row>
    <row r="24" spans="1:15">
      <c r="A24" s="28">
        <v>21</v>
      </c>
      <c r="B24" s="29">
        <v>45890</v>
      </c>
      <c r="C24" s="19"/>
      <c r="D24" s="19"/>
      <c r="E24" s="217">
        <v>5</v>
      </c>
      <c r="F24" s="217">
        <v>91.59</v>
      </c>
      <c r="G24" s="235">
        <f t="shared" si="0"/>
        <v>457.95000000000005</v>
      </c>
      <c r="H24" s="235">
        <v>5</v>
      </c>
      <c r="I24" s="235">
        <v>103.53</v>
      </c>
      <c r="J24" s="235">
        <f t="shared" si="3"/>
        <v>517.65</v>
      </c>
      <c r="K24" s="235">
        <f t="shared" si="1"/>
        <v>975.6</v>
      </c>
      <c r="L24" s="235">
        <f t="shared" si="2"/>
        <v>975.6</v>
      </c>
      <c r="M24" s="217"/>
      <c r="N24" s="19"/>
    </row>
    <row r="25" spans="1:15">
      <c r="A25" s="28">
        <v>22</v>
      </c>
      <c r="B25" s="29">
        <v>45891</v>
      </c>
      <c r="C25" s="19"/>
      <c r="D25" s="19"/>
      <c r="E25" s="217">
        <v>0</v>
      </c>
      <c r="F25" s="217">
        <v>0</v>
      </c>
      <c r="G25" s="235">
        <f t="shared" si="0"/>
        <v>0</v>
      </c>
      <c r="H25" s="235"/>
      <c r="I25" s="235"/>
      <c r="J25" s="235">
        <f t="shared" si="3"/>
        <v>0</v>
      </c>
      <c r="K25" s="235">
        <f t="shared" si="1"/>
        <v>0</v>
      </c>
      <c r="L25" s="235">
        <f t="shared" si="2"/>
        <v>0</v>
      </c>
      <c r="M25" s="217"/>
      <c r="N25" s="19"/>
    </row>
    <row r="26" spans="1:15">
      <c r="A26" s="28">
        <v>23</v>
      </c>
      <c r="B26" s="29">
        <v>45892</v>
      </c>
      <c r="C26" s="19"/>
      <c r="D26" s="19"/>
      <c r="E26" s="217">
        <v>150</v>
      </c>
      <c r="F26" s="217">
        <v>91.59</v>
      </c>
      <c r="G26" s="235">
        <f t="shared" si="0"/>
        <v>13738.5</v>
      </c>
      <c r="H26" s="235">
        <v>7</v>
      </c>
      <c r="I26" s="235">
        <v>103.53</v>
      </c>
      <c r="J26" s="235">
        <f t="shared" si="3"/>
        <v>724.71</v>
      </c>
      <c r="K26" s="235">
        <f t="shared" si="1"/>
        <v>14463.21</v>
      </c>
      <c r="L26" s="235">
        <f t="shared" si="2"/>
        <v>14463.21</v>
      </c>
      <c r="M26" s="217"/>
      <c r="N26" s="19"/>
    </row>
    <row r="27" spans="1:15">
      <c r="A27" s="28">
        <v>24</v>
      </c>
      <c r="B27" s="29">
        <v>45893</v>
      </c>
      <c r="C27" s="19"/>
      <c r="D27" s="19"/>
      <c r="E27" s="217">
        <v>0</v>
      </c>
      <c r="F27" s="217">
        <v>0</v>
      </c>
      <c r="G27" s="235">
        <f t="shared" si="0"/>
        <v>0</v>
      </c>
      <c r="H27" s="235"/>
      <c r="I27" s="235"/>
      <c r="J27" s="235">
        <f t="shared" si="3"/>
        <v>0</v>
      </c>
      <c r="K27" s="235">
        <f t="shared" si="1"/>
        <v>0</v>
      </c>
      <c r="L27" s="235">
        <f t="shared" si="2"/>
        <v>0</v>
      </c>
      <c r="M27" s="217"/>
      <c r="N27" s="19"/>
      <c r="O27">
        <v>0</v>
      </c>
    </row>
    <row r="28" spans="1:15">
      <c r="A28" s="28">
        <v>25</v>
      </c>
      <c r="B28" s="29">
        <v>45894</v>
      </c>
      <c r="C28" s="19"/>
      <c r="D28" s="19"/>
      <c r="E28" s="217">
        <v>0</v>
      </c>
      <c r="F28" s="217">
        <v>0</v>
      </c>
      <c r="G28" s="235">
        <f t="shared" si="0"/>
        <v>0</v>
      </c>
      <c r="H28" s="235"/>
      <c r="I28" s="235"/>
      <c r="J28" s="235">
        <f t="shared" si="3"/>
        <v>0</v>
      </c>
      <c r="K28" s="235">
        <f t="shared" si="1"/>
        <v>0</v>
      </c>
      <c r="L28" s="235">
        <f t="shared" si="2"/>
        <v>0</v>
      </c>
      <c r="M28" s="217"/>
      <c r="N28" s="19"/>
    </row>
    <row r="29" spans="1:15">
      <c r="A29" s="28">
        <v>26</v>
      </c>
      <c r="B29" s="29">
        <v>45895</v>
      </c>
      <c r="C29" s="19"/>
      <c r="D29" s="19"/>
      <c r="E29" s="217">
        <v>0</v>
      </c>
      <c r="F29" s="217">
        <v>0</v>
      </c>
      <c r="G29" s="235">
        <f t="shared" si="0"/>
        <v>0</v>
      </c>
      <c r="H29" s="235"/>
      <c r="I29" s="235"/>
      <c r="J29" s="235">
        <f t="shared" si="3"/>
        <v>0</v>
      </c>
      <c r="K29" s="235">
        <f t="shared" si="1"/>
        <v>0</v>
      </c>
      <c r="L29" s="235">
        <f t="shared" si="2"/>
        <v>0</v>
      </c>
      <c r="M29" s="217"/>
      <c r="N29" s="19"/>
    </row>
    <row r="30" spans="1:15">
      <c r="A30" s="28">
        <v>27</v>
      </c>
      <c r="B30" s="29">
        <v>45896</v>
      </c>
      <c r="C30" s="19"/>
      <c r="D30" s="19"/>
      <c r="E30" s="217">
        <v>0</v>
      </c>
      <c r="F30" s="217">
        <v>0</v>
      </c>
      <c r="G30" s="235">
        <f t="shared" si="0"/>
        <v>0</v>
      </c>
      <c r="H30" s="235"/>
      <c r="I30" s="235"/>
      <c r="J30" s="235">
        <f t="shared" si="3"/>
        <v>0</v>
      </c>
      <c r="K30" s="235">
        <f t="shared" si="1"/>
        <v>0</v>
      </c>
      <c r="L30" s="235">
        <f t="shared" si="2"/>
        <v>0</v>
      </c>
      <c r="M30" s="217"/>
      <c r="N30" s="19"/>
    </row>
    <row r="31" spans="1:15">
      <c r="A31" s="252">
        <v>28</v>
      </c>
      <c r="B31" s="29">
        <v>45897</v>
      </c>
      <c r="C31" s="19"/>
      <c r="D31" s="19"/>
      <c r="E31" s="217">
        <v>0</v>
      </c>
      <c r="F31" s="217">
        <v>0</v>
      </c>
      <c r="G31" s="235">
        <f t="shared" si="0"/>
        <v>0</v>
      </c>
      <c r="H31" s="235"/>
      <c r="I31" s="235"/>
      <c r="J31" s="235">
        <f t="shared" si="3"/>
        <v>0</v>
      </c>
      <c r="K31" s="235">
        <f t="shared" si="1"/>
        <v>0</v>
      </c>
      <c r="L31" s="235">
        <f t="shared" si="2"/>
        <v>0</v>
      </c>
      <c r="M31" s="217"/>
      <c r="N31" s="103"/>
    </row>
    <row r="32" spans="1:15">
      <c r="A32" s="28">
        <v>29</v>
      </c>
      <c r="B32" s="29">
        <v>45898</v>
      </c>
      <c r="C32" s="19"/>
      <c r="D32" s="19"/>
      <c r="E32" s="217">
        <v>0</v>
      </c>
      <c r="F32" s="217">
        <v>0</v>
      </c>
      <c r="G32" s="235">
        <f t="shared" si="0"/>
        <v>0</v>
      </c>
      <c r="H32" s="235"/>
      <c r="I32" s="235"/>
      <c r="J32" s="235">
        <f t="shared" si="3"/>
        <v>0</v>
      </c>
      <c r="K32" s="235">
        <f t="shared" si="1"/>
        <v>0</v>
      </c>
      <c r="L32" s="235">
        <f t="shared" si="2"/>
        <v>0</v>
      </c>
      <c r="M32" s="217"/>
      <c r="N32" s="19"/>
    </row>
    <row r="33" spans="1:14">
      <c r="A33" s="28">
        <v>30</v>
      </c>
      <c r="B33" s="29">
        <v>45899</v>
      </c>
      <c r="C33" s="19"/>
      <c r="D33" s="19"/>
      <c r="E33" s="217">
        <v>0</v>
      </c>
      <c r="F33" s="217">
        <v>0</v>
      </c>
      <c r="G33" s="235">
        <f t="shared" si="0"/>
        <v>0</v>
      </c>
      <c r="H33" s="235"/>
      <c r="I33" s="235"/>
      <c r="J33" s="235">
        <f t="shared" si="3"/>
        <v>0</v>
      </c>
      <c r="K33" s="235">
        <f t="shared" si="1"/>
        <v>0</v>
      </c>
      <c r="L33" s="235">
        <f t="shared" si="2"/>
        <v>0</v>
      </c>
      <c r="M33" s="217"/>
      <c r="N33" s="19"/>
    </row>
    <row r="34" spans="1:14">
      <c r="A34" s="28">
        <v>31</v>
      </c>
      <c r="B34" s="29"/>
      <c r="C34" s="19"/>
      <c r="D34" s="19"/>
      <c r="E34" s="217">
        <v>0</v>
      </c>
      <c r="F34" s="217">
        <v>0</v>
      </c>
      <c r="G34" s="235">
        <f t="shared" ref="G5:G34" si="4">E34*F34</f>
        <v>0</v>
      </c>
      <c r="H34" s="235"/>
      <c r="I34" s="235"/>
      <c r="J34" s="235"/>
      <c r="K34" s="235"/>
      <c r="L34" s="235"/>
      <c r="M34" s="217"/>
      <c r="N34" s="19"/>
    </row>
    <row r="35" spans="1:14">
      <c r="A35" s="196"/>
      <c r="B35" s="196"/>
      <c r="C35" s="196"/>
      <c r="D35" s="196"/>
      <c r="E35" s="196">
        <f>SUM(E4:E34)</f>
        <v>462</v>
      </c>
      <c r="F35" s="196"/>
      <c r="G35" s="196">
        <f>SUM(G4:G34)</f>
        <v>42314.58</v>
      </c>
      <c r="H35" s="196">
        <f>SUM(H4:H34)</f>
        <v>29.66</v>
      </c>
      <c r="I35" s="196"/>
      <c r="J35" s="196">
        <f>SUM(J4:J34)</f>
        <v>3070.6997999999999</v>
      </c>
      <c r="K35" s="196">
        <f>SUM(K4:K34)</f>
        <v>45385.279799999997</v>
      </c>
      <c r="L35" s="196">
        <f>SUM(L4:L34)</f>
        <v>45385.279799999997</v>
      </c>
      <c r="M35" s="196"/>
      <c r="N35" s="196"/>
    </row>
  </sheetData>
  <mergeCells count="2">
    <mergeCell ref="A1:N1"/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P44"/>
  <sheetViews>
    <sheetView workbookViewId="0">
      <pane ySplit="2" topLeftCell="A30" activePane="bottomLeft" state="frozen"/>
      <selection pane="bottomLeft" activeCell="M48" sqref="M48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4" bestFit="1" customWidth="1"/>
    <col min="6" max="6" width="9.5703125" style="24" bestFit="1" customWidth="1"/>
    <col min="7" max="7" width="9.28515625" style="24" bestFit="1" customWidth="1"/>
    <col min="8" max="8" width="10.7109375" style="24" bestFit="1" customWidth="1"/>
    <col min="9" max="9" width="7.140625" style="24" bestFit="1" customWidth="1"/>
    <col min="10" max="10" width="8.7109375" style="24" bestFit="1" customWidth="1"/>
    <col min="11" max="11" width="13.5703125" style="24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6" ht="15.75">
      <c r="A1" s="447" t="s">
        <v>60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</row>
    <row r="2" spans="1:16">
      <c r="A2" s="72" t="s">
        <v>94</v>
      </c>
      <c r="B2" s="92" t="s">
        <v>95</v>
      </c>
      <c r="C2" s="92" t="s">
        <v>96</v>
      </c>
      <c r="D2" s="92" t="s">
        <v>97</v>
      </c>
      <c r="E2" s="99" t="s">
        <v>98</v>
      </c>
      <c r="F2" s="99" t="s">
        <v>99</v>
      </c>
      <c r="G2" s="99" t="s">
        <v>100</v>
      </c>
      <c r="H2" s="99" t="s">
        <v>101</v>
      </c>
      <c r="I2" s="99" t="s">
        <v>99</v>
      </c>
      <c r="J2" s="99" t="s">
        <v>100</v>
      </c>
      <c r="K2" s="100" t="s">
        <v>102</v>
      </c>
      <c r="L2" s="94" t="s">
        <v>103</v>
      </c>
      <c r="M2" s="94" t="s">
        <v>110</v>
      </c>
      <c r="N2" s="135" t="s">
        <v>105</v>
      </c>
    </row>
    <row r="3" spans="1:16">
      <c r="A3" s="412" t="s">
        <v>106</v>
      </c>
      <c r="B3" s="412"/>
      <c r="C3" s="412"/>
      <c r="D3" s="412"/>
      <c r="E3" s="412"/>
      <c r="F3" s="412"/>
      <c r="G3" s="412"/>
      <c r="H3" s="412"/>
      <c r="I3" s="412"/>
      <c r="J3" s="422"/>
      <c r="K3" s="227">
        <v>50163.215399999986</v>
      </c>
      <c r="M3" s="145">
        <f>+K3</f>
        <v>50163.215399999986</v>
      </c>
      <c r="N3" s="103"/>
    </row>
    <row r="4" spans="1:16">
      <c r="A4" s="28">
        <v>1</v>
      </c>
      <c r="B4" s="29">
        <v>45870</v>
      </c>
      <c r="C4" s="19"/>
      <c r="D4" s="19"/>
      <c r="E4" s="44">
        <v>0</v>
      </c>
      <c r="F4" s="44">
        <v>0</v>
      </c>
      <c r="G4" s="44">
        <f>E4*F4</f>
        <v>0</v>
      </c>
      <c r="H4" s="44">
        <v>0</v>
      </c>
      <c r="I4" s="44">
        <v>0</v>
      </c>
      <c r="J4" s="44">
        <f>H4*I4</f>
        <v>0</v>
      </c>
      <c r="K4" s="44">
        <f>G4+J4</f>
        <v>0</v>
      </c>
      <c r="L4" s="44">
        <v>3000</v>
      </c>
      <c r="M4" s="146">
        <f>M3+K4-L4</f>
        <v>47163.215399999986</v>
      </c>
      <c r="N4" s="19"/>
    </row>
    <row r="5" spans="1:16">
      <c r="A5" s="28">
        <v>2</v>
      </c>
      <c r="B5" s="29">
        <v>45871</v>
      </c>
      <c r="C5" s="19"/>
      <c r="D5" s="19"/>
      <c r="E5" s="44">
        <v>40</v>
      </c>
      <c r="F5" s="44">
        <v>91.71</v>
      </c>
      <c r="G5" s="44">
        <f t="shared" ref="G5:G43" si="0">E5*F5</f>
        <v>3668.3999999999996</v>
      </c>
      <c r="H5" s="44">
        <v>0</v>
      </c>
      <c r="I5" s="44">
        <v>0</v>
      </c>
      <c r="J5" s="44">
        <f t="shared" ref="J5:J43" si="1">H5*I5</f>
        <v>0</v>
      </c>
      <c r="K5" s="44">
        <f t="shared" ref="K5:K43" si="2">G5+J5</f>
        <v>3668.3999999999996</v>
      </c>
      <c r="L5" s="44">
        <v>0</v>
      </c>
      <c r="M5" s="146">
        <f t="shared" ref="M5:M6" si="3">M4+K5-L5</f>
        <v>50831.615399999988</v>
      </c>
      <c r="N5" s="19"/>
    </row>
    <row r="6" spans="1:16">
      <c r="A6" s="28">
        <v>3</v>
      </c>
      <c r="B6" s="29">
        <v>45872</v>
      </c>
      <c r="C6" s="19"/>
      <c r="D6" s="19"/>
      <c r="E6" s="44">
        <v>0</v>
      </c>
      <c r="F6" s="44">
        <v>0</v>
      </c>
      <c r="G6" s="44">
        <f t="shared" si="0"/>
        <v>0</v>
      </c>
      <c r="H6" s="44">
        <v>0</v>
      </c>
      <c r="I6" s="44">
        <v>0</v>
      </c>
      <c r="J6" s="44">
        <f t="shared" si="1"/>
        <v>0</v>
      </c>
      <c r="K6" s="44">
        <f t="shared" si="2"/>
        <v>0</v>
      </c>
      <c r="L6" s="44">
        <v>0</v>
      </c>
      <c r="M6" s="146">
        <f t="shared" si="3"/>
        <v>50831.615399999988</v>
      </c>
      <c r="N6" s="19"/>
    </row>
    <row r="7" spans="1:16">
      <c r="A7" s="28">
        <v>4</v>
      </c>
      <c r="B7" s="29">
        <v>45873</v>
      </c>
      <c r="C7" s="19"/>
      <c r="D7" s="19"/>
      <c r="E7" s="44">
        <v>59.9</v>
      </c>
      <c r="F7" s="44">
        <v>91.71</v>
      </c>
      <c r="G7" s="44">
        <f t="shared" si="0"/>
        <v>5493.4289999999992</v>
      </c>
      <c r="H7" s="44">
        <v>8.5500000000000007</v>
      </c>
      <c r="I7" s="44">
        <v>105.19</v>
      </c>
      <c r="J7" s="44">
        <f t="shared" si="1"/>
        <v>899.37450000000001</v>
      </c>
      <c r="K7" s="44">
        <f t="shared" si="2"/>
        <v>6392.8034999999991</v>
      </c>
      <c r="L7" s="44">
        <v>0</v>
      </c>
      <c r="M7" s="146">
        <f t="shared" ref="M7:M43" si="4">M6+K7-L7</f>
        <v>57224.41889999999</v>
      </c>
      <c r="N7" s="19"/>
    </row>
    <row r="8" spans="1:16">
      <c r="A8" s="28">
        <v>5</v>
      </c>
      <c r="B8" s="29">
        <v>45874</v>
      </c>
      <c r="C8" s="19"/>
      <c r="D8" s="19"/>
      <c r="E8" s="44">
        <v>60</v>
      </c>
      <c r="F8" s="44">
        <v>91.71</v>
      </c>
      <c r="G8" s="44">
        <f t="shared" si="0"/>
        <v>5502.5999999999995</v>
      </c>
      <c r="H8" s="44">
        <v>0</v>
      </c>
      <c r="I8" s="44">
        <v>0</v>
      </c>
      <c r="J8" s="44">
        <f t="shared" si="1"/>
        <v>0</v>
      </c>
      <c r="K8" s="44">
        <f t="shared" si="2"/>
        <v>5502.5999999999995</v>
      </c>
      <c r="L8" s="44">
        <v>0</v>
      </c>
      <c r="M8" s="146">
        <f t="shared" si="4"/>
        <v>62727.018899999988</v>
      </c>
      <c r="N8" s="19"/>
    </row>
    <row r="9" spans="1:16">
      <c r="A9" s="28"/>
      <c r="B9" s="29">
        <v>45874</v>
      </c>
      <c r="C9" s="19"/>
      <c r="D9" s="19"/>
      <c r="E9" s="44">
        <v>39.799999999999997</v>
      </c>
      <c r="F9" s="44">
        <v>92.3</v>
      </c>
      <c r="G9" s="44">
        <f t="shared" si="0"/>
        <v>3673.5399999999995</v>
      </c>
      <c r="H9" s="44">
        <v>0</v>
      </c>
      <c r="I9" s="44">
        <v>0</v>
      </c>
      <c r="J9" s="44">
        <f t="shared" si="1"/>
        <v>0</v>
      </c>
      <c r="K9" s="44">
        <f t="shared" si="2"/>
        <v>3673.5399999999995</v>
      </c>
      <c r="L9" s="44">
        <v>3662.79</v>
      </c>
      <c r="M9" s="146">
        <f t="shared" si="4"/>
        <v>62737.768899999988</v>
      </c>
      <c r="N9" s="19"/>
    </row>
    <row r="10" spans="1:16">
      <c r="A10" s="28">
        <v>6</v>
      </c>
      <c r="B10" s="29">
        <v>45875</v>
      </c>
      <c r="C10" s="19"/>
      <c r="D10" s="19"/>
      <c r="E10" s="44">
        <v>41.39</v>
      </c>
      <c r="F10" s="44">
        <v>91.71</v>
      </c>
      <c r="G10" s="44">
        <f t="shared" si="0"/>
        <v>3795.8768999999998</v>
      </c>
      <c r="H10" s="44">
        <v>8.5500000000000007</v>
      </c>
      <c r="I10" s="44">
        <v>105.19</v>
      </c>
      <c r="J10" s="44">
        <f t="shared" si="1"/>
        <v>899.37450000000001</v>
      </c>
      <c r="K10" s="44">
        <f t="shared" si="2"/>
        <v>4695.2514000000001</v>
      </c>
      <c r="L10" s="44">
        <v>17091.23</v>
      </c>
      <c r="M10" s="146">
        <f t="shared" si="4"/>
        <v>50341.790299999993</v>
      </c>
      <c r="N10" s="19"/>
    </row>
    <row r="11" spans="1:16">
      <c r="A11" s="28">
        <v>7</v>
      </c>
      <c r="B11" s="29">
        <v>45876</v>
      </c>
      <c r="C11" s="19"/>
      <c r="D11" s="19"/>
      <c r="E11" s="44">
        <v>41.42</v>
      </c>
      <c r="F11" s="44">
        <v>91.97</v>
      </c>
      <c r="G11" s="44">
        <f t="shared" si="0"/>
        <v>3809.3974000000003</v>
      </c>
      <c r="H11" s="44">
        <v>0</v>
      </c>
      <c r="I11" s="44">
        <v>0</v>
      </c>
      <c r="J11" s="44">
        <f t="shared" si="1"/>
        <v>0</v>
      </c>
      <c r="K11" s="44">
        <f t="shared" si="2"/>
        <v>3809.3974000000003</v>
      </c>
      <c r="L11" s="44">
        <v>6209.85</v>
      </c>
      <c r="M11" s="146">
        <f t="shared" si="4"/>
        <v>47941.337699999996</v>
      </c>
      <c r="N11" s="19"/>
    </row>
    <row r="12" spans="1:16">
      <c r="A12" s="28">
        <v>8</v>
      </c>
      <c r="B12" s="29">
        <v>45877</v>
      </c>
      <c r="C12" s="19"/>
      <c r="D12" s="19"/>
      <c r="E12" s="235">
        <v>37.89</v>
      </c>
      <c r="F12" s="235">
        <v>91.71</v>
      </c>
      <c r="G12" s="44">
        <f t="shared" si="0"/>
        <v>3474.8918999999996</v>
      </c>
      <c r="H12" s="44">
        <v>0</v>
      </c>
      <c r="I12" s="44">
        <v>0</v>
      </c>
      <c r="J12" s="44">
        <f t="shared" si="1"/>
        <v>0</v>
      </c>
      <c r="K12" s="44">
        <f t="shared" si="2"/>
        <v>3474.8918999999996</v>
      </c>
      <c r="L12" s="44">
        <v>0</v>
      </c>
      <c r="M12" s="146">
        <f t="shared" si="4"/>
        <v>51416.229599999999</v>
      </c>
      <c r="N12" s="50"/>
    </row>
    <row r="13" spans="1:16">
      <c r="A13" s="28"/>
      <c r="B13" s="29">
        <v>45877</v>
      </c>
      <c r="C13" s="19"/>
      <c r="D13" s="19"/>
      <c r="E13" s="235">
        <v>27.23</v>
      </c>
      <c r="F13" s="235">
        <v>91.82</v>
      </c>
      <c r="G13" s="44">
        <f t="shared" si="0"/>
        <v>2500.2585999999997</v>
      </c>
      <c r="H13" s="44">
        <v>0</v>
      </c>
      <c r="I13" s="44">
        <v>0</v>
      </c>
      <c r="J13" s="44">
        <f t="shared" ref="J13" si="5">H13*I13</f>
        <v>0</v>
      </c>
      <c r="K13" s="44">
        <f t="shared" ref="K13:L13" si="6">G13+J13</f>
        <v>2500.2585999999997</v>
      </c>
      <c r="L13" s="44">
        <f t="shared" si="6"/>
        <v>2500.2585999999997</v>
      </c>
      <c r="M13" s="146">
        <f t="shared" si="4"/>
        <v>51416.229599999999</v>
      </c>
      <c r="N13" s="50"/>
    </row>
    <row r="14" spans="1:16">
      <c r="A14" s="28">
        <v>9</v>
      </c>
      <c r="B14" s="29">
        <v>45878</v>
      </c>
      <c r="C14" s="19"/>
      <c r="D14" s="19"/>
      <c r="E14" s="44">
        <v>47.25</v>
      </c>
      <c r="F14" s="235">
        <v>91.71</v>
      </c>
      <c r="G14" s="44">
        <f t="shared" si="0"/>
        <v>4333.2974999999997</v>
      </c>
      <c r="H14" s="44">
        <v>0</v>
      </c>
      <c r="I14" s="44">
        <v>0</v>
      </c>
      <c r="J14" s="44">
        <f t="shared" si="1"/>
        <v>0</v>
      </c>
      <c r="K14" s="44">
        <f t="shared" si="2"/>
        <v>4333.2974999999997</v>
      </c>
      <c r="L14" s="44">
        <v>1834.2</v>
      </c>
      <c r="M14" s="146">
        <f t="shared" si="4"/>
        <v>53915.327100000002</v>
      </c>
      <c r="N14" s="50"/>
    </row>
    <row r="15" spans="1:16">
      <c r="A15" s="28">
        <v>10</v>
      </c>
      <c r="B15" s="29">
        <v>45879</v>
      </c>
      <c r="C15" s="19"/>
      <c r="D15" s="19"/>
      <c r="E15" s="44">
        <v>20</v>
      </c>
      <c r="F15" s="235">
        <v>91.71</v>
      </c>
      <c r="G15" s="44">
        <f t="shared" si="0"/>
        <v>1834.1999999999998</v>
      </c>
      <c r="H15" s="44">
        <v>0</v>
      </c>
      <c r="I15" s="44">
        <v>0</v>
      </c>
      <c r="J15" s="44">
        <f t="shared" si="1"/>
        <v>0</v>
      </c>
      <c r="K15" s="44">
        <f t="shared" si="2"/>
        <v>1834.1999999999998</v>
      </c>
      <c r="L15" s="44">
        <v>0</v>
      </c>
      <c r="M15" s="146">
        <f>M14+K15-L15</f>
        <v>55749.527099999999</v>
      </c>
      <c r="N15" s="50"/>
      <c r="P15" s="24"/>
    </row>
    <row r="16" spans="1:16">
      <c r="A16" s="28">
        <v>11</v>
      </c>
      <c r="B16" s="29">
        <v>45880</v>
      </c>
      <c r="C16" s="19"/>
      <c r="D16" s="19"/>
      <c r="E16" s="44">
        <v>192</v>
      </c>
      <c r="F16" s="235">
        <v>91.71</v>
      </c>
      <c r="G16" s="44">
        <f t="shared" si="0"/>
        <v>17608.32</v>
      </c>
      <c r="H16" s="44">
        <v>0</v>
      </c>
      <c r="I16" s="44">
        <v>0</v>
      </c>
      <c r="J16" s="44">
        <f t="shared" si="1"/>
        <v>0</v>
      </c>
      <c r="K16" s="44">
        <f t="shared" si="2"/>
        <v>17608.32</v>
      </c>
      <c r="L16" s="44">
        <v>18536.04</v>
      </c>
      <c r="M16" s="146">
        <f t="shared" si="4"/>
        <v>54821.807099999998</v>
      </c>
      <c r="N16" s="50"/>
      <c r="P16" s="24"/>
    </row>
    <row r="17" spans="1:16">
      <c r="A17" s="28">
        <v>12</v>
      </c>
      <c r="B17" s="29">
        <v>45881</v>
      </c>
      <c r="C17" s="19"/>
      <c r="D17" s="19"/>
      <c r="E17" s="44">
        <v>74.27</v>
      </c>
      <c r="F17" s="235">
        <v>91.71</v>
      </c>
      <c r="G17" s="44">
        <f t="shared" si="0"/>
        <v>6811.3016999999991</v>
      </c>
      <c r="H17" s="44">
        <v>0</v>
      </c>
      <c r="I17" s="44">
        <v>0</v>
      </c>
      <c r="J17" s="44">
        <f t="shared" si="1"/>
        <v>0</v>
      </c>
      <c r="K17" s="44">
        <f t="shared" si="2"/>
        <v>6811.3016999999991</v>
      </c>
      <c r="L17" s="44">
        <v>9746.02</v>
      </c>
      <c r="M17" s="146">
        <f>M16+K17-L17</f>
        <v>51887.088799999998</v>
      </c>
      <c r="N17" s="50"/>
      <c r="P17" s="24"/>
    </row>
    <row r="18" spans="1:16">
      <c r="A18" s="28">
        <v>13</v>
      </c>
      <c r="B18" s="29">
        <v>45882</v>
      </c>
      <c r="C18" s="19"/>
      <c r="D18" s="19"/>
      <c r="E18" s="44">
        <v>0</v>
      </c>
      <c r="F18" s="44">
        <v>0</v>
      </c>
      <c r="G18" s="44">
        <f t="shared" si="0"/>
        <v>0</v>
      </c>
      <c r="H18" s="44">
        <v>0</v>
      </c>
      <c r="I18" s="44">
        <v>0</v>
      </c>
      <c r="J18" s="44">
        <f t="shared" si="1"/>
        <v>0</v>
      </c>
      <c r="K18" s="44">
        <f t="shared" si="2"/>
        <v>0</v>
      </c>
      <c r="L18" s="44">
        <v>0</v>
      </c>
      <c r="M18" s="146">
        <f t="shared" si="4"/>
        <v>51887.088799999998</v>
      </c>
      <c r="N18" s="50"/>
      <c r="P18" s="24"/>
    </row>
    <row r="19" spans="1:16">
      <c r="A19" s="28">
        <v>14</v>
      </c>
      <c r="B19" s="29">
        <v>45883</v>
      </c>
      <c r="C19" s="19"/>
      <c r="D19" s="19"/>
      <c r="E19" s="44">
        <v>85.47</v>
      </c>
      <c r="F19" s="44">
        <v>91.71</v>
      </c>
      <c r="G19" s="44">
        <f t="shared" si="0"/>
        <v>7838.4536999999991</v>
      </c>
      <c r="H19" s="44">
        <v>0</v>
      </c>
      <c r="I19" s="44">
        <v>0</v>
      </c>
      <c r="J19" s="44">
        <f t="shared" si="1"/>
        <v>0</v>
      </c>
      <c r="K19" s="44">
        <f t="shared" si="2"/>
        <v>7838.4536999999991</v>
      </c>
      <c r="L19" s="44">
        <v>0</v>
      </c>
      <c r="M19" s="146">
        <f>M18+K19-L19</f>
        <v>59725.542499999996</v>
      </c>
      <c r="N19" s="50"/>
      <c r="P19" s="24"/>
    </row>
    <row r="20" spans="1:16">
      <c r="A20" s="28">
        <v>15</v>
      </c>
      <c r="B20" s="29">
        <v>45884</v>
      </c>
      <c r="C20" s="19"/>
      <c r="D20" s="19"/>
      <c r="E20" s="44">
        <v>41.9</v>
      </c>
      <c r="F20" s="44">
        <v>91.71</v>
      </c>
      <c r="G20" s="44">
        <f t="shared" si="0"/>
        <v>3842.6489999999994</v>
      </c>
      <c r="H20" s="44">
        <v>0</v>
      </c>
      <c r="I20" s="44">
        <v>0</v>
      </c>
      <c r="J20" s="44">
        <f t="shared" si="1"/>
        <v>0</v>
      </c>
      <c r="K20" s="44">
        <f t="shared" si="2"/>
        <v>3842.6489999999994</v>
      </c>
      <c r="L20" s="44">
        <v>0</v>
      </c>
      <c r="M20" s="146">
        <f t="shared" si="4"/>
        <v>63568.191499999994</v>
      </c>
      <c r="N20" s="50"/>
    </row>
    <row r="21" spans="1:16">
      <c r="A21" s="28">
        <v>16</v>
      </c>
      <c r="B21" s="29">
        <v>45885</v>
      </c>
      <c r="C21" s="19"/>
      <c r="D21" s="19"/>
      <c r="E21" s="44">
        <v>40</v>
      </c>
      <c r="F21" s="44">
        <v>91.71</v>
      </c>
      <c r="G21" s="44">
        <f t="shared" si="0"/>
        <v>3668.3999999999996</v>
      </c>
      <c r="H21" s="44">
        <v>0</v>
      </c>
      <c r="I21" s="44">
        <v>0</v>
      </c>
      <c r="J21" s="44">
        <f t="shared" si="1"/>
        <v>0</v>
      </c>
      <c r="K21" s="44">
        <f t="shared" si="2"/>
        <v>3668.3999999999996</v>
      </c>
      <c r="L21" s="44">
        <v>0</v>
      </c>
      <c r="M21" s="146">
        <f t="shared" si="4"/>
        <v>67236.591499999995</v>
      </c>
      <c r="N21" s="50"/>
    </row>
    <row r="22" spans="1:16">
      <c r="A22" s="28">
        <v>17</v>
      </c>
      <c r="B22" s="29">
        <v>45886</v>
      </c>
      <c r="C22" s="19"/>
      <c r="D22" s="19"/>
      <c r="E22" s="44">
        <v>91.04</v>
      </c>
      <c r="F22" s="44">
        <v>91.71</v>
      </c>
      <c r="G22" s="44">
        <f t="shared" si="0"/>
        <v>8349.2783999999992</v>
      </c>
      <c r="H22" s="44">
        <v>0</v>
      </c>
      <c r="I22" s="44">
        <v>0</v>
      </c>
      <c r="J22" s="44">
        <f t="shared" si="1"/>
        <v>0</v>
      </c>
      <c r="K22" s="44">
        <f t="shared" si="2"/>
        <v>8349.2783999999992</v>
      </c>
      <c r="L22" s="44">
        <v>0</v>
      </c>
      <c r="M22" s="146">
        <f t="shared" si="4"/>
        <v>75585.869899999991</v>
      </c>
      <c r="N22" s="50"/>
    </row>
    <row r="23" spans="1:16">
      <c r="A23" s="28">
        <v>18</v>
      </c>
      <c r="B23" s="29">
        <v>45887</v>
      </c>
      <c r="C23" s="19"/>
      <c r="D23" s="19"/>
      <c r="E23" s="44">
        <v>40</v>
      </c>
      <c r="F23" s="44">
        <v>91.71</v>
      </c>
      <c r="G23" s="44">
        <f t="shared" si="0"/>
        <v>3668.3999999999996</v>
      </c>
      <c r="H23" s="44">
        <v>0</v>
      </c>
      <c r="I23" s="44">
        <v>0</v>
      </c>
      <c r="J23" s="44">
        <f t="shared" si="1"/>
        <v>0</v>
      </c>
      <c r="K23" s="44">
        <f t="shared" si="2"/>
        <v>3668.3999999999996</v>
      </c>
      <c r="L23" s="44">
        <v>0</v>
      </c>
      <c r="M23" s="146">
        <f t="shared" si="4"/>
        <v>79254.269899999985</v>
      </c>
      <c r="N23" s="50"/>
    </row>
    <row r="24" spans="1:16">
      <c r="A24" s="28">
        <v>19</v>
      </c>
      <c r="B24" s="29">
        <v>45888</v>
      </c>
      <c r="C24" s="19"/>
      <c r="D24" s="19"/>
      <c r="E24" s="44">
        <v>118.74</v>
      </c>
      <c r="F24" s="44">
        <v>91.71</v>
      </c>
      <c r="G24" s="44">
        <f t="shared" si="0"/>
        <v>10889.645399999999</v>
      </c>
      <c r="H24" s="44">
        <v>0</v>
      </c>
      <c r="I24" s="44">
        <v>0</v>
      </c>
      <c r="J24" s="44">
        <f t="shared" si="1"/>
        <v>0</v>
      </c>
      <c r="K24" s="44">
        <f t="shared" si="2"/>
        <v>10889.645399999999</v>
      </c>
      <c r="L24" s="44">
        <v>15094.52</v>
      </c>
      <c r="M24" s="146">
        <f t="shared" si="4"/>
        <v>75049.395299999975</v>
      </c>
      <c r="N24" s="50"/>
    </row>
    <row r="25" spans="1:16">
      <c r="A25" s="28">
        <v>20</v>
      </c>
      <c r="B25" s="29">
        <v>45889</v>
      </c>
      <c r="C25" s="19"/>
      <c r="D25" s="19"/>
      <c r="E25" s="44">
        <v>44.16</v>
      </c>
      <c r="F25" s="44">
        <v>91.71</v>
      </c>
      <c r="G25" s="44">
        <f t="shared" si="0"/>
        <v>4049.9135999999994</v>
      </c>
      <c r="H25" s="44">
        <v>0</v>
      </c>
      <c r="I25" s="44">
        <v>0</v>
      </c>
      <c r="J25" s="44">
        <f t="shared" si="1"/>
        <v>0</v>
      </c>
      <c r="K25" s="44">
        <f t="shared" si="2"/>
        <v>4049.9135999999994</v>
      </c>
      <c r="L25" s="44">
        <v>14625.41</v>
      </c>
      <c r="M25" s="146">
        <f t="shared" si="4"/>
        <v>64473.898899999971</v>
      </c>
      <c r="N25" s="50"/>
    </row>
    <row r="26" spans="1:16">
      <c r="A26" s="28">
        <v>21</v>
      </c>
      <c r="B26" s="29">
        <v>45890</v>
      </c>
      <c r="C26" s="19"/>
      <c r="D26" s="19"/>
      <c r="E26" s="44">
        <v>97.44</v>
      </c>
      <c r="F26" s="44">
        <v>91.71</v>
      </c>
      <c r="G26" s="44">
        <f t="shared" si="0"/>
        <v>8936.2223999999987</v>
      </c>
      <c r="H26" s="44">
        <v>0</v>
      </c>
      <c r="I26" s="44">
        <v>0</v>
      </c>
      <c r="J26" s="44">
        <f t="shared" si="1"/>
        <v>0</v>
      </c>
      <c r="K26" s="44">
        <f t="shared" si="2"/>
        <v>8936.2223999999987</v>
      </c>
      <c r="L26" s="44">
        <v>0</v>
      </c>
      <c r="M26" s="146">
        <f t="shared" si="4"/>
        <v>73410.12129999997</v>
      </c>
      <c r="N26" s="50"/>
    </row>
    <row r="27" spans="1:16">
      <c r="A27" s="28">
        <v>22</v>
      </c>
      <c r="B27" s="29">
        <v>45891</v>
      </c>
      <c r="C27" s="19"/>
      <c r="D27" s="19"/>
      <c r="E27" s="44">
        <v>70</v>
      </c>
      <c r="F27" s="44">
        <v>91.71</v>
      </c>
      <c r="G27" s="44">
        <f t="shared" si="0"/>
        <v>6419.7</v>
      </c>
      <c r="H27" s="44">
        <v>0</v>
      </c>
      <c r="I27" s="44">
        <v>0</v>
      </c>
      <c r="J27" s="44">
        <f t="shared" si="1"/>
        <v>0</v>
      </c>
      <c r="K27" s="44">
        <f t="shared" si="2"/>
        <v>6419.7</v>
      </c>
      <c r="L27" s="44">
        <v>0</v>
      </c>
      <c r="M27" s="146">
        <f t="shared" si="4"/>
        <v>79829.821299999967</v>
      </c>
      <c r="N27" s="50"/>
    </row>
    <row r="28" spans="1:16">
      <c r="A28" s="28">
        <v>23</v>
      </c>
      <c r="B28" s="29">
        <v>45892</v>
      </c>
      <c r="C28" s="19"/>
      <c r="D28" s="19"/>
      <c r="E28" s="44">
        <v>60</v>
      </c>
      <c r="F28" s="44">
        <v>91.71</v>
      </c>
      <c r="G28" s="44">
        <f t="shared" si="0"/>
        <v>5502.5999999999995</v>
      </c>
      <c r="H28" s="44">
        <v>0</v>
      </c>
      <c r="I28" s="44">
        <v>0</v>
      </c>
      <c r="J28" s="44">
        <f t="shared" si="1"/>
        <v>0</v>
      </c>
      <c r="K28" s="44">
        <f t="shared" si="2"/>
        <v>5502.5999999999995</v>
      </c>
      <c r="L28" s="44">
        <v>0</v>
      </c>
      <c r="M28" s="146">
        <f t="shared" si="4"/>
        <v>85332.421299999973</v>
      </c>
      <c r="N28" s="50"/>
    </row>
    <row r="29" spans="1:16">
      <c r="A29" s="28">
        <v>24</v>
      </c>
      <c r="B29" s="29">
        <v>45893</v>
      </c>
      <c r="C29" s="19"/>
      <c r="D29" s="19"/>
      <c r="E29" s="44">
        <v>97.44</v>
      </c>
      <c r="F29" s="44">
        <v>91.71</v>
      </c>
      <c r="G29" s="44">
        <f t="shared" si="0"/>
        <v>8936.2223999999987</v>
      </c>
      <c r="H29" s="44">
        <v>0</v>
      </c>
      <c r="I29" s="44">
        <v>0</v>
      </c>
      <c r="J29" s="44">
        <f t="shared" si="1"/>
        <v>0</v>
      </c>
      <c r="K29" s="44">
        <f t="shared" si="2"/>
        <v>8936.2223999999987</v>
      </c>
      <c r="L29" s="44">
        <v>0</v>
      </c>
      <c r="M29" s="146">
        <f t="shared" si="4"/>
        <v>94268.643699999971</v>
      </c>
      <c r="N29" s="50"/>
    </row>
    <row r="30" spans="1:16">
      <c r="A30" s="28">
        <v>25</v>
      </c>
      <c r="B30" s="29">
        <v>45894</v>
      </c>
      <c r="C30" s="19"/>
      <c r="D30" s="19"/>
      <c r="E30" s="44">
        <v>92.1</v>
      </c>
      <c r="F30" s="44">
        <v>91.71</v>
      </c>
      <c r="G30" s="44">
        <f t="shared" si="0"/>
        <v>8446.4909999999982</v>
      </c>
      <c r="H30" s="44">
        <v>0</v>
      </c>
      <c r="I30" s="44">
        <v>0</v>
      </c>
      <c r="J30" s="44">
        <f t="shared" si="1"/>
        <v>0</v>
      </c>
      <c r="K30" s="44">
        <f t="shared" si="2"/>
        <v>8446.4909999999982</v>
      </c>
      <c r="L30" s="44">
        <v>0</v>
      </c>
      <c r="M30" s="146">
        <f t="shared" si="4"/>
        <v>102715.13469999997</v>
      </c>
      <c r="N30" s="50"/>
    </row>
    <row r="31" spans="1:16">
      <c r="A31" s="28">
        <v>26</v>
      </c>
      <c r="B31" s="29">
        <v>45895</v>
      </c>
      <c r="C31" s="19"/>
      <c r="D31" s="19"/>
      <c r="E31" s="44">
        <v>81.22</v>
      </c>
      <c r="F31" s="44">
        <v>91.71</v>
      </c>
      <c r="G31" s="44">
        <f t="shared" si="0"/>
        <v>7448.6861999999992</v>
      </c>
      <c r="H31" s="44">
        <v>0</v>
      </c>
      <c r="I31" s="44">
        <v>0</v>
      </c>
      <c r="J31" s="44">
        <f t="shared" si="1"/>
        <v>0</v>
      </c>
      <c r="K31" s="44">
        <f t="shared" si="2"/>
        <v>7448.6861999999992</v>
      </c>
      <c r="L31" s="44">
        <v>0</v>
      </c>
      <c r="M31" s="146">
        <f t="shared" si="4"/>
        <v>110163.82089999996</v>
      </c>
      <c r="N31" s="50"/>
    </row>
    <row r="32" spans="1:16">
      <c r="A32" s="28">
        <v>27</v>
      </c>
      <c r="B32" s="29">
        <v>45896</v>
      </c>
      <c r="C32" s="19"/>
      <c r="D32" s="19"/>
      <c r="E32" s="44">
        <v>200</v>
      </c>
      <c r="F32" s="44">
        <v>91.71</v>
      </c>
      <c r="G32" s="44">
        <f t="shared" si="0"/>
        <v>18342</v>
      </c>
      <c r="H32" s="44">
        <v>0</v>
      </c>
      <c r="I32" s="44">
        <v>0</v>
      </c>
      <c r="J32" s="44">
        <f t="shared" si="1"/>
        <v>0</v>
      </c>
      <c r="K32" s="44">
        <f t="shared" si="2"/>
        <v>18342</v>
      </c>
      <c r="L32" s="44">
        <v>0</v>
      </c>
      <c r="M32" s="146">
        <f t="shared" si="4"/>
        <v>128505.82089999996</v>
      </c>
      <c r="N32" s="50"/>
    </row>
    <row r="33" spans="1:14">
      <c r="A33" s="28">
        <v>28</v>
      </c>
      <c r="B33" s="29">
        <v>45897</v>
      </c>
      <c r="C33" s="19"/>
      <c r="D33" s="19"/>
      <c r="E33" s="44">
        <v>50</v>
      </c>
      <c r="F33" s="44">
        <v>91.71</v>
      </c>
      <c r="G33" s="44">
        <f t="shared" si="0"/>
        <v>4585.5</v>
      </c>
      <c r="H33" s="44">
        <v>0</v>
      </c>
      <c r="I33" s="44">
        <v>0</v>
      </c>
      <c r="J33" s="44">
        <f t="shared" si="1"/>
        <v>0</v>
      </c>
      <c r="K33" s="44">
        <f t="shared" si="2"/>
        <v>4585.5</v>
      </c>
      <c r="L33" s="44">
        <v>0</v>
      </c>
      <c r="M33" s="146">
        <f t="shared" si="4"/>
        <v>133091.32089999996</v>
      </c>
      <c r="N33" s="50"/>
    </row>
    <row r="34" spans="1:14">
      <c r="A34" s="28">
        <v>29</v>
      </c>
      <c r="B34" s="29">
        <v>45898</v>
      </c>
      <c r="C34" s="19"/>
      <c r="D34" s="19"/>
      <c r="E34" s="44">
        <v>470</v>
      </c>
      <c r="F34" s="44">
        <v>91.71</v>
      </c>
      <c r="G34" s="44">
        <f t="shared" si="0"/>
        <v>43103.7</v>
      </c>
      <c r="H34" s="44">
        <v>0</v>
      </c>
      <c r="I34" s="44">
        <v>0</v>
      </c>
      <c r="J34" s="44">
        <f t="shared" si="1"/>
        <v>0</v>
      </c>
      <c r="K34" s="44">
        <f t="shared" si="2"/>
        <v>43103.7</v>
      </c>
      <c r="L34" s="44">
        <v>0</v>
      </c>
      <c r="M34" s="146">
        <f t="shared" si="4"/>
        <v>176195.02089999994</v>
      </c>
      <c r="N34" s="50"/>
    </row>
    <row r="35" spans="1:14">
      <c r="A35" s="28">
        <v>30</v>
      </c>
      <c r="B35" s="29">
        <v>45899</v>
      </c>
      <c r="C35" s="19"/>
      <c r="D35" s="19"/>
      <c r="E35" s="44">
        <v>420</v>
      </c>
      <c r="F35" s="44">
        <v>91.71</v>
      </c>
      <c r="G35" s="44">
        <f t="shared" si="0"/>
        <v>38518.199999999997</v>
      </c>
      <c r="H35" s="44">
        <v>10</v>
      </c>
      <c r="I35" s="44">
        <v>105.19</v>
      </c>
      <c r="J35" s="44">
        <f t="shared" si="1"/>
        <v>1051.9000000000001</v>
      </c>
      <c r="K35" s="44">
        <f t="shared" si="2"/>
        <v>39570.1</v>
      </c>
      <c r="L35" s="44">
        <v>0</v>
      </c>
      <c r="M35" s="146">
        <f t="shared" si="4"/>
        <v>215765.12089999995</v>
      </c>
      <c r="N35" s="50"/>
    </row>
    <row r="36" spans="1:14">
      <c r="A36" s="28">
        <v>31</v>
      </c>
      <c r="B36" s="29">
        <v>45900</v>
      </c>
      <c r="C36" s="19"/>
      <c r="D36" s="19"/>
      <c r="E36" s="44">
        <v>0</v>
      </c>
      <c r="F36" s="44">
        <v>0</v>
      </c>
      <c r="G36" s="44">
        <f t="shared" si="0"/>
        <v>0</v>
      </c>
      <c r="H36" s="44">
        <v>0</v>
      </c>
      <c r="I36" s="44">
        <v>0</v>
      </c>
      <c r="J36" s="44">
        <f t="shared" si="1"/>
        <v>0</v>
      </c>
      <c r="K36" s="44">
        <f t="shared" si="2"/>
        <v>0</v>
      </c>
      <c r="L36" s="44">
        <v>0</v>
      </c>
      <c r="M36" s="146">
        <f t="shared" si="4"/>
        <v>215765.12089999995</v>
      </c>
      <c r="N36" s="50"/>
    </row>
    <row r="37" spans="1:14">
      <c r="A37" s="28">
        <v>32</v>
      </c>
      <c r="B37" s="29"/>
      <c r="C37" s="19"/>
      <c r="D37" s="19"/>
      <c r="E37" s="44">
        <v>0</v>
      </c>
      <c r="F37" s="44">
        <v>0</v>
      </c>
      <c r="G37" s="44">
        <f t="shared" si="0"/>
        <v>0</v>
      </c>
      <c r="H37" s="44">
        <v>0</v>
      </c>
      <c r="I37" s="44">
        <v>0</v>
      </c>
      <c r="J37" s="44">
        <f t="shared" si="1"/>
        <v>0</v>
      </c>
      <c r="K37" s="44">
        <f t="shared" si="2"/>
        <v>0</v>
      </c>
      <c r="L37" s="44">
        <v>0</v>
      </c>
      <c r="M37" s="146">
        <f t="shared" si="4"/>
        <v>215765.12089999995</v>
      </c>
      <c r="N37" s="50"/>
    </row>
    <row r="38" spans="1:14">
      <c r="A38" s="28">
        <v>33</v>
      </c>
      <c r="B38" s="29"/>
      <c r="C38" s="19"/>
      <c r="D38" s="19"/>
      <c r="E38" s="44">
        <v>0</v>
      </c>
      <c r="F38" s="44">
        <v>0</v>
      </c>
      <c r="G38" s="44">
        <f t="shared" si="0"/>
        <v>0</v>
      </c>
      <c r="H38" s="44">
        <v>0</v>
      </c>
      <c r="I38" s="44">
        <v>0</v>
      </c>
      <c r="J38" s="44">
        <f t="shared" si="1"/>
        <v>0</v>
      </c>
      <c r="K38" s="44">
        <f t="shared" si="2"/>
        <v>0</v>
      </c>
      <c r="L38" s="44">
        <v>0</v>
      </c>
      <c r="M38" s="146">
        <f t="shared" si="4"/>
        <v>215765.12089999995</v>
      </c>
      <c r="N38" s="50"/>
    </row>
    <row r="39" spans="1:14">
      <c r="A39" s="28">
        <v>34</v>
      </c>
      <c r="B39" s="29"/>
      <c r="C39" s="19"/>
      <c r="D39" s="19"/>
      <c r="E39" s="44">
        <v>0</v>
      </c>
      <c r="F39" s="44">
        <v>0</v>
      </c>
      <c r="G39" s="44">
        <f t="shared" si="0"/>
        <v>0</v>
      </c>
      <c r="H39" s="44">
        <v>0</v>
      </c>
      <c r="I39" s="44">
        <v>0</v>
      </c>
      <c r="J39" s="44">
        <f t="shared" si="1"/>
        <v>0</v>
      </c>
      <c r="K39" s="44">
        <f t="shared" si="2"/>
        <v>0</v>
      </c>
      <c r="L39" s="44">
        <v>0</v>
      </c>
      <c r="M39" s="146">
        <f t="shared" si="4"/>
        <v>215765.12089999995</v>
      </c>
      <c r="N39" s="50"/>
    </row>
    <row r="40" spans="1:14">
      <c r="A40" s="28">
        <v>35</v>
      </c>
      <c r="B40" s="29"/>
      <c r="C40" s="19"/>
      <c r="D40" s="19"/>
      <c r="E40" s="44">
        <v>0</v>
      </c>
      <c r="F40" s="44">
        <v>0</v>
      </c>
      <c r="G40" s="44">
        <f t="shared" si="0"/>
        <v>0</v>
      </c>
      <c r="H40" s="44">
        <v>0</v>
      </c>
      <c r="I40" s="44">
        <v>0</v>
      </c>
      <c r="J40" s="44">
        <f t="shared" si="1"/>
        <v>0</v>
      </c>
      <c r="K40" s="44">
        <f t="shared" si="2"/>
        <v>0</v>
      </c>
      <c r="L40" s="44">
        <v>0</v>
      </c>
      <c r="M40" s="146">
        <f t="shared" si="4"/>
        <v>215765.12089999995</v>
      </c>
      <c r="N40" s="50"/>
    </row>
    <row r="41" spans="1:14">
      <c r="A41" s="28">
        <v>36</v>
      </c>
      <c r="B41" s="29"/>
      <c r="C41" s="103"/>
      <c r="D41" s="103"/>
      <c r="E41" s="44">
        <v>0</v>
      </c>
      <c r="F41" s="44">
        <v>0</v>
      </c>
      <c r="G41" s="44">
        <f t="shared" si="0"/>
        <v>0</v>
      </c>
      <c r="H41" s="44">
        <v>0</v>
      </c>
      <c r="I41" s="44">
        <v>0</v>
      </c>
      <c r="J41" s="44">
        <f t="shared" si="1"/>
        <v>0</v>
      </c>
      <c r="K41" s="44">
        <f t="shared" si="2"/>
        <v>0</v>
      </c>
      <c r="L41" s="44">
        <v>0</v>
      </c>
      <c r="M41" s="146">
        <f t="shared" si="4"/>
        <v>215765.12089999995</v>
      </c>
      <c r="N41" s="262"/>
    </row>
    <row r="42" spans="1:14">
      <c r="A42" s="28">
        <v>37</v>
      </c>
      <c r="B42" s="29"/>
      <c r="C42" s="19"/>
      <c r="D42" s="19"/>
      <c r="E42" s="44">
        <v>0</v>
      </c>
      <c r="F42" s="44">
        <v>0</v>
      </c>
      <c r="G42" s="44">
        <f t="shared" si="0"/>
        <v>0</v>
      </c>
      <c r="H42" s="44">
        <v>0</v>
      </c>
      <c r="I42" s="44">
        <v>0</v>
      </c>
      <c r="J42" s="44">
        <f t="shared" si="1"/>
        <v>0</v>
      </c>
      <c r="K42" s="44">
        <f t="shared" si="2"/>
        <v>0</v>
      </c>
      <c r="L42" s="44">
        <v>0</v>
      </c>
      <c r="M42" s="146">
        <f t="shared" si="4"/>
        <v>215765.12089999995</v>
      </c>
      <c r="N42" s="50"/>
    </row>
    <row r="43" spans="1:14">
      <c r="A43" s="28">
        <v>38</v>
      </c>
      <c r="B43" s="29"/>
      <c r="C43" s="19"/>
      <c r="D43" s="19"/>
      <c r="E43" s="44">
        <v>0</v>
      </c>
      <c r="F43" s="44">
        <v>0</v>
      </c>
      <c r="G43" s="44">
        <f t="shared" si="0"/>
        <v>0</v>
      </c>
      <c r="H43" s="44">
        <v>0</v>
      </c>
      <c r="I43" s="44">
        <v>0</v>
      </c>
      <c r="J43" s="44">
        <f t="shared" si="1"/>
        <v>0</v>
      </c>
      <c r="K43" s="44">
        <f t="shared" si="2"/>
        <v>0</v>
      </c>
      <c r="L43" s="44">
        <v>0</v>
      </c>
      <c r="M43" s="146">
        <f t="shared" si="4"/>
        <v>215765.12089999995</v>
      </c>
      <c r="N43" s="50"/>
    </row>
    <row r="44" spans="1:14">
      <c r="A44" s="196"/>
      <c r="B44" s="196"/>
      <c r="C44" s="196"/>
      <c r="D44" s="196"/>
      <c r="E44" s="196">
        <f>SUM(E4:E43)</f>
        <v>2780.66</v>
      </c>
      <c r="F44" s="196"/>
      <c r="G44" s="196">
        <f>SUM(G4:G43)</f>
        <v>255051.57509999996</v>
      </c>
      <c r="H44" s="196">
        <f>SUM(H4:H43)</f>
        <v>27.1</v>
      </c>
      <c r="I44" s="196"/>
      <c r="J44" s="196">
        <f>SUM(J4:J43)</f>
        <v>2850.6490000000003</v>
      </c>
      <c r="K44" s="196">
        <f>SUM(K4:K43)</f>
        <v>257902.22409999996</v>
      </c>
      <c r="L44" s="196">
        <f>SUM(L4:L43)</f>
        <v>92300.318600000013</v>
      </c>
      <c r="M44" s="196"/>
      <c r="N44" s="196"/>
    </row>
  </sheetData>
  <mergeCells count="2">
    <mergeCell ref="A1:N1"/>
    <mergeCell ref="A3:J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39"/>
  <sheetViews>
    <sheetView workbookViewId="0">
      <pane ySplit="2" topLeftCell="A28" activePane="bottomLeft" state="frozen"/>
      <selection pane="bottomLeft" activeCell="O41" sqref="O41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2.5703125" bestFit="1" customWidth="1"/>
  </cols>
  <sheetData>
    <row r="1" spans="1:15" ht="15.75" customHeight="1">
      <c r="A1" s="407" t="s">
        <v>62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61"/>
    </row>
    <row r="2" spans="1:15">
      <c r="A2" s="62" t="s">
        <v>94</v>
      </c>
      <c r="B2" s="63" t="s">
        <v>95</v>
      </c>
      <c r="C2" s="63" t="s">
        <v>96</v>
      </c>
      <c r="D2" s="63" t="s">
        <v>97</v>
      </c>
      <c r="E2" s="63" t="s">
        <v>98</v>
      </c>
      <c r="F2" s="63" t="s">
        <v>99</v>
      </c>
      <c r="G2" s="63" t="s">
        <v>100</v>
      </c>
      <c r="H2" s="63" t="s">
        <v>101</v>
      </c>
      <c r="I2" s="63" t="s">
        <v>99</v>
      </c>
      <c r="J2" s="64" t="s">
        <v>100</v>
      </c>
      <c r="K2" s="65" t="s">
        <v>102</v>
      </c>
      <c r="L2" s="66" t="s">
        <v>103</v>
      </c>
      <c r="M2" s="126" t="s">
        <v>110</v>
      </c>
      <c r="N2" s="110" t="s">
        <v>105</v>
      </c>
      <c r="O2" s="67"/>
    </row>
    <row r="3" spans="1:15">
      <c r="A3" s="142" t="s">
        <v>106</v>
      </c>
      <c r="B3" s="143"/>
      <c r="C3" s="143"/>
      <c r="D3" s="143"/>
      <c r="E3" s="143"/>
      <c r="F3" s="143"/>
      <c r="G3" s="143"/>
      <c r="H3" s="143"/>
      <c r="I3" s="143"/>
      <c r="J3" s="143"/>
      <c r="K3" s="312">
        <v>1198639.6438</v>
      </c>
      <c r="L3" s="144"/>
      <c r="M3" s="313">
        <f>+K3</f>
        <v>1198639.6438</v>
      </c>
      <c r="N3" s="19"/>
      <c r="O3" s="67">
        <v>1194596.9738</v>
      </c>
    </row>
    <row r="4" spans="1:15">
      <c r="A4" s="52">
        <v>1</v>
      </c>
      <c r="B4" s="226">
        <v>45870</v>
      </c>
      <c r="C4" s="10">
        <v>0</v>
      </c>
      <c r="D4" s="20"/>
      <c r="E4" s="8">
        <v>0</v>
      </c>
      <c r="F4" s="8">
        <v>0</v>
      </c>
      <c r="G4" s="18">
        <f>E4*F4</f>
        <v>0</v>
      </c>
      <c r="H4" s="7">
        <v>0</v>
      </c>
      <c r="I4" s="7">
        <v>0</v>
      </c>
      <c r="J4" s="23">
        <f>H4*I4</f>
        <v>0</v>
      </c>
      <c r="K4" s="8">
        <f>G4+J4</f>
        <v>0</v>
      </c>
      <c r="L4" s="8"/>
      <c r="M4" s="8">
        <f>M3+K4-L4</f>
        <v>1198639.6438</v>
      </c>
      <c r="N4" s="21"/>
      <c r="O4" s="1"/>
    </row>
    <row r="5" spans="1:15">
      <c r="A5" s="52">
        <v>2</v>
      </c>
      <c r="B5" s="226">
        <v>45871</v>
      </c>
      <c r="C5" s="10">
        <v>0</v>
      </c>
      <c r="D5" s="20"/>
      <c r="E5" s="8">
        <v>0</v>
      </c>
      <c r="F5" s="8">
        <v>0</v>
      </c>
      <c r="G5" s="18">
        <f t="shared" ref="G5:G35" si="0">E5*F5</f>
        <v>0</v>
      </c>
      <c r="H5" s="7">
        <v>0</v>
      </c>
      <c r="I5" s="7">
        <v>0</v>
      </c>
      <c r="J5" s="23">
        <f t="shared" ref="J5:J24" si="1">H5*I5</f>
        <v>0</v>
      </c>
      <c r="K5" s="8">
        <f t="shared" ref="K5:K24" si="2">G5+J5</f>
        <v>0</v>
      </c>
      <c r="L5" s="8"/>
      <c r="M5" s="8">
        <f>M4+K5-L5</f>
        <v>1198639.6438</v>
      </c>
      <c r="N5" s="8"/>
      <c r="O5" s="1"/>
    </row>
    <row r="6" spans="1:15">
      <c r="A6" s="52">
        <v>3</v>
      </c>
      <c r="B6" s="226">
        <v>45872</v>
      </c>
      <c r="C6" s="10">
        <v>0</v>
      </c>
      <c r="D6" s="20"/>
      <c r="E6" s="8">
        <v>0</v>
      </c>
      <c r="F6" s="8">
        <v>0</v>
      </c>
      <c r="G6" s="18">
        <f t="shared" ref="G6:G22" si="3">E6*F6</f>
        <v>0</v>
      </c>
      <c r="H6" s="7">
        <v>0</v>
      </c>
      <c r="I6" s="7">
        <v>0</v>
      </c>
      <c r="J6" s="23">
        <f t="shared" ref="J6:J22" si="4">H6*I6</f>
        <v>0</v>
      </c>
      <c r="K6" s="8">
        <f t="shared" ref="K6:K22" si="5">G6+J6</f>
        <v>0</v>
      </c>
      <c r="L6" s="8"/>
      <c r="M6" s="8">
        <f>M5+K6-L6</f>
        <v>1198639.6438</v>
      </c>
      <c r="N6" s="8"/>
      <c r="O6" s="1"/>
    </row>
    <row r="7" spans="1:15">
      <c r="A7" s="52">
        <v>4</v>
      </c>
      <c r="B7" s="226">
        <v>45873</v>
      </c>
      <c r="C7" s="10">
        <v>0</v>
      </c>
      <c r="D7" s="20"/>
      <c r="E7" s="8">
        <v>0</v>
      </c>
      <c r="F7" s="8">
        <v>0</v>
      </c>
      <c r="G7" s="18">
        <f t="shared" si="3"/>
        <v>0</v>
      </c>
      <c r="H7" s="7">
        <v>0</v>
      </c>
      <c r="I7" s="7">
        <v>0</v>
      </c>
      <c r="J7" s="23">
        <f t="shared" si="4"/>
        <v>0</v>
      </c>
      <c r="K7" s="8">
        <f t="shared" si="5"/>
        <v>0</v>
      </c>
      <c r="L7" s="8"/>
      <c r="M7" s="8">
        <f>M6+K7-L7</f>
        <v>1198639.6438</v>
      </c>
      <c r="N7" s="8"/>
      <c r="O7" s="1"/>
    </row>
    <row r="8" spans="1:15">
      <c r="A8" s="52">
        <v>5</v>
      </c>
      <c r="B8" s="226">
        <v>45874</v>
      </c>
      <c r="C8" s="10">
        <v>0</v>
      </c>
      <c r="D8" s="20"/>
      <c r="E8" s="8">
        <v>0</v>
      </c>
      <c r="F8" s="8">
        <v>0</v>
      </c>
      <c r="G8" s="18">
        <f t="shared" si="3"/>
        <v>0</v>
      </c>
      <c r="H8" s="7">
        <v>0</v>
      </c>
      <c r="I8" s="7">
        <v>0</v>
      </c>
      <c r="J8" s="23">
        <f t="shared" si="4"/>
        <v>0</v>
      </c>
      <c r="K8" s="8">
        <f t="shared" si="5"/>
        <v>0</v>
      </c>
      <c r="L8" s="8"/>
      <c r="M8" s="8">
        <f>M7+K8-L8</f>
        <v>1198639.6438</v>
      </c>
      <c r="N8" s="8"/>
      <c r="O8" s="1"/>
    </row>
    <row r="9" spans="1:15">
      <c r="A9" s="52">
        <v>6</v>
      </c>
      <c r="B9" s="226">
        <v>45875</v>
      </c>
      <c r="C9" s="10">
        <v>0</v>
      </c>
      <c r="D9" s="20"/>
      <c r="E9" s="8">
        <v>0</v>
      </c>
      <c r="F9" s="8">
        <v>0</v>
      </c>
      <c r="G9" s="18">
        <f t="shared" si="3"/>
        <v>0</v>
      </c>
      <c r="H9" s="7">
        <v>0</v>
      </c>
      <c r="I9" s="7">
        <v>0</v>
      </c>
      <c r="J9" s="23">
        <f t="shared" si="4"/>
        <v>0</v>
      </c>
      <c r="K9" s="8">
        <f t="shared" si="5"/>
        <v>0</v>
      </c>
      <c r="L9" s="8"/>
      <c r="M9" s="8">
        <f>M8+K9-L9</f>
        <v>1198639.6438</v>
      </c>
      <c r="N9" s="8"/>
      <c r="O9" s="1"/>
    </row>
    <row r="10" spans="1:15">
      <c r="A10" s="52">
        <v>7</v>
      </c>
      <c r="B10" s="226">
        <v>45876</v>
      </c>
      <c r="C10" s="10">
        <v>0</v>
      </c>
      <c r="D10" s="20"/>
      <c r="E10" s="8">
        <v>0</v>
      </c>
      <c r="F10" s="8">
        <v>0</v>
      </c>
      <c r="G10" s="18">
        <f t="shared" si="3"/>
        <v>0</v>
      </c>
      <c r="H10" s="7">
        <v>0</v>
      </c>
      <c r="I10" s="7">
        <v>0</v>
      </c>
      <c r="J10" s="23">
        <f t="shared" si="4"/>
        <v>0</v>
      </c>
      <c r="K10" s="8">
        <f t="shared" si="5"/>
        <v>0</v>
      </c>
      <c r="L10" s="8"/>
      <c r="M10" s="8">
        <f>M9+K10-L10</f>
        <v>1198639.6438</v>
      </c>
      <c r="N10" s="8"/>
      <c r="O10" s="1"/>
    </row>
    <row r="11" spans="1:15">
      <c r="A11" s="52">
        <v>8</v>
      </c>
      <c r="B11" s="226">
        <v>45877</v>
      </c>
      <c r="C11" s="10">
        <v>0</v>
      </c>
      <c r="D11" s="20"/>
      <c r="E11" s="8">
        <v>1500</v>
      </c>
      <c r="F11" s="8">
        <v>91.14</v>
      </c>
      <c r="G11" s="18">
        <f t="shared" si="3"/>
        <v>136710</v>
      </c>
      <c r="H11" s="7">
        <v>40</v>
      </c>
      <c r="I11" s="7">
        <v>104.6</v>
      </c>
      <c r="J11" s="23">
        <f t="shared" si="4"/>
        <v>4184</v>
      </c>
      <c r="K11" s="8">
        <f t="shared" si="5"/>
        <v>140894</v>
      </c>
      <c r="L11" s="8"/>
      <c r="M11" s="8">
        <f>M10+K11-L11</f>
        <v>1339533.6438</v>
      </c>
      <c r="N11" s="8"/>
      <c r="O11" s="1"/>
    </row>
    <row r="12" spans="1:15">
      <c r="A12" s="52">
        <v>9</v>
      </c>
      <c r="B12" s="226">
        <v>45878</v>
      </c>
      <c r="C12" s="10">
        <v>0</v>
      </c>
      <c r="D12" s="20"/>
      <c r="E12" s="8">
        <v>0</v>
      </c>
      <c r="F12" s="8">
        <v>0</v>
      </c>
      <c r="G12" s="18">
        <f t="shared" si="3"/>
        <v>0</v>
      </c>
      <c r="H12" s="7">
        <v>0</v>
      </c>
      <c r="I12" s="7">
        <v>0</v>
      </c>
      <c r="J12" s="23">
        <f t="shared" si="4"/>
        <v>0</v>
      </c>
      <c r="K12" s="8">
        <f t="shared" si="5"/>
        <v>0</v>
      </c>
      <c r="L12" s="8"/>
      <c r="M12" s="8">
        <f>M11+K12-L12</f>
        <v>1339533.6438</v>
      </c>
      <c r="N12" s="8"/>
      <c r="O12" s="1"/>
    </row>
    <row r="13" spans="1:15">
      <c r="A13" s="52">
        <v>10</v>
      </c>
      <c r="B13" s="226">
        <v>45879</v>
      </c>
      <c r="C13" s="10">
        <v>0</v>
      </c>
      <c r="D13" s="20"/>
      <c r="E13" s="8">
        <v>0</v>
      </c>
      <c r="F13" s="8">
        <v>0</v>
      </c>
      <c r="G13" s="18">
        <f t="shared" si="3"/>
        <v>0</v>
      </c>
      <c r="H13" s="7">
        <v>0</v>
      </c>
      <c r="I13" s="7">
        <v>0</v>
      </c>
      <c r="J13" s="23">
        <f t="shared" si="4"/>
        <v>0</v>
      </c>
      <c r="K13" s="8">
        <f t="shared" si="5"/>
        <v>0</v>
      </c>
      <c r="L13" s="8"/>
      <c r="M13" s="198">
        <f>M12+K13-L13</f>
        <v>1339533.6438</v>
      </c>
      <c r="N13" s="8"/>
      <c r="O13" s="1"/>
    </row>
    <row r="14" spans="1:15">
      <c r="A14" s="52">
        <v>11</v>
      </c>
      <c r="B14" s="226">
        <v>45880</v>
      </c>
      <c r="C14" s="10">
        <v>0</v>
      </c>
      <c r="D14" s="20"/>
      <c r="E14" s="8">
        <v>0</v>
      </c>
      <c r="F14" s="8">
        <v>0</v>
      </c>
      <c r="G14" s="18">
        <f t="shared" si="3"/>
        <v>0</v>
      </c>
      <c r="H14" s="7">
        <v>0</v>
      </c>
      <c r="I14" s="7">
        <v>0</v>
      </c>
      <c r="J14" s="23">
        <f t="shared" si="4"/>
        <v>0</v>
      </c>
      <c r="K14" s="8">
        <f t="shared" si="5"/>
        <v>0</v>
      </c>
      <c r="L14" s="8"/>
      <c r="M14" s="8">
        <f>M13+K14-L14</f>
        <v>1339533.6438</v>
      </c>
      <c r="N14" s="216"/>
      <c r="O14" s="1"/>
    </row>
    <row r="15" spans="1:15">
      <c r="A15" s="52">
        <v>12</v>
      </c>
      <c r="B15" s="226">
        <v>45881</v>
      </c>
      <c r="C15" s="10">
        <v>0</v>
      </c>
      <c r="D15" s="20"/>
      <c r="E15" s="8">
        <v>0</v>
      </c>
      <c r="F15" s="8">
        <v>0</v>
      </c>
      <c r="G15" s="18">
        <f t="shared" si="3"/>
        <v>0</v>
      </c>
      <c r="H15" s="7">
        <v>0</v>
      </c>
      <c r="I15" s="7">
        <v>0</v>
      </c>
      <c r="J15" s="23">
        <f t="shared" si="4"/>
        <v>0</v>
      </c>
      <c r="K15" s="8">
        <f t="shared" si="5"/>
        <v>0</v>
      </c>
      <c r="L15" s="8"/>
      <c r="M15" s="8">
        <f>M14+K15-L15</f>
        <v>1339533.6438</v>
      </c>
      <c r="N15" s="216"/>
      <c r="O15" s="1"/>
    </row>
    <row r="16" spans="1:15">
      <c r="A16" s="52">
        <v>13</v>
      </c>
      <c r="B16" s="226">
        <v>45882</v>
      </c>
      <c r="C16" s="10">
        <v>0</v>
      </c>
      <c r="D16" s="20"/>
      <c r="E16" s="8">
        <v>0</v>
      </c>
      <c r="F16" s="8">
        <v>0</v>
      </c>
      <c r="G16" s="18">
        <f t="shared" si="3"/>
        <v>0</v>
      </c>
      <c r="H16" s="7">
        <v>0</v>
      </c>
      <c r="I16" s="7">
        <v>0</v>
      </c>
      <c r="J16" s="23">
        <f t="shared" si="4"/>
        <v>0</v>
      </c>
      <c r="K16" s="8">
        <f t="shared" si="5"/>
        <v>0</v>
      </c>
      <c r="L16" s="8"/>
      <c r="M16" s="8">
        <f>M15+K16-L16</f>
        <v>1339533.6438</v>
      </c>
      <c r="N16" s="216"/>
      <c r="O16" s="1"/>
    </row>
    <row r="17" spans="1:15">
      <c r="A17" s="52">
        <v>14</v>
      </c>
      <c r="B17" s="226">
        <v>45883</v>
      </c>
      <c r="C17" s="10">
        <v>0</v>
      </c>
      <c r="D17" s="20"/>
      <c r="E17" s="8">
        <v>0</v>
      </c>
      <c r="F17" s="8">
        <v>0</v>
      </c>
      <c r="G17" s="18">
        <f t="shared" si="3"/>
        <v>0</v>
      </c>
      <c r="H17" s="7">
        <v>0</v>
      </c>
      <c r="I17" s="7">
        <v>0</v>
      </c>
      <c r="J17" s="23">
        <f t="shared" si="4"/>
        <v>0</v>
      </c>
      <c r="K17" s="8">
        <f t="shared" si="5"/>
        <v>0</v>
      </c>
      <c r="L17" s="8"/>
      <c r="M17" s="8">
        <f t="shared" ref="M16:M35" si="6">M16+K17-L17</f>
        <v>1339533.6438</v>
      </c>
      <c r="N17" s="216"/>
      <c r="O17" s="1"/>
    </row>
    <row r="18" spans="1:15">
      <c r="A18" s="52">
        <v>15</v>
      </c>
      <c r="B18" s="226">
        <v>45884</v>
      </c>
      <c r="C18" s="10">
        <v>0</v>
      </c>
      <c r="D18" s="20"/>
      <c r="E18" s="8">
        <v>0</v>
      </c>
      <c r="F18" s="8">
        <v>0</v>
      </c>
      <c r="G18" s="18">
        <f t="shared" si="3"/>
        <v>0</v>
      </c>
      <c r="H18" s="7">
        <v>0</v>
      </c>
      <c r="I18" s="7">
        <v>0</v>
      </c>
      <c r="J18" s="23">
        <f t="shared" si="4"/>
        <v>0</v>
      </c>
      <c r="K18" s="8">
        <f t="shared" si="5"/>
        <v>0</v>
      </c>
      <c r="L18" s="8"/>
      <c r="M18" s="8">
        <f t="shared" si="6"/>
        <v>1339533.6438</v>
      </c>
      <c r="N18" s="216"/>
      <c r="O18" s="1"/>
    </row>
    <row r="19" spans="1:15">
      <c r="A19" s="52">
        <v>16</v>
      </c>
      <c r="B19" s="226">
        <v>45885</v>
      </c>
      <c r="C19" s="10">
        <v>0</v>
      </c>
      <c r="D19" s="20"/>
      <c r="E19" s="8">
        <v>0</v>
      </c>
      <c r="F19" s="8">
        <v>0</v>
      </c>
      <c r="G19" s="18">
        <f t="shared" si="3"/>
        <v>0</v>
      </c>
      <c r="H19" s="7">
        <v>0</v>
      </c>
      <c r="I19" s="7">
        <v>0</v>
      </c>
      <c r="J19" s="23">
        <f t="shared" si="4"/>
        <v>0</v>
      </c>
      <c r="K19" s="8">
        <f t="shared" si="5"/>
        <v>0</v>
      </c>
      <c r="L19" s="8"/>
      <c r="M19" s="8">
        <f t="shared" si="6"/>
        <v>1339533.6438</v>
      </c>
      <c r="N19" s="216"/>
      <c r="O19" s="1"/>
    </row>
    <row r="20" spans="1:15">
      <c r="A20" s="52">
        <v>17</v>
      </c>
      <c r="B20" s="226">
        <v>45886</v>
      </c>
      <c r="C20" s="10">
        <v>0</v>
      </c>
      <c r="D20" s="20"/>
      <c r="E20" s="8">
        <v>0</v>
      </c>
      <c r="F20" s="8">
        <v>0</v>
      </c>
      <c r="G20" s="18">
        <f t="shared" si="3"/>
        <v>0</v>
      </c>
      <c r="H20" s="7">
        <v>0</v>
      </c>
      <c r="I20" s="7">
        <v>0</v>
      </c>
      <c r="J20" s="23">
        <f t="shared" si="4"/>
        <v>0</v>
      </c>
      <c r="K20" s="8">
        <f t="shared" si="5"/>
        <v>0</v>
      </c>
      <c r="L20" s="8"/>
      <c r="M20" s="8">
        <f t="shared" si="6"/>
        <v>1339533.6438</v>
      </c>
      <c r="N20" s="216"/>
      <c r="O20" s="1"/>
    </row>
    <row r="21" spans="1:15">
      <c r="A21" s="52">
        <v>18</v>
      </c>
      <c r="B21" s="226">
        <v>45887</v>
      </c>
      <c r="C21" s="10">
        <v>0</v>
      </c>
      <c r="D21" s="20"/>
      <c r="E21" s="8">
        <v>0</v>
      </c>
      <c r="F21" s="8">
        <v>0</v>
      </c>
      <c r="G21" s="18">
        <f t="shared" si="3"/>
        <v>0</v>
      </c>
      <c r="H21" s="7">
        <v>0</v>
      </c>
      <c r="I21" s="7">
        <v>0</v>
      </c>
      <c r="J21" s="23">
        <f t="shared" si="4"/>
        <v>0</v>
      </c>
      <c r="K21" s="8">
        <f t="shared" si="5"/>
        <v>0</v>
      </c>
      <c r="L21" s="8"/>
      <c r="M21" s="8">
        <f t="shared" si="6"/>
        <v>1339533.6438</v>
      </c>
      <c r="N21" s="216"/>
      <c r="O21" s="1"/>
    </row>
    <row r="22" spans="1:15">
      <c r="A22" s="52">
        <v>19</v>
      </c>
      <c r="B22" s="226">
        <v>45888</v>
      </c>
      <c r="C22" s="10">
        <v>0</v>
      </c>
      <c r="D22" s="20"/>
      <c r="E22" s="8">
        <v>0</v>
      </c>
      <c r="F22" s="8">
        <v>0</v>
      </c>
      <c r="G22" s="18">
        <f t="shared" si="3"/>
        <v>0</v>
      </c>
      <c r="H22" s="7">
        <v>0</v>
      </c>
      <c r="I22" s="7">
        <v>0</v>
      </c>
      <c r="J22" s="23">
        <f t="shared" si="4"/>
        <v>0</v>
      </c>
      <c r="K22" s="8">
        <f t="shared" si="5"/>
        <v>0</v>
      </c>
      <c r="L22" s="8"/>
      <c r="M22" s="8">
        <f t="shared" si="6"/>
        <v>1339533.6438</v>
      </c>
      <c r="N22" s="216"/>
      <c r="O22" s="1"/>
    </row>
    <row r="23" spans="1:15">
      <c r="A23" s="52">
        <v>20</v>
      </c>
      <c r="B23" s="226">
        <v>45889</v>
      </c>
      <c r="C23" s="10">
        <v>0</v>
      </c>
      <c r="D23" s="20"/>
      <c r="E23" s="8">
        <v>0</v>
      </c>
      <c r="F23" s="8">
        <v>0</v>
      </c>
      <c r="G23" s="18">
        <f t="shared" si="0"/>
        <v>0</v>
      </c>
      <c r="H23" s="7">
        <v>0</v>
      </c>
      <c r="I23" s="7">
        <v>0</v>
      </c>
      <c r="J23" s="23">
        <f t="shared" si="1"/>
        <v>0</v>
      </c>
      <c r="K23" s="8">
        <f t="shared" si="2"/>
        <v>0</v>
      </c>
      <c r="L23" s="8"/>
      <c r="M23" s="8">
        <f t="shared" si="6"/>
        <v>1339533.6438</v>
      </c>
      <c r="N23" s="216"/>
      <c r="O23" s="1"/>
    </row>
    <row r="24" spans="1:15">
      <c r="A24" s="52">
        <v>21</v>
      </c>
      <c r="B24" s="226">
        <v>45890</v>
      </c>
      <c r="C24" s="10">
        <v>0</v>
      </c>
      <c r="D24" s="20"/>
      <c r="E24" s="8">
        <v>0</v>
      </c>
      <c r="F24" s="8">
        <v>0</v>
      </c>
      <c r="G24" s="18">
        <f t="shared" si="0"/>
        <v>0</v>
      </c>
      <c r="H24" s="7">
        <v>0</v>
      </c>
      <c r="I24" s="7">
        <v>0</v>
      </c>
      <c r="J24" s="23">
        <f t="shared" si="1"/>
        <v>0</v>
      </c>
      <c r="K24" s="8">
        <f t="shared" si="2"/>
        <v>0</v>
      </c>
      <c r="L24" s="8"/>
      <c r="M24" s="8">
        <f t="shared" si="6"/>
        <v>1339533.6438</v>
      </c>
      <c r="N24" s="216"/>
      <c r="O24" s="1"/>
    </row>
    <row r="25" spans="1:15">
      <c r="A25" s="52">
        <v>22</v>
      </c>
      <c r="B25" s="226">
        <v>45891</v>
      </c>
      <c r="C25" s="10">
        <v>0</v>
      </c>
      <c r="D25" s="20"/>
      <c r="E25" s="8">
        <v>0</v>
      </c>
      <c r="F25" s="8">
        <v>0</v>
      </c>
      <c r="G25" s="18">
        <f t="shared" si="0"/>
        <v>0</v>
      </c>
      <c r="H25" s="7">
        <v>0</v>
      </c>
      <c r="I25" s="7">
        <v>0</v>
      </c>
      <c r="J25" s="23">
        <f t="shared" ref="J5:J35" si="7">H25*I25</f>
        <v>0</v>
      </c>
      <c r="K25" s="8">
        <f t="shared" ref="K5:K35" si="8">G25+J25</f>
        <v>0</v>
      </c>
      <c r="L25" s="8"/>
      <c r="M25" s="8">
        <f t="shared" si="6"/>
        <v>1339533.6438</v>
      </c>
      <c r="N25" s="216"/>
      <c r="O25" s="1"/>
    </row>
    <row r="26" spans="1:15">
      <c r="A26" s="52">
        <v>23</v>
      </c>
      <c r="B26" s="226">
        <v>45892</v>
      </c>
      <c r="C26" s="10">
        <v>0</v>
      </c>
      <c r="D26" s="20"/>
      <c r="E26" s="8">
        <v>0</v>
      </c>
      <c r="F26" s="8">
        <v>0</v>
      </c>
      <c r="G26" s="18">
        <f t="shared" si="0"/>
        <v>0</v>
      </c>
      <c r="H26" s="7">
        <v>0</v>
      </c>
      <c r="I26" s="7">
        <v>0</v>
      </c>
      <c r="J26" s="23">
        <f t="shared" si="7"/>
        <v>0</v>
      </c>
      <c r="K26" s="8">
        <f t="shared" si="8"/>
        <v>0</v>
      </c>
      <c r="L26" s="8"/>
      <c r="M26" s="8">
        <f t="shared" si="6"/>
        <v>1339533.6438</v>
      </c>
      <c r="N26" s="216"/>
      <c r="O26" s="1"/>
    </row>
    <row r="27" spans="1:15">
      <c r="A27" s="52">
        <v>24</v>
      </c>
      <c r="B27" s="226">
        <v>45893</v>
      </c>
      <c r="C27" s="10">
        <v>0</v>
      </c>
      <c r="D27" s="20"/>
      <c r="E27" s="8">
        <v>0</v>
      </c>
      <c r="F27" s="8">
        <v>0</v>
      </c>
      <c r="G27" s="18">
        <f t="shared" si="0"/>
        <v>0</v>
      </c>
      <c r="H27" s="7">
        <v>0</v>
      </c>
      <c r="I27" s="7">
        <v>0</v>
      </c>
      <c r="J27" s="23">
        <f t="shared" si="7"/>
        <v>0</v>
      </c>
      <c r="K27" s="8">
        <f t="shared" si="8"/>
        <v>0</v>
      </c>
      <c r="L27" s="8"/>
      <c r="M27" s="8">
        <f t="shared" si="6"/>
        <v>1339533.6438</v>
      </c>
      <c r="N27" s="216"/>
      <c r="O27" s="1"/>
    </row>
    <row r="28" spans="1:15">
      <c r="A28" s="52">
        <v>25</v>
      </c>
      <c r="B28" s="226">
        <v>45894</v>
      </c>
      <c r="C28" s="10">
        <v>0</v>
      </c>
      <c r="D28" s="20"/>
      <c r="E28" s="8">
        <v>0</v>
      </c>
      <c r="F28" s="8">
        <v>0</v>
      </c>
      <c r="G28" s="18">
        <f t="shared" si="0"/>
        <v>0</v>
      </c>
      <c r="H28" s="7">
        <v>0</v>
      </c>
      <c r="I28" s="7">
        <v>0</v>
      </c>
      <c r="J28" s="23">
        <f t="shared" si="7"/>
        <v>0</v>
      </c>
      <c r="K28" s="8">
        <f t="shared" si="8"/>
        <v>0</v>
      </c>
      <c r="L28" s="8"/>
      <c r="M28" s="8">
        <f t="shared" si="6"/>
        <v>1339533.6438</v>
      </c>
      <c r="N28" s="216"/>
      <c r="O28" s="1"/>
    </row>
    <row r="29" spans="1:15">
      <c r="A29" s="52">
        <v>26</v>
      </c>
      <c r="B29" s="226">
        <v>45895</v>
      </c>
      <c r="C29" s="10">
        <v>0</v>
      </c>
      <c r="D29" s="20"/>
      <c r="E29" s="8">
        <v>20</v>
      </c>
      <c r="F29" s="8">
        <v>104.6</v>
      </c>
      <c r="G29" s="18">
        <f t="shared" si="0"/>
        <v>2092</v>
      </c>
      <c r="H29" s="7">
        <v>0</v>
      </c>
      <c r="I29" s="7">
        <v>0</v>
      </c>
      <c r="J29" s="23">
        <f t="shared" si="7"/>
        <v>0</v>
      </c>
      <c r="K29" s="8">
        <f t="shared" si="8"/>
        <v>2092</v>
      </c>
      <c r="L29" s="8"/>
      <c r="M29" s="8">
        <f t="shared" si="6"/>
        <v>1341625.6438</v>
      </c>
      <c r="N29" s="216"/>
      <c r="O29" s="1"/>
    </row>
    <row r="30" spans="1:15">
      <c r="A30" s="52">
        <v>27</v>
      </c>
      <c r="B30" s="226">
        <v>45896</v>
      </c>
      <c r="C30" s="10">
        <v>0</v>
      </c>
      <c r="D30" s="20"/>
      <c r="E30" s="8">
        <v>0</v>
      </c>
      <c r="F30" s="8">
        <v>0</v>
      </c>
      <c r="G30" s="18">
        <f t="shared" si="0"/>
        <v>0</v>
      </c>
      <c r="H30" s="7">
        <v>0</v>
      </c>
      <c r="I30" s="7">
        <v>0</v>
      </c>
      <c r="J30" s="23">
        <f t="shared" si="7"/>
        <v>0</v>
      </c>
      <c r="K30" s="8">
        <f t="shared" si="8"/>
        <v>0</v>
      </c>
      <c r="L30" s="8"/>
      <c r="M30" s="8">
        <f t="shared" si="6"/>
        <v>1341625.6438</v>
      </c>
      <c r="N30" s="216"/>
      <c r="O30" s="1"/>
    </row>
    <row r="31" spans="1:15">
      <c r="A31" s="52">
        <v>28</v>
      </c>
      <c r="B31" s="226">
        <v>45897</v>
      </c>
      <c r="C31" s="10">
        <v>0</v>
      </c>
      <c r="D31" s="20"/>
      <c r="E31" s="8">
        <v>0</v>
      </c>
      <c r="F31" s="8">
        <v>0</v>
      </c>
      <c r="G31" s="18">
        <f t="shared" si="0"/>
        <v>0</v>
      </c>
      <c r="H31" s="7">
        <v>0</v>
      </c>
      <c r="I31" s="7">
        <v>0</v>
      </c>
      <c r="J31" s="23">
        <f t="shared" si="7"/>
        <v>0</v>
      </c>
      <c r="K31" s="8">
        <f t="shared" si="8"/>
        <v>0</v>
      </c>
      <c r="L31" s="8"/>
      <c r="M31" s="8">
        <f t="shared" si="6"/>
        <v>1341625.6438</v>
      </c>
      <c r="N31" s="216"/>
      <c r="O31" s="1"/>
    </row>
    <row r="32" spans="1:15">
      <c r="A32" s="52">
        <v>29</v>
      </c>
      <c r="B32" s="226">
        <v>45898</v>
      </c>
      <c r="C32" s="10">
        <v>0</v>
      </c>
      <c r="D32" s="20"/>
      <c r="E32" s="8">
        <v>0</v>
      </c>
      <c r="F32" s="8">
        <v>0</v>
      </c>
      <c r="G32" s="18">
        <f t="shared" si="0"/>
        <v>0</v>
      </c>
      <c r="H32" s="7">
        <v>0</v>
      </c>
      <c r="I32" s="7">
        <v>0</v>
      </c>
      <c r="J32" s="23">
        <f t="shared" si="7"/>
        <v>0</v>
      </c>
      <c r="K32" s="8">
        <f t="shared" si="8"/>
        <v>0</v>
      </c>
      <c r="L32" s="8"/>
      <c r="M32" s="8">
        <f t="shared" si="6"/>
        <v>1341625.6438</v>
      </c>
      <c r="N32" s="216"/>
      <c r="O32" s="1"/>
    </row>
    <row r="33" spans="1:17">
      <c r="A33" s="52">
        <v>30</v>
      </c>
      <c r="B33" s="226">
        <v>45899</v>
      </c>
      <c r="C33" s="10">
        <v>0</v>
      </c>
      <c r="D33" s="20"/>
      <c r="E33" s="8">
        <v>0</v>
      </c>
      <c r="F33" s="8">
        <v>0</v>
      </c>
      <c r="G33" s="18">
        <f t="shared" si="0"/>
        <v>0</v>
      </c>
      <c r="H33" s="7">
        <v>0</v>
      </c>
      <c r="I33" s="7">
        <v>0</v>
      </c>
      <c r="J33" s="23">
        <f t="shared" si="7"/>
        <v>0</v>
      </c>
      <c r="K33" s="8">
        <f t="shared" si="8"/>
        <v>0</v>
      </c>
      <c r="L33" s="8"/>
      <c r="M33" s="8">
        <f t="shared" si="6"/>
        <v>1341625.6438</v>
      </c>
      <c r="N33" s="216"/>
      <c r="O33" s="1"/>
    </row>
    <row r="34" spans="1:17">
      <c r="A34" s="52">
        <v>31</v>
      </c>
      <c r="B34" s="226"/>
      <c r="C34" s="293">
        <v>0</v>
      </c>
      <c r="D34" s="294"/>
      <c r="E34" s="8">
        <v>0</v>
      </c>
      <c r="F34" s="8">
        <v>0</v>
      </c>
      <c r="G34" s="18">
        <f t="shared" si="0"/>
        <v>0</v>
      </c>
      <c r="H34" s="7">
        <v>0</v>
      </c>
      <c r="I34" s="7">
        <v>0</v>
      </c>
      <c r="J34" s="23">
        <f t="shared" si="7"/>
        <v>0</v>
      </c>
      <c r="K34" s="8">
        <f t="shared" si="8"/>
        <v>0</v>
      </c>
      <c r="L34" s="8"/>
      <c r="M34" s="8">
        <f t="shared" si="6"/>
        <v>1341625.6438</v>
      </c>
      <c r="N34" s="216"/>
      <c r="O34" s="1"/>
    </row>
    <row r="35" spans="1:17">
      <c r="A35" s="52">
        <v>32</v>
      </c>
      <c r="B35" s="226"/>
      <c r="C35" s="27"/>
      <c r="D35" s="20"/>
      <c r="E35" s="8">
        <v>0</v>
      </c>
      <c r="F35" s="8">
        <v>0</v>
      </c>
      <c r="G35" s="18">
        <f t="shared" si="0"/>
        <v>0</v>
      </c>
      <c r="H35" s="7">
        <v>0</v>
      </c>
      <c r="I35" s="7">
        <v>0</v>
      </c>
      <c r="J35" s="23">
        <f t="shared" si="7"/>
        <v>0</v>
      </c>
      <c r="K35" s="8">
        <f t="shared" si="8"/>
        <v>0</v>
      </c>
      <c r="L35" s="8"/>
      <c r="M35" s="8">
        <f t="shared" si="6"/>
        <v>1341625.6438</v>
      </c>
      <c r="N35" s="216"/>
      <c r="O35" s="1"/>
      <c r="P35">
        <v>1194597.71</v>
      </c>
      <c r="Q35" s="362">
        <f>P35-M35</f>
        <v>-147027.9338</v>
      </c>
    </row>
    <row r="36" spans="1:17">
      <c r="A36" s="172"/>
      <c r="B36" s="172"/>
      <c r="C36" s="172"/>
      <c r="D36" s="172"/>
      <c r="E36" s="173">
        <f>SUM(E4:E35)</f>
        <v>1520</v>
      </c>
      <c r="F36" s="173"/>
      <c r="G36" s="173">
        <f>SUM(G4:G35)</f>
        <v>138802</v>
      </c>
      <c r="H36" s="173">
        <f>SUM(H4:H35)</f>
        <v>40</v>
      </c>
      <c r="I36" s="173"/>
      <c r="J36" s="173">
        <f>SUM(J4:J35)</f>
        <v>4184</v>
      </c>
      <c r="K36" s="173">
        <f>SUM(K4:K35)</f>
        <v>142986</v>
      </c>
      <c r="L36" s="173">
        <f>SUM(L4:L35)</f>
        <v>0</v>
      </c>
      <c r="M36" s="173"/>
      <c r="N36" s="71"/>
      <c r="O36" s="67"/>
    </row>
    <row r="37" spans="1:17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</row>
    <row r="38" spans="1:17">
      <c r="A38" s="1"/>
      <c r="B38" s="406"/>
      <c r="C38" s="406"/>
      <c r="D38" s="406"/>
      <c r="E38" s="406"/>
      <c r="F38" s="1"/>
      <c r="G38" s="1"/>
      <c r="H38" s="1"/>
      <c r="I38" s="406"/>
      <c r="J38" s="406"/>
      <c r="K38" s="406"/>
      <c r="L38" s="406"/>
      <c r="M38" s="406"/>
      <c r="N38" s="406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3" activePane="bottomLeft" state="frozen"/>
      <selection pane="bottomLeft" activeCell="Q30" sqref="Q30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18" t="s">
        <v>92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91"/>
    </row>
    <row r="2" spans="1:15" ht="16.5" customHeight="1">
      <c r="A2" s="107" t="s">
        <v>94</v>
      </c>
      <c r="B2" s="108" t="s">
        <v>95</v>
      </c>
      <c r="C2" s="108" t="s">
        <v>96</v>
      </c>
      <c r="D2" s="108" t="s">
        <v>111</v>
      </c>
      <c r="E2" s="108" t="s">
        <v>98</v>
      </c>
      <c r="F2" s="108" t="s">
        <v>99</v>
      </c>
      <c r="G2" s="108" t="s">
        <v>100</v>
      </c>
      <c r="H2" s="108" t="s">
        <v>101</v>
      </c>
      <c r="I2" s="108" t="s">
        <v>99</v>
      </c>
      <c r="J2" s="148" t="s">
        <v>100</v>
      </c>
      <c r="K2" s="109" t="s">
        <v>102</v>
      </c>
      <c r="L2" s="149" t="s">
        <v>103</v>
      </c>
      <c r="M2" s="154" t="s">
        <v>110</v>
      </c>
      <c r="N2" s="110" t="s">
        <v>105</v>
      </c>
      <c r="O2" s="67"/>
    </row>
    <row r="3" spans="1:15" ht="16.5" customHeight="1">
      <c r="A3" s="414" t="s">
        <v>106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9"/>
      <c r="M3" s="159">
        <v>0</v>
      </c>
      <c r="N3" s="168"/>
      <c r="O3" s="67"/>
    </row>
    <row r="4" spans="1:15">
      <c r="A4" s="221">
        <v>1</v>
      </c>
      <c r="B4" s="255">
        <v>45870</v>
      </c>
      <c r="C4" s="75"/>
      <c r="D4" s="171"/>
      <c r="E4" s="73">
        <v>33.119999999999997</v>
      </c>
      <c r="F4" s="73">
        <v>90.57</v>
      </c>
      <c r="G4" s="8">
        <f>E4*F4</f>
        <v>2999.6783999999993</v>
      </c>
      <c r="H4" s="73">
        <v>0</v>
      </c>
      <c r="I4" s="74">
        <v>0</v>
      </c>
      <c r="J4" s="8">
        <f>H4*I4</f>
        <v>0</v>
      </c>
      <c r="K4" s="8">
        <f>G4+J4</f>
        <v>2999.6783999999993</v>
      </c>
      <c r="L4" s="76">
        <f>+K4</f>
        <v>2999.6783999999993</v>
      </c>
      <c r="M4" s="76">
        <v>0</v>
      </c>
      <c r="N4" s="8"/>
    </row>
    <row r="5" spans="1:15">
      <c r="A5" s="52">
        <v>2</v>
      </c>
      <c r="B5" s="255">
        <v>45871</v>
      </c>
      <c r="C5" s="75"/>
      <c r="D5" s="171"/>
      <c r="E5" s="73">
        <v>0</v>
      </c>
      <c r="F5" s="73">
        <v>0</v>
      </c>
      <c r="G5" s="8">
        <f t="shared" ref="G5:G33" si="0">E5*F5</f>
        <v>0</v>
      </c>
      <c r="H5" s="73">
        <v>0</v>
      </c>
      <c r="I5" s="74">
        <v>0</v>
      </c>
      <c r="J5" s="8">
        <f t="shared" ref="J5:J33" si="1">H5*I5</f>
        <v>0</v>
      </c>
      <c r="K5" s="8">
        <f t="shared" ref="K5:K33" si="2">G5+J5</f>
        <v>0</v>
      </c>
      <c r="L5" s="76">
        <f t="shared" ref="L5:L33" si="3">+K5</f>
        <v>0</v>
      </c>
      <c r="M5" s="76">
        <v>0</v>
      </c>
      <c r="N5" s="8"/>
    </row>
    <row r="6" spans="1:15">
      <c r="A6" s="52">
        <v>3</v>
      </c>
      <c r="B6" s="255">
        <v>45872</v>
      </c>
      <c r="C6" s="75"/>
      <c r="D6" s="171"/>
      <c r="E6" s="73">
        <v>0</v>
      </c>
      <c r="F6" s="73">
        <v>0</v>
      </c>
      <c r="G6" s="8">
        <f t="shared" si="0"/>
        <v>0</v>
      </c>
      <c r="H6" s="73">
        <v>0</v>
      </c>
      <c r="I6" s="74">
        <v>0</v>
      </c>
      <c r="J6" s="8">
        <f t="shared" si="1"/>
        <v>0</v>
      </c>
      <c r="K6" s="8">
        <f t="shared" si="2"/>
        <v>0</v>
      </c>
      <c r="L6" s="76">
        <f t="shared" si="3"/>
        <v>0</v>
      </c>
      <c r="M6" s="76">
        <v>0</v>
      </c>
      <c r="N6" s="8"/>
    </row>
    <row r="7" spans="1:15">
      <c r="A7" s="52">
        <v>4</v>
      </c>
      <c r="B7" s="255">
        <v>45873</v>
      </c>
      <c r="C7" s="75"/>
      <c r="D7" s="171"/>
      <c r="E7" s="73">
        <v>110.41</v>
      </c>
      <c r="F7" s="73">
        <v>90.57</v>
      </c>
      <c r="G7" s="8">
        <f t="shared" si="0"/>
        <v>9999.8336999999992</v>
      </c>
      <c r="H7" s="73">
        <v>15.62</v>
      </c>
      <c r="I7" s="74">
        <v>102.46</v>
      </c>
      <c r="J7" s="8">
        <f t="shared" si="1"/>
        <v>1600.4251999999999</v>
      </c>
      <c r="K7" s="8">
        <f t="shared" si="2"/>
        <v>11600.258899999999</v>
      </c>
      <c r="L7" s="76">
        <f t="shared" si="3"/>
        <v>11600.258899999999</v>
      </c>
      <c r="M7" s="76">
        <v>0</v>
      </c>
      <c r="N7" s="8"/>
    </row>
    <row r="8" spans="1:15">
      <c r="A8" s="52">
        <v>5</v>
      </c>
      <c r="B8" s="255">
        <v>45874</v>
      </c>
      <c r="C8" s="75"/>
      <c r="D8" s="171"/>
      <c r="E8" s="73">
        <v>0</v>
      </c>
      <c r="F8" s="73">
        <v>0</v>
      </c>
      <c r="G8" s="8">
        <f t="shared" si="0"/>
        <v>0</v>
      </c>
      <c r="H8" s="73">
        <v>0</v>
      </c>
      <c r="I8" s="74">
        <v>0</v>
      </c>
      <c r="J8" s="8">
        <f t="shared" si="1"/>
        <v>0</v>
      </c>
      <c r="K8" s="8">
        <f t="shared" si="2"/>
        <v>0</v>
      </c>
      <c r="L8" s="76">
        <f t="shared" si="3"/>
        <v>0</v>
      </c>
      <c r="M8" s="76">
        <v>0</v>
      </c>
      <c r="N8" s="8"/>
      <c r="O8" s="77"/>
    </row>
    <row r="9" spans="1:15">
      <c r="A9" s="52">
        <v>6</v>
      </c>
      <c r="B9" s="255">
        <v>45875</v>
      </c>
      <c r="C9" s="75"/>
      <c r="D9" s="171"/>
      <c r="E9" s="73">
        <v>0</v>
      </c>
      <c r="F9" s="73">
        <v>0</v>
      </c>
      <c r="G9" s="8">
        <f t="shared" si="0"/>
        <v>0</v>
      </c>
      <c r="H9" s="73">
        <v>0</v>
      </c>
      <c r="I9" s="74">
        <v>0</v>
      </c>
      <c r="J9" s="8">
        <f t="shared" si="1"/>
        <v>0</v>
      </c>
      <c r="K9" s="8">
        <f t="shared" si="2"/>
        <v>0</v>
      </c>
      <c r="L9" s="76">
        <f t="shared" si="3"/>
        <v>0</v>
      </c>
      <c r="M9" s="76">
        <v>0</v>
      </c>
      <c r="N9" s="8"/>
      <c r="O9" s="77"/>
    </row>
    <row r="10" spans="1:15">
      <c r="A10" s="52">
        <v>7</v>
      </c>
      <c r="B10" s="255">
        <v>45876</v>
      </c>
      <c r="C10" s="75"/>
      <c r="D10" s="171"/>
      <c r="E10" s="73">
        <v>0</v>
      </c>
      <c r="F10" s="73">
        <v>0</v>
      </c>
      <c r="G10" s="8">
        <f t="shared" si="0"/>
        <v>0</v>
      </c>
      <c r="H10" s="73">
        <v>9.76</v>
      </c>
      <c r="I10" s="74">
        <v>102.46</v>
      </c>
      <c r="J10" s="8">
        <f t="shared" si="1"/>
        <v>1000.0095999999999</v>
      </c>
      <c r="K10" s="8">
        <f t="shared" si="2"/>
        <v>1000.0095999999999</v>
      </c>
      <c r="L10" s="76">
        <f t="shared" si="3"/>
        <v>1000.0095999999999</v>
      </c>
      <c r="M10" s="76">
        <v>0</v>
      </c>
      <c r="N10" s="8"/>
      <c r="O10" s="77"/>
    </row>
    <row r="11" spans="1:15">
      <c r="A11" s="52">
        <v>8</v>
      </c>
      <c r="B11" s="255">
        <v>45877</v>
      </c>
      <c r="C11" s="75"/>
      <c r="D11" s="171"/>
      <c r="E11" s="73">
        <v>0</v>
      </c>
      <c r="F11" s="73">
        <v>0</v>
      </c>
      <c r="G11" s="8">
        <f t="shared" si="0"/>
        <v>0</v>
      </c>
      <c r="H11" s="73">
        <v>0</v>
      </c>
      <c r="I11" s="74">
        <v>0</v>
      </c>
      <c r="J11" s="8">
        <f t="shared" si="1"/>
        <v>0</v>
      </c>
      <c r="K11" s="8">
        <f t="shared" si="2"/>
        <v>0</v>
      </c>
      <c r="L11" s="76">
        <f t="shared" si="3"/>
        <v>0</v>
      </c>
      <c r="M11" s="76">
        <v>0</v>
      </c>
      <c r="N11" s="8"/>
      <c r="O11" s="77"/>
    </row>
    <row r="12" spans="1:15">
      <c r="A12" s="52">
        <v>9</v>
      </c>
      <c r="B12" s="255">
        <v>45878</v>
      </c>
      <c r="C12" s="75"/>
      <c r="D12" s="171"/>
      <c r="E12" s="73">
        <v>0</v>
      </c>
      <c r="F12" s="73">
        <v>0</v>
      </c>
      <c r="G12" s="8">
        <f t="shared" si="0"/>
        <v>0</v>
      </c>
      <c r="H12" s="73">
        <v>0</v>
      </c>
      <c r="I12" s="74">
        <v>0</v>
      </c>
      <c r="J12" s="8">
        <f t="shared" si="1"/>
        <v>0</v>
      </c>
      <c r="K12" s="8">
        <f t="shared" si="2"/>
        <v>0</v>
      </c>
      <c r="L12" s="76">
        <f t="shared" si="3"/>
        <v>0</v>
      </c>
      <c r="M12" s="76">
        <v>0</v>
      </c>
      <c r="N12" s="8"/>
      <c r="O12" s="77"/>
    </row>
    <row r="13" spans="1:15">
      <c r="A13" s="52">
        <v>10</v>
      </c>
      <c r="B13" s="255">
        <v>45879</v>
      </c>
      <c r="C13" s="75"/>
      <c r="D13" s="171"/>
      <c r="E13" s="73">
        <v>0</v>
      </c>
      <c r="F13" s="73">
        <v>0</v>
      </c>
      <c r="G13" s="8">
        <f t="shared" si="0"/>
        <v>0</v>
      </c>
      <c r="H13" s="73">
        <v>0</v>
      </c>
      <c r="I13" s="74">
        <v>0</v>
      </c>
      <c r="J13" s="8">
        <f t="shared" si="1"/>
        <v>0</v>
      </c>
      <c r="K13" s="8">
        <f t="shared" si="2"/>
        <v>0</v>
      </c>
      <c r="L13" s="76">
        <f t="shared" si="3"/>
        <v>0</v>
      </c>
      <c r="M13" s="76">
        <v>0</v>
      </c>
      <c r="N13" s="8"/>
      <c r="O13" s="77"/>
    </row>
    <row r="14" spans="1:15">
      <c r="A14" s="52">
        <v>11</v>
      </c>
      <c r="B14" s="255">
        <v>45880</v>
      </c>
      <c r="C14" s="75"/>
      <c r="D14" s="171"/>
      <c r="E14" s="73">
        <v>0</v>
      </c>
      <c r="F14" s="73">
        <v>0</v>
      </c>
      <c r="G14" s="8">
        <f t="shared" si="0"/>
        <v>0</v>
      </c>
      <c r="H14" s="73">
        <v>23.23</v>
      </c>
      <c r="I14" s="74">
        <v>102.46</v>
      </c>
      <c r="J14" s="8">
        <f t="shared" si="1"/>
        <v>2380.1457999999998</v>
      </c>
      <c r="K14" s="8">
        <f t="shared" si="2"/>
        <v>2380.1457999999998</v>
      </c>
      <c r="L14" s="76">
        <f t="shared" si="3"/>
        <v>2380.1457999999998</v>
      </c>
      <c r="M14" s="76">
        <v>0</v>
      </c>
      <c r="N14" s="8"/>
      <c r="O14" s="77"/>
    </row>
    <row r="15" spans="1:15">
      <c r="A15" s="52">
        <v>12</v>
      </c>
      <c r="B15" s="255">
        <v>45881</v>
      </c>
      <c r="C15" s="75"/>
      <c r="D15" s="171"/>
      <c r="E15" s="73">
        <v>0</v>
      </c>
      <c r="F15" s="73">
        <v>0</v>
      </c>
      <c r="G15" s="8">
        <f t="shared" si="0"/>
        <v>0</v>
      </c>
      <c r="H15" s="73">
        <v>0</v>
      </c>
      <c r="I15" s="74">
        <v>0</v>
      </c>
      <c r="J15" s="8">
        <f t="shared" si="1"/>
        <v>0</v>
      </c>
      <c r="K15" s="8">
        <f t="shared" si="2"/>
        <v>0</v>
      </c>
      <c r="L15" s="76">
        <f t="shared" si="3"/>
        <v>0</v>
      </c>
      <c r="M15" s="76">
        <v>0</v>
      </c>
      <c r="N15" s="8"/>
      <c r="O15" s="77"/>
    </row>
    <row r="16" spans="1:15">
      <c r="A16" s="52">
        <v>13</v>
      </c>
      <c r="B16" s="255">
        <v>45882</v>
      </c>
      <c r="C16" s="75"/>
      <c r="D16" s="171"/>
      <c r="E16" s="73">
        <v>0</v>
      </c>
      <c r="F16" s="73">
        <v>0</v>
      </c>
      <c r="G16" s="8">
        <f t="shared" si="0"/>
        <v>0</v>
      </c>
      <c r="H16" s="73">
        <v>0</v>
      </c>
      <c r="I16" s="74">
        <v>0</v>
      </c>
      <c r="J16" s="8">
        <f t="shared" si="1"/>
        <v>0</v>
      </c>
      <c r="K16" s="8">
        <f t="shared" si="2"/>
        <v>0</v>
      </c>
      <c r="L16" s="76">
        <f t="shared" si="3"/>
        <v>0</v>
      </c>
      <c r="M16" s="76">
        <v>0</v>
      </c>
      <c r="N16" s="8"/>
      <c r="O16" s="77"/>
    </row>
    <row r="17" spans="1:15">
      <c r="A17" s="52">
        <v>14</v>
      </c>
      <c r="B17" s="255">
        <v>45883</v>
      </c>
      <c r="C17" s="75"/>
      <c r="D17" s="171"/>
      <c r="E17" s="73">
        <v>0</v>
      </c>
      <c r="F17" s="73">
        <v>0</v>
      </c>
      <c r="G17" s="8">
        <f t="shared" si="0"/>
        <v>0</v>
      </c>
      <c r="H17" s="73">
        <v>0</v>
      </c>
      <c r="I17" s="74">
        <v>0</v>
      </c>
      <c r="J17" s="8">
        <f t="shared" si="1"/>
        <v>0</v>
      </c>
      <c r="K17" s="8">
        <f t="shared" si="2"/>
        <v>0</v>
      </c>
      <c r="L17" s="76">
        <f t="shared" si="3"/>
        <v>0</v>
      </c>
      <c r="M17" s="76">
        <v>0</v>
      </c>
      <c r="N17" s="8"/>
      <c r="O17" s="77"/>
    </row>
    <row r="18" spans="1:15">
      <c r="A18" s="52">
        <v>15</v>
      </c>
      <c r="B18" s="255">
        <v>45884</v>
      </c>
      <c r="C18" s="75"/>
      <c r="D18" s="171"/>
      <c r="E18" s="73">
        <v>0</v>
      </c>
      <c r="F18" s="73">
        <v>0</v>
      </c>
      <c r="G18" s="8">
        <f t="shared" si="0"/>
        <v>0</v>
      </c>
      <c r="H18" s="73">
        <v>0</v>
      </c>
      <c r="I18" s="74">
        <v>0</v>
      </c>
      <c r="J18" s="8">
        <f t="shared" si="1"/>
        <v>0</v>
      </c>
      <c r="K18" s="8">
        <f t="shared" si="2"/>
        <v>0</v>
      </c>
      <c r="L18" s="76">
        <f t="shared" si="3"/>
        <v>0</v>
      </c>
      <c r="M18" s="76">
        <v>0</v>
      </c>
      <c r="N18" s="8"/>
      <c r="O18" s="77"/>
    </row>
    <row r="19" spans="1:15">
      <c r="A19" s="52">
        <v>16</v>
      </c>
      <c r="B19" s="255">
        <v>45885</v>
      </c>
      <c r="C19" s="75"/>
      <c r="D19" s="171"/>
      <c r="E19" s="73">
        <v>0</v>
      </c>
      <c r="F19" s="73">
        <v>0</v>
      </c>
      <c r="G19" s="8">
        <f t="shared" si="0"/>
        <v>0</v>
      </c>
      <c r="H19" s="73">
        <v>5.85</v>
      </c>
      <c r="I19" s="74">
        <v>102.46</v>
      </c>
      <c r="J19" s="8">
        <f t="shared" si="1"/>
        <v>599.39099999999996</v>
      </c>
      <c r="K19" s="8">
        <f t="shared" si="2"/>
        <v>599.39099999999996</v>
      </c>
      <c r="L19" s="76">
        <f>+K19</f>
        <v>599.39099999999996</v>
      </c>
      <c r="M19" s="76">
        <v>0</v>
      </c>
      <c r="N19" s="8"/>
      <c r="O19" s="77"/>
    </row>
    <row r="20" spans="1:15">
      <c r="A20" s="52">
        <v>17</v>
      </c>
      <c r="B20" s="255">
        <v>45886</v>
      </c>
      <c r="C20" s="75"/>
      <c r="D20" s="171"/>
      <c r="E20" s="73">
        <v>0</v>
      </c>
      <c r="F20" s="73">
        <v>0</v>
      </c>
      <c r="G20" s="8">
        <f t="shared" si="0"/>
        <v>0</v>
      </c>
      <c r="H20" s="73">
        <v>0</v>
      </c>
      <c r="I20" s="74">
        <v>0</v>
      </c>
      <c r="J20" s="8">
        <f t="shared" si="1"/>
        <v>0</v>
      </c>
      <c r="K20" s="8">
        <f t="shared" si="2"/>
        <v>0</v>
      </c>
      <c r="L20" s="76">
        <f t="shared" si="3"/>
        <v>0</v>
      </c>
      <c r="M20" s="76">
        <v>0</v>
      </c>
      <c r="N20" s="8"/>
      <c r="O20" s="77"/>
    </row>
    <row r="21" spans="1:15">
      <c r="A21" s="52">
        <v>18</v>
      </c>
      <c r="B21" s="255">
        <v>45887</v>
      </c>
      <c r="C21" s="75"/>
      <c r="D21" s="171"/>
      <c r="E21" s="73">
        <v>0</v>
      </c>
      <c r="F21" s="73">
        <v>0</v>
      </c>
      <c r="G21" s="8">
        <f t="shared" si="0"/>
        <v>0</v>
      </c>
      <c r="H21" s="73">
        <v>0</v>
      </c>
      <c r="I21" s="74">
        <v>0</v>
      </c>
      <c r="J21" s="8">
        <f t="shared" si="1"/>
        <v>0</v>
      </c>
      <c r="K21" s="8">
        <f t="shared" si="2"/>
        <v>0</v>
      </c>
      <c r="L21" s="76">
        <f t="shared" si="3"/>
        <v>0</v>
      </c>
      <c r="M21" s="76">
        <v>0</v>
      </c>
      <c r="N21" s="8"/>
      <c r="O21" s="77"/>
    </row>
    <row r="22" spans="1:15">
      <c r="A22" s="52">
        <v>19</v>
      </c>
      <c r="B22" s="255">
        <v>45888</v>
      </c>
      <c r="C22" s="75"/>
      <c r="D22" s="171"/>
      <c r="E22" s="73">
        <v>0</v>
      </c>
      <c r="F22" s="73">
        <v>0</v>
      </c>
      <c r="G22" s="8">
        <f t="shared" si="0"/>
        <v>0</v>
      </c>
      <c r="H22" s="73">
        <v>7.74</v>
      </c>
      <c r="I22" s="74">
        <v>102.46</v>
      </c>
      <c r="J22" s="8">
        <f t="shared" si="1"/>
        <v>793.04039999999998</v>
      </c>
      <c r="K22" s="8">
        <f t="shared" si="2"/>
        <v>793.04039999999998</v>
      </c>
      <c r="L22" s="76">
        <f t="shared" si="3"/>
        <v>793.04039999999998</v>
      </c>
      <c r="M22" s="76">
        <v>0</v>
      </c>
      <c r="N22" s="8"/>
      <c r="O22" s="77"/>
    </row>
    <row r="23" spans="1:15">
      <c r="A23" s="52">
        <v>20</v>
      </c>
      <c r="B23" s="255">
        <v>45889</v>
      </c>
      <c r="C23" s="75"/>
      <c r="D23" s="171"/>
      <c r="E23" s="73">
        <v>110.41</v>
      </c>
      <c r="F23" s="73">
        <v>90.57</v>
      </c>
      <c r="G23" s="8">
        <f t="shared" si="0"/>
        <v>9999.8336999999992</v>
      </c>
      <c r="H23" s="73">
        <v>0</v>
      </c>
      <c r="I23" s="74">
        <v>0</v>
      </c>
      <c r="J23" s="8">
        <f t="shared" si="1"/>
        <v>0</v>
      </c>
      <c r="K23" s="8">
        <f t="shared" si="2"/>
        <v>9999.8336999999992</v>
      </c>
      <c r="L23" s="76">
        <f t="shared" si="3"/>
        <v>9999.8336999999992</v>
      </c>
      <c r="M23" s="76">
        <v>0</v>
      </c>
      <c r="N23" s="8"/>
      <c r="O23" s="77"/>
    </row>
    <row r="24" spans="1:15">
      <c r="A24" s="52">
        <v>21</v>
      </c>
      <c r="B24" s="255">
        <v>45890</v>
      </c>
      <c r="C24" s="75"/>
      <c r="D24" s="171"/>
      <c r="E24" s="73">
        <v>0</v>
      </c>
      <c r="F24" s="73">
        <v>0</v>
      </c>
      <c r="G24" s="8">
        <f t="shared" si="0"/>
        <v>0</v>
      </c>
      <c r="H24" s="73">
        <v>0</v>
      </c>
      <c r="I24" s="74">
        <v>0</v>
      </c>
      <c r="J24" s="8">
        <f t="shared" si="1"/>
        <v>0</v>
      </c>
      <c r="K24" s="8">
        <f t="shared" si="2"/>
        <v>0</v>
      </c>
      <c r="L24" s="76">
        <f t="shared" si="3"/>
        <v>0</v>
      </c>
      <c r="M24" s="76">
        <v>0</v>
      </c>
      <c r="N24" s="8"/>
      <c r="O24" s="77"/>
    </row>
    <row r="25" spans="1:15">
      <c r="A25" s="52">
        <v>22</v>
      </c>
      <c r="B25" s="255">
        <v>45891</v>
      </c>
      <c r="C25" s="75"/>
      <c r="D25" s="171"/>
      <c r="E25" s="73">
        <v>0</v>
      </c>
      <c r="F25" s="73">
        <v>0</v>
      </c>
      <c r="G25" s="8">
        <f t="shared" si="0"/>
        <v>0</v>
      </c>
      <c r="H25" s="73">
        <v>0</v>
      </c>
      <c r="I25" s="74">
        <v>0</v>
      </c>
      <c r="J25" s="8">
        <f t="shared" si="1"/>
        <v>0</v>
      </c>
      <c r="K25" s="8">
        <f t="shared" si="2"/>
        <v>0</v>
      </c>
      <c r="L25" s="76">
        <f t="shared" si="3"/>
        <v>0</v>
      </c>
      <c r="M25" s="76">
        <v>0</v>
      </c>
      <c r="N25" s="8"/>
      <c r="O25" s="77"/>
    </row>
    <row r="26" spans="1:15">
      <c r="A26" s="52">
        <v>23</v>
      </c>
      <c r="B26" s="255">
        <v>45892</v>
      </c>
      <c r="C26" s="75"/>
      <c r="D26" s="171"/>
      <c r="E26" s="73">
        <v>0</v>
      </c>
      <c r="F26" s="73">
        <v>0</v>
      </c>
      <c r="G26" s="8">
        <f t="shared" si="0"/>
        <v>0</v>
      </c>
      <c r="H26" s="73">
        <v>4.88</v>
      </c>
      <c r="I26" s="74">
        <v>102.46</v>
      </c>
      <c r="J26" s="8">
        <f t="shared" si="1"/>
        <v>500.00479999999993</v>
      </c>
      <c r="K26" s="8">
        <f t="shared" si="2"/>
        <v>500.00479999999993</v>
      </c>
      <c r="L26" s="76">
        <f t="shared" si="3"/>
        <v>500.00479999999993</v>
      </c>
      <c r="M26" s="76">
        <v>0</v>
      </c>
      <c r="N26" s="8"/>
      <c r="O26" s="77"/>
    </row>
    <row r="27" spans="1:15">
      <c r="A27" s="52">
        <v>24</v>
      </c>
      <c r="B27" s="255">
        <v>45893</v>
      </c>
      <c r="C27" s="75"/>
      <c r="D27" s="171"/>
      <c r="E27" s="73">
        <v>0</v>
      </c>
      <c r="F27" s="73">
        <v>0</v>
      </c>
      <c r="G27" s="8">
        <f t="shared" si="0"/>
        <v>0</v>
      </c>
      <c r="H27" s="73">
        <v>0</v>
      </c>
      <c r="I27" s="74">
        <v>0</v>
      </c>
      <c r="J27" s="8">
        <f t="shared" si="1"/>
        <v>0</v>
      </c>
      <c r="K27" s="8">
        <f t="shared" si="2"/>
        <v>0</v>
      </c>
      <c r="L27" s="76">
        <f t="shared" si="3"/>
        <v>0</v>
      </c>
      <c r="M27" s="76">
        <v>0</v>
      </c>
      <c r="N27" s="8"/>
      <c r="O27" s="77"/>
    </row>
    <row r="28" spans="1:15">
      <c r="A28" s="257">
        <v>25</v>
      </c>
      <c r="B28" s="255">
        <v>45894</v>
      </c>
      <c r="C28" s="75"/>
      <c r="D28" s="171"/>
      <c r="E28" s="73">
        <v>0</v>
      </c>
      <c r="F28" s="73">
        <v>0</v>
      </c>
      <c r="G28" s="8">
        <f t="shared" si="0"/>
        <v>0</v>
      </c>
      <c r="H28" s="73">
        <v>9.67</v>
      </c>
      <c r="I28" s="74">
        <v>102.46</v>
      </c>
      <c r="J28" s="8">
        <f t="shared" si="1"/>
        <v>990.78819999999996</v>
      </c>
      <c r="K28" s="8">
        <f t="shared" si="2"/>
        <v>990.78819999999996</v>
      </c>
      <c r="L28" s="76">
        <f t="shared" si="3"/>
        <v>990.78819999999996</v>
      </c>
      <c r="M28" s="76">
        <v>0</v>
      </c>
      <c r="N28" s="8"/>
      <c r="O28" s="77"/>
    </row>
    <row r="29" spans="1:15">
      <c r="A29" s="257">
        <v>26</v>
      </c>
      <c r="B29" s="255">
        <v>45895</v>
      </c>
      <c r="C29" s="75"/>
      <c r="D29" s="171"/>
      <c r="E29" s="73">
        <v>0</v>
      </c>
      <c r="F29" s="73">
        <v>0</v>
      </c>
      <c r="G29" s="8">
        <f t="shared" si="0"/>
        <v>0</v>
      </c>
      <c r="H29" s="73">
        <v>0</v>
      </c>
      <c r="I29" s="74">
        <v>0</v>
      </c>
      <c r="J29" s="8">
        <f t="shared" si="1"/>
        <v>0</v>
      </c>
      <c r="K29" s="8">
        <f t="shared" si="2"/>
        <v>0</v>
      </c>
      <c r="L29" s="76">
        <f t="shared" si="3"/>
        <v>0</v>
      </c>
      <c r="M29" s="76">
        <v>0</v>
      </c>
      <c r="N29" s="8"/>
      <c r="O29" s="77"/>
    </row>
    <row r="30" spans="1:15">
      <c r="A30" s="257">
        <v>27</v>
      </c>
      <c r="B30" s="255">
        <v>45896</v>
      </c>
      <c r="C30" s="75"/>
      <c r="D30" s="171"/>
      <c r="E30" s="73">
        <v>0</v>
      </c>
      <c r="F30" s="73">
        <v>0</v>
      </c>
      <c r="G30" s="8">
        <f t="shared" si="0"/>
        <v>0</v>
      </c>
      <c r="H30" s="73">
        <v>0</v>
      </c>
      <c r="I30" s="74">
        <v>0</v>
      </c>
      <c r="J30" s="8">
        <f t="shared" si="1"/>
        <v>0</v>
      </c>
      <c r="K30" s="8">
        <f t="shared" si="2"/>
        <v>0</v>
      </c>
      <c r="L30" s="76">
        <f t="shared" si="3"/>
        <v>0</v>
      </c>
      <c r="M30" s="76">
        <v>0</v>
      </c>
      <c r="N30" s="8"/>
      <c r="O30" s="77"/>
    </row>
    <row r="31" spans="1:15">
      <c r="A31" s="257">
        <v>28</v>
      </c>
      <c r="B31" s="255">
        <v>45897</v>
      </c>
      <c r="C31" s="75"/>
      <c r="D31" s="171"/>
      <c r="E31" s="73">
        <v>0</v>
      </c>
      <c r="F31" s="73">
        <v>0</v>
      </c>
      <c r="G31" s="8">
        <f t="shared" si="0"/>
        <v>0</v>
      </c>
      <c r="H31" s="73">
        <v>0</v>
      </c>
      <c r="I31" s="74">
        <v>0</v>
      </c>
      <c r="J31" s="8">
        <f t="shared" si="1"/>
        <v>0</v>
      </c>
      <c r="K31" s="8">
        <f t="shared" si="2"/>
        <v>0</v>
      </c>
      <c r="L31" s="76">
        <f t="shared" si="3"/>
        <v>0</v>
      </c>
      <c r="M31" s="76">
        <v>0</v>
      </c>
      <c r="N31" s="8"/>
      <c r="O31" s="77"/>
    </row>
    <row r="32" spans="1:15">
      <c r="A32" s="258">
        <v>29</v>
      </c>
      <c r="B32" s="255">
        <v>45898</v>
      </c>
      <c r="C32" s="75"/>
      <c r="D32" s="171"/>
      <c r="E32" s="73">
        <v>111.67</v>
      </c>
      <c r="F32" s="73">
        <v>90.57</v>
      </c>
      <c r="G32" s="8">
        <f t="shared" si="0"/>
        <v>10113.9519</v>
      </c>
      <c r="H32" s="73">
        <v>0</v>
      </c>
      <c r="I32" s="74">
        <v>0</v>
      </c>
      <c r="J32" s="8">
        <f t="shared" si="1"/>
        <v>0</v>
      </c>
      <c r="K32" s="8">
        <f t="shared" si="2"/>
        <v>10113.9519</v>
      </c>
      <c r="L32" s="76">
        <f t="shared" si="3"/>
        <v>10113.9519</v>
      </c>
      <c r="M32" s="76">
        <v>0</v>
      </c>
      <c r="N32" s="8"/>
      <c r="O32" s="77"/>
    </row>
    <row r="33" spans="1:15">
      <c r="A33" s="258">
        <v>30</v>
      </c>
      <c r="B33" s="255">
        <v>45899</v>
      </c>
      <c r="C33" s="75"/>
      <c r="D33" s="171"/>
      <c r="E33" s="73">
        <v>0</v>
      </c>
      <c r="F33" s="73">
        <v>0</v>
      </c>
      <c r="G33" s="8">
        <f t="shared" si="0"/>
        <v>0</v>
      </c>
      <c r="H33" s="73">
        <v>0</v>
      </c>
      <c r="I33" s="74">
        <v>0</v>
      </c>
      <c r="J33" s="8">
        <f t="shared" si="1"/>
        <v>0</v>
      </c>
      <c r="K33" s="8">
        <f t="shared" si="2"/>
        <v>0</v>
      </c>
      <c r="L33" s="76">
        <f t="shared" si="3"/>
        <v>0</v>
      </c>
      <c r="M33" s="76">
        <v>0</v>
      </c>
      <c r="N33" s="8"/>
      <c r="O33" s="77"/>
    </row>
    <row r="34" spans="1:15">
      <c r="A34" s="258">
        <v>31</v>
      </c>
      <c r="B34" s="255"/>
      <c r="C34" s="75"/>
      <c r="D34" s="171"/>
      <c r="E34" s="73"/>
      <c r="F34" s="73"/>
      <c r="G34" s="8">
        <f t="shared" ref="G5:G34" si="4">E34*F34</f>
        <v>0</v>
      </c>
      <c r="H34" s="73">
        <v>0</v>
      </c>
      <c r="I34" s="74">
        <v>0</v>
      </c>
      <c r="J34" s="8">
        <f t="shared" ref="J5:J34" si="5">H34*I34</f>
        <v>0</v>
      </c>
      <c r="K34" s="8">
        <f t="shared" ref="K5:K34" si="6">G34+J34</f>
        <v>0</v>
      </c>
      <c r="L34" s="76">
        <f t="shared" ref="L5:L34" si="7">+K34</f>
        <v>0</v>
      </c>
      <c r="M34" s="76">
        <v>0</v>
      </c>
      <c r="N34" s="8"/>
      <c r="O34" s="77"/>
    </row>
    <row r="35" spans="1:15">
      <c r="A35" s="70"/>
      <c r="B35" s="70"/>
      <c r="C35" s="70"/>
      <c r="D35" s="70"/>
      <c r="E35" s="71">
        <f>SUM(E4:E34)</f>
        <v>365.61</v>
      </c>
      <c r="F35" s="71"/>
      <c r="G35" s="71">
        <f>SUM(G4:G34)</f>
        <v>33113.297699999996</v>
      </c>
      <c r="H35" s="71">
        <f>SUM(H4:H34)</f>
        <v>76.75</v>
      </c>
      <c r="I35" s="71"/>
      <c r="J35" s="71">
        <f>SUM(J4:J34)</f>
        <v>7863.8049999999985</v>
      </c>
      <c r="K35" s="71">
        <f>SUM(K4:K34)</f>
        <v>40977.102699999996</v>
      </c>
      <c r="L35" s="71">
        <f>SUM(L4:L34)</f>
        <v>40977.102699999996</v>
      </c>
      <c r="M35" s="71"/>
      <c r="N35" s="71"/>
      <c r="O35" s="67"/>
    </row>
    <row r="36" spans="1:15">
      <c r="A36" s="81"/>
      <c r="B36" s="82"/>
      <c r="C36" s="81"/>
      <c r="D36" s="81"/>
      <c r="E36" s="83"/>
      <c r="F36" s="83"/>
      <c r="G36" s="83"/>
      <c r="H36" s="83"/>
      <c r="I36" s="83"/>
      <c r="J36" s="84"/>
      <c r="K36" s="84"/>
      <c r="L36" s="84"/>
      <c r="M36" s="84"/>
      <c r="N36" s="83"/>
      <c r="O36" s="77"/>
    </row>
    <row r="37" spans="1:15">
      <c r="O37" s="77"/>
    </row>
    <row r="38" spans="1:15">
      <c r="O38" s="77"/>
    </row>
    <row r="39" spans="1:15">
      <c r="O39" s="77"/>
    </row>
    <row r="40" spans="1:15">
      <c r="O40" s="77"/>
    </row>
    <row r="41" spans="1:15">
      <c r="O41" s="77"/>
    </row>
    <row r="42" spans="1:15">
      <c r="A42" s="77"/>
      <c r="B42" s="67"/>
      <c r="C42" s="77"/>
      <c r="D42" s="77"/>
      <c r="E42" s="77"/>
      <c r="F42" s="77"/>
      <c r="G42" s="85"/>
      <c r="H42" s="77"/>
      <c r="I42" s="77"/>
      <c r="J42" s="67"/>
      <c r="K42" s="67"/>
      <c r="L42" s="67"/>
      <c r="M42" s="67"/>
      <c r="N42" s="77"/>
      <c r="O42" s="83"/>
    </row>
    <row r="43" spans="1:15">
      <c r="A43" s="77"/>
      <c r="B43" s="420"/>
      <c r="C43" s="420"/>
      <c r="D43" s="420"/>
      <c r="E43" s="420"/>
      <c r="F43" s="77"/>
      <c r="G43" s="77"/>
      <c r="H43" s="77"/>
      <c r="I43" s="420"/>
      <c r="J43" s="420"/>
      <c r="K43" s="420"/>
      <c r="L43" s="420"/>
      <c r="M43" s="420"/>
      <c r="N43" s="420"/>
      <c r="O43" s="83"/>
    </row>
    <row r="44" spans="1:15">
      <c r="A44" s="77"/>
      <c r="B44" s="67"/>
      <c r="C44" s="77"/>
      <c r="D44" s="77"/>
      <c r="E44" s="77"/>
      <c r="F44" s="77"/>
      <c r="G44" s="77"/>
      <c r="H44" s="77"/>
      <c r="I44" s="77"/>
      <c r="J44" s="67"/>
      <c r="K44" s="67"/>
      <c r="L44" s="67"/>
      <c r="M44" s="67"/>
      <c r="N44" s="77"/>
      <c r="O44" s="83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sheetPr filterMode="1"/>
  <dimension ref="A1:U81"/>
  <sheetViews>
    <sheetView workbookViewId="0">
      <pane ySplit="3" topLeftCell="A4" activePane="bottomLeft" state="frozen"/>
      <selection pane="bottomLeft" activeCell="C19" sqref="C19"/>
    </sheetView>
  </sheetViews>
  <sheetFormatPr defaultRowHeight="15"/>
  <cols>
    <col min="2" max="2" width="16.28515625" customWidth="1"/>
    <col min="3" max="3" width="38.85546875" bestFit="1" customWidth="1"/>
    <col min="4" max="4" width="15.5703125" customWidth="1"/>
    <col min="5" max="5" width="12.28515625" style="206" customWidth="1"/>
    <col min="6" max="6" width="12.85546875" style="206" customWidth="1"/>
    <col min="7" max="7" width="12.5703125" style="206" bestFit="1" customWidth="1"/>
    <col min="8" max="8" width="12.5703125" style="206" customWidth="1"/>
    <col min="9" max="10" width="9.140625" style="206"/>
    <col min="11" max="11" width="18.7109375" style="206" customWidth="1"/>
    <col min="12" max="12" width="24.140625" style="206" customWidth="1"/>
    <col min="13" max="13" width="16.5703125" style="206" customWidth="1"/>
    <col min="14" max="14" width="19.85546875" style="206" customWidth="1"/>
    <col min="15" max="15" width="13.42578125" style="206" customWidth="1"/>
    <col min="16" max="21" width="9.140625" style="206"/>
  </cols>
  <sheetData>
    <row r="1" spans="1:15" ht="15.75">
      <c r="A1" s="291" t="s">
        <v>166</v>
      </c>
      <c r="B1" s="291"/>
      <c r="C1" s="291"/>
      <c r="D1" s="291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</row>
    <row r="2" spans="1:15" ht="26.25" customHeight="1">
      <c r="A2" s="72" t="s">
        <v>94</v>
      </c>
      <c r="B2" s="92" t="s">
        <v>95</v>
      </c>
      <c r="C2" s="92" t="s">
        <v>167</v>
      </c>
      <c r="D2" s="92" t="s">
        <v>168</v>
      </c>
      <c r="E2" s="338" t="s">
        <v>98</v>
      </c>
      <c r="F2" s="338" t="s">
        <v>99</v>
      </c>
      <c r="G2" s="339" t="s">
        <v>100</v>
      </c>
      <c r="H2" s="338" t="s">
        <v>101</v>
      </c>
      <c r="I2" s="338" t="s">
        <v>99</v>
      </c>
      <c r="J2" s="339" t="s">
        <v>100</v>
      </c>
      <c r="K2" s="340" t="s">
        <v>102</v>
      </c>
      <c r="L2" s="341" t="s">
        <v>169</v>
      </c>
      <c r="M2" s="342" t="s">
        <v>110</v>
      </c>
      <c r="N2" s="338" t="s">
        <v>105</v>
      </c>
      <c r="O2" s="338" t="s">
        <v>170</v>
      </c>
    </row>
    <row r="3" spans="1:15" ht="15.75">
      <c r="A3" s="292" t="s">
        <v>106</v>
      </c>
      <c r="B3" s="292"/>
      <c r="C3" s="292"/>
      <c r="D3" s="292"/>
      <c r="E3" s="343"/>
      <c r="F3" s="343"/>
      <c r="G3" s="343"/>
      <c r="H3" s="343"/>
      <c r="I3" s="343"/>
      <c r="J3" s="343"/>
      <c r="K3" s="371">
        <v>74793.789999999994</v>
      </c>
      <c r="L3" s="372"/>
      <c r="M3" s="344"/>
      <c r="N3" s="344"/>
      <c r="O3" s="345"/>
    </row>
    <row r="4" spans="1:15">
      <c r="A4" s="366">
        <v>1</v>
      </c>
      <c r="B4" s="259" t="s">
        <v>171</v>
      </c>
      <c r="C4" s="113" t="s">
        <v>172</v>
      </c>
      <c r="D4" s="180" t="s">
        <v>173</v>
      </c>
      <c r="E4" s="349">
        <v>0</v>
      </c>
      <c r="F4" s="370"/>
      <c r="G4" s="346">
        <f>E4*F4</f>
        <v>0</v>
      </c>
      <c r="H4" s="113">
        <v>4.5</v>
      </c>
      <c r="I4" s="113">
        <v>107.46</v>
      </c>
      <c r="J4" s="346">
        <f>H4*I4</f>
        <v>483.57</v>
      </c>
      <c r="K4" s="346">
        <f>G4+J4</f>
        <v>483.57</v>
      </c>
      <c r="L4" s="347">
        <v>1400000</v>
      </c>
      <c r="M4" s="365">
        <f>K3+L4-K4</f>
        <v>1474310.22</v>
      </c>
      <c r="N4" s="347"/>
      <c r="O4" s="347"/>
    </row>
    <row r="5" spans="1:15">
      <c r="A5" s="106">
        <v>2</v>
      </c>
      <c r="B5" s="259" t="s">
        <v>171</v>
      </c>
      <c r="C5" s="113" t="s">
        <v>174</v>
      </c>
      <c r="D5" s="180" t="s">
        <v>175</v>
      </c>
      <c r="E5" s="349">
        <v>13358.28</v>
      </c>
      <c r="F5" s="370">
        <v>96.42</v>
      </c>
      <c r="G5" s="346">
        <f t="shared" ref="G5:G53" si="0">E5*F5</f>
        <v>1288005.3576</v>
      </c>
      <c r="H5" s="113">
        <v>0</v>
      </c>
      <c r="I5" s="113">
        <v>0</v>
      </c>
      <c r="J5" s="346">
        <f t="shared" ref="J5:J57" si="1">H5*I5</f>
        <v>0</v>
      </c>
      <c r="K5" s="346">
        <f t="shared" ref="K5:K57" si="2">G5+J5</f>
        <v>1288005.3576</v>
      </c>
      <c r="L5" s="347">
        <v>0</v>
      </c>
      <c r="M5" s="349">
        <f>M4+L5-K5</f>
        <v>186304.86239999998</v>
      </c>
      <c r="N5" s="346"/>
      <c r="O5" s="346"/>
    </row>
    <row r="6" spans="1:15">
      <c r="A6" s="106">
        <v>3</v>
      </c>
      <c r="B6" s="259" t="s">
        <v>122</v>
      </c>
      <c r="C6" s="180" t="s">
        <v>176</v>
      </c>
      <c r="D6" s="113" t="s">
        <v>177</v>
      </c>
      <c r="E6" s="349">
        <v>3.3</v>
      </c>
      <c r="F6" s="370">
        <v>90.88</v>
      </c>
      <c r="G6" s="346">
        <f t="shared" si="0"/>
        <v>299.904</v>
      </c>
      <c r="H6" s="113">
        <v>0</v>
      </c>
      <c r="I6" s="113">
        <v>0</v>
      </c>
      <c r="J6" s="346">
        <f t="shared" si="1"/>
        <v>0</v>
      </c>
      <c r="K6" s="346">
        <f t="shared" si="2"/>
        <v>299.904</v>
      </c>
      <c r="L6" s="347">
        <v>0</v>
      </c>
      <c r="M6" s="349">
        <f t="shared" ref="M6:M70" si="3">M5+L6-K6</f>
        <v>186004.95839999997</v>
      </c>
      <c r="N6" s="346"/>
      <c r="O6" s="346"/>
    </row>
    <row r="7" spans="1:15">
      <c r="A7" s="366">
        <v>4</v>
      </c>
      <c r="B7" s="259" t="s">
        <v>147</v>
      </c>
      <c r="C7" t="s">
        <v>178</v>
      </c>
      <c r="D7" s="180" t="s">
        <v>179</v>
      </c>
      <c r="E7" s="349">
        <v>108.44</v>
      </c>
      <c r="F7" s="370">
        <v>92.22</v>
      </c>
      <c r="G7" s="346">
        <f t="shared" si="0"/>
        <v>10000.336799999999</v>
      </c>
      <c r="H7" s="375">
        <v>0</v>
      </c>
      <c r="I7" s="375">
        <v>0</v>
      </c>
      <c r="J7" s="348">
        <f t="shared" si="1"/>
        <v>0</v>
      </c>
      <c r="K7" s="346">
        <f t="shared" si="2"/>
        <v>10000.336799999999</v>
      </c>
      <c r="L7" s="347">
        <v>0</v>
      </c>
      <c r="M7" s="349">
        <f t="shared" si="3"/>
        <v>176004.62159999998</v>
      </c>
      <c r="N7" s="346"/>
      <c r="O7" s="346"/>
    </row>
    <row r="8" spans="1:15">
      <c r="A8" s="106">
        <v>5</v>
      </c>
      <c r="B8" s="259" t="s">
        <v>147</v>
      </c>
      <c r="C8" s="180" t="s">
        <v>180</v>
      </c>
      <c r="D8" s="180" t="s">
        <v>181</v>
      </c>
      <c r="E8" s="349">
        <v>36.57</v>
      </c>
      <c r="F8" s="370">
        <v>95.7</v>
      </c>
      <c r="G8" s="370">
        <f t="shared" si="0"/>
        <v>3499.7490000000003</v>
      </c>
      <c r="H8" s="113">
        <v>0</v>
      </c>
      <c r="I8" s="113">
        <v>0</v>
      </c>
      <c r="J8" s="346">
        <f t="shared" si="1"/>
        <v>0</v>
      </c>
      <c r="K8" s="349">
        <f t="shared" si="2"/>
        <v>3499.7490000000003</v>
      </c>
      <c r="L8" s="347">
        <v>0</v>
      </c>
      <c r="M8" s="349">
        <f t="shared" si="3"/>
        <v>172504.87259999997</v>
      </c>
      <c r="N8" s="346"/>
      <c r="O8" s="346"/>
    </row>
    <row r="9" spans="1:15">
      <c r="A9" s="106">
        <v>6</v>
      </c>
      <c r="B9" s="259" t="s">
        <v>123</v>
      </c>
      <c r="C9" s="180" t="s">
        <v>176</v>
      </c>
      <c r="D9" s="180" t="s">
        <v>182</v>
      </c>
      <c r="E9" s="349">
        <v>25</v>
      </c>
      <c r="F9" s="346">
        <v>90.88</v>
      </c>
      <c r="G9" s="374">
        <f t="shared" si="0"/>
        <v>2272</v>
      </c>
      <c r="H9" s="113">
        <v>0</v>
      </c>
      <c r="I9" s="113">
        <v>0</v>
      </c>
      <c r="J9" s="346">
        <f t="shared" si="1"/>
        <v>0</v>
      </c>
      <c r="K9" s="367">
        <f t="shared" si="2"/>
        <v>2272</v>
      </c>
      <c r="L9" s="373">
        <v>0</v>
      </c>
      <c r="M9" s="346">
        <f t="shared" si="3"/>
        <v>170232.87259999997</v>
      </c>
      <c r="N9" s="346"/>
      <c r="O9" s="346"/>
    </row>
    <row r="10" spans="1:15">
      <c r="A10" s="366">
        <v>7</v>
      </c>
      <c r="B10" s="383" t="s">
        <v>123</v>
      </c>
      <c r="C10" s="384" t="s">
        <v>183</v>
      </c>
      <c r="D10" s="384" t="s">
        <v>173</v>
      </c>
      <c r="E10" s="381"/>
      <c r="F10" s="348"/>
      <c r="G10" s="370">
        <f t="shared" si="0"/>
        <v>0</v>
      </c>
      <c r="H10" s="113">
        <v>3.72</v>
      </c>
      <c r="I10" s="113">
        <v>107.46</v>
      </c>
      <c r="J10" s="346">
        <f t="shared" si="1"/>
        <v>399.75119999999998</v>
      </c>
      <c r="K10" s="349">
        <f t="shared" si="2"/>
        <v>399.75119999999998</v>
      </c>
      <c r="L10" s="347">
        <v>0</v>
      </c>
      <c r="M10" s="348">
        <f t="shared" si="3"/>
        <v>169833.12139999997</v>
      </c>
      <c r="N10" s="348"/>
      <c r="O10" s="348"/>
    </row>
    <row r="11" spans="1:15">
      <c r="A11" s="106">
        <v>8</v>
      </c>
      <c r="B11" s="259" t="s">
        <v>124</v>
      </c>
      <c r="C11" s="113" t="s">
        <v>184</v>
      </c>
      <c r="D11" s="180" t="s">
        <v>181</v>
      </c>
      <c r="E11" s="382">
        <v>16.71</v>
      </c>
      <c r="F11" s="113">
        <v>95.77</v>
      </c>
      <c r="G11" s="380">
        <f t="shared" si="0"/>
        <v>1600.3167000000001</v>
      </c>
      <c r="H11" s="113">
        <v>0</v>
      </c>
      <c r="I11" s="113">
        <v>0</v>
      </c>
      <c r="J11" s="346">
        <f t="shared" si="1"/>
        <v>0</v>
      </c>
      <c r="K11" s="349">
        <f t="shared" si="2"/>
        <v>1600.3167000000001</v>
      </c>
      <c r="L11" s="347">
        <v>0</v>
      </c>
      <c r="M11" s="348">
        <f t="shared" si="3"/>
        <v>168232.80469999998</v>
      </c>
      <c r="N11" s="348"/>
      <c r="O11" s="348"/>
    </row>
    <row r="12" spans="1:15">
      <c r="A12" s="106">
        <v>9</v>
      </c>
      <c r="B12" s="259" t="s">
        <v>124</v>
      </c>
      <c r="C12" s="113" t="s">
        <v>174</v>
      </c>
      <c r="D12" s="180" t="s">
        <v>185</v>
      </c>
      <c r="E12" s="382">
        <v>55.38</v>
      </c>
      <c r="F12" s="113">
        <v>96.42</v>
      </c>
      <c r="G12" s="380">
        <f t="shared" si="0"/>
        <v>5339.7396000000008</v>
      </c>
      <c r="H12" s="113">
        <v>0</v>
      </c>
      <c r="I12" s="113">
        <v>0</v>
      </c>
      <c r="J12" s="346">
        <f t="shared" si="1"/>
        <v>0</v>
      </c>
      <c r="K12" s="349">
        <f t="shared" si="2"/>
        <v>5339.7396000000008</v>
      </c>
      <c r="L12" s="347">
        <v>0</v>
      </c>
      <c r="M12" s="348">
        <f t="shared" si="3"/>
        <v>162893.06509999998</v>
      </c>
      <c r="N12" s="348"/>
      <c r="O12" s="348"/>
    </row>
    <row r="13" spans="1:15">
      <c r="A13" s="366">
        <v>10</v>
      </c>
      <c r="B13" s="259" t="s">
        <v>124</v>
      </c>
      <c r="C13" s="113" t="s">
        <v>186</v>
      </c>
      <c r="D13" s="180" t="s">
        <v>179</v>
      </c>
      <c r="E13" s="382">
        <v>429.99</v>
      </c>
      <c r="F13" s="113">
        <v>92.23</v>
      </c>
      <c r="G13" s="380">
        <f t="shared" si="0"/>
        <v>39657.977700000003</v>
      </c>
      <c r="H13" s="113">
        <v>0</v>
      </c>
      <c r="I13" s="113">
        <v>0</v>
      </c>
      <c r="J13" s="347">
        <f t="shared" si="1"/>
        <v>0</v>
      </c>
      <c r="K13" s="365">
        <f t="shared" si="2"/>
        <v>39657.977700000003</v>
      </c>
      <c r="L13" s="347">
        <v>0</v>
      </c>
      <c r="M13" s="346">
        <f t="shared" si="3"/>
        <v>123235.08739999997</v>
      </c>
      <c r="N13" s="346"/>
      <c r="O13" s="346"/>
    </row>
    <row r="14" spans="1:15">
      <c r="A14" s="106">
        <v>11</v>
      </c>
      <c r="B14" s="259" t="s">
        <v>149</v>
      </c>
      <c r="C14" s="385" t="s">
        <v>180</v>
      </c>
      <c r="D14" s="384" t="s">
        <v>173</v>
      </c>
      <c r="E14" s="367">
        <v>0</v>
      </c>
      <c r="F14" s="350">
        <v>0</v>
      </c>
      <c r="G14" s="370">
        <f t="shared" si="0"/>
        <v>0</v>
      </c>
      <c r="H14" s="113">
        <v>3.72</v>
      </c>
      <c r="I14" s="113">
        <v>107.46</v>
      </c>
      <c r="J14" s="347">
        <f t="shared" si="1"/>
        <v>399.75119999999998</v>
      </c>
      <c r="K14" s="365">
        <f t="shared" si="2"/>
        <v>399.75119999999998</v>
      </c>
      <c r="L14" s="347">
        <v>0</v>
      </c>
      <c r="M14" s="346">
        <f t="shared" si="3"/>
        <v>122835.33619999998</v>
      </c>
      <c r="N14" s="346"/>
      <c r="O14" s="346"/>
    </row>
    <row r="15" spans="1:15">
      <c r="A15" s="106">
        <v>12</v>
      </c>
      <c r="B15" s="259" t="s">
        <v>149</v>
      </c>
      <c r="C15" s="113" t="s">
        <v>176</v>
      </c>
      <c r="D15" s="113" t="s">
        <v>182</v>
      </c>
      <c r="E15" s="349">
        <v>0</v>
      </c>
      <c r="F15" s="346">
        <v>0</v>
      </c>
      <c r="G15" s="370">
        <f t="shared" si="0"/>
        <v>0</v>
      </c>
      <c r="H15" s="113">
        <v>9.73</v>
      </c>
      <c r="I15" s="113">
        <v>102.77</v>
      </c>
      <c r="J15" s="347">
        <f t="shared" si="1"/>
        <v>999.95209999999997</v>
      </c>
      <c r="K15" s="365">
        <f t="shared" si="2"/>
        <v>999.95209999999997</v>
      </c>
      <c r="L15" s="347">
        <v>0</v>
      </c>
      <c r="M15" s="346">
        <f t="shared" si="3"/>
        <v>121835.38409999998</v>
      </c>
      <c r="N15" s="346"/>
      <c r="O15" s="346"/>
    </row>
    <row r="16" spans="1:15">
      <c r="A16" s="366">
        <v>13</v>
      </c>
      <c r="B16" s="259" t="s">
        <v>125</v>
      </c>
      <c r="C16" s="113" t="s">
        <v>178</v>
      </c>
      <c r="D16" s="113" t="s">
        <v>179</v>
      </c>
      <c r="E16" s="349">
        <v>140</v>
      </c>
      <c r="F16" s="346">
        <v>92.22</v>
      </c>
      <c r="G16" s="370">
        <f t="shared" si="0"/>
        <v>12910.8</v>
      </c>
      <c r="H16" s="113">
        <v>10</v>
      </c>
      <c r="I16" s="113">
        <v>104.08</v>
      </c>
      <c r="J16" s="346">
        <f t="shared" si="1"/>
        <v>1040.8</v>
      </c>
      <c r="K16" s="349">
        <f t="shared" si="2"/>
        <v>13951.599999999999</v>
      </c>
      <c r="L16" s="347">
        <v>0</v>
      </c>
      <c r="M16" s="346">
        <f t="shared" si="3"/>
        <v>107883.78409999999</v>
      </c>
      <c r="N16" s="346"/>
      <c r="O16" s="346"/>
    </row>
    <row r="17" spans="1:15">
      <c r="A17" s="106">
        <v>14</v>
      </c>
      <c r="B17" s="259" t="s">
        <v>126</v>
      </c>
      <c r="C17" s="113" t="s">
        <v>187</v>
      </c>
      <c r="D17" s="113" t="s">
        <v>179</v>
      </c>
      <c r="E17" s="349">
        <v>180</v>
      </c>
      <c r="F17" s="346">
        <v>92.23</v>
      </c>
      <c r="G17" s="370">
        <f t="shared" si="0"/>
        <v>16601.400000000001</v>
      </c>
      <c r="H17" s="113">
        <v>30</v>
      </c>
      <c r="I17" s="113">
        <v>104</v>
      </c>
      <c r="J17" s="346">
        <f t="shared" si="1"/>
        <v>3120</v>
      </c>
      <c r="K17" s="349">
        <f t="shared" si="2"/>
        <v>19721.400000000001</v>
      </c>
      <c r="L17" s="347">
        <v>0</v>
      </c>
      <c r="M17" s="346">
        <f t="shared" si="3"/>
        <v>88162.384099999996</v>
      </c>
      <c r="N17" s="346"/>
      <c r="O17" s="346"/>
    </row>
    <row r="18" spans="1:15">
      <c r="A18" s="106">
        <v>15</v>
      </c>
      <c r="B18" s="259" t="s">
        <v>126</v>
      </c>
      <c r="C18" t="s">
        <v>188</v>
      </c>
      <c r="D18" s="180" t="s">
        <v>181</v>
      </c>
      <c r="E18" s="349">
        <v>32.29</v>
      </c>
      <c r="F18" s="346">
        <v>95.7</v>
      </c>
      <c r="G18" s="370">
        <f t="shared" si="0"/>
        <v>3090.1529999999998</v>
      </c>
      <c r="H18" s="113">
        <v>0</v>
      </c>
      <c r="I18" s="113">
        <v>0</v>
      </c>
      <c r="J18" s="346">
        <f t="shared" si="1"/>
        <v>0</v>
      </c>
      <c r="K18" s="349">
        <f t="shared" si="2"/>
        <v>3090.1529999999998</v>
      </c>
      <c r="L18" s="347">
        <v>0</v>
      </c>
      <c r="M18" s="346">
        <f t="shared" si="3"/>
        <v>85072.23109999999</v>
      </c>
      <c r="N18" s="346"/>
      <c r="O18" s="346"/>
    </row>
    <row r="19" spans="1:15">
      <c r="A19" s="366">
        <v>16</v>
      </c>
      <c r="B19" s="259" t="s">
        <v>127</v>
      </c>
      <c r="C19" s="180" t="s">
        <v>189</v>
      </c>
      <c r="D19" s="180" t="s">
        <v>190</v>
      </c>
      <c r="E19" s="349">
        <v>2190.1</v>
      </c>
      <c r="F19" s="346">
        <v>91.32</v>
      </c>
      <c r="G19" s="370">
        <f t="shared" si="0"/>
        <v>199999.93199999997</v>
      </c>
      <c r="H19" s="113">
        <v>0</v>
      </c>
      <c r="I19" s="113">
        <v>0</v>
      </c>
      <c r="J19" s="346">
        <f t="shared" si="1"/>
        <v>0</v>
      </c>
      <c r="K19" s="349">
        <f t="shared" si="2"/>
        <v>199999.93199999997</v>
      </c>
      <c r="L19" s="347">
        <v>250000</v>
      </c>
      <c r="M19" s="346">
        <f t="shared" si="3"/>
        <v>135072.2991</v>
      </c>
      <c r="N19" s="348"/>
      <c r="O19" s="348"/>
    </row>
    <row r="20" spans="1:15">
      <c r="A20" s="106">
        <v>17</v>
      </c>
      <c r="B20" s="259" t="s">
        <v>128</v>
      </c>
      <c r="C20" s="113" t="s">
        <v>191</v>
      </c>
      <c r="D20" s="113" t="s">
        <v>190</v>
      </c>
      <c r="E20" s="349">
        <v>164.37</v>
      </c>
      <c r="F20" s="346">
        <v>91.26</v>
      </c>
      <c r="G20" s="370">
        <f t="shared" si="0"/>
        <v>15000.406200000001</v>
      </c>
      <c r="H20" s="113">
        <v>0</v>
      </c>
      <c r="I20" s="113">
        <v>0</v>
      </c>
      <c r="J20" s="346">
        <f t="shared" si="1"/>
        <v>0</v>
      </c>
      <c r="K20" s="349">
        <f t="shared" si="2"/>
        <v>15000.406200000001</v>
      </c>
      <c r="L20" s="347">
        <v>0</v>
      </c>
      <c r="M20" s="346">
        <f t="shared" si="3"/>
        <v>120071.89290000001</v>
      </c>
      <c r="N20" s="346"/>
      <c r="O20" s="346"/>
    </row>
    <row r="21" spans="1:15">
      <c r="A21" s="106">
        <v>18</v>
      </c>
      <c r="B21" s="259" t="s">
        <v>129</v>
      </c>
      <c r="C21" s="180" t="s">
        <v>172</v>
      </c>
      <c r="D21" s="384" t="s">
        <v>173</v>
      </c>
      <c r="E21" s="349"/>
      <c r="F21" s="346"/>
      <c r="G21" s="370">
        <f t="shared" si="0"/>
        <v>0</v>
      </c>
      <c r="H21" s="113">
        <v>4.01</v>
      </c>
      <c r="I21" s="113">
        <v>107.46</v>
      </c>
      <c r="J21" s="346">
        <f t="shared" si="1"/>
        <v>430.91459999999995</v>
      </c>
      <c r="K21" s="349">
        <f t="shared" si="2"/>
        <v>430.91459999999995</v>
      </c>
      <c r="L21" s="347">
        <v>0</v>
      </c>
      <c r="M21" s="346">
        <f t="shared" si="3"/>
        <v>119640.9783</v>
      </c>
      <c r="N21" s="346"/>
      <c r="O21" s="346"/>
    </row>
    <row r="22" spans="1:15">
      <c r="A22" s="366">
        <v>19</v>
      </c>
      <c r="B22" s="259" t="s">
        <v>129</v>
      </c>
      <c r="C22" s="180" t="s">
        <v>192</v>
      </c>
      <c r="D22" s="180" t="s">
        <v>179</v>
      </c>
      <c r="E22" s="349">
        <v>1631.68</v>
      </c>
      <c r="F22" s="346">
        <v>91.93</v>
      </c>
      <c r="G22" s="370">
        <f t="shared" si="0"/>
        <v>150000.34240000002</v>
      </c>
      <c r="H22" s="113">
        <v>0</v>
      </c>
      <c r="I22" s="113">
        <v>0</v>
      </c>
      <c r="J22" s="346">
        <f t="shared" si="1"/>
        <v>0</v>
      </c>
      <c r="K22" s="349">
        <f>G22+J22</f>
        <v>150000.34240000002</v>
      </c>
      <c r="L22" s="347">
        <v>250000</v>
      </c>
      <c r="M22" s="346">
        <f t="shared" si="3"/>
        <v>219640.63589999999</v>
      </c>
      <c r="N22" s="348"/>
      <c r="O22" s="348"/>
    </row>
    <row r="23" spans="1:15">
      <c r="A23" s="106">
        <v>20</v>
      </c>
      <c r="B23" s="259" t="s">
        <v>130</v>
      </c>
      <c r="C23" s="180" t="s">
        <v>193</v>
      </c>
      <c r="D23" s="113" t="s">
        <v>182</v>
      </c>
      <c r="E23" s="349">
        <v>35</v>
      </c>
      <c r="F23" s="346">
        <v>90.88</v>
      </c>
      <c r="G23" s="370">
        <f t="shared" si="0"/>
        <v>3180.7999999999997</v>
      </c>
      <c r="H23" s="113">
        <v>0</v>
      </c>
      <c r="I23" s="113">
        <v>0</v>
      </c>
      <c r="J23" s="346">
        <f t="shared" si="1"/>
        <v>0</v>
      </c>
      <c r="K23" s="349">
        <f t="shared" si="2"/>
        <v>3180.7999999999997</v>
      </c>
      <c r="L23" s="347">
        <v>0</v>
      </c>
      <c r="M23" s="346">
        <f t="shared" si="3"/>
        <v>216459.83590000001</v>
      </c>
      <c r="N23" s="346"/>
      <c r="O23" s="346"/>
    </row>
    <row r="24" spans="1:15">
      <c r="A24" s="106">
        <v>21</v>
      </c>
      <c r="B24" s="259" t="s">
        <v>130</v>
      </c>
      <c r="C24" s="180" t="s">
        <v>178</v>
      </c>
      <c r="D24" s="113" t="s">
        <v>179</v>
      </c>
      <c r="E24" s="349">
        <v>105</v>
      </c>
      <c r="F24" s="346">
        <v>92.22</v>
      </c>
      <c r="G24" s="370">
        <f t="shared" si="0"/>
        <v>9683.1</v>
      </c>
      <c r="H24" s="113">
        <v>0</v>
      </c>
      <c r="I24" s="113">
        <v>0</v>
      </c>
      <c r="J24" s="346">
        <f t="shared" si="1"/>
        <v>0</v>
      </c>
      <c r="K24" s="349">
        <f t="shared" si="2"/>
        <v>9683.1</v>
      </c>
      <c r="L24" s="347">
        <v>0</v>
      </c>
      <c r="M24" s="346">
        <f>M23+L24-K24</f>
        <v>206776.7359</v>
      </c>
      <c r="N24" s="348"/>
      <c r="O24" s="348"/>
    </row>
    <row r="25" spans="1:15">
      <c r="A25" s="366">
        <v>22</v>
      </c>
      <c r="B25" s="259" t="s">
        <v>130</v>
      </c>
      <c r="C25" s="180" t="s">
        <v>194</v>
      </c>
      <c r="D25" s="113" t="s">
        <v>195</v>
      </c>
      <c r="E25" s="349">
        <v>40.159999999999997</v>
      </c>
      <c r="F25" s="346">
        <v>96.83</v>
      </c>
      <c r="G25" s="370">
        <f t="shared" si="0"/>
        <v>3888.6927999999998</v>
      </c>
      <c r="H25" s="113">
        <v>0</v>
      </c>
      <c r="I25" s="113">
        <v>0</v>
      </c>
      <c r="J25" s="346">
        <f t="shared" si="1"/>
        <v>0</v>
      </c>
      <c r="K25" s="349">
        <f>G25+J25</f>
        <v>3888.6927999999998</v>
      </c>
      <c r="L25" s="347">
        <v>0</v>
      </c>
      <c r="M25" s="346">
        <f t="shared" si="3"/>
        <v>202888.04310000001</v>
      </c>
      <c r="N25" s="346"/>
      <c r="O25" s="346"/>
    </row>
    <row r="26" spans="1:15">
      <c r="A26" s="106">
        <v>23</v>
      </c>
      <c r="B26" s="259" t="s">
        <v>150</v>
      </c>
      <c r="C26" s="180" t="s">
        <v>178</v>
      </c>
      <c r="D26" s="113" t="s">
        <v>179</v>
      </c>
      <c r="E26" s="349">
        <v>140</v>
      </c>
      <c r="F26" s="346">
        <v>92.22</v>
      </c>
      <c r="G26" s="370">
        <f t="shared" si="0"/>
        <v>12910.8</v>
      </c>
      <c r="H26" s="113">
        <v>0</v>
      </c>
      <c r="I26" s="113">
        <v>0</v>
      </c>
      <c r="J26" s="346">
        <f t="shared" si="1"/>
        <v>0</v>
      </c>
      <c r="K26" s="349">
        <f t="shared" si="2"/>
        <v>12910.8</v>
      </c>
      <c r="L26" s="347">
        <v>0</v>
      </c>
      <c r="M26" s="346">
        <f t="shared" si="3"/>
        <v>189977.24310000002</v>
      </c>
      <c r="N26" s="346"/>
      <c r="O26" s="346"/>
    </row>
    <row r="27" spans="1:15">
      <c r="A27" s="106">
        <v>24</v>
      </c>
      <c r="B27" s="259" t="s">
        <v>132</v>
      </c>
      <c r="C27" s="180" t="s">
        <v>178</v>
      </c>
      <c r="D27" s="113" t="s">
        <v>179</v>
      </c>
      <c r="E27" s="349">
        <v>179.99</v>
      </c>
      <c r="F27" s="346">
        <v>92.22</v>
      </c>
      <c r="G27" s="370">
        <f t="shared" si="0"/>
        <v>16598.677800000001</v>
      </c>
      <c r="H27" s="113">
        <v>0</v>
      </c>
      <c r="I27" s="113">
        <v>0</v>
      </c>
      <c r="J27" s="346">
        <f t="shared" si="1"/>
        <v>0</v>
      </c>
      <c r="K27" s="349">
        <f>G27+J27</f>
        <v>16598.677800000001</v>
      </c>
      <c r="L27" s="347">
        <v>0</v>
      </c>
      <c r="M27" s="346">
        <f t="shared" si="3"/>
        <v>173378.56530000002</v>
      </c>
      <c r="N27" s="346"/>
      <c r="O27" s="346"/>
    </row>
    <row r="28" spans="1:15">
      <c r="A28" s="366">
        <v>25</v>
      </c>
      <c r="B28" s="259" t="s">
        <v>132</v>
      </c>
      <c r="C28" s="113" t="s">
        <v>196</v>
      </c>
      <c r="D28" s="113" t="s">
        <v>197</v>
      </c>
      <c r="E28" s="349">
        <v>31.69</v>
      </c>
      <c r="F28" s="346">
        <v>92.22</v>
      </c>
      <c r="G28" s="370">
        <f t="shared" si="0"/>
        <v>2922.4518000000003</v>
      </c>
      <c r="H28" s="113">
        <v>0</v>
      </c>
      <c r="I28" s="113">
        <v>0</v>
      </c>
      <c r="J28" s="346">
        <f t="shared" si="1"/>
        <v>0</v>
      </c>
      <c r="K28" s="349">
        <f t="shared" si="2"/>
        <v>2922.4518000000003</v>
      </c>
      <c r="L28" s="347">
        <v>0</v>
      </c>
      <c r="M28" s="346">
        <f t="shared" si="3"/>
        <v>170456.11350000001</v>
      </c>
      <c r="N28" s="346"/>
      <c r="O28" s="346"/>
    </row>
    <row r="29" spans="1:15">
      <c r="A29" s="106">
        <v>26</v>
      </c>
      <c r="B29" s="259" t="s">
        <v>132</v>
      </c>
      <c r="C29" s="180" t="s">
        <v>172</v>
      </c>
      <c r="D29" s="384" t="s">
        <v>173</v>
      </c>
      <c r="E29" s="349"/>
      <c r="F29" s="346"/>
      <c r="G29" s="370">
        <f t="shared" si="0"/>
        <v>0</v>
      </c>
      <c r="H29" s="113">
        <v>4.17</v>
      </c>
      <c r="I29" s="113">
        <v>107.46</v>
      </c>
      <c r="J29" s="346">
        <f t="shared" si="1"/>
        <v>448.10819999999995</v>
      </c>
      <c r="K29" s="349">
        <f t="shared" si="2"/>
        <v>448.10819999999995</v>
      </c>
      <c r="L29" s="347">
        <v>0</v>
      </c>
      <c r="M29" s="346">
        <f t="shared" si="3"/>
        <v>170008.00530000002</v>
      </c>
      <c r="N29" s="348"/>
      <c r="O29" s="348"/>
    </row>
    <row r="30" spans="1:15" ht="14.25" customHeight="1">
      <c r="A30" s="106">
        <v>27</v>
      </c>
      <c r="B30" s="259" t="s">
        <v>151</v>
      </c>
      <c r="C30" s="180" t="s">
        <v>198</v>
      </c>
      <c r="D30" s="180" t="s">
        <v>199</v>
      </c>
      <c r="E30" s="349">
        <v>47.53</v>
      </c>
      <c r="F30" s="346">
        <v>96.26</v>
      </c>
      <c r="G30" s="370">
        <f t="shared" si="0"/>
        <v>4575.2378000000008</v>
      </c>
      <c r="H30" s="113">
        <v>0</v>
      </c>
      <c r="I30" s="113">
        <v>0</v>
      </c>
      <c r="J30" s="346">
        <f t="shared" si="1"/>
        <v>0</v>
      </c>
      <c r="K30" s="349">
        <f t="shared" si="2"/>
        <v>4575.2378000000008</v>
      </c>
      <c r="L30" s="347">
        <v>0</v>
      </c>
      <c r="M30" s="346">
        <f t="shared" si="3"/>
        <v>165432.76750000002</v>
      </c>
      <c r="N30" s="346"/>
      <c r="O30" s="346"/>
    </row>
    <row r="31" spans="1:15">
      <c r="A31" s="366">
        <v>28</v>
      </c>
      <c r="B31" s="259" t="s">
        <v>151</v>
      </c>
      <c r="C31" s="180" t="s">
        <v>193</v>
      </c>
      <c r="D31" s="113" t="s">
        <v>182</v>
      </c>
      <c r="E31" s="349"/>
      <c r="F31" s="346"/>
      <c r="G31" s="370">
        <f t="shared" si="0"/>
        <v>0</v>
      </c>
      <c r="H31" s="113">
        <v>4.92</v>
      </c>
      <c r="I31" s="113">
        <v>102.77</v>
      </c>
      <c r="J31" s="346">
        <f t="shared" si="1"/>
        <v>505.6284</v>
      </c>
      <c r="K31" s="349">
        <f t="shared" si="2"/>
        <v>505.6284</v>
      </c>
      <c r="L31" s="347">
        <v>0</v>
      </c>
      <c r="M31" s="346">
        <f t="shared" si="3"/>
        <v>164927.13910000003</v>
      </c>
      <c r="N31" s="346"/>
      <c r="O31" s="346"/>
    </row>
    <row r="32" spans="1:15">
      <c r="A32" s="106">
        <v>29</v>
      </c>
      <c r="B32" s="259" t="s">
        <v>151</v>
      </c>
      <c r="C32" s="113" t="s">
        <v>200</v>
      </c>
      <c r="D32" s="113" t="s">
        <v>182</v>
      </c>
      <c r="E32" s="349">
        <v>53.4</v>
      </c>
      <c r="F32" s="346">
        <v>95.7</v>
      </c>
      <c r="G32" s="370">
        <f t="shared" si="0"/>
        <v>5110.38</v>
      </c>
      <c r="H32" s="113">
        <v>0</v>
      </c>
      <c r="I32" s="113">
        <v>0</v>
      </c>
      <c r="J32" s="346">
        <f t="shared" si="1"/>
        <v>0</v>
      </c>
      <c r="K32" s="349">
        <f t="shared" si="2"/>
        <v>5110.38</v>
      </c>
      <c r="L32" s="347">
        <v>0</v>
      </c>
      <c r="M32" s="346">
        <f t="shared" si="3"/>
        <v>159816.75910000002</v>
      </c>
      <c r="N32" s="346"/>
      <c r="O32" s="346"/>
    </row>
    <row r="33" spans="1:15">
      <c r="A33" s="106">
        <v>30</v>
      </c>
      <c r="B33" s="259" t="s">
        <v>135</v>
      </c>
      <c r="C33" s="113" t="s">
        <v>187</v>
      </c>
      <c r="D33" s="113" t="s">
        <v>179</v>
      </c>
      <c r="E33" s="349">
        <v>500</v>
      </c>
      <c r="F33" s="346">
        <v>92.23</v>
      </c>
      <c r="G33" s="370">
        <f t="shared" si="0"/>
        <v>46115</v>
      </c>
      <c r="H33" s="113">
        <v>35</v>
      </c>
      <c r="I33" s="113">
        <v>104.09</v>
      </c>
      <c r="J33" s="346">
        <f t="shared" si="1"/>
        <v>3643.15</v>
      </c>
      <c r="K33" s="349">
        <f t="shared" si="2"/>
        <v>49758.15</v>
      </c>
      <c r="L33" s="347">
        <v>0</v>
      </c>
      <c r="M33" s="346">
        <f t="shared" si="3"/>
        <v>110058.60910000003</v>
      </c>
      <c r="N33" s="346"/>
      <c r="O33" s="346"/>
    </row>
    <row r="34" spans="1:15">
      <c r="A34" s="366">
        <v>31</v>
      </c>
      <c r="B34" s="259" t="s">
        <v>136</v>
      </c>
      <c r="C34" s="113" t="s">
        <v>201</v>
      </c>
      <c r="D34" s="113" t="s">
        <v>199</v>
      </c>
      <c r="E34" s="349">
        <v>45.9</v>
      </c>
      <c r="F34" s="346">
        <v>96.33</v>
      </c>
      <c r="G34" s="370">
        <f t="shared" si="0"/>
        <v>4421.5469999999996</v>
      </c>
      <c r="H34" s="113">
        <v>0</v>
      </c>
      <c r="I34" s="113">
        <v>0</v>
      </c>
      <c r="J34" s="346">
        <f t="shared" si="1"/>
        <v>0</v>
      </c>
      <c r="K34" s="349">
        <f t="shared" si="2"/>
        <v>4421.5469999999996</v>
      </c>
      <c r="L34" s="347">
        <v>0</v>
      </c>
      <c r="M34" s="346">
        <f t="shared" si="3"/>
        <v>105637.06210000002</v>
      </c>
      <c r="N34" s="348"/>
      <c r="O34" s="348"/>
    </row>
    <row r="35" spans="1:15">
      <c r="A35" s="106">
        <v>32</v>
      </c>
      <c r="B35" s="259" t="s">
        <v>136</v>
      </c>
      <c r="C35" s="180" t="s">
        <v>202</v>
      </c>
      <c r="D35" s="113" t="s">
        <v>203</v>
      </c>
      <c r="E35" s="349"/>
      <c r="F35" s="346"/>
      <c r="G35" s="370">
        <f t="shared" si="0"/>
        <v>0</v>
      </c>
      <c r="H35" s="113">
        <v>3.72</v>
      </c>
      <c r="I35" s="113">
        <v>107.46</v>
      </c>
      <c r="J35" s="346">
        <f t="shared" si="1"/>
        <v>399.75119999999998</v>
      </c>
      <c r="K35" s="349">
        <f t="shared" si="2"/>
        <v>399.75119999999998</v>
      </c>
      <c r="L35" s="347">
        <v>0</v>
      </c>
      <c r="M35" s="346">
        <f t="shared" si="3"/>
        <v>105237.31090000003</v>
      </c>
      <c r="N35" s="348"/>
      <c r="O35" s="348"/>
    </row>
    <row r="36" spans="1:15">
      <c r="A36" s="106">
        <v>33</v>
      </c>
      <c r="B36" s="259" t="s">
        <v>137</v>
      </c>
      <c r="C36" s="180" t="s">
        <v>187</v>
      </c>
      <c r="D36" s="180" t="s">
        <v>179</v>
      </c>
      <c r="E36" s="349">
        <v>433.7</v>
      </c>
      <c r="F36" s="346">
        <v>92.23</v>
      </c>
      <c r="G36" s="370">
        <f t="shared" si="0"/>
        <v>40000.150999999998</v>
      </c>
      <c r="H36" s="113">
        <v>0</v>
      </c>
      <c r="I36" s="113">
        <v>0</v>
      </c>
      <c r="J36" s="346">
        <f t="shared" si="1"/>
        <v>0</v>
      </c>
      <c r="K36" s="349">
        <f t="shared" si="2"/>
        <v>40000.150999999998</v>
      </c>
      <c r="L36" s="347">
        <v>0</v>
      </c>
      <c r="M36" s="346">
        <f t="shared" si="3"/>
        <v>65237.159900000028</v>
      </c>
      <c r="N36" s="346"/>
      <c r="O36" s="346"/>
    </row>
    <row r="37" spans="1:15">
      <c r="A37" s="366">
        <v>34</v>
      </c>
      <c r="B37" s="259" t="s">
        <v>139</v>
      </c>
      <c r="C37" s="113" t="s">
        <v>193</v>
      </c>
      <c r="D37" s="180" t="s">
        <v>182</v>
      </c>
      <c r="E37" s="349"/>
      <c r="F37" s="346"/>
      <c r="G37" s="370">
        <f t="shared" si="0"/>
        <v>0</v>
      </c>
      <c r="H37" s="113">
        <v>6.03</v>
      </c>
      <c r="I37" s="113">
        <v>102.77</v>
      </c>
      <c r="J37" s="346">
        <f t="shared" si="1"/>
        <v>619.70309999999995</v>
      </c>
      <c r="K37" s="349">
        <f t="shared" si="2"/>
        <v>619.70309999999995</v>
      </c>
      <c r="L37" s="347">
        <v>0</v>
      </c>
      <c r="M37" s="346">
        <f t="shared" si="3"/>
        <v>64617.456800000029</v>
      </c>
      <c r="N37" s="346"/>
      <c r="O37" s="346"/>
    </row>
    <row r="38" spans="1:15">
      <c r="A38" s="106">
        <v>35</v>
      </c>
      <c r="B38" s="259" t="s">
        <v>140</v>
      </c>
      <c r="C38" s="180" t="s">
        <v>204</v>
      </c>
      <c r="D38" s="113" t="s">
        <v>173</v>
      </c>
      <c r="E38" s="349"/>
      <c r="F38" s="346"/>
      <c r="G38" s="370">
        <f t="shared" si="0"/>
        <v>0</v>
      </c>
      <c r="H38" s="113">
        <v>3.72</v>
      </c>
      <c r="I38" s="113">
        <v>102.77</v>
      </c>
      <c r="J38" s="346">
        <f t="shared" si="1"/>
        <v>382.30439999999999</v>
      </c>
      <c r="K38" s="349">
        <f t="shared" si="2"/>
        <v>382.30439999999999</v>
      </c>
      <c r="L38" s="347">
        <v>0</v>
      </c>
      <c r="M38" s="346">
        <f t="shared" si="3"/>
        <v>64235.152400000028</v>
      </c>
      <c r="N38" s="346"/>
      <c r="O38" s="346"/>
    </row>
    <row r="39" spans="1:15">
      <c r="A39" s="106">
        <v>36</v>
      </c>
      <c r="B39" s="259" t="s">
        <v>140</v>
      </c>
      <c r="C39" s="113" t="s">
        <v>205</v>
      </c>
      <c r="D39" s="180" t="s">
        <v>197</v>
      </c>
      <c r="E39" s="349">
        <v>34.200000000000003</v>
      </c>
      <c r="F39" s="346">
        <v>95.7</v>
      </c>
      <c r="G39" s="370">
        <f t="shared" si="0"/>
        <v>3272.9400000000005</v>
      </c>
      <c r="H39" s="113">
        <v>0</v>
      </c>
      <c r="I39" s="113">
        <v>0</v>
      </c>
      <c r="J39" s="346">
        <f t="shared" si="1"/>
        <v>0</v>
      </c>
      <c r="K39" s="349">
        <f t="shared" si="2"/>
        <v>3272.9400000000005</v>
      </c>
      <c r="L39" s="347">
        <v>0</v>
      </c>
      <c r="M39" s="346">
        <f t="shared" si="3"/>
        <v>60962.212400000026</v>
      </c>
      <c r="N39" s="346"/>
      <c r="O39" s="346"/>
    </row>
    <row r="40" spans="1:15">
      <c r="A40" s="366">
        <v>37</v>
      </c>
      <c r="B40" s="259" t="s">
        <v>140</v>
      </c>
      <c r="C40" s="180" t="s">
        <v>206</v>
      </c>
      <c r="D40" s="113" t="s">
        <v>207</v>
      </c>
      <c r="E40" s="349">
        <v>28.14</v>
      </c>
      <c r="F40" s="346">
        <v>97.33</v>
      </c>
      <c r="G40" s="370">
        <f t="shared" si="0"/>
        <v>2738.8661999999999</v>
      </c>
      <c r="H40" s="113">
        <v>0</v>
      </c>
      <c r="I40" s="113">
        <v>0</v>
      </c>
      <c r="J40" s="346">
        <f t="shared" si="1"/>
        <v>0</v>
      </c>
      <c r="K40" s="349">
        <f t="shared" si="2"/>
        <v>2738.8661999999999</v>
      </c>
      <c r="L40" s="347">
        <v>0</v>
      </c>
      <c r="M40" s="346">
        <f t="shared" si="3"/>
        <v>58223.346200000029</v>
      </c>
      <c r="N40" s="346"/>
      <c r="O40" s="346"/>
    </row>
    <row r="41" spans="1:15">
      <c r="A41" s="106">
        <v>38</v>
      </c>
      <c r="B41" s="259" t="s">
        <v>142</v>
      </c>
      <c r="C41" s="113" t="s">
        <v>208</v>
      </c>
      <c r="D41" s="113" t="s">
        <v>185</v>
      </c>
      <c r="E41" s="349">
        <v>53.81</v>
      </c>
      <c r="F41" s="346">
        <v>95.7</v>
      </c>
      <c r="G41" s="370">
        <f t="shared" si="0"/>
        <v>5149.6170000000002</v>
      </c>
      <c r="H41" s="113">
        <v>0</v>
      </c>
      <c r="I41" s="113">
        <v>0</v>
      </c>
      <c r="J41" s="346">
        <f t="shared" si="1"/>
        <v>0</v>
      </c>
      <c r="K41" s="349">
        <f t="shared" si="2"/>
        <v>5149.6170000000002</v>
      </c>
      <c r="L41" s="347">
        <v>0</v>
      </c>
      <c r="M41" s="346">
        <f t="shared" si="3"/>
        <v>53073.729200000031</v>
      </c>
      <c r="N41" s="346"/>
      <c r="O41" s="346"/>
    </row>
    <row r="42" spans="1:15">
      <c r="A42" s="106">
        <v>39</v>
      </c>
      <c r="B42" s="259" t="s">
        <v>143</v>
      </c>
      <c r="C42" s="113" t="s">
        <v>209</v>
      </c>
      <c r="D42" s="113" t="s">
        <v>210</v>
      </c>
      <c r="E42" s="349">
        <v>89.64</v>
      </c>
      <c r="F42" s="346">
        <v>97.47</v>
      </c>
      <c r="G42" s="370">
        <f t="shared" si="0"/>
        <v>8737.2108000000007</v>
      </c>
      <c r="H42" s="113">
        <v>0</v>
      </c>
      <c r="I42" s="113">
        <v>0</v>
      </c>
      <c r="J42" s="346">
        <f t="shared" si="1"/>
        <v>0</v>
      </c>
      <c r="K42" s="349">
        <f t="shared" si="2"/>
        <v>8737.2108000000007</v>
      </c>
      <c r="L42" s="347">
        <v>0</v>
      </c>
      <c r="M42" s="346">
        <f t="shared" si="3"/>
        <v>44336.51840000003</v>
      </c>
      <c r="N42" s="348"/>
      <c r="O42" s="348"/>
    </row>
    <row r="43" spans="1:15">
      <c r="A43" s="366">
        <v>40</v>
      </c>
      <c r="B43" s="259" t="s">
        <v>143</v>
      </c>
      <c r="C43" s="113" t="s">
        <v>211</v>
      </c>
      <c r="D43" s="113" t="s">
        <v>199</v>
      </c>
      <c r="E43" s="349">
        <v>39.44</v>
      </c>
      <c r="F43" s="346">
        <v>97.1</v>
      </c>
      <c r="G43" s="370">
        <f t="shared" si="0"/>
        <v>3829.6239999999993</v>
      </c>
      <c r="H43" s="113">
        <v>0</v>
      </c>
      <c r="I43" s="113">
        <v>0</v>
      </c>
      <c r="J43" s="346">
        <f t="shared" si="1"/>
        <v>0</v>
      </c>
      <c r="K43" s="349">
        <f t="shared" si="2"/>
        <v>3829.6239999999993</v>
      </c>
      <c r="L43" s="347">
        <v>0</v>
      </c>
      <c r="M43" s="346">
        <f t="shared" si="3"/>
        <v>40506.894400000034</v>
      </c>
      <c r="N43" s="348"/>
      <c r="O43" s="348"/>
    </row>
    <row r="44" spans="1:15">
      <c r="A44" s="106">
        <v>41</v>
      </c>
      <c r="B44" s="259" t="s">
        <v>144</v>
      </c>
      <c r="C44" s="113" t="s">
        <v>212</v>
      </c>
      <c r="D44" s="113" t="s">
        <v>173</v>
      </c>
      <c r="E44" s="349"/>
      <c r="F44" s="346"/>
      <c r="G44" s="370">
        <f t="shared" si="0"/>
        <v>0</v>
      </c>
      <c r="H44" s="349">
        <v>37.07</v>
      </c>
      <c r="I44" s="346">
        <v>107.89</v>
      </c>
      <c r="J44" s="346">
        <f t="shared" si="1"/>
        <v>3999.4823000000001</v>
      </c>
      <c r="K44" s="349">
        <f t="shared" si="2"/>
        <v>3999.4823000000001</v>
      </c>
      <c r="L44" s="347">
        <v>0</v>
      </c>
      <c r="M44" s="346">
        <f t="shared" si="3"/>
        <v>36507.41210000003</v>
      </c>
      <c r="N44" s="348"/>
      <c r="O44" s="348"/>
    </row>
    <row r="45" spans="1:15">
      <c r="A45" s="106">
        <v>42</v>
      </c>
      <c r="B45" s="259" t="s">
        <v>160</v>
      </c>
      <c r="C45" s="113" t="s">
        <v>178</v>
      </c>
      <c r="D45" s="113" t="s">
        <v>210</v>
      </c>
      <c r="E45" s="349">
        <v>200</v>
      </c>
      <c r="F45" s="346">
        <v>92.22</v>
      </c>
      <c r="G45" s="370">
        <f t="shared" si="0"/>
        <v>18444</v>
      </c>
      <c r="H45" s="113">
        <v>10</v>
      </c>
      <c r="I45" s="113">
        <v>104.08</v>
      </c>
      <c r="J45" s="346">
        <f t="shared" si="1"/>
        <v>1040.8</v>
      </c>
      <c r="K45" s="349">
        <f t="shared" si="2"/>
        <v>19484.8</v>
      </c>
      <c r="L45" s="347">
        <v>0</v>
      </c>
      <c r="M45" s="346">
        <f t="shared" si="3"/>
        <v>17022.612100000031</v>
      </c>
      <c r="N45" s="348"/>
      <c r="O45" s="348"/>
    </row>
    <row r="46" spans="1:15">
      <c r="A46" s="366">
        <v>43</v>
      </c>
      <c r="B46" s="259"/>
      <c r="C46" s="113"/>
      <c r="D46" s="113"/>
      <c r="E46" s="349"/>
      <c r="F46" s="346"/>
      <c r="G46" s="370">
        <f t="shared" si="0"/>
        <v>0</v>
      </c>
      <c r="H46" s="113">
        <v>0</v>
      </c>
      <c r="I46" s="113">
        <v>0</v>
      </c>
      <c r="J46" s="346">
        <f t="shared" si="1"/>
        <v>0</v>
      </c>
      <c r="K46" s="349">
        <f t="shared" si="2"/>
        <v>0</v>
      </c>
      <c r="L46" s="347">
        <v>0</v>
      </c>
      <c r="M46" s="346">
        <f t="shared" si="3"/>
        <v>17022.612100000031</v>
      </c>
      <c r="N46" s="346"/>
      <c r="O46" s="346"/>
    </row>
    <row r="47" spans="1:15">
      <c r="A47" s="106">
        <v>44</v>
      </c>
      <c r="B47" s="259"/>
      <c r="C47" s="180"/>
      <c r="D47" s="180"/>
      <c r="E47" s="349"/>
      <c r="F47" s="346"/>
      <c r="G47" s="370">
        <f t="shared" si="0"/>
        <v>0</v>
      </c>
      <c r="H47" s="113">
        <v>0</v>
      </c>
      <c r="I47" s="113">
        <v>0</v>
      </c>
      <c r="J47" s="346">
        <f t="shared" si="1"/>
        <v>0</v>
      </c>
      <c r="K47" s="349">
        <f t="shared" si="2"/>
        <v>0</v>
      </c>
      <c r="L47" s="347">
        <v>0</v>
      </c>
      <c r="M47" s="346">
        <f t="shared" si="3"/>
        <v>17022.612100000031</v>
      </c>
      <c r="N47" s="346"/>
      <c r="O47" s="346"/>
    </row>
    <row r="48" spans="1:15">
      <c r="A48" s="106">
        <v>45</v>
      </c>
      <c r="B48" s="259"/>
      <c r="C48" s="180"/>
      <c r="D48" s="180"/>
      <c r="E48" s="349"/>
      <c r="F48" s="346"/>
      <c r="G48" s="370">
        <f t="shared" si="0"/>
        <v>0</v>
      </c>
      <c r="H48" s="113">
        <v>0</v>
      </c>
      <c r="I48" s="113">
        <v>0</v>
      </c>
      <c r="J48" s="346">
        <f t="shared" si="1"/>
        <v>0</v>
      </c>
      <c r="K48" s="349">
        <f t="shared" si="2"/>
        <v>0</v>
      </c>
      <c r="L48" s="347">
        <v>0</v>
      </c>
      <c r="M48" s="346">
        <f t="shared" si="3"/>
        <v>17022.612100000031</v>
      </c>
      <c r="N48" s="346"/>
      <c r="O48" s="346"/>
    </row>
    <row r="49" spans="1:15">
      <c r="A49" s="366">
        <v>46</v>
      </c>
      <c r="B49" s="259"/>
      <c r="C49" s="336"/>
      <c r="D49" s="180"/>
      <c r="E49" s="349"/>
      <c r="F49" s="346"/>
      <c r="G49" s="370">
        <f t="shared" si="0"/>
        <v>0</v>
      </c>
      <c r="H49" s="113">
        <v>0</v>
      </c>
      <c r="I49" s="113">
        <v>0</v>
      </c>
      <c r="J49" s="346">
        <f t="shared" si="1"/>
        <v>0</v>
      </c>
      <c r="K49" s="349">
        <f t="shared" si="2"/>
        <v>0</v>
      </c>
      <c r="L49" s="347">
        <v>0</v>
      </c>
      <c r="M49" s="346">
        <f t="shared" si="3"/>
        <v>17022.612100000031</v>
      </c>
      <c r="N49" s="346"/>
      <c r="O49" s="346"/>
    </row>
    <row r="50" spans="1:15">
      <c r="A50" s="106">
        <v>47</v>
      </c>
      <c r="B50" s="259"/>
      <c r="C50" s="113"/>
      <c r="D50" s="113"/>
      <c r="E50" s="349"/>
      <c r="F50" s="346"/>
      <c r="G50" s="370">
        <f t="shared" si="0"/>
        <v>0</v>
      </c>
      <c r="H50" s="113">
        <v>0</v>
      </c>
      <c r="I50" s="113">
        <v>0</v>
      </c>
      <c r="J50" s="346">
        <f t="shared" si="1"/>
        <v>0</v>
      </c>
      <c r="K50" s="349">
        <f t="shared" si="2"/>
        <v>0</v>
      </c>
      <c r="L50" s="347">
        <v>0</v>
      </c>
      <c r="M50" s="346">
        <f t="shared" si="3"/>
        <v>17022.612100000031</v>
      </c>
      <c r="N50" s="348"/>
      <c r="O50" s="348"/>
    </row>
    <row r="51" spans="1:15">
      <c r="A51" s="19">
        <v>48</v>
      </c>
      <c r="B51" s="368"/>
      <c r="C51" s="369"/>
      <c r="D51" s="369"/>
      <c r="E51" s="349"/>
      <c r="F51" s="346"/>
      <c r="G51" s="370">
        <f t="shared" si="0"/>
        <v>0</v>
      </c>
      <c r="H51" s="113">
        <v>0</v>
      </c>
      <c r="I51" s="113">
        <v>0</v>
      </c>
      <c r="J51" s="346">
        <f t="shared" si="1"/>
        <v>0</v>
      </c>
      <c r="K51" s="349">
        <f t="shared" si="2"/>
        <v>0</v>
      </c>
      <c r="L51" s="347">
        <v>0</v>
      </c>
      <c r="M51" s="346">
        <f t="shared" si="3"/>
        <v>17022.612100000031</v>
      </c>
      <c r="N51" s="346"/>
      <c r="O51" s="346"/>
    </row>
    <row r="52" spans="1:15">
      <c r="A52" s="179">
        <v>49</v>
      </c>
      <c r="B52" s="259"/>
      <c r="C52" s="180"/>
      <c r="D52" s="180"/>
      <c r="E52" s="349"/>
      <c r="F52" s="346"/>
      <c r="G52" s="370">
        <f t="shared" si="0"/>
        <v>0</v>
      </c>
      <c r="H52" s="113">
        <v>0</v>
      </c>
      <c r="I52" s="113">
        <v>0</v>
      </c>
      <c r="J52" s="346">
        <f t="shared" si="1"/>
        <v>0</v>
      </c>
      <c r="K52" s="349">
        <f t="shared" si="2"/>
        <v>0</v>
      </c>
      <c r="L52" s="347">
        <v>0</v>
      </c>
      <c r="M52" s="346">
        <f t="shared" si="3"/>
        <v>17022.612100000031</v>
      </c>
      <c r="N52" s="348"/>
      <c r="O52" s="348"/>
    </row>
    <row r="53" spans="1:15">
      <c r="A53" s="19">
        <v>50</v>
      </c>
      <c r="B53" s="259"/>
      <c r="C53" s="180"/>
      <c r="D53" s="180"/>
      <c r="E53" s="349"/>
      <c r="F53" s="346"/>
      <c r="G53" s="370">
        <f t="shared" si="0"/>
        <v>0</v>
      </c>
      <c r="H53" s="113">
        <v>0</v>
      </c>
      <c r="I53" s="113">
        <v>0</v>
      </c>
      <c r="J53" s="346">
        <f t="shared" si="1"/>
        <v>0</v>
      </c>
      <c r="K53" s="349">
        <f t="shared" si="2"/>
        <v>0</v>
      </c>
      <c r="L53" s="347">
        <v>0</v>
      </c>
      <c r="M53" s="346">
        <f t="shared" si="3"/>
        <v>17022.612100000031</v>
      </c>
      <c r="N53" s="346"/>
      <c r="O53" s="346"/>
    </row>
    <row r="54" spans="1:15">
      <c r="A54" s="19">
        <v>51</v>
      </c>
      <c r="B54" s="259"/>
      <c r="C54" s="180"/>
      <c r="D54" s="180"/>
      <c r="E54" s="349"/>
      <c r="F54" s="346"/>
      <c r="G54" s="370">
        <f t="shared" ref="G5:G69" si="4">E54*F54</f>
        <v>0</v>
      </c>
      <c r="H54" s="113">
        <v>0</v>
      </c>
      <c r="I54" s="113">
        <v>0</v>
      </c>
      <c r="J54" s="346">
        <f t="shared" si="1"/>
        <v>0</v>
      </c>
      <c r="K54" s="349">
        <f t="shared" si="2"/>
        <v>0</v>
      </c>
      <c r="L54" s="347">
        <v>0</v>
      </c>
      <c r="M54" s="346">
        <f t="shared" si="3"/>
        <v>17022.612100000031</v>
      </c>
      <c r="N54" s="346"/>
      <c r="O54" s="346"/>
    </row>
    <row r="55" spans="1:15">
      <c r="A55" s="179">
        <v>52</v>
      </c>
      <c r="B55" s="259"/>
      <c r="C55" s="180"/>
      <c r="D55" s="180"/>
      <c r="E55" s="346">
        <v>0</v>
      </c>
      <c r="F55" s="346"/>
      <c r="G55" s="370">
        <f t="shared" si="4"/>
        <v>0</v>
      </c>
      <c r="H55" s="113">
        <v>0</v>
      </c>
      <c r="I55" s="113">
        <v>0</v>
      </c>
      <c r="J55" s="346">
        <f t="shared" si="1"/>
        <v>0</v>
      </c>
      <c r="K55" s="349">
        <f t="shared" si="2"/>
        <v>0</v>
      </c>
      <c r="L55" s="347">
        <v>0</v>
      </c>
      <c r="M55" s="346">
        <f t="shared" si="3"/>
        <v>17022.612100000031</v>
      </c>
      <c r="N55" s="346"/>
      <c r="O55" s="346"/>
    </row>
    <row r="56" spans="1:15">
      <c r="A56" s="19">
        <v>53</v>
      </c>
      <c r="B56" s="259"/>
      <c r="C56" s="180"/>
      <c r="D56" s="180"/>
      <c r="E56" s="346">
        <v>0</v>
      </c>
      <c r="F56" s="346"/>
      <c r="G56" s="370">
        <f t="shared" si="4"/>
        <v>0</v>
      </c>
      <c r="H56" s="113">
        <v>0</v>
      </c>
      <c r="I56" s="113">
        <v>0</v>
      </c>
      <c r="J56" s="346">
        <f t="shared" si="1"/>
        <v>0</v>
      </c>
      <c r="K56" s="349">
        <f t="shared" si="2"/>
        <v>0</v>
      </c>
      <c r="L56" s="347">
        <v>0</v>
      </c>
      <c r="M56" s="346">
        <f t="shared" si="3"/>
        <v>17022.612100000031</v>
      </c>
      <c r="N56" s="201"/>
      <c r="O56" s="201"/>
    </row>
    <row r="57" spans="1:15">
      <c r="A57" s="19">
        <v>54</v>
      </c>
      <c r="B57" s="259"/>
      <c r="C57" s="180"/>
      <c r="D57" s="180"/>
      <c r="E57" s="346">
        <v>0</v>
      </c>
      <c r="F57" s="346"/>
      <c r="G57" s="370">
        <f t="shared" si="4"/>
        <v>0</v>
      </c>
      <c r="H57" s="113">
        <v>0</v>
      </c>
      <c r="I57" s="113">
        <v>0</v>
      </c>
      <c r="J57" s="346">
        <f t="shared" si="1"/>
        <v>0</v>
      </c>
      <c r="K57" s="349">
        <f t="shared" si="2"/>
        <v>0</v>
      </c>
      <c r="L57" s="347">
        <v>0</v>
      </c>
      <c r="M57" s="346">
        <f t="shared" si="3"/>
        <v>17022.612100000031</v>
      </c>
      <c r="N57" s="201"/>
      <c r="O57" s="201"/>
    </row>
    <row r="58" spans="1:15">
      <c r="A58" s="179">
        <v>55</v>
      </c>
      <c r="B58" s="259"/>
      <c r="C58" s="180"/>
      <c r="D58" s="180"/>
      <c r="E58" s="346">
        <v>0</v>
      </c>
      <c r="F58" s="346"/>
      <c r="G58" s="346">
        <f t="shared" si="4"/>
        <v>0</v>
      </c>
      <c r="H58" s="350">
        <v>0</v>
      </c>
      <c r="I58" s="350">
        <v>0</v>
      </c>
      <c r="J58" s="350">
        <f t="shared" ref="J58:J72" si="5">H58*I58</f>
        <v>0</v>
      </c>
      <c r="K58" s="346">
        <f t="shared" ref="K58:K72" si="6">G58+J58</f>
        <v>0</v>
      </c>
      <c r="L58" s="347">
        <v>0</v>
      </c>
      <c r="M58" s="346">
        <f t="shared" si="3"/>
        <v>17022.612100000031</v>
      </c>
      <c r="N58" s="201"/>
      <c r="O58" s="201"/>
    </row>
    <row r="59" spans="1:15">
      <c r="A59" s="19">
        <v>56</v>
      </c>
      <c r="B59" s="259"/>
      <c r="C59" s="180"/>
      <c r="D59" s="180"/>
      <c r="E59" s="346">
        <v>0</v>
      </c>
      <c r="F59" s="346"/>
      <c r="G59" s="346">
        <f t="shared" si="4"/>
        <v>0</v>
      </c>
      <c r="H59" s="346">
        <v>0</v>
      </c>
      <c r="I59" s="346">
        <v>0</v>
      </c>
      <c r="J59" s="346">
        <f t="shared" si="5"/>
        <v>0</v>
      </c>
      <c r="K59" s="346">
        <f t="shared" si="6"/>
        <v>0</v>
      </c>
      <c r="L59" s="347">
        <v>0</v>
      </c>
      <c r="M59" s="346">
        <f t="shared" si="3"/>
        <v>17022.612100000031</v>
      </c>
      <c r="N59" s="201"/>
      <c r="O59" s="201"/>
    </row>
    <row r="60" spans="1:15">
      <c r="A60" s="19">
        <v>57</v>
      </c>
      <c r="B60" s="259"/>
      <c r="C60" s="180"/>
      <c r="D60" s="180"/>
      <c r="E60" s="346">
        <v>0</v>
      </c>
      <c r="F60" s="346"/>
      <c r="G60" s="346">
        <f t="shared" si="4"/>
        <v>0</v>
      </c>
      <c r="H60" s="346">
        <v>0</v>
      </c>
      <c r="I60" s="346">
        <v>0</v>
      </c>
      <c r="J60" s="346">
        <f t="shared" si="5"/>
        <v>0</v>
      </c>
      <c r="K60" s="346">
        <f t="shared" si="6"/>
        <v>0</v>
      </c>
      <c r="L60" s="347">
        <v>0</v>
      </c>
      <c r="M60" s="346">
        <f t="shared" si="3"/>
        <v>17022.612100000031</v>
      </c>
      <c r="N60" s="351"/>
      <c r="O60" s="351"/>
    </row>
    <row r="61" spans="1:15">
      <c r="A61" s="179">
        <v>58</v>
      </c>
      <c r="B61" s="259"/>
      <c r="C61" s="180"/>
      <c r="D61" s="180"/>
      <c r="E61" s="346">
        <v>0</v>
      </c>
      <c r="F61" s="346"/>
      <c r="G61" s="346">
        <f t="shared" si="4"/>
        <v>0</v>
      </c>
      <c r="H61" s="346">
        <v>0</v>
      </c>
      <c r="I61" s="346">
        <v>0</v>
      </c>
      <c r="J61" s="346">
        <f t="shared" si="5"/>
        <v>0</v>
      </c>
      <c r="K61" s="346">
        <f t="shared" si="6"/>
        <v>0</v>
      </c>
      <c r="L61" s="347">
        <v>0</v>
      </c>
      <c r="M61" s="346">
        <f t="shared" si="3"/>
        <v>17022.612100000031</v>
      </c>
      <c r="N61" s="201"/>
      <c r="O61" s="201"/>
    </row>
    <row r="62" spans="1:15">
      <c r="A62" s="19">
        <v>59</v>
      </c>
      <c r="B62" s="259"/>
      <c r="C62" s="180"/>
      <c r="D62" s="180"/>
      <c r="E62" s="346">
        <v>0</v>
      </c>
      <c r="F62" s="346"/>
      <c r="G62" s="346">
        <f t="shared" si="4"/>
        <v>0</v>
      </c>
      <c r="H62" s="346">
        <v>0</v>
      </c>
      <c r="I62" s="346">
        <v>0</v>
      </c>
      <c r="J62" s="346">
        <f t="shared" si="5"/>
        <v>0</v>
      </c>
      <c r="K62" s="346">
        <f t="shared" si="6"/>
        <v>0</v>
      </c>
      <c r="L62" s="347">
        <v>0</v>
      </c>
      <c r="M62" s="346">
        <f t="shared" si="3"/>
        <v>17022.612100000031</v>
      </c>
      <c r="N62" s="201"/>
      <c r="O62" s="201"/>
    </row>
    <row r="63" spans="1:15">
      <c r="A63" s="19">
        <v>60</v>
      </c>
      <c r="B63" s="259"/>
      <c r="C63" s="180"/>
      <c r="D63" s="180"/>
      <c r="E63" s="346">
        <v>0</v>
      </c>
      <c r="F63" s="346"/>
      <c r="G63" s="346">
        <f t="shared" si="4"/>
        <v>0</v>
      </c>
      <c r="H63" s="346">
        <v>0</v>
      </c>
      <c r="I63" s="346">
        <v>0</v>
      </c>
      <c r="J63" s="346">
        <f t="shared" si="5"/>
        <v>0</v>
      </c>
      <c r="K63" s="346">
        <f t="shared" si="6"/>
        <v>0</v>
      </c>
      <c r="L63" s="347">
        <v>0</v>
      </c>
      <c r="M63" s="346">
        <f t="shared" si="3"/>
        <v>17022.612100000031</v>
      </c>
      <c r="N63" s="201"/>
      <c r="O63" s="201"/>
    </row>
    <row r="64" spans="1:15">
      <c r="A64" s="179">
        <v>61</v>
      </c>
      <c r="B64" s="259"/>
      <c r="C64" s="180"/>
      <c r="D64" s="180"/>
      <c r="E64" s="346">
        <v>0</v>
      </c>
      <c r="F64" s="346"/>
      <c r="G64" s="346">
        <f t="shared" si="4"/>
        <v>0</v>
      </c>
      <c r="H64" s="346">
        <v>0</v>
      </c>
      <c r="I64" s="346">
        <v>0</v>
      </c>
      <c r="J64" s="346">
        <f t="shared" si="5"/>
        <v>0</v>
      </c>
      <c r="K64" s="346">
        <f t="shared" si="6"/>
        <v>0</v>
      </c>
      <c r="L64" s="347">
        <v>0</v>
      </c>
      <c r="M64" s="346">
        <f t="shared" si="3"/>
        <v>17022.612100000031</v>
      </c>
      <c r="N64" s="351"/>
      <c r="O64" s="351"/>
    </row>
    <row r="65" spans="1:15">
      <c r="A65" s="19">
        <v>62</v>
      </c>
      <c r="B65" s="259"/>
      <c r="C65" s="180"/>
      <c r="D65" s="180"/>
      <c r="E65" s="346">
        <v>0</v>
      </c>
      <c r="F65" s="346"/>
      <c r="G65" s="346">
        <f t="shared" si="4"/>
        <v>0</v>
      </c>
      <c r="H65" s="346">
        <v>0</v>
      </c>
      <c r="I65" s="346">
        <v>0</v>
      </c>
      <c r="J65" s="346">
        <f t="shared" si="5"/>
        <v>0</v>
      </c>
      <c r="K65" s="346">
        <f t="shared" si="6"/>
        <v>0</v>
      </c>
      <c r="L65" s="347">
        <v>0</v>
      </c>
      <c r="M65" s="346">
        <f t="shared" si="3"/>
        <v>17022.612100000031</v>
      </c>
      <c r="N65" s="201"/>
      <c r="O65" s="201"/>
    </row>
    <row r="66" spans="1:15">
      <c r="A66" s="19">
        <v>63</v>
      </c>
      <c r="B66" s="259"/>
      <c r="C66" s="180"/>
      <c r="D66" s="180"/>
      <c r="E66" s="346">
        <v>0</v>
      </c>
      <c r="F66" s="346"/>
      <c r="G66" s="346">
        <f t="shared" si="4"/>
        <v>0</v>
      </c>
      <c r="H66" s="346">
        <v>0</v>
      </c>
      <c r="I66" s="346">
        <v>0</v>
      </c>
      <c r="J66" s="346">
        <f t="shared" si="5"/>
        <v>0</v>
      </c>
      <c r="K66" s="346">
        <f t="shared" si="6"/>
        <v>0</v>
      </c>
      <c r="L66" s="347">
        <v>0</v>
      </c>
      <c r="M66" s="346">
        <f t="shared" si="3"/>
        <v>17022.612100000031</v>
      </c>
      <c r="N66" s="351"/>
      <c r="O66" s="351"/>
    </row>
    <row r="67" spans="1:15">
      <c r="A67" s="179">
        <v>64</v>
      </c>
      <c r="B67" s="259"/>
      <c r="C67" s="180"/>
      <c r="D67" s="180"/>
      <c r="E67" s="346">
        <v>0</v>
      </c>
      <c r="F67" s="346"/>
      <c r="G67" s="346">
        <f t="shared" si="4"/>
        <v>0</v>
      </c>
      <c r="H67" s="346">
        <v>0</v>
      </c>
      <c r="I67" s="346">
        <v>0</v>
      </c>
      <c r="J67" s="346">
        <f t="shared" si="5"/>
        <v>0</v>
      </c>
      <c r="K67" s="346">
        <f t="shared" si="6"/>
        <v>0</v>
      </c>
      <c r="L67" s="347">
        <v>0</v>
      </c>
      <c r="M67" s="346">
        <f t="shared" si="3"/>
        <v>17022.612100000031</v>
      </c>
      <c r="N67" s="351"/>
      <c r="O67" s="351"/>
    </row>
    <row r="68" spans="1:15">
      <c r="A68" s="19">
        <v>65</v>
      </c>
      <c r="B68" s="259"/>
      <c r="C68" s="180"/>
      <c r="D68" s="180"/>
      <c r="E68" s="346">
        <v>0</v>
      </c>
      <c r="F68" s="346"/>
      <c r="G68" s="346">
        <f t="shared" si="4"/>
        <v>0</v>
      </c>
      <c r="H68" s="346">
        <v>0</v>
      </c>
      <c r="I68" s="346">
        <v>0</v>
      </c>
      <c r="J68" s="346">
        <f t="shared" si="5"/>
        <v>0</v>
      </c>
      <c r="K68" s="346">
        <f t="shared" si="6"/>
        <v>0</v>
      </c>
      <c r="L68" s="347">
        <v>0</v>
      </c>
      <c r="M68" s="346">
        <f t="shared" si="3"/>
        <v>17022.612100000031</v>
      </c>
      <c r="N68" s="201"/>
      <c r="O68" s="201"/>
    </row>
    <row r="69" spans="1:15">
      <c r="A69" s="19">
        <v>66</v>
      </c>
      <c r="B69" s="259"/>
      <c r="C69" s="180"/>
      <c r="D69" s="180"/>
      <c r="E69" s="346">
        <v>0</v>
      </c>
      <c r="F69" s="346"/>
      <c r="G69" s="346">
        <f t="shared" si="4"/>
        <v>0</v>
      </c>
      <c r="H69" s="346">
        <v>0</v>
      </c>
      <c r="I69" s="346">
        <v>0</v>
      </c>
      <c r="J69" s="346">
        <f t="shared" si="5"/>
        <v>0</v>
      </c>
      <c r="K69" s="346">
        <f t="shared" si="6"/>
        <v>0</v>
      </c>
      <c r="L69" s="347">
        <v>0</v>
      </c>
      <c r="M69" s="346">
        <f t="shared" si="3"/>
        <v>17022.612100000031</v>
      </c>
      <c r="N69" s="351"/>
      <c r="O69" s="351"/>
    </row>
    <row r="70" spans="1:15">
      <c r="A70" s="179">
        <v>67</v>
      </c>
      <c r="B70" s="259"/>
      <c r="C70" s="180"/>
      <c r="D70" s="180"/>
      <c r="E70" s="346">
        <v>0</v>
      </c>
      <c r="F70" s="346"/>
      <c r="G70" s="346">
        <f t="shared" ref="G70:G73" si="7">E70*F70</f>
        <v>0</v>
      </c>
      <c r="H70" s="346">
        <v>0</v>
      </c>
      <c r="I70" s="346">
        <v>0</v>
      </c>
      <c r="J70" s="346">
        <f t="shared" si="5"/>
        <v>0</v>
      </c>
      <c r="K70" s="346">
        <f t="shared" si="6"/>
        <v>0</v>
      </c>
      <c r="L70" s="347">
        <v>0</v>
      </c>
      <c r="M70" s="346">
        <f t="shared" si="3"/>
        <v>17022.612100000031</v>
      </c>
      <c r="N70" s="201"/>
      <c r="O70" s="201"/>
    </row>
    <row r="71" spans="1:15">
      <c r="A71" s="19">
        <v>68</v>
      </c>
      <c r="B71" s="259"/>
      <c r="C71" s="180"/>
      <c r="D71" s="180"/>
      <c r="E71" s="346">
        <v>0</v>
      </c>
      <c r="F71" s="346"/>
      <c r="G71" s="346">
        <f t="shared" si="7"/>
        <v>0</v>
      </c>
      <c r="H71" s="346">
        <v>0</v>
      </c>
      <c r="I71" s="346">
        <v>0</v>
      </c>
      <c r="J71" s="346">
        <f t="shared" si="5"/>
        <v>0</v>
      </c>
      <c r="K71" s="346">
        <f t="shared" si="6"/>
        <v>0</v>
      </c>
      <c r="L71" s="346"/>
      <c r="M71" s="346">
        <f t="shared" ref="M71:M80" si="8">M70+L71-K71</f>
        <v>17022.612100000031</v>
      </c>
      <c r="N71" s="201"/>
      <c r="O71" s="201"/>
    </row>
    <row r="72" spans="1:15">
      <c r="A72" s="19">
        <v>69</v>
      </c>
      <c r="B72" s="259"/>
      <c r="C72" s="180"/>
      <c r="D72" s="180"/>
      <c r="E72" s="346">
        <v>0</v>
      </c>
      <c r="F72" s="346"/>
      <c r="G72" s="346">
        <f t="shared" si="7"/>
        <v>0</v>
      </c>
      <c r="H72" s="346">
        <v>0</v>
      </c>
      <c r="I72" s="346">
        <v>0</v>
      </c>
      <c r="J72" s="346">
        <f t="shared" si="5"/>
        <v>0</v>
      </c>
      <c r="K72" s="346">
        <f t="shared" si="6"/>
        <v>0</v>
      </c>
      <c r="L72" s="346"/>
      <c r="M72" s="346">
        <f t="shared" si="8"/>
        <v>17022.612100000031</v>
      </c>
      <c r="N72" s="201"/>
      <c r="O72" s="201"/>
    </row>
    <row r="73" spans="1:15">
      <c r="A73" s="179">
        <v>70</v>
      </c>
      <c r="B73" s="259"/>
      <c r="C73" s="180"/>
      <c r="D73" s="180"/>
      <c r="E73" s="346">
        <v>0</v>
      </c>
      <c r="F73" s="346"/>
      <c r="G73" s="346">
        <f t="shared" si="7"/>
        <v>0</v>
      </c>
      <c r="H73" s="346">
        <v>0</v>
      </c>
      <c r="I73" s="346">
        <v>0</v>
      </c>
      <c r="J73" s="346">
        <f t="shared" ref="J73:J80" si="9">H73*I73</f>
        <v>0</v>
      </c>
      <c r="K73" s="346">
        <f t="shared" ref="K73:K80" si="10">G73+J73</f>
        <v>0</v>
      </c>
      <c r="L73" s="346"/>
      <c r="M73" s="346">
        <f t="shared" si="8"/>
        <v>17022.612100000031</v>
      </c>
      <c r="N73" s="201"/>
      <c r="O73" s="201"/>
    </row>
    <row r="74" spans="1:15">
      <c r="A74" s="19">
        <v>71</v>
      </c>
      <c r="B74" s="259"/>
      <c r="C74" s="180"/>
      <c r="D74" s="180"/>
      <c r="E74" s="346">
        <v>0</v>
      </c>
      <c r="F74" s="346">
        <v>0</v>
      </c>
      <c r="G74" s="346">
        <f t="shared" ref="G73:G80" si="11">E74*F74</f>
        <v>0</v>
      </c>
      <c r="H74" s="346">
        <v>0</v>
      </c>
      <c r="I74" s="346">
        <v>0</v>
      </c>
      <c r="J74" s="346">
        <f t="shared" si="9"/>
        <v>0</v>
      </c>
      <c r="K74" s="346">
        <f t="shared" si="10"/>
        <v>0</v>
      </c>
      <c r="L74" s="346"/>
      <c r="M74" s="346">
        <f t="shared" si="8"/>
        <v>17022.612100000031</v>
      </c>
      <c r="N74" s="201"/>
      <c r="O74" s="201"/>
    </row>
    <row r="75" spans="1:15">
      <c r="A75" s="19">
        <v>72</v>
      </c>
      <c r="B75" s="259"/>
      <c r="C75" s="180"/>
      <c r="D75" s="180"/>
      <c r="E75" s="346">
        <v>0</v>
      </c>
      <c r="F75" s="346">
        <v>0</v>
      </c>
      <c r="G75" s="346">
        <f t="shared" si="11"/>
        <v>0</v>
      </c>
      <c r="H75" s="346">
        <v>0</v>
      </c>
      <c r="I75" s="346">
        <v>0</v>
      </c>
      <c r="J75" s="346">
        <f t="shared" si="9"/>
        <v>0</v>
      </c>
      <c r="K75" s="346">
        <f t="shared" si="10"/>
        <v>0</v>
      </c>
      <c r="L75" s="346"/>
      <c r="M75" s="346">
        <f t="shared" si="8"/>
        <v>17022.612100000031</v>
      </c>
      <c r="N75" s="201"/>
      <c r="O75" s="201"/>
    </row>
    <row r="76" spans="1:15">
      <c r="A76" s="179">
        <v>73</v>
      </c>
      <c r="B76" s="259"/>
      <c r="C76" s="180"/>
      <c r="D76" s="180"/>
      <c r="E76" s="346">
        <v>0</v>
      </c>
      <c r="F76" s="346">
        <v>0</v>
      </c>
      <c r="G76" s="346">
        <f t="shared" si="11"/>
        <v>0</v>
      </c>
      <c r="H76" s="346">
        <v>0</v>
      </c>
      <c r="I76" s="346">
        <v>0</v>
      </c>
      <c r="J76" s="346">
        <f t="shared" si="9"/>
        <v>0</v>
      </c>
      <c r="K76" s="346">
        <f t="shared" si="10"/>
        <v>0</v>
      </c>
      <c r="L76" s="346"/>
      <c r="M76" s="346">
        <f t="shared" si="8"/>
        <v>17022.612100000031</v>
      </c>
      <c r="N76" s="201"/>
      <c r="O76" s="201"/>
    </row>
    <row r="77" spans="1:15">
      <c r="A77" s="19">
        <v>74</v>
      </c>
      <c r="B77" s="259"/>
      <c r="C77" s="180"/>
      <c r="D77" s="180"/>
      <c r="E77" s="346">
        <v>0</v>
      </c>
      <c r="F77" s="346">
        <v>0</v>
      </c>
      <c r="G77" s="346">
        <f t="shared" si="11"/>
        <v>0</v>
      </c>
      <c r="H77" s="346">
        <v>0</v>
      </c>
      <c r="I77" s="346">
        <v>0</v>
      </c>
      <c r="J77" s="346">
        <f t="shared" si="9"/>
        <v>0</v>
      </c>
      <c r="K77" s="346">
        <f t="shared" si="10"/>
        <v>0</v>
      </c>
      <c r="L77" s="346"/>
      <c r="M77" s="346">
        <f t="shared" si="8"/>
        <v>17022.612100000031</v>
      </c>
      <c r="N77" s="351"/>
      <c r="O77" s="351"/>
    </row>
    <row r="78" spans="1:15">
      <c r="A78" s="19">
        <v>75</v>
      </c>
      <c r="B78" s="259"/>
      <c r="C78" s="113"/>
      <c r="D78" s="113"/>
      <c r="E78" s="346">
        <v>0</v>
      </c>
      <c r="F78" s="346">
        <v>0</v>
      </c>
      <c r="G78" s="346">
        <f t="shared" si="11"/>
        <v>0</v>
      </c>
      <c r="H78" s="346">
        <v>0</v>
      </c>
      <c r="I78" s="346">
        <v>0</v>
      </c>
      <c r="J78" s="346">
        <f t="shared" si="9"/>
        <v>0</v>
      </c>
      <c r="K78" s="346">
        <f t="shared" si="10"/>
        <v>0</v>
      </c>
      <c r="L78" s="346"/>
      <c r="M78" s="346">
        <f t="shared" si="8"/>
        <v>17022.612100000031</v>
      </c>
      <c r="N78" s="201"/>
      <c r="O78" s="201"/>
    </row>
    <row r="79" spans="1:15">
      <c r="A79" s="179">
        <v>76</v>
      </c>
      <c r="B79" s="259"/>
      <c r="C79" s="275"/>
      <c r="D79" s="275"/>
      <c r="E79" s="346">
        <v>0</v>
      </c>
      <c r="F79" s="346">
        <v>0</v>
      </c>
      <c r="G79" s="346">
        <f t="shared" si="11"/>
        <v>0</v>
      </c>
      <c r="H79" s="346">
        <v>0</v>
      </c>
      <c r="I79" s="346">
        <v>0</v>
      </c>
      <c r="J79" s="346">
        <f t="shared" si="9"/>
        <v>0</v>
      </c>
      <c r="K79" s="346">
        <f t="shared" si="10"/>
        <v>0</v>
      </c>
      <c r="L79" s="346"/>
      <c r="M79" s="346">
        <f t="shared" si="8"/>
        <v>17022.612100000031</v>
      </c>
      <c r="N79" s="201"/>
      <c r="O79" s="201"/>
    </row>
    <row r="80" spans="1:15">
      <c r="A80" s="19">
        <v>77</v>
      </c>
      <c r="B80" s="19"/>
      <c r="C80" s="19"/>
      <c r="D80" s="19"/>
      <c r="E80" s="346">
        <v>0</v>
      </c>
      <c r="F80" s="346">
        <v>0</v>
      </c>
      <c r="G80" s="346">
        <f t="shared" si="11"/>
        <v>0</v>
      </c>
      <c r="H80" s="346">
        <v>0</v>
      </c>
      <c r="I80" s="346">
        <v>0</v>
      </c>
      <c r="J80" s="346">
        <f t="shared" si="9"/>
        <v>0</v>
      </c>
      <c r="K80" s="346">
        <f t="shared" si="10"/>
        <v>0</v>
      </c>
      <c r="L80" s="346"/>
      <c r="M80" s="346">
        <f t="shared" si="8"/>
        <v>17022.612100000031</v>
      </c>
      <c r="N80" s="201"/>
      <c r="O80" s="201"/>
    </row>
    <row r="81" spans="11:11">
      <c r="K81" s="206">
        <f>SUBTOTAL(9,K4:K80)</f>
        <v>1957771.1779000007</v>
      </c>
    </row>
  </sheetData>
  <autoFilter ref="A2:O80" xr:uid="{E4D2B0F2-641D-4F53-BA0F-B63DE3F29F26}">
    <filterColumn colId="2">
      <filters>
        <filter val="VISHWASAI FILLING STATION"/>
      </filters>
    </filterColumn>
  </autoFilter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14"/>
  <sheetViews>
    <sheetView topLeftCell="C1" workbookViewId="0">
      <selection activeCell="M7" sqref="M7"/>
    </sheetView>
  </sheetViews>
  <sheetFormatPr defaultRowHeight="15"/>
  <cols>
    <col min="2" max="2" width="11.5703125" customWidth="1"/>
    <col min="3" max="3" width="36.5703125" bestFit="1" customWidth="1"/>
    <col min="4" max="4" width="21.71093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416" t="s">
        <v>213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</row>
    <row r="2" spans="1:15">
      <c r="A2" s="72" t="s">
        <v>94</v>
      </c>
      <c r="B2" s="92" t="s">
        <v>95</v>
      </c>
      <c r="C2" s="92" t="s">
        <v>167</v>
      </c>
      <c r="D2" s="92" t="s">
        <v>168</v>
      </c>
      <c r="E2" s="92" t="s">
        <v>98</v>
      </c>
      <c r="F2" s="92" t="s">
        <v>99</v>
      </c>
      <c r="G2" s="99" t="s">
        <v>100</v>
      </c>
      <c r="H2" s="92" t="s">
        <v>101</v>
      </c>
      <c r="I2" s="92" t="s">
        <v>99</v>
      </c>
      <c r="J2" s="99" t="s">
        <v>100</v>
      </c>
      <c r="K2" s="72" t="s">
        <v>102</v>
      </c>
      <c r="L2" s="100" t="s">
        <v>169</v>
      </c>
      <c r="M2" s="94" t="s">
        <v>110</v>
      </c>
      <c r="N2" s="92" t="s">
        <v>105</v>
      </c>
      <c r="O2" s="92" t="s">
        <v>170</v>
      </c>
    </row>
    <row r="3" spans="1:15">
      <c r="A3" s="410" t="s">
        <v>106</v>
      </c>
      <c r="B3" s="410"/>
      <c r="C3" s="410"/>
      <c r="D3" s="410"/>
      <c r="E3" s="410"/>
      <c r="F3" s="410"/>
      <c r="G3" s="410"/>
      <c r="H3" s="410"/>
      <c r="I3" s="410"/>
      <c r="J3" s="410"/>
      <c r="K3" s="24">
        <v>10220</v>
      </c>
      <c r="L3" s="181"/>
      <c r="M3" s="260">
        <f>+K3</f>
        <v>10220</v>
      </c>
      <c r="N3" s="103"/>
      <c r="O3" s="103"/>
    </row>
    <row r="4" spans="1:15">
      <c r="A4" s="19">
        <v>1</v>
      </c>
      <c r="B4" s="19" t="s">
        <v>120</v>
      </c>
      <c r="C4" s="19" t="s">
        <v>214</v>
      </c>
      <c r="D4" s="300" t="s">
        <v>215</v>
      </c>
      <c r="E4" s="44">
        <v>104515</v>
      </c>
      <c r="F4" s="44">
        <v>95.7</v>
      </c>
      <c r="G4" s="44">
        <v>10000000</v>
      </c>
      <c r="H4" s="44"/>
      <c r="I4" s="44"/>
      <c r="J4" s="44"/>
      <c r="K4" s="44">
        <f>G4+J4</f>
        <v>10000000</v>
      </c>
      <c r="L4" s="376">
        <v>10000000</v>
      </c>
      <c r="M4" s="44">
        <f>M3+L4-K4</f>
        <v>10220</v>
      </c>
      <c r="N4" s="19"/>
      <c r="O4" s="19"/>
    </row>
    <row r="5" spans="1:15">
      <c r="A5" s="19">
        <v>2</v>
      </c>
      <c r="B5" s="19" t="s">
        <v>171</v>
      </c>
      <c r="C5" s="19" t="s">
        <v>216</v>
      </c>
      <c r="D5" s="300" t="s">
        <v>217</v>
      </c>
      <c r="E5" s="44">
        <v>5465.7</v>
      </c>
      <c r="F5" s="44">
        <v>91.5</v>
      </c>
      <c r="G5" s="44">
        <v>500000</v>
      </c>
      <c r="H5" s="44"/>
      <c r="I5" s="44"/>
      <c r="J5" s="44"/>
      <c r="K5" s="44">
        <f>G5+J5</f>
        <v>500000</v>
      </c>
      <c r="L5" s="377">
        <v>600000</v>
      </c>
      <c r="M5" s="44">
        <f t="shared" ref="M5:M10" si="0">M4+L5-K5</f>
        <v>110220</v>
      </c>
      <c r="N5" s="19"/>
      <c r="O5" s="19"/>
    </row>
    <row r="6" spans="1:15">
      <c r="A6" s="19">
        <v>3</v>
      </c>
      <c r="B6" s="19" t="s">
        <v>128</v>
      </c>
      <c r="C6" s="19" t="s">
        <v>218</v>
      </c>
      <c r="D6" s="300" t="s">
        <v>219</v>
      </c>
      <c r="E6" s="44">
        <v>2516.6799999999998</v>
      </c>
      <c r="F6" s="44">
        <v>91.38</v>
      </c>
      <c r="G6" s="44">
        <v>230000</v>
      </c>
      <c r="H6" s="44"/>
      <c r="I6" s="44"/>
      <c r="J6" s="44"/>
      <c r="K6" s="44">
        <f>G6+J6</f>
        <v>230000</v>
      </c>
      <c r="L6" s="53">
        <v>130000</v>
      </c>
      <c r="M6" s="44">
        <f t="shared" si="0"/>
        <v>10220</v>
      </c>
      <c r="N6" s="19"/>
      <c r="O6" s="19"/>
    </row>
    <row r="7" spans="1:15">
      <c r="A7" s="19">
        <v>4</v>
      </c>
      <c r="B7" s="19" t="s">
        <v>129</v>
      </c>
      <c r="C7" s="19" t="s">
        <v>216</v>
      </c>
      <c r="D7" s="300" t="s">
        <v>217</v>
      </c>
      <c r="E7" s="44">
        <v>7651.98</v>
      </c>
      <c r="F7" s="44">
        <v>91.48</v>
      </c>
      <c r="G7" s="44">
        <v>200000</v>
      </c>
      <c r="H7" s="44"/>
      <c r="I7" s="44"/>
      <c r="J7" s="44"/>
      <c r="K7" s="44">
        <f>G7+J7</f>
        <v>200000</v>
      </c>
      <c r="L7" s="53">
        <v>200000</v>
      </c>
      <c r="M7" s="44">
        <f t="shared" si="0"/>
        <v>10220</v>
      </c>
      <c r="N7" s="19"/>
      <c r="O7" s="19"/>
    </row>
    <row r="8" spans="1:15">
      <c r="A8" s="19">
        <v>5</v>
      </c>
      <c r="B8" s="19"/>
      <c r="C8" s="19"/>
      <c r="D8" s="300"/>
      <c r="E8" s="44"/>
      <c r="F8" s="44"/>
      <c r="G8" s="44"/>
      <c r="H8" s="44"/>
      <c r="I8" s="44"/>
      <c r="J8" s="44"/>
      <c r="K8" s="44"/>
      <c r="L8" s="53"/>
      <c r="M8" s="44">
        <f t="shared" si="0"/>
        <v>10220</v>
      </c>
      <c r="N8" s="19"/>
      <c r="O8" s="19"/>
    </row>
    <row r="9" spans="1:15">
      <c r="A9" s="19">
        <v>6</v>
      </c>
      <c r="B9" s="103"/>
      <c r="C9" s="103"/>
      <c r="D9" s="352"/>
      <c r="E9" s="244"/>
      <c r="F9" s="244"/>
      <c r="G9" s="44"/>
      <c r="H9" s="244"/>
      <c r="I9" s="244"/>
      <c r="J9" s="244"/>
      <c r="K9" s="244"/>
      <c r="L9" s="181"/>
      <c r="M9" s="44">
        <f t="shared" si="0"/>
        <v>10220</v>
      </c>
      <c r="N9" s="103"/>
      <c r="O9" s="103"/>
    </row>
    <row r="10" spans="1:15">
      <c r="A10" s="106">
        <v>7</v>
      </c>
      <c r="B10" s="19"/>
      <c r="C10" s="278"/>
      <c r="D10" s="300"/>
      <c r="E10" s="44"/>
      <c r="F10" s="44"/>
      <c r="G10" s="44"/>
      <c r="H10" s="44"/>
      <c r="I10" s="44"/>
      <c r="J10" s="44"/>
      <c r="K10" s="44"/>
      <c r="L10" s="53"/>
      <c r="M10" s="44">
        <f t="shared" si="0"/>
        <v>10220</v>
      </c>
      <c r="N10" s="19"/>
      <c r="O10" s="19"/>
    </row>
    <row r="14" spans="1:15">
      <c r="I14" s="272"/>
    </row>
  </sheetData>
  <mergeCells count="2">
    <mergeCell ref="A1:O1"/>
    <mergeCell ref="A3:J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D264-1D78-421A-8461-B82E226848EB}">
  <dimension ref="B1:L19"/>
  <sheetViews>
    <sheetView workbookViewId="0">
      <selection activeCell="O14" sqref="O14"/>
    </sheetView>
  </sheetViews>
  <sheetFormatPr defaultRowHeight="15"/>
  <cols>
    <col min="2" max="2" width="10.85546875" bestFit="1" customWidth="1"/>
    <col min="3" max="3" width="25.28515625" bestFit="1" customWidth="1"/>
    <col min="4" max="4" width="14.28515625" bestFit="1" customWidth="1"/>
    <col min="11" max="11" width="9.28515625" bestFit="1" customWidth="1"/>
    <col min="12" max="12" width="22.28515625" bestFit="1" customWidth="1"/>
  </cols>
  <sheetData>
    <row r="1" spans="2:12">
      <c r="B1" s="259" t="s">
        <v>171</v>
      </c>
      <c r="C1" s="113" t="s">
        <v>172</v>
      </c>
      <c r="D1" s="180" t="s">
        <v>173</v>
      </c>
      <c r="E1" s="346">
        <v>0</v>
      </c>
      <c r="F1" s="346"/>
      <c r="G1" s="346">
        <f>E1*F1</f>
        <v>0</v>
      </c>
      <c r="H1" s="113">
        <v>4.5</v>
      </c>
      <c r="I1" s="113">
        <v>107.46</v>
      </c>
      <c r="J1" s="346">
        <f>H1*I1</f>
        <v>483.57</v>
      </c>
      <c r="K1" s="346">
        <f>G1+J1</f>
        <v>483.57</v>
      </c>
      <c r="L1" t="s">
        <v>220</v>
      </c>
    </row>
    <row r="2" spans="2:12">
      <c r="B2" s="259" t="s">
        <v>129</v>
      </c>
      <c r="C2" s="180" t="s">
        <v>172</v>
      </c>
      <c r="D2" s="180" t="s">
        <v>173</v>
      </c>
      <c r="E2" s="346"/>
      <c r="F2" s="346"/>
      <c r="G2" s="346">
        <f t="shared" ref="G2:G3" si="0">E2*F2</f>
        <v>0</v>
      </c>
      <c r="H2" s="113">
        <v>4.01</v>
      </c>
      <c r="I2" s="113">
        <v>107.46</v>
      </c>
      <c r="J2" s="346">
        <f t="shared" ref="J2:J3" si="1">H2*I2</f>
        <v>430.91459999999995</v>
      </c>
      <c r="K2" s="346">
        <f t="shared" ref="K2:K3" si="2">G2+J2</f>
        <v>430.91459999999995</v>
      </c>
      <c r="L2" t="s">
        <v>220</v>
      </c>
    </row>
    <row r="3" spans="2:12">
      <c r="B3" s="259" t="s">
        <v>132</v>
      </c>
      <c r="C3" s="180" t="s">
        <v>172</v>
      </c>
      <c r="D3" s="180" t="s">
        <v>173</v>
      </c>
      <c r="E3" s="346"/>
      <c r="F3" s="346"/>
      <c r="G3" s="346">
        <f t="shared" si="0"/>
        <v>0</v>
      </c>
      <c r="H3" s="113">
        <v>4.17</v>
      </c>
      <c r="I3" s="113">
        <v>107.46</v>
      </c>
      <c r="J3" s="346">
        <f t="shared" si="1"/>
        <v>448.10819999999995</v>
      </c>
      <c r="K3" s="346">
        <f t="shared" si="2"/>
        <v>448.10819999999995</v>
      </c>
      <c r="L3" t="s">
        <v>220</v>
      </c>
    </row>
    <row r="4" spans="2:12">
      <c r="E4" s="206"/>
      <c r="F4" s="206"/>
      <c r="G4" s="206"/>
      <c r="H4" s="206"/>
      <c r="I4" s="206"/>
      <c r="J4" s="206"/>
      <c r="K4" s="398">
        <f>SUM(K1:K3)</f>
        <v>1362.5927999999999</v>
      </c>
    </row>
    <row r="6" spans="2:12">
      <c r="B6" s="259" t="s">
        <v>151</v>
      </c>
      <c r="C6" s="113" t="s">
        <v>200</v>
      </c>
      <c r="D6" s="113" t="s">
        <v>182</v>
      </c>
      <c r="E6" s="349">
        <v>53.4</v>
      </c>
      <c r="F6" s="346">
        <v>95.7</v>
      </c>
      <c r="G6" s="370">
        <f t="shared" ref="G6:G7" si="3">E6*F6</f>
        <v>5110.38</v>
      </c>
      <c r="H6" s="113">
        <v>0</v>
      </c>
      <c r="I6" s="113">
        <v>0</v>
      </c>
      <c r="J6" s="346">
        <f t="shared" ref="J6:J7" si="4">H6*I6</f>
        <v>0</v>
      </c>
      <c r="K6" s="349">
        <f t="shared" ref="K6:K7" si="5">G6+J6</f>
        <v>5110.38</v>
      </c>
      <c r="L6" t="s">
        <v>221</v>
      </c>
    </row>
    <row r="7" spans="2:12">
      <c r="B7" s="259" t="s">
        <v>142</v>
      </c>
      <c r="C7" s="113" t="s">
        <v>208</v>
      </c>
      <c r="D7" s="113" t="s">
        <v>185</v>
      </c>
      <c r="E7" s="349">
        <v>53.81</v>
      </c>
      <c r="F7" s="346">
        <v>95.7</v>
      </c>
      <c r="G7" s="370">
        <f t="shared" si="3"/>
        <v>5149.6170000000002</v>
      </c>
      <c r="H7" s="113">
        <v>0</v>
      </c>
      <c r="I7" s="113">
        <v>0</v>
      </c>
      <c r="J7" s="346">
        <f t="shared" si="4"/>
        <v>0</v>
      </c>
      <c r="K7" s="349">
        <f t="shared" si="5"/>
        <v>5149.6170000000002</v>
      </c>
      <c r="L7" t="s">
        <v>222</v>
      </c>
    </row>
    <row r="8" spans="2:12">
      <c r="E8" s="206"/>
      <c r="F8" s="206"/>
      <c r="G8" s="206"/>
      <c r="H8" s="206"/>
      <c r="I8" s="206"/>
      <c r="J8" s="206"/>
      <c r="K8" s="397">
        <f>SUM(K6:K7)</f>
        <v>10259.996999999999</v>
      </c>
    </row>
    <row r="9" spans="2:12">
      <c r="B9" s="259" t="s">
        <v>143</v>
      </c>
      <c r="C9" s="113" t="s">
        <v>211</v>
      </c>
      <c r="D9" s="113" t="s">
        <v>199</v>
      </c>
      <c r="E9" s="349">
        <v>39.44</v>
      </c>
      <c r="F9" s="346">
        <v>97.1</v>
      </c>
      <c r="G9" s="370">
        <f t="shared" ref="G9" si="6">E9*F9</f>
        <v>3829.6239999999993</v>
      </c>
      <c r="H9" s="113">
        <v>0</v>
      </c>
      <c r="I9" s="113">
        <v>0</v>
      </c>
      <c r="J9" s="346">
        <f t="shared" ref="J9" si="7">H9*I9</f>
        <v>0</v>
      </c>
      <c r="K9" s="349">
        <f t="shared" ref="K9" si="8">G9+J9</f>
        <v>3829.6239999999993</v>
      </c>
      <c r="L9" t="s">
        <v>21</v>
      </c>
    </row>
    <row r="10" spans="2:12">
      <c r="E10" s="206"/>
      <c r="F10" s="206"/>
      <c r="G10" s="206"/>
      <c r="H10" s="206"/>
      <c r="I10" s="206"/>
      <c r="J10" s="206"/>
      <c r="K10" s="398">
        <f>SUM(K9)</f>
        <v>3829.6239999999993</v>
      </c>
    </row>
    <row r="12" spans="2:12">
      <c r="B12" s="259" t="s">
        <v>144</v>
      </c>
      <c r="C12" s="113" t="s">
        <v>212</v>
      </c>
      <c r="D12" s="113" t="s">
        <v>173</v>
      </c>
      <c r="E12" s="349"/>
      <c r="F12" s="346"/>
      <c r="G12" s="370">
        <f t="shared" ref="G12" si="9">E12*F12</f>
        <v>0</v>
      </c>
      <c r="H12" s="349">
        <v>37.07</v>
      </c>
      <c r="I12" s="346">
        <v>107.89</v>
      </c>
      <c r="J12" s="346">
        <f t="shared" ref="J12" si="10">H12*I12</f>
        <v>3999.4823000000001</v>
      </c>
      <c r="K12" s="349">
        <f t="shared" ref="K12" si="11">G12+J12</f>
        <v>3999.4823000000001</v>
      </c>
    </row>
    <row r="13" spans="2:12">
      <c r="E13" s="206"/>
      <c r="F13" s="206"/>
      <c r="G13" s="206"/>
      <c r="H13" s="206"/>
      <c r="I13" s="206"/>
      <c r="J13" s="206"/>
      <c r="K13" s="397">
        <f>SUM(K12)</f>
        <v>3999.4823000000001</v>
      </c>
    </row>
    <row r="15" spans="2:12">
      <c r="B15" s="259" t="s">
        <v>126</v>
      </c>
      <c r="C15" t="s">
        <v>188</v>
      </c>
      <c r="D15" s="180" t="s">
        <v>181</v>
      </c>
      <c r="E15" s="349">
        <v>32.29</v>
      </c>
      <c r="F15" s="346">
        <v>95.7</v>
      </c>
      <c r="G15" s="370">
        <f t="shared" ref="G15:G16" si="12">E15*F15</f>
        <v>3090.1529999999998</v>
      </c>
      <c r="H15" s="113">
        <v>0</v>
      </c>
      <c r="I15" s="113">
        <v>0</v>
      </c>
      <c r="J15" s="346">
        <f t="shared" ref="J15:J16" si="13">H15*I15</f>
        <v>0</v>
      </c>
      <c r="K15" s="349">
        <f t="shared" ref="K15:K16" si="14">G15+J15</f>
        <v>3090.1529999999998</v>
      </c>
      <c r="L15" t="s">
        <v>223</v>
      </c>
    </row>
    <row r="16" spans="2:12">
      <c r="B16" s="259" t="s">
        <v>132</v>
      </c>
      <c r="C16" s="113" t="s">
        <v>196</v>
      </c>
      <c r="D16" s="113" t="s">
        <v>197</v>
      </c>
      <c r="E16" s="349">
        <v>31.69</v>
      </c>
      <c r="F16" s="346">
        <v>92.22</v>
      </c>
      <c r="G16" s="370">
        <f t="shared" si="12"/>
        <v>2922.4518000000003</v>
      </c>
      <c r="H16" s="113">
        <v>0</v>
      </c>
      <c r="I16" s="113">
        <v>0</v>
      </c>
      <c r="J16" s="346">
        <f t="shared" si="13"/>
        <v>0</v>
      </c>
      <c r="K16" s="349">
        <f t="shared" si="14"/>
        <v>2922.4518000000003</v>
      </c>
      <c r="L16" t="s">
        <v>223</v>
      </c>
    </row>
    <row r="17" spans="2:12">
      <c r="E17" s="206"/>
      <c r="F17" s="206"/>
      <c r="G17" s="206"/>
      <c r="H17" s="206"/>
      <c r="I17" s="206"/>
      <c r="J17" s="206"/>
      <c r="K17" s="398">
        <f>SUM(K15:K16)</f>
        <v>6012.6048000000001</v>
      </c>
    </row>
    <row r="19" spans="2:12">
      <c r="B19" s="259" t="s">
        <v>151</v>
      </c>
      <c r="C19" s="180" t="s">
        <v>198</v>
      </c>
      <c r="D19" s="180" t="s">
        <v>199</v>
      </c>
      <c r="E19" s="349">
        <v>47.53</v>
      </c>
      <c r="F19" s="346">
        <v>96.26</v>
      </c>
      <c r="G19" s="370">
        <f t="shared" ref="G19" si="15">E19*F19</f>
        <v>4575.2378000000008</v>
      </c>
      <c r="H19" s="113">
        <v>0</v>
      </c>
      <c r="I19" s="113">
        <v>0</v>
      </c>
      <c r="J19" s="346">
        <f t="shared" ref="J19" si="16">H19*I19</f>
        <v>0</v>
      </c>
      <c r="K19" s="399">
        <f t="shared" ref="K19" si="17">G19+J19</f>
        <v>4575.2378000000008</v>
      </c>
      <c r="L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2026-10-07T11:52:55Z</dcterms:modified>
  <cp:category/>
  <cp:contentStatus/>
</cp:coreProperties>
</file>