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0499" documentId="13_ncr:1_{8AE36FE3-86F3-4CF6-9A97-12266062BE40}" xr6:coauthVersionLast="47" xr6:coauthVersionMax="47" xr10:uidLastSave="{8A918B4F-F08C-4232-8718-F9D4AA95DAC8}"/>
  <bookViews>
    <workbookView xWindow="-120" yWindow="-120" windowWidth="24240" windowHeight="13020" activeTab="1" xr2:uid="{00000000-000D-0000-FFFF-FFFF00000000}"/>
  </bookViews>
  <sheets>
    <sheet name=" jan-25" sheetId="33" r:id="rId1"/>
    <sheet name="Khammam-1" sheetId="5" r:id="rId2"/>
    <sheet name="Khammam-2" sheetId="6" r:id="rId3"/>
    <sheet name="Jedcherla -1" sheetId="18" r:id="rId4"/>
    <sheet name="Jedcherla-2" sheetId="17" r:id="rId5"/>
    <sheet name="Hiriyur(VJNL)" sheetId="3" r:id="rId6"/>
    <sheet name="Hosadurga" sheetId="1" r:id="rId7"/>
    <sheet name="Kadur" sheetId="7" r:id="rId8"/>
    <sheet name="Chellakere (KUWSDB)" sheetId="20" r:id="rId9"/>
    <sheet name="Malebenur(KUWSDB)" sheetId="16" r:id="rId10"/>
    <sheet name="Molakamuru(KUWSDB)" sheetId="21" r:id="rId11"/>
    <sheet name="YG Gudda " sheetId="2" r:id="rId12"/>
    <sheet name="Haveri" sheetId="15" r:id="rId13"/>
    <sheet name="Gajendragada" sheetId="12" r:id="rId14"/>
    <sheet name=" Talikote" sheetId="26" r:id="rId15"/>
    <sheet name="Chadchan" sheetId="9" r:id="rId16"/>
    <sheet name="Munavalli(KUWSDB)" sheetId="23" r:id="rId17"/>
    <sheet name="Ghattaprabha" sheetId="8" r:id="rId18"/>
    <sheet name="kumta" sheetId="25" r:id="rId19"/>
    <sheet name="Borgaon" sheetId="10" r:id="rId20"/>
    <sheet name="Ugar,Khagwad,Kudichi" sheetId="11" r:id="rId21"/>
    <sheet name="Jalgaon" sheetId="22" r:id="rId22"/>
    <sheet name="MKBD" sheetId="14" r:id="rId23"/>
    <sheet name="Srirangapatna" sheetId="19" r:id="rId24"/>
    <sheet name="Sangareddy" sheetId="32" r:id="rId25"/>
    <sheet name="Khanapur" sheetId="24" r:id="rId26"/>
    <sheet name="IOCL" sheetId="29" r:id="rId27"/>
    <sheet name="BPCL" sheetId="30" r:id="rId28"/>
    <sheet name="HPCL" sheetId="31" r:id="rId29"/>
    <sheet name="Store &amp; Fuel" sheetId="34" r:id="rId30"/>
  </sheets>
  <definedNames>
    <definedName name="_xlnm.Print_Area" localSheetId="6">Hosadurga!$A$2:$N$18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33" l="1"/>
  <c r="L18" i="33"/>
  <c r="L25" i="33" s="1"/>
  <c r="L17" i="33"/>
  <c r="L16" i="33"/>
  <c r="L15" i="33"/>
  <c r="L14" i="33"/>
  <c r="L13" i="33"/>
  <c r="L12" i="33"/>
  <c r="L9" i="33"/>
  <c r="L8" i="33"/>
  <c r="L7" i="33"/>
  <c r="L6" i="33"/>
  <c r="L3" i="33"/>
  <c r="L2" i="33"/>
  <c r="L10" i="33"/>
  <c r="K11" i="3"/>
  <c r="L11" i="3"/>
  <c r="M8" i="3"/>
  <c r="M7" i="3"/>
  <c r="E25" i="33"/>
  <c r="K38" i="6"/>
  <c r="K39" i="6"/>
  <c r="K27" i="5"/>
  <c r="M29" i="25"/>
  <c r="M5" i="9"/>
  <c r="L63" i="26"/>
  <c r="A5" i="15"/>
  <c r="A15" i="18"/>
  <c r="J6" i="2"/>
  <c r="E19" i="16"/>
  <c r="H19" i="16"/>
  <c r="D39" i="33"/>
  <c r="I16" i="33"/>
  <c r="I4" i="33"/>
  <c r="L4" i="33" s="1"/>
  <c r="J17" i="34"/>
  <c r="K17" i="34"/>
  <c r="L17" i="34"/>
  <c r="M17" i="34"/>
  <c r="I17" i="34"/>
  <c r="H17" i="34"/>
  <c r="G17" i="34"/>
  <c r="F17" i="34"/>
  <c r="J16" i="34"/>
  <c r="K16" i="34"/>
  <c r="L16" i="34"/>
  <c r="M16" i="34"/>
  <c r="I16" i="34"/>
  <c r="H16" i="34"/>
  <c r="G16" i="34"/>
  <c r="F16" i="34"/>
  <c r="J15" i="34"/>
  <c r="K15" i="34"/>
  <c r="L15" i="34"/>
  <c r="M15" i="34"/>
  <c r="J14" i="34"/>
  <c r="K14" i="34"/>
  <c r="L14" i="34"/>
  <c r="M14" i="34"/>
  <c r="J13" i="34"/>
  <c r="K13" i="34"/>
  <c r="L13" i="34"/>
  <c r="M13" i="34"/>
  <c r="J12" i="34"/>
  <c r="K12" i="34"/>
  <c r="L12" i="34"/>
  <c r="M12" i="34"/>
  <c r="I12" i="34"/>
  <c r="H12" i="34"/>
  <c r="G12" i="34"/>
  <c r="F12" i="34"/>
  <c r="M11" i="34"/>
  <c r="L11" i="34"/>
  <c r="K11" i="34"/>
  <c r="J11" i="34"/>
  <c r="M10" i="34"/>
  <c r="L10" i="34"/>
  <c r="K10" i="34"/>
  <c r="J10" i="34"/>
  <c r="M9" i="34"/>
  <c r="L9" i="34"/>
  <c r="K9" i="34"/>
  <c r="J9" i="34"/>
  <c r="F15" i="7"/>
  <c r="R3" i="18"/>
  <c r="E40" i="17"/>
  <c r="E36" i="17"/>
  <c r="H36" i="17"/>
  <c r="K34" i="6"/>
  <c r="L28" i="33"/>
  <c r="L35" i="23"/>
  <c r="F25" i="33"/>
  <c r="G25" i="33"/>
  <c r="H25" i="33"/>
  <c r="J25" i="33"/>
  <c r="K25" i="33"/>
  <c r="L33" i="25"/>
  <c r="L32" i="25"/>
  <c r="I24" i="33"/>
  <c r="J15" i="19"/>
  <c r="H15" i="19"/>
  <c r="G15" i="19"/>
  <c r="E15" i="19"/>
  <c r="I23" i="33"/>
  <c r="H63" i="26"/>
  <c r="E63" i="26"/>
  <c r="I22" i="33"/>
  <c r="L22" i="33" s="1"/>
  <c r="K28" i="9"/>
  <c r="J28" i="9"/>
  <c r="H28" i="9"/>
  <c r="G28" i="9"/>
  <c r="E28" i="9"/>
  <c r="L36" i="8"/>
  <c r="I21" i="33"/>
  <c r="L21" i="33" s="1"/>
  <c r="J36" i="8"/>
  <c r="H36" i="8"/>
  <c r="G36" i="8"/>
  <c r="E36" i="8"/>
  <c r="K36" i="8"/>
  <c r="I20" i="33"/>
  <c r="L20" i="33" s="1"/>
  <c r="L29" i="12"/>
  <c r="K29" i="12"/>
  <c r="J29" i="12"/>
  <c r="H29" i="12"/>
  <c r="G29" i="12"/>
  <c r="E29" i="12"/>
  <c r="I17" i="33"/>
  <c r="I18" i="33"/>
  <c r="L37" i="15"/>
  <c r="K37" i="15"/>
  <c r="J37" i="15"/>
  <c r="H37" i="15"/>
  <c r="G37" i="15"/>
  <c r="E37" i="15"/>
  <c r="L16" i="14"/>
  <c r="K16" i="14"/>
  <c r="J16" i="14"/>
  <c r="H16" i="14"/>
  <c r="G16" i="14"/>
  <c r="E16" i="14"/>
  <c r="L16" i="22"/>
  <c r="J16" i="22"/>
  <c r="H16" i="22"/>
  <c r="E16" i="22"/>
  <c r="L35" i="25"/>
  <c r="K35" i="25"/>
  <c r="J35" i="25"/>
  <c r="H35" i="25"/>
  <c r="G35" i="25"/>
  <c r="E35" i="25"/>
  <c r="G28" i="10"/>
  <c r="K28" i="10"/>
  <c r="J28" i="10"/>
  <c r="H28" i="10"/>
  <c r="E28" i="10"/>
  <c r="M27" i="10"/>
  <c r="I15" i="33"/>
  <c r="L36" i="11"/>
  <c r="I14" i="33"/>
  <c r="J36" i="11"/>
  <c r="H36" i="11"/>
  <c r="G36" i="11"/>
  <c r="E36" i="11"/>
  <c r="L35" i="24"/>
  <c r="I13" i="33"/>
  <c r="K35" i="24"/>
  <c r="J35" i="24"/>
  <c r="H35" i="24"/>
  <c r="G35" i="24"/>
  <c r="E35" i="24"/>
  <c r="R25" i="23"/>
  <c r="K24" i="23"/>
  <c r="L17" i="23"/>
  <c r="L18" i="23"/>
  <c r="L19" i="23"/>
  <c r="L20" i="23"/>
  <c r="L21" i="23"/>
  <c r="L22" i="23"/>
  <c r="I12" i="33"/>
  <c r="I11" i="33"/>
  <c r="J35" i="23"/>
  <c r="G35" i="23"/>
  <c r="E35" i="23"/>
  <c r="L11" i="33"/>
  <c r="L12" i="20"/>
  <c r="K12" i="20"/>
  <c r="J12" i="20"/>
  <c r="H12" i="20"/>
  <c r="G12" i="20"/>
  <c r="E12" i="20"/>
  <c r="J11" i="3"/>
  <c r="H11" i="3"/>
  <c r="E11" i="3"/>
  <c r="G11" i="3"/>
  <c r="I9" i="33"/>
  <c r="J10" i="7"/>
  <c r="H10" i="7"/>
  <c r="E10" i="7"/>
  <c r="U16" i="33"/>
  <c r="L19" i="16"/>
  <c r="I8" i="33"/>
  <c r="J19" i="16"/>
  <c r="G19" i="16"/>
  <c r="L14" i="1"/>
  <c r="K14" i="1"/>
  <c r="I7" i="33"/>
  <c r="H14" i="1"/>
  <c r="G14" i="1"/>
  <c r="E14" i="1"/>
  <c r="L21" i="2"/>
  <c r="I6" i="33"/>
  <c r="J21" i="2"/>
  <c r="H21" i="2"/>
  <c r="G21" i="2"/>
  <c r="E21" i="2"/>
  <c r="L36" i="17"/>
  <c r="I5" i="33"/>
  <c r="L5" i="33" s="1"/>
  <c r="J32" i="18"/>
  <c r="H32" i="18"/>
  <c r="E32" i="18"/>
  <c r="I3" i="33"/>
  <c r="J34" i="6"/>
  <c r="H34" i="6"/>
  <c r="H27" i="5"/>
  <c r="G34" i="6"/>
  <c r="L34" i="6"/>
  <c r="E34" i="6"/>
  <c r="I2" i="33"/>
  <c r="J27" i="5"/>
  <c r="G27" i="5"/>
  <c r="L27" i="5"/>
  <c r="E27" i="5"/>
  <c r="K12" i="9"/>
  <c r="K147" i="29"/>
  <c r="K148" i="29"/>
  <c r="H148" i="29"/>
  <c r="L148" i="29" s="1"/>
  <c r="H147" i="29"/>
  <c r="L147" i="29" s="1"/>
  <c r="K144" i="29"/>
  <c r="K145" i="29"/>
  <c r="K146" i="29"/>
  <c r="H146" i="29"/>
  <c r="L146" i="29" s="1"/>
  <c r="H145" i="29"/>
  <c r="L145" i="29" s="1"/>
  <c r="H144" i="29"/>
  <c r="L144" i="29" s="1"/>
  <c r="K143" i="29"/>
  <c r="H142" i="29"/>
  <c r="H143" i="29"/>
  <c r="L143" i="29" s="1"/>
  <c r="K142" i="29"/>
  <c r="L142" i="29" s="1"/>
  <c r="K139" i="29"/>
  <c r="K140" i="29"/>
  <c r="K141" i="29"/>
  <c r="H141" i="29"/>
  <c r="L141" i="29" s="1"/>
  <c r="H140" i="29"/>
  <c r="L140" i="29" s="1"/>
  <c r="J8" i="7"/>
  <c r="G8" i="7"/>
  <c r="J12" i="14"/>
  <c r="G39" i="30"/>
  <c r="K39" i="30" s="1"/>
  <c r="G37" i="30"/>
  <c r="G38" i="30"/>
  <c r="K38" i="30" s="1"/>
  <c r="J35" i="30"/>
  <c r="J36" i="30"/>
  <c r="J37" i="30"/>
  <c r="K37" i="30" s="1"/>
  <c r="G36" i="30"/>
  <c r="K36" i="30" s="1"/>
  <c r="J28" i="12"/>
  <c r="K28" i="12" s="1"/>
  <c r="J27" i="12"/>
  <c r="G27" i="12"/>
  <c r="K27" i="12" s="1"/>
  <c r="J26" i="12"/>
  <c r="G26" i="12"/>
  <c r="K26" i="12" s="1"/>
  <c r="K36" i="15"/>
  <c r="G36" i="15"/>
  <c r="J35" i="15"/>
  <c r="G35" i="15"/>
  <c r="K35" i="15" s="1"/>
  <c r="J26" i="15"/>
  <c r="J27" i="15"/>
  <c r="J28" i="15"/>
  <c r="J29" i="15"/>
  <c r="J30" i="15"/>
  <c r="J31" i="15"/>
  <c r="J32" i="15"/>
  <c r="J33" i="15"/>
  <c r="J34" i="15"/>
  <c r="K34" i="15"/>
  <c r="G34" i="15"/>
  <c r="J13" i="19"/>
  <c r="J14" i="19"/>
  <c r="K14" i="19"/>
  <c r="J62" i="26"/>
  <c r="G62" i="26"/>
  <c r="K62" i="26" s="1"/>
  <c r="J61" i="26"/>
  <c r="G61" i="26"/>
  <c r="K61" i="26" s="1"/>
  <c r="J60" i="26"/>
  <c r="G60" i="26"/>
  <c r="K60" i="26" s="1"/>
  <c r="J26" i="9"/>
  <c r="G26" i="9"/>
  <c r="K26" i="9" s="1"/>
  <c r="K25" i="9"/>
  <c r="J25" i="9"/>
  <c r="G25" i="9"/>
  <c r="J33" i="8"/>
  <c r="J34" i="8"/>
  <c r="K34" i="8"/>
  <c r="G34" i="8"/>
  <c r="K33" i="8"/>
  <c r="M33" i="8" s="1"/>
  <c r="M34" i="8" s="1"/>
  <c r="G33" i="8"/>
  <c r="G15" i="22"/>
  <c r="K32" i="25"/>
  <c r="K33" i="25"/>
  <c r="K34" i="25"/>
  <c r="G34" i="25"/>
  <c r="M25" i="10"/>
  <c r="M26" i="10"/>
  <c r="K25" i="10"/>
  <c r="K26" i="10"/>
  <c r="K27" i="10"/>
  <c r="J25" i="10"/>
  <c r="J26" i="10"/>
  <c r="J27" i="10"/>
  <c r="G25" i="10"/>
  <c r="G26" i="10"/>
  <c r="G27" i="10"/>
  <c r="M34" i="11"/>
  <c r="K34" i="11"/>
  <c r="J34" i="11"/>
  <c r="G34" i="11"/>
  <c r="M33" i="11"/>
  <c r="K33" i="11"/>
  <c r="J33" i="11"/>
  <c r="G33" i="11"/>
  <c r="M32" i="11"/>
  <c r="K32" i="11"/>
  <c r="J32" i="11"/>
  <c r="G32" i="11"/>
  <c r="K32" i="23"/>
  <c r="K33" i="23"/>
  <c r="G32" i="23"/>
  <c r="G33" i="23"/>
  <c r="M11" i="16"/>
  <c r="M12" i="16"/>
  <c r="M13" i="16"/>
  <c r="M14" i="16"/>
  <c r="M15" i="16"/>
  <c r="M16" i="16"/>
  <c r="M17" i="16"/>
  <c r="K15" i="16"/>
  <c r="K16" i="16"/>
  <c r="G15" i="16"/>
  <c r="G16" i="16"/>
  <c r="G17" i="16"/>
  <c r="K17" i="16" s="1"/>
  <c r="K11" i="1"/>
  <c r="J11" i="1"/>
  <c r="G11" i="1"/>
  <c r="K19" i="2"/>
  <c r="K20" i="2"/>
  <c r="J19" i="2"/>
  <c r="J20" i="2"/>
  <c r="G19" i="2"/>
  <c r="G20" i="2"/>
  <c r="J34" i="17"/>
  <c r="G34" i="17"/>
  <c r="J31" i="18"/>
  <c r="G31" i="18"/>
  <c r="K31" i="18" s="1"/>
  <c r="J26" i="5"/>
  <c r="G26" i="5"/>
  <c r="K26" i="5" s="1"/>
  <c r="J33" i="6"/>
  <c r="G33" i="6"/>
  <c r="K33" i="6" s="1"/>
  <c r="K34" i="17"/>
  <c r="J30" i="18"/>
  <c r="G30" i="18"/>
  <c r="K30" i="18" s="1"/>
  <c r="J31" i="6"/>
  <c r="J32" i="6"/>
  <c r="G32" i="6"/>
  <c r="K32" i="6" s="1"/>
  <c r="J16" i="5"/>
  <c r="J17" i="5"/>
  <c r="J18" i="5"/>
  <c r="J19" i="5"/>
  <c r="J20" i="5"/>
  <c r="J21" i="5"/>
  <c r="J22" i="5"/>
  <c r="J23" i="5"/>
  <c r="J24" i="5"/>
  <c r="J25" i="5"/>
  <c r="G25" i="5"/>
  <c r="K25" i="5" s="1"/>
  <c r="M154" i="29"/>
  <c r="I154" i="29"/>
  <c r="F154" i="29"/>
  <c r="L32" i="18"/>
  <c r="G34" i="30"/>
  <c r="G35" i="30"/>
  <c r="K35" i="30" s="1"/>
  <c r="H139" i="29"/>
  <c r="L139" i="29" s="1"/>
  <c r="K135" i="29"/>
  <c r="K136" i="29"/>
  <c r="K137" i="29"/>
  <c r="K138" i="29"/>
  <c r="H138" i="29"/>
  <c r="L138" i="29" s="1"/>
  <c r="H137" i="29"/>
  <c r="L137" i="29" s="1"/>
  <c r="H136" i="29"/>
  <c r="L136" i="29" s="1"/>
  <c r="K13" i="19"/>
  <c r="K15" i="19" s="1"/>
  <c r="G12" i="19"/>
  <c r="G13" i="19"/>
  <c r="G58" i="26"/>
  <c r="K58" i="26" s="1"/>
  <c r="G59" i="26"/>
  <c r="K59" i="26" s="1"/>
  <c r="J24" i="9"/>
  <c r="G24" i="9"/>
  <c r="K24" i="9" s="1"/>
  <c r="J32" i="8"/>
  <c r="G32" i="8"/>
  <c r="K32" i="8" s="1"/>
  <c r="G33" i="15"/>
  <c r="K33" i="15" s="1"/>
  <c r="G32" i="25"/>
  <c r="G30" i="25"/>
  <c r="G31" i="25"/>
  <c r="G31" i="23"/>
  <c r="K31" i="23" s="1"/>
  <c r="J29" i="17"/>
  <c r="J30" i="17"/>
  <c r="J31" i="17"/>
  <c r="J32" i="17"/>
  <c r="G32" i="17"/>
  <c r="K32" i="17" s="1"/>
  <c r="J29" i="18"/>
  <c r="G29" i="18"/>
  <c r="K29" i="18" s="1"/>
  <c r="G31" i="6"/>
  <c r="K31" i="6" s="1"/>
  <c r="G24" i="5"/>
  <c r="K24" i="5" s="1"/>
  <c r="G26" i="30"/>
  <c r="J31" i="30"/>
  <c r="J32" i="30"/>
  <c r="J33" i="30"/>
  <c r="J34" i="30"/>
  <c r="K34" i="30"/>
  <c r="G33" i="30"/>
  <c r="K33" i="30" s="1"/>
  <c r="H135" i="29"/>
  <c r="L135" i="29" s="1"/>
  <c r="K133" i="29"/>
  <c r="K134" i="29"/>
  <c r="H134" i="29"/>
  <c r="H132" i="29"/>
  <c r="H133" i="29"/>
  <c r="L133" i="29" s="1"/>
  <c r="K132" i="29"/>
  <c r="L132" i="29" s="1"/>
  <c r="J14" i="1"/>
  <c r="J29" i="11"/>
  <c r="J30" i="11"/>
  <c r="J31" i="11"/>
  <c r="G29" i="11"/>
  <c r="K29" i="11" s="1"/>
  <c r="G30" i="11"/>
  <c r="K30" i="11" s="1"/>
  <c r="G31" i="11"/>
  <c r="K31" i="11" s="1"/>
  <c r="J24" i="10"/>
  <c r="G24" i="10"/>
  <c r="K24" i="10" s="1"/>
  <c r="J18" i="10"/>
  <c r="J19" i="10"/>
  <c r="J20" i="10"/>
  <c r="J21" i="10"/>
  <c r="J22" i="10"/>
  <c r="J23" i="10"/>
  <c r="G23" i="10"/>
  <c r="K23" i="10" s="1"/>
  <c r="G57" i="26"/>
  <c r="K57" i="26" s="1"/>
  <c r="J22" i="9"/>
  <c r="J23" i="9"/>
  <c r="G23" i="9"/>
  <c r="K23" i="9" s="1"/>
  <c r="J31" i="8"/>
  <c r="G31" i="8"/>
  <c r="K31" i="8" s="1"/>
  <c r="J25" i="12"/>
  <c r="G25" i="12"/>
  <c r="K25" i="12" s="1"/>
  <c r="G32" i="15"/>
  <c r="K32" i="15" s="1"/>
  <c r="J28" i="25"/>
  <c r="J29" i="25"/>
  <c r="J30" i="25"/>
  <c r="K30" i="25" s="1"/>
  <c r="J31" i="25"/>
  <c r="K31" i="25" s="1"/>
  <c r="G30" i="24"/>
  <c r="K30" i="24" s="1"/>
  <c r="G30" i="23"/>
  <c r="K30" i="23" s="1"/>
  <c r="J13" i="16"/>
  <c r="J14" i="16"/>
  <c r="G14" i="16"/>
  <c r="K14" i="16" s="1"/>
  <c r="K10" i="1"/>
  <c r="J9" i="1"/>
  <c r="J10" i="1"/>
  <c r="G10" i="1"/>
  <c r="J18" i="2"/>
  <c r="G18" i="2"/>
  <c r="K18" i="2" s="1"/>
  <c r="J30" i="6"/>
  <c r="G30" i="6"/>
  <c r="K30" i="6" s="1"/>
  <c r="G22" i="5"/>
  <c r="K22" i="5" s="1"/>
  <c r="G23" i="5"/>
  <c r="K23" i="5" s="1"/>
  <c r="G31" i="17"/>
  <c r="K31" i="17" s="1"/>
  <c r="J26" i="18"/>
  <c r="J27" i="18"/>
  <c r="J28" i="18"/>
  <c r="G28" i="18"/>
  <c r="K28" i="18" s="1"/>
  <c r="P26" i="18"/>
  <c r="J27" i="23"/>
  <c r="J28" i="23"/>
  <c r="J29" i="23"/>
  <c r="G29" i="23"/>
  <c r="K29" i="23" s="1"/>
  <c r="G31" i="30"/>
  <c r="K31" i="30"/>
  <c r="G32" i="30"/>
  <c r="K32" i="30"/>
  <c r="J28" i="30"/>
  <c r="J29" i="30"/>
  <c r="J30" i="30"/>
  <c r="G30" i="30"/>
  <c r="K30" i="30" s="1"/>
  <c r="G29" i="30"/>
  <c r="H130" i="29"/>
  <c r="H131" i="29"/>
  <c r="K131" i="29"/>
  <c r="L131" i="29" s="1"/>
  <c r="K130" i="29"/>
  <c r="L130" i="29" s="1"/>
  <c r="K122" i="29"/>
  <c r="K123" i="29"/>
  <c r="K124" i="29"/>
  <c r="K125" i="29"/>
  <c r="K126" i="29"/>
  <c r="K127" i="29"/>
  <c r="K128" i="29"/>
  <c r="K129" i="29"/>
  <c r="H129" i="29"/>
  <c r="L129" i="29" s="1"/>
  <c r="H128" i="29"/>
  <c r="L128" i="29" s="1"/>
  <c r="H127" i="29"/>
  <c r="L127" i="29" s="1"/>
  <c r="H126" i="29"/>
  <c r="L126" i="29" s="1"/>
  <c r="J56" i="26"/>
  <c r="G55" i="26"/>
  <c r="G56" i="26"/>
  <c r="K56" i="26" s="1"/>
  <c r="G22" i="9"/>
  <c r="K22" i="9" s="1"/>
  <c r="J21" i="9"/>
  <c r="G21" i="9"/>
  <c r="K21" i="9" s="1"/>
  <c r="J30" i="8"/>
  <c r="G30" i="8"/>
  <c r="J21" i="12"/>
  <c r="J22" i="12"/>
  <c r="J23" i="12"/>
  <c r="J24" i="12"/>
  <c r="G24" i="12"/>
  <c r="K24" i="12" s="1"/>
  <c r="G31" i="15"/>
  <c r="K31" i="15" s="1"/>
  <c r="K14" i="14"/>
  <c r="G14" i="14"/>
  <c r="K14" i="22"/>
  <c r="G14" i="22"/>
  <c r="J27" i="24"/>
  <c r="J28" i="24"/>
  <c r="J29" i="24"/>
  <c r="G27" i="24"/>
  <c r="K27" i="24" s="1"/>
  <c r="G28" i="24"/>
  <c r="K28" i="24" s="1"/>
  <c r="G29" i="24"/>
  <c r="K29" i="24" s="1"/>
  <c r="G9" i="1"/>
  <c r="K9" i="1" s="1"/>
  <c r="L9" i="1" s="1"/>
  <c r="J8" i="1"/>
  <c r="G8" i="1"/>
  <c r="K8" i="1" s="1"/>
  <c r="J28" i="6"/>
  <c r="J29" i="6"/>
  <c r="G29" i="6"/>
  <c r="K29" i="6" s="1"/>
  <c r="G27" i="18"/>
  <c r="K27" i="18" s="1"/>
  <c r="J7" i="7"/>
  <c r="G7" i="7"/>
  <c r="J22" i="24"/>
  <c r="J23" i="24"/>
  <c r="J24" i="24"/>
  <c r="J25" i="24"/>
  <c r="J26" i="24"/>
  <c r="T117" i="29"/>
  <c r="K29" i="30"/>
  <c r="G28" i="30"/>
  <c r="K28" i="30" s="1"/>
  <c r="H125" i="29"/>
  <c r="L125" i="29" s="1"/>
  <c r="H124" i="29"/>
  <c r="L124" i="29" s="1"/>
  <c r="H123" i="29"/>
  <c r="L123" i="29" s="1"/>
  <c r="H122" i="29"/>
  <c r="L122" i="29" s="1"/>
  <c r="K121" i="29"/>
  <c r="H121" i="29"/>
  <c r="L121" i="29" s="1"/>
  <c r="K120" i="29"/>
  <c r="H120" i="29"/>
  <c r="L120" i="29" s="1"/>
  <c r="K119" i="29"/>
  <c r="H119" i="29"/>
  <c r="L119" i="29" s="1"/>
  <c r="K117" i="29"/>
  <c r="K118" i="29"/>
  <c r="H117" i="29"/>
  <c r="L117" i="29" s="1"/>
  <c r="H118" i="29"/>
  <c r="L118" i="29" s="1"/>
  <c r="J27" i="11"/>
  <c r="J28" i="11"/>
  <c r="G28" i="11"/>
  <c r="K28" i="11" s="1"/>
  <c r="G22" i="10"/>
  <c r="K22" i="10"/>
  <c r="G21" i="10"/>
  <c r="K21" i="10" s="1"/>
  <c r="J53" i="26"/>
  <c r="J54" i="26"/>
  <c r="J55" i="26"/>
  <c r="K55" i="26" s="1"/>
  <c r="G53" i="26"/>
  <c r="K53" i="26" s="1"/>
  <c r="G54" i="26"/>
  <c r="K54" i="26" s="1"/>
  <c r="J15" i="9"/>
  <c r="J16" i="9"/>
  <c r="J17" i="9"/>
  <c r="J18" i="9"/>
  <c r="J19" i="9"/>
  <c r="J20" i="9"/>
  <c r="G20" i="9"/>
  <c r="K20" i="9" s="1"/>
  <c r="A27" i="8"/>
  <c r="J29" i="8"/>
  <c r="G29" i="8"/>
  <c r="K29" i="8" s="1"/>
  <c r="J28" i="8"/>
  <c r="G28" i="8"/>
  <c r="K28" i="8" s="1"/>
  <c r="G22" i="12"/>
  <c r="K22" i="12" s="1"/>
  <c r="G23" i="12"/>
  <c r="K23" i="12" s="1"/>
  <c r="G28" i="15"/>
  <c r="K28" i="15" s="1"/>
  <c r="G29" i="15"/>
  <c r="K29" i="15" s="1"/>
  <c r="G30" i="15"/>
  <c r="K30" i="15" s="1"/>
  <c r="G29" i="25"/>
  <c r="K29" i="25" s="1"/>
  <c r="G27" i="23"/>
  <c r="K27" i="23" s="1"/>
  <c r="G28" i="23"/>
  <c r="K28" i="23" s="1"/>
  <c r="J8" i="20"/>
  <c r="J9" i="20"/>
  <c r="J10" i="20"/>
  <c r="G9" i="20"/>
  <c r="K9" i="20" s="1"/>
  <c r="L9" i="20" s="1"/>
  <c r="G10" i="20"/>
  <c r="K10" i="20" s="1"/>
  <c r="L10" i="20" s="1"/>
  <c r="G8" i="20"/>
  <c r="K8" i="20" s="1"/>
  <c r="G13" i="16"/>
  <c r="K13" i="16" s="1"/>
  <c r="G15" i="2"/>
  <c r="G16" i="2"/>
  <c r="G17" i="2"/>
  <c r="J15" i="2"/>
  <c r="K15" i="2" s="1"/>
  <c r="J16" i="2"/>
  <c r="K16" i="2" s="1"/>
  <c r="J17" i="2"/>
  <c r="K17" i="2" s="1"/>
  <c r="G30" i="17"/>
  <c r="K30" i="17" s="1"/>
  <c r="G29" i="17"/>
  <c r="K29" i="17" s="1"/>
  <c r="J28" i="17"/>
  <c r="G28" i="17"/>
  <c r="K28" i="17" s="1"/>
  <c r="G26" i="18"/>
  <c r="K26" i="18" s="1"/>
  <c r="J23" i="18"/>
  <c r="J24" i="18"/>
  <c r="J25" i="18"/>
  <c r="G24" i="18"/>
  <c r="K24" i="18" s="1"/>
  <c r="G25" i="18"/>
  <c r="G28" i="6"/>
  <c r="K28" i="6" s="1"/>
  <c r="J27" i="6"/>
  <c r="G27" i="6"/>
  <c r="K27" i="6" s="1"/>
  <c r="G21" i="5"/>
  <c r="K21" i="5" s="1"/>
  <c r="G19" i="5"/>
  <c r="K19" i="5" s="1"/>
  <c r="G20" i="5"/>
  <c r="K20" i="5" s="1"/>
  <c r="G27" i="30"/>
  <c r="J27" i="30"/>
  <c r="K27" i="30"/>
  <c r="J24" i="30"/>
  <c r="J25" i="30"/>
  <c r="J26" i="30"/>
  <c r="K116" i="29"/>
  <c r="H116" i="29"/>
  <c r="L116" i="29" s="1"/>
  <c r="K115" i="29"/>
  <c r="H115" i="29"/>
  <c r="L115" i="29" s="1"/>
  <c r="K114" i="29"/>
  <c r="H114" i="29"/>
  <c r="L114" i="29" s="1"/>
  <c r="K113" i="29"/>
  <c r="H113" i="29"/>
  <c r="L113" i="29" s="1"/>
  <c r="K112" i="29"/>
  <c r="H112" i="29"/>
  <c r="L112" i="29" s="1"/>
  <c r="K111" i="29"/>
  <c r="H111" i="29"/>
  <c r="L111" i="29" s="1"/>
  <c r="G13" i="14"/>
  <c r="K13" i="14" s="1"/>
  <c r="J27" i="8"/>
  <c r="G27" i="8"/>
  <c r="K27" i="8" s="1"/>
  <c r="J26" i="23"/>
  <c r="G26" i="23"/>
  <c r="H35" i="23"/>
  <c r="G20" i="10"/>
  <c r="K20" i="10" s="1"/>
  <c r="G27" i="11"/>
  <c r="K27" i="11" s="1"/>
  <c r="G28" i="25"/>
  <c r="K28" i="25" s="1"/>
  <c r="G19" i="9"/>
  <c r="K19" i="9" s="1"/>
  <c r="J52" i="26"/>
  <c r="G52" i="26"/>
  <c r="K52" i="26" s="1"/>
  <c r="G20" i="12"/>
  <c r="G21" i="12"/>
  <c r="K21" i="12" s="1"/>
  <c r="J20" i="12"/>
  <c r="K20" i="12" s="1"/>
  <c r="G27" i="15"/>
  <c r="K27" i="15" s="1"/>
  <c r="G25" i="15"/>
  <c r="G26" i="15"/>
  <c r="K26" i="15" s="1"/>
  <c r="J10" i="16"/>
  <c r="J11" i="16"/>
  <c r="J12" i="16"/>
  <c r="G12" i="16"/>
  <c r="K12" i="16" s="1"/>
  <c r="J26" i="17"/>
  <c r="J27" i="17"/>
  <c r="G27" i="17"/>
  <c r="J25" i="6"/>
  <c r="J26" i="6"/>
  <c r="G25" i="6"/>
  <c r="K25" i="6" s="1"/>
  <c r="G26" i="6"/>
  <c r="K26" i="6" s="1"/>
  <c r="G26" i="24"/>
  <c r="K26" i="24" s="1"/>
  <c r="G25" i="24"/>
  <c r="K25" i="24" s="1"/>
  <c r="S105" i="29"/>
  <c r="K26" i="30"/>
  <c r="K110" i="29"/>
  <c r="H110" i="29"/>
  <c r="L110" i="29" s="1"/>
  <c r="K109" i="29"/>
  <c r="H109" i="29"/>
  <c r="L109" i="29" s="1"/>
  <c r="K108" i="29"/>
  <c r="H108" i="29"/>
  <c r="L108" i="29" s="1"/>
  <c r="H107" i="29"/>
  <c r="K107" i="29"/>
  <c r="L107" i="29" s="1"/>
  <c r="K106" i="29"/>
  <c r="H106" i="29"/>
  <c r="L106" i="29" s="1"/>
  <c r="K105" i="29"/>
  <c r="H105" i="29"/>
  <c r="L105" i="29" s="1"/>
  <c r="K104" i="29"/>
  <c r="H104" i="29"/>
  <c r="L104" i="29" s="1"/>
  <c r="J25" i="23"/>
  <c r="G25" i="23"/>
  <c r="K25" i="23" s="1"/>
  <c r="G24" i="24"/>
  <c r="K24" i="24" s="1"/>
  <c r="J26" i="8"/>
  <c r="G26" i="8"/>
  <c r="K26" i="8" s="1"/>
  <c r="K15" i="22"/>
  <c r="G11" i="22"/>
  <c r="G12" i="22"/>
  <c r="K12" i="22" s="1"/>
  <c r="G13" i="22"/>
  <c r="K13" i="22" s="1"/>
  <c r="J26" i="11"/>
  <c r="G26" i="11"/>
  <c r="K26" i="11" s="1"/>
  <c r="G19" i="10"/>
  <c r="K19" i="10" s="1"/>
  <c r="J27" i="25"/>
  <c r="G25" i="25"/>
  <c r="G26" i="25"/>
  <c r="G27" i="25"/>
  <c r="K27" i="25" s="1"/>
  <c r="G33" i="25"/>
  <c r="G18" i="9"/>
  <c r="K18" i="9" s="1"/>
  <c r="J51" i="26"/>
  <c r="G51" i="26"/>
  <c r="K51" i="26" s="1"/>
  <c r="J25" i="15"/>
  <c r="K25" i="15" s="1"/>
  <c r="L15" i="19"/>
  <c r="J9" i="19"/>
  <c r="J10" i="19"/>
  <c r="J11" i="19"/>
  <c r="J12" i="19"/>
  <c r="K12" i="19" s="1"/>
  <c r="L12" i="19" s="1"/>
  <c r="L15" i="2"/>
  <c r="G26" i="17"/>
  <c r="K26" i="17" s="1"/>
  <c r="G23" i="18"/>
  <c r="K23" i="18" s="1"/>
  <c r="G18" i="5"/>
  <c r="K18" i="5" s="1"/>
  <c r="K103" i="29"/>
  <c r="H103" i="29"/>
  <c r="L103" i="29" s="1"/>
  <c r="K102" i="29"/>
  <c r="H102" i="29"/>
  <c r="L102" i="29" s="1"/>
  <c r="K101" i="29"/>
  <c r="H101" i="29"/>
  <c r="L101" i="29" s="1"/>
  <c r="G25" i="30"/>
  <c r="K25" i="30" s="1"/>
  <c r="J50" i="26"/>
  <c r="G50" i="26"/>
  <c r="K50" i="26" s="1"/>
  <c r="G17" i="9"/>
  <c r="K17" i="9" s="1"/>
  <c r="J12" i="10"/>
  <c r="J13" i="10"/>
  <c r="J14" i="10"/>
  <c r="J15" i="10"/>
  <c r="J16" i="10"/>
  <c r="J17" i="10"/>
  <c r="G18" i="10"/>
  <c r="K18" i="10" s="1"/>
  <c r="G17" i="10"/>
  <c r="K17" i="10" s="1"/>
  <c r="J25" i="11"/>
  <c r="G25" i="11"/>
  <c r="K25" i="11" s="1"/>
  <c r="J24" i="11"/>
  <c r="G23" i="11"/>
  <c r="G24" i="11"/>
  <c r="K24" i="11" s="1"/>
  <c r="G23" i="24"/>
  <c r="K23" i="24" s="1"/>
  <c r="J24" i="23"/>
  <c r="G24" i="23"/>
  <c r="J25" i="8"/>
  <c r="G25" i="8"/>
  <c r="J22" i="15"/>
  <c r="J23" i="15"/>
  <c r="J24" i="15"/>
  <c r="G24" i="15"/>
  <c r="K24" i="15" s="1"/>
  <c r="I40" i="15" s="1"/>
  <c r="G11" i="16"/>
  <c r="K11" i="16" s="1"/>
  <c r="L11" i="16" s="1"/>
  <c r="J6" i="7"/>
  <c r="G6" i="7"/>
  <c r="J12" i="2"/>
  <c r="J13" i="2"/>
  <c r="J14" i="2"/>
  <c r="G12" i="2"/>
  <c r="K12" i="2" s="1"/>
  <c r="G13" i="2"/>
  <c r="K13" i="2" s="1"/>
  <c r="G14" i="2"/>
  <c r="K14" i="2" s="1"/>
  <c r="J22" i="18"/>
  <c r="G22" i="18"/>
  <c r="K22" i="18" s="1"/>
  <c r="J21" i="17"/>
  <c r="J22" i="17"/>
  <c r="J23" i="17"/>
  <c r="J24" i="17"/>
  <c r="J25" i="17"/>
  <c r="G25" i="17"/>
  <c r="K25" i="17" s="1"/>
  <c r="M3" i="18"/>
  <c r="Q34" i="18"/>
  <c r="G20" i="18"/>
  <c r="J21" i="18"/>
  <c r="G21" i="18"/>
  <c r="K21" i="18" s="1"/>
  <c r="J21" i="6"/>
  <c r="J22" i="6"/>
  <c r="J23" i="6"/>
  <c r="J24" i="6"/>
  <c r="G24" i="6"/>
  <c r="K24" i="6" s="1"/>
  <c r="G17" i="5"/>
  <c r="K17" i="5" s="1"/>
  <c r="G24" i="30"/>
  <c r="K24" i="30" s="1"/>
  <c r="J23" i="30"/>
  <c r="G23" i="30"/>
  <c r="K23" i="30" s="1"/>
  <c r="J22" i="30"/>
  <c r="G21" i="30"/>
  <c r="G22" i="30"/>
  <c r="K22" i="30" s="1"/>
  <c r="J21" i="30"/>
  <c r="K21" i="30" s="1"/>
  <c r="K97" i="29"/>
  <c r="K98" i="29"/>
  <c r="K99" i="29"/>
  <c r="L99" i="29" s="1"/>
  <c r="H98" i="29"/>
  <c r="L98" i="29" s="1"/>
  <c r="H97" i="29"/>
  <c r="L97" i="29" s="1"/>
  <c r="K92" i="29"/>
  <c r="K93" i="29"/>
  <c r="K94" i="29"/>
  <c r="K95" i="29"/>
  <c r="K96" i="29"/>
  <c r="H96" i="29"/>
  <c r="L96" i="29" s="1"/>
  <c r="H95" i="29"/>
  <c r="L95" i="29"/>
  <c r="H94" i="29"/>
  <c r="L94" i="29" s="1"/>
  <c r="H93" i="29"/>
  <c r="L93" i="29" s="1"/>
  <c r="H92" i="29"/>
  <c r="L92" i="29" s="1"/>
  <c r="J24" i="8"/>
  <c r="G24" i="8"/>
  <c r="J23" i="23"/>
  <c r="G23" i="23"/>
  <c r="K23" i="23" s="1"/>
  <c r="G16" i="9"/>
  <c r="K16" i="9" s="1"/>
  <c r="J49" i="26"/>
  <c r="G49" i="26"/>
  <c r="K49" i="26" s="1"/>
  <c r="G23" i="15"/>
  <c r="K23" i="15" s="1"/>
  <c r="G9" i="19"/>
  <c r="G10" i="19"/>
  <c r="K10" i="19" s="1"/>
  <c r="L10" i="19" s="1"/>
  <c r="G11" i="19"/>
  <c r="K11" i="19" s="1"/>
  <c r="L11" i="19" s="1"/>
  <c r="G24" i="17"/>
  <c r="K24" i="17" s="1"/>
  <c r="G23" i="6"/>
  <c r="K23" i="6" s="1"/>
  <c r="G16" i="5"/>
  <c r="K16" i="5" s="1"/>
  <c r="G6" i="5"/>
  <c r="J6" i="5"/>
  <c r="K6" i="5"/>
  <c r="M3" i="24"/>
  <c r="G22" i="24"/>
  <c r="K22" i="24" s="1"/>
  <c r="J21" i="24"/>
  <c r="G21" i="24"/>
  <c r="K21" i="24" s="1"/>
  <c r="J20" i="24"/>
  <c r="G20" i="24"/>
  <c r="K20" i="24" s="1"/>
  <c r="J19" i="24"/>
  <c r="G19" i="24"/>
  <c r="K19" i="24" s="1"/>
  <c r="J18" i="24"/>
  <c r="G18" i="24"/>
  <c r="J17" i="24"/>
  <c r="G17" i="24"/>
  <c r="J24" i="25"/>
  <c r="G24" i="25"/>
  <c r="K24" i="25" s="1"/>
  <c r="J20" i="25"/>
  <c r="J21" i="25"/>
  <c r="J22" i="25"/>
  <c r="J23" i="25"/>
  <c r="G21" i="25"/>
  <c r="G22" i="25"/>
  <c r="G23" i="25"/>
  <c r="K23" i="25" s="1"/>
  <c r="K22" i="25"/>
  <c r="K21" i="25"/>
  <c r="G20" i="25"/>
  <c r="K20" i="25" s="1"/>
  <c r="J19" i="25"/>
  <c r="G19" i="25"/>
  <c r="K19" i="25" s="1"/>
  <c r="J18" i="25"/>
  <c r="G18" i="25"/>
  <c r="J17" i="25"/>
  <c r="G17" i="25"/>
  <c r="P20" i="17"/>
  <c r="G22" i="17"/>
  <c r="G23" i="17"/>
  <c r="K23" i="17" s="1"/>
  <c r="K22" i="17"/>
  <c r="G21" i="17"/>
  <c r="K21" i="17" s="1"/>
  <c r="J20" i="17"/>
  <c r="G20" i="17"/>
  <c r="K20" i="17" s="1"/>
  <c r="J14" i="17"/>
  <c r="J15" i="17"/>
  <c r="J16" i="17"/>
  <c r="J17" i="17"/>
  <c r="J18" i="17"/>
  <c r="J19" i="17"/>
  <c r="G16" i="17"/>
  <c r="K16" i="17" s="1"/>
  <c r="G17" i="17"/>
  <c r="K17" i="17" s="1"/>
  <c r="G18" i="17"/>
  <c r="K18" i="17" s="1"/>
  <c r="G19" i="17"/>
  <c r="K19" i="17" s="1"/>
  <c r="G15" i="17"/>
  <c r="K15" i="17" s="1"/>
  <c r="G14" i="17"/>
  <c r="J20" i="18"/>
  <c r="K20" i="18" s="1"/>
  <c r="J19" i="18"/>
  <c r="G19" i="18"/>
  <c r="K19" i="18" s="1"/>
  <c r="G22" i="6"/>
  <c r="K22" i="6" s="1"/>
  <c r="J15" i="5"/>
  <c r="G15" i="5"/>
  <c r="K15" i="5" s="1"/>
  <c r="J7" i="1"/>
  <c r="G7" i="1"/>
  <c r="G10" i="16"/>
  <c r="K10" i="16" s="1"/>
  <c r="G22" i="15"/>
  <c r="K22" i="15" s="1"/>
  <c r="J21" i="15"/>
  <c r="G21" i="15"/>
  <c r="K21" i="15" s="1"/>
  <c r="J20" i="15"/>
  <c r="G20" i="15"/>
  <c r="K20" i="15" s="1"/>
  <c r="J48" i="26"/>
  <c r="G48" i="26"/>
  <c r="K48" i="26" s="1"/>
  <c r="L48" i="26" s="1"/>
  <c r="J47" i="26"/>
  <c r="J46" i="26"/>
  <c r="G45" i="26"/>
  <c r="G46" i="26"/>
  <c r="K46" i="26" s="1"/>
  <c r="L46" i="26" s="1"/>
  <c r="G47" i="26"/>
  <c r="K47" i="26" s="1"/>
  <c r="L47" i="26" s="1"/>
  <c r="G15" i="9"/>
  <c r="K15" i="9" s="1"/>
  <c r="J23" i="11"/>
  <c r="J22" i="11"/>
  <c r="G22" i="11"/>
  <c r="K22" i="11" s="1"/>
  <c r="J21" i="11"/>
  <c r="G21" i="11"/>
  <c r="K21" i="11" s="1"/>
  <c r="G16" i="10"/>
  <c r="K16" i="10" s="1"/>
  <c r="G15" i="10"/>
  <c r="K15" i="10"/>
  <c r="G14" i="10"/>
  <c r="K14" i="10" s="1"/>
  <c r="G13" i="10"/>
  <c r="K13" i="10" s="1"/>
  <c r="G12" i="10"/>
  <c r="K12" i="10" s="1"/>
  <c r="J22" i="23"/>
  <c r="G22" i="23"/>
  <c r="K22" i="23" s="1"/>
  <c r="G21" i="23"/>
  <c r="J21" i="23"/>
  <c r="K21" i="23"/>
  <c r="J20" i="23"/>
  <c r="G20" i="23"/>
  <c r="K20" i="23" s="1"/>
  <c r="J23" i="8"/>
  <c r="G23" i="8"/>
  <c r="K23" i="8" s="1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6" i="29"/>
  <c r="K67" i="29"/>
  <c r="K65" i="29"/>
  <c r="K68" i="29"/>
  <c r="K69" i="29"/>
  <c r="K70" i="29"/>
  <c r="K71" i="29"/>
  <c r="K72" i="29"/>
  <c r="K73" i="29"/>
  <c r="K74" i="29"/>
  <c r="K75" i="29"/>
  <c r="K76" i="29"/>
  <c r="K78" i="29"/>
  <c r="K79" i="29"/>
  <c r="K77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100" i="29"/>
  <c r="K5" i="29"/>
  <c r="K154" i="29" s="1"/>
  <c r="H6" i="29"/>
  <c r="L6" i="29" s="1"/>
  <c r="H7" i="29"/>
  <c r="L7" i="29" s="1"/>
  <c r="H8" i="29"/>
  <c r="L8" i="29" s="1"/>
  <c r="H9" i="29"/>
  <c r="L9" i="29" s="1"/>
  <c r="H10" i="29"/>
  <c r="L10" i="29" s="1"/>
  <c r="H11" i="29"/>
  <c r="L11" i="29" s="1"/>
  <c r="H12" i="29"/>
  <c r="L12" i="29" s="1"/>
  <c r="H13" i="29"/>
  <c r="L13" i="29" s="1"/>
  <c r="H14" i="29"/>
  <c r="L14" i="29" s="1"/>
  <c r="H15" i="29"/>
  <c r="L15" i="29" s="1"/>
  <c r="H16" i="29"/>
  <c r="L16" i="29" s="1"/>
  <c r="H17" i="29"/>
  <c r="L17" i="29" s="1"/>
  <c r="H18" i="29"/>
  <c r="L18" i="29" s="1"/>
  <c r="H19" i="29"/>
  <c r="L19" i="29" s="1"/>
  <c r="H20" i="29"/>
  <c r="L20" i="29" s="1"/>
  <c r="H21" i="29"/>
  <c r="L21" i="29" s="1"/>
  <c r="H22" i="29"/>
  <c r="L22" i="29" s="1"/>
  <c r="H23" i="29"/>
  <c r="L23" i="29" s="1"/>
  <c r="H24" i="29"/>
  <c r="L24" i="29" s="1"/>
  <c r="H25" i="29"/>
  <c r="L25" i="29" s="1"/>
  <c r="H26" i="29"/>
  <c r="L26" i="29" s="1"/>
  <c r="H27" i="29"/>
  <c r="L27" i="29" s="1"/>
  <c r="H28" i="29"/>
  <c r="L28" i="29" s="1"/>
  <c r="H29" i="29"/>
  <c r="L29" i="29" s="1"/>
  <c r="H30" i="29"/>
  <c r="L30" i="29" s="1"/>
  <c r="H31" i="29"/>
  <c r="L31" i="29" s="1"/>
  <c r="H32" i="29"/>
  <c r="L32" i="29" s="1"/>
  <c r="H33" i="29"/>
  <c r="L33" i="29" s="1"/>
  <c r="H34" i="29"/>
  <c r="L34" i="29" s="1"/>
  <c r="H35" i="29"/>
  <c r="L35" i="29" s="1"/>
  <c r="H36" i="29"/>
  <c r="L36" i="29" s="1"/>
  <c r="H37" i="29"/>
  <c r="L37" i="29" s="1"/>
  <c r="H38" i="29"/>
  <c r="L38" i="29" s="1"/>
  <c r="H39" i="29"/>
  <c r="L39" i="29" s="1"/>
  <c r="H40" i="29"/>
  <c r="L40" i="29" s="1"/>
  <c r="H41" i="29"/>
  <c r="L41" i="29" s="1"/>
  <c r="H42" i="29"/>
  <c r="L42" i="29" s="1"/>
  <c r="H43" i="29"/>
  <c r="L43" i="29" s="1"/>
  <c r="H44" i="29"/>
  <c r="L44" i="29" s="1"/>
  <c r="H45" i="29"/>
  <c r="L45" i="29" s="1"/>
  <c r="H46" i="29"/>
  <c r="L46" i="29" s="1"/>
  <c r="H47" i="29"/>
  <c r="L47" i="29" s="1"/>
  <c r="H48" i="29"/>
  <c r="L48" i="29" s="1"/>
  <c r="H49" i="29"/>
  <c r="L49" i="29" s="1"/>
  <c r="H50" i="29"/>
  <c r="L50" i="29" s="1"/>
  <c r="H51" i="29"/>
  <c r="L51" i="29" s="1"/>
  <c r="H52" i="29"/>
  <c r="L52" i="29" s="1"/>
  <c r="H53" i="29"/>
  <c r="L53" i="29" s="1"/>
  <c r="H54" i="29"/>
  <c r="L54" i="29" s="1"/>
  <c r="H55" i="29"/>
  <c r="L55" i="29" s="1"/>
  <c r="H56" i="29"/>
  <c r="L56" i="29" s="1"/>
  <c r="H57" i="29"/>
  <c r="L57" i="29" s="1"/>
  <c r="H58" i="29"/>
  <c r="L58" i="29" s="1"/>
  <c r="H59" i="29"/>
  <c r="L59" i="29" s="1"/>
  <c r="H60" i="29"/>
  <c r="L60" i="29" s="1"/>
  <c r="H61" i="29"/>
  <c r="L61" i="29" s="1"/>
  <c r="H62" i="29"/>
  <c r="L62" i="29" s="1"/>
  <c r="H63" i="29"/>
  <c r="L63" i="29" s="1"/>
  <c r="H64" i="29"/>
  <c r="L64" i="29" s="1"/>
  <c r="H66" i="29"/>
  <c r="L66" i="29" s="1"/>
  <c r="H67" i="29"/>
  <c r="L67" i="29" s="1"/>
  <c r="H65" i="29"/>
  <c r="L65" i="29" s="1"/>
  <c r="H68" i="29"/>
  <c r="L68" i="29" s="1"/>
  <c r="H69" i="29"/>
  <c r="L69" i="29" s="1"/>
  <c r="H70" i="29"/>
  <c r="L70" i="29" s="1"/>
  <c r="H71" i="29"/>
  <c r="L71" i="29" s="1"/>
  <c r="H72" i="29"/>
  <c r="L72" i="29" s="1"/>
  <c r="H73" i="29"/>
  <c r="L73" i="29" s="1"/>
  <c r="H74" i="29"/>
  <c r="L74" i="29" s="1"/>
  <c r="H75" i="29"/>
  <c r="L75" i="29" s="1"/>
  <c r="H76" i="29"/>
  <c r="L76" i="29" s="1"/>
  <c r="H78" i="29"/>
  <c r="L78" i="29" s="1"/>
  <c r="H79" i="29"/>
  <c r="L79" i="29" s="1"/>
  <c r="H77" i="29"/>
  <c r="L77" i="29" s="1"/>
  <c r="H80" i="29"/>
  <c r="L80" i="29" s="1"/>
  <c r="H81" i="29"/>
  <c r="L81" i="29" s="1"/>
  <c r="H82" i="29"/>
  <c r="L82" i="29" s="1"/>
  <c r="H83" i="29"/>
  <c r="L83" i="29" s="1"/>
  <c r="H84" i="29"/>
  <c r="L84" i="29" s="1"/>
  <c r="H85" i="29"/>
  <c r="L85" i="29" s="1"/>
  <c r="H86" i="29"/>
  <c r="L86" i="29" s="1"/>
  <c r="H87" i="29"/>
  <c r="L87" i="29" s="1"/>
  <c r="H88" i="29"/>
  <c r="L88" i="29" s="1"/>
  <c r="H89" i="29"/>
  <c r="L89" i="29" s="1"/>
  <c r="H90" i="29"/>
  <c r="L90" i="29" s="1"/>
  <c r="H91" i="29"/>
  <c r="L91" i="29" s="1"/>
  <c r="H100" i="29"/>
  <c r="L100" i="29" s="1"/>
  <c r="H5" i="29"/>
  <c r="H154" i="29" s="1"/>
  <c r="J22" i="8"/>
  <c r="G22" i="8"/>
  <c r="K22" i="8" s="1"/>
  <c r="J21" i="8"/>
  <c r="G21" i="8"/>
  <c r="A20" i="8"/>
  <c r="A22" i="8"/>
  <c r="A24" i="8"/>
  <c r="J44" i="26"/>
  <c r="J45" i="26"/>
  <c r="K45" i="26" s="1"/>
  <c r="L45" i="26" s="1"/>
  <c r="G44" i="26"/>
  <c r="K44" i="26" s="1"/>
  <c r="L44" i="26" s="1"/>
  <c r="J43" i="26"/>
  <c r="G43" i="26"/>
  <c r="K43" i="26" s="1"/>
  <c r="L43" i="26" s="1"/>
  <c r="M3" i="15"/>
  <c r="J19" i="15"/>
  <c r="G19" i="15"/>
  <c r="J18" i="18"/>
  <c r="G18" i="18"/>
  <c r="K18" i="18" s="1"/>
  <c r="G21" i="6"/>
  <c r="J14" i="5"/>
  <c r="G14" i="5"/>
  <c r="K14" i="5" s="1"/>
  <c r="G9" i="30"/>
  <c r="G10" i="30"/>
  <c r="G11" i="30"/>
  <c r="G12" i="30"/>
  <c r="G13" i="30"/>
  <c r="G14" i="30"/>
  <c r="G15" i="30"/>
  <c r="G16" i="30"/>
  <c r="G17" i="30"/>
  <c r="G18" i="30"/>
  <c r="G19" i="30"/>
  <c r="G20" i="30"/>
  <c r="G8" i="30"/>
  <c r="J5" i="30"/>
  <c r="K5" i="30" s="1"/>
  <c r="J6" i="30"/>
  <c r="K6" i="30" s="1"/>
  <c r="J7" i="30"/>
  <c r="K7" i="30" s="1"/>
  <c r="J8" i="30"/>
  <c r="K8" i="30" s="1"/>
  <c r="J9" i="30"/>
  <c r="K9" i="30" s="1"/>
  <c r="J10" i="30"/>
  <c r="K10" i="30" s="1"/>
  <c r="J11" i="30"/>
  <c r="K11" i="30" s="1"/>
  <c r="J12" i="30"/>
  <c r="K12" i="30" s="1"/>
  <c r="J13" i="30"/>
  <c r="K13" i="30" s="1"/>
  <c r="J14" i="30"/>
  <c r="K14" i="30" s="1"/>
  <c r="J15" i="30"/>
  <c r="K15" i="30" s="1"/>
  <c r="J16" i="30"/>
  <c r="K16" i="30" s="1"/>
  <c r="J17" i="30"/>
  <c r="K17" i="30" s="1"/>
  <c r="J18" i="30"/>
  <c r="K18" i="30" s="1"/>
  <c r="J19" i="30"/>
  <c r="K19" i="30" s="1"/>
  <c r="J20" i="30"/>
  <c r="K20" i="30" s="1"/>
  <c r="J4" i="30"/>
  <c r="K4" i="30" s="1"/>
  <c r="M4" i="30" s="1"/>
  <c r="A7" i="15"/>
  <c r="A9" i="15"/>
  <c r="A11" i="15"/>
  <c r="A13" i="15"/>
  <c r="A15" i="15"/>
  <c r="A17" i="15"/>
  <c r="A19" i="15"/>
  <c r="Q7" i="30"/>
  <c r="M5" i="30"/>
  <c r="M6" i="30"/>
  <c r="M7" i="30" s="1"/>
  <c r="M8" i="30" s="1"/>
  <c r="M9" i="30" s="1"/>
  <c r="M10" i="30" s="1"/>
  <c r="M11" i="30" s="1"/>
  <c r="M12" i="30" s="1"/>
  <c r="M13" i="30" s="1"/>
  <c r="M14" i="30" s="1"/>
  <c r="M15" i="30" s="1"/>
  <c r="J42" i="26"/>
  <c r="G42" i="26"/>
  <c r="K42" i="26" s="1"/>
  <c r="L42" i="26" s="1"/>
  <c r="J41" i="26"/>
  <c r="G41" i="26"/>
  <c r="K41" i="26" s="1"/>
  <c r="L41" i="26" s="1"/>
  <c r="J40" i="26"/>
  <c r="G40" i="26"/>
  <c r="K40" i="26" s="1"/>
  <c r="L40" i="26" s="1"/>
  <c r="J39" i="26"/>
  <c r="G39" i="26"/>
  <c r="K39" i="26" s="1"/>
  <c r="L39" i="26" s="1"/>
  <c r="J38" i="26"/>
  <c r="G38" i="26"/>
  <c r="K38" i="26" s="1"/>
  <c r="L38" i="26" s="1"/>
  <c r="J37" i="26"/>
  <c r="G37" i="26"/>
  <c r="K37" i="26" s="1"/>
  <c r="L37" i="26" s="1"/>
  <c r="J36" i="26"/>
  <c r="G36" i="26"/>
  <c r="K36" i="26" s="1"/>
  <c r="L36" i="26" s="1"/>
  <c r="J35" i="26"/>
  <c r="G35" i="26"/>
  <c r="K35" i="26" s="1"/>
  <c r="L35" i="26" s="1"/>
  <c r="J34" i="26"/>
  <c r="G34" i="26"/>
  <c r="K34" i="26" s="1"/>
  <c r="L34" i="26" s="1"/>
  <c r="J33" i="26"/>
  <c r="G33" i="26"/>
  <c r="K33" i="26" s="1"/>
  <c r="L33" i="26" s="1"/>
  <c r="J32" i="26"/>
  <c r="G32" i="26"/>
  <c r="K32" i="26" s="1"/>
  <c r="L32" i="26" s="1"/>
  <c r="J31" i="26"/>
  <c r="G31" i="26"/>
  <c r="K31" i="26" s="1"/>
  <c r="L31" i="26" s="1"/>
  <c r="J30" i="26"/>
  <c r="G30" i="26"/>
  <c r="K30" i="26" s="1"/>
  <c r="L30" i="26" s="1"/>
  <c r="J29" i="26"/>
  <c r="G29" i="26"/>
  <c r="K29" i="26" s="1"/>
  <c r="L29" i="26" s="1"/>
  <c r="J28" i="26"/>
  <c r="G28" i="26"/>
  <c r="K28" i="26" s="1"/>
  <c r="L28" i="26" s="1"/>
  <c r="J27" i="26"/>
  <c r="G27" i="26"/>
  <c r="K27" i="26" s="1"/>
  <c r="L27" i="26" s="1"/>
  <c r="J26" i="26"/>
  <c r="G26" i="26"/>
  <c r="K26" i="26" s="1"/>
  <c r="L26" i="26" s="1"/>
  <c r="J25" i="26"/>
  <c r="G25" i="26"/>
  <c r="K25" i="26" s="1"/>
  <c r="L25" i="26" s="1"/>
  <c r="J24" i="26"/>
  <c r="G24" i="26"/>
  <c r="K24" i="26" s="1"/>
  <c r="L24" i="26" s="1"/>
  <c r="J23" i="26"/>
  <c r="G23" i="26"/>
  <c r="K23" i="26" s="1"/>
  <c r="L23" i="26" s="1"/>
  <c r="J22" i="26"/>
  <c r="G22" i="26"/>
  <c r="K22" i="26" s="1"/>
  <c r="L22" i="26" s="1"/>
  <c r="J21" i="26"/>
  <c r="G21" i="26"/>
  <c r="K21" i="26" s="1"/>
  <c r="L21" i="26" s="1"/>
  <c r="J20" i="26"/>
  <c r="G20" i="26"/>
  <c r="K20" i="26" s="1"/>
  <c r="L20" i="26" s="1"/>
  <c r="J19" i="26"/>
  <c r="G19" i="26"/>
  <c r="K19" i="26" s="1"/>
  <c r="L19" i="26" s="1"/>
  <c r="J18" i="26"/>
  <c r="G18" i="26"/>
  <c r="K18" i="26" s="1"/>
  <c r="L18" i="26" s="1"/>
  <c r="J17" i="26"/>
  <c r="G17" i="26"/>
  <c r="K17" i="26" s="1"/>
  <c r="L17" i="26" s="1"/>
  <c r="J16" i="26"/>
  <c r="G16" i="26"/>
  <c r="K16" i="26" s="1"/>
  <c r="L16" i="26" s="1"/>
  <c r="J15" i="26"/>
  <c r="G15" i="26"/>
  <c r="K15" i="26" s="1"/>
  <c r="L15" i="26" s="1"/>
  <c r="J14" i="26"/>
  <c r="G14" i="26"/>
  <c r="K14" i="26" s="1"/>
  <c r="L14" i="26" s="1"/>
  <c r="J13" i="26"/>
  <c r="G13" i="26"/>
  <c r="K13" i="26" s="1"/>
  <c r="L13" i="26" s="1"/>
  <c r="J12" i="26"/>
  <c r="G12" i="26"/>
  <c r="K12" i="26" s="1"/>
  <c r="L12" i="26" s="1"/>
  <c r="J11" i="26"/>
  <c r="G11" i="26"/>
  <c r="K11" i="26" s="1"/>
  <c r="L11" i="26" s="1"/>
  <c r="J10" i="26"/>
  <c r="G10" i="26"/>
  <c r="K10" i="26" s="1"/>
  <c r="L10" i="26" s="1"/>
  <c r="J9" i="26"/>
  <c r="G9" i="26"/>
  <c r="K9" i="26" s="1"/>
  <c r="L9" i="26" s="1"/>
  <c r="J8" i="26"/>
  <c r="G8" i="26"/>
  <c r="K8" i="26" s="1"/>
  <c r="L8" i="26" s="1"/>
  <c r="J7" i="26"/>
  <c r="G7" i="26"/>
  <c r="K7" i="26" s="1"/>
  <c r="L7" i="26" s="1"/>
  <c r="J6" i="26"/>
  <c r="G6" i="26"/>
  <c r="K6" i="26" s="1"/>
  <c r="L6" i="26" s="1"/>
  <c r="J5" i="26"/>
  <c r="G5" i="26"/>
  <c r="K5" i="26" s="1"/>
  <c r="L5" i="26" s="1"/>
  <c r="J4" i="26"/>
  <c r="J63" i="26" s="1"/>
  <c r="G4" i="26"/>
  <c r="G63" i="26" s="1"/>
  <c r="J8" i="9"/>
  <c r="J7" i="9"/>
  <c r="J4" i="9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4" i="15"/>
  <c r="M3" i="12"/>
  <c r="M3" i="11"/>
  <c r="A12" i="8"/>
  <c r="A15" i="8"/>
  <c r="A17" i="8"/>
  <c r="A18" i="8"/>
  <c r="M3" i="8"/>
  <c r="M3" i="20"/>
  <c r="M3" i="22"/>
  <c r="M3" i="25"/>
  <c r="G4" i="7"/>
  <c r="M3" i="7"/>
  <c r="K21" i="6"/>
  <c r="M3" i="23"/>
  <c r="J9" i="16"/>
  <c r="G9" i="16"/>
  <c r="K9" i="16" s="1"/>
  <c r="L9" i="16" s="1"/>
  <c r="M3" i="3"/>
  <c r="J11" i="2"/>
  <c r="G11" i="2"/>
  <c r="K11" i="2" s="1"/>
  <c r="M3" i="2"/>
  <c r="M3" i="17"/>
  <c r="A8" i="18"/>
  <c r="A9" i="18"/>
  <c r="A11" i="18"/>
  <c r="A12" i="18"/>
  <c r="A14" i="18"/>
  <c r="A17" i="18"/>
  <c r="A18" i="18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K17" i="6" s="1"/>
  <c r="J18" i="6"/>
  <c r="J19" i="6"/>
  <c r="J20" i="6"/>
  <c r="J4" i="6"/>
  <c r="G20" i="6"/>
  <c r="K20" i="6" s="1"/>
  <c r="G4" i="6"/>
  <c r="K4" i="6"/>
  <c r="R9" i="5"/>
  <c r="M3" i="5"/>
  <c r="G4" i="5"/>
  <c r="J4" i="5"/>
  <c r="K4" i="5"/>
  <c r="G5" i="25"/>
  <c r="G6" i="25"/>
  <c r="G7" i="25"/>
  <c r="G8" i="25"/>
  <c r="G9" i="25"/>
  <c r="G10" i="25"/>
  <c r="G11" i="25"/>
  <c r="G12" i="25"/>
  <c r="G13" i="25"/>
  <c r="G14" i="25"/>
  <c r="G15" i="25"/>
  <c r="G16" i="25"/>
  <c r="G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26" i="25"/>
  <c r="J4" i="25"/>
  <c r="G5" i="24"/>
  <c r="G6" i="24"/>
  <c r="G7" i="24"/>
  <c r="G8" i="24"/>
  <c r="G9" i="24"/>
  <c r="G10" i="24"/>
  <c r="G11" i="24"/>
  <c r="G12" i="24"/>
  <c r="G13" i="24"/>
  <c r="G14" i="24"/>
  <c r="G15" i="24"/>
  <c r="G16" i="24"/>
  <c r="G4" i="24"/>
  <c r="J5" i="22"/>
  <c r="G5" i="22"/>
  <c r="K5" i="22" s="1"/>
  <c r="J5" i="24"/>
  <c r="J6" i="24"/>
  <c r="K6" i="24" s="1"/>
  <c r="J7" i="24"/>
  <c r="J8" i="24"/>
  <c r="J9" i="24"/>
  <c r="J10" i="24"/>
  <c r="J11" i="24"/>
  <c r="J12" i="24"/>
  <c r="J13" i="24"/>
  <c r="J14" i="24"/>
  <c r="J15" i="24"/>
  <c r="J16" i="24"/>
  <c r="J4" i="24"/>
  <c r="J11" i="22"/>
  <c r="K11" i="22"/>
  <c r="J10" i="22"/>
  <c r="G10" i="22"/>
  <c r="K10" i="22" s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6" i="22"/>
  <c r="J7" i="22"/>
  <c r="J8" i="22"/>
  <c r="J9" i="22"/>
  <c r="J4" i="23"/>
  <c r="G9" i="22"/>
  <c r="G8" i="22"/>
  <c r="K8" i="22" s="1"/>
  <c r="G7" i="22"/>
  <c r="K7" i="22" s="1"/>
  <c r="G6" i="22"/>
  <c r="K6" i="22" s="1"/>
  <c r="J4" i="22"/>
  <c r="G4" i="22"/>
  <c r="J5" i="20"/>
  <c r="J6" i="20"/>
  <c r="J7" i="20"/>
  <c r="J4" i="20"/>
  <c r="G5" i="20"/>
  <c r="K5" i="20" s="1"/>
  <c r="L5" i="20" s="1"/>
  <c r="G6" i="20"/>
  <c r="K6" i="20" s="1"/>
  <c r="L6" i="20" s="1"/>
  <c r="G7" i="20"/>
  <c r="K7" i="20" s="1"/>
  <c r="L7" i="20" s="1"/>
  <c r="G4" i="20"/>
  <c r="J5" i="17"/>
  <c r="J6" i="17"/>
  <c r="J7" i="17"/>
  <c r="J8" i="17"/>
  <c r="J9" i="17"/>
  <c r="J10" i="17"/>
  <c r="J11" i="17"/>
  <c r="J12" i="17"/>
  <c r="J13" i="17"/>
  <c r="J4" i="17"/>
  <c r="G5" i="17"/>
  <c r="K5" i="17" s="1"/>
  <c r="G6" i="17"/>
  <c r="K6" i="17" s="1"/>
  <c r="G7" i="17"/>
  <c r="K7" i="17" s="1"/>
  <c r="G8" i="17"/>
  <c r="K8" i="17" s="1"/>
  <c r="G9" i="17"/>
  <c r="K9" i="17" s="1"/>
  <c r="G10" i="17"/>
  <c r="K10" i="17" s="1"/>
  <c r="G11" i="17"/>
  <c r="K11" i="17" s="1"/>
  <c r="G12" i="17"/>
  <c r="K12" i="17" s="1"/>
  <c r="G13" i="17"/>
  <c r="K13" i="17" s="1"/>
  <c r="G4" i="17"/>
  <c r="G36" i="17" s="1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4" i="18"/>
  <c r="G5" i="18"/>
  <c r="K5" i="18" s="1"/>
  <c r="G6" i="18"/>
  <c r="K6" i="18" s="1"/>
  <c r="G7" i="18"/>
  <c r="G8" i="18"/>
  <c r="K8" i="18" s="1"/>
  <c r="G9" i="18"/>
  <c r="G32" i="18" s="1"/>
  <c r="G10" i="18"/>
  <c r="G11" i="18"/>
  <c r="K11" i="18" s="1"/>
  <c r="G12" i="18"/>
  <c r="G13" i="18"/>
  <c r="K13" i="18" s="1"/>
  <c r="G14" i="18"/>
  <c r="K14" i="18" s="1"/>
  <c r="G15" i="18"/>
  <c r="K15" i="18" s="1"/>
  <c r="G16" i="18"/>
  <c r="K16" i="18" s="1"/>
  <c r="G17" i="18"/>
  <c r="K17" i="18" s="1"/>
  <c r="G4" i="18"/>
  <c r="G4" i="19"/>
  <c r="J4" i="19"/>
  <c r="K4" i="19"/>
  <c r="L4" i="19" s="1"/>
  <c r="G5" i="19"/>
  <c r="J5" i="19"/>
  <c r="K5" i="19"/>
  <c r="L5" i="19" s="1"/>
  <c r="G6" i="19"/>
  <c r="J6" i="19"/>
  <c r="K6" i="19"/>
  <c r="L6" i="19" s="1"/>
  <c r="G7" i="19"/>
  <c r="J7" i="19"/>
  <c r="K7" i="19"/>
  <c r="L7" i="19" s="1"/>
  <c r="G8" i="19"/>
  <c r="J8" i="19"/>
  <c r="K8" i="19"/>
  <c r="L8" i="19" s="1"/>
  <c r="K9" i="19"/>
  <c r="J5" i="16"/>
  <c r="J6" i="16"/>
  <c r="J7" i="16"/>
  <c r="J8" i="16"/>
  <c r="J4" i="16"/>
  <c r="G5" i="16"/>
  <c r="K5" i="16" s="1"/>
  <c r="L5" i="16" s="1"/>
  <c r="G6" i="16"/>
  <c r="K6" i="16" s="1"/>
  <c r="L6" i="16" s="1"/>
  <c r="G7" i="16"/>
  <c r="K7" i="16" s="1"/>
  <c r="L7" i="16" s="1"/>
  <c r="G8" i="16"/>
  <c r="K8" i="16" s="1"/>
  <c r="L8" i="16" s="1"/>
  <c r="G4" i="16"/>
  <c r="A5" i="18"/>
  <c r="A6" i="18"/>
  <c r="A5" i="17"/>
  <c r="A6" i="17"/>
  <c r="A7" i="17"/>
  <c r="A8" i="17"/>
  <c r="A9" i="17"/>
  <c r="A10" i="17"/>
  <c r="A11" i="17"/>
  <c r="A12" i="17"/>
  <c r="A13" i="17"/>
  <c r="A14" i="17"/>
  <c r="K14" i="17"/>
  <c r="K6" i="15"/>
  <c r="K7" i="15"/>
  <c r="K8" i="15"/>
  <c r="K9" i="15"/>
  <c r="K10" i="15"/>
  <c r="K11" i="15"/>
  <c r="K12" i="15"/>
  <c r="K13" i="15"/>
  <c r="K14" i="15"/>
  <c r="K15" i="15"/>
  <c r="K16" i="15"/>
  <c r="K19" i="15"/>
  <c r="K18" i="15"/>
  <c r="K17" i="15"/>
  <c r="K5" i="15"/>
  <c r="J5" i="14"/>
  <c r="J4" i="14"/>
  <c r="G12" i="14"/>
  <c r="G11" i="14"/>
  <c r="G5" i="14"/>
  <c r="G6" i="14"/>
  <c r="G7" i="14"/>
  <c r="G8" i="14"/>
  <c r="G9" i="14"/>
  <c r="G10" i="14"/>
  <c r="G4" i="14"/>
  <c r="K12" i="14"/>
  <c r="K11" i="14"/>
  <c r="K10" i="14"/>
  <c r="K9" i="14"/>
  <c r="K8" i="14"/>
  <c r="K7" i="14"/>
  <c r="K6" i="14"/>
  <c r="K5" i="14"/>
  <c r="K4" i="14"/>
  <c r="A5" i="14"/>
  <c r="A6" i="14" s="1"/>
  <c r="A7" i="14" s="1"/>
  <c r="A8" i="14" s="1"/>
  <c r="A9" i="14" s="1"/>
  <c r="A10" i="14" s="1"/>
  <c r="A11" i="14" s="1"/>
  <c r="A12" i="14" s="1"/>
  <c r="J10" i="9"/>
  <c r="J11" i="9"/>
  <c r="J12" i="9"/>
  <c r="J13" i="9"/>
  <c r="J14" i="9"/>
  <c r="G5" i="7"/>
  <c r="J5" i="7"/>
  <c r="K5" i="7"/>
  <c r="G10" i="9"/>
  <c r="K10" i="9" s="1"/>
  <c r="G11" i="9"/>
  <c r="K11" i="9" s="1"/>
  <c r="G12" i="9"/>
  <c r="G13" i="9"/>
  <c r="K13" i="9" s="1"/>
  <c r="G14" i="9"/>
  <c r="K14" i="9" s="1"/>
  <c r="J4" i="7"/>
  <c r="G7" i="6"/>
  <c r="K7" i="6" s="1"/>
  <c r="G5" i="6"/>
  <c r="K5" i="6" s="1"/>
  <c r="G6" i="6"/>
  <c r="K6" i="6" s="1"/>
  <c r="G4" i="12"/>
  <c r="J4" i="12"/>
  <c r="K4" i="1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4" i="11"/>
  <c r="J4" i="11"/>
  <c r="K4" i="11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4" i="10"/>
  <c r="J5" i="10"/>
  <c r="K5" i="10"/>
  <c r="G6" i="10"/>
  <c r="K6" i="10"/>
  <c r="G7" i="10"/>
  <c r="K7" i="10"/>
  <c r="G8" i="10"/>
  <c r="K8" i="10"/>
  <c r="G9" i="10"/>
  <c r="K9" i="10"/>
  <c r="G10" i="10"/>
  <c r="K10" i="10"/>
  <c r="G11" i="10"/>
  <c r="J11" i="10"/>
  <c r="L28" i="10"/>
  <c r="L28" i="9"/>
  <c r="J5" i="9"/>
  <c r="J6" i="9"/>
  <c r="J9" i="9"/>
  <c r="G5" i="9"/>
  <c r="K5" i="9" s="1"/>
  <c r="G6" i="9"/>
  <c r="K6" i="9" s="1"/>
  <c r="G7" i="9"/>
  <c r="K7" i="9" s="1"/>
  <c r="G8" i="9"/>
  <c r="K8" i="9" s="1"/>
  <c r="G9" i="9"/>
  <c r="K9" i="9" s="1"/>
  <c r="G4" i="9"/>
  <c r="G8" i="6"/>
  <c r="G9" i="6"/>
  <c r="K9" i="6" s="1"/>
  <c r="G10" i="6"/>
  <c r="K10" i="6" s="1"/>
  <c r="G11" i="6"/>
  <c r="K11" i="6" s="1"/>
  <c r="G12" i="6"/>
  <c r="K12" i="6" s="1"/>
  <c r="G13" i="6"/>
  <c r="K13" i="6" s="1"/>
  <c r="G14" i="6"/>
  <c r="K14" i="6" s="1"/>
  <c r="G15" i="6"/>
  <c r="K15" i="6" s="1"/>
  <c r="G16" i="6"/>
  <c r="K16" i="6" s="1"/>
  <c r="G18" i="6"/>
  <c r="K18" i="6" s="1"/>
  <c r="G19" i="6"/>
  <c r="K19" i="6" s="1"/>
  <c r="J5" i="3"/>
  <c r="J6" i="3"/>
  <c r="J8" i="3"/>
  <c r="G5" i="3"/>
  <c r="K5" i="3" s="1"/>
  <c r="G6" i="3"/>
  <c r="K6" i="3" s="1"/>
  <c r="G8" i="3"/>
  <c r="K8" i="3" s="1"/>
  <c r="J4" i="3"/>
  <c r="G4" i="3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4" i="8"/>
  <c r="J5" i="5"/>
  <c r="J7" i="5"/>
  <c r="J8" i="5"/>
  <c r="J10" i="5"/>
  <c r="J11" i="5"/>
  <c r="J12" i="5"/>
  <c r="J13" i="5"/>
  <c r="G5" i="5"/>
  <c r="G7" i="5"/>
  <c r="K7" i="5" s="1"/>
  <c r="G8" i="5"/>
  <c r="K8" i="5" s="1"/>
  <c r="G10" i="5"/>
  <c r="K10" i="5" s="1"/>
  <c r="G11" i="5"/>
  <c r="K11" i="5" s="1"/>
  <c r="G12" i="5"/>
  <c r="K12" i="5" s="1"/>
  <c r="G13" i="5"/>
  <c r="K13" i="5" s="1"/>
  <c r="G5" i="8"/>
  <c r="K5" i="8" s="1"/>
  <c r="G6" i="8"/>
  <c r="K6" i="8" s="1"/>
  <c r="G7" i="8"/>
  <c r="K7" i="8" s="1"/>
  <c r="G8" i="8"/>
  <c r="K8" i="8" s="1"/>
  <c r="G9" i="8"/>
  <c r="K9" i="8" s="1"/>
  <c r="G10" i="8"/>
  <c r="K10" i="8" s="1"/>
  <c r="G11" i="8"/>
  <c r="K11" i="8" s="1"/>
  <c r="G12" i="8"/>
  <c r="K12" i="8" s="1"/>
  <c r="G13" i="8"/>
  <c r="K13" i="8" s="1"/>
  <c r="G14" i="8"/>
  <c r="K14" i="8" s="1"/>
  <c r="G15" i="8"/>
  <c r="K15" i="8" s="1"/>
  <c r="G16" i="8"/>
  <c r="K16" i="8" s="1"/>
  <c r="G17" i="8"/>
  <c r="K17" i="8" s="1"/>
  <c r="G18" i="8"/>
  <c r="K18" i="8" s="1"/>
  <c r="G19" i="8"/>
  <c r="K19" i="8" s="1"/>
  <c r="G20" i="8"/>
  <c r="K20" i="8" s="1"/>
  <c r="G4" i="8"/>
  <c r="K24" i="8"/>
  <c r="K21" i="8"/>
  <c r="A5" i="8"/>
  <c r="A6" i="8" s="1"/>
  <c r="K6" i="7"/>
  <c r="K8" i="7"/>
  <c r="J4" i="2"/>
  <c r="J5" i="2"/>
  <c r="J7" i="2"/>
  <c r="J8" i="2"/>
  <c r="J9" i="2"/>
  <c r="J10" i="2"/>
  <c r="G4" i="2"/>
  <c r="G5" i="2"/>
  <c r="K5" i="2" s="1"/>
  <c r="G6" i="2"/>
  <c r="K6" i="2" s="1"/>
  <c r="G7" i="2"/>
  <c r="K7" i="2" s="1"/>
  <c r="G8" i="2"/>
  <c r="K8" i="2" s="1"/>
  <c r="G9" i="2"/>
  <c r="K9" i="2" s="1"/>
  <c r="G10" i="2"/>
  <c r="K10" i="2" s="1"/>
  <c r="J5" i="1"/>
  <c r="J6" i="1"/>
  <c r="J4" i="1"/>
  <c r="G5" i="1"/>
  <c r="G6" i="1"/>
  <c r="G4" i="1"/>
  <c r="K4" i="1"/>
  <c r="K5" i="1"/>
  <c r="K6" i="1"/>
  <c r="K7" i="1"/>
  <c r="K9" i="22" l="1"/>
  <c r="K16" i="22" s="1"/>
  <c r="G16" i="22"/>
  <c r="J36" i="17"/>
  <c r="L30" i="33"/>
  <c r="I25" i="33"/>
  <c r="K7" i="7"/>
  <c r="M4" i="6"/>
  <c r="K9" i="32"/>
  <c r="L9" i="19"/>
  <c r="K25" i="18"/>
  <c r="L134" i="29"/>
  <c r="K30" i="8"/>
  <c r="K5" i="24"/>
  <c r="K8" i="6"/>
  <c r="K4" i="7"/>
  <c r="G10" i="7"/>
  <c r="M4" i="11"/>
  <c r="L8" i="20"/>
  <c r="K27" i="17"/>
  <c r="M4" i="14"/>
  <c r="M5" i="14" s="1"/>
  <c r="M6" i="14" s="1"/>
  <c r="M7" i="14" s="1"/>
  <c r="M8" i="14" s="1"/>
  <c r="M9" i="14" s="1"/>
  <c r="M10" i="14" s="1"/>
  <c r="K26" i="23"/>
  <c r="L10" i="16"/>
  <c r="K4" i="16"/>
  <c r="K19" i="16" s="1"/>
  <c r="K25" i="8"/>
  <c r="K17" i="25"/>
  <c r="K18" i="25"/>
  <c r="K4" i="9"/>
  <c r="K4" i="10"/>
  <c r="K23" i="11"/>
  <c r="K36" i="11" s="1"/>
  <c r="K4" i="8"/>
  <c r="L4" i="16"/>
  <c r="M4" i="16"/>
  <c r="K4" i="2"/>
  <c r="K21" i="2" s="1"/>
  <c r="K4" i="17"/>
  <c r="K36" i="17" s="1"/>
  <c r="K4" i="26"/>
  <c r="K63" i="26" s="1"/>
  <c r="K5" i="5"/>
  <c r="K17" i="24"/>
  <c r="K18" i="24"/>
  <c r="M11" i="14"/>
  <c r="M12" i="14" s="1"/>
  <c r="M13" i="14" s="1"/>
  <c r="M14" i="14" s="1"/>
  <c r="L5" i="29"/>
  <c r="L154" i="29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K11" i="10"/>
  <c r="M5" i="11"/>
  <c r="M6" i="11" s="1"/>
  <c r="M7" i="11" s="1"/>
  <c r="M8" i="11" s="1"/>
  <c r="M9" i="11" s="1"/>
  <c r="M16" i="30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M34" i="30" s="1"/>
  <c r="M35" i="30" s="1"/>
  <c r="M36" i="30" s="1"/>
  <c r="M37" i="30" s="1"/>
  <c r="M38" i="30" s="1"/>
  <c r="M39" i="30" s="1"/>
  <c r="M4" i="12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K4" i="24"/>
  <c r="K16" i="24"/>
  <c r="K15" i="24"/>
  <c r="K14" i="24"/>
  <c r="K13" i="24"/>
  <c r="K12" i="24"/>
  <c r="K11" i="24"/>
  <c r="K10" i="24"/>
  <c r="K9" i="24"/>
  <c r="K8" i="24"/>
  <c r="K7" i="24"/>
  <c r="M5" i="16"/>
  <c r="M6" i="16" s="1"/>
  <c r="M7" i="16" s="1"/>
  <c r="M8" i="16" s="1"/>
  <c r="M9" i="16" s="1"/>
  <c r="M10" i="16" s="1"/>
  <c r="M4" i="1"/>
  <c r="M5" i="1" s="1"/>
  <c r="M6" i="1" s="1"/>
  <c r="M7" i="1" s="1"/>
  <c r="M8" i="1" s="1"/>
  <c r="M9" i="1" s="1"/>
  <c r="M10" i="1" s="1"/>
  <c r="M11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K4" i="20"/>
  <c r="K4" i="25"/>
  <c r="K26" i="25"/>
  <c r="K16" i="25"/>
  <c r="K15" i="25"/>
  <c r="K14" i="25"/>
  <c r="K13" i="25"/>
  <c r="K12" i="25"/>
  <c r="K11" i="25"/>
  <c r="K10" i="25"/>
  <c r="K9" i="25"/>
  <c r="K8" i="25"/>
  <c r="K7" i="25"/>
  <c r="K6" i="25"/>
  <c r="K5" i="25"/>
  <c r="M5" i="6"/>
  <c r="M6" i="6" s="1"/>
  <c r="M7" i="6" s="1"/>
  <c r="M8" i="6" s="1"/>
  <c r="K4" i="23"/>
  <c r="K19" i="23"/>
  <c r="K18" i="23"/>
  <c r="K17" i="23"/>
  <c r="K16" i="23"/>
  <c r="L16" i="23" s="1"/>
  <c r="K15" i="23"/>
  <c r="L15" i="23" s="1"/>
  <c r="K14" i="23"/>
  <c r="K13" i="23"/>
  <c r="K12" i="23"/>
  <c r="K11" i="23"/>
  <c r="K10" i="23"/>
  <c r="K9" i="23"/>
  <c r="K8" i="23"/>
  <c r="K7" i="23"/>
  <c r="K6" i="23"/>
  <c r="K5" i="23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K4" i="18"/>
  <c r="K12" i="18"/>
  <c r="K10" i="18"/>
  <c r="K9" i="18"/>
  <c r="K7" i="18"/>
  <c r="M4" i="5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K4" i="22"/>
  <c r="K4" i="15"/>
  <c r="K4" i="3"/>
  <c r="M4" i="24" l="1"/>
  <c r="M5" i="24" s="1"/>
  <c r="M6" i="24" s="1"/>
  <c r="M7" i="24" s="1"/>
  <c r="M8" i="24" s="1"/>
  <c r="M9" i="24" s="1"/>
  <c r="M10" i="24" s="1"/>
  <c r="M11" i="24" s="1"/>
  <c r="M12" i="24" s="1"/>
  <c r="M13" i="24" s="1"/>
  <c r="M4" i="18"/>
  <c r="M5" i="18" s="1"/>
  <c r="M6" i="18" s="1"/>
  <c r="K32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0" i="8"/>
  <c r="M31" i="8" s="1"/>
  <c r="M32" i="8" s="1"/>
  <c r="M14" i="24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9" i="6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4" i="7"/>
  <c r="M5" i="7" s="1"/>
  <c r="M6" i="7" s="1"/>
  <c r="M7" i="7" s="1"/>
  <c r="M8" i="7" s="1"/>
  <c r="K35" i="23"/>
  <c r="N5" i="29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M4" i="23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4" i="25"/>
  <c r="M4" i="9"/>
  <c r="M6" i="9" s="1"/>
  <c r="M7" i="9" s="1"/>
  <c r="M8" i="9" s="1"/>
  <c r="M9" i="9" s="1"/>
  <c r="M10" i="9" s="1"/>
  <c r="M11" i="9" s="1"/>
  <c r="M12" i="9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L4" i="26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30" i="25" s="1"/>
  <c r="M31" i="25" s="1"/>
  <c r="M32" i="25" s="1"/>
  <c r="M33" i="25" s="1"/>
  <c r="M34" i="25" s="1"/>
  <c r="M5" i="23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4" i="3"/>
  <c r="M5" i="3" s="1"/>
  <c r="M6" i="3" s="1"/>
  <c r="L4" i="20"/>
  <c r="F41" i="23"/>
  <c r="M30" i="15" l="1"/>
  <c r="M31" i="15" s="1"/>
  <c r="M32" i="15" s="1"/>
  <c r="M33" i="15" s="1"/>
  <c r="M34" i="15" s="1"/>
  <c r="M35" i="15" s="1"/>
  <c r="M36" i="15" s="1"/>
  <c r="M24" i="23"/>
  <c r="M25" i="23" s="1"/>
  <c r="M26" i="23" s="1"/>
  <c r="M27" i="23" s="1"/>
  <c r="M28" i="23" s="1"/>
  <c r="M29" i="23" s="1"/>
  <c r="M30" i="23" s="1"/>
  <c r="M31" i="23" s="1"/>
  <c r="M32" i="23" s="1"/>
  <c r="M33" i="23" s="1"/>
  <c r="F42" i="23"/>
  <c r="F43" i="23" s="1"/>
  <c r="M4" i="20"/>
  <c r="M5" i="20" s="1"/>
  <c r="M6" i="20" s="1"/>
  <c r="M7" i="20" s="1"/>
  <c r="M8" i="20" s="1"/>
  <c r="M9" i="20" s="1"/>
  <c r="M10" i="20" s="1"/>
  <c r="K10" i="7" l="1"/>
  <c r="A5" i="1"/>
  <c r="A6" i="1" s="1"/>
  <c r="A7" i="1" s="1"/>
  <c r="L10" i="7" l="1"/>
</calcChain>
</file>

<file path=xl/sharedStrings.xml><?xml version="1.0" encoding="utf-8"?>
<sst xmlns="http://schemas.openxmlformats.org/spreadsheetml/2006/main" count="1642" uniqueCount="331">
  <si>
    <t>S.no</t>
  </si>
  <si>
    <t>Site Name</t>
  </si>
  <si>
    <t>bunk Name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</si>
  <si>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</si>
  <si>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</si>
  <si>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</si>
  <si>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</si>
  <si>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</si>
  <si>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</si>
  <si>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</si>
  <si>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</si>
  <si>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</si>
  <si>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Lakshmi Manikanta Filling Station</t>
  </si>
  <si>
    <t>Khammam-2</t>
  </si>
  <si>
    <t>Sri Ramakotaiah Fuel Point</t>
  </si>
  <si>
    <t>Jedcherla-1</t>
  </si>
  <si>
    <t>Sai Baba Fuel Station</t>
  </si>
  <si>
    <t>Jadcherla-2</t>
  </si>
  <si>
    <t>Bhavani Filling Station</t>
  </si>
  <si>
    <t>YG Gudda</t>
  </si>
  <si>
    <t>Pallavi Petrolium</t>
  </si>
  <si>
    <t>Hosadurga</t>
  </si>
  <si>
    <t>Merchant Petroliums</t>
  </si>
  <si>
    <t>Malebenur(KUWASDB)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</si>
  <si>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</si>
  <si>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</si>
  <si>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</si>
  <si>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</si>
  <si>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</si>
  <si>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</si>
  <si>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</si>
  <si>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Munavalli</t>
  </si>
  <si>
    <t>Shahapur Petroleum</t>
  </si>
  <si>
    <t>Khanapur</t>
  </si>
  <si>
    <t>J K Makavi</t>
  </si>
  <si>
    <t>Ugar,Kudichi</t>
  </si>
  <si>
    <t>Shiri Bhrhmanath Petrolium</t>
  </si>
  <si>
    <t>Borgaon</t>
  </si>
  <si>
    <t>Aadisagar Petrolium</t>
  </si>
  <si>
    <t xml:space="preserve">Kumta 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</si>
  <si>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</si>
  <si>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</si>
  <si>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</si>
  <si>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</si>
  <si>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</si>
  <si>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</si>
  <si>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</si>
  <si>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Gajendragada</t>
  </si>
  <si>
    <t>Vanasri Petrol Pump</t>
  </si>
  <si>
    <t>Ghattaprabha</t>
  </si>
  <si>
    <t>Vivek Petrol Pump</t>
  </si>
  <si>
    <t>Chadchan</t>
  </si>
  <si>
    <t>Khavekar Petrolium</t>
  </si>
  <si>
    <t>Talikote</t>
  </si>
  <si>
    <t>Raykar Oil Agencies</t>
  </si>
  <si>
    <t>Srirangapatna</t>
  </si>
  <si>
    <t>Sri Chakra Fuel Station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</si>
  <si>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</si>
  <si>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</si>
  <si>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</si>
  <si>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</si>
  <si>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</si>
  <si>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</si>
  <si>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</si>
  <si>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</si>
  <si>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</si>
  <si>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</si>
  <si>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</si>
  <si>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</si>
  <si>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</si>
  <si>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</si>
  <si>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1021, 1022</t>
  </si>
  <si>
    <t xml:space="preserve"> BPCL - Card Swipe </t>
  </si>
  <si>
    <t>1030/1031</t>
  </si>
  <si>
    <t>1032/1033</t>
  </si>
  <si>
    <t>1036/1036</t>
  </si>
  <si>
    <t>1044/1045</t>
  </si>
  <si>
    <t>As 0n Date</t>
  </si>
  <si>
    <t>101/102</t>
  </si>
  <si>
    <t>111, 113</t>
  </si>
  <si>
    <t>114, 115</t>
  </si>
  <si>
    <t xml:space="preserve"> HPCL - Card Swipe </t>
  </si>
  <si>
    <t>.</t>
  </si>
  <si>
    <t>119/120</t>
  </si>
  <si>
    <t>122/123</t>
  </si>
  <si>
    <t>124/125</t>
  </si>
  <si>
    <t>126/127</t>
  </si>
  <si>
    <t>128/129</t>
  </si>
  <si>
    <t>130/131/132</t>
  </si>
  <si>
    <t>134/135</t>
  </si>
  <si>
    <t>136/137</t>
  </si>
  <si>
    <t>139/140</t>
  </si>
  <si>
    <t>141/142</t>
  </si>
  <si>
    <t>As on date</t>
  </si>
  <si>
    <t>367378/367379</t>
  </si>
  <si>
    <t xml:space="preserve"> IOCL - Card Swipe </t>
  </si>
  <si>
    <t>1423/1424</t>
  </si>
  <si>
    <t>4226/4231</t>
  </si>
  <si>
    <t>1433/1434</t>
  </si>
  <si>
    <t>4317/4313</t>
  </si>
  <si>
    <t>1441/1442</t>
  </si>
  <si>
    <t>4371/4352</t>
  </si>
  <si>
    <t>1448/1449</t>
  </si>
  <si>
    <t>4379/4376</t>
  </si>
  <si>
    <t>698/699</t>
  </si>
  <si>
    <t>712/713</t>
  </si>
  <si>
    <t>720/721</t>
  </si>
  <si>
    <t>725/726</t>
  </si>
  <si>
    <t>735/736</t>
  </si>
  <si>
    <t>Sreenithya Petroleum</t>
  </si>
  <si>
    <t>Date of payment</t>
  </si>
  <si>
    <t> </t>
  </si>
  <si>
    <t>491854/70/80</t>
  </si>
  <si>
    <t>493016/18</t>
  </si>
  <si>
    <t>34575/76</t>
  </si>
  <si>
    <t>31.01.2028</t>
  </si>
  <si>
    <t>Ind no/Bill No</t>
  </si>
  <si>
    <t>01.01.2025</t>
  </si>
  <si>
    <t>Bank Transfer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</si>
  <si>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</si>
  <si>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</si>
  <si>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</si>
  <si>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</si>
  <si>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</si>
  <si>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</si>
  <si>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</si>
  <si>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</si>
  <si>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</si>
  <si>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</si>
  <si>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</si>
  <si>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</si>
  <si>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</si>
  <si>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</si>
  <si>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22.01.2025</t>
  </si>
  <si>
    <t>23.01.2025</t>
  </si>
  <si>
    <t>24.01.2025</t>
  </si>
  <si>
    <t>25.01.2025</t>
  </si>
  <si>
    <t>26.01.2025</t>
  </si>
  <si>
    <t>27.01..2025</t>
  </si>
  <si>
    <t>28.01.2025</t>
  </si>
  <si>
    <t>29.01.2025</t>
  </si>
  <si>
    <t>30.02.2025</t>
  </si>
  <si>
    <t>31.02.2025</t>
  </si>
  <si>
    <t>NA</t>
  </si>
  <si>
    <t>Cash Payment</t>
  </si>
  <si>
    <t>IOCL Payment</t>
  </si>
  <si>
    <t>16.01.2025</t>
  </si>
  <si>
    <t>17.01.2025</t>
  </si>
  <si>
    <t>18.01.2025</t>
  </si>
  <si>
    <t>19.01.2025</t>
  </si>
  <si>
    <t>20.01.2025</t>
  </si>
  <si>
    <t>21.01.2025</t>
  </si>
  <si>
    <t>27.01.2025</t>
  </si>
  <si>
    <t>30.01.2025</t>
  </si>
  <si>
    <t>31.01.2025</t>
  </si>
  <si>
    <t>Cash Transfer</t>
  </si>
  <si>
    <t xml:space="preserve">BPCL-Card Swipe </t>
  </si>
  <si>
    <t>BPCL &amp; Cash BT(55164)</t>
  </si>
  <si>
    <t>Payable Amount</t>
  </si>
  <si>
    <t xml:space="preserve"> Opening Balance </t>
  </si>
  <si>
    <t>Balance Amount</t>
  </si>
  <si>
    <t>BPCL/HO</t>
  </si>
  <si>
    <t>01.01.25</t>
  </si>
  <si>
    <t>02.01.25</t>
  </si>
  <si>
    <t>03.01.25</t>
  </si>
  <si>
    <t>04.01.25</t>
  </si>
  <si>
    <t>05.01.25</t>
  </si>
  <si>
    <t>06.01.25</t>
  </si>
  <si>
    <t>07.01.25</t>
  </si>
  <si>
    <t>08.01.25</t>
  </si>
  <si>
    <t>09.01.25</t>
  </si>
  <si>
    <t>10.01.25</t>
  </si>
  <si>
    <t>12.01.25</t>
  </si>
  <si>
    <t>13.01.25</t>
  </si>
  <si>
    <t>14.01.25</t>
  </si>
  <si>
    <t>15.01.25</t>
  </si>
  <si>
    <t>16.01.25</t>
  </si>
  <si>
    <t>17.01.25</t>
  </si>
  <si>
    <t>18.01.25</t>
  </si>
  <si>
    <t>19.01.25</t>
  </si>
  <si>
    <t>20.01.25</t>
  </si>
  <si>
    <t>IOCL</t>
  </si>
  <si>
    <t>Cash</t>
  </si>
  <si>
    <t>13/1/2025</t>
  </si>
  <si>
    <t>14/1/2025</t>
  </si>
  <si>
    <t>15/1/2025</t>
  </si>
  <si>
    <t>16/1/2025</t>
  </si>
  <si>
    <t>17/1/2025</t>
  </si>
  <si>
    <t>18/1/2025</t>
  </si>
  <si>
    <t>19/1/2025</t>
  </si>
  <si>
    <t>20/1/2025</t>
  </si>
  <si>
    <t>21/1/2025</t>
  </si>
  <si>
    <t>23/1/2025</t>
  </si>
  <si>
    <t>24/1/2025</t>
  </si>
  <si>
    <t>25/1/2025</t>
  </si>
  <si>
    <t>26/1/2025</t>
  </si>
  <si>
    <t>28/1/2025</t>
  </si>
  <si>
    <t>29/1/2025</t>
  </si>
  <si>
    <t>30/1/2025</t>
  </si>
  <si>
    <t>31/1/2025</t>
  </si>
  <si>
    <t>24.10.205</t>
  </si>
  <si>
    <t>BPCL</t>
  </si>
  <si>
    <t>IOCL Card Swipe</t>
  </si>
  <si>
    <t>Sangareddy</t>
  </si>
  <si>
    <t xml:space="preserve">Opening Balance- 100,000.00 	</t>
  </si>
  <si>
    <t>As On Date</t>
  </si>
  <si>
    <t>29.01.2026</t>
  </si>
  <si>
    <t>30.01.2026</t>
  </si>
  <si>
    <t>31.01.2026</t>
  </si>
  <si>
    <t>IOCL Card Ledger</t>
  </si>
  <si>
    <t>Petrol Bunk Name</t>
  </si>
  <si>
    <t>Location</t>
  </si>
  <si>
    <t>Card No</t>
  </si>
  <si>
    <t>Recharge Amount</t>
  </si>
  <si>
    <t>Redeem</t>
  </si>
  <si>
    <t>Loyalty Redeem</t>
  </si>
  <si>
    <t>SHIVALINGESHWAR PETROLEUM</t>
  </si>
  <si>
    <t>Guttal Road</t>
  </si>
  <si>
    <t>7126022478060096</t>
  </si>
  <si>
    <t>SRI CHAKRA FUEL STATION</t>
  </si>
  <si>
    <t>7126022478060104</t>
  </si>
  <si>
    <t>PALLAVI PETROLEUM</t>
  </si>
  <si>
    <t>Ramanagaram</t>
  </si>
  <si>
    <t>7126022478060138</t>
  </si>
  <si>
    <t>MERCHANT PETROLEUMS</t>
  </si>
  <si>
    <t>HOSADURGA</t>
  </si>
  <si>
    <t>7126022478060187</t>
  </si>
  <si>
    <t>SREE VISHNUBABA PETROLEUM</t>
  </si>
  <si>
    <t>NAGAREMGERE</t>
  </si>
  <si>
    <t>7126022478060146</t>
  </si>
  <si>
    <t>SRI RAMANJANEYA SERVICE STN</t>
  </si>
  <si>
    <t>DAVANGERE</t>
  </si>
  <si>
    <t>7126022478060120</t>
  </si>
  <si>
    <t>KRISHNA FUEL STATION</t>
  </si>
  <si>
    <t>KUMTA</t>
  </si>
  <si>
    <t>7126022478060039</t>
  </si>
  <si>
    <t>NITTUR CROSS      -DAVANGERE</t>
  </si>
  <si>
    <t>RAYKAR OIL AGENCIES</t>
  </si>
  <si>
    <t>7126022478060252</t>
  </si>
  <si>
    <t>Minerva Service Station</t>
  </si>
  <si>
    <t>Honnalli</t>
  </si>
  <si>
    <t>7126022478060278</t>
  </si>
  <si>
    <t>Hiriyur</t>
  </si>
  <si>
    <t>7126022478060161</t>
  </si>
  <si>
    <t>SHREE SIRI GOWRI PETROLEUM</t>
  </si>
  <si>
    <t>MASUR</t>
  </si>
  <si>
    <t>7126022478060286</t>
  </si>
  <si>
    <t>SHRI SAI PETROL PUMP</t>
  </si>
  <si>
    <t>MALKAPUR CITY</t>
  </si>
  <si>
    <t>7126022478060062</t>
  </si>
  <si>
    <t>SREENITHYA PETROLEUM</t>
  </si>
  <si>
    <t>Challakere</t>
  </si>
  <si>
    <t>BHOSLE SERVICE STATION</t>
  </si>
  <si>
    <t>Muddebihal</t>
  </si>
  <si>
    <t>7126022478060245</t>
  </si>
  <si>
    <t>Talli Kote</t>
  </si>
  <si>
    <t>MAJAGAONKAR PETROLEUMS</t>
  </si>
  <si>
    <t>7126022478060047</t>
  </si>
  <si>
    <t>Haveri (Masur)</t>
  </si>
  <si>
    <t>BPCL Card Ledger</t>
  </si>
  <si>
    <t xml:space="preserve">SANDHYA FUEL STATION </t>
  </si>
  <si>
    <t>FC3450563999</t>
  </si>
  <si>
    <t>JUBILEE HILLS FILL. STN</t>
  </si>
  <si>
    <t>LAKSHMI MANIKANTA FILL. STN</t>
  </si>
  <si>
    <t>FC3450563997</t>
  </si>
  <si>
    <t>SAI BABA FILL. STN</t>
  </si>
  <si>
    <t>FC3450563998</t>
  </si>
  <si>
    <t xml:space="preserve">SHREE SAI SAMARTH PETROLEUM </t>
  </si>
  <si>
    <t>FC0323247261</t>
  </si>
  <si>
    <t xml:space="preserve">SHAHAPUR PETROLEUM </t>
  </si>
  <si>
    <t>FC8000207648</t>
  </si>
  <si>
    <t xml:space="preserve">SAI BABA FILLING STATION  </t>
  </si>
  <si>
    <t>JUBILEE HILLS FILL. STN.</t>
  </si>
  <si>
    <t>V.V.VARDE BHARAT PETROLEUM DEALERS</t>
  </si>
  <si>
    <t>FC8000207649</t>
  </si>
  <si>
    <t>HPCL Card Ledger</t>
  </si>
  <si>
    <t>Recharge</t>
  </si>
  <si>
    <t>Purchase</t>
  </si>
  <si>
    <t>Fuel Station</t>
  </si>
  <si>
    <t>Site/Veh No.</t>
  </si>
  <si>
    <t>Card Balance</t>
  </si>
  <si>
    <t>26-07-2023</t>
  </si>
  <si>
    <t>29-07-2023</t>
  </si>
  <si>
    <t>Channakesava Petro</t>
  </si>
  <si>
    <t>22-08-2023</t>
  </si>
  <si>
    <t>31-08-2023</t>
  </si>
  <si>
    <t>16-09-2023</t>
  </si>
  <si>
    <t>13-10-2023</t>
  </si>
  <si>
    <t>15-11-2023</t>
  </si>
  <si>
    <t>16-12-2023</t>
  </si>
  <si>
    <t>27-12-2023</t>
  </si>
  <si>
    <t>28-12-2023</t>
  </si>
  <si>
    <t>17-01-2024</t>
  </si>
  <si>
    <t>19-01-2024</t>
  </si>
  <si>
    <t>31-01-2024</t>
  </si>
  <si>
    <t>15-02-2024</t>
  </si>
  <si>
    <t>17-02-2024</t>
  </si>
  <si>
    <t>28-02-2024</t>
  </si>
  <si>
    <t>17-05-2024</t>
  </si>
  <si>
    <t>Sri ranganatha swamy filling station</t>
  </si>
  <si>
    <t>Bellary RRO</t>
  </si>
  <si>
    <t>18-05-2024</t>
  </si>
  <si>
    <t>Nandi Fuel</t>
  </si>
  <si>
    <t>MS HSD Koustubha Fuels</t>
  </si>
  <si>
    <t>Bengaluru RRO</t>
  </si>
  <si>
    <t>20-05-2024</t>
  </si>
  <si>
    <t>25-05-2024</t>
  </si>
  <si>
    <t>13-06-2024</t>
  </si>
  <si>
    <t>Navteja Filling Centre</t>
  </si>
  <si>
    <t>15-06-2024</t>
  </si>
  <si>
    <t>Sei Lakshmi Ranganatha Sales &amp; Service</t>
  </si>
  <si>
    <t>Shivashanta Filling Station</t>
  </si>
  <si>
    <t>26-11-2024</t>
  </si>
  <si>
    <t>13-01-2025</t>
  </si>
  <si>
    <t>M/s. Sri Rama Kotaiah Fuel Point</t>
  </si>
  <si>
    <t>Warangal RRO</t>
  </si>
  <si>
    <t>27-01-2025</t>
  </si>
  <si>
    <t>29-01-2025</t>
  </si>
  <si>
    <t>Store GRIN</t>
  </si>
  <si>
    <t>Fuel statement</t>
  </si>
  <si>
    <t>Remarks In Diesel</t>
  </si>
  <si>
    <t>Remarks In Petrol</t>
  </si>
  <si>
    <t>Diesel</t>
  </si>
  <si>
    <t>Quantity</t>
  </si>
  <si>
    <t>Petrol</t>
  </si>
  <si>
    <t>Amount</t>
  </si>
  <si>
    <t>Hiriyur Urban</t>
  </si>
  <si>
    <t>Hiriyur Vjnl</t>
  </si>
  <si>
    <t>Khammam</t>
  </si>
  <si>
    <t>Jadcherla</t>
  </si>
  <si>
    <t>Dharwad pkg1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</si>
</sst>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14009]dd/mm/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34"/>
    </font>
    <font>
      <b/>
      <sz val="11"/>
      <color rgb="FF000000"/>
      <name val="Calibri"/>
    </font>
    <font>
      <sz val="11"/>
      <color rgb="FF000000"/>
      <name val="Arial"/>
    </font>
    <font>
      <sz val="11"/>
      <color theme="1"/>
      <name val="Calibri"/>
      <family val="2"/>
    </font>
    <font>
      <sz val="11"/>
      <color theme="1"/>
      <name val="Cambria"/>
      <charset val="134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24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8" xfId="0" applyFont="1" applyBorder="1"/>
    <xf numFmtId="164" fontId="4" fillId="0" borderId="2" xfId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right" vertical="center"/>
    </xf>
    <xf numFmtId="164" fontId="4" fillId="0" borderId="8" xfId="1" applyFont="1" applyBorder="1" applyAlignment="1">
      <alignment horizontal="left" vertical="center"/>
    </xf>
    <xf numFmtId="164" fontId="4" fillId="2" borderId="8" xfId="0" applyNumberFormat="1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9" xfId="1" applyFont="1" applyBorder="1" applyAlignment="1">
      <alignment vertical="center"/>
    </xf>
    <xf numFmtId="0" fontId="6" fillId="0" borderId="10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9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0" fillId="0" borderId="8" xfId="0" applyBorder="1"/>
    <xf numFmtId="0" fontId="4" fillId="0" borderId="8" xfId="0" applyFont="1" applyBorder="1" applyAlignment="1">
      <alignment horizontal="center" vertical="center" wrapText="1"/>
    </xf>
    <xf numFmtId="164" fontId="4" fillId="0" borderId="17" xfId="1" applyFont="1" applyBorder="1" applyAlignment="1">
      <alignment horizontal="center" vertical="center"/>
    </xf>
    <xf numFmtId="164" fontId="4" fillId="0" borderId="10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4" fillId="2" borderId="8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right" vertical="center"/>
    </xf>
    <xf numFmtId="164" fontId="10" fillId="0" borderId="2" xfId="1" applyFont="1" applyBorder="1" applyAlignment="1">
      <alignment horizontal="center" vertical="center"/>
    </xf>
    <xf numFmtId="164" fontId="11" fillId="0" borderId="2" xfId="1" applyFont="1" applyBorder="1" applyAlignment="1">
      <alignment horizontal="left" vertical="top"/>
    </xf>
    <xf numFmtId="164" fontId="11" fillId="0" borderId="9" xfId="1" applyFont="1" applyBorder="1" applyAlignment="1">
      <alignment horizontal="left" vertical="top"/>
    </xf>
    <xf numFmtId="0" fontId="10" fillId="0" borderId="8" xfId="0" applyFont="1" applyBorder="1" applyAlignment="1">
      <alignment horizontal="center" vertical="center" wrapText="1"/>
    </xf>
    <xf numFmtId="164" fontId="10" fillId="0" borderId="8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64" fontId="11" fillId="0" borderId="2" xfId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64" fontId="11" fillId="0" borderId="9" xfId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64" fontId="11" fillId="0" borderId="8" xfId="1" applyFont="1" applyFill="1" applyBorder="1" applyAlignment="1">
      <alignment horizontal="center" vertical="center"/>
    </xf>
    <xf numFmtId="164" fontId="11" fillId="0" borderId="8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164" fontId="11" fillId="0" borderId="2" xfId="1" applyFont="1" applyBorder="1" applyAlignment="1">
      <alignment horizontal="left" vertical="center"/>
    </xf>
    <xf numFmtId="164" fontId="11" fillId="2" borderId="2" xfId="0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165" fontId="13" fillId="0" borderId="8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right" vertical="center"/>
    </xf>
    <xf numFmtId="2" fontId="0" fillId="0" borderId="8" xfId="0" applyNumberFormat="1" applyBorder="1"/>
    <xf numFmtId="2" fontId="4" fillId="0" borderId="8" xfId="0" applyNumberFormat="1" applyFont="1" applyBorder="1" applyAlignment="1">
      <alignment horizontal="right" vertical="center"/>
    </xf>
    <xf numFmtId="164" fontId="4" fillId="0" borderId="8" xfId="1" applyFont="1" applyBorder="1" applyAlignment="1">
      <alignment horizontal="left" vertical="top"/>
    </xf>
    <xf numFmtId="164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right" vertical="center" wrapText="1"/>
    </xf>
    <xf numFmtId="2" fontId="4" fillId="0" borderId="8" xfId="1" applyNumberFormat="1" applyFont="1" applyBorder="1" applyAlignment="1">
      <alignment horizontal="right" vertical="center"/>
    </xf>
    <xf numFmtId="43" fontId="4" fillId="0" borderId="8" xfId="0" applyNumberFormat="1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4" fontId="10" fillId="4" borderId="11" xfId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4" fontId="10" fillId="2" borderId="0" xfId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164" fontId="10" fillId="4" borderId="8" xfId="1" applyFont="1" applyFill="1" applyBorder="1" applyAlignment="1">
      <alignment horizontal="center" vertical="center"/>
    </xf>
    <xf numFmtId="0" fontId="6" fillId="0" borderId="8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3" fontId="4" fillId="0" borderId="8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164" fontId="11" fillId="0" borderId="6" xfId="1" applyFont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center" vertical="center"/>
    </xf>
    <xf numFmtId="164" fontId="5" fillId="4" borderId="8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/>
    </xf>
    <xf numFmtId="2" fontId="4" fillId="0" borderId="8" xfId="0" applyNumberFormat="1" applyFont="1" applyBorder="1"/>
    <xf numFmtId="0" fontId="4" fillId="0" borderId="8" xfId="0" applyFont="1" applyBorder="1" applyAlignment="1">
      <alignment vertical="center"/>
    </xf>
    <xf numFmtId="164" fontId="4" fillId="0" borderId="8" xfId="1" applyFont="1" applyBorder="1" applyAlignment="1">
      <alignment horizontal="center" vertical="top"/>
    </xf>
    <xf numFmtId="164" fontId="11" fillId="0" borderId="10" xfId="1" applyFont="1" applyBorder="1" applyAlignment="1">
      <alignment horizontal="center" vertical="center"/>
    </xf>
    <xf numFmtId="1" fontId="4" fillId="0" borderId="4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" fontId="4" fillId="0" borderId="7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164" fontId="4" fillId="4" borderId="8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4" fillId="0" borderId="8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8" xfId="0" applyNumberFormat="1" applyFont="1" applyBorder="1" applyAlignment="1">
      <alignment vertical="center"/>
    </xf>
    <xf numFmtId="0" fontId="15" fillId="3" borderId="8" xfId="0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/>
    </xf>
    <xf numFmtId="165" fontId="4" fillId="0" borderId="18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7" xfId="0" applyFont="1" applyBorder="1"/>
    <xf numFmtId="0" fontId="0" fillId="0" borderId="2" xfId="0" applyBorder="1"/>
    <xf numFmtId="0" fontId="9" fillId="0" borderId="8" xfId="0" applyFont="1" applyBorder="1"/>
    <xf numFmtId="0" fontId="0" fillId="0" borderId="18" xfId="0" applyBorder="1"/>
    <xf numFmtId="0" fontId="19" fillId="0" borderId="8" xfId="0" applyFont="1" applyBorder="1"/>
    <xf numFmtId="2" fontId="19" fillId="0" borderId="8" xfId="0" applyNumberFormat="1" applyFont="1" applyBorder="1"/>
    <xf numFmtId="0" fontId="0" fillId="0" borderId="15" xfId="0" applyBorder="1"/>
    <xf numFmtId="0" fontId="15" fillId="3" borderId="1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8" xfId="0" applyFont="1" applyFill="1" applyBorder="1" applyAlignment="1">
      <alignment horizontal="center" vertical="center"/>
    </xf>
    <xf numFmtId="43" fontId="4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/>
    <xf numFmtId="164" fontId="10" fillId="4" borderId="23" xfId="1" applyFont="1" applyFill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64" fontId="11" fillId="0" borderId="13" xfId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12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4" fontId="4" fillId="0" borderId="24" xfId="1" applyFont="1" applyFill="1" applyBorder="1" applyAlignment="1">
      <alignment horizontal="center" vertical="center"/>
    </xf>
    <xf numFmtId="43" fontId="12" fillId="3" borderId="22" xfId="0" applyNumberFormat="1" applyFont="1" applyFill="1" applyBorder="1" applyAlignment="1">
      <alignment horizontal="center" vertical="center" wrapText="1"/>
    </xf>
    <xf numFmtId="43" fontId="12" fillId="3" borderId="9" xfId="0" applyNumberFormat="1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/>
    </xf>
    <xf numFmtId="0" fontId="12" fillId="3" borderId="9" xfId="0" applyFont="1" applyFill="1" applyBorder="1" applyAlignment="1">
      <alignment horizontal="center" vertical="center"/>
    </xf>
    <xf numFmtId="43" fontId="12" fillId="3" borderId="9" xfId="0" applyNumberFormat="1" applyFont="1" applyFill="1" applyBorder="1" applyAlignment="1">
      <alignment horizontal="center" vertical="center"/>
    </xf>
    <xf numFmtId="43" fontId="12" fillId="3" borderId="22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14" fillId="0" borderId="10" xfId="3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/>
    </xf>
    <xf numFmtId="0" fontId="15" fillId="3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43" fontId="15" fillId="3" borderId="18" xfId="0" applyNumberFormat="1" applyFont="1" applyFill="1" applyBorder="1" applyAlignment="1">
      <alignment horizontal="center" vertical="center" wrapText="1"/>
    </xf>
    <xf numFmtId="43" fontId="15" fillId="3" borderId="18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164" fontId="4" fillId="0" borderId="17" xfId="1" applyFont="1" applyBorder="1" applyAlignment="1">
      <alignment horizontal="center" vertical="top"/>
    </xf>
    <xf numFmtId="4" fontId="4" fillId="0" borderId="8" xfId="0" applyNumberFormat="1" applyFont="1" applyBorder="1" applyAlignment="1">
      <alignment horizontal="right"/>
    </xf>
    <xf numFmtId="164" fontId="4" fillId="0" borderId="8" xfId="1" applyFont="1" applyBorder="1" applyAlignment="1">
      <alignment horizontal="right" vertical="top"/>
    </xf>
    <xf numFmtId="164" fontId="10" fillId="0" borderId="8" xfId="1" applyFont="1" applyBorder="1" applyAlignment="1">
      <alignment vertical="center"/>
    </xf>
    <xf numFmtId="0" fontId="11" fillId="0" borderId="8" xfId="0" applyFont="1" applyBorder="1"/>
    <xf numFmtId="164" fontId="11" fillId="0" borderId="8" xfId="0" applyNumberFormat="1" applyFont="1" applyBorder="1"/>
    <xf numFmtId="165" fontId="11" fillId="0" borderId="17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right" vertical="center"/>
    </xf>
    <xf numFmtId="164" fontId="11" fillId="0" borderId="10" xfId="1" applyFont="1" applyBorder="1" applyAlignment="1">
      <alignment horizontal="left" vertical="top"/>
    </xf>
    <xf numFmtId="0" fontId="19" fillId="0" borderId="25" xfId="0" applyFont="1" applyBorder="1" applyAlignment="1">
      <alignment vertical="center"/>
    </xf>
    <xf numFmtId="0" fontId="19" fillId="0" borderId="26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164" fontId="0" fillId="0" borderId="0" xfId="0" applyNumberFormat="1"/>
    <xf numFmtId="43" fontId="0" fillId="0" borderId="8" xfId="0" applyNumberFormat="1" applyBorder="1"/>
    <xf numFmtId="0" fontId="19" fillId="0" borderId="8" xfId="0" applyFont="1" applyBorder="1" applyAlignment="1">
      <alignment horizontal="center"/>
    </xf>
    <xf numFmtId="164" fontId="22" fillId="0" borderId="28" xfId="1" applyFont="1" applyBorder="1" applyAlignment="1">
      <alignment horizontal="center"/>
    </xf>
    <xf numFmtId="0" fontId="0" fillId="0" borderId="17" xfId="0" applyBorder="1"/>
    <xf numFmtId="0" fontId="15" fillId="3" borderId="4" xfId="0" applyFont="1" applyFill="1" applyBorder="1" applyAlignment="1">
      <alignment horizontal="center" vertical="center"/>
    </xf>
    <xf numFmtId="43" fontId="15" fillId="3" borderId="9" xfId="0" applyNumberFormat="1" applyFont="1" applyFill="1" applyBorder="1" applyAlignment="1">
      <alignment horizontal="center" vertical="center" wrapText="1"/>
    </xf>
    <xf numFmtId="43" fontId="15" fillId="3" borderId="9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1" applyFont="1" applyBorder="1" applyAlignment="1">
      <alignment horizontal="center" vertical="top"/>
    </xf>
    <xf numFmtId="164" fontId="4" fillId="0" borderId="10" xfId="1" applyFont="1" applyBorder="1" applyAlignment="1">
      <alignment vertical="center"/>
    </xf>
    <xf numFmtId="43" fontId="15" fillId="3" borderId="22" xfId="0" applyNumberFormat="1" applyFont="1" applyFill="1" applyBorder="1" applyAlignment="1">
      <alignment horizontal="center" vertical="center"/>
    </xf>
    <xf numFmtId="4" fontId="21" fillId="0" borderId="8" xfId="0" applyNumberFormat="1" applyFont="1" applyBorder="1"/>
    <xf numFmtId="43" fontId="4" fillId="0" borderId="17" xfId="0" applyNumberFormat="1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43" fontId="4" fillId="0" borderId="17" xfId="0" applyNumberFormat="1" applyFont="1" applyBorder="1" applyAlignment="1">
      <alignment horizontal="center" vertical="center" wrapText="1"/>
    </xf>
    <xf numFmtId="164" fontId="0" fillId="0" borderId="16" xfId="0" applyNumberFormat="1" applyBorder="1"/>
    <xf numFmtId="0" fontId="12" fillId="3" borderId="1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43" fontId="4" fillId="2" borderId="8" xfId="0" applyNumberFormat="1" applyFont="1" applyFill="1" applyBorder="1" applyAlignment="1">
      <alignment horizontal="center" vertical="center" wrapText="1"/>
    </xf>
    <xf numFmtId="43" fontId="4" fillId="2" borderId="8" xfId="0" applyNumberFormat="1" applyFont="1" applyFill="1" applyBorder="1" applyAlignment="1">
      <alignment horizontal="center" vertical="center"/>
    </xf>
    <xf numFmtId="43" fontId="6" fillId="2" borderId="8" xfId="0" applyNumberFormat="1" applyFont="1" applyFill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66" fontId="4" fillId="0" borderId="17" xfId="0" applyNumberFormat="1" applyFont="1" applyBorder="1" applyAlignment="1">
      <alignment horizontal="center"/>
    </xf>
    <xf numFmtId="2" fontId="4" fillId="0" borderId="17" xfId="0" applyNumberFormat="1" applyFont="1" applyBorder="1"/>
    <xf numFmtId="167" fontId="0" fillId="0" borderId="8" xfId="0" applyNumberFormat="1" applyBorder="1" applyAlignment="1">
      <alignment horizontal="center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43" fontId="15" fillId="2" borderId="8" xfId="0" applyNumberFormat="1" applyFont="1" applyFill="1" applyBorder="1" applyAlignment="1">
      <alignment horizontal="center" vertical="center" wrapText="1"/>
    </xf>
    <xf numFmtId="43" fontId="15" fillId="2" borderId="8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vertical="center"/>
    </xf>
    <xf numFmtId="2" fontId="5" fillId="4" borderId="17" xfId="0" applyNumberFormat="1" applyFont="1" applyFill="1" applyBorder="1" applyAlignment="1">
      <alignment horizontal="center" vertical="center"/>
    </xf>
    <xf numFmtId="164" fontId="5" fillId="4" borderId="17" xfId="1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right"/>
    </xf>
    <xf numFmtId="43" fontId="6" fillId="0" borderId="8" xfId="0" applyNumberFormat="1" applyFont="1" applyBorder="1" applyAlignment="1">
      <alignment horizontal="center"/>
    </xf>
    <xf numFmtId="15" fontId="20" fillId="0" borderId="0" xfId="0" applyNumberFormat="1" applyFont="1"/>
    <xf numFmtId="0" fontId="21" fillId="0" borderId="8" xfId="0" applyFont="1" applyBorder="1"/>
    <xf numFmtId="164" fontId="5" fillId="0" borderId="8" xfId="1" applyFont="1" applyBorder="1" applyAlignment="1">
      <alignment horizontal="center" vertical="center" indent="1"/>
    </xf>
    <xf numFmtId="0" fontId="6" fillId="0" borderId="8" xfId="0" applyFont="1" applyBorder="1" applyAlignment="1">
      <alignment horizontal="right"/>
    </xf>
    <xf numFmtId="0" fontId="6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43" fontId="12" fillId="3" borderId="8" xfId="0" applyNumberFormat="1" applyFont="1" applyFill="1" applyBorder="1" applyAlignment="1">
      <alignment horizontal="center" vertical="center"/>
    </xf>
    <xf numFmtId="0" fontId="0" fillId="2" borderId="8" xfId="0" applyFill="1" applyBorder="1"/>
    <xf numFmtId="15" fontId="20" fillId="2" borderId="8" xfId="0" applyNumberFormat="1" applyFont="1" applyFill="1" applyBorder="1"/>
    <xf numFmtId="0" fontId="20" fillId="2" borderId="8" xfId="0" applyFont="1" applyFill="1" applyBorder="1"/>
    <xf numFmtId="0" fontId="0" fillId="2" borderId="16" xfId="0" applyFill="1" applyBorder="1"/>
    <xf numFmtId="2" fontId="0" fillId="2" borderId="8" xfId="0" applyNumberFormat="1" applyFill="1" applyBorder="1"/>
    <xf numFmtId="0" fontId="20" fillId="2" borderId="18" xfId="0" applyFont="1" applyFill="1" applyBorder="1"/>
    <xf numFmtId="0" fontId="0" fillId="2" borderId="18" xfId="0" applyFill="1" applyBorder="1"/>
    <xf numFmtId="0" fontId="0" fillId="2" borderId="31" xfId="0" applyFill="1" applyBorder="1"/>
    <xf numFmtId="2" fontId="0" fillId="2" borderId="18" xfId="0" applyNumberFormat="1" applyFill="1" applyBorder="1"/>
    <xf numFmtId="0" fontId="0" fillId="2" borderId="15" xfId="0" applyFill="1" applyBorder="1"/>
    <xf numFmtId="0" fontId="20" fillId="2" borderId="0" xfId="0" applyFont="1" applyFill="1"/>
    <xf numFmtId="15" fontId="20" fillId="2" borderId="18" xfId="0" applyNumberFormat="1" applyFont="1" applyFill="1" applyBorder="1"/>
    <xf numFmtId="0" fontId="0" fillId="2" borderId="30" xfId="0" applyFill="1" applyBorder="1"/>
    <xf numFmtId="0" fontId="6" fillId="0" borderId="18" xfId="0" applyFont="1" applyBorder="1" applyAlignment="1">
      <alignment horizontal="center"/>
    </xf>
    <xf numFmtId="1" fontId="11" fillId="0" borderId="3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0" fontId="4" fillId="0" borderId="18" xfId="0" applyFont="1" applyBorder="1"/>
    <xf numFmtId="14" fontId="4" fillId="0" borderId="18" xfId="0" applyNumberFormat="1" applyFont="1" applyBorder="1" applyAlignment="1">
      <alignment horizontal="center"/>
    </xf>
    <xf numFmtId="166" fontId="4" fillId="0" borderId="18" xfId="0" applyNumberFormat="1" applyFont="1" applyBorder="1" applyAlignment="1">
      <alignment horizontal="center"/>
    </xf>
    <xf numFmtId="2" fontId="4" fillId="0" borderId="18" xfId="0" applyNumberFormat="1" applyFont="1" applyBorder="1"/>
    <xf numFmtId="2" fontId="4" fillId="0" borderId="18" xfId="0" applyNumberFormat="1" applyFont="1" applyBorder="1" applyAlignment="1">
      <alignment horizontal="right"/>
    </xf>
    <xf numFmtId="43" fontId="6" fillId="2" borderId="18" xfId="0" applyNumberFormat="1" applyFont="1" applyFill="1" applyBorder="1" applyAlignment="1">
      <alignment horizontal="center" vertical="center"/>
    </xf>
    <xf numFmtId="165" fontId="15" fillId="3" borderId="8" xfId="0" applyNumberFormat="1" applyFont="1" applyFill="1" applyBorder="1" applyAlignment="1">
      <alignment horizontal="center" vertical="center" wrapText="1"/>
    </xf>
    <xf numFmtId="165" fontId="0" fillId="0" borderId="8" xfId="0" applyNumberFormat="1" applyBorder="1"/>
    <xf numFmtId="165" fontId="0" fillId="0" borderId="0" xfId="0" applyNumberFormat="1"/>
    <xf numFmtId="0" fontId="20" fillId="0" borderId="8" xfId="0" quotePrefix="1" applyFont="1" applyBorder="1"/>
    <xf numFmtId="0" fontId="0" fillId="6" borderId="8" xfId="0" applyFill="1" applyBorder="1"/>
    <xf numFmtId="15" fontId="20" fillId="6" borderId="30" xfId="0" applyNumberFormat="1" applyFont="1" applyFill="1" applyBorder="1"/>
    <xf numFmtId="0" fontId="20" fillId="6" borderId="18" xfId="0" applyFont="1" applyFill="1" applyBorder="1"/>
    <xf numFmtId="0" fontId="0" fillId="6" borderId="18" xfId="0" applyFill="1" applyBorder="1"/>
    <xf numFmtId="0" fontId="0" fillId="6" borderId="31" xfId="0" applyFill="1" applyBorder="1"/>
    <xf numFmtId="2" fontId="0" fillId="6" borderId="8" xfId="0" applyNumberFormat="1" applyFill="1" applyBorder="1"/>
    <xf numFmtId="2" fontId="20" fillId="6" borderId="0" xfId="0" applyNumberFormat="1" applyFont="1" applyFill="1"/>
    <xf numFmtId="2" fontId="0" fillId="6" borderId="18" xfId="0" applyNumberFormat="1" applyFill="1" applyBorder="1"/>
    <xf numFmtId="0" fontId="0" fillId="6" borderId="15" xfId="0" applyFill="1" applyBorder="1"/>
    <xf numFmtId="15" fontId="20" fillId="6" borderId="18" xfId="0" applyNumberFormat="1" applyFont="1" applyFill="1" applyBorder="1"/>
    <xf numFmtId="0" fontId="0" fillId="6" borderId="16" xfId="0" applyFill="1" applyBorder="1"/>
    <xf numFmtId="43" fontId="0" fillId="0" borderId="0" xfId="0" applyNumberFormat="1"/>
    <xf numFmtId="0" fontId="4" fillId="0" borderId="17" xfId="0" applyFont="1" applyBorder="1" applyAlignment="1">
      <alignment horizontal="center" vertical="center"/>
    </xf>
    <xf numFmtId="43" fontId="23" fillId="0" borderId="30" xfId="0" applyNumberFormat="1" applyFont="1" applyBorder="1"/>
    <xf numFmtId="0" fontId="0" fillId="0" borderId="33" xfId="0" applyBorder="1"/>
    <xf numFmtId="2" fontId="15" fillId="3" borderId="18" xfId="0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0" fontId="6" fillId="6" borderId="8" xfId="0" applyFont="1" applyFill="1" applyBorder="1" applyAlignment="1">
      <alignment horizontal="center"/>
    </xf>
    <xf numFmtId="0" fontId="6" fillId="6" borderId="8" xfId="0" quotePrefix="1" applyFont="1" applyFill="1" applyBorder="1" applyAlignment="1">
      <alignment horizontal="center"/>
    </xf>
    <xf numFmtId="43" fontId="0" fillId="6" borderId="8" xfId="0" applyNumberFormat="1" applyFill="1" applyBorder="1"/>
    <xf numFmtId="1" fontId="4" fillId="0" borderId="17" xfId="0" applyNumberFormat="1" applyFont="1" applyBorder="1" applyAlignment="1">
      <alignment horizontal="center" vertical="center"/>
    </xf>
    <xf numFmtId="14" fontId="4" fillId="0" borderId="8" xfId="3" applyNumberFormat="1" applyFont="1" applyBorder="1" applyAlignment="1">
      <alignment horizontal="center" vertical="center"/>
    </xf>
    <xf numFmtId="0" fontId="4" fillId="0" borderId="8" xfId="1" applyNumberFormat="1" applyFont="1" applyBorder="1" applyAlignment="1">
      <alignment vertical="center"/>
    </xf>
    <xf numFmtId="0" fontId="4" fillId="0" borderId="16" xfId="0" applyFont="1" applyBorder="1"/>
    <xf numFmtId="164" fontId="4" fillId="0" borderId="9" xfId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/>
    </xf>
    <xf numFmtId="2" fontId="5" fillId="0" borderId="0" xfId="0" applyNumberFormat="1" applyFont="1"/>
    <xf numFmtId="165" fontId="4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2" fontId="10" fillId="4" borderId="11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4" fontId="6" fillId="0" borderId="34" xfId="0" applyNumberFormat="1" applyFont="1" applyBorder="1" applyAlignment="1">
      <alignment horizontal="center"/>
    </xf>
    <xf numFmtId="2" fontId="10" fillId="4" borderId="0" xfId="0" applyNumberFormat="1" applyFont="1" applyFill="1" applyAlignment="1">
      <alignment horizontal="center" vertical="center"/>
    </xf>
    <xf numFmtId="164" fontId="10" fillId="4" borderId="0" xfId="1" applyFont="1" applyFill="1" applyBorder="1" applyAlignment="1">
      <alignment horizontal="center" vertical="center"/>
    </xf>
    <xf numFmtId="0" fontId="9" fillId="0" borderId="17" xfId="0" applyFont="1" applyBorder="1"/>
    <xf numFmtId="2" fontId="0" fillId="0" borderId="17" xfId="0" applyNumberFormat="1" applyBorder="1"/>
    <xf numFmtId="164" fontId="11" fillId="0" borderId="22" xfId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4" fontId="26" fillId="0" borderId="8" xfId="1" applyFont="1" applyBorder="1" applyAlignment="1">
      <alignment vertical="center"/>
    </xf>
    <xf numFmtId="0" fontId="20" fillId="0" borderId="0" xfId="0" applyFont="1"/>
    <xf numFmtId="0" fontId="0" fillId="0" borderId="8" xfId="0" quotePrefix="1" applyBorder="1"/>
    <xf numFmtId="0" fontId="0" fillId="0" borderId="16" xfId="0" applyBorder="1"/>
    <xf numFmtId="0" fontId="20" fillId="0" borderId="0" xfId="0" quotePrefix="1" applyFont="1"/>
    <xf numFmtId="2" fontId="0" fillId="0" borderId="15" xfId="0" applyNumberFormat="1" applyBorder="1"/>
    <xf numFmtId="43" fontId="0" fillId="0" borderId="16" xfId="0" applyNumberFormat="1" applyBorder="1"/>
    <xf numFmtId="0" fontId="0" fillId="2" borderId="37" xfId="0" applyFill="1" applyBorder="1"/>
    <xf numFmtId="15" fontId="20" fillId="2" borderId="37" xfId="0" applyNumberFormat="1" applyFont="1" applyFill="1" applyBorder="1"/>
    <xf numFmtId="15" fontId="20" fillId="0" borderId="8" xfId="0" applyNumberFormat="1" applyFont="1" applyBorder="1"/>
    <xf numFmtId="15" fontId="20" fillId="0" borderId="18" xfId="0" applyNumberFormat="1" applyFont="1" applyBorder="1"/>
    <xf numFmtId="0" fontId="20" fillId="0" borderId="18" xfId="0" applyFont="1" applyBorder="1"/>
    <xf numFmtId="2" fontId="10" fillId="4" borderId="36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vertical="center"/>
    </xf>
    <xf numFmtId="164" fontId="4" fillId="0" borderId="18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164" fontId="4" fillId="0" borderId="21" xfId="1" applyFont="1" applyBorder="1" applyAlignment="1">
      <alignment horizontal="center" vertical="top"/>
    </xf>
    <xf numFmtId="164" fontId="4" fillId="4" borderId="17" xfId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right" vertical="center" wrapText="1"/>
    </xf>
    <xf numFmtId="0" fontId="0" fillId="0" borderId="8" xfId="0" applyBorder="1" applyAlignment="1">
      <alignment horizontal="right"/>
    </xf>
    <xf numFmtId="164" fontId="4" fillId="0" borderId="13" xfId="1" applyFont="1" applyBorder="1" applyAlignment="1">
      <alignment horizontal="right" vertical="center"/>
    </xf>
    <xf numFmtId="164" fontId="4" fillId="0" borderId="6" xfId="1" applyFont="1" applyBorder="1" applyAlignment="1">
      <alignment horizontal="right" vertical="center"/>
    </xf>
    <xf numFmtId="164" fontId="4" fillId="0" borderId="24" xfId="1" applyFont="1" applyBorder="1" applyAlignment="1">
      <alignment horizontal="right" vertical="center"/>
    </xf>
    <xf numFmtId="164" fontId="4" fillId="0" borderId="8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9" xfId="0" applyNumberFormat="1" applyFont="1" applyFill="1" applyBorder="1" applyAlignment="1">
      <alignment horizontal="right" vertical="center" wrapText="1"/>
    </xf>
    <xf numFmtId="164" fontId="4" fillId="0" borderId="10" xfId="1" applyFont="1" applyBorder="1" applyAlignment="1">
      <alignment horizontal="right" vertical="center"/>
    </xf>
    <xf numFmtId="164" fontId="4" fillId="0" borderId="2" xfId="1" applyFont="1" applyBorder="1" applyAlignment="1">
      <alignment horizontal="right" vertical="center"/>
    </xf>
    <xf numFmtId="164" fontId="4" fillId="0" borderId="9" xfId="1" applyFont="1" applyBorder="1" applyAlignment="1">
      <alignment horizontal="right" vertical="center"/>
    </xf>
    <xf numFmtId="0" fontId="4" fillId="0" borderId="8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164" fontId="4" fillId="0" borderId="8" xfId="3" applyFont="1" applyBorder="1" applyAlignment="1">
      <alignment horizontal="center" vertical="center"/>
    </xf>
    <xf numFmtId="165" fontId="0" fillId="0" borderId="18" xfId="0" applyNumberFormat="1" applyBorder="1"/>
    <xf numFmtId="0" fontId="0" fillId="0" borderId="31" xfId="0" applyBorder="1"/>
    <xf numFmtId="0" fontId="0" fillId="0" borderId="18" xfId="0" quotePrefix="1" applyBorder="1"/>
    <xf numFmtId="2" fontId="0" fillId="0" borderId="18" xfId="0" applyNumberFormat="1" applyBorder="1"/>
    <xf numFmtId="1" fontId="11" fillId="0" borderId="18" xfId="0" applyNumberFormat="1" applyFont="1" applyBorder="1" applyAlignment="1">
      <alignment horizontal="center" vertical="center"/>
    </xf>
    <xf numFmtId="0" fontId="14" fillId="0" borderId="0" xfId="3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4" fillId="0" borderId="5" xfId="3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0" fillId="0" borderId="9" xfId="0" applyBorder="1"/>
    <xf numFmtId="43" fontId="0" fillId="0" borderId="18" xfId="0" applyNumberFormat="1" applyBorder="1"/>
    <xf numFmtId="0" fontId="6" fillId="0" borderId="18" xfId="0" applyFont="1" applyBorder="1"/>
    <xf numFmtId="14" fontId="4" fillId="0" borderId="8" xfId="0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2" fontId="4" fillId="4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20" fillId="0" borderId="18" xfId="0" quotePrefix="1" applyFont="1" applyBorder="1"/>
    <xf numFmtId="2" fontId="0" fillId="0" borderId="30" xfId="0" applyNumberFormat="1" applyBorder="1"/>
    <xf numFmtId="43" fontId="0" fillId="0" borderId="33" xfId="0" applyNumberFormat="1" applyBorder="1"/>
    <xf numFmtId="164" fontId="4" fillId="0" borderId="24" xfId="1" applyFont="1" applyBorder="1" applyAlignment="1">
      <alignment horizontal="center" vertical="center"/>
    </xf>
    <xf numFmtId="164" fontId="4" fillId="0" borderId="18" xfId="1" applyFont="1" applyBorder="1" applyAlignment="1">
      <alignment vertical="center"/>
    </xf>
    <xf numFmtId="1" fontId="4" fillId="0" borderId="0" xfId="0" applyNumberFormat="1" applyFont="1" applyAlignment="1">
      <alignment horizontal="center" vertical="center"/>
    </xf>
    <xf numFmtId="164" fontId="11" fillId="7" borderId="8" xfId="1" applyFont="1" applyFill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/>
    </xf>
    <xf numFmtId="14" fontId="6" fillId="0" borderId="17" xfId="0" applyNumberFormat="1" applyFont="1" applyBorder="1" applyAlignment="1">
      <alignment horizontal="center"/>
    </xf>
    <xf numFmtId="164" fontId="4" fillId="0" borderId="38" xfId="1" applyFont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/>
    </xf>
    <xf numFmtId="164" fontId="4" fillId="0" borderId="22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0" fillId="0" borderId="30" xfId="0" applyNumberFormat="1" applyBorder="1"/>
    <xf numFmtId="43" fontId="0" fillId="0" borderId="15" xfId="0" applyNumberFormat="1" applyBorder="1"/>
    <xf numFmtId="4" fontId="0" fillId="0" borderId="0" xfId="0" applyNumberFormat="1"/>
    <xf numFmtId="2" fontId="6" fillId="0" borderId="8" xfId="0" applyNumberFormat="1" applyFont="1" applyBorder="1"/>
    <xf numFmtId="164" fontId="11" fillId="7" borderId="18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4" fillId="0" borderId="15" xfId="1" applyFont="1" applyBorder="1" applyAlignment="1">
      <alignment horizontal="right" vertical="center"/>
    </xf>
    <xf numFmtId="0" fontId="20" fillId="0" borderId="15" xfId="0" applyFont="1" applyBorder="1"/>
    <xf numFmtId="0" fontId="0" fillId="0" borderId="39" xfId="0" applyBorder="1"/>
    <xf numFmtId="0" fontId="24" fillId="0" borderId="8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164" fontId="11" fillId="2" borderId="2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right" vertical="center" wrapText="1"/>
    </xf>
    <xf numFmtId="164" fontId="11" fillId="0" borderId="8" xfId="1" applyFont="1" applyBorder="1" applyAlignment="1">
      <alignment horizontal="right" vertical="center"/>
    </xf>
    <xf numFmtId="166" fontId="25" fillId="0" borderId="8" xfId="0" applyNumberFormat="1" applyFont="1" applyBorder="1" applyAlignment="1">
      <alignment horizontal="right"/>
    </xf>
    <xf numFmtId="164" fontId="11" fillId="7" borderId="8" xfId="1" applyFont="1" applyFill="1" applyBorder="1" applyAlignment="1">
      <alignment horizontal="right" vertical="center"/>
    </xf>
    <xf numFmtId="164" fontId="10" fillId="4" borderId="8" xfId="1" applyFont="1" applyFill="1" applyBorder="1" applyAlignment="1">
      <alignment horizontal="right" vertical="center"/>
    </xf>
    <xf numFmtId="164" fontId="10" fillId="4" borderId="0" xfId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164" fontId="4" fillId="0" borderId="26" xfId="1" applyFont="1" applyBorder="1" applyAlignment="1">
      <alignment horizontal="center" vertical="center"/>
    </xf>
    <xf numFmtId="164" fontId="4" fillId="0" borderId="31" xfId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20" fillId="0" borderId="30" xfId="0" applyFont="1" applyBorder="1"/>
    <xf numFmtId="2" fontId="0" fillId="2" borderId="30" xfId="0" applyNumberFormat="1" applyFill="1" applyBorder="1"/>
    <xf numFmtId="0" fontId="0" fillId="0" borderId="18" xfId="0" applyBorder="1" applyAlignment="1">
      <alignment horizontal="center"/>
    </xf>
    <xf numFmtId="0" fontId="24" fillId="0" borderId="18" xfId="0" applyFont="1" applyBorder="1" applyAlignment="1">
      <alignment horizontal="center"/>
    </xf>
    <xf numFmtId="43" fontId="6" fillId="2" borderId="17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  <xf numFmtId="164" fontId="4" fillId="0" borderId="17" xfId="1" applyFont="1" applyBorder="1" applyAlignment="1">
      <alignment horizontal="right" vertical="center"/>
    </xf>
    <xf numFmtId="164" fontId="4" fillId="0" borderId="0" xfId="1" applyFont="1" applyBorder="1" applyAlignment="1">
      <alignment horizontal="center" vertical="center"/>
    </xf>
    <xf numFmtId="164" fontId="11" fillId="8" borderId="8" xfId="1" applyFont="1" applyFill="1" applyBorder="1" applyAlignment="1">
      <alignment horizontal="right" vertical="center"/>
    </xf>
    <xf numFmtId="164" fontId="4" fillId="7" borderId="8" xfId="3" applyFont="1" applyFill="1" applyBorder="1" applyAlignment="1">
      <alignment horizontal="center" vertical="center"/>
    </xf>
    <xf numFmtId="0" fontId="27" fillId="9" borderId="45" xfId="0" applyFont="1" applyFill="1" applyBorder="1"/>
    <xf numFmtId="0" fontId="27" fillId="9" borderId="46" xfId="0" applyFont="1" applyFill="1" applyBorder="1"/>
    <xf numFmtId="0" fontId="27" fillId="9" borderId="47" xfId="0" applyFont="1" applyFill="1" applyBorder="1"/>
    <xf numFmtId="2" fontId="28" fillId="10" borderId="50" xfId="0" applyNumberFormat="1" applyFont="1" applyFill="1" applyBorder="1"/>
    <xf numFmtId="2" fontId="28" fillId="10" borderId="51" xfId="0" applyNumberFormat="1" applyFont="1" applyFill="1" applyBorder="1"/>
    <xf numFmtId="0" fontId="0" fillId="8" borderId="0" xfId="0" applyFill="1"/>
    <xf numFmtId="43" fontId="11" fillId="0" borderId="0" xfId="0" applyNumberFormat="1" applyFont="1"/>
    <xf numFmtId="0" fontId="0" fillId="11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0" borderId="17" xfId="0" applyFill="1" applyBorder="1" applyAlignment="1">
      <alignment vertical="center"/>
    </xf>
    <xf numFmtId="0" fontId="0" fillId="10" borderId="17" xfId="0" applyFill="1" applyBorder="1"/>
    <xf numFmtId="0" fontId="0" fillId="10" borderId="37" xfId="0" applyFill="1" applyBorder="1" applyAlignment="1">
      <alignment vertical="center"/>
    </xf>
    <xf numFmtId="0" fontId="0" fillId="10" borderId="37" xfId="0" applyFill="1" applyBorder="1"/>
    <xf numFmtId="0" fontId="29" fillId="0" borderId="8" xfId="0" applyFont="1" applyBorder="1"/>
    <xf numFmtId="2" fontId="0" fillId="0" borderId="16" xfId="0" applyNumberFormat="1" applyBorder="1"/>
    <xf numFmtId="0" fontId="28" fillId="10" borderId="53" xfId="0" applyFont="1" applyFill="1" applyBorder="1" applyAlignment="1">
      <alignment horizontal="center" wrapText="1"/>
    </xf>
    <xf numFmtId="165" fontId="4" fillId="0" borderId="17" xfId="0" applyNumberFormat="1" applyFont="1" applyBorder="1" applyAlignment="1">
      <alignment horizontal="center" vertical="center"/>
    </xf>
    <xf numFmtId="4" fontId="21" fillId="0" borderId="16" xfId="0" applyNumberFormat="1" applyFont="1" applyBorder="1"/>
    <xf numFmtId="0" fontId="4" fillId="0" borderId="17" xfId="0" applyFont="1" applyBorder="1"/>
    <xf numFmtId="0" fontId="28" fillId="10" borderId="49" xfId="0" applyFont="1" applyFill="1" applyBorder="1" applyAlignment="1">
      <alignment horizontal="center" wrapText="1"/>
    </xf>
    <xf numFmtId="0" fontId="28" fillId="10" borderId="53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6" fillId="5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7" fillId="5" borderId="14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6" fillId="5" borderId="14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5" fillId="5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/>
    </xf>
    <xf numFmtId="0" fontId="19" fillId="0" borderId="29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center" vertical="center"/>
    </xf>
    <xf numFmtId="43" fontId="5" fillId="2" borderId="16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43" fontId="5" fillId="2" borderId="43" xfId="0" applyNumberFormat="1" applyFont="1" applyFill="1" applyBorder="1" applyAlignment="1">
      <alignment horizontal="center" vertical="center"/>
    </xf>
    <xf numFmtId="43" fontId="5" fillId="2" borderId="44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wrapText="1"/>
    </xf>
    <xf numFmtId="0" fontId="19" fillId="0" borderId="18" xfId="0" applyFont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1" fillId="0" borderId="52" xfId="0" applyFont="1" applyBorder="1" applyAlignment="1">
      <alignment horizontal="left" wrapText="1"/>
    </xf>
    <xf numFmtId="2" fontId="1" fillId="0" borderId="8" xfId="0" applyNumberFormat="1" applyFont="1" applyBorder="1"/>
    <xf numFmtId="2" fontId="1" fillId="0" borderId="16" xfId="0" applyNumberFormat="1" applyFont="1" applyBorder="1"/>
    <xf numFmtId="2" fontId="1" fillId="0" borderId="48" xfId="0" applyNumberFormat="1" applyFont="1" applyBorder="1"/>
  </cellXfs>
  <cellStyles count="4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388A-80BD-4CB0-BE77-D3CB8A22F0C7}">
  <dimension ref="B1:U39"/>
  <sheetViews>
    <sheetView workbookViewId="0">
      <selection activeCell="E25" sqref="E25:K25"/>
    </sheetView>
  </sheetViews>
  <sheetFormatPr defaultColWidth="9.140625" defaultRowHeight="15"/>
  <cols>
    <col min="3" max="3" width="21.5703125" bestFit="1" customWidth="1"/>
    <col min="4" max="4" width="31" bestFit="1" customWidth="1"/>
    <col min="5" max="5" width="15.28515625" customWidth="1"/>
    <col min="6" max="6" width="14.7109375" customWidth="1"/>
    <col min="7" max="7" width="12.140625" customWidth="1"/>
    <col min="8" max="8" width="14.140625" bestFit="1" customWidth="1"/>
    <col min="9" max="9" width="13.28515625" bestFit="1" customWidth="1"/>
    <col min="10" max="10" width="17.42578125" customWidth="1"/>
    <col min="11" max="11" width="18.85546875" customWidth="1"/>
    <col min="12" max="12" width="15.7109375" bestFit="1" customWidth="1"/>
    <col min="13" max="13" width="16.5703125" customWidth="1"/>
  </cols>
  <sheetData>
    <row r="1" spans="2:21" ht="18.75" customHeight="1">
      <c r="B1" s="438" t="s">
        <v>0</v>
      </c>
      <c r="C1" s="439" t="s">
        <v>1</v>
      </c>
      <c r="D1" s="439" t="s">
        <v>2</v>
      </c>
      <c r="E1" s="439" t="s">
        <v>3</v>
      </c>
      <c r="F1" s="439" t="s">
        <v>4</v>
      </c>
      <c r="G1" s="439" t="s">
        <v>5</v>
      </c>
      <c r="H1" s="439" t="s">
        <v>6</v>
      </c>
      <c r="I1" s="439" t="s">
        <v>7</v>
      </c>
      <c r="J1" s="439" t="s">
        <v>8</v>
      </c>
      <c r="K1" s="439" t="s">
        <v>9</v>
      </c>
      <c r="L1" s="440" t="s">
        <v>10</v>
      </c>
    </row>
    <row r="2" spans="2:21">
      <c r="B2" s="520">
        <v>1</v>
      </c>
      <c r="C2" s="521" t="s">
        <v>11</v>
      </c>
      <c r="D2" s="521" t="s">
        <v>12</v>
      </c>
      <c r="E2" s="522">
        <v>29801.57</v>
      </c>
      <c r="F2" s="521">
        <v>2852606.2804000005</v>
      </c>
      <c r="G2" s="521">
        <v>205</v>
      </c>
      <c r="H2" s="521">
        <v>22037.5</v>
      </c>
      <c r="I2" s="521">
        <f>F2+H2</f>
        <v>2874643.7804000005</v>
      </c>
      <c r="J2" s="521">
        <v>1491570.83</v>
      </c>
      <c r="K2" s="521">
        <v>2000000</v>
      </c>
      <c r="L2" s="523">
        <f>I2+J2-K2</f>
        <v>2366214.6104000006</v>
      </c>
    </row>
    <row r="3" spans="2:21">
      <c r="B3" s="520">
        <v>2</v>
      </c>
      <c r="C3" s="521" t="s">
        <v>13</v>
      </c>
      <c r="D3" s="452" t="s">
        <v>14</v>
      </c>
      <c r="E3" s="522">
        <v>63224.259999999995</v>
      </c>
      <c r="F3" s="521">
        <v>6049297.1968</v>
      </c>
      <c r="G3" s="521">
        <v>325</v>
      </c>
      <c r="H3" s="521">
        <v>34924.5</v>
      </c>
      <c r="I3" s="521">
        <f>F3+H3</f>
        <v>6084221.6968</v>
      </c>
      <c r="J3" s="521">
        <v>0</v>
      </c>
      <c r="K3" s="521">
        <v>3500000</v>
      </c>
      <c r="L3" s="523">
        <f>I3-K3</f>
        <v>2584221.6968</v>
      </c>
      <c r="M3" s="439" t="s">
        <v>8</v>
      </c>
    </row>
    <row r="4" spans="2:21">
      <c r="B4" s="520">
        <v>3</v>
      </c>
      <c r="C4" s="521" t="s">
        <v>15</v>
      </c>
      <c r="D4" s="452" t="s">
        <v>16</v>
      </c>
      <c r="E4" s="522">
        <v>57124.06</v>
      </c>
      <c r="F4" s="521">
        <v>5507901.8700000001</v>
      </c>
      <c r="G4" s="521">
        <v>436</v>
      </c>
      <c r="H4" s="521">
        <v>47187.23</v>
      </c>
      <c r="I4" s="521">
        <f>F4+H4</f>
        <v>5555089.1000000006</v>
      </c>
      <c r="J4" s="521">
        <v>626816.62</v>
      </c>
      <c r="K4" s="521">
        <v>3500000</v>
      </c>
      <c r="L4" s="523">
        <f>I4+J4-K4</f>
        <v>2681905.7200000007</v>
      </c>
      <c r="M4" s="521">
        <v>631145.81999999995</v>
      </c>
    </row>
    <row r="5" spans="2:21">
      <c r="B5" s="520">
        <v>4</v>
      </c>
      <c r="C5" s="521" t="s">
        <v>17</v>
      </c>
      <c r="D5" s="452" t="s">
        <v>18</v>
      </c>
      <c r="E5" s="522">
        <v>46871.010000000009</v>
      </c>
      <c r="F5" s="521">
        <v>4514146.9731000001</v>
      </c>
      <c r="G5" s="521">
        <v>90</v>
      </c>
      <c r="H5" s="521">
        <v>9730.8000000000011</v>
      </c>
      <c r="I5" s="521">
        <f>F5+H5</f>
        <v>4523877.7730999999</v>
      </c>
      <c r="J5" s="521">
        <v>934967.13</v>
      </c>
      <c r="K5" s="521">
        <v>3000000</v>
      </c>
      <c r="L5" s="523">
        <f>I5+J5-K5</f>
        <v>2458844.9030999998</v>
      </c>
    </row>
    <row r="6" spans="2:21">
      <c r="B6" s="520">
        <v>5</v>
      </c>
      <c r="C6" s="521" t="s">
        <v>19</v>
      </c>
      <c r="D6" s="452" t="s">
        <v>20</v>
      </c>
      <c r="E6" s="522">
        <v>11700</v>
      </c>
      <c r="F6" s="521">
        <v>1044693.0000000001</v>
      </c>
      <c r="G6" s="521">
        <v>620</v>
      </c>
      <c r="H6" s="521">
        <v>64008.799999999988</v>
      </c>
      <c r="I6" s="521">
        <f>F6+H6</f>
        <v>1108701.8</v>
      </c>
      <c r="J6" s="521">
        <v>231091.31</v>
      </c>
      <c r="K6" s="521">
        <v>1200695.5999999999</v>
      </c>
      <c r="L6" s="523">
        <f>I6+J6-K6</f>
        <v>139097.51000000024</v>
      </c>
    </row>
    <row r="7" spans="2:21">
      <c r="B7" s="520">
        <v>6</v>
      </c>
      <c r="C7" s="521" t="s">
        <v>21</v>
      </c>
      <c r="D7" s="452" t="s">
        <v>22</v>
      </c>
      <c r="E7" s="522">
        <v>7825.3399999999992</v>
      </c>
      <c r="F7" s="521">
        <v>702559.02520000003</v>
      </c>
      <c r="G7" s="521">
        <v>408</v>
      </c>
      <c r="H7" s="521">
        <v>42432</v>
      </c>
      <c r="I7" s="521">
        <f>F7+H7</f>
        <v>744991.02520000003</v>
      </c>
      <c r="J7" s="521">
        <v>0</v>
      </c>
      <c r="K7" s="521">
        <v>644991.90339999995</v>
      </c>
      <c r="L7" s="523">
        <f>I7-K7</f>
        <v>99999.121800000081</v>
      </c>
    </row>
    <row r="8" spans="2:21">
      <c r="B8" s="520">
        <v>7</v>
      </c>
      <c r="C8" s="521" t="s">
        <v>23</v>
      </c>
      <c r="D8" s="452" t="s">
        <v>24</v>
      </c>
      <c r="E8" s="522">
        <v>5149.99</v>
      </c>
      <c r="F8" s="521">
        <v>464687.59770000004</v>
      </c>
      <c r="G8" s="521">
        <v>124.2</v>
      </c>
      <c r="H8" s="521">
        <v>12934.188</v>
      </c>
      <c r="I8" s="521">
        <f>F8+H8</f>
        <v>477621.78570000007</v>
      </c>
      <c r="J8" s="521">
        <v>0</v>
      </c>
      <c r="K8" s="521">
        <v>457622.30599999998</v>
      </c>
      <c r="L8" s="523">
        <f>I8-K8</f>
        <v>19999.479700000084</v>
      </c>
    </row>
    <row r="9" spans="2:21">
      <c r="B9" s="520">
        <v>8</v>
      </c>
      <c r="C9" s="521" t="s">
        <v>25</v>
      </c>
      <c r="D9" s="452" t="s">
        <v>26</v>
      </c>
      <c r="E9" s="522">
        <v>4960</v>
      </c>
      <c r="F9" s="521">
        <v>447144</v>
      </c>
      <c r="G9" s="521">
        <v>283</v>
      </c>
      <c r="H9" s="521">
        <v>29508.409999999996</v>
      </c>
      <c r="I9" s="521">
        <f>F9+H9</f>
        <v>476652.41</v>
      </c>
      <c r="J9" s="521">
        <v>1103495</v>
      </c>
      <c r="K9" s="521">
        <v>1000000</v>
      </c>
      <c r="L9" s="523">
        <f>I9+J9-K9</f>
        <v>580147.40999999992</v>
      </c>
    </row>
    <row r="10" spans="2:21">
      <c r="B10" s="520">
        <v>9</v>
      </c>
      <c r="C10" s="521" t="s">
        <v>27</v>
      </c>
      <c r="D10" s="452" t="s">
        <v>28</v>
      </c>
      <c r="E10" s="522">
        <v>2500</v>
      </c>
      <c r="F10" s="521">
        <v>225600</v>
      </c>
      <c r="G10" s="521">
        <v>210</v>
      </c>
      <c r="H10" s="521">
        <v>21869.4</v>
      </c>
      <c r="I10" s="521">
        <v>247469.39999999997</v>
      </c>
      <c r="J10" s="521">
        <v>7285.6</v>
      </c>
      <c r="K10" s="521">
        <v>254755</v>
      </c>
      <c r="L10" s="523">
        <f>I10+J10-K10</f>
        <v>0</v>
      </c>
    </row>
    <row r="11" spans="2:21">
      <c r="B11" s="520">
        <v>10</v>
      </c>
      <c r="C11" s="521" t="s">
        <v>29</v>
      </c>
      <c r="D11" s="452" t="s">
        <v>30</v>
      </c>
      <c r="E11" s="522">
        <v>1470</v>
      </c>
      <c r="F11" s="521">
        <v>132640.1</v>
      </c>
      <c r="G11" s="521">
        <v>90</v>
      </c>
      <c r="H11" s="521">
        <v>9371.7000000000007</v>
      </c>
      <c r="I11" s="521">
        <f>F11+H11</f>
        <v>142011.80000000002</v>
      </c>
      <c r="J11" s="521">
        <v>0</v>
      </c>
      <c r="K11" s="521">
        <v>142011.79999999999</v>
      </c>
      <c r="L11" s="523">
        <f>I11-K11</f>
        <v>0</v>
      </c>
    </row>
    <row r="12" spans="2:21">
      <c r="B12" s="520">
        <v>11</v>
      </c>
      <c r="C12" s="521" t="s">
        <v>31</v>
      </c>
      <c r="D12" s="452" t="s">
        <v>32</v>
      </c>
      <c r="E12" s="522">
        <v>1924.5199999999998</v>
      </c>
      <c r="F12" s="521">
        <v>171782.65520000001</v>
      </c>
      <c r="G12" s="521">
        <v>74.09</v>
      </c>
      <c r="H12" s="521">
        <v>7735.2565999999988</v>
      </c>
      <c r="I12" s="521">
        <f>F12+H12</f>
        <v>179517.9118</v>
      </c>
      <c r="J12" s="521">
        <v>55164.18</v>
      </c>
      <c r="K12" s="521">
        <v>178481.40120000002</v>
      </c>
      <c r="L12" s="523">
        <f>I12+J12-K12</f>
        <v>56200.690599999973</v>
      </c>
    </row>
    <row r="13" spans="2:21">
      <c r="B13" s="520">
        <v>12</v>
      </c>
      <c r="C13" s="521" t="s">
        <v>33</v>
      </c>
      <c r="D13" s="452" t="s">
        <v>34</v>
      </c>
      <c r="E13" s="522">
        <v>972.7199999999998</v>
      </c>
      <c r="F13" s="521">
        <v>86652.499200000006</v>
      </c>
      <c r="G13" s="521">
        <v>48.820000000000007</v>
      </c>
      <c r="H13" s="521">
        <v>5015.2786000000006</v>
      </c>
      <c r="I13" s="521">
        <f>F13+H13</f>
        <v>91667.777800000011</v>
      </c>
      <c r="J13" s="521">
        <v>2671.13</v>
      </c>
      <c r="K13" s="521">
        <v>44000</v>
      </c>
      <c r="L13" s="523">
        <f>I13+J13-K13</f>
        <v>50338.907800000015</v>
      </c>
    </row>
    <row r="14" spans="2:21">
      <c r="B14" s="520">
        <v>13</v>
      </c>
      <c r="C14" s="521" t="s">
        <v>35</v>
      </c>
      <c r="D14" s="452" t="s">
        <v>36</v>
      </c>
      <c r="E14" s="522">
        <v>3691.75</v>
      </c>
      <c r="F14" s="521">
        <v>331925.24249999999</v>
      </c>
      <c r="G14" s="521">
        <v>149</v>
      </c>
      <c r="H14" s="521">
        <v>15479.610000000004</v>
      </c>
      <c r="I14" s="521">
        <f>F14+H14</f>
        <v>347404.85249999998</v>
      </c>
      <c r="J14" s="521">
        <v>245446.58</v>
      </c>
      <c r="K14" s="521">
        <v>141300</v>
      </c>
      <c r="L14" s="523">
        <f>I14+J14-K14</f>
        <v>451551.4325</v>
      </c>
    </row>
    <row r="15" spans="2:21">
      <c r="B15" s="520">
        <v>14</v>
      </c>
      <c r="C15" s="521" t="s">
        <v>37</v>
      </c>
      <c r="D15" s="452" t="s">
        <v>38</v>
      </c>
      <c r="E15" s="522">
        <v>1394.53</v>
      </c>
      <c r="F15" s="521">
        <v>125159.06749999999</v>
      </c>
      <c r="G15" s="521">
        <v>30</v>
      </c>
      <c r="H15" s="521">
        <v>3111.9</v>
      </c>
      <c r="I15" s="521">
        <f>F15+H15</f>
        <v>128270.96749999998</v>
      </c>
      <c r="J15" s="521">
        <v>519.11</v>
      </c>
      <c r="K15" s="521">
        <v>0</v>
      </c>
      <c r="L15" s="523">
        <f>I15+J15-K15</f>
        <v>128790.07749999998</v>
      </c>
    </row>
    <row r="16" spans="2:21" ht="15.75" customHeight="1">
      <c r="B16" s="520">
        <v>15</v>
      </c>
      <c r="C16" s="521" t="s">
        <v>39</v>
      </c>
      <c r="D16" s="452" t="s">
        <v>40</v>
      </c>
      <c r="E16" s="453">
        <v>1617.81</v>
      </c>
      <c r="F16" s="67">
        <v>145425.07500000001</v>
      </c>
      <c r="G16" s="67">
        <v>57.62</v>
      </c>
      <c r="H16" s="67">
        <v>5990.1751999999997</v>
      </c>
      <c r="I16" s="67">
        <f>F16+H16</f>
        <v>151415.25020000001</v>
      </c>
      <c r="J16" s="67">
        <v>0</v>
      </c>
      <c r="K16" s="67">
        <v>151415.25020000001</v>
      </c>
      <c r="L16" s="523">
        <f>I16+J16-K16</f>
        <v>0</v>
      </c>
      <c r="U16">
        <f>70*105</f>
        <v>7350</v>
      </c>
    </row>
    <row r="17" spans="2:12">
      <c r="B17" s="520">
        <v>16</v>
      </c>
      <c r="C17" s="521" t="s">
        <v>41</v>
      </c>
      <c r="D17" s="452" t="s">
        <v>42</v>
      </c>
      <c r="E17" s="522">
        <v>342.71000000000004</v>
      </c>
      <c r="F17" s="521">
        <v>31347.424599999998</v>
      </c>
      <c r="G17" s="521">
        <v>26.11</v>
      </c>
      <c r="H17" s="521">
        <v>2739.9875000000002</v>
      </c>
      <c r="I17" s="521">
        <f t="shared" ref="I16:L24" si="0">F17+H17</f>
        <v>34087.412100000001</v>
      </c>
      <c r="J17" s="521">
        <v>17828</v>
      </c>
      <c r="K17" s="521">
        <v>49126.400000000001</v>
      </c>
      <c r="L17" s="523">
        <f>I17+J17-K17</f>
        <v>2789.0120999999999</v>
      </c>
    </row>
    <row r="18" spans="2:12">
      <c r="B18" s="520">
        <v>17</v>
      </c>
      <c r="C18" s="521" t="s">
        <v>43</v>
      </c>
      <c r="D18" s="452" t="s">
        <v>44</v>
      </c>
      <c r="E18" s="522">
        <v>16100</v>
      </c>
      <c r="F18" s="521">
        <v>1467354</v>
      </c>
      <c r="G18" s="521">
        <v>50</v>
      </c>
      <c r="H18" s="521">
        <v>5230</v>
      </c>
      <c r="I18" s="521">
        <f t="shared" si="0"/>
        <v>1472584</v>
      </c>
      <c r="J18" s="521">
        <v>671854</v>
      </c>
      <c r="K18" s="521">
        <v>700000</v>
      </c>
      <c r="L18" s="523">
        <f>I18+J18-K18</f>
        <v>1444438</v>
      </c>
    </row>
    <row r="19" spans="2:12">
      <c r="B19" s="520">
        <v>18</v>
      </c>
      <c r="C19" s="521" t="s">
        <v>45</v>
      </c>
      <c r="D19" s="452" t="s">
        <v>46</v>
      </c>
      <c r="E19" s="522">
        <v>2808.93</v>
      </c>
      <c r="F19" s="521">
        <v>251861.16310000001</v>
      </c>
      <c r="G19" s="521">
        <v>177.09</v>
      </c>
      <c r="H19" s="521">
        <v>18326.032599999999</v>
      </c>
      <c r="I19" s="521">
        <v>270187.19569999998</v>
      </c>
      <c r="J19" s="521">
        <v>0</v>
      </c>
      <c r="K19" s="521">
        <v>256405.56769999999</v>
      </c>
      <c r="L19" s="523">
        <f>I19+J19-K19</f>
        <v>13781.627999999997</v>
      </c>
    </row>
    <row r="20" spans="2:12">
      <c r="B20" s="520">
        <v>19</v>
      </c>
      <c r="C20" s="521" t="s">
        <v>47</v>
      </c>
      <c r="D20" s="452" t="s">
        <v>48</v>
      </c>
      <c r="E20" s="522">
        <v>399.6</v>
      </c>
      <c r="F20" s="521">
        <v>35888.076000000001</v>
      </c>
      <c r="G20" s="521">
        <v>75</v>
      </c>
      <c r="H20" s="521">
        <v>7785</v>
      </c>
      <c r="I20" s="521">
        <f t="shared" si="0"/>
        <v>43673.076000000001</v>
      </c>
      <c r="J20" s="521">
        <v>18034.63</v>
      </c>
      <c r="K20" s="521">
        <v>18035</v>
      </c>
      <c r="L20" s="523">
        <f>I20+J20-K20</f>
        <v>43672.706000000006</v>
      </c>
    </row>
    <row r="21" spans="2:12">
      <c r="B21" s="520">
        <v>20</v>
      </c>
      <c r="C21" s="521" t="s">
        <v>49</v>
      </c>
      <c r="D21" s="452" t="s">
        <v>50</v>
      </c>
      <c r="E21" s="522">
        <v>6927.4400000000014</v>
      </c>
      <c r="F21" s="521">
        <v>619936.60560000001</v>
      </c>
      <c r="G21" s="521">
        <v>385.73</v>
      </c>
      <c r="H21" s="521">
        <v>40087.45659999999</v>
      </c>
      <c r="I21" s="521">
        <f t="shared" si="0"/>
        <v>660024.06220000004</v>
      </c>
      <c r="J21" s="521">
        <v>278314</v>
      </c>
      <c r="K21" s="521">
        <v>509844</v>
      </c>
      <c r="L21" s="523">
        <f>I21+J21-K21</f>
        <v>428494.06220000004</v>
      </c>
    </row>
    <row r="22" spans="2:12">
      <c r="B22" s="520">
        <v>21</v>
      </c>
      <c r="C22" s="521" t="s">
        <v>51</v>
      </c>
      <c r="D22" s="452" t="s">
        <v>52</v>
      </c>
      <c r="E22" s="522">
        <v>5185.83</v>
      </c>
      <c r="F22" s="521">
        <v>462731.61090000009</v>
      </c>
      <c r="G22" s="521">
        <v>80.849999999999994</v>
      </c>
      <c r="H22" s="521">
        <v>8340.485999999999</v>
      </c>
      <c r="I22" s="521">
        <f t="shared" si="0"/>
        <v>471072.09690000006</v>
      </c>
      <c r="J22" s="521">
        <v>9874.41</v>
      </c>
      <c r="K22" s="521">
        <v>0</v>
      </c>
      <c r="L22" s="523">
        <f>I22+J22-K22</f>
        <v>480946.50690000004</v>
      </c>
    </row>
    <row r="23" spans="2:12">
      <c r="B23" s="520">
        <v>22</v>
      </c>
      <c r="C23" s="521" t="s">
        <v>53</v>
      </c>
      <c r="D23" s="452" t="s">
        <v>54</v>
      </c>
      <c r="E23" s="522">
        <v>1133.5400000000002</v>
      </c>
      <c r="F23" s="521">
        <v>101381.034</v>
      </c>
      <c r="G23" s="521">
        <v>148.62</v>
      </c>
      <c r="H23" s="521">
        <v>15495.4653</v>
      </c>
      <c r="I23" s="521">
        <f t="shared" si="0"/>
        <v>116876.4993</v>
      </c>
      <c r="J23" s="521">
        <v>0</v>
      </c>
      <c r="K23" s="521">
        <v>116876.4993</v>
      </c>
      <c r="L23" s="523">
        <v>0</v>
      </c>
    </row>
    <row r="24" spans="2:12">
      <c r="B24" s="520">
        <v>23</v>
      </c>
      <c r="C24" s="521" t="s">
        <v>55</v>
      </c>
      <c r="D24" s="452" t="s">
        <v>56</v>
      </c>
      <c r="E24" s="522">
        <v>152.44</v>
      </c>
      <c r="F24" s="521">
        <v>13503.135199999999</v>
      </c>
      <c r="G24" s="521">
        <v>53.289999999999992</v>
      </c>
      <c r="H24" s="521">
        <v>5460.0933999999988</v>
      </c>
      <c r="I24" s="521">
        <f>F24+H24</f>
        <v>18963.228599999999</v>
      </c>
      <c r="J24" s="521">
        <v>0</v>
      </c>
      <c r="K24" s="521">
        <v>18963.228599999999</v>
      </c>
      <c r="L24" s="523">
        <v>0</v>
      </c>
    </row>
    <row r="25" spans="2:12">
      <c r="B25" s="458" t="s">
        <v>57</v>
      </c>
      <c r="C25" s="459"/>
      <c r="D25" s="454"/>
      <c r="E25" s="441">
        <f>SUM(E2:E24)</f>
        <v>273278.04999999993</v>
      </c>
      <c r="F25" s="441">
        <f>SUM(F2:F24)</f>
        <v>25786223.632000007</v>
      </c>
      <c r="G25" s="441">
        <f>SUM(G2:G24)</f>
        <v>4147.42</v>
      </c>
      <c r="H25" s="441">
        <f>SUM(H2:H24)</f>
        <v>434801.26980000001</v>
      </c>
      <c r="I25" s="441">
        <f>SUM(I2:I24)</f>
        <v>26221024.901800007</v>
      </c>
      <c r="J25" s="441">
        <f>SUM(J2:J24)</f>
        <v>5694932.5300000003</v>
      </c>
      <c r="K25" s="441">
        <f>SUM(K2:K24)</f>
        <v>17884523.9564</v>
      </c>
      <c r="L25" s="442">
        <f>SUM(L2:L24)</f>
        <v>14031433.475400003</v>
      </c>
    </row>
    <row r="28" spans="2:12">
      <c r="I28">
        <v>26271062.963599999</v>
      </c>
      <c r="J28">
        <v>5697312.6099999994</v>
      </c>
      <c r="K28">
        <v>17953654.196400002</v>
      </c>
      <c r="L28">
        <f>I28+J28-K28</f>
        <v>14014721.377199996</v>
      </c>
    </row>
    <row r="30" spans="2:12">
      <c r="L30" s="28">
        <f>L25-L28</f>
        <v>16712.09820000641</v>
      </c>
    </row>
    <row r="39" spans="4:4">
      <c r="D39">
        <f>33*55</f>
        <v>1815</v>
      </c>
    </row>
  </sheetData>
  <sheetProtection sheet="1" objects="1" scenarios="1"/>
  <mergeCells count="1"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D09-8842-4F6A-8828-1D1304B346C4}">
  <dimension ref="A1:R30"/>
  <sheetViews>
    <sheetView tabSelected="1" workbookViewId="0">
      <pane ySplit="2" topLeftCell="A21" activePane="bottomLeft" state="frozen"/>
      <selection pane="bottomLeft" activeCell="H31" sqref="H31"/>
    </sheetView>
  </sheetViews>
  <sheetFormatPr defaultColWidth="11" defaultRowHeight="15"/>
  <cols>
    <col min="1" max="1" width="9.42578125" style="5" customWidth="1"/>
    <col min="2" max="3" width="11" style="5"/>
    <col min="4" max="4" width="16" style="5" bestFit="1" customWidth="1"/>
    <col min="5" max="5" width="11" style="5"/>
    <col min="6" max="6" width="15.5703125" style="5" customWidth="1"/>
    <col min="7" max="7" width="13.28515625" style="5" customWidth="1"/>
    <col min="8" max="9" width="11" style="5"/>
    <col min="10" max="10" width="11.5703125" style="5" customWidth="1"/>
    <col min="11" max="11" width="16.140625" style="5" customWidth="1"/>
    <col min="12" max="13" width="13.140625" style="5" customWidth="1"/>
    <col min="14" max="14" width="17.85546875" style="5" customWidth="1"/>
    <col min="15" max="16384" width="11" style="5"/>
  </cols>
  <sheetData>
    <row r="1" spans="1:18" ht="15.75" customHeight="1">
      <c r="A1" s="461" t="s">
        <v>12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96"/>
    </row>
    <row r="2" spans="1:18" ht="16.5" customHeight="1">
      <c r="A2" s="189" t="s">
        <v>58</v>
      </c>
      <c r="B2" s="190" t="s">
        <v>59</v>
      </c>
      <c r="C2" s="190" t="s">
        <v>60</v>
      </c>
      <c r="D2" s="190" t="s">
        <v>61</v>
      </c>
      <c r="E2" s="190" t="s">
        <v>62</v>
      </c>
      <c r="F2" s="190" t="s">
        <v>63</v>
      </c>
      <c r="G2" s="190" t="s">
        <v>64</v>
      </c>
      <c r="H2" s="190" t="s">
        <v>65</v>
      </c>
      <c r="I2" s="190" t="s">
        <v>63</v>
      </c>
      <c r="J2" s="191" t="s">
        <v>64</v>
      </c>
      <c r="K2" s="110" t="s">
        <v>66</v>
      </c>
      <c r="L2" s="138" t="s">
        <v>67</v>
      </c>
      <c r="M2" s="138" t="s">
        <v>68</v>
      </c>
      <c r="N2" s="136" t="s">
        <v>69</v>
      </c>
      <c r="O2" s="103"/>
    </row>
    <row r="3" spans="1:18">
      <c r="A3" s="462" t="s">
        <v>70</v>
      </c>
      <c r="B3" s="462"/>
      <c r="C3" s="462"/>
      <c r="D3" s="462"/>
      <c r="E3" s="462"/>
      <c r="F3" s="462"/>
      <c r="G3" s="462"/>
      <c r="H3" s="462"/>
      <c r="I3" s="462"/>
      <c r="J3" s="462"/>
      <c r="K3" s="456">
        <v>1491570.83</v>
      </c>
      <c r="L3" s="222"/>
      <c r="M3" s="197">
        <f>K3</f>
        <v>1491570.83</v>
      </c>
      <c r="N3" s="6"/>
      <c r="O3" s="1"/>
    </row>
    <row r="4" spans="1:18">
      <c r="A4" s="33">
        <v>1</v>
      </c>
      <c r="B4" s="34">
        <v>45658</v>
      </c>
      <c r="C4" s="32"/>
      <c r="D4" s="32">
        <v>1020</v>
      </c>
      <c r="E4" s="9">
        <v>1511.9</v>
      </c>
      <c r="F4" s="9">
        <v>95.72</v>
      </c>
      <c r="G4" s="9">
        <f>E4*F4</f>
        <v>144719.068</v>
      </c>
      <c r="H4" s="10"/>
      <c r="I4" s="10"/>
      <c r="J4" s="9">
        <f>H4*I4</f>
        <v>0</v>
      </c>
      <c r="K4" s="390">
        <f>G4+J4</f>
        <v>144719.068</v>
      </c>
      <c r="L4" s="69"/>
      <c r="M4" s="198">
        <f>M3+K4-L4</f>
        <v>1636289.898</v>
      </c>
      <c r="N4" s="9"/>
      <c r="O4" s="1"/>
    </row>
    <row r="5" spans="1:18">
      <c r="A5" s="33">
        <v>2</v>
      </c>
      <c r="B5" s="463">
        <v>45659</v>
      </c>
      <c r="C5" s="32"/>
      <c r="D5" s="32" t="s">
        <v>71</v>
      </c>
      <c r="E5" s="6">
        <v>0</v>
      </c>
      <c r="F5" s="9">
        <v>95.72</v>
      </c>
      <c r="G5" s="9">
        <f t="shared" ref="G5:G26" si="0">E5*F5</f>
        <v>0</v>
      </c>
      <c r="H5" s="9">
        <v>30</v>
      </c>
      <c r="I5" s="9">
        <v>107.5</v>
      </c>
      <c r="J5" s="9">
        <f t="shared" ref="J5:J26" si="1">H5*I5</f>
        <v>3225</v>
      </c>
      <c r="K5" s="390">
        <f t="shared" ref="K5:K26" si="2">G5+J5</f>
        <v>3225</v>
      </c>
      <c r="L5" s="69"/>
      <c r="M5" s="198">
        <f t="shared" ref="M5:M26" si="3">M4+K5-L5</f>
        <v>1639514.898</v>
      </c>
      <c r="N5" s="9"/>
      <c r="O5" s="1"/>
    </row>
    <row r="6" spans="1:18">
      <c r="A6" s="33">
        <v>3</v>
      </c>
      <c r="B6" s="463"/>
      <c r="C6" s="32"/>
      <c r="D6" s="32"/>
      <c r="E6" s="9">
        <v>2074.38</v>
      </c>
      <c r="F6" s="9">
        <v>95.72</v>
      </c>
      <c r="G6" s="9">
        <f t="shared" si="0"/>
        <v>198559.65360000002</v>
      </c>
      <c r="H6" s="11"/>
      <c r="I6" s="10"/>
      <c r="J6" s="9">
        <f t="shared" si="1"/>
        <v>0</v>
      </c>
      <c r="K6" s="390">
        <f t="shared" si="2"/>
        <v>198559.65360000002</v>
      </c>
      <c r="L6" s="69"/>
      <c r="M6" s="198">
        <f t="shared" si="3"/>
        <v>1838074.5516000001</v>
      </c>
      <c r="N6" s="9"/>
      <c r="O6" s="1"/>
    </row>
    <row r="7" spans="1:18">
      <c r="A7" s="33">
        <v>4</v>
      </c>
      <c r="B7" s="34">
        <v>45660</v>
      </c>
      <c r="C7" s="32"/>
      <c r="D7" s="24">
        <v>1023</v>
      </c>
      <c r="E7" s="9">
        <v>1580.23</v>
      </c>
      <c r="F7" s="9">
        <v>95.72</v>
      </c>
      <c r="G7" s="9">
        <f t="shared" si="0"/>
        <v>151259.61559999999</v>
      </c>
      <c r="H7" s="9"/>
      <c r="I7" s="12"/>
      <c r="J7" s="9">
        <f t="shared" si="1"/>
        <v>0</v>
      </c>
      <c r="K7" s="390">
        <f t="shared" si="2"/>
        <v>151259.61559999999</v>
      </c>
      <c r="L7" s="9"/>
      <c r="M7" s="198">
        <f>M6+K7-L7</f>
        <v>1989334.1672</v>
      </c>
      <c r="N7" s="9"/>
      <c r="O7" s="1"/>
    </row>
    <row r="8" spans="1:18">
      <c r="A8" s="33">
        <v>5</v>
      </c>
      <c r="B8" s="34">
        <v>45661</v>
      </c>
      <c r="C8" s="32"/>
      <c r="D8" s="24">
        <v>1024</v>
      </c>
      <c r="E8" s="6">
        <v>0</v>
      </c>
      <c r="F8" s="6">
        <v>0</v>
      </c>
      <c r="G8" s="9">
        <f t="shared" si="0"/>
        <v>0</v>
      </c>
      <c r="H8" s="9">
        <v>30</v>
      </c>
      <c r="I8" s="9">
        <v>107.5</v>
      </c>
      <c r="J8" s="9">
        <f t="shared" si="1"/>
        <v>3225</v>
      </c>
      <c r="K8" s="390">
        <f t="shared" si="2"/>
        <v>3225</v>
      </c>
      <c r="L8" s="9"/>
      <c r="M8" s="198">
        <f t="shared" si="3"/>
        <v>1992559.1672</v>
      </c>
      <c r="N8" s="9"/>
      <c r="O8" s="1"/>
    </row>
    <row r="9" spans="1:18">
      <c r="A9" s="305">
        <v>6</v>
      </c>
      <c r="B9" s="455">
        <v>45666</v>
      </c>
      <c r="C9" s="297"/>
      <c r="D9" s="224"/>
      <c r="E9" s="457">
        <v>0</v>
      </c>
      <c r="F9" s="457">
        <v>0</v>
      </c>
      <c r="G9" s="25">
        <v>0</v>
      </c>
      <c r="H9" s="25">
        <v>0</v>
      </c>
      <c r="I9" s="25">
        <v>0</v>
      </c>
      <c r="J9" s="25">
        <v>0</v>
      </c>
      <c r="K9" s="9"/>
      <c r="L9" s="9">
        <v>1000000</v>
      </c>
      <c r="M9" s="198">
        <f t="shared" si="3"/>
        <v>992559.16720000003</v>
      </c>
      <c r="N9" s="162" t="s">
        <v>72</v>
      </c>
      <c r="O9" s="1"/>
      <c r="R9" s="5">
        <f>1800+1551.45</f>
        <v>3351.45</v>
      </c>
    </row>
    <row r="10" spans="1:18">
      <c r="A10" s="33">
        <v>7</v>
      </c>
      <c r="B10" s="34">
        <v>45668</v>
      </c>
      <c r="C10" s="32"/>
      <c r="D10" s="24">
        <v>1025</v>
      </c>
      <c r="E10" s="9">
        <v>3351.45</v>
      </c>
      <c r="F10" s="9">
        <v>95.72</v>
      </c>
      <c r="G10" s="9">
        <f t="shared" si="0"/>
        <v>320800.79399999999</v>
      </c>
      <c r="H10" s="9"/>
      <c r="I10" s="9"/>
      <c r="J10" s="9">
        <f t="shared" si="1"/>
        <v>0</v>
      </c>
      <c r="K10" s="9">
        <f t="shared" si="2"/>
        <v>320800.79399999999</v>
      </c>
      <c r="L10" s="9"/>
      <c r="M10" s="198">
        <f t="shared" si="3"/>
        <v>1313359.9612</v>
      </c>
      <c r="N10" s="9"/>
      <c r="O10" s="1"/>
    </row>
    <row r="11" spans="1:18">
      <c r="A11" s="33">
        <v>8</v>
      </c>
      <c r="B11" s="34">
        <v>45669</v>
      </c>
      <c r="C11" s="32"/>
      <c r="D11" s="24">
        <v>1027</v>
      </c>
      <c r="E11" s="9">
        <v>1400</v>
      </c>
      <c r="F11" s="9">
        <v>95.72</v>
      </c>
      <c r="G11" s="9">
        <f t="shared" si="0"/>
        <v>134008</v>
      </c>
      <c r="H11" s="9">
        <v>20</v>
      </c>
      <c r="I11" s="9">
        <v>107.5</v>
      </c>
      <c r="J11" s="9">
        <f t="shared" si="1"/>
        <v>2150</v>
      </c>
      <c r="K11" s="9">
        <f t="shared" si="2"/>
        <v>136158</v>
      </c>
      <c r="L11" s="9"/>
      <c r="M11" s="198">
        <f t="shared" si="3"/>
        <v>1449517.9612</v>
      </c>
      <c r="N11" s="9"/>
      <c r="O11" s="1"/>
    </row>
    <row r="12" spans="1:18">
      <c r="A12" s="33">
        <v>9</v>
      </c>
      <c r="B12" s="34">
        <v>45670</v>
      </c>
      <c r="C12" s="32"/>
      <c r="D12" s="24">
        <v>1029</v>
      </c>
      <c r="E12" s="9">
        <v>4789.79</v>
      </c>
      <c r="F12" s="9">
        <v>95.72</v>
      </c>
      <c r="G12" s="9">
        <f t="shared" si="0"/>
        <v>458478.69880000001</v>
      </c>
      <c r="H12" s="9"/>
      <c r="I12" s="9"/>
      <c r="J12" s="9">
        <f t="shared" si="1"/>
        <v>0</v>
      </c>
      <c r="K12" s="9">
        <f t="shared" si="2"/>
        <v>458478.69880000001</v>
      </c>
      <c r="L12" s="9"/>
      <c r="M12" s="198">
        <f t="shared" si="3"/>
        <v>1907996.6600000001</v>
      </c>
      <c r="N12" s="9"/>
      <c r="O12" s="1"/>
    </row>
    <row r="13" spans="1:18">
      <c r="A13" s="33">
        <v>10</v>
      </c>
      <c r="B13" s="34">
        <v>45673</v>
      </c>
      <c r="C13" s="32"/>
      <c r="D13" s="24" t="s">
        <v>73</v>
      </c>
      <c r="E13" s="6">
        <v>994.21</v>
      </c>
      <c r="F13" s="6">
        <v>95.72</v>
      </c>
      <c r="G13" s="9">
        <f t="shared" si="0"/>
        <v>95165.781199999998</v>
      </c>
      <c r="H13" s="9">
        <v>30</v>
      </c>
      <c r="I13" s="9">
        <v>107.5</v>
      </c>
      <c r="J13" s="9">
        <f t="shared" si="1"/>
        <v>3225</v>
      </c>
      <c r="K13" s="9">
        <f t="shared" si="2"/>
        <v>98390.781199999998</v>
      </c>
      <c r="L13" s="9"/>
      <c r="M13" s="198">
        <f t="shared" si="3"/>
        <v>2006387.4412000002</v>
      </c>
      <c r="N13" s="9"/>
      <c r="O13" s="1"/>
    </row>
    <row r="14" spans="1:18">
      <c r="A14" s="33">
        <v>11</v>
      </c>
      <c r="B14" s="34">
        <v>45676</v>
      </c>
      <c r="C14" s="32"/>
      <c r="D14" s="24" t="s">
        <v>74</v>
      </c>
      <c r="E14" s="6">
        <v>1091.5899999999999</v>
      </c>
      <c r="F14" s="6">
        <v>95.72</v>
      </c>
      <c r="G14" s="9">
        <f t="shared" si="0"/>
        <v>104486.99479999999</v>
      </c>
      <c r="H14" s="9">
        <v>30</v>
      </c>
      <c r="I14" s="9">
        <v>107.5</v>
      </c>
      <c r="J14" s="9">
        <f t="shared" si="1"/>
        <v>3225</v>
      </c>
      <c r="K14" s="9">
        <f t="shared" si="2"/>
        <v>107711.99479999999</v>
      </c>
      <c r="L14" s="9"/>
      <c r="M14" s="198">
        <f t="shared" si="3"/>
        <v>2114099.4360000002</v>
      </c>
      <c r="N14" s="9"/>
      <c r="O14" s="1"/>
    </row>
    <row r="15" spans="1:18">
      <c r="A15" s="33">
        <v>12</v>
      </c>
      <c r="B15" s="34">
        <v>45677</v>
      </c>
      <c r="C15" s="32"/>
      <c r="D15" s="24">
        <v>1034</v>
      </c>
      <c r="E15" s="6">
        <v>0</v>
      </c>
      <c r="F15" s="6">
        <v>95.72</v>
      </c>
      <c r="G15" s="9">
        <f t="shared" si="0"/>
        <v>0</v>
      </c>
      <c r="H15" s="9">
        <v>30</v>
      </c>
      <c r="I15" s="9">
        <v>107.5</v>
      </c>
      <c r="J15" s="9">
        <f t="shared" si="1"/>
        <v>3225</v>
      </c>
      <c r="K15" s="9">
        <f t="shared" si="2"/>
        <v>3225</v>
      </c>
      <c r="L15" s="9"/>
      <c r="M15" s="198">
        <f t="shared" si="3"/>
        <v>2117324.4360000002</v>
      </c>
      <c r="N15" s="9"/>
      <c r="O15" s="1"/>
    </row>
    <row r="16" spans="1:18">
      <c r="A16" s="33">
        <v>13</v>
      </c>
      <c r="B16" s="34">
        <v>45678</v>
      </c>
      <c r="C16" s="32"/>
      <c r="D16" s="24" t="s">
        <v>75</v>
      </c>
      <c r="E16" s="6">
        <v>1212</v>
      </c>
      <c r="F16" s="6">
        <v>95.72</v>
      </c>
      <c r="G16" s="9">
        <f t="shared" si="0"/>
        <v>116012.64</v>
      </c>
      <c r="H16" s="9">
        <v>0</v>
      </c>
      <c r="I16" s="9">
        <v>107.5</v>
      </c>
      <c r="J16" s="9">
        <f t="shared" si="1"/>
        <v>0</v>
      </c>
      <c r="K16" s="9">
        <f t="shared" si="2"/>
        <v>116012.64</v>
      </c>
      <c r="L16" s="9"/>
      <c r="M16" s="198">
        <f t="shared" si="3"/>
        <v>2233337.0760000004</v>
      </c>
      <c r="N16" s="9"/>
      <c r="O16" s="1"/>
    </row>
    <row r="17" spans="1:15">
      <c r="A17" s="33">
        <v>14.15</v>
      </c>
      <c r="B17" s="34">
        <v>45679</v>
      </c>
      <c r="C17" s="32"/>
      <c r="D17" s="24">
        <v>1037</v>
      </c>
      <c r="E17" s="6">
        <v>2000</v>
      </c>
      <c r="F17" s="6">
        <v>95.72</v>
      </c>
      <c r="G17" s="9">
        <f t="shared" si="0"/>
        <v>191440</v>
      </c>
      <c r="H17" s="9">
        <v>0</v>
      </c>
      <c r="I17" s="9">
        <v>107.5</v>
      </c>
      <c r="J17" s="9">
        <f t="shared" si="1"/>
        <v>0</v>
      </c>
      <c r="K17" s="9">
        <f t="shared" si="2"/>
        <v>191440</v>
      </c>
      <c r="L17" s="9"/>
      <c r="M17" s="198">
        <f t="shared" si="3"/>
        <v>2424777.0760000004</v>
      </c>
      <c r="N17" s="9"/>
      <c r="O17" s="1"/>
    </row>
    <row r="18" spans="1:15">
      <c r="A18" s="33">
        <v>16</v>
      </c>
      <c r="B18" s="34">
        <v>45680</v>
      </c>
      <c r="C18" s="32"/>
      <c r="D18" s="24">
        <v>1038</v>
      </c>
      <c r="E18" s="6">
        <v>1400</v>
      </c>
      <c r="F18" s="6">
        <v>95.72</v>
      </c>
      <c r="G18" s="9">
        <f t="shared" si="0"/>
        <v>134008</v>
      </c>
      <c r="H18" s="9">
        <v>0</v>
      </c>
      <c r="I18" s="9">
        <v>107.5</v>
      </c>
      <c r="J18" s="9">
        <f t="shared" si="1"/>
        <v>0</v>
      </c>
      <c r="K18" s="9">
        <f t="shared" si="2"/>
        <v>134008</v>
      </c>
      <c r="L18" s="9"/>
      <c r="M18" s="198">
        <f t="shared" si="3"/>
        <v>2558785.0760000004</v>
      </c>
      <c r="N18" s="9"/>
      <c r="O18" s="1"/>
    </row>
    <row r="19" spans="1:15">
      <c r="A19" s="33">
        <v>17</v>
      </c>
      <c r="B19" s="34">
        <v>45681</v>
      </c>
      <c r="C19" s="32"/>
      <c r="D19" s="24"/>
      <c r="E19" s="6"/>
      <c r="F19" s="6">
        <v>95.72</v>
      </c>
      <c r="G19" s="9">
        <f t="shared" si="0"/>
        <v>0</v>
      </c>
      <c r="H19" s="9"/>
      <c r="I19" s="9"/>
      <c r="J19" s="9">
        <f t="shared" si="1"/>
        <v>0</v>
      </c>
      <c r="K19" s="9">
        <f t="shared" si="2"/>
        <v>0</v>
      </c>
      <c r="L19" s="9"/>
      <c r="M19" s="198">
        <f t="shared" si="3"/>
        <v>2558785.0760000004</v>
      </c>
      <c r="N19" s="9"/>
      <c r="O19" s="1"/>
    </row>
    <row r="20" spans="1:15">
      <c r="A20" s="33">
        <v>18</v>
      </c>
      <c r="B20" s="34">
        <v>45682</v>
      </c>
      <c r="C20" s="32"/>
      <c r="D20" s="24">
        <v>1040</v>
      </c>
      <c r="E20" s="6">
        <v>1975</v>
      </c>
      <c r="F20" s="6">
        <v>95.72</v>
      </c>
      <c r="G20" s="9">
        <f t="shared" si="0"/>
        <v>189047</v>
      </c>
      <c r="H20" s="9"/>
      <c r="I20" s="9"/>
      <c r="J20" s="9">
        <f t="shared" si="1"/>
        <v>0</v>
      </c>
      <c r="K20" s="9">
        <f t="shared" si="2"/>
        <v>189047</v>
      </c>
      <c r="L20" s="9"/>
      <c r="M20" s="198">
        <f t="shared" si="3"/>
        <v>2747832.0760000004</v>
      </c>
      <c r="N20" s="9"/>
      <c r="O20" s="1"/>
    </row>
    <row r="21" spans="1:15">
      <c r="A21" s="33">
        <v>19</v>
      </c>
      <c r="B21" s="34">
        <v>45683</v>
      </c>
      <c r="C21" s="32"/>
      <c r="D21" s="24">
        <v>1041</v>
      </c>
      <c r="E21" s="6">
        <v>1000</v>
      </c>
      <c r="F21" s="6">
        <v>95.72</v>
      </c>
      <c r="G21" s="9">
        <f t="shared" si="0"/>
        <v>95720</v>
      </c>
      <c r="H21" s="9"/>
      <c r="I21" s="9"/>
      <c r="J21" s="9">
        <f t="shared" si="1"/>
        <v>0</v>
      </c>
      <c r="K21" s="9">
        <f t="shared" si="2"/>
        <v>95720</v>
      </c>
      <c r="L21" s="9"/>
      <c r="M21" s="198">
        <f t="shared" si="3"/>
        <v>2843552.0760000004</v>
      </c>
      <c r="N21" s="9"/>
      <c r="O21" s="1"/>
    </row>
    <row r="22" spans="1:15">
      <c r="A22" s="33">
        <v>20</v>
      </c>
      <c r="B22" s="34">
        <v>45684</v>
      </c>
      <c r="C22" s="32"/>
      <c r="D22" s="24"/>
      <c r="E22" s="6"/>
      <c r="F22" s="6">
        <v>95.72</v>
      </c>
      <c r="G22" s="9">
        <f t="shared" si="0"/>
        <v>0</v>
      </c>
      <c r="H22" s="9"/>
      <c r="I22" s="9"/>
      <c r="J22" s="9">
        <f t="shared" si="1"/>
        <v>0</v>
      </c>
      <c r="K22" s="9">
        <f t="shared" si="2"/>
        <v>0</v>
      </c>
      <c r="L22" s="9">
        <v>1000000</v>
      </c>
      <c r="M22" s="198">
        <f t="shared" si="3"/>
        <v>1843552.0760000004</v>
      </c>
      <c r="N22" s="9"/>
      <c r="O22" s="1"/>
    </row>
    <row r="23" spans="1:15">
      <c r="A23" s="33">
        <v>21</v>
      </c>
      <c r="B23" s="34">
        <v>45685</v>
      </c>
      <c r="C23" s="32"/>
      <c r="D23" s="24">
        <v>1042</v>
      </c>
      <c r="E23" s="6">
        <v>1421</v>
      </c>
      <c r="F23" s="6">
        <v>95.72</v>
      </c>
      <c r="G23" s="9">
        <f t="shared" si="0"/>
        <v>136018.12</v>
      </c>
      <c r="H23" s="9"/>
      <c r="I23" s="9"/>
      <c r="J23" s="9">
        <f t="shared" si="1"/>
        <v>0</v>
      </c>
      <c r="K23" s="9">
        <f t="shared" si="2"/>
        <v>136018.12</v>
      </c>
      <c r="L23" s="9"/>
      <c r="M23" s="198">
        <f t="shared" si="3"/>
        <v>1979570.1960000005</v>
      </c>
      <c r="N23" s="9"/>
      <c r="O23" s="1"/>
    </row>
    <row r="24" spans="1:15">
      <c r="A24" s="33">
        <v>22</v>
      </c>
      <c r="B24" s="34">
        <v>45686</v>
      </c>
      <c r="C24" s="32"/>
      <c r="D24" s="24">
        <v>1043</v>
      </c>
      <c r="E24" s="6">
        <v>2000</v>
      </c>
      <c r="F24" s="6">
        <v>95.72</v>
      </c>
      <c r="G24" s="9">
        <f t="shared" si="0"/>
        <v>191440</v>
      </c>
      <c r="H24" s="9"/>
      <c r="I24" s="9"/>
      <c r="J24" s="9">
        <f t="shared" si="1"/>
        <v>0</v>
      </c>
      <c r="K24" s="9">
        <f t="shared" si="2"/>
        <v>191440</v>
      </c>
      <c r="L24" s="9"/>
      <c r="M24" s="198">
        <f t="shared" si="3"/>
        <v>2171010.1960000005</v>
      </c>
      <c r="N24" s="9"/>
      <c r="O24" s="1"/>
    </row>
    <row r="25" spans="1:15">
      <c r="A25" s="33">
        <v>23</v>
      </c>
      <c r="B25" s="34">
        <v>45687</v>
      </c>
      <c r="C25" s="32"/>
      <c r="D25" s="24" t="s">
        <v>76</v>
      </c>
      <c r="E25" s="6">
        <v>2000.02</v>
      </c>
      <c r="F25" s="6">
        <v>95.72</v>
      </c>
      <c r="G25" s="9">
        <f t="shared" si="0"/>
        <v>191441.91440000001</v>
      </c>
      <c r="H25" s="9">
        <v>35</v>
      </c>
      <c r="I25" s="9">
        <v>107.5</v>
      </c>
      <c r="J25" s="9">
        <f t="shared" si="1"/>
        <v>3762.5</v>
      </c>
      <c r="K25" s="9">
        <f t="shared" si="2"/>
        <v>195204.41440000001</v>
      </c>
      <c r="L25" s="9"/>
      <c r="M25" s="198">
        <f t="shared" si="3"/>
        <v>2366214.6104000006</v>
      </c>
      <c r="N25" s="9"/>
      <c r="O25" s="1"/>
    </row>
    <row r="26" spans="1:15">
      <c r="A26" s="33">
        <v>24</v>
      </c>
      <c r="B26" s="34">
        <v>45688</v>
      </c>
      <c r="C26" s="32"/>
      <c r="D26" s="24"/>
      <c r="E26" s="6">
        <v>0</v>
      </c>
      <c r="F26" s="6">
        <v>95.72</v>
      </c>
      <c r="G26" s="9">
        <f t="shared" si="0"/>
        <v>0</v>
      </c>
      <c r="H26" s="9"/>
      <c r="I26" s="9"/>
      <c r="J26" s="9">
        <f t="shared" si="1"/>
        <v>0</v>
      </c>
      <c r="K26" s="9">
        <f t="shared" si="2"/>
        <v>0</v>
      </c>
      <c r="L26" s="9"/>
      <c r="M26" s="198">
        <f t="shared" si="3"/>
        <v>2366214.6104000006</v>
      </c>
      <c r="N26" s="9"/>
      <c r="O26" s="1"/>
    </row>
    <row r="27" spans="1:15">
      <c r="A27" s="82"/>
      <c r="B27" s="82"/>
      <c r="C27" s="82"/>
      <c r="D27" s="82"/>
      <c r="E27" s="83">
        <f>SUM(E4:E26)</f>
        <v>29801.57</v>
      </c>
      <c r="F27" s="83"/>
      <c r="G27" s="83">
        <f>SUM(G4:G26)</f>
        <v>2852606.2804000005</v>
      </c>
      <c r="H27" s="83">
        <f>SUM(H4:H26)</f>
        <v>205</v>
      </c>
      <c r="I27" s="83"/>
      <c r="J27" s="83">
        <f>SUM(J4:J26)</f>
        <v>22037.5</v>
      </c>
      <c r="K27" s="83">
        <f>SUM(K4:K26)</f>
        <v>2874643.7804000005</v>
      </c>
      <c r="L27" s="83">
        <f>SUM(L4:L26)</f>
        <v>2000000</v>
      </c>
      <c r="M27" s="83"/>
      <c r="N27" s="83"/>
      <c r="O27" s="47"/>
    </row>
    <row r="28" spans="1:15">
      <c r="A28" s="1"/>
      <c r="B28" s="1"/>
      <c r="C28" s="1"/>
      <c r="D28" s="1"/>
      <c r="E28" s="1"/>
      <c r="F28" s="1"/>
      <c r="G28" s="3"/>
      <c r="H28" s="1"/>
      <c r="I28" s="1"/>
      <c r="J28" s="1"/>
      <c r="K28" s="1"/>
      <c r="L28" s="1"/>
      <c r="M28" s="1"/>
      <c r="N28" s="1"/>
      <c r="O28" s="4"/>
    </row>
    <row r="29" spans="1:15">
      <c r="A29" s="1"/>
      <c r="B29" s="460"/>
      <c r="C29" s="460"/>
      <c r="D29" s="460"/>
      <c r="E29" s="460"/>
      <c r="F29" s="1"/>
      <c r="G29" s="1"/>
      <c r="H29" s="1"/>
      <c r="I29" s="460"/>
      <c r="J29" s="460"/>
      <c r="K29" s="460"/>
      <c r="L29" s="460"/>
      <c r="M29" s="460"/>
      <c r="N29" s="460"/>
      <c r="O29" s="4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</row>
  </sheetData>
  <mergeCells count="5">
    <mergeCell ref="B29:E29"/>
    <mergeCell ref="I29:N29"/>
    <mergeCell ref="A1:N1"/>
    <mergeCell ref="A3:J3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dimension ref="A1:O39"/>
  <sheetViews>
    <sheetView workbookViewId="0">
      <pane ySplit="2" topLeftCell="A3" activePane="bottomLeft" state="frozen"/>
      <selection pane="bottomLeft" activeCell="L44" sqref="L44"/>
    </sheetView>
  </sheetViews>
  <sheetFormatPr defaultRowHeight="15"/>
  <cols>
    <col min="1" max="1" width="5.140625" bestFit="1" customWidth="1"/>
    <col min="2" max="2" width="13" customWidth="1"/>
    <col min="3" max="3" width="11.5703125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8"/>
    <col min="11" max="11" width="15.28515625" customWidth="1"/>
    <col min="12" max="13" width="14.28515625" customWidth="1"/>
    <col min="14" max="14" width="18.28515625" bestFit="1" customWidth="1"/>
  </cols>
  <sheetData>
    <row r="1" spans="1:15" ht="15.75" customHeight="1">
      <c r="A1" s="461" t="s">
        <v>14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96"/>
    </row>
    <row r="2" spans="1:15">
      <c r="A2" s="110" t="s">
        <v>58</v>
      </c>
      <c r="B2" s="136" t="s">
        <v>59</v>
      </c>
      <c r="C2" s="136" t="s">
        <v>60</v>
      </c>
      <c r="D2" s="136" t="s">
        <v>61</v>
      </c>
      <c r="E2" s="136" t="s">
        <v>62</v>
      </c>
      <c r="F2" s="136" t="s">
        <v>63</v>
      </c>
      <c r="G2" s="136" t="s">
        <v>64</v>
      </c>
      <c r="H2" s="136" t="s">
        <v>65</v>
      </c>
      <c r="I2" s="136" t="s">
        <v>63</v>
      </c>
      <c r="J2" s="137" t="s">
        <v>64</v>
      </c>
      <c r="K2" s="189" t="s">
        <v>66</v>
      </c>
      <c r="L2" s="192" t="s">
        <v>67</v>
      </c>
      <c r="M2" s="192" t="s">
        <v>77</v>
      </c>
      <c r="N2" s="190" t="s">
        <v>69</v>
      </c>
      <c r="O2" s="103"/>
    </row>
    <row r="3" spans="1: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2"/>
      <c r="K3" s="211">
        <v>0</v>
      </c>
      <c r="L3" s="152"/>
      <c r="M3" s="23"/>
      <c r="N3" s="23"/>
      <c r="O3" s="1"/>
    </row>
    <row r="4" spans="1:15" ht="15.75">
      <c r="A4" s="32">
        <v>1</v>
      </c>
      <c r="B4" s="76">
        <v>45655</v>
      </c>
      <c r="C4" s="24"/>
      <c r="D4" s="24" t="s">
        <v>78</v>
      </c>
      <c r="E4" s="71">
        <v>3960</v>
      </c>
      <c r="F4" s="66">
        <v>95.68</v>
      </c>
      <c r="G4" s="71">
        <f>E4*F4</f>
        <v>378892.80000000005</v>
      </c>
      <c r="H4" s="24"/>
      <c r="I4" s="64"/>
      <c r="J4" s="24">
        <f t="shared" ref="J4:J33" si="0">H4*I4</f>
        <v>0</v>
      </c>
      <c r="K4" s="223">
        <f>G4+J4</f>
        <v>378892.80000000005</v>
      </c>
      <c r="L4" s="224"/>
      <c r="M4" s="225">
        <f>+K4</f>
        <v>378892.80000000005</v>
      </c>
      <c r="N4" s="224"/>
      <c r="O4" s="1"/>
    </row>
    <row r="5" spans="1:15" ht="15.75">
      <c r="A5" s="32">
        <v>2</v>
      </c>
      <c r="B5" s="76">
        <v>45656</v>
      </c>
      <c r="C5" s="24"/>
      <c r="D5" s="24">
        <v>102</v>
      </c>
      <c r="E5" s="71">
        <v>0</v>
      </c>
      <c r="F5" s="66"/>
      <c r="G5" s="71">
        <f t="shared" ref="G5:G7" si="1">E5*F5</f>
        <v>0</v>
      </c>
      <c r="H5" s="64">
        <v>30</v>
      </c>
      <c r="I5" s="66">
        <v>107.46</v>
      </c>
      <c r="J5" s="24">
        <f t="shared" si="0"/>
        <v>3223.7999999999997</v>
      </c>
      <c r="K5" s="73">
        <f t="shared" ref="K5:K6" si="2">G5+J5</f>
        <v>3223.7999999999997</v>
      </c>
      <c r="L5" s="24"/>
      <c r="M5" s="161">
        <f>M4+K5-L5</f>
        <v>382116.60000000003</v>
      </c>
      <c r="N5" s="24"/>
      <c r="O5" s="1"/>
    </row>
    <row r="6" spans="1:15" ht="15.75">
      <c r="A6" s="32">
        <v>4</v>
      </c>
      <c r="B6" s="76">
        <v>45657</v>
      </c>
      <c r="C6" s="24"/>
      <c r="D6" s="24">
        <v>104</v>
      </c>
      <c r="E6" s="71">
        <v>3800</v>
      </c>
      <c r="F6" s="66">
        <v>95.68</v>
      </c>
      <c r="G6" s="71">
        <f t="shared" si="1"/>
        <v>363584</v>
      </c>
      <c r="H6" s="24"/>
      <c r="I6" s="64"/>
      <c r="J6" s="24">
        <f t="shared" si="0"/>
        <v>0</v>
      </c>
      <c r="K6" s="73">
        <f t="shared" si="2"/>
        <v>363584</v>
      </c>
      <c r="L6" s="24"/>
      <c r="M6" s="161">
        <f t="shared" ref="M6:M33" si="3">M5+K6-L6</f>
        <v>745700.60000000009</v>
      </c>
      <c r="N6" s="24"/>
      <c r="O6" s="1"/>
    </row>
    <row r="7" spans="1:15" ht="15.75">
      <c r="A7" s="32">
        <v>6</v>
      </c>
      <c r="B7" s="63">
        <v>45659</v>
      </c>
      <c r="C7" s="32"/>
      <c r="D7" s="33">
        <v>106</v>
      </c>
      <c r="E7" s="72">
        <v>5000</v>
      </c>
      <c r="F7" s="66">
        <v>95.68</v>
      </c>
      <c r="G7" s="71">
        <f t="shared" si="1"/>
        <v>478400.00000000006</v>
      </c>
      <c r="H7" s="10"/>
      <c r="I7" s="68"/>
      <c r="J7" s="24">
        <f t="shared" si="0"/>
        <v>0</v>
      </c>
      <c r="K7" s="9">
        <f>G7+J7</f>
        <v>478400.00000000006</v>
      </c>
      <c r="L7" s="69"/>
      <c r="M7" s="161">
        <f t="shared" si="3"/>
        <v>1224100.6000000001</v>
      </c>
      <c r="N7" s="9"/>
      <c r="O7" s="1"/>
    </row>
    <row r="8" spans="1:15">
      <c r="A8" s="32">
        <v>7</v>
      </c>
      <c r="B8" s="34">
        <v>45660</v>
      </c>
      <c r="C8" s="32"/>
      <c r="D8" s="33">
        <v>107</v>
      </c>
      <c r="E8" s="9">
        <v>2000</v>
      </c>
      <c r="F8" s="9">
        <v>95.68</v>
      </c>
      <c r="G8" s="9">
        <f t="shared" ref="G8:G33" si="4">E8*F8</f>
        <v>191360</v>
      </c>
      <c r="H8" s="11"/>
      <c r="I8" s="68"/>
      <c r="J8" s="24">
        <f t="shared" si="0"/>
        <v>0</v>
      </c>
      <c r="K8" s="9">
        <f t="shared" ref="K8:K19" si="5">G8+J8</f>
        <v>191360</v>
      </c>
      <c r="L8" s="69"/>
      <c r="M8" s="161">
        <f t="shared" si="3"/>
        <v>1415460.6</v>
      </c>
      <c r="N8" s="9"/>
      <c r="O8" s="1"/>
    </row>
    <row r="9" spans="1:15">
      <c r="A9" s="32">
        <v>8</v>
      </c>
      <c r="B9" s="34">
        <v>45661</v>
      </c>
      <c r="C9" s="32"/>
      <c r="D9" s="33">
        <v>108</v>
      </c>
      <c r="E9" s="9">
        <v>1800</v>
      </c>
      <c r="F9" s="9">
        <v>95.68</v>
      </c>
      <c r="G9" s="9">
        <f t="shared" si="4"/>
        <v>172224</v>
      </c>
      <c r="H9" s="11"/>
      <c r="I9" s="68"/>
      <c r="J9" s="24">
        <f t="shared" si="0"/>
        <v>0</v>
      </c>
      <c r="K9" s="9">
        <f t="shared" si="5"/>
        <v>172224</v>
      </c>
      <c r="L9" s="69"/>
      <c r="M9" s="161">
        <f t="shared" si="3"/>
        <v>1587684.6</v>
      </c>
      <c r="N9" s="9"/>
      <c r="O9" s="1"/>
    </row>
    <row r="10" spans="1:15">
      <c r="A10" s="32">
        <v>9</v>
      </c>
      <c r="B10" s="34">
        <v>45662</v>
      </c>
      <c r="C10" s="32"/>
      <c r="D10" s="65">
        <v>109</v>
      </c>
      <c r="E10" s="9">
        <v>2000</v>
      </c>
      <c r="F10" s="9">
        <v>95.68</v>
      </c>
      <c r="G10" s="9">
        <f t="shared" si="4"/>
        <v>191360</v>
      </c>
      <c r="H10" s="9"/>
      <c r="I10" s="31"/>
      <c r="J10" s="24">
        <f t="shared" si="0"/>
        <v>0</v>
      </c>
      <c r="K10" s="9">
        <f t="shared" si="5"/>
        <v>191360</v>
      </c>
      <c r="L10" s="9"/>
      <c r="M10" s="161">
        <f t="shared" si="3"/>
        <v>1779044.6</v>
      </c>
      <c r="N10" s="9"/>
      <c r="O10" s="1"/>
    </row>
    <row r="11" spans="1:15">
      <c r="A11" s="32">
        <v>10</v>
      </c>
      <c r="B11" s="34">
        <v>45664</v>
      </c>
      <c r="C11" s="32"/>
      <c r="D11" s="65">
        <v>110</v>
      </c>
      <c r="E11" s="9">
        <v>2000</v>
      </c>
      <c r="F11" s="9">
        <v>95.68</v>
      </c>
      <c r="G11" s="9">
        <f t="shared" si="4"/>
        <v>191360</v>
      </c>
      <c r="H11" s="9">
        <v>30</v>
      </c>
      <c r="I11" s="62">
        <v>107.46</v>
      </c>
      <c r="J11" s="24">
        <f t="shared" si="0"/>
        <v>3223.7999999999997</v>
      </c>
      <c r="K11" s="9">
        <f t="shared" si="5"/>
        <v>194583.8</v>
      </c>
      <c r="L11" s="9"/>
      <c r="M11" s="161">
        <f t="shared" si="3"/>
        <v>1973628.4000000001</v>
      </c>
      <c r="N11" s="9"/>
      <c r="O11" s="1"/>
    </row>
    <row r="12" spans="1:15">
      <c r="A12" s="32">
        <v>12</v>
      </c>
      <c r="B12" s="464">
        <v>45665</v>
      </c>
      <c r="C12" s="468"/>
      <c r="D12" s="466" t="s">
        <v>79</v>
      </c>
      <c r="E12" s="9">
        <v>6025</v>
      </c>
      <c r="F12" s="9">
        <v>95.68</v>
      </c>
      <c r="G12" s="9">
        <f t="shared" si="4"/>
        <v>576472</v>
      </c>
      <c r="H12" s="9"/>
      <c r="I12" s="62"/>
      <c r="J12" s="24">
        <f t="shared" si="0"/>
        <v>0</v>
      </c>
      <c r="K12" s="9">
        <f t="shared" si="5"/>
        <v>576472</v>
      </c>
      <c r="L12" s="9"/>
      <c r="M12" s="161">
        <f t="shared" si="3"/>
        <v>2550100.4000000004</v>
      </c>
      <c r="N12" s="9"/>
      <c r="O12" s="1"/>
    </row>
    <row r="13" spans="1:15">
      <c r="A13" s="32">
        <v>14</v>
      </c>
      <c r="B13" s="465"/>
      <c r="C13" s="467"/>
      <c r="D13" s="467"/>
      <c r="E13" s="9">
        <v>1086.01</v>
      </c>
      <c r="F13" s="9">
        <v>95.68</v>
      </c>
      <c r="G13" s="9">
        <f t="shared" si="4"/>
        <v>103909.43680000001</v>
      </c>
      <c r="H13" s="9"/>
      <c r="I13" s="62"/>
      <c r="J13" s="24">
        <f t="shared" si="0"/>
        <v>0</v>
      </c>
      <c r="K13" s="9">
        <f t="shared" si="5"/>
        <v>103909.43680000001</v>
      </c>
      <c r="L13" s="9"/>
      <c r="M13" s="161">
        <f t="shared" si="3"/>
        <v>2654009.8368000002</v>
      </c>
      <c r="N13" s="9"/>
      <c r="O13" s="1"/>
    </row>
    <row r="14" spans="1:15">
      <c r="A14" s="32">
        <v>15</v>
      </c>
      <c r="B14" s="464">
        <v>45666</v>
      </c>
      <c r="C14" s="468"/>
      <c r="D14" s="469" t="s">
        <v>80</v>
      </c>
      <c r="E14" s="9">
        <v>1691.83</v>
      </c>
      <c r="F14" s="9">
        <v>95.68</v>
      </c>
      <c r="G14" s="9">
        <f t="shared" si="4"/>
        <v>161874.29440000001</v>
      </c>
      <c r="H14" s="9"/>
      <c r="I14" s="62"/>
      <c r="J14" s="24">
        <f t="shared" si="0"/>
        <v>0</v>
      </c>
      <c r="K14" s="9">
        <f t="shared" si="5"/>
        <v>161874.29440000001</v>
      </c>
      <c r="L14" s="9"/>
      <c r="M14" s="161">
        <f t="shared" si="3"/>
        <v>2815884.1312000002</v>
      </c>
      <c r="N14" s="9"/>
      <c r="O14" s="1"/>
    </row>
    <row r="15" spans="1:15">
      <c r="A15" s="32">
        <v>16</v>
      </c>
      <c r="B15" s="465"/>
      <c r="C15" s="467"/>
      <c r="D15" s="470"/>
      <c r="E15" s="9">
        <v>826.68</v>
      </c>
      <c r="F15" s="9">
        <v>95.68</v>
      </c>
      <c r="G15" s="9">
        <f t="shared" si="4"/>
        <v>79096.742400000003</v>
      </c>
      <c r="H15" s="9"/>
      <c r="I15" s="62"/>
      <c r="J15" s="24">
        <f t="shared" si="0"/>
        <v>0</v>
      </c>
      <c r="K15" s="9">
        <f t="shared" si="5"/>
        <v>79096.742400000003</v>
      </c>
      <c r="L15" s="9"/>
      <c r="M15" s="161">
        <f t="shared" si="3"/>
        <v>2894980.8736</v>
      </c>
      <c r="N15" s="9"/>
      <c r="O15" s="1"/>
    </row>
    <row r="16" spans="1:15">
      <c r="A16" s="32">
        <v>17</v>
      </c>
      <c r="B16" s="34">
        <v>45667</v>
      </c>
      <c r="C16" s="32"/>
      <c r="D16" s="65">
        <v>116</v>
      </c>
      <c r="E16" s="23">
        <v>0</v>
      </c>
      <c r="F16" s="23"/>
      <c r="G16" s="9">
        <f t="shared" si="4"/>
        <v>0</v>
      </c>
      <c r="H16" s="9">
        <v>30</v>
      </c>
      <c r="I16" s="9">
        <v>107.46</v>
      </c>
      <c r="J16" s="24">
        <f t="shared" si="0"/>
        <v>3223.7999999999997</v>
      </c>
      <c r="K16" s="9">
        <f t="shared" si="5"/>
        <v>3223.7999999999997</v>
      </c>
      <c r="L16" s="9"/>
      <c r="M16" s="161">
        <f t="shared" si="3"/>
        <v>2898204.6735999999</v>
      </c>
      <c r="N16" s="9"/>
      <c r="O16" s="1"/>
    </row>
    <row r="17" spans="1:15">
      <c r="A17" s="32">
        <v>18</v>
      </c>
      <c r="B17" s="34">
        <v>45670</v>
      </c>
      <c r="C17" s="32"/>
      <c r="D17" s="65"/>
      <c r="E17" s="23">
        <v>0</v>
      </c>
      <c r="F17" s="23">
        <v>0</v>
      </c>
      <c r="G17" s="9"/>
      <c r="H17" s="9"/>
      <c r="I17" s="9"/>
      <c r="J17" s="24">
        <f t="shared" si="0"/>
        <v>0</v>
      </c>
      <c r="K17" s="9">
        <f t="shared" si="5"/>
        <v>0</v>
      </c>
      <c r="L17" s="9">
        <v>1500000</v>
      </c>
      <c r="M17" s="161">
        <f t="shared" si="3"/>
        <v>1398204.6735999999</v>
      </c>
      <c r="N17" s="162" t="s">
        <v>81</v>
      </c>
      <c r="O17" s="1"/>
    </row>
    <row r="18" spans="1:15">
      <c r="A18" s="32">
        <v>19</v>
      </c>
      <c r="B18" s="34">
        <v>45672</v>
      </c>
      <c r="C18" s="32"/>
      <c r="D18" s="65">
        <v>117</v>
      </c>
      <c r="E18" s="9">
        <v>1804</v>
      </c>
      <c r="F18" s="9">
        <v>95.68</v>
      </c>
      <c r="G18" s="9">
        <f t="shared" si="4"/>
        <v>172606.72</v>
      </c>
      <c r="H18" s="9"/>
      <c r="I18" s="62"/>
      <c r="J18" s="24">
        <f t="shared" si="0"/>
        <v>0</v>
      </c>
      <c r="K18" s="9">
        <f t="shared" si="5"/>
        <v>172606.72</v>
      </c>
      <c r="L18" s="9"/>
      <c r="M18" s="161">
        <f t="shared" si="3"/>
        <v>1570811.3935999998</v>
      </c>
      <c r="N18" s="9"/>
      <c r="O18" s="1"/>
    </row>
    <row r="19" spans="1:15">
      <c r="A19" s="32">
        <v>20</v>
      </c>
      <c r="B19" s="34">
        <v>45673</v>
      </c>
      <c r="C19" s="32"/>
      <c r="D19" s="65">
        <v>118</v>
      </c>
      <c r="E19" s="9">
        <v>1800</v>
      </c>
      <c r="F19" s="9">
        <v>95.68</v>
      </c>
      <c r="G19" s="9">
        <f t="shared" si="4"/>
        <v>172224</v>
      </c>
      <c r="H19" s="9"/>
      <c r="I19" s="62"/>
      <c r="J19" s="24">
        <f t="shared" si="0"/>
        <v>0</v>
      </c>
      <c r="K19" s="9">
        <f t="shared" si="5"/>
        <v>172224</v>
      </c>
      <c r="L19" s="9"/>
      <c r="M19" s="161">
        <f t="shared" si="3"/>
        <v>1743035.3935999998</v>
      </c>
      <c r="N19" s="9"/>
      <c r="O19" s="1" t="s">
        <v>82</v>
      </c>
    </row>
    <row r="20" spans="1:15">
      <c r="A20" s="32">
        <v>21</v>
      </c>
      <c r="B20" s="34">
        <v>45674</v>
      </c>
      <c r="C20" s="32"/>
      <c r="D20" s="24" t="s">
        <v>83</v>
      </c>
      <c r="E20" s="9">
        <v>1400</v>
      </c>
      <c r="F20" s="9">
        <v>95.68</v>
      </c>
      <c r="G20" s="9">
        <f t="shared" si="4"/>
        <v>133952</v>
      </c>
      <c r="H20" s="9">
        <v>30</v>
      </c>
      <c r="I20" s="9">
        <v>107.46</v>
      </c>
      <c r="J20" s="24">
        <f t="shared" si="0"/>
        <v>3223.7999999999997</v>
      </c>
      <c r="K20" s="9">
        <f>G20+J20</f>
        <v>137175.79999999999</v>
      </c>
      <c r="L20" s="9"/>
      <c r="M20" s="161">
        <f t="shared" si="3"/>
        <v>1880211.1935999999</v>
      </c>
      <c r="N20" s="9"/>
      <c r="O20" s="1"/>
    </row>
    <row r="21" spans="1:15">
      <c r="A21" s="32">
        <v>22</v>
      </c>
      <c r="B21" s="34">
        <v>45675</v>
      </c>
      <c r="C21" s="32"/>
      <c r="D21" s="24">
        <v>121</v>
      </c>
      <c r="E21" s="9">
        <v>1500</v>
      </c>
      <c r="F21" s="9">
        <v>95.68</v>
      </c>
      <c r="G21" s="9">
        <f t="shared" si="4"/>
        <v>143520</v>
      </c>
      <c r="H21" s="9"/>
      <c r="I21" s="62"/>
      <c r="J21" s="24">
        <f t="shared" si="0"/>
        <v>0</v>
      </c>
      <c r="K21" s="9">
        <f>G21+J21</f>
        <v>143520</v>
      </c>
      <c r="L21" s="9"/>
      <c r="M21" s="161">
        <f t="shared" si="3"/>
        <v>2023731.1935999999</v>
      </c>
      <c r="N21" s="9"/>
      <c r="O21" s="1"/>
    </row>
    <row r="22" spans="1:15">
      <c r="A22" s="32">
        <v>23</v>
      </c>
      <c r="B22" s="34">
        <v>45677</v>
      </c>
      <c r="C22" s="32"/>
      <c r="D22" s="24" t="s">
        <v>84</v>
      </c>
      <c r="E22" s="9">
        <v>3400</v>
      </c>
      <c r="F22" s="9">
        <v>95.68</v>
      </c>
      <c r="G22" s="9">
        <f t="shared" si="4"/>
        <v>325312</v>
      </c>
      <c r="H22" s="9">
        <v>0</v>
      </c>
      <c r="I22" s="62">
        <v>0</v>
      </c>
      <c r="J22" s="24">
        <f t="shared" si="0"/>
        <v>0</v>
      </c>
      <c r="K22" s="9">
        <f>G22+J22</f>
        <v>325312</v>
      </c>
      <c r="L22" s="9"/>
      <c r="M22" s="161">
        <f t="shared" si="3"/>
        <v>2349043.1935999999</v>
      </c>
      <c r="N22" s="9"/>
      <c r="O22" s="1"/>
    </row>
    <row r="23" spans="1:15">
      <c r="A23" s="32">
        <v>24</v>
      </c>
      <c r="B23" s="34">
        <v>45678</v>
      </c>
      <c r="C23" s="32"/>
      <c r="D23" s="24" t="s">
        <v>85</v>
      </c>
      <c r="E23" s="9">
        <v>3050</v>
      </c>
      <c r="F23" s="9">
        <v>95.68</v>
      </c>
      <c r="G23" s="9">
        <f t="shared" si="4"/>
        <v>291824</v>
      </c>
      <c r="H23" s="9"/>
      <c r="I23" s="62"/>
      <c r="J23" s="24">
        <f t="shared" si="0"/>
        <v>0</v>
      </c>
      <c r="K23" s="9">
        <f>G23+J23</f>
        <v>291824</v>
      </c>
      <c r="L23" s="9"/>
      <c r="M23" s="161">
        <f t="shared" si="3"/>
        <v>2640867.1935999999</v>
      </c>
      <c r="N23" s="9"/>
      <c r="O23" s="1"/>
    </row>
    <row r="24" spans="1:15">
      <c r="A24" s="32">
        <v>25</v>
      </c>
      <c r="B24" s="34">
        <v>45679</v>
      </c>
      <c r="C24" s="32"/>
      <c r="D24" s="24" t="s">
        <v>86</v>
      </c>
      <c r="E24" s="9">
        <v>1645.74</v>
      </c>
      <c r="F24" s="9">
        <v>95.68</v>
      </c>
      <c r="G24" s="9">
        <f t="shared" si="4"/>
        <v>157464.4032</v>
      </c>
      <c r="H24" s="9">
        <v>30</v>
      </c>
      <c r="I24" s="62">
        <v>107.46</v>
      </c>
      <c r="J24" s="24">
        <f t="shared" si="0"/>
        <v>3223.7999999999997</v>
      </c>
      <c r="K24" s="9">
        <f>G24+J24</f>
        <v>160688.20319999999</v>
      </c>
      <c r="L24" s="9"/>
      <c r="M24" s="161">
        <f t="shared" si="3"/>
        <v>2801555.3967999998</v>
      </c>
      <c r="N24" s="9"/>
      <c r="O24" s="1"/>
    </row>
    <row r="25" spans="1:15">
      <c r="A25" s="32">
        <v>26</v>
      </c>
      <c r="B25" s="34">
        <v>45680</v>
      </c>
      <c r="C25" s="32"/>
      <c r="D25" s="24"/>
      <c r="E25" s="9"/>
      <c r="F25" s="9">
        <v>95.68</v>
      </c>
      <c r="G25" s="9">
        <f t="shared" si="4"/>
        <v>0</v>
      </c>
      <c r="H25" s="9"/>
      <c r="I25" s="62">
        <v>107.46</v>
      </c>
      <c r="J25" s="24">
        <f t="shared" si="0"/>
        <v>0</v>
      </c>
      <c r="K25" s="9">
        <f t="shared" ref="K25:K33" si="6">G25+J25</f>
        <v>0</v>
      </c>
      <c r="L25" s="9"/>
      <c r="M25" s="161">
        <f t="shared" si="3"/>
        <v>2801555.3967999998</v>
      </c>
      <c r="N25" s="9"/>
      <c r="O25" s="1"/>
    </row>
    <row r="26" spans="1:15">
      <c r="A26" s="32">
        <v>27</v>
      </c>
      <c r="B26" s="34">
        <v>45681</v>
      </c>
      <c r="C26" s="32"/>
      <c r="D26" s="24" t="s">
        <v>87</v>
      </c>
      <c r="E26" s="9">
        <v>1615</v>
      </c>
      <c r="F26" s="9">
        <v>95.68</v>
      </c>
      <c r="G26" s="9">
        <f t="shared" si="4"/>
        <v>154523.20000000001</v>
      </c>
      <c r="H26" s="9">
        <v>35</v>
      </c>
      <c r="I26" s="62">
        <v>107.46</v>
      </c>
      <c r="J26" s="24">
        <f t="shared" si="0"/>
        <v>3761.1</v>
      </c>
      <c r="K26" s="9">
        <f t="shared" si="6"/>
        <v>158284.30000000002</v>
      </c>
      <c r="L26" s="9"/>
      <c r="M26" s="161">
        <f t="shared" si="3"/>
        <v>2959839.6967999996</v>
      </c>
      <c r="N26" s="9"/>
      <c r="O26" s="1"/>
    </row>
    <row r="27" spans="1:15">
      <c r="A27" s="32">
        <v>28</v>
      </c>
      <c r="B27" s="34">
        <v>45682</v>
      </c>
      <c r="C27" s="32"/>
      <c r="D27" s="24" t="s">
        <v>88</v>
      </c>
      <c r="E27" s="9">
        <v>2900</v>
      </c>
      <c r="F27" s="9">
        <v>95.68</v>
      </c>
      <c r="G27" s="9">
        <f t="shared" si="4"/>
        <v>277472</v>
      </c>
      <c r="H27" s="9">
        <v>30</v>
      </c>
      <c r="I27" s="62">
        <v>107.46</v>
      </c>
      <c r="J27" s="24">
        <f t="shared" si="0"/>
        <v>3223.7999999999997</v>
      </c>
      <c r="K27" s="9">
        <f t="shared" si="6"/>
        <v>280695.8</v>
      </c>
      <c r="L27" s="9"/>
      <c r="M27" s="161">
        <f t="shared" si="3"/>
        <v>3240535.4967999994</v>
      </c>
      <c r="N27" s="9"/>
      <c r="O27" s="1"/>
    </row>
    <row r="28" spans="1:15">
      <c r="A28" s="32">
        <v>29</v>
      </c>
      <c r="B28" s="34">
        <v>45683</v>
      </c>
      <c r="C28" s="32"/>
      <c r="D28" s="24">
        <v>133</v>
      </c>
      <c r="E28" s="9">
        <v>1300</v>
      </c>
      <c r="F28" s="9">
        <v>95.68</v>
      </c>
      <c r="G28" s="9">
        <f t="shared" si="4"/>
        <v>124384.00000000001</v>
      </c>
      <c r="H28" s="9">
        <v>0</v>
      </c>
      <c r="I28" s="62">
        <v>107.46</v>
      </c>
      <c r="J28" s="24">
        <f t="shared" si="0"/>
        <v>0</v>
      </c>
      <c r="K28" s="9">
        <f t="shared" si="6"/>
        <v>124384.00000000001</v>
      </c>
      <c r="L28" s="9"/>
      <c r="M28" s="161">
        <f t="shared" si="3"/>
        <v>3364919.4967999994</v>
      </c>
      <c r="N28" s="9"/>
      <c r="O28" s="1"/>
    </row>
    <row r="29" spans="1:15">
      <c r="A29" s="32">
        <v>30</v>
      </c>
      <c r="B29" s="34">
        <v>45684</v>
      </c>
      <c r="C29" s="32"/>
      <c r="D29" s="24" t="s">
        <v>89</v>
      </c>
      <c r="E29" s="9">
        <v>2000</v>
      </c>
      <c r="F29" s="9">
        <v>95.68</v>
      </c>
      <c r="G29" s="9">
        <f t="shared" si="4"/>
        <v>191360</v>
      </c>
      <c r="H29" s="9">
        <v>20</v>
      </c>
      <c r="I29" s="62">
        <v>107.46</v>
      </c>
      <c r="J29" s="24">
        <f t="shared" si="0"/>
        <v>2149.1999999999998</v>
      </c>
      <c r="K29" s="9">
        <f t="shared" si="6"/>
        <v>193509.2</v>
      </c>
      <c r="L29" s="9">
        <v>1000000</v>
      </c>
      <c r="M29" s="161">
        <f t="shared" si="3"/>
        <v>2558428.6967999996</v>
      </c>
      <c r="N29" s="9"/>
      <c r="O29" s="1"/>
    </row>
    <row r="30" spans="1:15">
      <c r="A30" s="32">
        <v>31</v>
      </c>
      <c r="B30" s="34">
        <v>45685</v>
      </c>
      <c r="C30" s="32"/>
      <c r="D30" s="24" t="s">
        <v>90</v>
      </c>
      <c r="E30" s="9">
        <v>2740</v>
      </c>
      <c r="F30" s="9">
        <v>95.68</v>
      </c>
      <c r="G30" s="9">
        <f t="shared" si="4"/>
        <v>262163.20000000001</v>
      </c>
      <c r="H30" s="9">
        <v>30</v>
      </c>
      <c r="I30" s="62">
        <v>107.46</v>
      </c>
      <c r="J30" s="24">
        <f t="shared" si="0"/>
        <v>3223.7999999999997</v>
      </c>
      <c r="K30" s="9">
        <f t="shared" si="6"/>
        <v>265387</v>
      </c>
      <c r="L30" s="9"/>
      <c r="M30" s="161">
        <f t="shared" si="3"/>
        <v>2823815.6967999996</v>
      </c>
      <c r="N30" s="9"/>
      <c r="O30" s="1"/>
    </row>
    <row r="31" spans="1:15">
      <c r="A31" s="32">
        <v>32</v>
      </c>
      <c r="B31" s="34">
        <v>45686</v>
      </c>
      <c r="C31" s="32"/>
      <c r="D31" s="24">
        <v>138</v>
      </c>
      <c r="E31" s="9">
        <v>2700</v>
      </c>
      <c r="F31" s="9">
        <v>95.68</v>
      </c>
      <c r="G31" s="9">
        <f t="shared" si="4"/>
        <v>258336.00000000003</v>
      </c>
      <c r="H31" s="9"/>
      <c r="I31" s="62">
        <v>107.46</v>
      </c>
      <c r="J31" s="24">
        <f t="shared" si="0"/>
        <v>0</v>
      </c>
      <c r="K31" s="9">
        <f t="shared" si="6"/>
        <v>258336.00000000003</v>
      </c>
      <c r="L31" s="9">
        <v>1000000</v>
      </c>
      <c r="M31" s="161">
        <f t="shared" si="3"/>
        <v>2082151.6967999996</v>
      </c>
      <c r="N31" s="9"/>
      <c r="O31" s="1"/>
    </row>
    <row r="32" spans="1:15">
      <c r="A32" s="32">
        <v>33</v>
      </c>
      <c r="B32" s="34">
        <v>45687</v>
      </c>
      <c r="C32" s="32"/>
      <c r="D32" s="24" t="s">
        <v>91</v>
      </c>
      <c r="E32" s="9">
        <v>2680</v>
      </c>
      <c r="F32" s="9">
        <v>95.68</v>
      </c>
      <c r="G32" s="9">
        <f t="shared" si="4"/>
        <v>256422.40000000002</v>
      </c>
      <c r="H32" s="9">
        <v>25</v>
      </c>
      <c r="I32" s="62">
        <v>107.46</v>
      </c>
      <c r="J32" s="24">
        <f t="shared" si="0"/>
        <v>2686.5</v>
      </c>
      <c r="K32" s="9">
        <f t="shared" si="6"/>
        <v>259108.90000000002</v>
      </c>
      <c r="L32" s="9"/>
      <c r="M32" s="161">
        <f t="shared" si="3"/>
        <v>2341260.5967999995</v>
      </c>
      <c r="N32" s="9"/>
      <c r="O32" s="1"/>
    </row>
    <row r="33" spans="1:15">
      <c r="A33" s="32">
        <v>34</v>
      </c>
      <c r="B33" s="34">
        <v>45688</v>
      </c>
      <c r="C33" s="32"/>
      <c r="D33" s="24" t="s">
        <v>92</v>
      </c>
      <c r="E33" s="9">
        <v>2500</v>
      </c>
      <c r="F33" s="9">
        <v>95.68</v>
      </c>
      <c r="G33" s="9">
        <f t="shared" si="4"/>
        <v>239200.00000000003</v>
      </c>
      <c r="H33" s="9">
        <v>35</v>
      </c>
      <c r="I33" s="62">
        <v>107.46</v>
      </c>
      <c r="J33" s="24">
        <f t="shared" si="0"/>
        <v>3761.1</v>
      </c>
      <c r="K33" s="9">
        <f t="shared" si="6"/>
        <v>242961.10000000003</v>
      </c>
      <c r="L33" s="9"/>
      <c r="M33" s="161">
        <f t="shared" si="3"/>
        <v>2584221.6967999996</v>
      </c>
      <c r="N33" s="9"/>
      <c r="O33" s="1"/>
    </row>
    <row r="34" spans="1:15">
      <c r="A34" s="82"/>
      <c r="B34" s="82"/>
      <c r="C34" s="82"/>
      <c r="D34" s="82"/>
      <c r="E34" s="83">
        <f>SUM(E4:E33)</f>
        <v>63224.259999999995</v>
      </c>
      <c r="F34" s="83"/>
      <c r="G34" s="83">
        <f>SUM(G4:G33)</f>
        <v>6049297.1968</v>
      </c>
      <c r="H34" s="83">
        <f>SUM(H4:H33)</f>
        <v>325</v>
      </c>
      <c r="I34" s="83"/>
      <c r="J34" s="83">
        <f>SUM(J4:J33)</f>
        <v>34924.5</v>
      </c>
      <c r="K34" s="83">
        <f>SUM(K4:K33)</f>
        <v>6084221.6968</v>
      </c>
      <c r="L34" s="83">
        <f>SUM(L4:L33)</f>
        <v>3500000</v>
      </c>
      <c r="M34" s="83"/>
      <c r="N34" s="83"/>
      <c r="O34" s="47"/>
    </row>
    <row r="35" spans="1:15">
      <c r="A35" s="1"/>
      <c r="B35" s="1"/>
      <c r="C35" s="1"/>
      <c r="D35" s="1"/>
      <c r="E35" s="1"/>
      <c r="F35" s="1"/>
      <c r="G35" s="3"/>
      <c r="H35" s="1"/>
      <c r="I35" s="2"/>
      <c r="J35" s="1"/>
      <c r="K35" s="1"/>
      <c r="L35" s="1"/>
      <c r="M35" s="1"/>
      <c r="N35" s="1"/>
      <c r="O35" s="4"/>
    </row>
    <row r="36" spans="1:15">
      <c r="A36" s="1"/>
      <c r="B36" s="460"/>
      <c r="C36" s="460"/>
      <c r="D36" s="460"/>
      <c r="E36" s="460"/>
      <c r="F36" s="93"/>
      <c r="G36" s="1"/>
      <c r="H36" s="1"/>
      <c r="I36" s="460"/>
      <c r="J36" s="460"/>
      <c r="K36" s="460"/>
      <c r="L36" s="460"/>
      <c r="M36" s="460"/>
      <c r="N36" s="460"/>
      <c r="O36" s="4"/>
    </row>
    <row r="37" spans="1:15">
      <c r="A37" s="1"/>
      <c r="B37" s="1"/>
      <c r="C37" s="1"/>
      <c r="D37" s="1"/>
      <c r="E37" s="1"/>
      <c r="F37" s="1"/>
      <c r="G37" s="1"/>
      <c r="H37" s="1"/>
      <c r="I37" s="2"/>
      <c r="J37" s="1"/>
      <c r="K37" s="1">
        <v>2874643.7804000005</v>
      </c>
      <c r="L37" s="1"/>
      <c r="M37" s="1"/>
      <c r="N37" s="1"/>
      <c r="O37" s="4"/>
    </row>
    <row r="38" spans="1:15">
      <c r="K38" s="209">
        <f>SUM(K7:K33)</f>
        <v>5338521.0967999995</v>
      </c>
    </row>
    <row r="39" spans="1:15">
      <c r="K39">
        <f>SUM(K37:K38)</f>
        <v>8213164.8772</v>
      </c>
    </row>
  </sheetData>
  <mergeCells count="10">
    <mergeCell ref="A1:N1"/>
    <mergeCell ref="B36:E36"/>
    <mergeCell ref="I36:N36"/>
    <mergeCell ref="B12:B13"/>
    <mergeCell ref="D12:D13"/>
    <mergeCell ref="C12:C13"/>
    <mergeCell ref="B14:B15"/>
    <mergeCell ref="D14:D15"/>
    <mergeCell ref="C14:C15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U39"/>
  <sheetViews>
    <sheetView workbookViewId="0">
      <selection activeCell="S8" sqref="S8"/>
    </sheetView>
  </sheetViews>
  <sheetFormatPr defaultRowHeight="15"/>
  <cols>
    <col min="2" max="2" width="13.42578125" customWidth="1"/>
    <col min="3" max="3" width="11.85546875" customWidth="1"/>
    <col min="4" max="4" width="21.14062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9.28515625" bestFit="1" customWidth="1"/>
    <col min="21" max="21" width="16.42578125" customWidth="1"/>
  </cols>
  <sheetData>
    <row r="1" spans="1:21" ht="15.75" customHeight="1">
      <c r="A1" s="473" t="s">
        <v>16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"/>
    </row>
    <row r="2" spans="1:21">
      <c r="A2" s="160" t="s">
        <v>58</v>
      </c>
      <c r="B2" s="170" t="s">
        <v>59</v>
      </c>
      <c r="C2" s="170" t="s">
        <v>60</v>
      </c>
      <c r="D2" s="170" t="s">
        <v>61</v>
      </c>
      <c r="E2" s="170" t="s">
        <v>62</v>
      </c>
      <c r="F2" s="170" t="s">
        <v>63</v>
      </c>
      <c r="G2" s="170" t="s">
        <v>64</v>
      </c>
      <c r="H2" s="170" t="s">
        <v>65</v>
      </c>
      <c r="I2" s="170" t="s">
        <v>63</v>
      </c>
      <c r="J2" s="170" t="s">
        <v>64</v>
      </c>
      <c r="K2" s="227" t="s">
        <v>66</v>
      </c>
      <c r="L2" s="227" t="s">
        <v>67</v>
      </c>
      <c r="M2" s="170" t="s">
        <v>93</v>
      </c>
      <c r="N2" s="170" t="s">
        <v>69</v>
      </c>
      <c r="O2" s="47"/>
    </row>
    <row r="3" spans="1:21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2"/>
      <c r="K3" s="443">
        <v>626816.62</v>
      </c>
      <c r="L3" s="199"/>
      <c r="M3" s="226">
        <f>+K3</f>
        <v>626816.62</v>
      </c>
      <c r="N3" s="23"/>
      <c r="O3" s="47"/>
      <c r="P3" s="443">
        <v>626816.62</v>
      </c>
      <c r="R3" s="296">
        <f>K3-P3</f>
        <v>0</v>
      </c>
    </row>
    <row r="4" spans="1:21">
      <c r="A4" s="48">
        <v>1</v>
      </c>
      <c r="B4" s="164">
        <v>45658</v>
      </c>
      <c r="C4" s="165"/>
      <c r="D4" s="166"/>
      <c r="E4" s="115">
        <v>2300</v>
      </c>
      <c r="F4" s="115">
        <v>96.42</v>
      </c>
      <c r="G4" s="167">
        <f>E4*F4</f>
        <v>221766</v>
      </c>
      <c r="H4" s="168">
        <v>0</v>
      </c>
      <c r="I4" s="168"/>
      <c r="J4" s="115">
        <f>H4*I4</f>
        <v>0</v>
      </c>
      <c r="K4" s="115">
        <f>G4+J4</f>
        <v>221766</v>
      </c>
      <c r="L4" s="115"/>
      <c r="M4" s="115">
        <f>M3+K4-L4</f>
        <v>848582.62</v>
      </c>
      <c r="N4" s="115"/>
      <c r="O4" s="47"/>
    </row>
    <row r="5" spans="1:21">
      <c r="A5" s="50">
        <f>A4+1</f>
        <v>2</v>
      </c>
      <c r="B5" s="139">
        <v>45659</v>
      </c>
      <c r="C5" s="37"/>
      <c r="D5" s="37"/>
      <c r="E5" s="49">
        <v>3600</v>
      </c>
      <c r="F5" s="49">
        <v>96.42</v>
      </c>
      <c r="G5" s="107">
        <f t="shared" ref="G5:G22" si="0">E5*F5</f>
        <v>347112</v>
      </c>
      <c r="H5" s="49">
        <v>40</v>
      </c>
      <c r="I5" s="36">
        <v>108.23</v>
      </c>
      <c r="J5" s="49">
        <f t="shared" ref="J5:J22" si="1">H5*I5</f>
        <v>4329.2</v>
      </c>
      <c r="K5" s="49">
        <f t="shared" ref="K5:K17" si="2">G5+J5</f>
        <v>351441.2</v>
      </c>
      <c r="L5" s="49"/>
      <c r="M5" s="115">
        <f t="shared" ref="M5:M31" si="3">M4+K5-L5</f>
        <v>1200023.82</v>
      </c>
      <c r="N5" s="49"/>
      <c r="O5" s="47"/>
    </row>
    <row r="6" spans="1:21">
      <c r="A6" s="50">
        <f>A5+1</f>
        <v>3</v>
      </c>
      <c r="B6" s="139">
        <v>45660</v>
      </c>
      <c r="C6" s="37"/>
      <c r="D6" s="37"/>
      <c r="E6" s="49">
        <v>3630</v>
      </c>
      <c r="F6" s="49">
        <v>96.42</v>
      </c>
      <c r="G6" s="107">
        <f t="shared" si="0"/>
        <v>350004.60000000003</v>
      </c>
      <c r="H6" s="49">
        <v>20</v>
      </c>
      <c r="I6" s="36">
        <v>108.23</v>
      </c>
      <c r="J6" s="49">
        <f t="shared" si="1"/>
        <v>2164.6</v>
      </c>
      <c r="K6" s="49">
        <f t="shared" si="2"/>
        <v>352169.2</v>
      </c>
      <c r="L6" s="51"/>
      <c r="M6" s="115">
        <f t="shared" si="3"/>
        <v>1552193.02</v>
      </c>
      <c r="N6" s="51"/>
      <c r="O6" s="47"/>
      <c r="U6" s="199">
        <v>631145.81999999995</v>
      </c>
    </row>
    <row r="7" spans="1:21">
      <c r="A7" s="48">
        <v>4</v>
      </c>
      <c r="B7" s="139">
        <v>45661</v>
      </c>
      <c r="C7" s="52"/>
      <c r="D7" s="53"/>
      <c r="E7" s="55">
        <v>2500</v>
      </c>
      <c r="F7" s="55">
        <v>96.42</v>
      </c>
      <c r="G7" s="107">
        <f t="shared" si="0"/>
        <v>241050</v>
      </c>
      <c r="H7" s="49">
        <v>0</v>
      </c>
      <c r="I7" s="61"/>
      <c r="J7" s="49">
        <f t="shared" si="1"/>
        <v>0</v>
      </c>
      <c r="K7" s="49">
        <f t="shared" si="2"/>
        <v>241050</v>
      </c>
      <c r="L7" s="55"/>
      <c r="M7" s="115">
        <f t="shared" si="3"/>
        <v>1793243.02</v>
      </c>
      <c r="N7" s="55"/>
      <c r="O7" s="47"/>
    </row>
    <row r="8" spans="1:21">
      <c r="A8" s="50">
        <f t="shared" ref="A8:A9" si="4">A7+1</f>
        <v>5</v>
      </c>
      <c r="B8" s="139">
        <v>45662</v>
      </c>
      <c r="C8" s="52"/>
      <c r="D8" s="53"/>
      <c r="E8" s="55">
        <v>0</v>
      </c>
      <c r="F8" s="55">
        <v>96.42</v>
      </c>
      <c r="G8" s="107">
        <f t="shared" si="0"/>
        <v>0</v>
      </c>
      <c r="H8" s="49">
        <v>45</v>
      </c>
      <c r="I8" s="49">
        <v>108.23</v>
      </c>
      <c r="J8" s="49">
        <f t="shared" si="1"/>
        <v>4870.3500000000004</v>
      </c>
      <c r="K8" s="49">
        <f t="shared" si="2"/>
        <v>4870.3500000000004</v>
      </c>
      <c r="L8" s="55"/>
      <c r="M8" s="115">
        <f t="shared" si="3"/>
        <v>1798113.37</v>
      </c>
      <c r="N8" s="55"/>
      <c r="O8" s="47"/>
      <c r="Q8" s="386">
        <v>2441.91</v>
      </c>
    </row>
    <row r="9" spans="1:21">
      <c r="A9" s="50">
        <f t="shared" si="4"/>
        <v>6</v>
      </c>
      <c r="B9" s="139">
        <v>45664</v>
      </c>
      <c r="C9" s="52"/>
      <c r="D9" s="53"/>
      <c r="E9" s="386">
        <v>2406.64</v>
      </c>
      <c r="F9" s="55">
        <v>96.42</v>
      </c>
      <c r="G9" s="107">
        <f t="shared" si="0"/>
        <v>232048.22879999998</v>
      </c>
      <c r="H9" s="49">
        <v>0</v>
      </c>
      <c r="I9" s="49"/>
      <c r="J9" s="49">
        <f t="shared" si="1"/>
        <v>0</v>
      </c>
      <c r="K9" s="49">
        <f t="shared" si="2"/>
        <v>232048.22879999998</v>
      </c>
      <c r="L9" s="55"/>
      <c r="M9" s="115">
        <f t="shared" si="3"/>
        <v>2030161.5988</v>
      </c>
      <c r="N9" s="55"/>
      <c r="O9" s="47"/>
    </row>
    <row r="10" spans="1:21">
      <c r="A10" s="48">
        <v>7</v>
      </c>
      <c r="B10" s="139">
        <v>45665</v>
      </c>
      <c r="C10" s="52"/>
      <c r="D10" s="53"/>
      <c r="E10" s="55">
        <v>4078.72</v>
      </c>
      <c r="F10" s="55">
        <v>96.42</v>
      </c>
      <c r="G10" s="107">
        <f t="shared" si="0"/>
        <v>393270.18239999999</v>
      </c>
      <c r="H10" s="49">
        <v>0</v>
      </c>
      <c r="I10" s="49"/>
      <c r="J10" s="49">
        <f t="shared" si="1"/>
        <v>0</v>
      </c>
      <c r="K10" s="49">
        <f t="shared" si="2"/>
        <v>393270.18239999999</v>
      </c>
      <c r="L10" s="55"/>
      <c r="M10" s="115">
        <f t="shared" si="3"/>
        <v>2423431.7812000001</v>
      </c>
      <c r="N10" s="55"/>
      <c r="O10" s="47"/>
    </row>
    <row r="11" spans="1:21">
      <c r="A11" s="50">
        <f t="shared" ref="A11:A12" si="5">A10+1</f>
        <v>8</v>
      </c>
      <c r="B11" s="140">
        <v>45666</v>
      </c>
      <c r="C11" s="52"/>
      <c r="D11" s="53"/>
      <c r="E11" s="55">
        <v>4600</v>
      </c>
      <c r="F11" s="55">
        <v>96.42</v>
      </c>
      <c r="G11" s="107">
        <f t="shared" si="0"/>
        <v>443532</v>
      </c>
      <c r="H11" s="49">
        <v>35</v>
      </c>
      <c r="I11" s="49">
        <v>108.2</v>
      </c>
      <c r="J11" s="49">
        <f t="shared" si="1"/>
        <v>3787</v>
      </c>
      <c r="K11" s="49">
        <f t="shared" si="2"/>
        <v>447319</v>
      </c>
      <c r="L11" s="55">
        <v>1000000</v>
      </c>
      <c r="M11" s="115">
        <f t="shared" si="3"/>
        <v>1870750.7812000001</v>
      </c>
      <c r="N11" s="55"/>
      <c r="O11" s="47"/>
    </row>
    <row r="12" spans="1:21">
      <c r="A12" s="50">
        <f t="shared" si="5"/>
        <v>9</v>
      </c>
      <c r="B12" s="140">
        <v>45667</v>
      </c>
      <c r="C12" s="52"/>
      <c r="D12" s="53"/>
      <c r="E12" s="55">
        <v>2399.89</v>
      </c>
      <c r="F12" s="55">
        <v>96.42</v>
      </c>
      <c r="G12" s="107">
        <f t="shared" si="0"/>
        <v>231397.39379999999</v>
      </c>
      <c r="H12" s="49">
        <v>0</v>
      </c>
      <c r="I12" s="49"/>
      <c r="J12" s="49">
        <f t="shared" si="1"/>
        <v>0</v>
      </c>
      <c r="K12" s="49">
        <f t="shared" si="2"/>
        <v>231397.39379999999</v>
      </c>
      <c r="L12" s="55"/>
      <c r="M12" s="115">
        <f t="shared" si="3"/>
        <v>2102148.1750000003</v>
      </c>
      <c r="N12" s="55"/>
      <c r="O12" s="47"/>
    </row>
    <row r="13" spans="1:21">
      <c r="A13" s="48">
        <v>10</v>
      </c>
      <c r="B13" s="140">
        <v>45668</v>
      </c>
      <c r="C13" s="52"/>
      <c r="D13" s="53"/>
      <c r="E13" s="55">
        <v>2300</v>
      </c>
      <c r="F13" s="55">
        <v>96.42</v>
      </c>
      <c r="G13" s="107">
        <f t="shared" si="0"/>
        <v>221766</v>
      </c>
      <c r="H13" s="49">
        <v>5</v>
      </c>
      <c r="I13" s="49">
        <v>108.23</v>
      </c>
      <c r="J13" s="49">
        <f t="shared" si="1"/>
        <v>541.15</v>
      </c>
      <c r="K13" s="49">
        <f>G13+J13</f>
        <v>222307.15</v>
      </c>
      <c r="L13" s="55"/>
      <c r="M13" s="115">
        <f t="shared" si="3"/>
        <v>2324455.3250000002</v>
      </c>
      <c r="N13" s="55"/>
      <c r="O13" s="47"/>
    </row>
    <row r="14" spans="1:21">
      <c r="A14" s="50">
        <f t="shared" ref="A14:A15" si="6">A13+1</f>
        <v>11</v>
      </c>
      <c r="B14" s="140">
        <v>45669</v>
      </c>
      <c r="C14" s="52"/>
      <c r="D14" s="53"/>
      <c r="E14" s="55">
        <v>1000</v>
      </c>
      <c r="F14" s="55">
        <v>96.42</v>
      </c>
      <c r="G14" s="107">
        <f t="shared" si="0"/>
        <v>96420</v>
      </c>
      <c r="H14" s="49">
        <v>25</v>
      </c>
      <c r="I14" s="49">
        <v>108.23</v>
      </c>
      <c r="J14" s="49">
        <f t="shared" si="1"/>
        <v>2705.75</v>
      </c>
      <c r="K14" s="49">
        <f>G14+J14</f>
        <v>99125.75</v>
      </c>
      <c r="L14" s="55">
        <v>500000</v>
      </c>
      <c r="M14" s="115">
        <f t="shared" si="3"/>
        <v>1923581.0750000002</v>
      </c>
      <c r="N14" s="55"/>
      <c r="O14" s="47"/>
    </row>
    <row r="15" spans="1:21">
      <c r="A15" s="50">
        <f t="shared" si="6"/>
        <v>12</v>
      </c>
      <c r="B15" s="140">
        <v>45672</v>
      </c>
      <c r="C15" s="52"/>
      <c r="D15" s="53"/>
      <c r="E15" s="55">
        <v>1000</v>
      </c>
      <c r="F15" s="55">
        <v>96.42</v>
      </c>
      <c r="G15" s="107">
        <f t="shared" si="0"/>
        <v>96420</v>
      </c>
      <c r="H15" s="49">
        <v>0</v>
      </c>
      <c r="I15" s="49"/>
      <c r="J15" s="49">
        <f t="shared" si="1"/>
        <v>0</v>
      </c>
      <c r="K15" s="49">
        <f>G15+J15</f>
        <v>96420</v>
      </c>
      <c r="L15" s="55"/>
      <c r="M15" s="115">
        <f t="shared" si="3"/>
        <v>2020001.0750000002</v>
      </c>
      <c r="N15" s="55"/>
      <c r="O15" s="47"/>
    </row>
    <row r="16" spans="1:21">
      <c r="A16" s="48">
        <v>13</v>
      </c>
      <c r="B16" s="140">
        <v>45673</v>
      </c>
      <c r="C16" s="52"/>
      <c r="D16" s="53"/>
      <c r="E16" s="55">
        <v>2500</v>
      </c>
      <c r="F16" s="55">
        <v>96.42</v>
      </c>
      <c r="G16" s="107">
        <f t="shared" si="0"/>
        <v>241050</v>
      </c>
      <c r="H16" s="49">
        <v>0</v>
      </c>
      <c r="I16" s="49"/>
      <c r="J16" s="49">
        <f t="shared" si="1"/>
        <v>0</v>
      </c>
      <c r="K16" s="49">
        <f>G16+J16</f>
        <v>241050</v>
      </c>
      <c r="L16" s="55"/>
      <c r="M16" s="115">
        <f t="shared" si="3"/>
        <v>2261051.0750000002</v>
      </c>
      <c r="N16" s="55"/>
      <c r="O16" s="47" t="s">
        <v>82</v>
      </c>
    </row>
    <row r="17" spans="1:16">
      <c r="A17" s="50">
        <f t="shared" ref="A17:A18" si="7">A16+1</f>
        <v>14</v>
      </c>
      <c r="B17" s="140">
        <v>45674</v>
      </c>
      <c r="C17" s="52"/>
      <c r="D17" s="53"/>
      <c r="E17" s="55">
        <v>2230</v>
      </c>
      <c r="F17" s="55">
        <v>96.42</v>
      </c>
      <c r="G17" s="107">
        <f t="shared" si="0"/>
        <v>215016.6</v>
      </c>
      <c r="H17" s="49">
        <v>5</v>
      </c>
      <c r="I17" s="49">
        <v>108.23</v>
      </c>
      <c r="J17" s="49">
        <f t="shared" si="1"/>
        <v>541.15</v>
      </c>
      <c r="K17" s="49">
        <f>G17+J17</f>
        <v>215557.75</v>
      </c>
      <c r="L17" s="55"/>
      <c r="M17" s="115">
        <f t="shared" si="3"/>
        <v>2476608.8250000002</v>
      </c>
      <c r="N17" s="55"/>
      <c r="O17" s="47"/>
    </row>
    <row r="18" spans="1:16">
      <c r="A18" s="50">
        <f t="shared" si="7"/>
        <v>15</v>
      </c>
      <c r="B18" s="140">
        <v>45675</v>
      </c>
      <c r="C18" s="272"/>
      <c r="D18" s="313"/>
      <c r="E18" s="274">
        <v>1547.7</v>
      </c>
      <c r="F18" s="274">
        <v>96.42</v>
      </c>
      <c r="G18" s="273">
        <f t="shared" si="0"/>
        <v>149229.234</v>
      </c>
      <c r="H18" s="407">
        <v>5</v>
      </c>
      <c r="I18" s="49">
        <v>108.23</v>
      </c>
      <c r="J18" s="49">
        <f t="shared" si="1"/>
        <v>541.15</v>
      </c>
      <c r="K18" s="55">
        <f>G18+J18</f>
        <v>149770.38399999999</v>
      </c>
      <c r="L18" s="55"/>
      <c r="M18" s="115">
        <f t="shared" si="3"/>
        <v>2626379.2090000003</v>
      </c>
      <c r="N18" s="274"/>
      <c r="O18" s="47"/>
    </row>
    <row r="19" spans="1:16">
      <c r="A19" s="271">
        <v>16</v>
      </c>
      <c r="B19" s="312">
        <v>45676</v>
      </c>
      <c r="C19" s="171"/>
      <c r="D19" s="53"/>
      <c r="E19" s="55">
        <v>0</v>
      </c>
      <c r="F19" s="274">
        <v>96.42</v>
      </c>
      <c r="G19" s="273">
        <f t="shared" si="0"/>
        <v>0</v>
      </c>
      <c r="H19" s="273">
        <v>50</v>
      </c>
      <c r="I19" s="49">
        <v>108.23</v>
      </c>
      <c r="J19" s="49">
        <f t="shared" si="1"/>
        <v>5411.5</v>
      </c>
      <c r="K19" s="274">
        <f>G19+J19</f>
        <v>5411.5</v>
      </c>
      <c r="L19" s="57"/>
      <c r="M19" s="115">
        <f t="shared" si="3"/>
        <v>2631790.7090000003</v>
      </c>
      <c r="N19" s="274"/>
      <c r="O19" s="47"/>
    </row>
    <row r="20" spans="1:16">
      <c r="A20" s="271">
        <v>17</v>
      </c>
      <c r="B20" s="312">
        <v>45677</v>
      </c>
      <c r="C20" s="325"/>
      <c r="D20" s="313"/>
      <c r="E20" s="274">
        <v>2500</v>
      </c>
      <c r="F20" s="274">
        <v>96.42</v>
      </c>
      <c r="G20" s="273">
        <f>E20*F20</f>
        <v>241050</v>
      </c>
      <c r="H20" s="273">
        <v>5</v>
      </c>
      <c r="I20" s="51">
        <v>108.23</v>
      </c>
      <c r="J20" s="324">
        <f t="shared" si="1"/>
        <v>541.15</v>
      </c>
      <c r="K20" s="274">
        <f>G20+J20</f>
        <v>241591.15</v>
      </c>
      <c r="L20" s="274"/>
      <c r="M20" s="115">
        <f t="shared" si="3"/>
        <v>2873381.8590000002</v>
      </c>
      <c r="N20" s="274"/>
      <c r="O20" s="47"/>
    </row>
    <row r="21" spans="1:16">
      <c r="A21" s="365">
        <v>18</v>
      </c>
      <c r="B21" s="140">
        <v>45678</v>
      </c>
      <c r="C21" s="325"/>
      <c r="D21" s="313"/>
      <c r="E21" s="274"/>
      <c r="F21" s="274"/>
      <c r="G21" s="274">
        <f t="shared" si="0"/>
        <v>0</v>
      </c>
      <c r="H21" s="397"/>
      <c r="I21" s="274"/>
      <c r="J21" s="274">
        <f t="shared" si="1"/>
        <v>0</v>
      </c>
      <c r="K21" s="274">
        <f t="shared" ref="K21:K22" si="8">G21+J21</f>
        <v>0</v>
      </c>
      <c r="L21" s="274">
        <v>1000000</v>
      </c>
      <c r="M21" s="115">
        <f t="shared" si="3"/>
        <v>1873381.8590000002</v>
      </c>
      <c r="N21" s="274"/>
      <c r="O21" s="47"/>
    </row>
    <row r="22" spans="1:16">
      <c r="A22" s="185">
        <v>19</v>
      </c>
      <c r="B22" s="139">
        <v>45679</v>
      </c>
      <c r="C22" s="171"/>
      <c r="D22" s="53"/>
      <c r="E22" s="55">
        <v>2500</v>
      </c>
      <c r="F22" s="55">
        <v>96.42</v>
      </c>
      <c r="G22" s="55">
        <f>E22*F22</f>
        <v>241050</v>
      </c>
      <c r="H22" s="55">
        <v>45</v>
      </c>
      <c r="I22" s="55">
        <v>108.23</v>
      </c>
      <c r="J22" s="55">
        <f>H22*I22</f>
        <v>4870.3500000000004</v>
      </c>
      <c r="K22" s="55">
        <f>G22+J22</f>
        <v>245920.35</v>
      </c>
      <c r="L22" s="55"/>
      <c r="M22" s="115">
        <f t="shared" si="3"/>
        <v>2119302.2090000003</v>
      </c>
      <c r="N22" s="55"/>
      <c r="O22" s="47"/>
    </row>
    <row r="23" spans="1:16">
      <c r="A23" s="271">
        <v>20</v>
      </c>
      <c r="B23" s="139">
        <v>45680</v>
      </c>
      <c r="C23" s="171"/>
      <c r="D23" s="53"/>
      <c r="E23" s="55">
        <v>2000</v>
      </c>
      <c r="F23" s="55">
        <v>96.42</v>
      </c>
      <c r="G23" s="55">
        <f>E23*F23</f>
        <v>192840</v>
      </c>
      <c r="H23" s="55">
        <v>0</v>
      </c>
      <c r="I23" s="55">
        <v>108.23</v>
      </c>
      <c r="J23" s="55">
        <f t="shared" ref="J23:J31" si="9">H23*I23</f>
        <v>0</v>
      </c>
      <c r="K23" s="55">
        <f>G23+J23</f>
        <v>192840</v>
      </c>
      <c r="L23" s="55"/>
      <c r="M23" s="115">
        <f t="shared" si="3"/>
        <v>2312142.2090000003</v>
      </c>
      <c r="N23" s="55"/>
      <c r="O23" s="47"/>
    </row>
    <row r="24" spans="1:16">
      <c r="A24" s="365">
        <v>21</v>
      </c>
      <c r="B24" s="139">
        <v>45681</v>
      </c>
      <c r="C24" s="171"/>
      <c r="D24" s="53"/>
      <c r="E24" s="55">
        <v>0</v>
      </c>
      <c r="F24" s="55">
        <v>96.42</v>
      </c>
      <c r="G24" s="55">
        <f t="shared" ref="G24:G31" si="10">E24*F24</f>
        <v>0</v>
      </c>
      <c r="H24" s="55"/>
      <c r="I24" s="55">
        <v>108.23</v>
      </c>
      <c r="J24" s="55">
        <f t="shared" si="9"/>
        <v>0</v>
      </c>
      <c r="K24" s="55">
        <f t="shared" ref="K24:K31" si="11">G24+J24</f>
        <v>0</v>
      </c>
      <c r="L24" s="55"/>
      <c r="M24" s="115">
        <f t="shared" si="3"/>
        <v>2312142.2090000003</v>
      </c>
      <c r="N24" s="55"/>
      <c r="O24" s="47"/>
    </row>
    <row r="25" spans="1:16">
      <c r="A25" s="185">
        <v>22</v>
      </c>
      <c r="B25" s="139">
        <v>45682</v>
      </c>
      <c r="C25" s="171"/>
      <c r="D25" s="53"/>
      <c r="E25" s="55">
        <v>2500</v>
      </c>
      <c r="F25" s="55">
        <v>96.42</v>
      </c>
      <c r="G25" s="55">
        <f t="shared" si="10"/>
        <v>241050</v>
      </c>
      <c r="H25" s="55">
        <v>40</v>
      </c>
      <c r="I25" s="55">
        <v>108.23</v>
      </c>
      <c r="J25" s="55">
        <f t="shared" si="9"/>
        <v>4329.2</v>
      </c>
      <c r="K25" s="55">
        <f t="shared" si="11"/>
        <v>245379.20000000001</v>
      </c>
      <c r="L25" s="55"/>
      <c r="M25" s="115">
        <f t="shared" si="3"/>
        <v>2557521.4090000005</v>
      </c>
      <c r="N25" s="55"/>
      <c r="O25" s="47"/>
    </row>
    <row r="26" spans="1:16">
      <c r="A26" s="271">
        <v>23</v>
      </c>
      <c r="B26" s="139">
        <v>45683</v>
      </c>
      <c r="C26" s="171"/>
      <c r="D26" s="53"/>
      <c r="E26" s="55">
        <v>1500</v>
      </c>
      <c r="F26" s="55">
        <v>96.42</v>
      </c>
      <c r="G26" s="55">
        <f t="shared" si="10"/>
        <v>144630</v>
      </c>
      <c r="H26" s="55">
        <v>0</v>
      </c>
      <c r="I26" s="55">
        <v>108.23</v>
      </c>
      <c r="J26" s="55">
        <f t="shared" si="9"/>
        <v>0</v>
      </c>
      <c r="K26" s="55">
        <f t="shared" si="11"/>
        <v>144630</v>
      </c>
      <c r="L26" s="55"/>
      <c r="M26" s="115">
        <f t="shared" si="3"/>
        <v>2702151.4090000005</v>
      </c>
      <c r="N26" s="55"/>
      <c r="O26" s="47"/>
      <c r="P26">
        <f>1917266-1905720.97</f>
        <v>11545.030000000028</v>
      </c>
    </row>
    <row r="27" spans="1:16">
      <c r="A27" s="185">
        <v>24</v>
      </c>
      <c r="B27" s="139">
        <v>45684</v>
      </c>
      <c r="C27" s="171"/>
      <c r="D27" s="53"/>
      <c r="E27" s="55">
        <v>2031.11</v>
      </c>
      <c r="F27" s="55">
        <v>96.42</v>
      </c>
      <c r="G27" s="55">
        <f t="shared" si="10"/>
        <v>195839.6262</v>
      </c>
      <c r="H27" s="55"/>
      <c r="I27" s="55">
        <v>108.23</v>
      </c>
      <c r="J27" s="55">
        <f t="shared" si="9"/>
        <v>0</v>
      </c>
      <c r="K27" s="55">
        <f t="shared" si="11"/>
        <v>195839.6262</v>
      </c>
      <c r="L27" s="55">
        <v>1000000</v>
      </c>
      <c r="M27" s="115">
        <f t="shared" si="3"/>
        <v>1897991.0352000003</v>
      </c>
      <c r="N27" s="55"/>
      <c r="O27" s="47"/>
    </row>
    <row r="28" spans="1:16">
      <c r="A28" s="185">
        <v>25</v>
      </c>
      <c r="B28" s="139">
        <v>45685</v>
      </c>
      <c r="C28" s="171"/>
      <c r="D28" s="53"/>
      <c r="E28" s="55">
        <v>2000</v>
      </c>
      <c r="F28" s="55">
        <v>96.42</v>
      </c>
      <c r="G28" s="55">
        <f t="shared" si="10"/>
        <v>192840</v>
      </c>
      <c r="H28" s="55">
        <v>35</v>
      </c>
      <c r="I28" s="55">
        <v>108.23</v>
      </c>
      <c r="J28" s="55">
        <f t="shared" si="9"/>
        <v>3788.05</v>
      </c>
      <c r="K28" s="55">
        <f t="shared" si="11"/>
        <v>196628.05</v>
      </c>
      <c r="L28" s="55"/>
      <c r="M28" s="115">
        <f t="shared" si="3"/>
        <v>2094619.0852000003</v>
      </c>
      <c r="N28" s="55"/>
      <c r="O28" s="47"/>
    </row>
    <row r="29" spans="1:16">
      <c r="A29" s="185">
        <v>26</v>
      </c>
      <c r="B29" s="139">
        <v>45686</v>
      </c>
      <c r="C29" s="171"/>
      <c r="D29" s="53">
        <v>2000</v>
      </c>
      <c r="E29" s="386">
        <v>4000</v>
      </c>
      <c r="F29" s="55">
        <v>96.42</v>
      </c>
      <c r="G29" s="55">
        <f t="shared" si="10"/>
        <v>385680</v>
      </c>
      <c r="H29" s="55">
        <v>8</v>
      </c>
      <c r="I29" s="55">
        <v>108.23</v>
      </c>
      <c r="J29" s="55">
        <f t="shared" si="9"/>
        <v>865.84</v>
      </c>
      <c r="K29" s="55">
        <f t="shared" si="11"/>
        <v>386545.84</v>
      </c>
      <c r="L29" s="55"/>
      <c r="M29" s="115">
        <f t="shared" si="3"/>
        <v>2481164.9252000004</v>
      </c>
      <c r="N29" s="55"/>
      <c r="O29" s="47"/>
    </row>
    <row r="30" spans="1:16">
      <c r="A30" s="185">
        <v>27</v>
      </c>
      <c r="B30" s="139">
        <v>45687</v>
      </c>
      <c r="C30" s="171"/>
      <c r="D30" s="53"/>
      <c r="E30" s="55">
        <v>2000</v>
      </c>
      <c r="F30" s="55">
        <v>96.42</v>
      </c>
      <c r="G30" s="55">
        <f t="shared" si="10"/>
        <v>192840</v>
      </c>
      <c r="H30" s="55">
        <v>73</v>
      </c>
      <c r="I30" s="55">
        <v>108.23</v>
      </c>
      <c r="J30" s="55">
        <f t="shared" si="9"/>
        <v>7900.79</v>
      </c>
      <c r="K30" s="55">
        <f t="shared" si="11"/>
        <v>200740.79</v>
      </c>
      <c r="L30" s="55"/>
      <c r="M30" s="115">
        <f t="shared" si="3"/>
        <v>2681905.7152000004</v>
      </c>
      <c r="N30" s="55"/>
      <c r="O30" s="47"/>
    </row>
    <row r="31" spans="1:16">
      <c r="A31" s="185">
        <v>28</v>
      </c>
      <c r="B31" s="34">
        <v>45688</v>
      </c>
      <c r="C31" s="171"/>
      <c r="D31" s="53"/>
      <c r="E31" s="55">
        <v>0</v>
      </c>
      <c r="F31" s="55">
        <v>96.42</v>
      </c>
      <c r="G31" s="55">
        <f t="shared" si="10"/>
        <v>0</v>
      </c>
      <c r="H31" s="55">
        <v>0</v>
      </c>
      <c r="I31" s="55">
        <v>108.23</v>
      </c>
      <c r="J31" s="55">
        <f t="shared" si="9"/>
        <v>0</v>
      </c>
      <c r="K31" s="55">
        <f t="shared" si="11"/>
        <v>0</v>
      </c>
      <c r="L31" s="55"/>
      <c r="M31" s="115">
        <f t="shared" si="3"/>
        <v>2681905.7152000004</v>
      </c>
      <c r="N31" s="55"/>
      <c r="O31" s="47"/>
    </row>
    <row r="32" spans="1:16">
      <c r="A32" s="338"/>
      <c r="B32" s="314"/>
      <c r="C32" s="314"/>
      <c r="D32" s="314"/>
      <c r="E32" s="77">
        <f>SUM(E4:E31)</f>
        <v>57124.06</v>
      </c>
      <c r="F32" s="77"/>
      <c r="G32" s="77">
        <f>SUM(G4:G31)</f>
        <v>5507901.8651999999</v>
      </c>
      <c r="H32" s="77">
        <f>SUM(H4:H31)</f>
        <v>436</v>
      </c>
      <c r="I32" s="77"/>
      <c r="J32" s="77">
        <f>SUM(J4:J31)</f>
        <v>47187.23</v>
      </c>
      <c r="K32" s="77">
        <f>SUM(K4:K31)</f>
        <v>5555089.0951999994</v>
      </c>
      <c r="L32" s="77">
        <f>SUM(L4:L31)</f>
        <v>3500000</v>
      </c>
      <c r="M32" s="163"/>
      <c r="N32" s="78"/>
      <c r="O32" s="47"/>
    </row>
    <row r="33" spans="1:17">
      <c r="A33" s="56"/>
      <c r="B33" s="56"/>
      <c r="C33" s="56"/>
      <c r="D33" s="56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7"/>
    </row>
    <row r="34" spans="1:17">
      <c r="A34" s="47"/>
      <c r="B34" s="47"/>
      <c r="C34" s="47"/>
      <c r="D34" s="47"/>
      <c r="E34" s="47"/>
      <c r="F34" s="47"/>
      <c r="G34" s="58"/>
      <c r="H34" s="47"/>
      <c r="I34" s="47"/>
      <c r="J34" s="47"/>
      <c r="K34" s="47"/>
      <c r="L34" s="47"/>
      <c r="M34" s="47"/>
      <c r="N34" s="47"/>
      <c r="O34" s="59"/>
      <c r="Q34">
        <f>3127032.14-280155.4</f>
        <v>2846876.74</v>
      </c>
    </row>
    <row r="35" spans="1:17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59"/>
    </row>
    <row r="39" spans="1:17">
      <c r="E39" s="296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810D-6702-454D-B4DA-2BB38ADF2BE1}">
  <dimension ref="A1:P40"/>
  <sheetViews>
    <sheetView topLeftCell="A17" workbookViewId="0">
      <selection activeCell="J36" sqref="J36"/>
    </sheetView>
  </sheetViews>
  <sheetFormatPr defaultColWidth="10.85546875" defaultRowHeight="15"/>
  <cols>
    <col min="5" max="5" width="10.85546875" style="353"/>
    <col min="7" max="7" width="14.42578125" customWidth="1"/>
    <col min="11" max="11" width="12" customWidth="1"/>
    <col min="12" max="12" width="14.140625" customWidth="1"/>
    <col min="13" max="13" width="14" customWidth="1"/>
    <col min="16" max="16" width="11.85546875" bestFit="1" customWidth="1"/>
  </cols>
  <sheetData>
    <row r="1" spans="1:15" ht="15.75" customHeight="1">
      <c r="A1" s="475" t="s">
        <v>18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"/>
    </row>
    <row r="2" spans="1:15">
      <c r="A2" s="160" t="s">
        <v>58</v>
      </c>
      <c r="B2" s="170" t="s">
        <v>59</v>
      </c>
      <c r="C2" s="170" t="s">
        <v>60</v>
      </c>
      <c r="D2" s="170" t="s">
        <v>61</v>
      </c>
      <c r="E2" s="408" t="s">
        <v>62</v>
      </c>
      <c r="F2" s="170" t="s">
        <v>63</v>
      </c>
      <c r="G2" s="170" t="s">
        <v>64</v>
      </c>
      <c r="H2" s="170" t="s">
        <v>65</v>
      </c>
      <c r="I2" s="170" t="s">
        <v>63</v>
      </c>
      <c r="J2" s="170" t="s">
        <v>64</v>
      </c>
      <c r="K2" s="170" t="s">
        <v>66</v>
      </c>
      <c r="L2" s="170" t="s">
        <v>67</v>
      </c>
      <c r="M2" s="170" t="s">
        <v>68</v>
      </c>
      <c r="N2" s="170" t="s">
        <v>69</v>
      </c>
      <c r="O2" s="47"/>
    </row>
    <row r="3" spans="1:15">
      <c r="A3" s="476" t="s">
        <v>70</v>
      </c>
      <c r="B3" s="476"/>
      <c r="C3" s="476"/>
      <c r="D3" s="476"/>
      <c r="E3" s="476"/>
      <c r="F3" s="476"/>
      <c r="G3" s="476"/>
      <c r="H3" s="476"/>
      <c r="I3" s="476"/>
      <c r="J3" s="476"/>
      <c r="K3" s="199">
        <v>934967.13</v>
      </c>
      <c r="L3" s="199"/>
      <c r="M3" s="169">
        <f>+K3</f>
        <v>934967.13</v>
      </c>
      <c r="N3" s="23"/>
      <c r="O3" s="47"/>
    </row>
    <row r="4" spans="1:15">
      <c r="A4" s="185">
        <v>1</v>
      </c>
      <c r="B4" s="139">
        <v>45658</v>
      </c>
      <c r="C4" s="171"/>
      <c r="D4" s="185"/>
      <c r="E4" s="409">
        <v>0</v>
      </c>
      <c r="F4" s="55">
        <v>96.31</v>
      </c>
      <c r="G4" s="55">
        <f>E4*F4</f>
        <v>0</v>
      </c>
      <c r="H4" s="186">
        <v>0</v>
      </c>
      <c r="I4" s="186">
        <v>108.12</v>
      </c>
      <c r="J4" s="55">
        <f>H4*I4</f>
        <v>0</v>
      </c>
      <c r="K4" s="55">
        <f>G4+J4</f>
        <v>0</v>
      </c>
      <c r="L4" s="55"/>
      <c r="M4" s="55">
        <f>M3+K4-L4</f>
        <v>934967.13</v>
      </c>
      <c r="N4" s="55"/>
      <c r="O4" s="47"/>
    </row>
    <row r="5" spans="1:15">
      <c r="A5" s="185">
        <f>A4+1</f>
        <v>2</v>
      </c>
      <c r="B5" s="139">
        <v>45659</v>
      </c>
      <c r="C5" s="171"/>
      <c r="D5" s="171"/>
      <c r="E5" s="409">
        <v>0</v>
      </c>
      <c r="F5" s="55">
        <v>96.31</v>
      </c>
      <c r="G5" s="55">
        <f t="shared" ref="G5:G34" si="0">E5*F5</f>
        <v>0</v>
      </c>
      <c r="H5" s="55">
        <v>0</v>
      </c>
      <c r="I5" s="186">
        <v>108.23</v>
      </c>
      <c r="J5" s="55">
        <f t="shared" ref="J5:J34" si="1">H5*I5</f>
        <v>0</v>
      </c>
      <c r="K5" s="55">
        <f t="shared" ref="K5:K13" si="2">G5+J5</f>
        <v>0</v>
      </c>
      <c r="L5" s="55"/>
      <c r="M5" s="55">
        <f t="shared" ref="M5:M13" si="3">M4+K5-L5</f>
        <v>934967.13</v>
      </c>
      <c r="N5" s="55"/>
      <c r="O5" s="47"/>
    </row>
    <row r="6" spans="1:15">
      <c r="A6" s="185">
        <f>A5+1</f>
        <v>3</v>
      </c>
      <c r="B6" s="139">
        <v>45660</v>
      </c>
      <c r="C6" s="171"/>
      <c r="D6" s="171"/>
      <c r="E6" s="409">
        <v>2129</v>
      </c>
      <c r="F6" s="55">
        <v>96.31</v>
      </c>
      <c r="G6" s="55">
        <f t="shared" si="0"/>
        <v>205043.99</v>
      </c>
      <c r="H6" s="55">
        <v>0</v>
      </c>
      <c r="I6" s="186">
        <v>108.12</v>
      </c>
      <c r="J6" s="55">
        <f t="shared" si="1"/>
        <v>0</v>
      </c>
      <c r="K6" s="55">
        <f t="shared" si="2"/>
        <v>205043.99</v>
      </c>
      <c r="L6" s="55"/>
      <c r="M6" s="55">
        <f t="shared" si="3"/>
        <v>1140011.1200000001</v>
      </c>
      <c r="N6" s="55"/>
      <c r="O6" s="47"/>
    </row>
    <row r="7" spans="1:15">
      <c r="A7" s="185">
        <f>A6+1</f>
        <v>4</v>
      </c>
      <c r="B7" s="139">
        <v>45661</v>
      </c>
      <c r="C7" s="171"/>
      <c r="D7" s="53"/>
      <c r="E7" s="409">
        <v>745</v>
      </c>
      <c r="F7" s="55">
        <v>96.31</v>
      </c>
      <c r="G7" s="55">
        <f t="shared" si="0"/>
        <v>71750.95</v>
      </c>
      <c r="H7" s="55">
        <v>0</v>
      </c>
      <c r="I7" s="187">
        <v>108.12</v>
      </c>
      <c r="J7" s="55">
        <f t="shared" si="1"/>
        <v>0</v>
      </c>
      <c r="K7" s="55">
        <f t="shared" si="2"/>
        <v>71750.95</v>
      </c>
      <c r="L7" s="55"/>
      <c r="M7" s="55">
        <f t="shared" si="3"/>
        <v>1211762.07</v>
      </c>
      <c r="N7" s="55"/>
      <c r="O7" s="47"/>
    </row>
    <row r="8" spans="1:15">
      <c r="A8" s="185">
        <f>A7+1</f>
        <v>5</v>
      </c>
      <c r="B8" s="139">
        <v>45662</v>
      </c>
      <c r="C8" s="171"/>
      <c r="D8" s="53"/>
      <c r="E8" s="409">
        <v>4824.08</v>
      </c>
      <c r="F8" s="55">
        <v>96.31</v>
      </c>
      <c r="G8" s="55">
        <f t="shared" si="0"/>
        <v>464607.14480000001</v>
      </c>
      <c r="H8" s="55">
        <v>10</v>
      </c>
      <c r="I8" s="55">
        <v>108.12</v>
      </c>
      <c r="J8" s="55">
        <f t="shared" si="1"/>
        <v>1081.2</v>
      </c>
      <c r="K8" s="55">
        <f t="shared" si="2"/>
        <v>465688.34480000002</v>
      </c>
      <c r="L8" s="55"/>
      <c r="M8" s="55">
        <f t="shared" si="3"/>
        <v>1677450.4148000001</v>
      </c>
      <c r="N8" s="55"/>
      <c r="O8" s="47"/>
    </row>
    <row r="9" spans="1:15">
      <c r="A9" s="185">
        <f>A8+1</f>
        <v>6</v>
      </c>
      <c r="B9" s="139">
        <v>45663</v>
      </c>
      <c r="C9" s="171"/>
      <c r="D9" s="53"/>
      <c r="E9" s="409">
        <v>3647.74</v>
      </c>
      <c r="F9" s="55">
        <v>96.31</v>
      </c>
      <c r="G9" s="55">
        <f t="shared" si="0"/>
        <v>351313.8394</v>
      </c>
      <c r="H9" s="55">
        <v>5</v>
      </c>
      <c r="I9" s="55">
        <v>108.12</v>
      </c>
      <c r="J9" s="55">
        <f t="shared" si="1"/>
        <v>540.6</v>
      </c>
      <c r="K9" s="55">
        <f t="shared" si="2"/>
        <v>351854.43939999997</v>
      </c>
      <c r="L9" s="55">
        <v>500000</v>
      </c>
      <c r="M9" s="55">
        <f t="shared" si="3"/>
        <v>1529304.8542000002</v>
      </c>
      <c r="N9" s="55"/>
      <c r="O9" s="47"/>
    </row>
    <row r="10" spans="1:15">
      <c r="A10" s="185">
        <f>A9+1</f>
        <v>7</v>
      </c>
      <c r="B10" s="139">
        <v>45664</v>
      </c>
      <c r="C10" s="171"/>
      <c r="D10" s="53"/>
      <c r="E10" s="409">
        <v>2174.0100000000002</v>
      </c>
      <c r="F10" s="55">
        <v>96.31</v>
      </c>
      <c r="G10" s="55">
        <f t="shared" si="0"/>
        <v>209378.90310000003</v>
      </c>
      <c r="H10" s="55">
        <v>0</v>
      </c>
      <c r="I10" s="55">
        <v>108.2</v>
      </c>
      <c r="J10" s="55">
        <f t="shared" si="1"/>
        <v>0</v>
      </c>
      <c r="K10" s="55">
        <f t="shared" si="2"/>
        <v>209378.90310000003</v>
      </c>
      <c r="L10" s="55"/>
      <c r="M10" s="55">
        <f t="shared" si="3"/>
        <v>1738683.7573000002</v>
      </c>
      <c r="N10" s="55"/>
      <c r="O10" s="47"/>
    </row>
    <row r="11" spans="1:15">
      <c r="A11" s="185">
        <f>A10+1</f>
        <v>8</v>
      </c>
      <c r="B11" s="139">
        <v>45665</v>
      </c>
      <c r="C11" s="171"/>
      <c r="D11" s="53"/>
      <c r="E11" s="409">
        <v>1018</v>
      </c>
      <c r="F11" s="55">
        <v>96.31</v>
      </c>
      <c r="G11" s="55">
        <f t="shared" si="0"/>
        <v>98043.58</v>
      </c>
      <c r="H11" s="55">
        <v>0</v>
      </c>
      <c r="I11" s="55">
        <v>108.12</v>
      </c>
      <c r="J11" s="55">
        <f t="shared" si="1"/>
        <v>0</v>
      </c>
      <c r="K11" s="55">
        <f t="shared" si="2"/>
        <v>98043.58</v>
      </c>
      <c r="L11" s="55"/>
      <c r="M11" s="55">
        <f t="shared" si="3"/>
        <v>1836727.3373000002</v>
      </c>
      <c r="N11" s="55"/>
      <c r="O11" s="47"/>
    </row>
    <row r="12" spans="1:15">
      <c r="A12" s="185">
        <f>A11+1</f>
        <v>9</v>
      </c>
      <c r="B12" s="139">
        <v>45666</v>
      </c>
      <c r="C12" s="171"/>
      <c r="D12" s="53"/>
      <c r="E12" s="409">
        <v>1873.5</v>
      </c>
      <c r="F12" s="55">
        <v>96.31</v>
      </c>
      <c r="G12" s="55">
        <f t="shared" si="0"/>
        <v>180436.785</v>
      </c>
      <c r="H12" s="55">
        <v>0</v>
      </c>
      <c r="I12" s="55">
        <v>108.12</v>
      </c>
      <c r="J12" s="55">
        <f t="shared" si="1"/>
        <v>0</v>
      </c>
      <c r="K12" s="55">
        <f t="shared" si="2"/>
        <v>180436.785</v>
      </c>
      <c r="L12" s="55">
        <v>1500000</v>
      </c>
      <c r="M12" s="55">
        <f t="shared" si="3"/>
        <v>517164.12230000016</v>
      </c>
      <c r="N12" s="55"/>
      <c r="O12" s="47"/>
    </row>
    <row r="13" spans="1:15">
      <c r="A13" s="185">
        <f>A12+1</f>
        <v>10</v>
      </c>
      <c r="B13" s="139">
        <v>45667</v>
      </c>
      <c r="C13" s="171"/>
      <c r="D13" s="53"/>
      <c r="E13" s="409">
        <v>980</v>
      </c>
      <c r="F13" s="55">
        <v>96.31</v>
      </c>
      <c r="G13" s="55">
        <f t="shared" si="0"/>
        <v>94383.8</v>
      </c>
      <c r="H13" s="55">
        <v>15</v>
      </c>
      <c r="I13" s="55">
        <v>108.12</v>
      </c>
      <c r="J13" s="55">
        <f t="shared" si="1"/>
        <v>1621.8000000000002</v>
      </c>
      <c r="K13" s="55">
        <f t="shared" si="2"/>
        <v>96005.6</v>
      </c>
      <c r="L13" s="55"/>
      <c r="M13" s="55">
        <f>M12+K13-L13</f>
        <v>613169.72230000014</v>
      </c>
      <c r="N13" s="55"/>
      <c r="O13" s="47"/>
    </row>
    <row r="14" spans="1:15">
      <c r="A14" s="185">
        <f>A13+1</f>
        <v>11</v>
      </c>
      <c r="B14" s="139">
        <v>45668</v>
      </c>
      <c r="C14" s="171"/>
      <c r="D14" s="53"/>
      <c r="E14" s="409">
        <v>2084.06</v>
      </c>
      <c r="F14" s="55">
        <v>96.31</v>
      </c>
      <c r="G14" s="55">
        <f t="shared" si="0"/>
        <v>200715.8186</v>
      </c>
      <c r="H14" s="55"/>
      <c r="I14" s="55">
        <v>108.12</v>
      </c>
      <c r="J14" s="55">
        <f t="shared" si="1"/>
        <v>0</v>
      </c>
      <c r="K14" s="55">
        <f>G14+J14</f>
        <v>200715.8186</v>
      </c>
      <c r="L14" s="55"/>
      <c r="M14" s="55">
        <f>M13+K14-L14</f>
        <v>813885.54090000014</v>
      </c>
      <c r="N14" s="55"/>
      <c r="O14" s="47"/>
    </row>
    <row r="15" spans="1:15">
      <c r="A15" s="185">
        <v>12</v>
      </c>
      <c r="B15" s="139">
        <v>45669</v>
      </c>
      <c r="C15" s="171"/>
      <c r="D15" s="53"/>
      <c r="E15" s="409">
        <v>511.01</v>
      </c>
      <c r="F15" s="55">
        <v>96.31</v>
      </c>
      <c r="G15" s="55">
        <f t="shared" si="0"/>
        <v>49215.373099999997</v>
      </c>
      <c r="H15" s="55">
        <v>0</v>
      </c>
      <c r="I15" s="55">
        <v>108.12</v>
      </c>
      <c r="J15" s="55">
        <f t="shared" si="1"/>
        <v>0</v>
      </c>
      <c r="K15" s="55">
        <f>G15+J15</f>
        <v>49215.373099999997</v>
      </c>
      <c r="L15" s="55"/>
      <c r="M15" s="55">
        <f>M14+K15-L15</f>
        <v>863100.91400000011</v>
      </c>
      <c r="N15" s="55"/>
      <c r="O15" s="47"/>
    </row>
    <row r="16" spans="1:15">
      <c r="A16" s="185">
        <v>13</v>
      </c>
      <c r="B16" s="139">
        <v>45670</v>
      </c>
      <c r="C16" s="171"/>
      <c r="D16" s="53"/>
      <c r="E16" s="409">
        <v>0</v>
      </c>
      <c r="F16" s="55">
        <v>96.31</v>
      </c>
      <c r="G16" s="55">
        <f t="shared" si="0"/>
        <v>0</v>
      </c>
      <c r="H16" s="55"/>
      <c r="I16" s="55">
        <v>108.12</v>
      </c>
      <c r="J16" s="55">
        <f t="shared" si="1"/>
        <v>0</v>
      </c>
      <c r="K16" s="55">
        <f t="shared" ref="K16:K27" si="4">G16+J16</f>
        <v>0</v>
      </c>
      <c r="L16" s="55"/>
      <c r="M16" s="55">
        <f t="shared" ref="M16:M32" si="5">M15+K16-L16</f>
        <v>863100.91400000011</v>
      </c>
      <c r="N16" s="55"/>
      <c r="O16" s="47"/>
    </row>
    <row r="17" spans="1:16">
      <c r="A17" s="185">
        <v>14</v>
      </c>
      <c r="B17" s="139">
        <v>45671</v>
      </c>
      <c r="C17" s="171"/>
      <c r="D17" s="53"/>
      <c r="E17" s="409">
        <v>0</v>
      </c>
      <c r="F17" s="55">
        <v>96.31</v>
      </c>
      <c r="G17" s="55">
        <f t="shared" si="0"/>
        <v>0</v>
      </c>
      <c r="H17" s="55"/>
      <c r="I17" s="55">
        <v>108.12</v>
      </c>
      <c r="J17" s="55">
        <f t="shared" si="1"/>
        <v>0</v>
      </c>
      <c r="K17" s="55">
        <f t="shared" si="4"/>
        <v>0</v>
      </c>
      <c r="L17" s="55"/>
      <c r="M17" s="55">
        <f t="shared" si="5"/>
        <v>863100.91400000011</v>
      </c>
      <c r="N17" s="55"/>
      <c r="O17" s="47"/>
    </row>
    <row r="18" spans="1:16">
      <c r="A18" s="185">
        <v>15</v>
      </c>
      <c r="B18" s="139">
        <v>45672</v>
      </c>
      <c r="C18" s="171"/>
      <c r="D18" s="53"/>
      <c r="E18" s="409">
        <v>0</v>
      </c>
      <c r="F18" s="55">
        <v>96.31</v>
      </c>
      <c r="G18" s="55">
        <f t="shared" si="0"/>
        <v>0</v>
      </c>
      <c r="H18" s="55"/>
      <c r="I18" s="55">
        <v>108.12</v>
      </c>
      <c r="J18" s="55">
        <f t="shared" si="1"/>
        <v>0</v>
      </c>
      <c r="K18" s="55">
        <f t="shared" si="4"/>
        <v>0</v>
      </c>
      <c r="L18" s="55"/>
      <c r="M18" s="55">
        <f t="shared" si="5"/>
        <v>863100.91400000011</v>
      </c>
      <c r="N18" s="55"/>
      <c r="O18" s="47"/>
      <c r="P18" s="28">
        <v>2881111.7924000002</v>
      </c>
    </row>
    <row r="19" spans="1:16">
      <c r="A19" s="185">
        <v>16</v>
      </c>
      <c r="B19" s="139">
        <v>45673</v>
      </c>
      <c r="C19" s="171"/>
      <c r="D19" s="53"/>
      <c r="E19" s="410">
        <v>1828.9</v>
      </c>
      <c r="F19" s="55">
        <v>96.31</v>
      </c>
      <c r="G19" s="55">
        <f t="shared" si="0"/>
        <v>176141.35900000003</v>
      </c>
      <c r="H19" s="55">
        <v>10</v>
      </c>
      <c r="I19" s="55">
        <v>108.12</v>
      </c>
      <c r="J19" s="55">
        <f t="shared" si="1"/>
        <v>1081.2</v>
      </c>
      <c r="K19" s="55">
        <f t="shared" si="4"/>
        <v>177222.55900000004</v>
      </c>
      <c r="L19" s="55"/>
      <c r="M19" s="55">
        <f t="shared" si="5"/>
        <v>1040323.4730000001</v>
      </c>
      <c r="N19" s="55"/>
      <c r="O19" s="47"/>
      <c r="P19" s="55">
        <v>1697963.5255</v>
      </c>
    </row>
    <row r="20" spans="1:16">
      <c r="A20" s="185">
        <v>17</v>
      </c>
      <c r="B20" s="139">
        <v>45674</v>
      </c>
      <c r="C20" s="171"/>
      <c r="D20" s="53"/>
      <c r="E20" s="410">
        <v>1007.74</v>
      </c>
      <c r="F20" s="55">
        <v>96.31</v>
      </c>
      <c r="G20" s="55">
        <f t="shared" si="0"/>
        <v>97055.439400000003</v>
      </c>
      <c r="H20" s="55">
        <v>10</v>
      </c>
      <c r="I20" s="55">
        <v>108.12</v>
      </c>
      <c r="J20" s="55">
        <f t="shared" si="1"/>
        <v>1081.2</v>
      </c>
      <c r="K20" s="55">
        <f t="shared" si="4"/>
        <v>98136.6394</v>
      </c>
      <c r="L20" s="55"/>
      <c r="M20" s="55">
        <f t="shared" si="5"/>
        <v>1138460.1124000002</v>
      </c>
      <c r="N20" s="55"/>
      <c r="O20" s="47"/>
      <c r="P20" s="28">
        <f>SUM(P18:P19)</f>
        <v>4579075.3179000001</v>
      </c>
    </row>
    <row r="21" spans="1:16">
      <c r="A21" s="185">
        <v>18</v>
      </c>
      <c r="B21" s="139">
        <v>45675</v>
      </c>
      <c r="C21" s="171"/>
      <c r="D21" s="53"/>
      <c r="E21" s="410">
        <v>3994.29</v>
      </c>
      <c r="F21" s="55">
        <v>96.31</v>
      </c>
      <c r="G21" s="55">
        <f t="shared" si="0"/>
        <v>384690.0699</v>
      </c>
      <c r="H21" s="55">
        <v>0</v>
      </c>
      <c r="I21" s="55">
        <v>108.12</v>
      </c>
      <c r="J21" s="55">
        <f t="shared" si="1"/>
        <v>0</v>
      </c>
      <c r="K21" s="55">
        <f t="shared" si="4"/>
        <v>384690.0699</v>
      </c>
      <c r="L21" s="55"/>
      <c r="M21" s="55">
        <f t="shared" si="5"/>
        <v>1523150.1823000002</v>
      </c>
      <c r="N21" s="55"/>
      <c r="O21" s="47"/>
    </row>
    <row r="22" spans="1:16">
      <c r="A22" s="185">
        <v>19</v>
      </c>
      <c r="B22" s="139">
        <v>45676</v>
      </c>
      <c r="C22" s="171"/>
      <c r="D22" s="53"/>
      <c r="E22" s="409">
        <v>0</v>
      </c>
      <c r="F22" s="55">
        <v>96.31</v>
      </c>
      <c r="G22" s="55">
        <f t="shared" si="0"/>
        <v>0</v>
      </c>
      <c r="H22" s="55">
        <v>0</v>
      </c>
      <c r="I22" s="55">
        <v>108.12</v>
      </c>
      <c r="J22" s="55">
        <f t="shared" si="1"/>
        <v>0</v>
      </c>
      <c r="K22" s="55">
        <f t="shared" si="4"/>
        <v>0</v>
      </c>
      <c r="L22" s="55"/>
      <c r="M22" s="55">
        <f t="shared" si="5"/>
        <v>1523150.1823000002</v>
      </c>
      <c r="N22" s="55"/>
      <c r="O22" s="47"/>
    </row>
    <row r="23" spans="1:16">
      <c r="A23" s="185">
        <v>20</v>
      </c>
      <c r="B23" s="139">
        <v>45677</v>
      </c>
      <c r="C23" s="171"/>
      <c r="D23" s="53"/>
      <c r="E23" s="410">
        <v>1820.72</v>
      </c>
      <c r="F23" s="55">
        <v>96.31</v>
      </c>
      <c r="G23" s="55">
        <f t="shared" si="0"/>
        <v>175353.54320000001</v>
      </c>
      <c r="H23" s="55">
        <v>0</v>
      </c>
      <c r="I23" s="55">
        <v>108.12</v>
      </c>
      <c r="J23" s="55">
        <f t="shared" si="1"/>
        <v>0</v>
      </c>
      <c r="K23" s="55">
        <f t="shared" si="4"/>
        <v>175353.54320000001</v>
      </c>
      <c r="L23" s="55"/>
      <c r="M23" s="55">
        <f t="shared" si="5"/>
        <v>1698503.7255000002</v>
      </c>
      <c r="N23" s="55"/>
      <c r="O23" s="47"/>
    </row>
    <row r="24" spans="1:16">
      <c r="A24" s="185">
        <v>21</v>
      </c>
      <c r="B24" s="139">
        <v>45678</v>
      </c>
      <c r="C24" s="171"/>
      <c r="D24" s="53"/>
      <c r="E24" s="409">
        <v>944.05</v>
      </c>
      <c r="F24" s="55">
        <v>96.31</v>
      </c>
      <c r="G24" s="55">
        <f t="shared" si="0"/>
        <v>90921.455499999996</v>
      </c>
      <c r="H24" s="55"/>
      <c r="I24" s="55">
        <v>108.12</v>
      </c>
      <c r="J24" s="55">
        <f t="shared" si="1"/>
        <v>0</v>
      </c>
      <c r="K24" s="55">
        <f t="shared" si="4"/>
        <v>90921.455499999996</v>
      </c>
      <c r="L24" s="55"/>
      <c r="M24" s="55">
        <f t="shared" si="5"/>
        <v>1789425.1810000001</v>
      </c>
      <c r="N24" s="55"/>
      <c r="O24" s="47"/>
    </row>
    <row r="25" spans="1:16">
      <c r="A25" s="185">
        <v>22</v>
      </c>
      <c r="B25" s="139">
        <v>45679</v>
      </c>
      <c r="C25" s="171"/>
      <c r="D25" s="53"/>
      <c r="E25" s="411">
        <v>3662.01</v>
      </c>
      <c r="F25" s="55">
        <v>96.31</v>
      </c>
      <c r="G25" s="55">
        <f t="shared" si="0"/>
        <v>352688.18310000002</v>
      </c>
      <c r="H25" s="55">
        <v>10</v>
      </c>
      <c r="I25" s="55">
        <v>108.12</v>
      </c>
      <c r="J25" s="55">
        <f t="shared" si="1"/>
        <v>1081.2</v>
      </c>
      <c r="K25" s="55">
        <f t="shared" si="4"/>
        <v>353769.38310000004</v>
      </c>
      <c r="L25" s="55"/>
      <c r="M25" s="55">
        <f t="shared" si="5"/>
        <v>2143194.5641000001</v>
      </c>
      <c r="N25" s="55"/>
      <c r="O25" s="47"/>
    </row>
    <row r="26" spans="1:16">
      <c r="A26" s="185">
        <v>23</v>
      </c>
      <c r="B26" s="139">
        <v>45680</v>
      </c>
      <c r="C26" s="171"/>
      <c r="D26" s="53"/>
      <c r="E26" s="409">
        <v>944.79</v>
      </c>
      <c r="F26" s="55">
        <v>96.31</v>
      </c>
      <c r="G26" s="55">
        <f t="shared" si="0"/>
        <v>90992.724900000001</v>
      </c>
      <c r="H26" s="55"/>
      <c r="I26" s="55">
        <v>108.12</v>
      </c>
      <c r="J26" s="55">
        <f t="shared" si="1"/>
        <v>0</v>
      </c>
      <c r="K26" s="55">
        <f t="shared" si="4"/>
        <v>90992.724900000001</v>
      </c>
      <c r="L26" s="55"/>
      <c r="M26" s="55">
        <f t="shared" si="5"/>
        <v>2234187.2889999999</v>
      </c>
      <c r="N26" s="55"/>
      <c r="O26" s="47"/>
    </row>
    <row r="27" spans="1:16">
      <c r="A27" s="185">
        <v>24</v>
      </c>
      <c r="B27" s="139">
        <v>45681</v>
      </c>
      <c r="C27" s="171"/>
      <c r="D27" s="53"/>
      <c r="E27" s="409">
        <v>1920.48</v>
      </c>
      <c r="F27" s="55">
        <v>96.31</v>
      </c>
      <c r="G27" s="55">
        <f t="shared" si="0"/>
        <v>184961.42879999999</v>
      </c>
      <c r="H27" s="55">
        <v>8</v>
      </c>
      <c r="I27" s="55">
        <v>108.12</v>
      </c>
      <c r="J27" s="55">
        <f t="shared" si="1"/>
        <v>864.96</v>
      </c>
      <c r="K27" s="55">
        <f>G27+J27</f>
        <v>185826.38879999999</v>
      </c>
      <c r="L27" s="55"/>
      <c r="M27" s="55">
        <f t="shared" si="5"/>
        <v>2420013.6777999997</v>
      </c>
      <c r="N27" s="55"/>
      <c r="O27" s="47"/>
    </row>
    <row r="28" spans="1:16">
      <c r="A28" s="185">
        <v>25</v>
      </c>
      <c r="B28" s="139">
        <v>45682</v>
      </c>
      <c r="C28" s="171"/>
      <c r="D28" s="53"/>
      <c r="E28" s="409">
        <v>1199.03</v>
      </c>
      <c r="F28" s="55">
        <v>96.31</v>
      </c>
      <c r="G28" s="55">
        <f t="shared" si="0"/>
        <v>115478.5793</v>
      </c>
      <c r="H28" s="55">
        <v>5</v>
      </c>
      <c r="I28" s="55">
        <v>108.12</v>
      </c>
      <c r="J28" s="55">
        <f t="shared" si="1"/>
        <v>540.6</v>
      </c>
      <c r="K28" s="55">
        <f>G28+J28</f>
        <v>116019.1793</v>
      </c>
      <c r="L28" s="55"/>
      <c r="M28" s="55">
        <f t="shared" si="5"/>
        <v>2536032.8570999997</v>
      </c>
      <c r="N28" s="55"/>
      <c r="O28" s="47"/>
    </row>
    <row r="29" spans="1:16">
      <c r="A29" s="185">
        <v>26</v>
      </c>
      <c r="B29" s="139">
        <v>45683</v>
      </c>
      <c r="C29" s="171"/>
      <c r="D29" s="53"/>
      <c r="E29" s="436">
        <v>0</v>
      </c>
      <c r="F29" s="55">
        <v>96.31</v>
      </c>
      <c r="G29" s="55">
        <f t="shared" si="0"/>
        <v>0</v>
      </c>
      <c r="H29" s="55"/>
      <c r="I29" s="55">
        <v>108.12</v>
      </c>
      <c r="J29" s="55">
        <f t="shared" si="1"/>
        <v>0</v>
      </c>
      <c r="K29" s="55">
        <f>G29+J29</f>
        <v>0</v>
      </c>
      <c r="L29" s="55"/>
      <c r="M29" s="55">
        <f t="shared" si="5"/>
        <v>2536032.8570999997</v>
      </c>
      <c r="N29" s="55"/>
      <c r="O29" s="47">
        <v>45</v>
      </c>
    </row>
    <row r="30" spans="1:16">
      <c r="A30" s="185">
        <v>27</v>
      </c>
      <c r="B30" s="139">
        <v>45684</v>
      </c>
      <c r="C30" s="171"/>
      <c r="D30" s="53"/>
      <c r="E30" s="409">
        <v>1912.14</v>
      </c>
      <c r="F30" s="55">
        <v>96.31</v>
      </c>
      <c r="G30" s="55">
        <f t="shared" si="0"/>
        <v>184158.20340000003</v>
      </c>
      <c r="H30" s="55"/>
      <c r="I30" s="55">
        <v>108.12</v>
      </c>
      <c r="J30" s="55">
        <f t="shared" si="1"/>
        <v>0</v>
      </c>
      <c r="K30" s="55">
        <f>G30+J30</f>
        <v>184158.20340000003</v>
      </c>
      <c r="L30" s="55">
        <v>1000000</v>
      </c>
      <c r="M30" s="55">
        <f t="shared" si="5"/>
        <v>1720191.0604999997</v>
      </c>
      <c r="N30" s="55"/>
      <c r="O30" s="47"/>
    </row>
    <row r="31" spans="1:16">
      <c r="A31" s="185">
        <v>28</v>
      </c>
      <c r="B31" s="139">
        <v>45685</v>
      </c>
      <c r="C31" s="171"/>
      <c r="D31" s="53"/>
      <c r="E31" s="409">
        <v>960.02</v>
      </c>
      <c r="F31" s="55">
        <v>96.31</v>
      </c>
      <c r="G31" s="55">
        <f t="shared" si="0"/>
        <v>92459.526200000008</v>
      </c>
      <c r="H31" s="55"/>
      <c r="I31" s="55">
        <v>108.12</v>
      </c>
      <c r="J31" s="55">
        <f t="shared" si="1"/>
        <v>0</v>
      </c>
      <c r="K31" s="55">
        <f>G31+J31</f>
        <v>92459.526200000008</v>
      </c>
      <c r="L31" s="55"/>
      <c r="M31" s="55">
        <f t="shared" si="5"/>
        <v>1812650.5866999996</v>
      </c>
      <c r="N31" s="55"/>
      <c r="O31" s="47"/>
    </row>
    <row r="32" spans="1:16">
      <c r="A32" s="185">
        <v>29</v>
      </c>
      <c r="B32" s="139">
        <v>45686</v>
      </c>
      <c r="C32" s="171"/>
      <c r="D32" s="53"/>
      <c r="E32" s="409">
        <v>2212</v>
      </c>
      <c r="F32" s="55">
        <v>96.31</v>
      </c>
      <c r="G32" s="55">
        <f t="shared" si="0"/>
        <v>213037.72</v>
      </c>
      <c r="H32" s="55">
        <v>10</v>
      </c>
      <c r="I32" s="55">
        <v>108.12</v>
      </c>
      <c r="J32" s="55">
        <f t="shared" si="1"/>
        <v>1081.2</v>
      </c>
      <c r="K32" s="55">
        <f>G32+J32</f>
        <v>214118.92</v>
      </c>
      <c r="L32" s="55"/>
      <c r="M32" s="55">
        <f>M31+K32-L32</f>
        <v>2026769.5066999996</v>
      </c>
      <c r="N32" s="55"/>
      <c r="O32" s="47"/>
    </row>
    <row r="33" spans="1:15">
      <c r="A33" s="185">
        <v>30</v>
      </c>
      <c r="B33" s="139">
        <v>45687</v>
      </c>
      <c r="C33" s="171"/>
      <c r="D33" s="53"/>
      <c r="E33" s="409"/>
      <c r="F33" s="55"/>
      <c r="G33" s="55"/>
      <c r="H33" s="55"/>
      <c r="I33" s="55"/>
      <c r="J33" s="55"/>
      <c r="K33" s="55"/>
      <c r="L33" s="55">
        <v>0</v>
      </c>
      <c r="M33" s="55">
        <f>M32+K33-L33</f>
        <v>2026769.5066999996</v>
      </c>
      <c r="N33" s="55"/>
      <c r="O33" s="47">
        <v>1000000</v>
      </c>
    </row>
    <row r="34" spans="1:15">
      <c r="A34" s="185">
        <v>31</v>
      </c>
      <c r="B34" s="139">
        <v>45688</v>
      </c>
      <c r="C34" s="171"/>
      <c r="D34" s="53"/>
      <c r="E34" s="409">
        <v>4478.4399999999996</v>
      </c>
      <c r="F34" s="55">
        <v>96.31</v>
      </c>
      <c r="G34" s="55">
        <f t="shared" si="0"/>
        <v>431318.55639999994</v>
      </c>
      <c r="H34" s="55">
        <v>7</v>
      </c>
      <c r="I34" s="55">
        <v>108.12</v>
      </c>
      <c r="J34" s="55">
        <f t="shared" si="1"/>
        <v>756.84</v>
      </c>
      <c r="K34" s="55">
        <f>G34+J34</f>
        <v>432075.39639999997</v>
      </c>
      <c r="L34" s="55">
        <v>0</v>
      </c>
      <c r="M34" s="55">
        <f>M33+K34-L34</f>
        <v>2458844.9030999998</v>
      </c>
      <c r="N34" s="55"/>
      <c r="O34" s="47"/>
    </row>
    <row r="35" spans="1:15">
      <c r="A35" s="185"/>
      <c r="B35" s="139"/>
      <c r="C35" s="171"/>
      <c r="D35" s="53"/>
      <c r="E35" s="409"/>
      <c r="F35" s="55"/>
      <c r="G35" s="55"/>
      <c r="H35" s="55"/>
      <c r="I35" s="55"/>
      <c r="J35" s="55"/>
      <c r="K35" s="55"/>
      <c r="L35" s="55"/>
      <c r="M35" s="55"/>
      <c r="N35" s="55"/>
      <c r="O35" s="47"/>
    </row>
    <row r="36" spans="1:15">
      <c r="A36" s="82"/>
      <c r="B36" s="82"/>
      <c r="C36" s="82"/>
      <c r="D36" s="82"/>
      <c r="E36" s="412">
        <f>SUM(E4:E35)</f>
        <v>46871.010000000009</v>
      </c>
      <c r="F36" s="83"/>
      <c r="G36" s="83">
        <f>SUM(G4:G35)</f>
        <v>4514146.9731000001</v>
      </c>
      <c r="H36" s="83">
        <f>SUM(H4:H35)</f>
        <v>90</v>
      </c>
      <c r="I36" s="83"/>
      <c r="J36" s="83">
        <f>SUM(J4:J35)</f>
        <v>9730.8000000000011</v>
      </c>
      <c r="K36" s="83">
        <f>SUM(K4:K35)</f>
        <v>4523877.7730999999</v>
      </c>
      <c r="L36" s="83">
        <f>SUM(L4:L35)</f>
        <v>3000000</v>
      </c>
      <c r="M36" s="83"/>
      <c r="N36" s="83"/>
      <c r="O36" s="47"/>
    </row>
    <row r="37" spans="1:15">
      <c r="A37" s="320"/>
      <c r="B37" s="320"/>
      <c r="C37" s="320"/>
      <c r="D37" s="320"/>
      <c r="E37" s="413"/>
      <c r="F37" s="321"/>
      <c r="G37" s="321"/>
      <c r="H37" s="321"/>
      <c r="I37" s="321"/>
      <c r="J37" s="321"/>
      <c r="K37" s="321"/>
      <c r="L37" s="321"/>
      <c r="M37" s="321"/>
      <c r="N37" s="321"/>
      <c r="O37" s="47"/>
    </row>
    <row r="38" spans="1:15">
      <c r="A38" s="47"/>
      <c r="B38" s="47"/>
      <c r="C38" s="47"/>
      <c r="D38" s="47"/>
      <c r="E38" s="414"/>
      <c r="F38" s="47"/>
      <c r="G38" s="58"/>
      <c r="H38" s="47"/>
      <c r="I38" s="47"/>
      <c r="J38" s="47"/>
      <c r="K38" s="47"/>
      <c r="L38" s="47"/>
      <c r="M38" s="47"/>
      <c r="N38" s="47"/>
      <c r="O38" s="59"/>
    </row>
    <row r="39" spans="1:15">
      <c r="A39" s="47"/>
      <c r="B39" s="474"/>
      <c r="C39" s="474"/>
      <c r="D39" s="474"/>
      <c r="E39" s="474"/>
      <c r="F39" s="47"/>
      <c r="G39" s="47"/>
      <c r="H39" s="47"/>
      <c r="I39" s="474"/>
      <c r="J39" s="474"/>
      <c r="K39" s="474"/>
      <c r="L39" s="474"/>
      <c r="M39" s="474"/>
      <c r="N39" s="474"/>
      <c r="O39" s="59"/>
    </row>
    <row r="40" spans="1:15">
      <c r="A40" s="47"/>
      <c r="B40" s="47"/>
      <c r="C40" s="47"/>
      <c r="D40" s="47"/>
      <c r="E40" s="414">
        <f>46916.01-46871.04</f>
        <v>44.970000000001164</v>
      </c>
      <c r="F40" s="47"/>
      <c r="G40" s="47"/>
      <c r="H40" s="47"/>
      <c r="I40" s="47"/>
      <c r="J40" s="47"/>
      <c r="K40" s="47"/>
      <c r="L40" s="47"/>
      <c r="M40" s="47"/>
      <c r="N40" s="47"/>
      <c r="O40" s="59"/>
    </row>
  </sheetData>
  <mergeCells count="4">
    <mergeCell ref="B39:E39"/>
    <mergeCell ref="I39:N39"/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13"/>
  <sheetViews>
    <sheetView workbookViewId="0">
      <pane ySplit="2" topLeftCell="A3" activePane="bottomLeft" state="frozen"/>
      <selection pane="bottomLeft" activeCell="L11" sqref="L11"/>
    </sheetView>
  </sheetViews>
  <sheetFormatPr defaultColWidth="9.28515625" defaultRowHeight="15"/>
  <cols>
    <col min="1" max="1" width="5.42578125" style="94" bestFit="1" customWidth="1"/>
    <col min="2" max="2" width="11" style="94" bestFit="1" customWidth="1"/>
    <col min="3" max="3" width="7.140625" style="94" bestFit="1" customWidth="1"/>
    <col min="4" max="4" width="15.140625" style="94" bestFit="1" customWidth="1"/>
    <col min="5" max="5" width="9.28515625" style="94"/>
    <col min="6" max="6" width="9.85546875" style="94" bestFit="1" customWidth="1"/>
    <col min="7" max="7" width="10.42578125" style="94" bestFit="1" customWidth="1"/>
    <col min="8" max="8" width="9.28515625" style="94"/>
    <col min="9" max="9" width="7.140625" style="94" bestFit="1" customWidth="1"/>
    <col min="10" max="10" width="9.5703125" style="94" bestFit="1" customWidth="1"/>
    <col min="11" max="11" width="12.28515625" style="94" customWidth="1"/>
    <col min="12" max="12" width="11.7109375" style="94" bestFit="1" customWidth="1"/>
    <col min="13" max="13" width="11.7109375" style="94" customWidth="1"/>
    <col min="14" max="14" width="17.7109375" style="94" bestFit="1" customWidth="1"/>
    <col min="15" max="16384" width="9.28515625" style="94"/>
  </cols>
  <sheetData>
    <row r="1" spans="1:15" ht="15.75">
      <c r="A1" s="477" t="s">
        <v>28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5">
      <c r="A2" s="142" t="s">
        <v>58</v>
      </c>
      <c r="B2" s="143" t="s">
        <v>59</v>
      </c>
      <c r="C2" s="143" t="s">
        <v>60</v>
      </c>
      <c r="D2" s="143" t="s">
        <v>61</v>
      </c>
      <c r="E2" s="143" t="s">
        <v>62</v>
      </c>
      <c r="F2" s="143" t="s">
        <v>63</v>
      </c>
      <c r="G2" s="143" t="s">
        <v>64</v>
      </c>
      <c r="H2" s="143" t="s">
        <v>65</v>
      </c>
      <c r="I2" s="143" t="s">
        <v>63</v>
      </c>
      <c r="J2" s="176" t="s">
        <v>64</v>
      </c>
      <c r="K2" s="178" t="s">
        <v>66</v>
      </c>
      <c r="L2" s="179" t="s">
        <v>67</v>
      </c>
      <c r="M2" s="180" t="s">
        <v>68</v>
      </c>
      <c r="N2" s="144" t="s">
        <v>69</v>
      </c>
      <c r="O2" s="47"/>
    </row>
    <row r="3" spans="1:15" ht="15.7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95">
        <v>7285.5999999999995</v>
      </c>
      <c r="L3" s="92"/>
      <c r="M3" s="184">
        <f>+K3</f>
        <v>7285.5999999999995</v>
      </c>
      <c r="N3" s="92"/>
    </row>
    <row r="4" spans="1:15" ht="15.75">
      <c r="A4" s="181">
        <v>1</v>
      </c>
      <c r="B4" s="164">
        <v>45662</v>
      </c>
      <c r="C4" s="182">
        <v>1551</v>
      </c>
      <c r="D4" s="183" t="s">
        <v>94</v>
      </c>
      <c r="E4" s="129">
        <v>2500</v>
      </c>
      <c r="F4" s="181">
        <v>90.24</v>
      </c>
      <c r="G4" s="181">
        <f>E4*F4</f>
        <v>225600</v>
      </c>
      <c r="H4" s="181">
        <v>70</v>
      </c>
      <c r="I4" s="181">
        <v>104.14</v>
      </c>
      <c r="J4" s="181">
        <f>H4*I4</f>
        <v>7289.8</v>
      </c>
      <c r="K4" s="181">
        <f>G4+J4</f>
        <v>232889.8</v>
      </c>
      <c r="L4" s="181"/>
      <c r="M4" s="188">
        <f>M3+K4-L4</f>
        <v>240175.4</v>
      </c>
      <c r="N4" s="181"/>
    </row>
    <row r="5" spans="1:15" ht="15.75">
      <c r="A5" s="92">
        <v>2</v>
      </c>
      <c r="B5" s="139">
        <v>45665</v>
      </c>
      <c r="C5" s="29"/>
      <c r="D5" s="30"/>
      <c r="E5" s="92">
        <v>0</v>
      </c>
      <c r="F5" s="92">
        <v>0</v>
      </c>
      <c r="G5" s="92">
        <f>E5*F5</f>
        <v>0</v>
      </c>
      <c r="H5" s="92">
        <v>0</v>
      </c>
      <c r="I5" s="92">
        <v>0</v>
      </c>
      <c r="J5" s="92">
        <f>H5*I5</f>
        <v>0</v>
      </c>
      <c r="K5" s="92">
        <f>G5+J5</f>
        <v>0</v>
      </c>
      <c r="L5" s="92">
        <v>150000</v>
      </c>
      <c r="M5" s="188">
        <f>M4+K5-L5</f>
        <v>90175.4</v>
      </c>
      <c r="N5" s="84" t="s">
        <v>95</v>
      </c>
    </row>
    <row r="6" spans="1:15" ht="18.75" customHeight="1">
      <c r="A6" s="92">
        <v>3</v>
      </c>
      <c r="B6" s="140">
        <v>45673</v>
      </c>
      <c r="C6" s="368">
        <v>1555</v>
      </c>
      <c r="D6" s="367">
        <v>816117</v>
      </c>
      <c r="E6" s="369">
        <v>0</v>
      </c>
      <c r="F6" s="92">
        <v>0</v>
      </c>
      <c r="G6" s="92">
        <f>E6*F6</f>
        <v>0</v>
      </c>
      <c r="H6" s="92">
        <v>70</v>
      </c>
      <c r="I6" s="92">
        <v>104.14</v>
      </c>
      <c r="J6" s="92">
        <f>H6*I6</f>
        <v>7289.8</v>
      </c>
      <c r="K6" s="92">
        <f>G6+J6</f>
        <v>7289.8</v>
      </c>
      <c r="L6" s="92"/>
      <c r="M6" s="188">
        <f>M5+K6-L6</f>
        <v>97465.2</v>
      </c>
      <c r="N6" s="92"/>
    </row>
    <row r="7" spans="1:15" ht="15.75">
      <c r="A7" s="92">
        <v>4</v>
      </c>
      <c r="B7" s="140">
        <v>45680</v>
      </c>
      <c r="C7" s="366"/>
      <c r="D7" s="367"/>
      <c r="E7" s="369"/>
      <c r="F7" s="92"/>
      <c r="G7" s="92"/>
      <c r="H7" s="92"/>
      <c r="I7" s="92"/>
      <c r="J7" s="92"/>
      <c r="K7" s="92"/>
      <c r="L7" s="92">
        <v>77464</v>
      </c>
      <c r="M7" s="188">
        <f>M6+K7-L7</f>
        <v>20001.199999999997</v>
      </c>
      <c r="N7" s="84" t="s">
        <v>95</v>
      </c>
    </row>
    <row r="8" spans="1:15" ht="15.75" customHeight="1">
      <c r="A8" s="92">
        <v>6</v>
      </c>
      <c r="B8" s="140">
        <v>45684</v>
      </c>
      <c r="C8" s="92"/>
      <c r="D8" s="181"/>
      <c r="E8" s="92"/>
      <c r="F8" s="92"/>
      <c r="G8" s="92">
        <f>E8*F8</f>
        <v>0</v>
      </c>
      <c r="H8" s="92">
        <v>70</v>
      </c>
      <c r="I8" s="92">
        <v>104.14</v>
      </c>
      <c r="J8" s="92">
        <f>H8*I8</f>
        <v>7289.8</v>
      </c>
      <c r="K8" s="92">
        <f>G8+J8</f>
        <v>7289.8</v>
      </c>
      <c r="L8" s="92">
        <v>27291</v>
      </c>
      <c r="M8" s="188">
        <f>M7+K8-L8</f>
        <v>0</v>
      </c>
      <c r="N8" s="92"/>
    </row>
    <row r="9" spans="1:15" ht="15.75" customHeight="1">
      <c r="A9" s="92">
        <v>7</v>
      </c>
      <c r="B9" s="92"/>
      <c r="C9" s="92"/>
      <c r="D9" s="181"/>
      <c r="E9" s="92"/>
      <c r="F9" s="92"/>
      <c r="G9" s="92"/>
      <c r="H9" s="92"/>
      <c r="I9" s="92"/>
      <c r="J9" s="92"/>
      <c r="K9" s="92"/>
      <c r="L9" s="92"/>
      <c r="M9" s="188"/>
      <c r="N9" s="92"/>
    </row>
    <row r="10" spans="1:15" ht="15.75" customHeight="1">
      <c r="A10" s="92">
        <v>8</v>
      </c>
      <c r="B10" s="92"/>
      <c r="C10" s="92"/>
      <c r="D10" s="181"/>
      <c r="E10" s="92"/>
      <c r="F10" s="92"/>
      <c r="G10" s="92"/>
      <c r="H10" s="92"/>
      <c r="I10" s="92"/>
      <c r="J10" s="92"/>
      <c r="K10" s="92"/>
      <c r="L10" s="92"/>
      <c r="M10" s="188"/>
      <c r="N10" s="92"/>
    </row>
    <row r="11" spans="1:15">
      <c r="A11" s="82"/>
      <c r="B11" s="82"/>
      <c r="C11" s="82"/>
      <c r="D11" s="82"/>
      <c r="E11" s="83">
        <f>SUM(E4:E8)</f>
        <v>2500</v>
      </c>
      <c r="F11" s="83"/>
      <c r="G11" s="83">
        <f>SUM(G4:G8)</f>
        <v>225600</v>
      </c>
      <c r="H11" s="83">
        <f>SUM(H4:H8)</f>
        <v>210</v>
      </c>
      <c r="I11" s="83"/>
      <c r="J11" s="83">
        <f>SUM(J4:J8)</f>
        <v>21869.4</v>
      </c>
      <c r="K11" s="83">
        <f>SUM(K4:K8)</f>
        <v>247469.39999999997</v>
      </c>
      <c r="L11" s="83">
        <f>SUM(L4:L8)</f>
        <v>254755</v>
      </c>
      <c r="M11" s="83"/>
      <c r="N11" s="83"/>
      <c r="O11" s="47"/>
    </row>
    <row r="13" spans="1:15">
      <c r="D13" s="85"/>
      <c r="E13" s="85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view="pageBreakPreview" zoomScale="60" zoomScaleNormal="90" workbookViewId="0">
      <pane ySplit="2" topLeftCell="A3" activePane="bottomLeft" state="frozen"/>
      <selection pane="bottomLeft" activeCell="Q16" sqref="Q16"/>
    </sheetView>
  </sheetViews>
  <sheetFormatPr defaultColWidth="9.140625" defaultRowHeight="12.75"/>
  <cols>
    <col min="1" max="1" width="5.28515625" style="47" bestFit="1" customWidth="1"/>
    <col min="2" max="2" width="11.85546875" style="47" bestFit="1" customWidth="1"/>
    <col min="3" max="3" width="10.7109375" style="47" bestFit="1" customWidth="1"/>
    <col min="4" max="4" width="21.5703125" style="47" customWidth="1"/>
    <col min="5" max="5" width="10.85546875" style="47" bestFit="1" customWidth="1"/>
    <col min="6" max="6" width="13.7109375" style="47" bestFit="1" customWidth="1"/>
    <col min="7" max="7" width="11.85546875" style="47" bestFit="1" customWidth="1"/>
    <col min="8" max="8" width="10.85546875" style="47" bestFit="1" customWidth="1"/>
    <col min="9" max="9" width="8.140625" style="47" bestFit="1" customWidth="1"/>
    <col min="10" max="10" width="10.85546875" style="47" bestFit="1" customWidth="1"/>
    <col min="11" max="11" width="13.85546875" style="47" bestFit="1" customWidth="1"/>
    <col min="12" max="12" width="12.7109375" style="47" bestFit="1" customWidth="1"/>
    <col min="13" max="13" width="12.7109375" style="47" customWidth="1"/>
    <col min="14" max="14" width="17.7109375" style="47" bestFit="1" customWidth="1"/>
    <col min="15" max="15" width="11.42578125" style="47" customWidth="1"/>
    <col min="16" max="16" width="13.7109375" style="47" customWidth="1"/>
    <col min="17" max="16384" width="9.140625" style="47"/>
  </cols>
  <sheetData>
    <row r="1" spans="1:15" ht="12.75" customHeight="1">
      <c r="A1" s="475" t="s">
        <v>22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</row>
    <row r="2" spans="1:15" ht="13.5">
      <c r="A2" s="160" t="s">
        <v>58</v>
      </c>
      <c r="B2" s="170" t="s">
        <v>59</v>
      </c>
      <c r="C2" s="170" t="s">
        <v>60</v>
      </c>
      <c r="D2" s="170" t="s">
        <v>61</v>
      </c>
      <c r="E2" s="170" t="s">
        <v>62</v>
      </c>
      <c r="F2" s="170" t="s">
        <v>63</v>
      </c>
      <c r="G2" s="170" t="s">
        <v>64</v>
      </c>
      <c r="H2" s="170" t="s">
        <v>65</v>
      </c>
      <c r="I2" s="170" t="s">
        <v>63</v>
      </c>
      <c r="J2" s="170" t="s">
        <v>64</v>
      </c>
      <c r="K2" s="170" t="s">
        <v>66</v>
      </c>
      <c r="L2" s="170" t="s">
        <v>67</v>
      </c>
      <c r="M2" s="170" t="s">
        <v>68</v>
      </c>
      <c r="N2" s="170" t="s">
        <v>69</v>
      </c>
    </row>
    <row r="3" spans="1:15" ht="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234">
        <v>0</v>
      </c>
      <c r="L3" s="233"/>
      <c r="M3" s="233"/>
      <c r="N3" s="171"/>
    </row>
    <row r="4" spans="1:15" ht="15">
      <c r="A4" s="185">
        <v>1</v>
      </c>
      <c r="B4" s="139">
        <v>45659</v>
      </c>
      <c r="C4" s="171">
        <v>1416</v>
      </c>
      <c r="D4" s="185">
        <v>4086</v>
      </c>
      <c r="E4" s="54">
        <v>1612.83</v>
      </c>
      <c r="F4" s="54">
        <v>89.78</v>
      </c>
      <c r="G4" s="54">
        <f>E4*F4</f>
        <v>144799.8774</v>
      </c>
      <c r="H4" s="186">
        <v>50</v>
      </c>
      <c r="I4" s="186">
        <v>104</v>
      </c>
      <c r="J4" s="54">
        <f>H4*I4</f>
        <v>5200</v>
      </c>
      <c r="K4" s="55">
        <f>G4+J4</f>
        <v>149999.8774</v>
      </c>
      <c r="L4" s="55">
        <v>150000</v>
      </c>
      <c r="M4" s="55">
        <f>M3+K4-L4</f>
        <v>-0.12260000000242144</v>
      </c>
      <c r="N4" s="84" t="s">
        <v>95</v>
      </c>
    </row>
    <row r="5" spans="1:15" ht="15">
      <c r="A5" s="185">
        <f t="shared" ref="A5:A10" si="0">A4+1</f>
        <v>2</v>
      </c>
      <c r="B5" s="139">
        <v>45665</v>
      </c>
      <c r="C5" s="171" t="s">
        <v>96</v>
      </c>
      <c r="D5" s="171" t="s">
        <v>97</v>
      </c>
      <c r="E5" s="54">
        <v>1589.66</v>
      </c>
      <c r="F5" s="54">
        <v>89.78</v>
      </c>
      <c r="G5" s="54">
        <f t="shared" ref="G5:G11" si="1">E5*F5</f>
        <v>142719.67480000001</v>
      </c>
      <c r="H5" s="54">
        <v>70</v>
      </c>
      <c r="I5" s="186">
        <v>104</v>
      </c>
      <c r="J5" s="54">
        <f t="shared" ref="J5:J8" si="2">H5*I5</f>
        <v>7280</v>
      </c>
      <c r="K5" s="55">
        <f t="shared" ref="K5:M11" si="3">G5+J5</f>
        <v>149999.67480000001</v>
      </c>
      <c r="L5" s="55">
        <v>150000</v>
      </c>
      <c r="M5" s="55">
        <f>M4+K5-L5</f>
        <v>-0.44779999999445863</v>
      </c>
      <c r="N5" s="84" t="s">
        <v>95</v>
      </c>
    </row>
    <row r="6" spans="1:15" ht="15">
      <c r="A6" s="185">
        <f t="shared" si="0"/>
        <v>3</v>
      </c>
      <c r="B6" s="139">
        <v>45672</v>
      </c>
      <c r="C6" s="171" t="s">
        <v>98</v>
      </c>
      <c r="D6" s="171" t="s">
        <v>99</v>
      </c>
      <c r="E6" s="54">
        <v>1589.66</v>
      </c>
      <c r="F6" s="54">
        <v>89.78</v>
      </c>
      <c r="G6" s="54">
        <f t="shared" si="1"/>
        <v>142719.67480000001</v>
      </c>
      <c r="H6" s="54">
        <v>70</v>
      </c>
      <c r="I6" s="186">
        <v>104</v>
      </c>
      <c r="J6" s="54">
        <f t="shared" si="2"/>
        <v>7280</v>
      </c>
      <c r="K6" s="55">
        <f t="shared" si="3"/>
        <v>149999.67480000001</v>
      </c>
      <c r="L6" s="55">
        <v>150000</v>
      </c>
      <c r="M6" s="55">
        <f>M5+K6-L6</f>
        <v>-0.77299999998649582</v>
      </c>
      <c r="N6" s="84" t="s">
        <v>95</v>
      </c>
    </row>
    <row r="7" spans="1:15" ht="15">
      <c r="A7" s="185">
        <f t="shared" si="0"/>
        <v>4</v>
      </c>
      <c r="B7" s="139">
        <v>45677</v>
      </c>
      <c r="C7" s="171">
        <v>1438</v>
      </c>
      <c r="D7" s="53">
        <v>4765</v>
      </c>
      <c r="E7" s="54">
        <v>0</v>
      </c>
      <c r="F7" s="54">
        <v>89.78</v>
      </c>
      <c r="G7" s="54">
        <f t="shared" si="1"/>
        <v>0</v>
      </c>
      <c r="H7" s="54">
        <v>48</v>
      </c>
      <c r="I7" s="186">
        <v>104</v>
      </c>
      <c r="J7" s="54">
        <f t="shared" si="2"/>
        <v>4992</v>
      </c>
      <c r="K7" s="55">
        <f t="shared" si="3"/>
        <v>4992</v>
      </c>
      <c r="L7" s="55">
        <v>4992</v>
      </c>
      <c r="M7" s="55">
        <f>M6+K7-L7</f>
        <v>-0.77299999998649582</v>
      </c>
      <c r="N7" s="84" t="s">
        <v>95</v>
      </c>
    </row>
    <row r="8" spans="1:15" ht="15">
      <c r="A8" s="185">
        <v>5</v>
      </c>
      <c r="B8" s="139">
        <v>45682</v>
      </c>
      <c r="C8" s="171" t="s">
        <v>100</v>
      </c>
      <c r="D8" s="53" t="s">
        <v>101</v>
      </c>
      <c r="E8" s="54">
        <v>499</v>
      </c>
      <c r="F8" s="54">
        <v>89.78</v>
      </c>
      <c r="G8" s="54">
        <f t="shared" si="1"/>
        <v>44800.22</v>
      </c>
      <c r="H8" s="54">
        <v>50</v>
      </c>
      <c r="I8" s="186">
        <v>104</v>
      </c>
      <c r="J8" s="54">
        <f t="shared" si="2"/>
        <v>5200</v>
      </c>
      <c r="K8" s="55">
        <f t="shared" si="3"/>
        <v>50000.22</v>
      </c>
      <c r="L8" s="55">
        <v>50000.22</v>
      </c>
      <c r="M8" s="55">
        <f>M7+K8-L8</f>
        <v>-0.77299999998649582</v>
      </c>
      <c r="N8" s="84" t="s">
        <v>95</v>
      </c>
    </row>
    <row r="9" spans="1:15" ht="15">
      <c r="A9" s="185">
        <v>6</v>
      </c>
      <c r="B9" s="139">
        <v>45684</v>
      </c>
      <c r="C9" s="171">
        <v>1445</v>
      </c>
      <c r="D9" s="53">
        <v>4389</v>
      </c>
      <c r="E9" s="54">
        <v>445.53</v>
      </c>
      <c r="F9" s="54">
        <v>89.78</v>
      </c>
      <c r="G9" s="54">
        <f t="shared" si="1"/>
        <v>39999.683399999994</v>
      </c>
      <c r="H9" s="54"/>
      <c r="I9" s="186">
        <v>104</v>
      </c>
      <c r="J9" s="54">
        <f t="shared" ref="J9:J11" si="4">H9*I9</f>
        <v>0</v>
      </c>
      <c r="K9" s="55">
        <f t="shared" si="3"/>
        <v>39999.683399999994</v>
      </c>
      <c r="L9" s="55">
        <f t="shared" si="3"/>
        <v>39999.683399999994</v>
      </c>
      <c r="M9" s="55">
        <f t="shared" ref="M9:M11" si="5">M8+K9-L9</f>
        <v>-0.77299999998649582</v>
      </c>
      <c r="N9" s="84" t="s">
        <v>95</v>
      </c>
    </row>
    <row r="10" spans="1:15" ht="15">
      <c r="A10" s="185">
        <v>7</v>
      </c>
      <c r="B10" s="139">
        <v>45685</v>
      </c>
      <c r="C10" s="171" t="s">
        <v>102</v>
      </c>
      <c r="D10" s="53" t="s">
        <v>103</v>
      </c>
      <c r="E10" s="54">
        <v>1032.75</v>
      </c>
      <c r="F10" s="54">
        <v>89.78</v>
      </c>
      <c r="G10" s="54">
        <f t="shared" si="1"/>
        <v>92720.294999999998</v>
      </c>
      <c r="H10" s="54">
        <v>70</v>
      </c>
      <c r="I10" s="186">
        <v>104</v>
      </c>
      <c r="J10" s="54">
        <f t="shared" si="4"/>
        <v>7280</v>
      </c>
      <c r="K10" s="55">
        <f t="shared" si="3"/>
        <v>100000.295</v>
      </c>
      <c r="L10" s="55">
        <v>100000</v>
      </c>
      <c r="M10" s="55">
        <f t="shared" si="5"/>
        <v>-0.47799999998824205</v>
      </c>
      <c r="N10" s="84" t="s">
        <v>95</v>
      </c>
    </row>
    <row r="11" spans="1:15" ht="15">
      <c r="A11" s="185">
        <v>8</v>
      </c>
      <c r="B11" s="139">
        <v>45688</v>
      </c>
      <c r="C11" s="171"/>
      <c r="D11" s="53"/>
      <c r="E11" s="54">
        <v>1055.9100000000001</v>
      </c>
      <c r="F11" s="54">
        <v>89.78</v>
      </c>
      <c r="G11" s="54">
        <f t="shared" si="1"/>
        <v>94799.599800000011</v>
      </c>
      <c r="H11" s="54">
        <v>50</v>
      </c>
      <c r="I11" s="186">
        <v>104</v>
      </c>
      <c r="J11" s="54">
        <f t="shared" si="4"/>
        <v>5200</v>
      </c>
      <c r="K11" s="55">
        <f t="shared" si="3"/>
        <v>99999.599800000011</v>
      </c>
      <c r="L11" s="55"/>
      <c r="M11" s="55">
        <f t="shared" si="5"/>
        <v>99999.121800000023</v>
      </c>
      <c r="N11" s="84"/>
    </row>
    <row r="12" spans="1:15" ht="15">
      <c r="A12" s="185"/>
      <c r="B12" s="139"/>
      <c r="C12" s="171"/>
      <c r="D12" s="53"/>
      <c r="E12" s="54"/>
      <c r="F12" s="54"/>
      <c r="G12" s="54"/>
      <c r="H12" s="54"/>
      <c r="I12" s="186"/>
      <c r="J12" s="54"/>
      <c r="K12" s="55"/>
      <c r="L12" s="55"/>
      <c r="M12" s="55"/>
      <c r="N12" s="84"/>
    </row>
    <row r="13" spans="1:15" ht="15">
      <c r="A13" s="185"/>
      <c r="B13" s="139"/>
      <c r="C13" s="171"/>
      <c r="D13" s="53"/>
      <c r="E13" s="54"/>
      <c r="F13" s="54"/>
      <c r="G13" s="54"/>
      <c r="H13" s="54"/>
      <c r="I13" s="186"/>
      <c r="J13" s="54"/>
      <c r="K13" s="55"/>
      <c r="L13" s="55"/>
      <c r="M13" s="55"/>
      <c r="N13" s="84"/>
    </row>
    <row r="14" spans="1:15">
      <c r="A14" s="82"/>
      <c r="B14" s="82"/>
      <c r="C14" s="82"/>
      <c r="D14" s="82"/>
      <c r="E14" s="83">
        <f>SUM(E4:E12)</f>
        <v>7825.3399999999992</v>
      </c>
      <c r="F14" s="83"/>
      <c r="G14" s="83">
        <f>SUM(G4:G12)</f>
        <v>702559.02520000003</v>
      </c>
      <c r="H14" s="83">
        <f>SUM(H4:H12)</f>
        <v>408</v>
      </c>
      <c r="I14" s="83"/>
      <c r="J14" s="83">
        <f>SUM(J4:J12)</f>
        <v>42432</v>
      </c>
      <c r="K14" s="83">
        <f>SUM(K4:K12)</f>
        <v>744991.02520000003</v>
      </c>
      <c r="L14" s="83">
        <f>SUM(L4:L12)</f>
        <v>644991.90339999995</v>
      </c>
      <c r="M14" s="83"/>
      <c r="N14" s="83"/>
    </row>
    <row r="15" spans="1:15">
      <c r="A15" s="56"/>
      <c r="B15" s="56"/>
      <c r="C15" s="56"/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5">
      <c r="G16" s="58"/>
      <c r="O16" s="59"/>
    </row>
    <row r="17" spans="2:15">
      <c r="B17" s="474"/>
      <c r="C17" s="474"/>
      <c r="D17" s="474"/>
      <c r="E17" s="474"/>
      <c r="I17" s="474"/>
      <c r="J17" s="474"/>
      <c r="K17" s="474"/>
      <c r="L17" s="474"/>
      <c r="M17" s="474"/>
      <c r="N17" s="474"/>
      <c r="O17" s="59"/>
    </row>
    <row r="18" spans="2:15">
      <c r="O18" s="59"/>
    </row>
  </sheetData>
  <mergeCells count="4">
    <mergeCell ref="A1:N1"/>
    <mergeCell ref="I17:N17"/>
    <mergeCell ref="B17:E17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15"/>
  <sheetViews>
    <sheetView workbookViewId="0">
      <pane ySplit="2" topLeftCell="A3" activePane="bottomLeft" state="frozen"/>
      <selection pane="bottomLeft" activeCell="O17" sqref="O17"/>
    </sheetView>
  </sheetViews>
  <sheetFormatPr defaultColWidth="12.28515625" defaultRowHeight="12.75"/>
  <cols>
    <col min="1" max="1" width="8.42578125" style="106" customWidth="1"/>
    <col min="2" max="3" width="12.28515625" style="106"/>
    <col min="4" max="4" width="13.5703125" style="106" customWidth="1"/>
    <col min="5" max="5" width="12.28515625" style="106"/>
    <col min="6" max="6" width="13.7109375" style="106" bestFit="1" customWidth="1"/>
    <col min="7" max="16384" width="12.28515625" style="106"/>
  </cols>
  <sheetData>
    <row r="1" spans="1:15" ht="15.75" customHeight="1">
      <c r="A1" s="479" t="s">
        <v>26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105"/>
    </row>
    <row r="2" spans="1:15" ht="15.75" customHeight="1">
      <c r="A2" s="142" t="s">
        <v>58</v>
      </c>
      <c r="B2" s="143" t="s">
        <v>59</v>
      </c>
      <c r="C2" s="143" t="s">
        <v>60</v>
      </c>
      <c r="D2" s="143" t="s">
        <v>61</v>
      </c>
      <c r="E2" s="143" t="s">
        <v>62</v>
      </c>
      <c r="F2" s="143" t="s">
        <v>63</v>
      </c>
      <c r="G2" s="143" t="s">
        <v>64</v>
      </c>
      <c r="H2" s="143" t="s">
        <v>65</v>
      </c>
      <c r="I2" s="143" t="s">
        <v>63</v>
      </c>
      <c r="J2" s="176" t="s">
        <v>64</v>
      </c>
      <c r="K2" s="178" t="s">
        <v>66</v>
      </c>
      <c r="L2" s="179" t="s">
        <v>67</v>
      </c>
      <c r="M2" s="180" t="s">
        <v>68</v>
      </c>
      <c r="N2" s="144" t="s">
        <v>69</v>
      </c>
      <c r="O2" s="47"/>
    </row>
    <row r="3" spans="1:15" ht="15.75" customHeight="1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43">
        <v>1103495</v>
      </c>
      <c r="L3" s="200"/>
      <c r="M3" s="201">
        <f>+K3</f>
        <v>1103495</v>
      </c>
      <c r="N3" s="200"/>
      <c r="O3" s="47"/>
    </row>
    <row r="4" spans="1:15">
      <c r="A4" s="48">
        <v>1</v>
      </c>
      <c r="B4" s="202">
        <v>45665</v>
      </c>
      <c r="C4" s="203" t="s">
        <v>104</v>
      </c>
      <c r="D4" s="165">
        <v>222450</v>
      </c>
      <c r="E4" s="115">
        <v>1000</v>
      </c>
      <c r="F4" s="115">
        <v>90.15</v>
      </c>
      <c r="G4" s="167">
        <f>E4*F4</f>
        <v>90150</v>
      </c>
      <c r="H4" s="204">
        <v>105</v>
      </c>
      <c r="I4" s="204">
        <v>104.27</v>
      </c>
      <c r="J4" s="115">
        <f>H4*I4</f>
        <v>10948.35</v>
      </c>
      <c r="K4" s="115">
        <f>G4+J4</f>
        <v>101098.35</v>
      </c>
      <c r="L4" s="205"/>
      <c r="M4" s="205">
        <f>M3+K4-L4</f>
        <v>1204593.3500000001</v>
      </c>
      <c r="N4" s="115"/>
      <c r="O4" s="35"/>
    </row>
    <row r="5" spans="1:15">
      <c r="A5" s="50">
        <v>2</v>
      </c>
      <c r="B5" s="104">
        <v>45672</v>
      </c>
      <c r="C5" s="37" t="s">
        <v>105</v>
      </c>
      <c r="D5" s="37">
        <v>225370</v>
      </c>
      <c r="E5" s="49">
        <v>1000</v>
      </c>
      <c r="F5" s="49">
        <v>90.15</v>
      </c>
      <c r="G5" s="107">
        <f>E5*F5</f>
        <v>90150</v>
      </c>
      <c r="H5" s="60">
        <v>35</v>
      </c>
      <c r="I5" s="38">
        <v>104.27</v>
      </c>
      <c r="J5" s="49">
        <f>H5*I5</f>
        <v>3649.45</v>
      </c>
      <c r="K5" s="49">
        <f>G5+J5</f>
        <v>93799.45</v>
      </c>
      <c r="L5" s="41"/>
      <c r="M5" s="40">
        <f>M4+K5-L5</f>
        <v>1298392.8</v>
      </c>
      <c r="N5" s="51"/>
      <c r="O5" s="35"/>
    </row>
    <row r="6" spans="1:15">
      <c r="A6" s="50">
        <v>3</v>
      </c>
      <c r="B6" s="104">
        <v>45679</v>
      </c>
      <c r="C6" s="52" t="s">
        <v>106</v>
      </c>
      <c r="D6" s="42"/>
      <c r="E6" s="49">
        <v>1000</v>
      </c>
      <c r="F6" s="49">
        <v>90.15</v>
      </c>
      <c r="G6" s="107">
        <f>E6*F6</f>
        <v>90150</v>
      </c>
      <c r="H6" s="49">
        <v>70</v>
      </c>
      <c r="I6" s="38">
        <v>104.27</v>
      </c>
      <c r="J6" s="49">
        <f>H6*I6</f>
        <v>7298.9</v>
      </c>
      <c r="K6" s="55">
        <f>G6+J6</f>
        <v>97448.9</v>
      </c>
      <c r="L6" s="43"/>
      <c r="M6" s="40">
        <f>M5+K6-L6</f>
        <v>1395841.7</v>
      </c>
      <c r="N6" s="43"/>
      <c r="O6" s="35"/>
    </row>
    <row r="7" spans="1:15">
      <c r="A7" s="50">
        <v>4</v>
      </c>
      <c r="B7" s="104">
        <v>45684</v>
      </c>
      <c r="C7" s="52" t="s">
        <v>107</v>
      </c>
      <c r="D7" s="42"/>
      <c r="E7" s="57">
        <v>1000</v>
      </c>
      <c r="F7" s="49">
        <v>90.15</v>
      </c>
      <c r="G7" s="107">
        <f>E7*F7</f>
        <v>90150</v>
      </c>
      <c r="H7" s="49">
        <v>35</v>
      </c>
      <c r="I7" s="38">
        <v>104.27</v>
      </c>
      <c r="J7" s="49">
        <f>H7*I7</f>
        <v>3649.45</v>
      </c>
      <c r="K7" s="55">
        <f>G7+J7</f>
        <v>93799.45</v>
      </c>
      <c r="L7" s="43"/>
      <c r="M7" s="40">
        <f>M6+K7-L7</f>
        <v>1489641.15</v>
      </c>
      <c r="N7" s="43"/>
      <c r="O7" s="35"/>
    </row>
    <row r="8" spans="1:15">
      <c r="A8" s="50"/>
      <c r="B8" s="104">
        <v>45688</v>
      </c>
      <c r="C8" s="52" t="s">
        <v>108</v>
      </c>
      <c r="D8" s="42"/>
      <c r="E8" s="55">
        <v>960</v>
      </c>
      <c r="F8" s="49">
        <v>90.15</v>
      </c>
      <c r="G8" s="107">
        <f>E8*F8</f>
        <v>86544</v>
      </c>
      <c r="H8" s="39">
        <v>38</v>
      </c>
      <c r="I8" s="38">
        <v>104.27</v>
      </c>
      <c r="J8" s="49">
        <f>H8*I8</f>
        <v>3962.2599999999998</v>
      </c>
      <c r="K8" s="55">
        <f>G8+J8</f>
        <v>90506.26</v>
      </c>
      <c r="L8" s="55">
        <v>1000000</v>
      </c>
      <c r="M8" s="40">
        <f>M7+K8-L8</f>
        <v>580147.40999999992</v>
      </c>
      <c r="N8" s="43"/>
      <c r="O8" s="35"/>
    </row>
    <row r="9" spans="1:15">
      <c r="A9" s="429"/>
      <c r="B9" s="430"/>
      <c r="C9" s="35"/>
      <c r="D9" s="42"/>
      <c r="E9" s="43"/>
      <c r="F9" s="43"/>
      <c r="G9" s="431"/>
      <c r="H9" s="431"/>
      <c r="I9" s="431"/>
      <c r="J9" s="431"/>
      <c r="K9" s="43"/>
      <c r="L9" s="43"/>
      <c r="M9" s="43"/>
      <c r="N9" s="43"/>
      <c r="O9" s="35"/>
    </row>
    <row r="10" spans="1:15">
      <c r="A10" s="82"/>
      <c r="B10" s="82"/>
      <c r="C10" s="82"/>
      <c r="D10" s="82"/>
      <c r="E10" s="83">
        <f>SUM(E4:E8)</f>
        <v>4960</v>
      </c>
      <c r="F10" s="83"/>
      <c r="G10" s="83">
        <f>SUM(G4:G8)</f>
        <v>447144</v>
      </c>
      <c r="H10" s="83">
        <f>SUM(H4:H8)</f>
        <v>283</v>
      </c>
      <c r="I10" s="83"/>
      <c r="J10" s="83">
        <f>SUM(J4:J8)</f>
        <v>29508.409999999996</v>
      </c>
      <c r="K10" s="83">
        <f>SUM(K4:K8)</f>
        <v>476652.41</v>
      </c>
      <c r="L10" s="83">
        <f>SUM(L4:L8)</f>
        <v>1000000</v>
      </c>
      <c r="M10" s="83"/>
      <c r="N10" s="83"/>
      <c r="O10" s="47"/>
    </row>
    <row r="11" spans="1:15">
      <c r="A11" s="44"/>
      <c r="B11" s="44"/>
      <c r="C11" s="44"/>
      <c r="D11" s="44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5"/>
    </row>
    <row r="12" spans="1:15">
      <c r="A12" s="35"/>
      <c r="B12" s="35"/>
      <c r="C12" s="35"/>
      <c r="D12" s="35"/>
      <c r="E12" s="35"/>
      <c r="F12" s="35"/>
      <c r="G12" s="45"/>
      <c r="H12" s="35"/>
      <c r="I12" s="35"/>
      <c r="J12" s="35"/>
      <c r="K12" s="35"/>
      <c r="L12" s="35"/>
      <c r="M12" s="35"/>
      <c r="N12" s="35"/>
      <c r="O12" s="46"/>
    </row>
    <row r="13" spans="1:15">
      <c r="A13" s="35"/>
      <c r="B13" s="480"/>
      <c r="C13" s="480"/>
      <c r="D13" s="480"/>
      <c r="E13" s="480"/>
      <c r="F13" s="35"/>
      <c r="G13" s="35"/>
      <c r="H13" s="35"/>
      <c r="I13" s="480"/>
      <c r="J13" s="480"/>
      <c r="K13" s="480"/>
      <c r="L13" s="480"/>
      <c r="M13" s="480"/>
      <c r="N13" s="480"/>
      <c r="O13" s="46"/>
    </row>
    <row r="14" spans="1:1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46"/>
    </row>
    <row r="15" spans="1:15">
      <c r="F15" s="444">
        <f>90*F8</f>
        <v>8113.5000000000009</v>
      </c>
    </row>
  </sheetData>
  <mergeCells count="4">
    <mergeCell ref="A1:N1"/>
    <mergeCell ref="B13:E13"/>
    <mergeCell ref="I13:N13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12"/>
  <sheetViews>
    <sheetView workbookViewId="0">
      <selection activeCell="I16" sqref="I16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</cols>
  <sheetData>
    <row r="1" spans="1:14" ht="15.75">
      <c r="A1" s="475" t="s">
        <v>30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</row>
    <row r="2" spans="1:14">
      <c r="A2" s="160" t="s">
        <v>58</v>
      </c>
      <c r="B2" s="170" t="s">
        <v>59</v>
      </c>
      <c r="C2" s="170" t="s">
        <v>60</v>
      </c>
      <c r="D2" s="170" t="s">
        <v>61</v>
      </c>
      <c r="E2" s="170" t="s">
        <v>62</v>
      </c>
      <c r="F2" s="170" t="s">
        <v>63</v>
      </c>
      <c r="G2" s="170" t="s">
        <v>64</v>
      </c>
      <c r="H2" s="170" t="s">
        <v>65</v>
      </c>
      <c r="I2" s="170" t="s">
        <v>63</v>
      </c>
      <c r="J2" s="170" t="s">
        <v>64</v>
      </c>
      <c r="K2" s="170" t="s">
        <v>66</v>
      </c>
      <c r="L2" s="170" t="s">
        <v>67</v>
      </c>
      <c r="M2" s="170" t="s">
        <v>68</v>
      </c>
      <c r="N2" s="170" t="s">
        <v>69</v>
      </c>
    </row>
    <row r="3" spans="1:14">
      <c r="A3" s="481" t="s">
        <v>70</v>
      </c>
      <c r="B3" s="481"/>
      <c r="C3" s="481"/>
      <c r="D3" s="481"/>
      <c r="E3" s="481"/>
      <c r="F3" s="481"/>
      <c r="G3" s="481"/>
      <c r="H3" s="481"/>
      <c r="I3" s="481"/>
      <c r="J3" s="481"/>
      <c r="K3" s="152">
        <v>0</v>
      </c>
      <c r="L3" s="152">
        <v>0</v>
      </c>
      <c r="M3" s="152">
        <f>+K3</f>
        <v>0</v>
      </c>
      <c r="N3" s="23"/>
    </row>
    <row r="4" spans="1:14">
      <c r="A4" s="23">
        <v>1</v>
      </c>
      <c r="B4" s="139">
        <v>45659</v>
      </c>
      <c r="C4" s="23"/>
      <c r="D4" s="23"/>
      <c r="E4" s="141">
        <v>150</v>
      </c>
      <c r="F4" s="141">
        <v>90.23</v>
      </c>
      <c r="G4" s="23">
        <f>E4*F4</f>
        <v>13534.5</v>
      </c>
      <c r="H4" s="141">
        <v>10</v>
      </c>
      <c r="I4" s="141">
        <v>104.13</v>
      </c>
      <c r="J4" s="23">
        <f>H4*I4</f>
        <v>1041.3</v>
      </c>
      <c r="K4" s="23">
        <f>G4+J4</f>
        <v>14575.8</v>
      </c>
      <c r="L4" s="23">
        <f>K4</f>
        <v>14575.8</v>
      </c>
      <c r="M4" s="23">
        <f>M3+K4-L4</f>
        <v>0</v>
      </c>
      <c r="N4" s="84" t="s">
        <v>95</v>
      </c>
    </row>
    <row r="5" spans="1:14">
      <c r="A5" s="23">
        <v>2</v>
      </c>
      <c r="B5" s="139">
        <v>45664</v>
      </c>
      <c r="C5" s="23"/>
      <c r="D5" s="23"/>
      <c r="E5" s="141">
        <v>200</v>
      </c>
      <c r="F5" s="141">
        <v>90.24</v>
      </c>
      <c r="G5" s="23">
        <f t="shared" ref="G5:G10" si="0">E5*F5</f>
        <v>18048</v>
      </c>
      <c r="H5" s="141">
        <v>0</v>
      </c>
      <c r="I5" s="141">
        <v>104.13</v>
      </c>
      <c r="J5" s="23">
        <f t="shared" ref="J5:J10" si="1">H5*I5</f>
        <v>0</v>
      </c>
      <c r="K5" s="23">
        <f t="shared" ref="K5:K10" si="2">G5+J5</f>
        <v>18048</v>
      </c>
      <c r="L5" s="23">
        <f t="shared" ref="L5:L10" si="3">K5</f>
        <v>18048</v>
      </c>
      <c r="M5" s="23">
        <f t="shared" ref="M5:M10" si="4">M4+K5-L5</f>
        <v>0</v>
      </c>
      <c r="N5" s="84" t="s">
        <v>95</v>
      </c>
    </row>
    <row r="6" spans="1:14">
      <c r="A6" s="23">
        <v>3</v>
      </c>
      <c r="B6" s="139">
        <v>45665</v>
      </c>
      <c r="C6" s="23"/>
      <c r="D6" s="23"/>
      <c r="E6" s="141">
        <v>20</v>
      </c>
      <c r="F6" s="141">
        <v>90.23</v>
      </c>
      <c r="G6" s="23">
        <f t="shared" si="0"/>
        <v>1804.6000000000001</v>
      </c>
      <c r="H6" s="141">
        <v>0</v>
      </c>
      <c r="I6" s="141">
        <v>104.13</v>
      </c>
      <c r="J6" s="23">
        <f t="shared" si="1"/>
        <v>0</v>
      </c>
      <c r="K6" s="23">
        <f t="shared" si="2"/>
        <v>1804.6000000000001</v>
      </c>
      <c r="L6" s="23">
        <f t="shared" si="3"/>
        <v>1804.6000000000001</v>
      </c>
      <c r="M6" s="23">
        <f t="shared" si="4"/>
        <v>0</v>
      </c>
      <c r="N6" s="84" t="s">
        <v>95</v>
      </c>
    </row>
    <row r="7" spans="1:14">
      <c r="A7" s="23">
        <v>4</v>
      </c>
      <c r="B7" s="139">
        <v>45667</v>
      </c>
      <c r="C7" s="23"/>
      <c r="D7" s="23"/>
      <c r="E7" s="141">
        <v>270</v>
      </c>
      <c r="F7" s="141">
        <v>90.23</v>
      </c>
      <c r="G7" s="23">
        <f t="shared" si="0"/>
        <v>24362.100000000002</v>
      </c>
      <c r="H7" s="141">
        <v>50</v>
      </c>
      <c r="I7" s="141">
        <v>104.13</v>
      </c>
      <c r="J7" s="23">
        <f t="shared" si="1"/>
        <v>5206.5</v>
      </c>
      <c r="K7" s="23">
        <f t="shared" si="2"/>
        <v>29568.600000000002</v>
      </c>
      <c r="L7" s="23">
        <f t="shared" si="3"/>
        <v>29568.600000000002</v>
      </c>
      <c r="M7" s="23">
        <f t="shared" si="4"/>
        <v>0</v>
      </c>
      <c r="N7" s="84" t="s">
        <v>95</v>
      </c>
    </row>
    <row r="8" spans="1:14">
      <c r="A8" s="23">
        <v>5</v>
      </c>
      <c r="B8" s="139">
        <v>45674</v>
      </c>
      <c r="C8" s="23"/>
      <c r="D8" s="23"/>
      <c r="E8" s="141">
        <v>430</v>
      </c>
      <c r="F8" s="141">
        <v>90.23</v>
      </c>
      <c r="G8" s="23">
        <f t="shared" si="0"/>
        <v>38798.9</v>
      </c>
      <c r="H8" s="141"/>
      <c r="I8" s="141">
        <v>104.13</v>
      </c>
      <c r="J8" s="23">
        <f t="shared" si="1"/>
        <v>0</v>
      </c>
      <c r="K8" s="23">
        <f t="shared" si="2"/>
        <v>38798.9</v>
      </c>
      <c r="L8" s="23">
        <f t="shared" si="3"/>
        <v>38798.9</v>
      </c>
      <c r="M8" s="23">
        <f t="shared" si="4"/>
        <v>0</v>
      </c>
      <c r="N8" s="84" t="s">
        <v>95</v>
      </c>
    </row>
    <row r="9" spans="1:14">
      <c r="A9" s="23">
        <v>6</v>
      </c>
      <c r="B9" s="139">
        <v>45681</v>
      </c>
      <c r="C9" s="23"/>
      <c r="D9" s="23"/>
      <c r="E9" s="141">
        <v>200</v>
      </c>
      <c r="F9" s="141">
        <v>90.23</v>
      </c>
      <c r="G9" s="23">
        <f t="shared" si="0"/>
        <v>18046</v>
      </c>
      <c r="H9" s="141">
        <v>15</v>
      </c>
      <c r="I9" s="141">
        <v>104.13</v>
      </c>
      <c r="J9" s="23">
        <f t="shared" si="1"/>
        <v>1561.9499999999998</v>
      </c>
      <c r="K9" s="23">
        <f t="shared" si="2"/>
        <v>19607.95</v>
      </c>
      <c r="L9" s="23">
        <f t="shared" si="3"/>
        <v>19607.95</v>
      </c>
      <c r="M9" s="23">
        <f t="shared" si="4"/>
        <v>0</v>
      </c>
      <c r="N9" s="84" t="s">
        <v>95</v>
      </c>
    </row>
    <row r="10" spans="1:14">
      <c r="A10" s="23">
        <v>7</v>
      </c>
      <c r="B10" s="139">
        <v>45682</v>
      </c>
      <c r="C10" s="23"/>
      <c r="D10" s="23"/>
      <c r="E10" s="141">
        <v>200</v>
      </c>
      <c r="F10" s="141">
        <v>90.23</v>
      </c>
      <c r="G10" s="23">
        <f t="shared" si="0"/>
        <v>18046</v>
      </c>
      <c r="H10" s="23">
        <v>15</v>
      </c>
      <c r="I10" s="141">
        <v>104.13</v>
      </c>
      <c r="J10" s="23">
        <f t="shared" si="1"/>
        <v>1561.9499999999998</v>
      </c>
      <c r="K10" s="23">
        <f t="shared" si="2"/>
        <v>19607.95</v>
      </c>
      <c r="L10" s="23">
        <f t="shared" si="3"/>
        <v>19607.95</v>
      </c>
      <c r="M10" s="23">
        <f t="shared" si="4"/>
        <v>0</v>
      </c>
      <c r="N10" s="84" t="s">
        <v>95</v>
      </c>
    </row>
    <row r="11" spans="1:14">
      <c r="A11" s="23">
        <v>8</v>
      </c>
      <c r="B11" s="139">
        <v>45683</v>
      </c>
      <c r="C11" s="23"/>
      <c r="D11" s="23"/>
      <c r="E11" s="141">
        <v>0</v>
      </c>
      <c r="F11" s="141"/>
      <c r="G11" s="23"/>
      <c r="H11" s="23">
        <v>0</v>
      </c>
      <c r="I11" s="141"/>
      <c r="J11" s="23"/>
      <c r="K11" s="23"/>
      <c r="L11" s="23"/>
      <c r="M11" s="23"/>
      <c r="N11" s="84"/>
    </row>
    <row r="12" spans="1:14">
      <c r="A12" s="82"/>
      <c r="B12" s="82"/>
      <c r="C12" s="82"/>
      <c r="D12" s="82"/>
      <c r="E12" s="82">
        <f>SUM(E4:E10)</f>
        <v>1470</v>
      </c>
      <c r="F12" s="82"/>
      <c r="G12" s="82">
        <f>SUM(G4:G10)</f>
        <v>132640.1</v>
      </c>
      <c r="H12" s="82">
        <f>SUM(H4:H10)</f>
        <v>90</v>
      </c>
      <c r="I12" s="82"/>
      <c r="J12" s="82">
        <f>SUM(J4:J10)</f>
        <v>9371.7000000000007</v>
      </c>
      <c r="K12" s="82">
        <f>SUM(K4:K10)</f>
        <v>142011.79999999999</v>
      </c>
      <c r="L12" s="82">
        <f>SUM(L4:L10)</f>
        <v>142011.79999999999</v>
      </c>
      <c r="M12" s="82"/>
      <c r="N12" s="82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O28"/>
  <sheetViews>
    <sheetView workbookViewId="0">
      <pane ySplit="2" topLeftCell="D3" activePane="bottomLeft" state="frozen"/>
      <selection pane="bottomLeft" activeCell="Q17" sqref="Q17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9.71093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</cols>
  <sheetData>
    <row r="1" spans="1:15">
      <c r="A1" s="482" t="s">
        <v>24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132"/>
    </row>
    <row r="2" spans="1:15">
      <c r="A2" s="189" t="s">
        <v>58</v>
      </c>
      <c r="B2" s="190" t="s">
        <v>59</v>
      </c>
      <c r="C2" s="190" t="s">
        <v>60</v>
      </c>
      <c r="D2" s="190" t="s">
        <v>61</v>
      </c>
      <c r="E2" s="190" t="s">
        <v>62</v>
      </c>
      <c r="F2" s="190" t="s">
        <v>63</v>
      </c>
      <c r="G2" s="190" t="s">
        <v>64</v>
      </c>
      <c r="H2" s="190" t="s">
        <v>65</v>
      </c>
      <c r="I2" s="190" t="s">
        <v>63</v>
      </c>
      <c r="J2" s="191" t="s">
        <v>64</v>
      </c>
      <c r="K2" s="189" t="s">
        <v>66</v>
      </c>
      <c r="L2" s="192" t="s">
        <v>67</v>
      </c>
      <c r="M2" s="192" t="s">
        <v>68</v>
      </c>
      <c r="N2" s="190" t="s">
        <v>69</v>
      </c>
      <c r="O2" s="103"/>
    </row>
    <row r="3" spans="1: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153">
        <v>0</v>
      </c>
      <c r="L3" s="67"/>
      <c r="M3" s="67"/>
      <c r="N3" s="23"/>
      <c r="O3" s="103"/>
    </row>
    <row r="4" spans="1:15">
      <c r="A4" s="193">
        <v>1</v>
      </c>
      <c r="B4" s="164">
        <v>45659</v>
      </c>
      <c r="C4" s="194"/>
      <c r="D4" s="195"/>
      <c r="E4" s="148">
        <v>400</v>
      </c>
      <c r="F4" s="148">
        <v>90.23</v>
      </c>
      <c r="G4" s="25">
        <f>E4*F4</f>
        <v>36092</v>
      </c>
      <c r="H4" s="148">
        <v>35</v>
      </c>
      <c r="I4" s="148">
        <v>104.14</v>
      </c>
      <c r="J4" s="25">
        <f>H4*I4</f>
        <v>3644.9</v>
      </c>
      <c r="K4" s="25">
        <f>G4+J4</f>
        <v>39736.9</v>
      </c>
      <c r="L4" s="196">
        <f>+K4</f>
        <v>39736.9</v>
      </c>
      <c r="M4" s="196">
        <f>M3+K4-L4</f>
        <v>0</v>
      </c>
      <c r="N4" s="84" t="s">
        <v>95</v>
      </c>
    </row>
    <row r="5" spans="1:15">
      <c r="A5" s="135">
        <v>2</v>
      </c>
      <c r="B5" s="139">
        <v>45663</v>
      </c>
      <c r="C5" s="113"/>
      <c r="D5" s="113"/>
      <c r="E5" s="84">
        <v>110.83</v>
      </c>
      <c r="F5" s="84">
        <v>90.23</v>
      </c>
      <c r="G5" s="9">
        <f>E5*F5</f>
        <v>10000.1909</v>
      </c>
      <c r="H5" s="84">
        <v>0</v>
      </c>
      <c r="I5" s="84">
        <v>104.14</v>
      </c>
      <c r="J5" s="9">
        <f>H5*I5</f>
        <v>0</v>
      </c>
      <c r="K5" s="9">
        <f>G5+J5</f>
        <v>10000.1909</v>
      </c>
      <c r="L5" s="196">
        <f t="shared" ref="L5:L11" si="0">+K5</f>
        <v>10000.1909</v>
      </c>
      <c r="M5" s="196">
        <f>M4+K5-L5</f>
        <v>0</v>
      </c>
      <c r="N5" s="84" t="s">
        <v>95</v>
      </c>
    </row>
    <row r="6" spans="1:15">
      <c r="A6" s="135">
        <v>3</v>
      </c>
      <c r="B6" s="139">
        <v>45664</v>
      </c>
      <c r="C6" s="113"/>
      <c r="D6" s="113"/>
      <c r="E6" s="84">
        <v>400</v>
      </c>
      <c r="F6" s="84">
        <v>90.24</v>
      </c>
      <c r="G6" s="9">
        <f>E6*F6</f>
        <v>36096</v>
      </c>
      <c r="H6" s="84">
        <v>0</v>
      </c>
      <c r="I6" s="84">
        <v>104.14</v>
      </c>
      <c r="J6" s="9">
        <f>H6*I6</f>
        <v>0</v>
      </c>
      <c r="K6" s="9">
        <f>G6+J6</f>
        <v>36096</v>
      </c>
      <c r="L6" s="196">
        <f t="shared" si="0"/>
        <v>36096</v>
      </c>
      <c r="M6" s="196">
        <f>M5+K6-L6</f>
        <v>0</v>
      </c>
      <c r="N6" s="84" t="s">
        <v>95</v>
      </c>
    </row>
    <row r="7" spans="1:15">
      <c r="A7" s="135">
        <v>4</v>
      </c>
      <c r="B7" s="139">
        <v>45666</v>
      </c>
      <c r="C7" s="113"/>
      <c r="D7" s="120"/>
      <c r="E7" s="84">
        <v>614.92999999999995</v>
      </c>
      <c r="F7" s="84">
        <v>90.23</v>
      </c>
      <c r="G7" s="9">
        <f>E7*F7</f>
        <v>55485.133900000001</v>
      </c>
      <c r="H7" s="84">
        <v>20</v>
      </c>
      <c r="I7" s="84">
        <v>104.14</v>
      </c>
      <c r="J7" s="9">
        <f>H7*I7</f>
        <v>2082.8000000000002</v>
      </c>
      <c r="K7" s="9">
        <f>G7+J7</f>
        <v>57567.933900000004</v>
      </c>
      <c r="L7" s="196">
        <f t="shared" si="0"/>
        <v>57567.933900000004</v>
      </c>
      <c r="M7" s="196">
        <f>M6+K7-L7</f>
        <v>0</v>
      </c>
      <c r="N7" s="84" t="s">
        <v>95</v>
      </c>
    </row>
    <row r="8" spans="1:15">
      <c r="A8" s="135">
        <v>5</v>
      </c>
      <c r="B8" s="139">
        <v>45667</v>
      </c>
      <c r="C8" s="113"/>
      <c r="D8" s="120"/>
      <c r="E8" s="84">
        <v>610.44000000000005</v>
      </c>
      <c r="F8" s="84">
        <v>90.23</v>
      </c>
      <c r="G8" s="9">
        <f>E8*F8</f>
        <v>55080.001200000006</v>
      </c>
      <c r="H8" s="84">
        <v>0</v>
      </c>
      <c r="I8" s="84">
        <v>104.14</v>
      </c>
      <c r="J8" s="9">
        <f>H8*I8</f>
        <v>0</v>
      </c>
      <c r="K8" s="9">
        <f>G8+J8</f>
        <v>55080.001200000006</v>
      </c>
      <c r="L8" s="196">
        <f t="shared" si="0"/>
        <v>55080.001200000006</v>
      </c>
      <c r="M8" s="196">
        <f>M7+K8-L8</f>
        <v>0</v>
      </c>
      <c r="N8" s="84" t="s">
        <v>95</v>
      </c>
      <c r="O8" s="117"/>
    </row>
    <row r="9" spans="1:15">
      <c r="A9" s="135">
        <v>6</v>
      </c>
      <c r="B9" s="139">
        <v>45674</v>
      </c>
      <c r="C9" s="113"/>
      <c r="D9" s="120"/>
      <c r="E9" s="111">
        <v>600</v>
      </c>
      <c r="F9" s="84">
        <v>90.23</v>
      </c>
      <c r="G9" s="9">
        <f>E9*F9</f>
        <v>54138</v>
      </c>
      <c r="H9" s="111">
        <v>35</v>
      </c>
      <c r="I9" s="84">
        <v>104.14</v>
      </c>
      <c r="J9" s="9">
        <f>H9*I9</f>
        <v>3644.9</v>
      </c>
      <c r="K9" s="9">
        <f>G9+J9</f>
        <v>57782.9</v>
      </c>
      <c r="L9" s="196">
        <f t="shared" si="0"/>
        <v>57782.9</v>
      </c>
      <c r="M9" s="196">
        <f>M8+K9-L9</f>
        <v>0</v>
      </c>
      <c r="N9" s="84" t="s">
        <v>95</v>
      </c>
      <c r="O9" s="117"/>
    </row>
    <row r="10" spans="1:15">
      <c r="A10" s="135">
        <v>7</v>
      </c>
      <c r="B10" s="139">
        <v>45677</v>
      </c>
      <c r="C10" s="113"/>
      <c r="D10" s="120"/>
      <c r="E10" s="111">
        <v>400</v>
      </c>
      <c r="F10" s="84">
        <v>90.23</v>
      </c>
      <c r="G10" s="9">
        <f>E10*F10</f>
        <v>36092</v>
      </c>
      <c r="H10" s="111">
        <v>0</v>
      </c>
      <c r="I10" s="84">
        <v>104.14</v>
      </c>
      <c r="J10" s="9">
        <f t="shared" ref="J10:J14" si="1">H10*I10</f>
        <v>0</v>
      </c>
      <c r="K10" s="9">
        <f>G10+J10</f>
        <v>36092</v>
      </c>
      <c r="L10" s="196">
        <f t="shared" si="0"/>
        <v>36092</v>
      </c>
      <c r="M10" s="196">
        <f t="shared" ref="M9:M17" si="2">M9+K10-L10</f>
        <v>0</v>
      </c>
      <c r="N10" s="84" t="s">
        <v>95</v>
      </c>
      <c r="O10" s="117"/>
    </row>
    <row r="11" spans="1:15">
      <c r="A11" s="193">
        <v>8</v>
      </c>
      <c r="B11" s="139">
        <v>45679</v>
      </c>
      <c r="C11" s="113"/>
      <c r="D11" s="120"/>
      <c r="E11" s="111">
        <v>550</v>
      </c>
      <c r="F11" s="84">
        <v>90.23</v>
      </c>
      <c r="G11" s="9">
        <f>E11*F11</f>
        <v>49626.5</v>
      </c>
      <c r="H11" s="111"/>
      <c r="I11" s="84">
        <v>104.14</v>
      </c>
      <c r="J11" s="9">
        <f t="shared" si="1"/>
        <v>0</v>
      </c>
      <c r="K11" s="9">
        <f>G11+J11</f>
        <v>49626.5</v>
      </c>
      <c r="L11" s="196">
        <f t="shared" si="0"/>
        <v>49626.5</v>
      </c>
      <c r="M11" s="196">
        <f t="shared" si="2"/>
        <v>0</v>
      </c>
      <c r="N11" s="84" t="s">
        <v>95</v>
      </c>
      <c r="O11" s="117"/>
    </row>
    <row r="12" spans="1:15">
      <c r="A12" s="135">
        <v>9</v>
      </c>
      <c r="B12" s="139">
        <v>45681</v>
      </c>
      <c r="C12" s="113"/>
      <c r="D12" s="120"/>
      <c r="E12" s="111">
        <v>200</v>
      </c>
      <c r="F12" s="84">
        <v>90.23</v>
      </c>
      <c r="G12" s="9">
        <f>E12*F12</f>
        <v>18046</v>
      </c>
      <c r="H12" s="111">
        <v>15</v>
      </c>
      <c r="I12" s="84">
        <v>104.14</v>
      </c>
      <c r="J12" s="9">
        <f t="shared" si="1"/>
        <v>1562.1</v>
      </c>
      <c r="K12" s="9">
        <f>G12+J12</f>
        <v>19608.099999999999</v>
      </c>
      <c r="L12" s="196">
        <v>19608.099999999999</v>
      </c>
      <c r="M12" s="196">
        <f t="shared" si="2"/>
        <v>0</v>
      </c>
      <c r="N12" s="84" t="s">
        <v>95</v>
      </c>
      <c r="O12" s="117"/>
    </row>
    <row r="13" spans="1:15">
      <c r="A13" s="135">
        <v>10</v>
      </c>
      <c r="B13" s="139">
        <v>45682</v>
      </c>
      <c r="C13" s="113"/>
      <c r="D13" s="120"/>
      <c r="E13" s="111">
        <v>221</v>
      </c>
      <c r="F13" s="84">
        <v>90.23</v>
      </c>
      <c r="G13" s="9">
        <f>E13*F13</f>
        <v>19940.830000000002</v>
      </c>
      <c r="H13" s="111">
        <v>0</v>
      </c>
      <c r="I13" s="84">
        <v>104.14</v>
      </c>
      <c r="J13" s="9">
        <f t="shared" si="1"/>
        <v>0</v>
      </c>
      <c r="K13" s="9">
        <f>G13+J13</f>
        <v>19940.830000000002</v>
      </c>
      <c r="L13" s="196">
        <v>19940.830000000002</v>
      </c>
      <c r="M13" s="196">
        <f t="shared" si="2"/>
        <v>0</v>
      </c>
      <c r="N13" s="84" t="s">
        <v>95</v>
      </c>
      <c r="O13" s="117"/>
    </row>
    <row r="14" spans="1:15">
      <c r="A14" s="135">
        <v>11</v>
      </c>
      <c r="B14" s="139">
        <v>45685</v>
      </c>
      <c r="C14" s="113"/>
      <c r="D14" s="120"/>
      <c r="E14" s="111">
        <v>421.14</v>
      </c>
      <c r="F14" s="84">
        <v>90.23</v>
      </c>
      <c r="G14" s="9">
        <f>E14*F14</f>
        <v>37999.462200000002</v>
      </c>
      <c r="H14" s="111">
        <v>19.2</v>
      </c>
      <c r="I14" s="84">
        <v>104.14</v>
      </c>
      <c r="J14" s="9">
        <f t="shared" si="1"/>
        <v>1999.4879999999998</v>
      </c>
      <c r="K14" s="9">
        <f>G14+J14</f>
        <v>39998.950199999999</v>
      </c>
      <c r="L14" s="196">
        <v>39998.949999999997</v>
      </c>
      <c r="M14" s="196">
        <f t="shared" si="2"/>
        <v>2.0000000222353265E-4</v>
      </c>
      <c r="N14" s="84" t="s">
        <v>95</v>
      </c>
      <c r="O14" s="117"/>
    </row>
    <row r="15" spans="1:15">
      <c r="A15" s="135"/>
      <c r="B15" s="139">
        <v>45686</v>
      </c>
      <c r="C15" s="113"/>
      <c r="D15" s="120"/>
      <c r="E15" s="111">
        <v>0</v>
      </c>
      <c r="F15" s="84">
        <v>90.23</v>
      </c>
      <c r="G15" s="9">
        <f t="shared" ref="G15:G17" si="3">E15*F15</f>
        <v>0</v>
      </c>
      <c r="H15" s="111"/>
      <c r="I15" s="84"/>
      <c r="J15" s="9"/>
      <c r="K15" s="9">
        <f t="shared" ref="K15:K17" si="4">G15+J15</f>
        <v>0</v>
      </c>
      <c r="L15" s="196"/>
      <c r="M15" s="196">
        <f t="shared" si="2"/>
        <v>2.0000000222353265E-4</v>
      </c>
      <c r="N15" s="84"/>
      <c r="O15" s="117"/>
    </row>
    <row r="16" spans="1:15">
      <c r="A16" s="135"/>
      <c r="B16" s="139">
        <v>45687</v>
      </c>
      <c r="C16" s="113"/>
      <c r="D16" s="120"/>
      <c r="E16" s="111">
        <v>400</v>
      </c>
      <c r="F16" s="84">
        <v>90.23</v>
      </c>
      <c r="G16" s="9">
        <f t="shared" si="3"/>
        <v>36092</v>
      </c>
      <c r="H16" s="111"/>
      <c r="I16" s="84"/>
      <c r="J16" s="9"/>
      <c r="K16" s="9">
        <f t="shared" si="4"/>
        <v>36092</v>
      </c>
      <c r="L16" s="196">
        <v>36092</v>
      </c>
      <c r="M16" s="196">
        <f t="shared" si="2"/>
        <v>2.0000000222353265E-4</v>
      </c>
      <c r="N16" s="84" t="s">
        <v>95</v>
      </c>
      <c r="O16" s="117"/>
    </row>
    <row r="17" spans="1:15">
      <c r="A17" s="135"/>
      <c r="B17" s="139">
        <v>45688</v>
      </c>
      <c r="C17" s="113"/>
      <c r="D17" s="120"/>
      <c r="E17" s="111">
        <v>221.65</v>
      </c>
      <c r="F17" s="84">
        <v>90.23</v>
      </c>
      <c r="G17" s="9">
        <f t="shared" si="3"/>
        <v>19999.479500000001</v>
      </c>
      <c r="H17" s="111"/>
      <c r="I17" s="84"/>
      <c r="J17" s="9"/>
      <c r="K17" s="9">
        <f t="shared" si="4"/>
        <v>19999.479500000001</v>
      </c>
      <c r="L17" s="196"/>
      <c r="M17" s="196">
        <f t="shared" si="2"/>
        <v>19999.479700000004</v>
      </c>
      <c r="N17" s="84"/>
      <c r="O17" s="117"/>
    </row>
    <row r="18" spans="1:15">
      <c r="A18" s="135"/>
      <c r="B18" s="139"/>
      <c r="C18" s="113"/>
      <c r="D18" s="120"/>
      <c r="E18" s="111"/>
      <c r="F18" s="84"/>
      <c r="G18" s="9"/>
      <c r="H18" s="111"/>
      <c r="I18" s="84"/>
      <c r="J18" s="9"/>
      <c r="K18" s="9"/>
      <c r="L18" s="196"/>
      <c r="M18" s="196"/>
      <c r="N18" s="84"/>
      <c r="O18" s="117"/>
    </row>
    <row r="19" spans="1:15">
      <c r="A19" s="82"/>
      <c r="B19" s="82"/>
      <c r="C19" s="82"/>
      <c r="D19" s="82"/>
      <c r="E19" s="83">
        <f>SUM(E4:E18)</f>
        <v>5149.99</v>
      </c>
      <c r="F19" s="83"/>
      <c r="G19" s="83">
        <f>SUM(G4:G18)</f>
        <v>464687.59770000004</v>
      </c>
      <c r="H19" s="83">
        <f>SUM(H4:H18)</f>
        <v>124.2</v>
      </c>
      <c r="I19" s="83"/>
      <c r="J19" s="83">
        <f>SUM(J4:J18)</f>
        <v>12934.188</v>
      </c>
      <c r="K19" s="83">
        <f>SUM(K4:K18)</f>
        <v>477621.78570000001</v>
      </c>
      <c r="L19" s="83">
        <f>SUM(L4:L18)</f>
        <v>457622.30599999998</v>
      </c>
      <c r="M19" s="83"/>
      <c r="N19" s="83"/>
      <c r="O19" s="47"/>
    </row>
    <row r="20" spans="1:15">
      <c r="A20" s="122"/>
      <c r="B20" s="123"/>
      <c r="C20" s="122"/>
      <c r="D20" s="122"/>
      <c r="E20" s="124"/>
      <c r="F20" s="124"/>
      <c r="G20" s="124"/>
      <c r="H20" s="124"/>
      <c r="I20" s="124"/>
      <c r="J20" s="125"/>
      <c r="K20" s="125"/>
      <c r="L20" s="125"/>
      <c r="M20" s="125"/>
      <c r="N20" s="124"/>
      <c r="O20" s="117"/>
    </row>
    <row r="21" spans="1:15">
      <c r="O21" s="117"/>
    </row>
    <row r="22" spans="1:15">
      <c r="O22" s="117"/>
    </row>
    <row r="23" spans="1:15">
      <c r="O23" s="117"/>
    </row>
    <row r="24" spans="1:15">
      <c r="O24" s="117"/>
    </row>
    <row r="25" spans="1:15">
      <c r="O25" s="117"/>
    </row>
    <row r="26" spans="1:15">
      <c r="A26" s="117"/>
      <c r="B26" s="103"/>
      <c r="C26" s="117"/>
      <c r="D26" s="117"/>
      <c r="E26" s="117"/>
      <c r="F26" s="117"/>
      <c r="G26" s="126"/>
      <c r="H26" s="117"/>
      <c r="I26" s="117"/>
      <c r="J26" s="103"/>
      <c r="K26" s="103"/>
      <c r="L26" s="103"/>
      <c r="M26" s="103"/>
      <c r="N26" s="117"/>
      <c r="O26" s="124"/>
    </row>
    <row r="27" spans="1:15">
      <c r="A27" s="117"/>
      <c r="B27" s="483"/>
      <c r="C27" s="483"/>
      <c r="D27" s="483"/>
      <c r="E27" s="483"/>
      <c r="F27" s="117"/>
      <c r="G27" s="117"/>
      <c r="H27" s="117"/>
      <c r="I27" s="483"/>
      <c r="J27" s="483"/>
      <c r="K27" s="483"/>
      <c r="L27" s="483"/>
      <c r="M27" s="483"/>
      <c r="N27" s="483"/>
      <c r="O27" s="124"/>
    </row>
    <row r="28" spans="1:15">
      <c r="A28" s="117"/>
      <c r="B28" s="103"/>
      <c r="C28" s="117"/>
      <c r="D28" s="117"/>
      <c r="E28" s="117"/>
      <c r="F28" s="117"/>
      <c r="G28" s="117"/>
      <c r="H28" s="117"/>
      <c r="I28" s="117"/>
      <c r="J28" s="103"/>
      <c r="K28" s="103"/>
      <c r="L28" s="103"/>
      <c r="M28" s="103"/>
      <c r="N28" s="117"/>
      <c r="O28" s="124"/>
    </row>
  </sheetData>
  <mergeCells count="4">
    <mergeCell ref="A1:N1"/>
    <mergeCell ref="B27:E27"/>
    <mergeCell ref="I27:N27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945-7278-4A2D-A0B9-0B43E354BFF7}">
  <dimension ref="A1:N8"/>
  <sheetViews>
    <sheetView workbookViewId="0">
      <selection activeCell="E17" sqref="E17"/>
    </sheetView>
  </sheetViews>
  <sheetFormatPr defaultRowHeight="15"/>
  <cols>
    <col min="4" max="4" width="14.85546875" customWidth="1"/>
    <col min="5" max="5" width="19.42578125" customWidth="1"/>
    <col min="8" max="8" width="13.85546875" customWidth="1"/>
    <col min="12" max="12" width="12" customWidth="1"/>
    <col min="13" max="13" width="16.5703125" customWidth="1"/>
    <col min="14" max="14" width="12.28515625" customWidth="1"/>
  </cols>
  <sheetData>
    <row r="1" spans="1:14">
      <c r="A1" s="484" t="s">
        <v>109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</row>
    <row r="2" spans="1:14" ht="23.25" customHeight="1">
      <c r="A2" s="110" t="s">
        <v>58</v>
      </c>
      <c r="B2" s="136" t="s">
        <v>59</v>
      </c>
      <c r="C2" s="136" t="s">
        <v>60</v>
      </c>
      <c r="D2" s="136" t="s">
        <v>61</v>
      </c>
      <c r="E2" s="136" t="s">
        <v>62</v>
      </c>
      <c r="F2" s="136" t="s">
        <v>63</v>
      </c>
      <c r="G2" s="136" t="s">
        <v>64</v>
      </c>
      <c r="H2" s="136" t="s">
        <v>65</v>
      </c>
      <c r="I2" s="136" t="s">
        <v>63</v>
      </c>
      <c r="J2" s="137" t="s">
        <v>64</v>
      </c>
      <c r="K2" s="110" t="s">
        <v>66</v>
      </c>
      <c r="L2" s="110" t="s">
        <v>110</v>
      </c>
      <c r="M2" s="138" t="s">
        <v>67</v>
      </c>
      <c r="N2" s="136" t="s">
        <v>69</v>
      </c>
    </row>
    <row r="3" spans="1:14">
      <c r="A3" s="23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>
      <c r="A4" s="23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>
      <c r="A5" s="23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>
      <c r="A6" s="23">
        <v>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>
      <c r="A7" s="23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O22"/>
  <sheetViews>
    <sheetView workbookViewId="0">
      <pane ySplit="2" topLeftCell="A3" activePane="bottomLeft" state="frozen"/>
      <selection pane="bottomLeft" activeCell="F28" sqref="F28"/>
    </sheetView>
  </sheetViews>
  <sheetFormatPr defaultRowHeight="15"/>
  <cols>
    <col min="1" max="1" width="4.7109375" style="85" bestFit="1" customWidth="1"/>
    <col min="2" max="2" width="10.42578125" style="85" bestFit="1" customWidth="1"/>
    <col min="3" max="3" width="7.140625" style="85" bestFit="1" customWidth="1"/>
    <col min="4" max="4" width="16" style="85" bestFit="1" customWidth="1"/>
    <col min="5" max="5" width="9.7109375" style="85" bestFit="1" customWidth="1"/>
    <col min="6" max="6" width="11.5703125" style="85" bestFit="1" customWidth="1"/>
    <col min="7" max="7" width="11.85546875" style="85" bestFit="1" customWidth="1"/>
    <col min="8" max="8" width="10.42578125" style="85" bestFit="1" customWidth="1"/>
    <col min="9" max="9" width="7.140625" style="85" bestFit="1" customWidth="1"/>
    <col min="10" max="10" width="10.85546875" style="91" bestFit="1" customWidth="1"/>
    <col min="11" max="11" width="11.85546875" style="85" bestFit="1" customWidth="1"/>
    <col min="12" max="12" width="12.42578125" style="91" bestFit="1" customWidth="1"/>
    <col min="13" max="13" width="12.42578125" style="91" customWidth="1"/>
    <col min="14" max="14" width="17.7109375" style="85" bestFit="1" customWidth="1"/>
    <col min="15" max="16384" width="9.140625" style="85"/>
  </cols>
  <sheetData>
    <row r="1" spans="1:15">
      <c r="A1" s="485" t="s">
        <v>20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</row>
    <row r="2" spans="1:15">
      <c r="A2" s="142" t="s">
        <v>58</v>
      </c>
      <c r="B2" s="143" t="s">
        <v>59</v>
      </c>
      <c r="C2" s="143" t="s">
        <v>60</v>
      </c>
      <c r="D2" s="143" t="s">
        <v>61</v>
      </c>
      <c r="E2" s="143" t="s">
        <v>62</v>
      </c>
      <c r="F2" s="143" t="s">
        <v>63</v>
      </c>
      <c r="G2" s="143" t="s">
        <v>64</v>
      </c>
      <c r="H2" s="143" t="s">
        <v>65</v>
      </c>
      <c r="I2" s="143" t="s">
        <v>63</v>
      </c>
      <c r="J2" s="176" t="s">
        <v>64</v>
      </c>
      <c r="K2" s="143" t="s">
        <v>66</v>
      </c>
      <c r="L2" s="176" t="s">
        <v>67</v>
      </c>
      <c r="M2" s="175" t="s">
        <v>68</v>
      </c>
      <c r="N2" s="144" t="s">
        <v>69</v>
      </c>
      <c r="O2" s="47"/>
    </row>
    <row r="3" spans="1: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86"/>
      <c r="K3" s="39">
        <v>231091.31</v>
      </c>
      <c r="L3" s="86"/>
      <c r="M3" s="177">
        <f>+K3</f>
        <v>231091.31</v>
      </c>
      <c r="N3" s="86"/>
      <c r="O3" s="47"/>
    </row>
    <row r="4" spans="1:15">
      <c r="A4" s="86">
        <v>2</v>
      </c>
      <c r="B4" s="139">
        <v>45658</v>
      </c>
      <c r="C4" s="87" t="s">
        <v>111</v>
      </c>
      <c r="D4" s="88" t="s">
        <v>111</v>
      </c>
      <c r="E4" s="87">
        <v>0</v>
      </c>
      <c r="F4" s="87">
        <v>89.29</v>
      </c>
      <c r="G4" s="86">
        <f t="shared" ref="G4:G20" si="0">E4*F4</f>
        <v>0</v>
      </c>
      <c r="H4" s="87">
        <v>0</v>
      </c>
      <c r="I4" s="87">
        <v>103.24</v>
      </c>
      <c r="J4" s="89">
        <f t="shared" ref="J4:J20" si="1">H4*I4</f>
        <v>0</v>
      </c>
      <c r="K4" s="86">
        <f t="shared" ref="K4:K20" si="2">G4+J4</f>
        <v>0</v>
      </c>
      <c r="L4" s="172">
        <v>5357.4</v>
      </c>
      <c r="M4" s="89">
        <f>M3+K4-L4</f>
        <v>225733.91</v>
      </c>
      <c r="N4" s="162" t="s">
        <v>95</v>
      </c>
    </row>
    <row r="5" spans="1:15">
      <c r="A5" s="86">
        <v>3</v>
      </c>
      <c r="B5" s="139">
        <v>45659</v>
      </c>
      <c r="C5" s="87" t="s">
        <v>111</v>
      </c>
      <c r="D5" s="88" t="s">
        <v>111</v>
      </c>
      <c r="E5" s="87">
        <v>0</v>
      </c>
      <c r="F5" s="87">
        <v>89.29</v>
      </c>
      <c r="G5" s="86">
        <f t="shared" si="0"/>
        <v>0</v>
      </c>
      <c r="H5" s="87">
        <v>0</v>
      </c>
      <c r="I5" s="87">
        <v>103.24</v>
      </c>
      <c r="J5" s="89">
        <f t="shared" si="1"/>
        <v>0</v>
      </c>
      <c r="K5" s="86">
        <f t="shared" si="2"/>
        <v>0</v>
      </c>
      <c r="L5" s="172">
        <v>225734</v>
      </c>
      <c r="M5" s="89">
        <f t="shared" ref="M5:M20" si="3">M4+K5-L5</f>
        <v>-8.999999999650754E-2</v>
      </c>
      <c r="N5" s="162" t="s">
        <v>95</v>
      </c>
    </row>
    <row r="6" spans="1:15">
      <c r="A6" s="86">
        <v>4</v>
      </c>
      <c r="B6" s="139">
        <v>45660</v>
      </c>
      <c r="C6" s="87">
        <v>799</v>
      </c>
      <c r="D6" s="88">
        <v>491570</v>
      </c>
      <c r="E6" s="87">
        <v>0</v>
      </c>
      <c r="F6" s="87">
        <v>89.29</v>
      </c>
      <c r="G6" s="86">
        <f t="shared" si="0"/>
        <v>0</v>
      </c>
      <c r="H6" s="87">
        <v>120</v>
      </c>
      <c r="I6" s="87">
        <v>103.24</v>
      </c>
      <c r="J6" s="89">
        <f>H6*I6</f>
        <v>12388.8</v>
      </c>
      <c r="K6" s="86">
        <f t="shared" si="2"/>
        <v>12388.8</v>
      </c>
      <c r="L6" s="172"/>
      <c r="M6" s="89">
        <f t="shared" si="3"/>
        <v>12388.710000000003</v>
      </c>
      <c r="N6" s="174"/>
    </row>
    <row r="7" spans="1:15">
      <c r="A7" s="86">
        <v>5</v>
      </c>
      <c r="B7" s="139">
        <v>45661</v>
      </c>
      <c r="C7" s="87">
        <v>799</v>
      </c>
      <c r="D7" s="88" t="s">
        <v>112</v>
      </c>
      <c r="E7" s="87">
        <v>2400</v>
      </c>
      <c r="F7" s="87">
        <v>89.29</v>
      </c>
      <c r="G7" s="86">
        <f t="shared" si="0"/>
        <v>214296.00000000003</v>
      </c>
      <c r="H7" s="87">
        <v>0</v>
      </c>
      <c r="I7" s="87">
        <v>103.24</v>
      </c>
      <c r="J7" s="89">
        <f t="shared" si="1"/>
        <v>0</v>
      </c>
      <c r="K7" s="86">
        <f t="shared" si="2"/>
        <v>214296.00000000003</v>
      </c>
      <c r="L7" s="172"/>
      <c r="M7" s="89">
        <f t="shared" si="3"/>
        <v>226684.71000000002</v>
      </c>
      <c r="N7" s="174"/>
    </row>
    <row r="8" spans="1:15">
      <c r="A8" s="86">
        <v>6</v>
      </c>
      <c r="B8" s="139">
        <v>45664</v>
      </c>
      <c r="C8" s="87" t="s">
        <v>111</v>
      </c>
      <c r="D8" s="88" t="s">
        <v>111</v>
      </c>
      <c r="E8" s="87">
        <v>0</v>
      </c>
      <c r="F8" s="87">
        <v>89.29</v>
      </c>
      <c r="G8" s="86">
        <f t="shared" si="0"/>
        <v>0</v>
      </c>
      <c r="H8" s="87">
        <v>0</v>
      </c>
      <c r="I8" s="87">
        <v>103.24</v>
      </c>
      <c r="J8" s="89">
        <f t="shared" si="1"/>
        <v>0</v>
      </c>
      <c r="K8" s="86">
        <f t="shared" si="2"/>
        <v>0</v>
      </c>
      <c r="L8" s="172">
        <v>149894.79999999999</v>
      </c>
      <c r="M8" s="89">
        <f t="shared" si="3"/>
        <v>76789.910000000033</v>
      </c>
      <c r="N8" s="162" t="s">
        <v>95</v>
      </c>
    </row>
    <row r="9" spans="1:15">
      <c r="A9" s="86">
        <v>7</v>
      </c>
      <c r="B9" s="139">
        <v>45665</v>
      </c>
      <c r="C9" s="87">
        <v>802</v>
      </c>
      <c r="D9" s="88" t="s">
        <v>113</v>
      </c>
      <c r="E9" s="87">
        <v>0</v>
      </c>
      <c r="F9" s="87">
        <v>89.29</v>
      </c>
      <c r="G9" s="86">
        <f t="shared" si="0"/>
        <v>0</v>
      </c>
      <c r="H9" s="87">
        <v>70</v>
      </c>
      <c r="I9" s="87">
        <v>103.24</v>
      </c>
      <c r="J9" s="89">
        <f t="shared" si="1"/>
        <v>7226.7999999999993</v>
      </c>
      <c r="K9" s="86">
        <f t="shared" si="2"/>
        <v>7226.7999999999993</v>
      </c>
      <c r="L9" s="172"/>
      <c r="M9" s="89">
        <f t="shared" si="3"/>
        <v>84016.710000000036</v>
      </c>
      <c r="N9" s="174"/>
    </row>
    <row r="10" spans="1:15">
      <c r="A10" s="86">
        <v>8</v>
      </c>
      <c r="B10" s="140">
        <v>45668</v>
      </c>
      <c r="C10" s="87">
        <v>802</v>
      </c>
      <c r="D10" s="88">
        <v>34450</v>
      </c>
      <c r="E10" s="87">
        <v>2400</v>
      </c>
      <c r="F10" s="87">
        <v>89.29</v>
      </c>
      <c r="G10" s="86">
        <f t="shared" si="0"/>
        <v>214296.00000000003</v>
      </c>
      <c r="H10" s="87">
        <v>80</v>
      </c>
      <c r="I10" s="87">
        <v>103.24</v>
      </c>
      <c r="J10" s="89">
        <f t="shared" si="1"/>
        <v>8259.1999999999989</v>
      </c>
      <c r="K10" s="86">
        <f t="shared" si="2"/>
        <v>222555.20000000004</v>
      </c>
      <c r="L10" s="172">
        <v>306571.40000000002</v>
      </c>
      <c r="M10" s="89">
        <f t="shared" si="3"/>
        <v>0.51000000006752089</v>
      </c>
      <c r="N10" s="162" t="s">
        <v>95</v>
      </c>
    </row>
    <row r="11" spans="1:15">
      <c r="A11" s="86">
        <v>9</v>
      </c>
      <c r="B11" s="140">
        <v>45674</v>
      </c>
      <c r="C11" s="86">
        <v>807</v>
      </c>
      <c r="D11" s="86">
        <v>34481</v>
      </c>
      <c r="E11" s="86">
        <v>2400</v>
      </c>
      <c r="F11" s="87">
        <v>89.29</v>
      </c>
      <c r="G11" s="86">
        <f t="shared" si="0"/>
        <v>214296.00000000003</v>
      </c>
      <c r="H11" s="86">
        <v>70</v>
      </c>
      <c r="I11" s="87">
        <v>103.24</v>
      </c>
      <c r="J11" s="89">
        <f t="shared" si="1"/>
        <v>7226.7999999999993</v>
      </c>
      <c r="K11" s="86">
        <f t="shared" si="2"/>
        <v>221522.80000000002</v>
      </c>
      <c r="L11" s="172"/>
      <c r="M11" s="89">
        <f t="shared" si="3"/>
        <v>221523.31000000008</v>
      </c>
      <c r="N11" s="173"/>
    </row>
    <row r="12" spans="1:15">
      <c r="A12" s="86">
        <v>10</v>
      </c>
      <c r="B12" s="310">
        <v>45677</v>
      </c>
      <c r="C12" s="86"/>
      <c r="D12" s="86"/>
      <c r="E12" s="86">
        <v>0</v>
      </c>
      <c r="F12" s="87">
        <v>89.29</v>
      </c>
      <c r="G12" s="86">
        <f t="shared" si="0"/>
        <v>0</v>
      </c>
      <c r="H12" s="86"/>
      <c r="I12" s="87">
        <v>103.24</v>
      </c>
      <c r="J12" s="89">
        <f t="shared" si="1"/>
        <v>0</v>
      </c>
      <c r="K12" s="86">
        <f t="shared" si="2"/>
        <v>0</v>
      </c>
      <c r="L12" s="172">
        <v>141161.79999999999</v>
      </c>
      <c r="M12" s="89">
        <f t="shared" si="3"/>
        <v>80361.510000000097</v>
      </c>
      <c r="N12" s="162" t="s">
        <v>95</v>
      </c>
    </row>
    <row r="13" spans="1:15">
      <c r="A13" s="86">
        <v>11</v>
      </c>
      <c r="B13" s="310">
        <v>45678</v>
      </c>
      <c r="C13" s="86"/>
      <c r="D13" s="86"/>
      <c r="E13" s="86"/>
      <c r="F13" s="87">
        <v>89.29</v>
      </c>
      <c r="G13" s="86">
        <f t="shared" si="0"/>
        <v>0</v>
      </c>
      <c r="H13" s="86"/>
      <c r="I13" s="87">
        <v>103.24</v>
      </c>
      <c r="J13" s="89">
        <f t="shared" si="1"/>
        <v>0</v>
      </c>
      <c r="K13" s="86">
        <f t="shared" si="2"/>
        <v>0</v>
      </c>
      <c r="L13" s="326">
        <v>8929</v>
      </c>
      <c r="M13" s="89">
        <f t="shared" si="3"/>
        <v>71432.510000000097</v>
      </c>
      <c r="N13" s="162" t="s">
        <v>95</v>
      </c>
    </row>
    <row r="14" spans="1:15">
      <c r="A14" s="86">
        <v>12</v>
      </c>
      <c r="B14" s="310">
        <v>45679</v>
      </c>
      <c r="C14" s="86">
        <v>810</v>
      </c>
      <c r="D14" s="86" t="s">
        <v>114</v>
      </c>
      <c r="E14" s="86">
        <v>1000</v>
      </c>
      <c r="F14" s="87">
        <v>89.29</v>
      </c>
      <c r="G14" s="86">
        <f t="shared" si="0"/>
        <v>89290</v>
      </c>
      <c r="H14" s="86">
        <v>55</v>
      </c>
      <c r="I14" s="87">
        <v>103.24</v>
      </c>
      <c r="J14" s="89">
        <f t="shared" si="1"/>
        <v>5678.2</v>
      </c>
      <c r="K14" s="86">
        <f t="shared" si="2"/>
        <v>94968.2</v>
      </c>
      <c r="L14" s="326"/>
      <c r="M14" s="89">
        <f t="shared" si="3"/>
        <v>166400.71000000008</v>
      </c>
      <c r="N14" s="162"/>
    </row>
    <row r="15" spans="1:15">
      <c r="A15" s="86">
        <v>13</v>
      </c>
      <c r="B15" s="310">
        <v>45680</v>
      </c>
      <c r="C15" s="86"/>
      <c r="D15" s="86"/>
      <c r="E15" s="86"/>
      <c r="F15" s="87">
        <v>89.29</v>
      </c>
      <c r="G15" s="86">
        <f t="shared" si="0"/>
        <v>0</v>
      </c>
      <c r="H15" s="86"/>
      <c r="I15" s="87">
        <v>103.24</v>
      </c>
      <c r="J15" s="89">
        <f t="shared" si="1"/>
        <v>0</v>
      </c>
      <c r="K15" s="86">
        <f t="shared" si="2"/>
        <v>0</v>
      </c>
      <c r="L15" s="326">
        <f>5678.2+89290+17858</f>
        <v>112826.2</v>
      </c>
      <c r="M15" s="89">
        <f t="shared" si="3"/>
        <v>53574.510000000082</v>
      </c>
      <c r="N15" s="162" t="s">
        <v>95</v>
      </c>
    </row>
    <row r="16" spans="1:15">
      <c r="A16" s="86"/>
      <c r="B16" s="310">
        <v>45681</v>
      </c>
      <c r="C16" s="86"/>
      <c r="D16" s="86"/>
      <c r="E16" s="86"/>
      <c r="F16" s="87">
        <v>89.29</v>
      </c>
      <c r="G16" s="86">
        <f t="shared" si="0"/>
        <v>0</v>
      </c>
      <c r="H16" s="86"/>
      <c r="I16" s="87">
        <v>103.24</v>
      </c>
      <c r="J16" s="89">
        <f t="shared" si="1"/>
        <v>0</v>
      </c>
      <c r="K16" s="86">
        <f t="shared" si="2"/>
        <v>0</v>
      </c>
      <c r="L16" s="326"/>
      <c r="M16" s="89">
        <f t="shared" si="3"/>
        <v>53574.510000000082</v>
      </c>
      <c r="N16" s="162"/>
    </row>
    <row r="17" spans="1:15">
      <c r="A17" s="86"/>
      <c r="B17" s="310">
        <v>45682</v>
      </c>
      <c r="C17" s="86"/>
      <c r="D17" s="86">
        <v>34557</v>
      </c>
      <c r="E17" s="86">
        <v>1000</v>
      </c>
      <c r="F17" s="87">
        <v>89.29</v>
      </c>
      <c r="G17" s="86">
        <f t="shared" si="0"/>
        <v>89290</v>
      </c>
      <c r="H17" s="86">
        <v>105</v>
      </c>
      <c r="I17" s="87">
        <v>103.24</v>
      </c>
      <c r="J17" s="89">
        <f t="shared" si="1"/>
        <v>10840.199999999999</v>
      </c>
      <c r="K17" s="86">
        <f t="shared" si="2"/>
        <v>100130.2</v>
      </c>
      <c r="L17" s="326"/>
      <c r="M17" s="89">
        <f t="shared" si="3"/>
        <v>153704.71000000008</v>
      </c>
      <c r="N17" s="162"/>
    </row>
    <row r="18" spans="1:15">
      <c r="A18" s="86"/>
      <c r="B18" s="310">
        <v>45685</v>
      </c>
      <c r="C18" s="86">
        <v>814</v>
      </c>
      <c r="D18" s="86">
        <v>34570</v>
      </c>
      <c r="E18" s="86">
        <v>1000</v>
      </c>
      <c r="F18" s="87">
        <v>89.29</v>
      </c>
      <c r="G18" s="86">
        <f t="shared" si="0"/>
        <v>89290</v>
      </c>
      <c r="H18" s="86">
        <v>70</v>
      </c>
      <c r="I18" s="87">
        <v>103.24</v>
      </c>
      <c r="J18" s="89">
        <f t="shared" si="1"/>
        <v>7226.7999999999993</v>
      </c>
      <c r="K18" s="86">
        <f t="shared" si="2"/>
        <v>96516.800000000003</v>
      </c>
      <c r="L18" s="326"/>
      <c r="M18" s="89">
        <f t="shared" si="3"/>
        <v>250221.51000000007</v>
      </c>
      <c r="N18" s="162"/>
    </row>
    <row r="19" spans="1:15">
      <c r="A19" s="86"/>
      <c r="B19" s="310">
        <v>45686</v>
      </c>
      <c r="C19" s="86"/>
      <c r="D19" s="86"/>
      <c r="E19" s="86"/>
      <c r="F19" s="87">
        <v>89.29</v>
      </c>
      <c r="G19" s="86">
        <f t="shared" si="0"/>
        <v>0</v>
      </c>
      <c r="H19" s="86"/>
      <c r="I19" s="87">
        <v>103.24</v>
      </c>
      <c r="J19" s="89">
        <f t="shared" si="1"/>
        <v>0</v>
      </c>
      <c r="K19" s="86">
        <f t="shared" si="2"/>
        <v>0</v>
      </c>
      <c r="L19" s="112">
        <v>250221</v>
      </c>
      <c r="M19" s="89">
        <f t="shared" si="3"/>
        <v>0.51000000006752089</v>
      </c>
      <c r="N19" s="162"/>
    </row>
    <row r="20" spans="1:15">
      <c r="A20" s="86"/>
      <c r="B20" s="310">
        <v>45687</v>
      </c>
      <c r="C20" s="86">
        <v>817</v>
      </c>
      <c r="D20" s="86">
        <v>34602</v>
      </c>
      <c r="E20" s="86">
        <v>1500</v>
      </c>
      <c r="F20" s="87">
        <v>89.29</v>
      </c>
      <c r="G20" s="86">
        <f t="shared" si="0"/>
        <v>133935</v>
      </c>
      <c r="H20" s="86">
        <v>50</v>
      </c>
      <c r="I20" s="87">
        <v>103.24</v>
      </c>
      <c r="J20" s="89">
        <f t="shared" si="1"/>
        <v>5162</v>
      </c>
      <c r="K20" s="86">
        <f t="shared" si="2"/>
        <v>139097</v>
      </c>
      <c r="L20" s="326"/>
      <c r="M20" s="89">
        <f t="shared" si="3"/>
        <v>139097.51000000007</v>
      </c>
      <c r="N20" s="162"/>
    </row>
    <row r="21" spans="1:15">
      <c r="A21" s="82"/>
      <c r="B21" s="82"/>
      <c r="C21" s="82"/>
      <c r="D21" s="82"/>
      <c r="E21" s="83">
        <f>SUM(E4:E20)</f>
        <v>11700</v>
      </c>
      <c r="F21" s="83"/>
      <c r="G21" s="83">
        <f>SUM(G4:G20)</f>
        <v>1044693.0000000001</v>
      </c>
      <c r="H21" s="83">
        <f>SUM(H4:H20)</f>
        <v>620</v>
      </c>
      <c r="I21" s="83"/>
      <c r="J21" s="83">
        <f>SUM(J4:J20)</f>
        <v>64008.799999999988</v>
      </c>
      <c r="K21" s="83">
        <f>SUM(K4:K20)</f>
        <v>1108701.8</v>
      </c>
      <c r="L21" s="83">
        <f>SUM(L4:L20)</f>
        <v>1200695.5999999999</v>
      </c>
      <c r="M21" s="83"/>
      <c r="N21" s="83"/>
      <c r="O21" s="47"/>
    </row>
    <row r="22" spans="1:15" s="90" customFormat="1">
      <c r="A22" s="79"/>
      <c r="B22" s="79"/>
      <c r="C22" s="79"/>
      <c r="D22" s="79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dimension ref="A1:O51"/>
  <sheetViews>
    <sheetView workbookViewId="0">
      <pane ySplit="2" topLeftCell="A14" activePane="bottomLeft" state="frozen"/>
      <selection pane="bottomLeft" activeCell="L37" sqref="L37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5.28515625" customWidth="1"/>
  </cols>
  <sheetData>
    <row r="1" spans="1:15" ht="15.75">
      <c r="A1" s="461" t="s">
        <v>46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96"/>
    </row>
    <row r="2" spans="1:15" ht="18" customHeight="1">
      <c r="A2" s="110" t="s">
        <v>58</v>
      </c>
      <c r="B2" s="136" t="s">
        <v>59</v>
      </c>
      <c r="C2" s="136" t="s">
        <v>60</v>
      </c>
      <c r="D2" s="136" t="s">
        <v>61</v>
      </c>
      <c r="E2" s="136" t="s">
        <v>62</v>
      </c>
      <c r="F2" s="136" t="s">
        <v>63</v>
      </c>
      <c r="G2" s="136" t="s">
        <v>64</v>
      </c>
      <c r="H2" s="136" t="s">
        <v>65</v>
      </c>
      <c r="I2" s="136" t="s">
        <v>63</v>
      </c>
      <c r="J2" s="137" t="s">
        <v>64</v>
      </c>
      <c r="K2" s="110" t="s">
        <v>66</v>
      </c>
      <c r="L2" s="138" t="s">
        <v>67</v>
      </c>
      <c r="M2" s="256" t="s">
        <v>68</v>
      </c>
      <c r="N2" s="136" t="s">
        <v>69</v>
      </c>
      <c r="O2" s="103"/>
    </row>
    <row r="3" spans="1:15" ht="18" customHeight="1">
      <c r="A3" s="228"/>
      <c r="B3" s="229"/>
      <c r="C3" s="229"/>
      <c r="D3" s="206" t="s">
        <v>70</v>
      </c>
      <c r="E3" s="229"/>
      <c r="F3" s="229"/>
      <c r="G3" s="229"/>
      <c r="H3" s="229"/>
      <c r="I3" s="229"/>
      <c r="J3" s="230"/>
      <c r="K3" s="228"/>
      <c r="L3" s="231">
        <v>0</v>
      </c>
      <c r="M3" s="231">
        <f>+K3</f>
        <v>0</v>
      </c>
      <c r="N3" s="229"/>
      <c r="O3" s="103"/>
    </row>
    <row r="4" spans="1:15">
      <c r="A4" s="33">
        <v>1</v>
      </c>
      <c r="B4" s="240">
        <v>45658</v>
      </c>
      <c r="C4" s="32"/>
      <c r="D4" s="32"/>
      <c r="E4" s="9">
        <v>40.01</v>
      </c>
      <c r="F4" s="9">
        <v>89.47</v>
      </c>
      <c r="G4" s="9">
        <f>E4*F4</f>
        <v>3579.6946999999996</v>
      </c>
      <c r="H4" s="10">
        <v>0</v>
      </c>
      <c r="I4" s="10">
        <v>103.4</v>
      </c>
      <c r="J4" s="9">
        <f>H4*I4</f>
        <v>0</v>
      </c>
      <c r="K4" s="9">
        <f>G4+J4</f>
        <v>3579.6946999999996</v>
      </c>
      <c r="L4" s="114">
        <v>3579.6946999999996</v>
      </c>
      <c r="M4" s="9">
        <f>M3+K4-L4</f>
        <v>0</v>
      </c>
      <c r="N4" s="84" t="s">
        <v>95</v>
      </c>
      <c r="O4" s="1"/>
    </row>
    <row r="5" spans="1:15">
      <c r="A5" s="33">
        <f>A4+1</f>
        <v>2</v>
      </c>
      <c r="B5" s="240">
        <v>45659</v>
      </c>
      <c r="C5" s="32"/>
      <c r="D5" s="32"/>
      <c r="E5" s="9">
        <v>49</v>
      </c>
      <c r="F5" s="9">
        <v>89.47</v>
      </c>
      <c r="G5" s="9">
        <f t="shared" ref="G5:G36" si="0">E5*F5</f>
        <v>4384.03</v>
      </c>
      <c r="H5" s="11">
        <v>22</v>
      </c>
      <c r="I5" s="10">
        <v>103.4</v>
      </c>
      <c r="J5" s="9">
        <f t="shared" ref="J5:J35" si="1">H5*I5</f>
        <v>2274.8000000000002</v>
      </c>
      <c r="K5" s="9">
        <f>G5+J5</f>
        <v>6658.83</v>
      </c>
      <c r="L5" s="114">
        <v>6658.83</v>
      </c>
      <c r="M5" s="9">
        <f t="shared" ref="M5:M28" si="2">M4+K5-L5</f>
        <v>0</v>
      </c>
      <c r="N5" s="84" t="s">
        <v>95</v>
      </c>
      <c r="O5" s="1"/>
    </row>
    <row r="6" spans="1:15">
      <c r="A6" s="33">
        <v>2</v>
      </c>
      <c r="B6" s="240">
        <v>45660</v>
      </c>
      <c r="C6" s="32"/>
      <c r="D6" s="32"/>
      <c r="E6" s="9">
        <v>72.52</v>
      </c>
      <c r="F6" s="9">
        <v>89.47</v>
      </c>
      <c r="G6" s="9">
        <f t="shared" si="0"/>
        <v>6488.3643999999995</v>
      </c>
      <c r="H6" s="11">
        <v>5</v>
      </c>
      <c r="I6" s="10">
        <v>103.4</v>
      </c>
      <c r="J6" s="9">
        <f t="shared" si="1"/>
        <v>517</v>
      </c>
      <c r="K6" s="9">
        <f t="shared" ref="K6:K16" si="3">G6+J6</f>
        <v>7005.3643999999995</v>
      </c>
      <c r="L6" s="114">
        <v>7005.3643999999995</v>
      </c>
      <c r="M6" s="9">
        <f t="shared" si="2"/>
        <v>0</v>
      </c>
      <c r="N6" s="84" t="s">
        <v>95</v>
      </c>
      <c r="O6" s="1"/>
    </row>
    <row r="7" spans="1:15">
      <c r="A7" s="33">
        <f>A6+1</f>
        <v>3</v>
      </c>
      <c r="B7" s="240">
        <v>45661</v>
      </c>
      <c r="C7" s="32"/>
      <c r="D7" s="24"/>
      <c r="E7" s="9">
        <v>20</v>
      </c>
      <c r="F7" s="9">
        <v>89.47</v>
      </c>
      <c r="G7" s="9">
        <f t="shared" si="0"/>
        <v>1789.4</v>
      </c>
      <c r="H7" s="9">
        <v>6</v>
      </c>
      <c r="I7" s="12">
        <v>103.4</v>
      </c>
      <c r="J7" s="9">
        <f t="shared" si="1"/>
        <v>620.40000000000009</v>
      </c>
      <c r="K7" s="9">
        <f t="shared" si="3"/>
        <v>2409.8000000000002</v>
      </c>
      <c r="L7" s="9">
        <v>2409.8000000000002</v>
      </c>
      <c r="M7" s="9">
        <f t="shared" si="2"/>
        <v>0</v>
      </c>
      <c r="N7" s="84" t="s">
        <v>95</v>
      </c>
      <c r="O7" s="1"/>
    </row>
    <row r="8" spans="1:15">
      <c r="A8" s="33">
        <v>3</v>
      </c>
      <c r="B8" s="240">
        <v>45663</v>
      </c>
      <c r="C8" s="32"/>
      <c r="D8" s="24"/>
      <c r="E8" s="9">
        <v>32.89</v>
      </c>
      <c r="F8" s="9">
        <v>89.47</v>
      </c>
      <c r="G8" s="9">
        <f t="shared" si="0"/>
        <v>2942.6682999999998</v>
      </c>
      <c r="H8" s="9">
        <v>0</v>
      </c>
      <c r="I8" s="9">
        <v>103.4</v>
      </c>
      <c r="J8" s="9">
        <f t="shared" si="1"/>
        <v>0</v>
      </c>
      <c r="K8" s="9">
        <f t="shared" si="3"/>
        <v>2942.6682999999998</v>
      </c>
      <c r="L8" s="9">
        <v>2942.6682999999998</v>
      </c>
      <c r="M8" s="9">
        <f t="shared" si="2"/>
        <v>0</v>
      </c>
      <c r="N8" s="84" t="s">
        <v>95</v>
      </c>
      <c r="O8" s="1"/>
    </row>
    <row r="9" spans="1:15">
      <c r="A9" s="33">
        <f>A8+1</f>
        <v>4</v>
      </c>
      <c r="B9" s="240">
        <v>45665</v>
      </c>
      <c r="C9" s="32"/>
      <c r="D9" s="24"/>
      <c r="E9" s="9">
        <v>86.42</v>
      </c>
      <c r="F9" s="9">
        <v>89.47</v>
      </c>
      <c r="G9" s="9">
        <f t="shared" si="0"/>
        <v>7731.9974000000002</v>
      </c>
      <c r="H9" s="9">
        <v>6</v>
      </c>
      <c r="I9" s="9">
        <v>103.4</v>
      </c>
      <c r="J9" s="9">
        <f t="shared" si="1"/>
        <v>620.40000000000009</v>
      </c>
      <c r="K9" s="9">
        <f t="shared" si="3"/>
        <v>8352.3973999999998</v>
      </c>
      <c r="L9" s="9">
        <v>8352.3973999999998</v>
      </c>
      <c r="M9" s="9">
        <f t="shared" si="2"/>
        <v>0</v>
      </c>
      <c r="N9" s="84" t="s">
        <v>95</v>
      </c>
      <c r="O9" s="1"/>
    </row>
    <row r="10" spans="1:15">
      <c r="A10" s="33">
        <v>4</v>
      </c>
      <c r="B10" s="240">
        <v>45665</v>
      </c>
      <c r="C10" s="32"/>
      <c r="D10" s="24"/>
      <c r="E10" s="9">
        <v>35</v>
      </c>
      <c r="F10" s="9">
        <v>90.23</v>
      </c>
      <c r="G10" s="9">
        <f t="shared" si="0"/>
        <v>3158.05</v>
      </c>
      <c r="H10" s="9">
        <v>0</v>
      </c>
      <c r="I10" s="9">
        <v>103.4</v>
      </c>
      <c r="J10" s="9">
        <f t="shared" si="1"/>
        <v>0</v>
      </c>
      <c r="K10" s="9">
        <f t="shared" si="3"/>
        <v>3158.05</v>
      </c>
      <c r="L10" s="9">
        <v>3158.05</v>
      </c>
      <c r="M10" s="9">
        <f t="shared" si="2"/>
        <v>0</v>
      </c>
      <c r="N10" s="84" t="s">
        <v>95</v>
      </c>
      <c r="O10" s="1"/>
    </row>
    <row r="11" spans="1:15">
      <c r="A11" s="33">
        <f>A10+1</f>
        <v>5</v>
      </c>
      <c r="B11" s="240">
        <v>45666</v>
      </c>
      <c r="C11" s="32"/>
      <c r="D11" s="24"/>
      <c r="E11" s="9">
        <v>66.48</v>
      </c>
      <c r="F11" s="9">
        <v>89.47</v>
      </c>
      <c r="G11" s="9">
        <f t="shared" si="0"/>
        <v>5947.9656000000004</v>
      </c>
      <c r="H11" s="9">
        <v>5</v>
      </c>
      <c r="I11" s="9">
        <v>103.4</v>
      </c>
      <c r="J11" s="9">
        <f t="shared" si="1"/>
        <v>517</v>
      </c>
      <c r="K11" s="9">
        <f t="shared" si="3"/>
        <v>6464.9656000000004</v>
      </c>
      <c r="L11" s="9">
        <v>6464.9656000000004</v>
      </c>
      <c r="M11" s="9">
        <f t="shared" si="2"/>
        <v>0</v>
      </c>
      <c r="N11" s="84" t="s">
        <v>95</v>
      </c>
      <c r="O11" s="1"/>
    </row>
    <row r="12" spans="1:15">
      <c r="A12" s="33">
        <v>5</v>
      </c>
      <c r="B12" s="240">
        <v>45667</v>
      </c>
      <c r="C12" s="32"/>
      <c r="D12" s="24"/>
      <c r="E12" s="9">
        <v>593.41</v>
      </c>
      <c r="F12" s="9">
        <v>89.47</v>
      </c>
      <c r="G12" s="9">
        <f t="shared" si="0"/>
        <v>53092.392699999997</v>
      </c>
      <c r="H12" s="9">
        <v>6</v>
      </c>
      <c r="I12" s="9">
        <v>103.4</v>
      </c>
      <c r="J12" s="9">
        <f t="shared" si="1"/>
        <v>620.40000000000009</v>
      </c>
      <c r="K12" s="9">
        <f t="shared" si="3"/>
        <v>53712.792699999998</v>
      </c>
      <c r="L12" s="9">
        <v>53712.792699999998</v>
      </c>
      <c r="M12" s="9">
        <f t="shared" si="2"/>
        <v>0</v>
      </c>
      <c r="N12" s="84" t="s">
        <v>95</v>
      </c>
      <c r="O12" s="1" t="s">
        <v>82</v>
      </c>
    </row>
    <row r="13" spans="1:15">
      <c r="A13" s="33">
        <f>A12+1</f>
        <v>6</v>
      </c>
      <c r="B13" s="240">
        <v>45667</v>
      </c>
      <c r="C13" s="32"/>
      <c r="D13" s="24"/>
      <c r="E13" s="9">
        <v>85</v>
      </c>
      <c r="F13" s="9">
        <v>90.23</v>
      </c>
      <c r="G13" s="9">
        <f t="shared" si="0"/>
        <v>7669.55</v>
      </c>
      <c r="H13" s="9">
        <v>0</v>
      </c>
      <c r="I13" s="9">
        <v>103.4</v>
      </c>
      <c r="J13" s="9">
        <f t="shared" si="1"/>
        <v>0</v>
      </c>
      <c r="K13" s="9">
        <f t="shared" si="3"/>
        <v>7669.55</v>
      </c>
      <c r="L13" s="9">
        <v>7669.55</v>
      </c>
      <c r="M13" s="9">
        <f t="shared" si="2"/>
        <v>0</v>
      </c>
      <c r="N13" s="84" t="s">
        <v>95</v>
      </c>
      <c r="O13" s="1"/>
    </row>
    <row r="14" spans="1:15">
      <c r="A14" s="33">
        <v>6</v>
      </c>
      <c r="B14" s="240">
        <v>45668</v>
      </c>
      <c r="C14" s="32"/>
      <c r="D14" s="24"/>
      <c r="E14" s="9">
        <v>0</v>
      </c>
      <c r="F14" s="9">
        <v>89.47</v>
      </c>
      <c r="G14" s="9">
        <f t="shared" si="0"/>
        <v>0</v>
      </c>
      <c r="H14" s="9">
        <v>18</v>
      </c>
      <c r="I14" s="9">
        <v>103.4</v>
      </c>
      <c r="J14" s="9">
        <f t="shared" si="1"/>
        <v>1861.2</v>
      </c>
      <c r="K14" s="9">
        <f t="shared" si="3"/>
        <v>1861.2</v>
      </c>
      <c r="L14" s="9">
        <v>1861.2</v>
      </c>
      <c r="M14" s="9">
        <f t="shared" si="2"/>
        <v>0</v>
      </c>
      <c r="N14" s="84" t="s">
        <v>95</v>
      </c>
      <c r="O14" s="1"/>
    </row>
    <row r="15" spans="1:15">
      <c r="A15" s="33">
        <f>A14+1</f>
        <v>7</v>
      </c>
      <c r="B15" s="240">
        <v>45669</v>
      </c>
      <c r="C15" s="32"/>
      <c r="D15" s="24"/>
      <c r="E15" s="9">
        <v>78.59</v>
      </c>
      <c r="F15" s="9">
        <v>89.47</v>
      </c>
      <c r="G15" s="9">
        <f t="shared" si="0"/>
        <v>7031.4472999999998</v>
      </c>
      <c r="H15" s="9">
        <v>0</v>
      </c>
      <c r="I15" s="9">
        <v>103.4</v>
      </c>
      <c r="J15" s="9">
        <f t="shared" si="1"/>
        <v>0</v>
      </c>
      <c r="K15" s="9">
        <f t="shared" si="3"/>
        <v>7031.4472999999998</v>
      </c>
      <c r="L15" s="9">
        <v>7031.4472999999998</v>
      </c>
      <c r="M15" s="9">
        <f t="shared" si="2"/>
        <v>0</v>
      </c>
      <c r="N15" s="84" t="s">
        <v>95</v>
      </c>
      <c r="O15" s="1"/>
    </row>
    <row r="16" spans="1:15">
      <c r="A16" s="33">
        <v>7</v>
      </c>
      <c r="B16" s="240">
        <v>45670</v>
      </c>
      <c r="C16" s="32"/>
      <c r="D16" s="24"/>
      <c r="E16" s="9">
        <v>0</v>
      </c>
      <c r="F16" s="9">
        <v>89.47</v>
      </c>
      <c r="G16" s="9">
        <f t="shared" si="0"/>
        <v>0</v>
      </c>
      <c r="H16" s="9">
        <v>10</v>
      </c>
      <c r="I16" s="9">
        <v>103.4</v>
      </c>
      <c r="J16" s="9">
        <f t="shared" si="1"/>
        <v>1034</v>
      </c>
      <c r="K16" s="9">
        <f t="shared" si="3"/>
        <v>1034</v>
      </c>
      <c r="L16" s="9">
        <v>1034</v>
      </c>
      <c r="M16" s="9">
        <f t="shared" si="2"/>
        <v>0</v>
      </c>
      <c r="N16" s="84" t="s">
        <v>95</v>
      </c>
      <c r="O16" s="1"/>
    </row>
    <row r="17" spans="1:15">
      <c r="A17" s="33">
        <f>A16+1</f>
        <v>8</v>
      </c>
      <c r="B17" s="240">
        <v>45671</v>
      </c>
      <c r="C17" s="32"/>
      <c r="D17" s="24"/>
      <c r="E17" s="9">
        <v>69.11</v>
      </c>
      <c r="F17" s="9">
        <v>89.47</v>
      </c>
      <c r="G17" s="9">
        <f t="shared" si="0"/>
        <v>6183.2717000000002</v>
      </c>
      <c r="H17" s="9">
        <v>0</v>
      </c>
      <c r="I17" s="9">
        <v>103.4</v>
      </c>
      <c r="J17" s="9">
        <f t="shared" si="1"/>
        <v>0</v>
      </c>
      <c r="K17" s="9">
        <f>G17+J17</f>
        <v>6183.2717000000002</v>
      </c>
      <c r="L17" s="9">
        <v>6183.2717000000002</v>
      </c>
      <c r="M17" s="9">
        <f t="shared" si="2"/>
        <v>0</v>
      </c>
      <c r="N17" s="84" t="s">
        <v>95</v>
      </c>
      <c r="O17" s="1"/>
    </row>
    <row r="18" spans="1:15">
      <c r="A18" s="33">
        <v>8</v>
      </c>
      <c r="B18" s="240">
        <v>45674</v>
      </c>
      <c r="C18" s="32"/>
      <c r="D18" s="24"/>
      <c r="E18" s="9">
        <v>40.479999999999997</v>
      </c>
      <c r="F18" s="9">
        <v>89.47</v>
      </c>
      <c r="G18" s="9">
        <f t="shared" si="0"/>
        <v>3621.7455999999997</v>
      </c>
      <c r="H18" s="9">
        <v>6</v>
      </c>
      <c r="I18" s="9">
        <v>103.4</v>
      </c>
      <c r="J18" s="9">
        <f t="shared" si="1"/>
        <v>620.40000000000009</v>
      </c>
      <c r="K18" s="9">
        <f>G18+J18</f>
        <v>4242.1455999999998</v>
      </c>
      <c r="L18" s="9">
        <v>4242.1455999999998</v>
      </c>
      <c r="M18" s="9">
        <f t="shared" si="2"/>
        <v>0</v>
      </c>
      <c r="N18" s="84" t="s">
        <v>95</v>
      </c>
      <c r="O18" s="1"/>
    </row>
    <row r="19" spans="1:15">
      <c r="A19" s="33">
        <f>A18+1</f>
        <v>9</v>
      </c>
      <c r="B19" s="240">
        <v>45675</v>
      </c>
      <c r="C19" s="32"/>
      <c r="D19" s="24"/>
      <c r="E19" s="9">
        <v>100</v>
      </c>
      <c r="F19" s="9">
        <v>89.47</v>
      </c>
      <c r="G19" s="9">
        <f t="shared" si="0"/>
        <v>8947</v>
      </c>
      <c r="H19" s="9">
        <v>12</v>
      </c>
      <c r="I19" s="9">
        <v>103.4</v>
      </c>
      <c r="J19" s="9">
        <f t="shared" si="1"/>
        <v>1240.8000000000002</v>
      </c>
      <c r="K19" s="9">
        <f>G19+J19</f>
        <v>10187.799999999999</v>
      </c>
      <c r="L19" s="9">
        <v>10187.799999999999</v>
      </c>
      <c r="M19" s="9">
        <f t="shared" si="2"/>
        <v>0</v>
      </c>
      <c r="N19" s="84" t="s">
        <v>95</v>
      </c>
      <c r="O19" s="1"/>
    </row>
    <row r="20" spans="1:15">
      <c r="A20" s="33">
        <v>10</v>
      </c>
      <c r="B20" s="240">
        <v>45676</v>
      </c>
      <c r="C20" s="32"/>
      <c r="D20" s="24"/>
      <c r="E20" s="9">
        <v>80</v>
      </c>
      <c r="F20" s="9">
        <v>90.23</v>
      </c>
      <c r="G20" s="9">
        <f t="shared" si="0"/>
        <v>7218.4000000000005</v>
      </c>
      <c r="H20" s="9">
        <v>5.09</v>
      </c>
      <c r="I20" s="9">
        <v>104.14</v>
      </c>
      <c r="J20" s="9">
        <f t="shared" si="1"/>
        <v>530.07259999999997</v>
      </c>
      <c r="K20" s="9">
        <f>G20+J20</f>
        <v>7748.472600000001</v>
      </c>
      <c r="L20" s="9">
        <v>7748.47</v>
      </c>
      <c r="M20" s="9">
        <f t="shared" si="2"/>
        <v>2.6000000007115887E-3</v>
      </c>
      <c r="N20" s="84" t="s">
        <v>95</v>
      </c>
      <c r="O20" s="1"/>
    </row>
    <row r="21" spans="1:15">
      <c r="A21" s="33">
        <v>11</v>
      </c>
      <c r="B21" s="240">
        <v>45676</v>
      </c>
      <c r="C21" s="32"/>
      <c r="D21" s="24"/>
      <c r="E21" s="9">
        <v>53.75</v>
      </c>
      <c r="F21" s="9">
        <v>89.47</v>
      </c>
      <c r="G21" s="9">
        <f t="shared" si="0"/>
        <v>4809.0124999999998</v>
      </c>
      <c r="H21" s="9">
        <v>5</v>
      </c>
      <c r="I21" s="9">
        <v>103.4</v>
      </c>
      <c r="J21" s="9">
        <f t="shared" si="1"/>
        <v>517</v>
      </c>
      <c r="K21" s="9">
        <f>G21+J21</f>
        <v>5326.0124999999998</v>
      </c>
      <c r="L21" s="9">
        <v>5326.01</v>
      </c>
      <c r="M21" s="9">
        <f t="shared" si="2"/>
        <v>5.100000000311411E-3</v>
      </c>
      <c r="N21" s="84" t="s">
        <v>95</v>
      </c>
      <c r="O21" s="1"/>
    </row>
    <row r="22" spans="1:15">
      <c r="A22" s="33">
        <v>12</v>
      </c>
      <c r="B22" s="240">
        <v>45677</v>
      </c>
      <c r="C22" s="32"/>
      <c r="D22" s="24"/>
      <c r="E22" s="9">
        <v>0</v>
      </c>
      <c r="F22" s="9">
        <v>89.47</v>
      </c>
      <c r="G22" s="9">
        <f t="shared" si="0"/>
        <v>0</v>
      </c>
      <c r="H22" s="9">
        <v>0</v>
      </c>
      <c r="I22" s="9">
        <v>103.4</v>
      </c>
      <c r="J22" s="9">
        <f t="shared" si="1"/>
        <v>0</v>
      </c>
      <c r="K22" s="9">
        <f t="shared" ref="K22:K34" si="4">G22+J22</f>
        <v>0</v>
      </c>
      <c r="L22" s="9">
        <v>0</v>
      </c>
      <c r="M22" s="9">
        <f t="shared" si="2"/>
        <v>5.100000000311411E-3</v>
      </c>
      <c r="N22" s="84"/>
      <c r="O22" s="1"/>
    </row>
    <row r="23" spans="1:15">
      <c r="A23" s="33">
        <v>13</v>
      </c>
      <c r="B23" s="240">
        <v>45678</v>
      </c>
      <c r="C23" s="32"/>
      <c r="D23" s="24"/>
      <c r="E23" s="9">
        <v>200</v>
      </c>
      <c r="F23" s="9">
        <v>90.02</v>
      </c>
      <c r="G23" s="9">
        <f t="shared" si="0"/>
        <v>18004</v>
      </c>
      <c r="H23" s="9">
        <v>6</v>
      </c>
      <c r="I23" s="9">
        <v>103.4</v>
      </c>
      <c r="J23" s="9">
        <f t="shared" si="1"/>
        <v>620.40000000000009</v>
      </c>
      <c r="K23" s="9">
        <f t="shared" si="4"/>
        <v>18624.400000000001</v>
      </c>
      <c r="L23" s="9">
        <v>18624</v>
      </c>
      <c r="M23" s="9">
        <f t="shared" si="2"/>
        <v>0.40510000000358559</v>
      </c>
      <c r="N23" s="84"/>
      <c r="O23" s="1"/>
    </row>
    <row r="24" spans="1:15">
      <c r="A24" s="33">
        <v>14</v>
      </c>
      <c r="B24" s="240">
        <v>45679</v>
      </c>
      <c r="C24" s="32"/>
      <c r="D24" s="24"/>
      <c r="E24" s="9">
        <v>44.71</v>
      </c>
      <c r="F24" s="9">
        <v>89.47</v>
      </c>
      <c r="G24" s="9">
        <f t="shared" si="0"/>
        <v>4000.2037</v>
      </c>
      <c r="H24" s="9">
        <v>12</v>
      </c>
      <c r="I24" s="9">
        <v>104.02</v>
      </c>
      <c r="J24" s="9">
        <f t="shared" si="1"/>
        <v>1248.24</v>
      </c>
      <c r="K24" s="9">
        <f t="shared" si="4"/>
        <v>5248.4436999999998</v>
      </c>
      <c r="L24" s="9">
        <v>5248.44</v>
      </c>
      <c r="M24" s="9">
        <f t="shared" si="2"/>
        <v>0.40880000000379368</v>
      </c>
      <c r="N24" s="84" t="s">
        <v>95</v>
      </c>
      <c r="O24" s="1"/>
    </row>
    <row r="25" spans="1:15">
      <c r="A25" s="33">
        <v>15</v>
      </c>
      <c r="B25" s="240">
        <v>45680</v>
      </c>
      <c r="C25" s="32"/>
      <c r="D25" s="24"/>
      <c r="E25" s="9"/>
      <c r="F25" s="9">
        <v>89.47</v>
      </c>
      <c r="G25" s="9">
        <f t="shared" si="0"/>
        <v>0</v>
      </c>
      <c r="H25" s="9">
        <v>6</v>
      </c>
      <c r="I25" s="9">
        <v>103.4</v>
      </c>
      <c r="J25" s="9">
        <f t="shared" si="1"/>
        <v>620.40000000000009</v>
      </c>
      <c r="K25" s="9">
        <f t="shared" si="4"/>
        <v>620.40000000000009</v>
      </c>
      <c r="L25" s="9">
        <v>620.4</v>
      </c>
      <c r="M25" s="9">
        <f t="shared" si="2"/>
        <v>0.40880000000390737</v>
      </c>
      <c r="N25" s="84" t="s">
        <v>95</v>
      </c>
      <c r="O25" s="1"/>
    </row>
    <row r="26" spans="1:15">
      <c r="A26" s="33"/>
      <c r="B26" s="240">
        <v>45681</v>
      </c>
      <c r="C26" s="32"/>
      <c r="D26" s="24"/>
      <c r="E26" s="9">
        <v>150</v>
      </c>
      <c r="F26" s="9">
        <v>90.02</v>
      </c>
      <c r="G26" s="9">
        <f t="shared" si="0"/>
        <v>13503</v>
      </c>
      <c r="H26" s="9"/>
      <c r="I26" s="9">
        <v>103.4</v>
      </c>
      <c r="J26" s="9">
        <f t="shared" si="1"/>
        <v>0</v>
      </c>
      <c r="K26" s="9">
        <f t="shared" si="4"/>
        <v>13503</v>
      </c>
      <c r="L26" s="9">
        <v>13503</v>
      </c>
      <c r="M26" s="9">
        <f t="shared" si="2"/>
        <v>0.40880000000470318</v>
      </c>
      <c r="N26" s="84"/>
      <c r="O26" s="1"/>
    </row>
    <row r="27" spans="1:15">
      <c r="A27" s="33"/>
      <c r="B27" s="240">
        <v>45681</v>
      </c>
      <c r="C27" s="32"/>
      <c r="D27" s="24"/>
      <c r="E27" s="9">
        <v>120</v>
      </c>
      <c r="F27" s="9">
        <v>89.47</v>
      </c>
      <c r="G27" s="9">
        <f t="shared" si="0"/>
        <v>10736.4</v>
      </c>
      <c r="H27" s="9">
        <v>0</v>
      </c>
      <c r="I27" s="9">
        <v>103.4</v>
      </c>
      <c r="J27" s="9">
        <f t="shared" si="1"/>
        <v>0</v>
      </c>
      <c r="K27" s="9">
        <f t="shared" si="4"/>
        <v>10736.4</v>
      </c>
      <c r="L27" s="9">
        <v>10736.4</v>
      </c>
      <c r="M27" s="9">
        <f t="shared" si="2"/>
        <v>0.40880000000470318</v>
      </c>
      <c r="N27" s="84"/>
      <c r="O27" s="1"/>
    </row>
    <row r="28" spans="1:15">
      <c r="A28" s="33"/>
      <c r="B28" s="240">
        <v>45682</v>
      </c>
      <c r="C28" s="32"/>
      <c r="D28" s="24"/>
      <c r="E28" s="9">
        <v>46.72</v>
      </c>
      <c r="F28" s="9">
        <v>90.02</v>
      </c>
      <c r="G28" s="9">
        <f t="shared" si="0"/>
        <v>4205.7343999999994</v>
      </c>
      <c r="H28" s="9">
        <v>0</v>
      </c>
      <c r="I28" s="9">
        <v>103.4</v>
      </c>
      <c r="J28" s="9">
        <f t="shared" si="1"/>
        <v>0</v>
      </c>
      <c r="K28" s="9">
        <f t="shared" si="4"/>
        <v>4205.7343999999994</v>
      </c>
      <c r="L28" s="9">
        <v>4205.7299999999996</v>
      </c>
      <c r="M28" s="9">
        <f>M27+K28-L28</f>
        <v>0.41320000000450818</v>
      </c>
      <c r="N28" s="84"/>
      <c r="O28" s="1"/>
    </row>
    <row r="29" spans="1:15">
      <c r="A29" s="33"/>
      <c r="B29" s="240">
        <v>45682</v>
      </c>
      <c r="C29" s="32"/>
      <c r="D29" s="24"/>
      <c r="E29" s="9">
        <v>42.54</v>
      </c>
      <c r="F29" s="9">
        <v>89.47</v>
      </c>
      <c r="G29" s="9">
        <f t="shared" si="0"/>
        <v>3806.0537999999997</v>
      </c>
      <c r="H29" s="9">
        <v>0</v>
      </c>
      <c r="I29" s="9">
        <v>103.4</v>
      </c>
      <c r="J29" s="9">
        <f t="shared" si="1"/>
        <v>0</v>
      </c>
      <c r="K29" s="9">
        <f t="shared" si="4"/>
        <v>3806.0537999999997</v>
      </c>
      <c r="L29" s="9">
        <v>3806.05</v>
      </c>
      <c r="M29" s="9">
        <f>M28+K29-L29</f>
        <v>0.41700000000400905</v>
      </c>
      <c r="N29" s="84"/>
      <c r="O29" s="1"/>
    </row>
    <row r="30" spans="1:15">
      <c r="A30" s="33"/>
      <c r="B30" s="240">
        <v>45683</v>
      </c>
      <c r="C30" s="32"/>
      <c r="D30" s="24"/>
      <c r="E30" s="9">
        <v>250</v>
      </c>
      <c r="F30" s="9">
        <v>90.02</v>
      </c>
      <c r="G30" s="9">
        <f t="shared" si="0"/>
        <v>22505</v>
      </c>
      <c r="H30" s="9">
        <v>0</v>
      </c>
      <c r="I30" s="9">
        <v>103.4</v>
      </c>
      <c r="J30" s="9">
        <f t="shared" si="1"/>
        <v>0</v>
      </c>
      <c r="K30" s="9">
        <f t="shared" si="4"/>
        <v>22505</v>
      </c>
      <c r="L30" s="9">
        <v>22505</v>
      </c>
      <c r="M30" s="9">
        <f>M29+K30-L30</f>
        <v>0.41700000000491855</v>
      </c>
      <c r="N30" s="84"/>
      <c r="O30" s="1"/>
    </row>
    <row r="31" spans="1:15">
      <c r="A31" s="33"/>
      <c r="B31" s="240">
        <v>45684</v>
      </c>
      <c r="C31" s="32"/>
      <c r="D31" s="24"/>
      <c r="E31" s="9">
        <v>35</v>
      </c>
      <c r="F31" s="9">
        <v>90.02</v>
      </c>
      <c r="G31" s="9">
        <f t="shared" si="0"/>
        <v>3150.7</v>
      </c>
      <c r="H31" s="9">
        <v>18</v>
      </c>
      <c r="I31" s="9">
        <v>103.4</v>
      </c>
      <c r="J31" s="9">
        <f t="shared" si="1"/>
        <v>1861.2</v>
      </c>
      <c r="K31" s="9">
        <f t="shared" si="4"/>
        <v>5011.8999999999996</v>
      </c>
      <c r="L31" s="9">
        <v>5011.8999999999996</v>
      </c>
      <c r="M31" s="9">
        <f>M30+K31-L31</f>
        <v>0.41700000000491855</v>
      </c>
      <c r="N31" s="84"/>
      <c r="O31" s="1"/>
    </row>
    <row r="32" spans="1:15">
      <c r="A32" s="33">
        <v>151</v>
      </c>
      <c r="B32" s="240">
        <v>45685</v>
      </c>
      <c r="C32" s="32"/>
      <c r="D32" s="24"/>
      <c r="E32" s="9">
        <v>169.86</v>
      </c>
      <c r="F32" s="9">
        <v>89.47</v>
      </c>
      <c r="G32" s="9">
        <f t="shared" si="0"/>
        <v>15197.3742</v>
      </c>
      <c r="H32" s="9"/>
      <c r="I32" s="9">
        <v>103.4</v>
      </c>
      <c r="J32" s="9">
        <f t="shared" si="1"/>
        <v>0</v>
      </c>
      <c r="K32" s="9">
        <f t="shared" si="4"/>
        <v>15197.3742</v>
      </c>
      <c r="L32" s="9">
        <v>15197.37</v>
      </c>
      <c r="M32" s="9">
        <f>M31+K32-L32</f>
        <v>0.42120000000431901</v>
      </c>
      <c r="N32" s="84"/>
      <c r="O32" s="1"/>
    </row>
    <row r="33" spans="1:15">
      <c r="A33" s="33"/>
      <c r="B33" s="240">
        <v>45686</v>
      </c>
      <c r="C33" s="32"/>
      <c r="D33" s="24"/>
      <c r="E33" s="9">
        <v>85</v>
      </c>
      <c r="F33" s="9">
        <v>89.47</v>
      </c>
      <c r="G33" s="9">
        <f t="shared" si="0"/>
        <v>7604.95</v>
      </c>
      <c r="H33" s="9"/>
      <c r="I33" s="9">
        <v>103.4</v>
      </c>
      <c r="J33" s="9">
        <f t="shared" si="1"/>
        <v>0</v>
      </c>
      <c r="K33" s="9">
        <f t="shared" si="4"/>
        <v>7604.95</v>
      </c>
      <c r="L33" s="9">
        <v>7604</v>
      </c>
      <c r="M33" s="9">
        <f>M32+K33-L33</f>
        <v>1.3712000000041371</v>
      </c>
      <c r="N33" s="84"/>
      <c r="O33" s="1"/>
    </row>
    <row r="34" spans="1:15">
      <c r="A34" s="33"/>
      <c r="B34" s="240">
        <v>45687</v>
      </c>
      <c r="C34" s="32"/>
      <c r="D34" s="24"/>
      <c r="E34" s="9">
        <v>65</v>
      </c>
      <c r="F34" s="9">
        <v>89.47</v>
      </c>
      <c r="G34" s="9">
        <f t="shared" si="0"/>
        <v>5815.55</v>
      </c>
      <c r="H34" s="9">
        <v>23</v>
      </c>
      <c r="I34" s="9">
        <v>103.4</v>
      </c>
      <c r="J34" s="9">
        <f t="shared" si="1"/>
        <v>2378.2000000000003</v>
      </c>
      <c r="K34" s="9">
        <f>G34+J34</f>
        <v>8193.75</v>
      </c>
      <c r="L34" s="9"/>
      <c r="M34" s="9">
        <f>M33+K34-L34</f>
        <v>8195.121200000005</v>
      </c>
      <c r="N34" s="84"/>
      <c r="O34" s="1"/>
    </row>
    <row r="35" spans="1:15">
      <c r="A35" s="33"/>
      <c r="B35" s="240">
        <v>45687</v>
      </c>
      <c r="C35" s="32"/>
      <c r="D35" s="24"/>
      <c r="E35" s="9">
        <v>35</v>
      </c>
      <c r="F35" s="9">
        <v>90.02</v>
      </c>
      <c r="G35" s="9">
        <f t="shared" si="0"/>
        <v>3150.7</v>
      </c>
      <c r="H35" s="9">
        <v>6</v>
      </c>
      <c r="I35" s="9">
        <v>104.02</v>
      </c>
      <c r="J35" s="9">
        <f t="shared" si="1"/>
        <v>624.12</v>
      </c>
      <c r="K35" s="9">
        <f>G35+J35</f>
        <v>3774.8199999999997</v>
      </c>
      <c r="L35" s="9">
        <v>3774.82</v>
      </c>
      <c r="M35" s="9">
        <f>M34+K35-L35</f>
        <v>8195.121200000005</v>
      </c>
      <c r="N35" s="84"/>
      <c r="O35" s="1"/>
    </row>
    <row r="36" spans="1:15">
      <c r="A36" s="33"/>
      <c r="B36" s="240" t="s">
        <v>115</v>
      </c>
      <c r="C36" s="32"/>
      <c r="D36" s="24"/>
      <c r="E36" s="9">
        <v>62.44</v>
      </c>
      <c r="F36" s="9">
        <v>89.47</v>
      </c>
      <c r="G36" s="9">
        <f t="shared" si="0"/>
        <v>5586.5068000000001</v>
      </c>
      <c r="H36" s="9"/>
      <c r="I36" s="9"/>
      <c r="J36" s="9"/>
      <c r="K36" s="9">
        <f>G36+J36</f>
        <v>5586.5068000000001</v>
      </c>
      <c r="L36" s="9"/>
      <c r="M36" s="9">
        <f>M35+K36-L36</f>
        <v>13781.628000000004</v>
      </c>
      <c r="N36" s="84"/>
      <c r="O36" s="1"/>
    </row>
    <row r="37" spans="1:15">
      <c r="A37" s="108"/>
      <c r="B37" s="108"/>
      <c r="C37" s="108"/>
      <c r="D37" s="108"/>
      <c r="E37" s="109">
        <f>SUM(E4:E36)</f>
        <v>2808.93</v>
      </c>
      <c r="F37" s="109"/>
      <c r="G37" s="109">
        <f>SUM(G4:G36)</f>
        <v>251861.16310000001</v>
      </c>
      <c r="H37" s="109">
        <f>SUM(H4:H36)</f>
        <v>177.09</v>
      </c>
      <c r="I37" s="109"/>
      <c r="J37" s="109">
        <f>SUM(J4:J36)</f>
        <v>18326.032599999999</v>
      </c>
      <c r="K37" s="109">
        <f>SUM(K4:K36)</f>
        <v>270187.19569999992</v>
      </c>
      <c r="L37" s="109">
        <f>SUM(L4:L36)</f>
        <v>256405.56769999999</v>
      </c>
      <c r="M37" s="109"/>
      <c r="N37" s="109"/>
      <c r="O37" s="103"/>
    </row>
    <row r="38" spans="1:15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5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9"/>
      <c r="M39" s="1"/>
      <c r="N39" s="1"/>
      <c r="O39" s="4"/>
    </row>
    <row r="40" spans="1:15">
      <c r="A40" s="1"/>
      <c r="B40" s="460"/>
      <c r="C40" s="460"/>
      <c r="D40" s="460"/>
      <c r="E40" s="460"/>
      <c r="F40" s="1"/>
      <c r="G40" s="1"/>
      <c r="H40" s="1"/>
      <c r="I40" s="487">
        <f>K24+L24</f>
        <v>10496.883699999998</v>
      </c>
      <c r="J40" s="460"/>
      <c r="K40" s="460"/>
      <c r="L40" s="460"/>
      <c r="M40" s="460"/>
      <c r="N40" s="460"/>
      <c r="O40" s="4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B40:E40"/>
    <mergeCell ref="I40:N40"/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dimension ref="A1:O38"/>
  <sheetViews>
    <sheetView workbookViewId="0">
      <pane ySplit="2" topLeftCell="A3" activePane="bottomLeft" state="frozen"/>
      <selection pane="bottomLeft" activeCell="Q16" sqref="Q16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9.7109375" bestFit="1" customWidth="1"/>
    <col min="11" max="11" width="11.85546875" customWidth="1"/>
    <col min="12" max="13" width="14" customWidth="1"/>
    <col min="14" max="14" width="14.85546875" customWidth="1"/>
  </cols>
  <sheetData>
    <row r="1" spans="1:15" ht="15.75">
      <c r="A1" s="488" t="s">
        <v>48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132"/>
    </row>
    <row r="2" spans="1:15">
      <c r="A2" s="155" t="s">
        <v>58</v>
      </c>
      <c r="B2" s="156" t="s">
        <v>59</v>
      </c>
      <c r="C2" s="156" t="s">
        <v>60</v>
      </c>
      <c r="D2" s="156" t="s">
        <v>116</v>
      </c>
      <c r="E2" s="156" t="s">
        <v>62</v>
      </c>
      <c r="F2" s="156" t="s">
        <v>63</v>
      </c>
      <c r="G2" s="156" t="s">
        <v>64</v>
      </c>
      <c r="H2" s="156" t="s">
        <v>65</v>
      </c>
      <c r="I2" s="156" t="s">
        <v>63</v>
      </c>
      <c r="J2" s="215" t="s">
        <v>64</v>
      </c>
      <c r="K2" s="157" t="s">
        <v>66</v>
      </c>
      <c r="L2" s="216" t="s">
        <v>67</v>
      </c>
      <c r="M2" s="221" t="s">
        <v>68</v>
      </c>
      <c r="N2" s="158" t="s">
        <v>69</v>
      </c>
      <c r="O2" s="103"/>
    </row>
    <row r="3" spans="1: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252">
        <v>18034.63</v>
      </c>
      <c r="L3" s="23"/>
      <c r="M3" s="169">
        <f>+K3</f>
        <v>18034.63</v>
      </c>
      <c r="N3" s="23"/>
      <c r="O3" s="103"/>
    </row>
    <row r="4" spans="1:15">
      <c r="A4" s="116">
        <v>1</v>
      </c>
      <c r="B4" s="235" t="s">
        <v>117</v>
      </c>
      <c r="C4" s="236"/>
      <c r="D4" s="237"/>
      <c r="E4" s="238">
        <v>0</v>
      </c>
      <c r="F4" s="238">
        <v>89.81</v>
      </c>
      <c r="G4" s="217">
        <f>E4*F4</f>
        <v>0</v>
      </c>
      <c r="H4" s="238">
        <v>0</v>
      </c>
      <c r="I4" s="239">
        <v>103.8</v>
      </c>
      <c r="J4" s="26">
        <f>H4*I4</f>
        <v>0</v>
      </c>
      <c r="K4" s="26">
        <f>G4+J4</f>
        <v>0</v>
      </c>
      <c r="L4" s="219"/>
      <c r="M4" s="219">
        <f>M3+K4-L4</f>
        <v>18034.63</v>
      </c>
      <c r="N4" s="220" t="s">
        <v>118</v>
      </c>
    </row>
    <row r="5" spans="1:15">
      <c r="A5" s="118">
        <v>2</v>
      </c>
      <c r="B5" s="133" t="s">
        <v>119</v>
      </c>
      <c r="C5" s="14"/>
      <c r="D5" s="14"/>
      <c r="E5" s="111">
        <v>0</v>
      </c>
      <c r="F5" s="111">
        <v>89.81</v>
      </c>
      <c r="G5" s="21">
        <f>E5*F5</f>
        <v>0</v>
      </c>
      <c r="H5" s="111">
        <v>0</v>
      </c>
      <c r="I5" s="112">
        <v>103.8</v>
      </c>
      <c r="J5" s="7">
        <f>H5*I5</f>
        <v>0</v>
      </c>
      <c r="K5" s="7">
        <f>G5+J5</f>
        <v>0</v>
      </c>
      <c r="L5" s="19"/>
      <c r="M5" s="19">
        <f>M4+K5-L5</f>
        <v>18034.63</v>
      </c>
      <c r="N5" s="16"/>
    </row>
    <row r="6" spans="1:15">
      <c r="A6" s="116">
        <v>3</v>
      </c>
      <c r="B6" s="133" t="s">
        <v>120</v>
      </c>
      <c r="C6" s="14"/>
      <c r="D6" s="14"/>
      <c r="E6" s="111">
        <v>0</v>
      </c>
      <c r="F6" s="111">
        <v>89.81</v>
      </c>
      <c r="G6" s="21">
        <f>E6*F6</f>
        <v>0</v>
      </c>
      <c r="H6" s="111">
        <v>10</v>
      </c>
      <c r="I6" s="112">
        <v>103.8</v>
      </c>
      <c r="J6" s="7">
        <f>H6*I6</f>
        <v>1038</v>
      </c>
      <c r="K6" s="7">
        <f>G6+J6</f>
        <v>1038</v>
      </c>
      <c r="L6" s="20"/>
      <c r="M6" s="19">
        <f>M5+K6-L6</f>
        <v>19072.63</v>
      </c>
      <c r="N6" s="17"/>
    </row>
    <row r="7" spans="1:15">
      <c r="A7" s="118">
        <v>4</v>
      </c>
      <c r="B7" s="133" t="s">
        <v>121</v>
      </c>
      <c r="C7" s="119"/>
      <c r="D7" s="120"/>
      <c r="E7" s="111">
        <v>0</v>
      </c>
      <c r="F7" s="111">
        <v>89.81</v>
      </c>
      <c r="G7" s="21">
        <f>E7*F7</f>
        <v>0</v>
      </c>
      <c r="H7" s="111">
        <v>10</v>
      </c>
      <c r="I7" s="112">
        <v>103.8</v>
      </c>
      <c r="J7" s="7">
        <f>H7*I7</f>
        <v>1038</v>
      </c>
      <c r="K7" s="7">
        <f>G7+J7</f>
        <v>1038</v>
      </c>
      <c r="L7" s="9"/>
      <c r="M7" s="19">
        <f>M6+K7-L7</f>
        <v>20110.63</v>
      </c>
      <c r="N7" s="70"/>
    </row>
    <row r="8" spans="1:15">
      <c r="A8" s="116">
        <v>5</v>
      </c>
      <c r="B8" s="133" t="s">
        <v>122</v>
      </c>
      <c r="C8" s="119"/>
      <c r="D8" s="120"/>
      <c r="E8" s="111">
        <v>0</v>
      </c>
      <c r="F8" s="111">
        <v>89.81</v>
      </c>
      <c r="G8" s="21">
        <f>E8*F8</f>
        <v>0</v>
      </c>
      <c r="H8" s="111">
        <v>0</v>
      </c>
      <c r="I8" s="112">
        <v>103.8</v>
      </c>
      <c r="J8" s="7">
        <f>H8*I8</f>
        <v>0</v>
      </c>
      <c r="K8" s="7">
        <f>G8+J8</f>
        <v>0</v>
      </c>
      <c r="L8" s="9"/>
      <c r="M8" s="19">
        <f>M7+K8-L8</f>
        <v>20110.63</v>
      </c>
      <c r="N8" s="70"/>
      <c r="O8" s="117"/>
    </row>
    <row r="9" spans="1:15">
      <c r="A9" s="118">
        <v>6</v>
      </c>
      <c r="B9" s="133" t="s">
        <v>123</v>
      </c>
      <c r="C9" s="119"/>
      <c r="D9" s="120"/>
      <c r="E9" s="111">
        <v>0</v>
      </c>
      <c r="F9" s="111">
        <v>89.81</v>
      </c>
      <c r="G9" s="21">
        <f>E9*F9</f>
        <v>0</v>
      </c>
      <c r="H9" s="111">
        <v>0</v>
      </c>
      <c r="I9" s="112">
        <v>103.8</v>
      </c>
      <c r="J9" s="7">
        <f>H9*I9</f>
        <v>0</v>
      </c>
      <c r="K9" s="7">
        <f>G9+J9</f>
        <v>0</v>
      </c>
      <c r="L9" s="9"/>
      <c r="M9" s="19">
        <f>M8+K9-L9</f>
        <v>20110.63</v>
      </c>
      <c r="N9" s="70"/>
      <c r="O9" s="117"/>
    </row>
    <row r="10" spans="1:15">
      <c r="A10" s="116">
        <v>7</v>
      </c>
      <c r="B10" s="134" t="s">
        <v>124</v>
      </c>
      <c r="C10" s="119"/>
      <c r="D10" s="120"/>
      <c r="E10" s="111">
        <v>0</v>
      </c>
      <c r="F10" s="111">
        <v>89.81</v>
      </c>
      <c r="G10" s="21">
        <f>E10*F10</f>
        <v>0</v>
      </c>
      <c r="H10" s="111">
        <v>0</v>
      </c>
      <c r="I10" s="112">
        <v>103.8</v>
      </c>
      <c r="J10" s="7">
        <f>H10*I10</f>
        <v>0</v>
      </c>
      <c r="K10" s="7">
        <f>G10+J10</f>
        <v>0</v>
      </c>
      <c r="L10" s="9"/>
      <c r="M10" s="19">
        <f>M9+K10-L10</f>
        <v>20110.63</v>
      </c>
      <c r="N10" s="70"/>
      <c r="O10" s="117"/>
    </row>
    <row r="11" spans="1:15">
      <c r="A11" s="118">
        <v>8</v>
      </c>
      <c r="B11" s="134" t="s">
        <v>125</v>
      </c>
      <c r="C11" s="119"/>
      <c r="D11" s="120"/>
      <c r="E11" s="111">
        <v>0</v>
      </c>
      <c r="F11" s="111">
        <v>89.81</v>
      </c>
      <c r="G11" s="21">
        <f>E11*F11</f>
        <v>0</v>
      </c>
      <c r="H11" s="111">
        <v>0</v>
      </c>
      <c r="I11" s="112">
        <v>103.8</v>
      </c>
      <c r="J11" s="7">
        <f>H11*I11</f>
        <v>0</v>
      </c>
      <c r="K11" s="7">
        <f>G11+J11</f>
        <v>0</v>
      </c>
      <c r="L11" s="9"/>
      <c r="M11" s="19">
        <f>M10+K11-L11</f>
        <v>20110.63</v>
      </c>
      <c r="N11" s="70"/>
      <c r="O11" s="117"/>
    </row>
    <row r="12" spans="1:15">
      <c r="A12" s="116">
        <v>9</v>
      </c>
      <c r="B12" s="134" t="s">
        <v>126</v>
      </c>
      <c r="C12" s="119"/>
      <c r="D12" s="120"/>
      <c r="E12" s="111">
        <v>70</v>
      </c>
      <c r="F12" s="111">
        <v>89.81</v>
      </c>
      <c r="G12" s="21">
        <f>E12*F12</f>
        <v>6286.7</v>
      </c>
      <c r="H12" s="111">
        <v>20</v>
      </c>
      <c r="I12" s="112">
        <v>103.8</v>
      </c>
      <c r="J12" s="7">
        <f>H12*I12</f>
        <v>2076</v>
      </c>
      <c r="K12" s="7">
        <f>G12+J12</f>
        <v>8362.7000000000007</v>
      </c>
      <c r="L12" s="9"/>
      <c r="M12" s="19">
        <f>M11+K12-L12</f>
        <v>28473.33</v>
      </c>
      <c r="N12" s="70"/>
      <c r="O12" s="117"/>
    </row>
    <row r="13" spans="1:15">
      <c r="A13" s="118">
        <v>10</v>
      </c>
      <c r="B13" s="134" t="s">
        <v>127</v>
      </c>
      <c r="C13" s="119"/>
      <c r="D13" s="120"/>
      <c r="E13" s="111">
        <v>0</v>
      </c>
      <c r="F13" s="111">
        <v>89.81</v>
      </c>
      <c r="G13" s="21">
        <f>E13*F13</f>
        <v>0</v>
      </c>
      <c r="H13" s="111">
        <v>0</v>
      </c>
      <c r="I13" s="112">
        <v>103.8</v>
      </c>
      <c r="J13" s="7">
        <f>H13*I13</f>
        <v>0</v>
      </c>
      <c r="K13" s="7">
        <f>G13+J13</f>
        <v>0</v>
      </c>
      <c r="L13" s="9"/>
      <c r="M13" s="19">
        <f>M12+K13-L13</f>
        <v>28473.33</v>
      </c>
      <c r="N13" s="70"/>
      <c r="O13" s="117"/>
    </row>
    <row r="14" spans="1:15">
      <c r="A14" s="116">
        <v>11</v>
      </c>
      <c r="B14" s="134" t="s">
        <v>128</v>
      </c>
      <c r="C14" s="119"/>
      <c r="D14" s="120"/>
      <c r="E14" s="111">
        <v>0</v>
      </c>
      <c r="F14" s="111">
        <v>89.81</v>
      </c>
      <c r="G14" s="21">
        <f>E14*F14</f>
        <v>0</v>
      </c>
      <c r="H14" s="111">
        <v>0</v>
      </c>
      <c r="I14" s="112">
        <v>103.8</v>
      </c>
      <c r="J14" s="7">
        <f>H14*I14</f>
        <v>0</v>
      </c>
      <c r="K14" s="7">
        <f>G14+J14</f>
        <v>0</v>
      </c>
      <c r="L14" s="9"/>
      <c r="M14" s="19">
        <f>M13+K14-L14</f>
        <v>28473.33</v>
      </c>
      <c r="N14" s="70"/>
      <c r="O14" s="117"/>
    </row>
    <row r="15" spans="1:15">
      <c r="A15" s="118">
        <v>12</v>
      </c>
      <c r="B15" s="134" t="s">
        <v>129</v>
      </c>
      <c r="C15" s="119"/>
      <c r="D15" s="120"/>
      <c r="E15" s="111">
        <v>0</v>
      </c>
      <c r="F15" s="111">
        <v>89.81</v>
      </c>
      <c r="G15" s="21">
        <f>E15*F15</f>
        <v>0</v>
      </c>
      <c r="H15" s="111">
        <v>0</v>
      </c>
      <c r="I15" s="112">
        <v>103.8</v>
      </c>
      <c r="J15" s="7">
        <f>H15*I15</f>
        <v>0</v>
      </c>
      <c r="K15" s="7">
        <f>G15+J15</f>
        <v>0</v>
      </c>
      <c r="L15" s="9"/>
      <c r="M15" s="19">
        <f>M14+K15-L15</f>
        <v>28473.33</v>
      </c>
      <c r="N15" s="70"/>
      <c r="O15" s="117"/>
    </row>
    <row r="16" spans="1:15">
      <c r="A16" s="116">
        <v>13</v>
      </c>
      <c r="B16" s="134" t="s">
        <v>130</v>
      </c>
      <c r="C16" s="119"/>
      <c r="D16" s="120"/>
      <c r="E16" s="111">
        <v>0</v>
      </c>
      <c r="F16" s="111">
        <v>89.81</v>
      </c>
      <c r="G16" s="21">
        <f>E16*F16</f>
        <v>0</v>
      </c>
      <c r="H16" s="111">
        <v>0</v>
      </c>
      <c r="I16" s="112">
        <v>103.8</v>
      </c>
      <c r="J16" s="7">
        <f>H16*I16</f>
        <v>0</v>
      </c>
      <c r="K16" s="7">
        <f>G16+J16</f>
        <v>0</v>
      </c>
      <c r="L16" s="9"/>
      <c r="M16" s="19">
        <f>M15+K16-L16</f>
        <v>28473.33</v>
      </c>
      <c r="N16" s="70"/>
      <c r="O16" s="117"/>
    </row>
    <row r="17" spans="1:15">
      <c r="A17" s="118">
        <v>14</v>
      </c>
      <c r="B17" s="134" t="s">
        <v>131</v>
      </c>
      <c r="C17" s="119"/>
      <c r="D17" s="120"/>
      <c r="E17" s="111">
        <v>0</v>
      </c>
      <c r="F17" s="111">
        <v>89.81</v>
      </c>
      <c r="G17" s="21">
        <f>E17*F17</f>
        <v>0</v>
      </c>
      <c r="H17" s="111">
        <v>0</v>
      </c>
      <c r="I17" s="112">
        <v>103.8</v>
      </c>
      <c r="J17" s="7">
        <f>H17*I17</f>
        <v>0</v>
      </c>
      <c r="K17" s="7">
        <f>G17+J17</f>
        <v>0</v>
      </c>
      <c r="L17" s="9"/>
      <c r="M17" s="19">
        <f>M16+K17-L17</f>
        <v>28473.33</v>
      </c>
      <c r="N17" s="70"/>
      <c r="O17" s="117"/>
    </row>
    <row r="18" spans="1:15">
      <c r="A18" s="116">
        <v>15</v>
      </c>
      <c r="B18" s="134" t="s">
        <v>132</v>
      </c>
      <c r="C18" s="119"/>
      <c r="D18" s="120"/>
      <c r="E18" s="111">
        <v>0</v>
      </c>
      <c r="F18" s="111">
        <v>89.81</v>
      </c>
      <c r="G18" s="21">
        <f>E18*F18</f>
        <v>0</v>
      </c>
      <c r="H18" s="111">
        <v>10</v>
      </c>
      <c r="I18" s="112">
        <v>103.8</v>
      </c>
      <c r="J18" s="7">
        <f>H18*I18</f>
        <v>1038</v>
      </c>
      <c r="K18" s="7">
        <f>G18+J18</f>
        <v>1038</v>
      </c>
      <c r="L18" s="9"/>
      <c r="M18" s="19">
        <f>M17+K18-L18</f>
        <v>29511.33</v>
      </c>
      <c r="N18" s="70"/>
      <c r="O18" s="117"/>
    </row>
    <row r="19" spans="1:15">
      <c r="A19" s="374">
        <v>16</v>
      </c>
      <c r="B19" s="341" t="s">
        <v>133</v>
      </c>
      <c r="C19" s="376"/>
      <c r="D19" s="377"/>
      <c r="E19" s="341">
        <v>39.6</v>
      </c>
      <c r="F19" s="111">
        <v>89.81</v>
      </c>
      <c r="G19" s="383">
        <f>E19*F19</f>
        <v>3556.4760000000001</v>
      </c>
      <c r="H19" s="341">
        <v>5</v>
      </c>
      <c r="I19" s="112">
        <v>103.8</v>
      </c>
      <c r="J19" s="309">
        <f>H19*I19</f>
        <v>519</v>
      </c>
      <c r="K19" s="309">
        <f>G19+J19</f>
        <v>4075.4760000000001</v>
      </c>
      <c r="L19" s="340">
        <v>18035</v>
      </c>
      <c r="M19" s="20">
        <f>M18+K19-L19</f>
        <v>15551.806000000004</v>
      </c>
      <c r="N19" s="384"/>
      <c r="O19" s="117"/>
    </row>
    <row r="20" spans="1:15">
      <c r="A20" s="118">
        <v>17</v>
      </c>
      <c r="B20" s="87" t="s">
        <v>134</v>
      </c>
      <c r="C20" s="113"/>
      <c r="D20" s="120"/>
      <c r="E20" s="87">
        <v>0</v>
      </c>
      <c r="F20" s="111">
        <v>89.81</v>
      </c>
      <c r="G20" s="383">
        <f t="shared" ref="G20:G27" si="0">E20*F20</f>
        <v>0</v>
      </c>
      <c r="H20" s="87">
        <v>5</v>
      </c>
      <c r="I20" s="112">
        <v>103.8</v>
      </c>
      <c r="J20" s="309">
        <f>H20*I20</f>
        <v>519</v>
      </c>
      <c r="K20" s="309">
        <f>G20+J20</f>
        <v>519</v>
      </c>
      <c r="L20" s="9"/>
      <c r="M20" s="20">
        <f>M19+K20-L20</f>
        <v>16070.806000000004</v>
      </c>
      <c r="N20" s="70"/>
      <c r="O20" s="117"/>
    </row>
    <row r="21" spans="1:15">
      <c r="A21" s="116">
        <v>18</v>
      </c>
      <c r="B21" s="87" t="s">
        <v>135</v>
      </c>
      <c r="C21" s="113"/>
      <c r="D21" s="120"/>
      <c r="E21" s="87">
        <v>50</v>
      </c>
      <c r="F21" s="111">
        <v>89.81</v>
      </c>
      <c r="G21" s="383">
        <f t="shared" si="0"/>
        <v>4490.5</v>
      </c>
      <c r="H21" s="87"/>
      <c r="I21" s="112">
        <v>103.8</v>
      </c>
      <c r="J21" s="309">
        <f t="shared" ref="J21:J28" si="1">H21*I21</f>
        <v>0</v>
      </c>
      <c r="K21" s="309">
        <f>G21+J21</f>
        <v>4490.5</v>
      </c>
      <c r="L21" s="9"/>
      <c r="M21" s="20">
        <f>M20+K21-L21</f>
        <v>20561.306000000004</v>
      </c>
      <c r="N21" s="70"/>
      <c r="O21" s="117"/>
    </row>
    <row r="22" spans="1:15">
      <c r="A22" s="374">
        <v>19</v>
      </c>
      <c r="B22" s="87" t="s">
        <v>136</v>
      </c>
      <c r="C22" s="113"/>
      <c r="D22" s="120"/>
      <c r="E22" s="87">
        <v>30</v>
      </c>
      <c r="F22" s="111">
        <v>89.81</v>
      </c>
      <c r="G22" s="383">
        <f t="shared" si="0"/>
        <v>2694.3</v>
      </c>
      <c r="H22" s="87"/>
      <c r="I22" s="112">
        <v>103.8</v>
      </c>
      <c r="J22" s="309">
        <f t="shared" si="1"/>
        <v>0</v>
      </c>
      <c r="K22" s="309">
        <f t="shared" ref="K22:K24" si="2">G22+J22</f>
        <v>2694.3</v>
      </c>
      <c r="L22" s="9"/>
      <c r="M22" s="20">
        <f t="shared" ref="M22:M28" si="3">M21+K22-L22</f>
        <v>23255.606000000003</v>
      </c>
      <c r="N22" s="70"/>
      <c r="O22" s="117"/>
    </row>
    <row r="23" spans="1:15">
      <c r="A23" s="374">
        <v>20</v>
      </c>
      <c r="B23" s="87" t="s">
        <v>137</v>
      </c>
      <c r="C23" s="113"/>
      <c r="D23" s="120"/>
      <c r="E23" s="87">
        <v>60</v>
      </c>
      <c r="F23" s="111">
        <v>89.81</v>
      </c>
      <c r="G23" s="383">
        <f t="shared" si="0"/>
        <v>5388.6</v>
      </c>
      <c r="H23" s="87"/>
      <c r="I23" s="112">
        <v>103.8</v>
      </c>
      <c r="J23" s="309">
        <f t="shared" si="1"/>
        <v>0</v>
      </c>
      <c r="K23" s="309">
        <f t="shared" si="2"/>
        <v>5388.6</v>
      </c>
      <c r="L23" s="9"/>
      <c r="M23" s="20">
        <f t="shared" si="3"/>
        <v>28644.206000000006</v>
      </c>
      <c r="N23" s="70"/>
      <c r="O23" s="117"/>
    </row>
    <row r="24" spans="1:15">
      <c r="A24" s="374">
        <v>21</v>
      </c>
      <c r="B24" s="87" t="s">
        <v>138</v>
      </c>
      <c r="C24" s="113"/>
      <c r="D24" s="120"/>
      <c r="E24" s="87">
        <v>100</v>
      </c>
      <c r="F24" s="111">
        <v>89.81</v>
      </c>
      <c r="G24" s="383">
        <f t="shared" si="0"/>
        <v>8981</v>
      </c>
      <c r="H24" s="87">
        <v>5</v>
      </c>
      <c r="I24" s="112">
        <v>103.8</v>
      </c>
      <c r="J24" s="309">
        <f t="shared" si="1"/>
        <v>519</v>
      </c>
      <c r="K24" s="309">
        <f>G24+J24</f>
        <v>9500</v>
      </c>
      <c r="L24" s="9"/>
      <c r="M24" s="20">
        <f t="shared" si="3"/>
        <v>38144.206000000006</v>
      </c>
      <c r="N24" s="70"/>
      <c r="O24" s="117"/>
    </row>
    <row r="25" spans="1:15">
      <c r="A25" s="374">
        <v>22</v>
      </c>
      <c r="B25" s="87" t="s">
        <v>139</v>
      </c>
      <c r="C25" s="113"/>
      <c r="D25" s="120"/>
      <c r="E25" s="87">
        <v>25</v>
      </c>
      <c r="F25" s="111">
        <v>89.81</v>
      </c>
      <c r="G25" s="383">
        <f t="shared" si="0"/>
        <v>2245.25</v>
      </c>
      <c r="H25" s="87">
        <v>5</v>
      </c>
      <c r="I25" s="112">
        <v>103.8</v>
      </c>
      <c r="J25" s="309">
        <f t="shared" si="1"/>
        <v>519</v>
      </c>
      <c r="K25" s="309">
        <f>G25+J25</f>
        <v>2764.25</v>
      </c>
      <c r="L25" s="9"/>
      <c r="M25" s="20">
        <f t="shared" si="3"/>
        <v>40908.456000000006</v>
      </c>
      <c r="N25" s="70"/>
      <c r="O25" s="117"/>
    </row>
    <row r="26" spans="1:15">
      <c r="A26" s="374">
        <v>23</v>
      </c>
      <c r="B26" s="87" t="s">
        <v>140</v>
      </c>
      <c r="C26" s="113"/>
      <c r="D26" s="120"/>
      <c r="E26" s="87"/>
      <c r="F26" s="111">
        <v>89.81</v>
      </c>
      <c r="G26" s="383">
        <f t="shared" si="0"/>
        <v>0</v>
      </c>
      <c r="H26" s="87"/>
      <c r="I26" s="112">
        <v>103.8</v>
      </c>
      <c r="J26" s="309">
        <f t="shared" si="1"/>
        <v>0</v>
      </c>
      <c r="K26" s="309">
        <f t="shared" ref="K26:K28" si="4">G26+J26</f>
        <v>0</v>
      </c>
      <c r="L26" s="9"/>
      <c r="M26" s="20">
        <f t="shared" si="3"/>
        <v>40908.456000000006</v>
      </c>
      <c r="N26" s="70"/>
      <c r="O26" s="117"/>
    </row>
    <row r="27" spans="1:15">
      <c r="A27" s="374">
        <v>24</v>
      </c>
      <c r="B27" s="87" t="s">
        <v>141</v>
      </c>
      <c r="C27" s="113"/>
      <c r="D27" s="120"/>
      <c r="E27" s="87">
        <v>25</v>
      </c>
      <c r="F27" s="111">
        <v>89.81</v>
      </c>
      <c r="G27" s="383">
        <f t="shared" si="0"/>
        <v>2245.25</v>
      </c>
      <c r="H27" s="87"/>
      <c r="I27" s="112">
        <v>103.8</v>
      </c>
      <c r="J27" s="309">
        <f t="shared" si="1"/>
        <v>0</v>
      </c>
      <c r="K27" s="309">
        <f t="shared" si="4"/>
        <v>2245.25</v>
      </c>
      <c r="L27" s="9"/>
      <c r="M27" s="20">
        <f t="shared" si="3"/>
        <v>43153.706000000006</v>
      </c>
      <c r="N27" s="70"/>
      <c r="O27" s="117"/>
    </row>
    <row r="28" spans="1:15">
      <c r="A28" s="374">
        <v>25</v>
      </c>
      <c r="B28" s="87" t="s">
        <v>142</v>
      </c>
      <c r="C28" s="113"/>
      <c r="D28" s="120"/>
      <c r="E28" s="87">
        <v>0</v>
      </c>
      <c r="F28" s="111">
        <v>89.81</v>
      </c>
      <c r="G28" s="435"/>
      <c r="H28" s="87">
        <v>5</v>
      </c>
      <c r="I28" s="112">
        <v>103.8</v>
      </c>
      <c r="J28" s="309">
        <f t="shared" si="1"/>
        <v>519</v>
      </c>
      <c r="K28" s="309">
        <f t="shared" si="4"/>
        <v>519</v>
      </c>
      <c r="L28" s="9"/>
      <c r="M28" s="20">
        <f t="shared" si="3"/>
        <v>43672.706000000006</v>
      </c>
      <c r="N28" s="70"/>
      <c r="O28" s="117"/>
    </row>
    <row r="29" spans="1:15">
      <c r="A29" s="246"/>
      <c r="B29" s="246"/>
      <c r="C29" s="246"/>
      <c r="D29" s="246"/>
      <c r="E29" s="247">
        <f>SUM(E4:E28)</f>
        <v>399.6</v>
      </c>
      <c r="F29" s="247"/>
      <c r="G29" s="247">
        <f>SUM(G4:G28)</f>
        <v>35888.076000000001</v>
      </c>
      <c r="H29" s="247">
        <f>SUM(H4:H28)</f>
        <v>75</v>
      </c>
      <c r="I29" s="247"/>
      <c r="J29" s="247">
        <f>SUM(J4:J28)</f>
        <v>7785</v>
      </c>
      <c r="K29" s="247">
        <f>SUM(K4:K28)</f>
        <v>43673.076000000001</v>
      </c>
      <c r="L29" s="247">
        <f>SUM(L4:L28)</f>
        <v>18035</v>
      </c>
      <c r="M29" s="247"/>
      <c r="N29" s="247"/>
      <c r="O29" s="103"/>
    </row>
    <row r="30" spans="1:15">
      <c r="A30" s="122"/>
      <c r="B30" s="123"/>
      <c r="C30" s="122"/>
      <c r="D30" s="122"/>
      <c r="E30" s="124"/>
      <c r="F30" s="124"/>
      <c r="G30" s="124"/>
      <c r="H30" s="124"/>
      <c r="I30" s="124"/>
      <c r="J30" s="125"/>
      <c r="K30" s="125"/>
      <c r="L30" s="125"/>
      <c r="M30" s="125"/>
      <c r="N30" s="124"/>
      <c r="O30" s="117"/>
    </row>
    <row r="31" spans="1:15">
      <c r="O31" s="117"/>
    </row>
    <row r="32" spans="1:15">
      <c r="O32" s="117"/>
    </row>
    <row r="33" spans="1:15">
      <c r="O33" s="117"/>
    </row>
    <row r="34" spans="1:15">
      <c r="O34" s="117"/>
    </row>
    <row r="35" spans="1:15">
      <c r="O35" s="117"/>
    </row>
    <row r="36" spans="1:15">
      <c r="A36" s="117"/>
      <c r="B36" s="103"/>
      <c r="C36" s="117"/>
      <c r="D36" s="117"/>
      <c r="E36" s="117"/>
      <c r="F36" s="117"/>
      <c r="G36" s="126"/>
      <c r="H36" s="117"/>
      <c r="I36" s="117"/>
      <c r="J36" s="103"/>
      <c r="K36" s="103"/>
      <c r="L36" s="103"/>
      <c r="M36" s="103"/>
      <c r="N36" s="117"/>
      <c r="O36" s="124"/>
    </row>
    <row r="37" spans="1:15">
      <c r="A37" s="117"/>
      <c r="B37" s="483"/>
      <c r="C37" s="483"/>
      <c r="D37" s="483"/>
      <c r="E37" s="483"/>
      <c r="F37" s="117"/>
      <c r="G37" s="117"/>
      <c r="H37" s="117"/>
      <c r="I37" s="483"/>
      <c r="J37" s="483"/>
      <c r="K37" s="483"/>
      <c r="L37" s="483"/>
      <c r="M37" s="483"/>
      <c r="N37" s="483"/>
      <c r="O37" s="124"/>
    </row>
    <row r="38" spans="1:15">
      <c r="A38" s="117"/>
      <c r="B38" s="103"/>
      <c r="C38" s="117"/>
      <c r="D38" s="117"/>
      <c r="E38" s="117"/>
      <c r="F38" s="117"/>
      <c r="G38" s="117"/>
      <c r="H38" s="117"/>
      <c r="I38" s="117"/>
      <c r="J38" s="103"/>
      <c r="K38" s="103"/>
      <c r="L38" s="103"/>
      <c r="M38" s="103"/>
      <c r="N38" s="117"/>
      <c r="O38" s="124"/>
    </row>
  </sheetData>
  <mergeCells count="4">
    <mergeCell ref="A1:N1"/>
    <mergeCell ref="B37:E37"/>
    <mergeCell ref="I37:N37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theme="0"/>
  </sheetPr>
  <dimension ref="A1:O63"/>
  <sheetViews>
    <sheetView workbookViewId="0">
      <pane ySplit="2" topLeftCell="A33" activePane="bottomLeft" state="frozen"/>
      <selection pane="bottomLeft" activeCell="Q58" sqref="Q58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59" bestFit="1" customWidth="1"/>
    <col min="8" max="8" width="11.140625" style="5" customWidth="1"/>
    <col min="9" max="9" width="9.140625" style="5"/>
    <col min="10" max="10" width="10.85546875" style="159" bestFit="1" customWidth="1"/>
    <col min="11" max="11" width="12.85546875" style="5" customWidth="1"/>
    <col min="12" max="12" width="13.5703125" style="159" bestFit="1" customWidth="1"/>
    <col min="13" max="13" width="13.5703125" style="159" customWidth="1"/>
    <col min="14" max="14" width="13.5703125" style="5" bestFit="1" customWidth="1"/>
    <col min="15" max="16384" width="9.140625" style="5"/>
  </cols>
  <sheetData>
    <row r="1" spans="1:14" ht="15.75">
      <c r="A1" s="475" t="s">
        <v>53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</row>
    <row r="2" spans="1:14" ht="18" customHeight="1">
      <c r="A2" s="110" t="s">
        <v>58</v>
      </c>
      <c r="B2" s="136" t="s">
        <v>59</v>
      </c>
      <c r="C2" s="136" t="s">
        <v>60</v>
      </c>
      <c r="D2" s="136" t="s">
        <v>116</v>
      </c>
      <c r="E2" s="136" t="s">
        <v>62</v>
      </c>
      <c r="F2" s="136" t="s">
        <v>63</v>
      </c>
      <c r="G2" s="145" t="s">
        <v>64</v>
      </c>
      <c r="H2" s="136" t="s">
        <v>65</v>
      </c>
      <c r="I2" s="136" t="s">
        <v>63</v>
      </c>
      <c r="J2" s="145" t="s">
        <v>64</v>
      </c>
      <c r="K2" s="110" t="s">
        <v>66</v>
      </c>
      <c r="L2" s="146" t="s">
        <v>67</v>
      </c>
      <c r="M2" s="138" t="s">
        <v>68</v>
      </c>
      <c r="N2" s="136" t="s">
        <v>69</v>
      </c>
    </row>
    <row r="3" spans="1:14" ht="18" customHeight="1">
      <c r="A3" s="489" t="s">
        <v>70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1"/>
      <c r="M3" s="492" t="s">
        <v>143</v>
      </c>
      <c r="N3" s="493"/>
    </row>
    <row r="4" spans="1:14">
      <c r="A4" s="6">
        <v>1</v>
      </c>
      <c r="B4" s="128" t="s">
        <v>117</v>
      </c>
      <c r="C4" s="6"/>
      <c r="D4" s="6"/>
      <c r="E4" s="111">
        <v>16.75</v>
      </c>
      <c r="F4" s="6">
        <v>89.57</v>
      </c>
      <c r="G4" s="112">
        <f>E4*F4</f>
        <v>1500.2974999999999</v>
      </c>
      <c r="H4" s="111"/>
      <c r="I4" s="6"/>
      <c r="J4" s="112">
        <f>H4*I4</f>
        <v>0</v>
      </c>
      <c r="K4" s="112">
        <f>G4+J4</f>
        <v>1500.2974999999999</v>
      </c>
      <c r="L4" s="248">
        <f>+K4</f>
        <v>1500.2974999999999</v>
      </c>
      <c r="M4" s="232">
        <v>0</v>
      </c>
      <c r="N4" s="86" t="s">
        <v>144</v>
      </c>
    </row>
    <row r="5" spans="1:14">
      <c r="A5" s="6">
        <v>2</v>
      </c>
      <c r="B5" s="128" t="s">
        <v>117</v>
      </c>
      <c r="C5" s="6"/>
      <c r="D5" s="6"/>
      <c r="E5" s="111"/>
      <c r="F5" s="6"/>
      <c r="G5" s="112">
        <f t="shared" ref="G5:G62" si="0">E5*F5</f>
        <v>0</v>
      </c>
      <c r="H5" s="111">
        <v>4.83</v>
      </c>
      <c r="I5" s="6">
        <v>103.44</v>
      </c>
      <c r="J5" s="112">
        <f t="shared" ref="J5:J50" si="1">H5*I5</f>
        <v>499.61520000000002</v>
      </c>
      <c r="K5" s="112">
        <f t="shared" ref="K5:L46" si="2">G5+J5</f>
        <v>499.61520000000002</v>
      </c>
      <c r="L5" s="248">
        <f t="shared" ref="L5:L48" si="3">+K5</f>
        <v>499.61520000000002</v>
      </c>
      <c r="M5" s="232">
        <v>0</v>
      </c>
      <c r="N5" s="86" t="s">
        <v>144</v>
      </c>
    </row>
    <row r="6" spans="1:14">
      <c r="A6" s="6">
        <v>3</v>
      </c>
      <c r="B6" s="128" t="s">
        <v>117</v>
      </c>
      <c r="C6" s="6"/>
      <c r="D6" s="6"/>
      <c r="E6" s="111"/>
      <c r="F6" s="6"/>
      <c r="G6" s="112">
        <f t="shared" si="0"/>
        <v>0</v>
      </c>
      <c r="H6" s="111">
        <v>4.83</v>
      </c>
      <c r="I6" s="6">
        <v>103.39</v>
      </c>
      <c r="J6" s="112">
        <f t="shared" si="1"/>
        <v>499.37369999999999</v>
      </c>
      <c r="K6" s="112">
        <f t="shared" si="2"/>
        <v>499.37369999999999</v>
      </c>
      <c r="L6" s="248">
        <f t="shared" si="3"/>
        <v>499.37369999999999</v>
      </c>
      <c r="M6" s="232">
        <v>0</v>
      </c>
      <c r="N6" s="86" t="s">
        <v>144</v>
      </c>
    </row>
    <row r="7" spans="1:14">
      <c r="A7" s="6">
        <v>4</v>
      </c>
      <c r="B7" s="128" t="s">
        <v>119</v>
      </c>
      <c r="C7" s="6"/>
      <c r="D7" s="6"/>
      <c r="E7" s="111"/>
      <c r="F7" s="6"/>
      <c r="G7" s="112">
        <f t="shared" si="0"/>
        <v>0</v>
      </c>
      <c r="H7" s="111">
        <v>4.83</v>
      </c>
      <c r="I7" s="6">
        <v>103.44</v>
      </c>
      <c r="J7" s="112">
        <f t="shared" si="1"/>
        <v>499.61520000000002</v>
      </c>
      <c r="K7" s="112">
        <f t="shared" si="2"/>
        <v>499.61520000000002</v>
      </c>
      <c r="L7" s="248">
        <f t="shared" si="3"/>
        <v>499.61520000000002</v>
      </c>
      <c r="M7" s="232">
        <v>0</v>
      </c>
      <c r="N7" s="86" t="s">
        <v>144</v>
      </c>
    </row>
    <row r="8" spans="1:14">
      <c r="A8" s="6">
        <v>5</v>
      </c>
      <c r="B8" s="128" t="s">
        <v>119</v>
      </c>
      <c r="C8" s="6"/>
      <c r="D8" s="6"/>
      <c r="E8" s="111">
        <v>22.32</v>
      </c>
      <c r="F8" s="6">
        <v>89.61</v>
      </c>
      <c r="G8" s="112">
        <f t="shared" si="0"/>
        <v>2000.0952</v>
      </c>
      <c r="H8" s="111"/>
      <c r="I8" s="6"/>
      <c r="J8" s="112">
        <f t="shared" si="1"/>
        <v>0</v>
      </c>
      <c r="K8" s="112">
        <f t="shared" si="2"/>
        <v>2000.0952</v>
      </c>
      <c r="L8" s="248">
        <f t="shared" si="3"/>
        <v>2000.0952</v>
      </c>
      <c r="M8" s="232">
        <v>0</v>
      </c>
      <c r="N8" s="86" t="s">
        <v>144</v>
      </c>
    </row>
    <row r="9" spans="1:14">
      <c r="A9" s="6">
        <v>6</v>
      </c>
      <c r="B9" s="128" t="s">
        <v>119</v>
      </c>
      <c r="C9" s="6"/>
      <c r="D9" s="6"/>
      <c r="E9" s="111">
        <v>28.07</v>
      </c>
      <c r="F9" s="6">
        <v>89.07</v>
      </c>
      <c r="G9" s="112">
        <f t="shared" si="0"/>
        <v>2500.1949</v>
      </c>
      <c r="H9" s="111"/>
      <c r="I9" s="6"/>
      <c r="J9" s="112">
        <f t="shared" si="1"/>
        <v>0</v>
      </c>
      <c r="K9" s="112">
        <f t="shared" si="2"/>
        <v>2500.1949</v>
      </c>
      <c r="L9" s="248">
        <f t="shared" si="3"/>
        <v>2500.1949</v>
      </c>
      <c r="M9" s="232">
        <v>0</v>
      </c>
      <c r="N9" s="86" t="s">
        <v>144</v>
      </c>
    </row>
    <row r="10" spans="1:14">
      <c r="A10" s="6">
        <v>7</v>
      </c>
      <c r="B10" s="128" t="s">
        <v>119</v>
      </c>
      <c r="C10" s="6"/>
      <c r="D10" s="6"/>
      <c r="E10" s="111"/>
      <c r="F10" s="6"/>
      <c r="G10" s="112">
        <f t="shared" si="0"/>
        <v>0</v>
      </c>
      <c r="H10" s="111">
        <v>4.8499999999999996</v>
      </c>
      <c r="I10" s="6">
        <v>103.12</v>
      </c>
      <c r="J10" s="112">
        <f t="shared" si="1"/>
        <v>500.13200000000001</v>
      </c>
      <c r="K10" s="112">
        <f t="shared" si="2"/>
        <v>500.13200000000001</v>
      </c>
      <c r="L10" s="248">
        <f t="shared" si="3"/>
        <v>500.13200000000001</v>
      </c>
      <c r="M10" s="232">
        <v>0</v>
      </c>
      <c r="N10" s="86" t="s">
        <v>144</v>
      </c>
    </row>
    <row r="11" spans="1:14">
      <c r="A11" s="6">
        <v>8</v>
      </c>
      <c r="B11" s="128" t="s">
        <v>119</v>
      </c>
      <c r="C11" s="6"/>
      <c r="D11" s="6"/>
      <c r="E11" s="111"/>
      <c r="F11" s="6"/>
      <c r="G11" s="112">
        <f t="shared" si="0"/>
        <v>0</v>
      </c>
      <c r="H11" s="111">
        <v>4.83</v>
      </c>
      <c r="I11" s="6">
        <v>103.39</v>
      </c>
      <c r="J11" s="112">
        <f t="shared" si="1"/>
        <v>499.37369999999999</v>
      </c>
      <c r="K11" s="112">
        <f t="shared" si="2"/>
        <v>499.37369999999999</v>
      </c>
      <c r="L11" s="248">
        <f t="shared" si="3"/>
        <v>499.37369999999999</v>
      </c>
      <c r="M11" s="232">
        <v>0</v>
      </c>
      <c r="N11" s="86" t="s">
        <v>144</v>
      </c>
    </row>
    <row r="12" spans="1:14">
      <c r="A12" s="6">
        <v>9</v>
      </c>
      <c r="B12" s="128" t="s">
        <v>120</v>
      </c>
      <c r="C12" s="6"/>
      <c r="D12" s="6"/>
      <c r="E12" s="111">
        <v>22.42</v>
      </c>
      <c r="F12" s="6">
        <v>89.21</v>
      </c>
      <c r="G12" s="112">
        <f t="shared" si="0"/>
        <v>2000.0881999999999</v>
      </c>
      <c r="H12" s="111"/>
      <c r="I12" s="6"/>
      <c r="J12" s="112">
        <f t="shared" si="1"/>
        <v>0</v>
      </c>
      <c r="K12" s="112">
        <f t="shared" si="2"/>
        <v>2000.0881999999999</v>
      </c>
      <c r="L12" s="248">
        <f t="shared" si="3"/>
        <v>2000.0881999999999</v>
      </c>
      <c r="M12" s="232">
        <v>0</v>
      </c>
      <c r="N12" s="86" t="s">
        <v>144</v>
      </c>
    </row>
    <row r="13" spans="1:14">
      <c r="A13" s="6">
        <v>10</v>
      </c>
      <c r="B13" s="128" t="s">
        <v>120</v>
      </c>
      <c r="C13" s="6"/>
      <c r="D13" s="6"/>
      <c r="E13" s="111">
        <v>16.760000000000002</v>
      </c>
      <c r="F13" s="6">
        <v>89.49</v>
      </c>
      <c r="G13" s="112">
        <f t="shared" si="0"/>
        <v>1499.8524</v>
      </c>
      <c r="H13" s="111"/>
      <c r="I13" s="6"/>
      <c r="J13" s="112">
        <f t="shared" si="1"/>
        <v>0</v>
      </c>
      <c r="K13" s="112">
        <f t="shared" si="2"/>
        <v>1499.8524</v>
      </c>
      <c r="L13" s="248">
        <f t="shared" si="3"/>
        <v>1499.8524</v>
      </c>
      <c r="M13" s="232">
        <v>0</v>
      </c>
      <c r="N13" s="86" t="s">
        <v>144</v>
      </c>
    </row>
    <row r="14" spans="1:14">
      <c r="A14" s="6">
        <v>11</v>
      </c>
      <c r="B14" s="128" t="s">
        <v>121</v>
      </c>
      <c r="C14" s="6"/>
      <c r="D14" s="6"/>
      <c r="E14" s="111">
        <v>22.35</v>
      </c>
      <c r="F14" s="6">
        <v>89.49</v>
      </c>
      <c r="G14" s="112">
        <f t="shared" si="0"/>
        <v>2000.1015</v>
      </c>
      <c r="H14" s="111"/>
      <c r="I14" s="6"/>
      <c r="J14" s="112">
        <f t="shared" si="1"/>
        <v>0</v>
      </c>
      <c r="K14" s="112">
        <f t="shared" si="2"/>
        <v>2000.1015</v>
      </c>
      <c r="L14" s="248">
        <f t="shared" si="3"/>
        <v>2000.1015</v>
      </c>
      <c r="M14" s="232">
        <v>0</v>
      </c>
      <c r="N14" s="86" t="s">
        <v>144</v>
      </c>
    </row>
    <row r="15" spans="1:14">
      <c r="A15" s="6">
        <v>12</v>
      </c>
      <c r="B15" s="128" t="s">
        <v>122</v>
      </c>
      <c r="C15" s="6"/>
      <c r="D15" s="6"/>
      <c r="E15" s="111">
        <v>11.17</v>
      </c>
      <c r="F15" s="6">
        <v>89.49</v>
      </c>
      <c r="G15" s="112">
        <f t="shared" si="0"/>
        <v>999.60329999999999</v>
      </c>
      <c r="H15" s="111"/>
      <c r="I15" s="6"/>
      <c r="J15" s="112">
        <f t="shared" si="1"/>
        <v>0</v>
      </c>
      <c r="K15" s="112">
        <f t="shared" si="2"/>
        <v>999.60329999999999</v>
      </c>
      <c r="L15" s="248">
        <f t="shared" si="3"/>
        <v>999.60329999999999</v>
      </c>
      <c r="M15" s="232">
        <v>0</v>
      </c>
      <c r="N15" s="86" t="s">
        <v>144</v>
      </c>
    </row>
    <row r="16" spans="1:14">
      <c r="A16" s="6">
        <v>13</v>
      </c>
      <c r="B16" s="128" t="s">
        <v>122</v>
      </c>
      <c r="C16" s="6"/>
      <c r="D16" s="6"/>
      <c r="E16" s="111">
        <v>22.35</v>
      </c>
      <c r="F16" s="6">
        <v>89.49</v>
      </c>
      <c r="G16" s="112">
        <f t="shared" si="0"/>
        <v>2000.1015</v>
      </c>
      <c r="H16" s="111"/>
      <c r="I16" s="6"/>
      <c r="J16" s="112">
        <f t="shared" si="1"/>
        <v>0</v>
      </c>
      <c r="K16" s="112">
        <f t="shared" si="2"/>
        <v>2000.1015</v>
      </c>
      <c r="L16" s="248">
        <f t="shared" si="3"/>
        <v>2000.1015</v>
      </c>
      <c r="M16" s="232">
        <v>0</v>
      </c>
      <c r="N16" s="86" t="s">
        <v>144</v>
      </c>
    </row>
    <row r="17" spans="1:14">
      <c r="A17" s="6">
        <v>14</v>
      </c>
      <c r="B17" s="128" t="s">
        <v>122</v>
      </c>
      <c r="C17" s="6"/>
      <c r="D17" s="6"/>
      <c r="E17" s="111">
        <v>27.9</v>
      </c>
      <c r="F17" s="6">
        <v>89.61</v>
      </c>
      <c r="G17" s="112">
        <f t="shared" si="0"/>
        <v>2500.1189999999997</v>
      </c>
      <c r="H17" s="111"/>
      <c r="I17" s="6"/>
      <c r="J17" s="112">
        <f t="shared" si="1"/>
        <v>0</v>
      </c>
      <c r="K17" s="112">
        <f t="shared" si="2"/>
        <v>2500.1189999999997</v>
      </c>
      <c r="L17" s="248">
        <f t="shared" si="3"/>
        <v>2500.1189999999997</v>
      </c>
      <c r="M17" s="232">
        <v>0</v>
      </c>
      <c r="N17" s="86" t="s">
        <v>144</v>
      </c>
    </row>
    <row r="18" spans="1:14">
      <c r="A18" s="6">
        <v>15</v>
      </c>
      <c r="B18" s="128" t="s">
        <v>122</v>
      </c>
      <c r="C18" s="6"/>
      <c r="D18" s="6"/>
      <c r="E18" s="111"/>
      <c r="F18" s="6"/>
      <c r="G18" s="112">
        <f t="shared" si="0"/>
        <v>0</v>
      </c>
      <c r="H18" s="111">
        <v>4.83</v>
      </c>
      <c r="I18" s="6">
        <v>103.44</v>
      </c>
      <c r="J18" s="112">
        <f t="shared" si="1"/>
        <v>499.61520000000002</v>
      </c>
      <c r="K18" s="112">
        <f t="shared" si="2"/>
        <v>499.61520000000002</v>
      </c>
      <c r="L18" s="248">
        <f t="shared" si="3"/>
        <v>499.61520000000002</v>
      </c>
      <c r="M18" s="232">
        <v>0</v>
      </c>
      <c r="N18" s="86" t="s">
        <v>145</v>
      </c>
    </row>
    <row r="19" spans="1:14">
      <c r="A19" s="6">
        <v>16</v>
      </c>
      <c r="B19" s="128" t="s">
        <v>123</v>
      </c>
      <c r="C19" s="6"/>
      <c r="D19" s="6"/>
      <c r="E19" s="111">
        <v>22.35</v>
      </c>
      <c r="F19" s="6">
        <v>89.49</v>
      </c>
      <c r="G19" s="112">
        <f t="shared" si="0"/>
        <v>2000.1015</v>
      </c>
      <c r="H19" s="111"/>
      <c r="I19" s="6"/>
      <c r="J19" s="112">
        <f t="shared" si="1"/>
        <v>0</v>
      </c>
      <c r="K19" s="112">
        <f t="shared" si="2"/>
        <v>2000.1015</v>
      </c>
      <c r="L19" s="248">
        <f t="shared" si="3"/>
        <v>2000.1015</v>
      </c>
      <c r="M19" s="232">
        <v>0</v>
      </c>
      <c r="N19" s="86" t="s">
        <v>144</v>
      </c>
    </row>
    <row r="20" spans="1:14">
      <c r="A20" s="6">
        <v>17</v>
      </c>
      <c r="B20" s="128" t="s">
        <v>123</v>
      </c>
      <c r="C20" s="6"/>
      <c r="D20" s="6"/>
      <c r="E20" s="111">
        <v>11.25</v>
      </c>
      <c r="F20" s="6">
        <v>88.86</v>
      </c>
      <c r="G20" s="112">
        <f t="shared" si="0"/>
        <v>999.67499999999995</v>
      </c>
      <c r="H20" s="111"/>
      <c r="I20" s="6"/>
      <c r="J20" s="112">
        <f t="shared" si="1"/>
        <v>0</v>
      </c>
      <c r="K20" s="112">
        <f t="shared" si="2"/>
        <v>999.67499999999995</v>
      </c>
      <c r="L20" s="248">
        <f t="shared" si="3"/>
        <v>999.67499999999995</v>
      </c>
      <c r="M20" s="232">
        <v>0</v>
      </c>
      <c r="N20" s="86" t="s">
        <v>144</v>
      </c>
    </row>
    <row r="21" spans="1:14">
      <c r="A21" s="6">
        <v>18</v>
      </c>
      <c r="B21" s="128" t="s">
        <v>123</v>
      </c>
      <c r="C21" s="6"/>
      <c r="D21" s="6"/>
      <c r="E21" s="111"/>
      <c r="F21" s="6"/>
      <c r="G21" s="112">
        <f t="shared" si="0"/>
        <v>0</v>
      </c>
      <c r="H21" s="111">
        <v>4.8499999999999996</v>
      </c>
      <c r="I21" s="6">
        <v>103.092</v>
      </c>
      <c r="J21" s="112">
        <f t="shared" si="1"/>
        <v>499.99619999999993</v>
      </c>
      <c r="K21" s="112">
        <f t="shared" si="2"/>
        <v>499.99619999999993</v>
      </c>
      <c r="L21" s="248">
        <f t="shared" si="3"/>
        <v>499.99619999999993</v>
      </c>
      <c r="M21" s="232">
        <v>0</v>
      </c>
      <c r="N21" s="86" t="s">
        <v>144</v>
      </c>
    </row>
    <row r="22" spans="1:14">
      <c r="A22" s="6">
        <v>19</v>
      </c>
      <c r="B22" s="128" t="s">
        <v>123</v>
      </c>
      <c r="C22" s="6"/>
      <c r="D22" s="6"/>
      <c r="E22" s="111">
        <v>11.16</v>
      </c>
      <c r="F22" s="6">
        <v>89.61</v>
      </c>
      <c r="G22" s="112">
        <f t="shared" si="0"/>
        <v>1000.0476</v>
      </c>
      <c r="H22" s="111"/>
      <c r="I22" s="6"/>
      <c r="J22" s="112">
        <f t="shared" si="1"/>
        <v>0</v>
      </c>
      <c r="K22" s="112">
        <f t="shared" si="2"/>
        <v>1000.0476</v>
      </c>
      <c r="L22" s="248">
        <f t="shared" si="3"/>
        <v>1000.0476</v>
      </c>
      <c r="M22" s="232">
        <v>0</v>
      </c>
      <c r="N22" s="86" t="s">
        <v>144</v>
      </c>
    </row>
    <row r="23" spans="1:14">
      <c r="A23" s="6">
        <v>20</v>
      </c>
      <c r="B23" s="128" t="s">
        <v>124</v>
      </c>
      <c r="C23" s="6"/>
      <c r="D23" s="6"/>
      <c r="E23" s="111"/>
      <c r="F23" s="6"/>
      <c r="G23" s="112">
        <f t="shared" si="0"/>
        <v>0</v>
      </c>
      <c r="H23" s="111">
        <v>4.8499999999999996</v>
      </c>
      <c r="I23" s="6">
        <v>103.12</v>
      </c>
      <c r="J23" s="112">
        <f t="shared" si="1"/>
        <v>500.13200000000001</v>
      </c>
      <c r="K23" s="112">
        <f t="shared" si="2"/>
        <v>500.13200000000001</v>
      </c>
      <c r="L23" s="248">
        <f t="shared" si="3"/>
        <v>500.13200000000001</v>
      </c>
      <c r="M23" s="232">
        <v>0</v>
      </c>
      <c r="N23" s="86" t="s">
        <v>145</v>
      </c>
    </row>
    <row r="24" spans="1:14">
      <c r="A24" s="6">
        <v>21</v>
      </c>
      <c r="B24" s="128" t="s">
        <v>124</v>
      </c>
      <c r="C24" s="6"/>
      <c r="D24" s="6"/>
      <c r="E24" s="111">
        <v>22.35</v>
      </c>
      <c r="F24" s="6">
        <v>89.49</v>
      </c>
      <c r="G24" s="112">
        <f t="shared" si="0"/>
        <v>2000.1015</v>
      </c>
      <c r="H24" s="111"/>
      <c r="I24" s="6"/>
      <c r="J24" s="112">
        <f t="shared" si="1"/>
        <v>0</v>
      </c>
      <c r="K24" s="112">
        <f t="shared" si="2"/>
        <v>2000.1015</v>
      </c>
      <c r="L24" s="248">
        <f t="shared" si="3"/>
        <v>2000.1015</v>
      </c>
      <c r="M24" s="232">
        <v>0</v>
      </c>
      <c r="N24" s="86" t="s">
        <v>144</v>
      </c>
    </row>
    <row r="25" spans="1:14">
      <c r="A25" s="6">
        <v>22</v>
      </c>
      <c r="B25" s="128" t="s">
        <v>124</v>
      </c>
      <c r="C25" s="6"/>
      <c r="D25" s="6"/>
      <c r="E25" s="111"/>
      <c r="F25" s="6"/>
      <c r="G25" s="112">
        <f t="shared" si="0"/>
        <v>0</v>
      </c>
      <c r="H25" s="111">
        <v>4.83</v>
      </c>
      <c r="I25" s="6">
        <v>103.44</v>
      </c>
      <c r="J25" s="112">
        <f t="shared" si="1"/>
        <v>499.61520000000002</v>
      </c>
      <c r="K25" s="112">
        <f t="shared" si="2"/>
        <v>499.61520000000002</v>
      </c>
      <c r="L25" s="248">
        <f t="shared" si="3"/>
        <v>499.61520000000002</v>
      </c>
      <c r="M25" s="232">
        <v>0</v>
      </c>
      <c r="N25" s="86" t="s">
        <v>145</v>
      </c>
    </row>
    <row r="26" spans="1:14">
      <c r="A26" s="6">
        <v>23</v>
      </c>
      <c r="B26" s="128" t="s">
        <v>124</v>
      </c>
      <c r="C26" s="6"/>
      <c r="D26" s="6"/>
      <c r="E26" s="111">
        <v>5.63</v>
      </c>
      <c r="F26" s="6">
        <v>88.82</v>
      </c>
      <c r="G26" s="112">
        <f t="shared" si="0"/>
        <v>500.05659999999995</v>
      </c>
      <c r="H26" s="111"/>
      <c r="I26" s="6"/>
      <c r="J26" s="112">
        <f t="shared" si="1"/>
        <v>0</v>
      </c>
      <c r="K26" s="112">
        <f t="shared" si="2"/>
        <v>500.05659999999995</v>
      </c>
      <c r="L26" s="248">
        <f t="shared" si="3"/>
        <v>500.05659999999995</v>
      </c>
      <c r="M26" s="232">
        <v>0</v>
      </c>
      <c r="N26" s="86" t="s">
        <v>145</v>
      </c>
    </row>
    <row r="27" spans="1:14">
      <c r="A27" s="6">
        <v>24</v>
      </c>
      <c r="B27" s="128" t="s">
        <v>124</v>
      </c>
      <c r="C27" s="6"/>
      <c r="D27" s="6"/>
      <c r="E27" s="111">
        <v>38.200000000000003</v>
      </c>
      <c r="F27" s="6">
        <v>89.46</v>
      </c>
      <c r="G27" s="112">
        <f t="shared" si="0"/>
        <v>3417.3719999999998</v>
      </c>
      <c r="H27" s="111"/>
      <c r="I27" s="6"/>
      <c r="J27" s="112">
        <f t="shared" si="1"/>
        <v>0</v>
      </c>
      <c r="K27" s="112">
        <f t="shared" si="2"/>
        <v>3417.3719999999998</v>
      </c>
      <c r="L27" s="248">
        <f t="shared" si="3"/>
        <v>3417.3719999999998</v>
      </c>
      <c r="M27" s="232">
        <v>0</v>
      </c>
      <c r="N27" s="86" t="s">
        <v>145</v>
      </c>
    </row>
    <row r="28" spans="1:14">
      <c r="A28" s="6">
        <v>25</v>
      </c>
      <c r="B28" s="128" t="s">
        <v>125</v>
      </c>
      <c r="C28" s="6"/>
      <c r="D28" s="6"/>
      <c r="E28" s="111">
        <v>33.67</v>
      </c>
      <c r="F28" s="6">
        <v>89.09</v>
      </c>
      <c r="G28" s="112">
        <f t="shared" si="0"/>
        <v>2999.6603000000005</v>
      </c>
      <c r="H28" s="111"/>
      <c r="I28" s="6"/>
      <c r="J28" s="112">
        <f t="shared" si="1"/>
        <v>0</v>
      </c>
      <c r="K28" s="112">
        <f t="shared" si="2"/>
        <v>2999.6603000000005</v>
      </c>
      <c r="L28" s="248">
        <f t="shared" si="3"/>
        <v>2999.6603000000005</v>
      </c>
      <c r="M28" s="232">
        <v>0</v>
      </c>
      <c r="N28" s="86" t="s">
        <v>144</v>
      </c>
    </row>
    <row r="29" spans="1:14">
      <c r="A29" s="6">
        <v>26</v>
      </c>
      <c r="B29" s="128" t="s">
        <v>126</v>
      </c>
      <c r="C29" s="6"/>
      <c r="D29" s="6"/>
      <c r="E29" s="111"/>
      <c r="F29" s="6"/>
      <c r="G29" s="112">
        <f t="shared" si="0"/>
        <v>0</v>
      </c>
      <c r="H29" s="111">
        <v>4.84</v>
      </c>
      <c r="I29" s="6">
        <v>103.41</v>
      </c>
      <c r="J29" s="112">
        <f t="shared" si="1"/>
        <v>500.50439999999998</v>
      </c>
      <c r="K29" s="112">
        <f t="shared" si="2"/>
        <v>500.50439999999998</v>
      </c>
      <c r="L29" s="248">
        <f t="shared" si="3"/>
        <v>500.50439999999998</v>
      </c>
      <c r="M29" s="232">
        <v>0</v>
      </c>
      <c r="N29" s="6"/>
    </row>
    <row r="30" spans="1:14">
      <c r="A30" s="6">
        <v>27</v>
      </c>
      <c r="B30" s="128" t="s">
        <v>126</v>
      </c>
      <c r="C30" s="6"/>
      <c r="D30" s="6"/>
      <c r="E30" s="111">
        <v>22.36</v>
      </c>
      <c r="F30" s="6">
        <v>89.47</v>
      </c>
      <c r="G30" s="112">
        <f t="shared" si="0"/>
        <v>2000.5491999999999</v>
      </c>
      <c r="H30" s="111"/>
      <c r="I30" s="6"/>
      <c r="J30" s="112">
        <f t="shared" si="1"/>
        <v>0</v>
      </c>
      <c r="K30" s="112">
        <f t="shared" si="2"/>
        <v>2000.5491999999999</v>
      </c>
      <c r="L30" s="248">
        <f t="shared" si="3"/>
        <v>2000.5491999999999</v>
      </c>
      <c r="M30" s="232">
        <v>0</v>
      </c>
      <c r="N30" s="6"/>
    </row>
    <row r="31" spans="1:14">
      <c r="A31" s="6">
        <v>28</v>
      </c>
      <c r="B31" s="128" t="s">
        <v>127</v>
      </c>
      <c r="C31" s="6"/>
      <c r="D31" s="6"/>
      <c r="E31" s="111">
        <v>46.36</v>
      </c>
      <c r="F31" s="6">
        <v>89.49</v>
      </c>
      <c r="G31" s="112">
        <f t="shared" si="0"/>
        <v>4148.7563999999993</v>
      </c>
      <c r="H31" s="111"/>
      <c r="I31" s="6"/>
      <c r="J31" s="112">
        <f t="shared" si="1"/>
        <v>0</v>
      </c>
      <c r="K31" s="112">
        <f t="shared" si="2"/>
        <v>4148.7563999999993</v>
      </c>
      <c r="L31" s="248">
        <f t="shared" si="3"/>
        <v>4148.7563999999993</v>
      </c>
      <c r="M31" s="232">
        <v>0</v>
      </c>
      <c r="N31" s="6"/>
    </row>
    <row r="32" spans="1:14">
      <c r="A32" s="6">
        <v>29</v>
      </c>
      <c r="B32" s="128" t="s">
        <v>127</v>
      </c>
      <c r="C32" s="6"/>
      <c r="D32" s="6"/>
      <c r="E32" s="111">
        <v>53.13</v>
      </c>
      <c r="F32" s="6">
        <v>89.49</v>
      </c>
      <c r="G32" s="112">
        <f t="shared" si="0"/>
        <v>4754.6036999999997</v>
      </c>
      <c r="H32" s="111"/>
      <c r="I32" s="6"/>
      <c r="J32" s="112">
        <f t="shared" si="1"/>
        <v>0</v>
      </c>
      <c r="K32" s="112">
        <f t="shared" si="2"/>
        <v>4754.6036999999997</v>
      </c>
      <c r="L32" s="248">
        <f t="shared" si="3"/>
        <v>4754.6036999999997</v>
      </c>
      <c r="M32" s="232">
        <v>0</v>
      </c>
      <c r="N32" s="6"/>
    </row>
    <row r="33" spans="1:14">
      <c r="A33" s="6">
        <v>30</v>
      </c>
      <c r="B33" s="128" t="s">
        <v>127</v>
      </c>
      <c r="C33" s="6"/>
      <c r="D33" s="6"/>
      <c r="E33" s="111"/>
      <c r="F33" s="6"/>
      <c r="G33" s="112">
        <f t="shared" si="0"/>
        <v>0</v>
      </c>
      <c r="H33" s="111">
        <v>4.51</v>
      </c>
      <c r="I33" s="6">
        <v>110.71</v>
      </c>
      <c r="J33" s="112">
        <f t="shared" si="1"/>
        <v>499.30209999999994</v>
      </c>
      <c r="K33" s="112">
        <f t="shared" si="2"/>
        <v>499.30209999999994</v>
      </c>
      <c r="L33" s="248">
        <f t="shared" si="3"/>
        <v>499.30209999999994</v>
      </c>
      <c r="M33" s="232">
        <v>0</v>
      </c>
      <c r="N33" s="6"/>
    </row>
    <row r="34" spans="1:14">
      <c r="A34" s="6">
        <v>31</v>
      </c>
      <c r="B34" s="128" t="s">
        <v>127</v>
      </c>
      <c r="C34" s="6"/>
      <c r="D34" s="6"/>
      <c r="E34" s="111"/>
      <c r="F34" s="6"/>
      <c r="G34" s="112">
        <f t="shared" si="0"/>
        <v>0</v>
      </c>
      <c r="H34" s="111">
        <v>4.51</v>
      </c>
      <c r="I34" s="6">
        <v>110.71</v>
      </c>
      <c r="J34" s="112">
        <f t="shared" si="1"/>
        <v>499.30209999999994</v>
      </c>
      <c r="K34" s="112">
        <f t="shared" si="2"/>
        <v>499.30209999999994</v>
      </c>
      <c r="L34" s="248">
        <f t="shared" si="3"/>
        <v>499.30209999999994</v>
      </c>
      <c r="M34" s="232">
        <v>0</v>
      </c>
      <c r="N34" s="6"/>
    </row>
    <row r="35" spans="1:14">
      <c r="A35" s="6">
        <v>32</v>
      </c>
      <c r="B35" s="128" t="s">
        <v>128</v>
      </c>
      <c r="C35" s="6"/>
      <c r="D35" s="6"/>
      <c r="E35" s="111"/>
      <c r="F35" s="6"/>
      <c r="G35" s="112">
        <f t="shared" si="0"/>
        <v>0</v>
      </c>
      <c r="H35" s="111">
        <v>4.8499999999999996</v>
      </c>
      <c r="I35" s="6">
        <v>103.12</v>
      </c>
      <c r="J35" s="112">
        <f t="shared" si="1"/>
        <v>500.13200000000001</v>
      </c>
      <c r="K35" s="112">
        <f t="shared" si="2"/>
        <v>500.13200000000001</v>
      </c>
      <c r="L35" s="248">
        <f t="shared" si="3"/>
        <v>500.13200000000001</v>
      </c>
      <c r="M35" s="232">
        <v>0</v>
      </c>
      <c r="N35" s="6"/>
    </row>
    <row r="36" spans="1:14">
      <c r="A36" s="6">
        <v>33</v>
      </c>
      <c r="B36" s="128" t="s">
        <v>130</v>
      </c>
      <c r="C36" s="6"/>
      <c r="D36" s="6"/>
      <c r="E36" s="111"/>
      <c r="F36" s="6"/>
      <c r="G36" s="112">
        <f t="shared" si="0"/>
        <v>0</v>
      </c>
      <c r="H36" s="111">
        <v>4.8499999999999996</v>
      </c>
      <c r="I36" s="6">
        <v>103.092</v>
      </c>
      <c r="J36" s="112">
        <f t="shared" si="1"/>
        <v>499.99619999999993</v>
      </c>
      <c r="K36" s="112">
        <f t="shared" si="2"/>
        <v>499.99619999999993</v>
      </c>
      <c r="L36" s="248">
        <f t="shared" si="3"/>
        <v>499.99619999999993</v>
      </c>
      <c r="M36" s="232">
        <v>0</v>
      </c>
      <c r="N36" s="6"/>
    </row>
    <row r="37" spans="1:14">
      <c r="A37" s="6">
        <v>34</v>
      </c>
      <c r="B37" s="128" t="s">
        <v>130</v>
      </c>
      <c r="C37" s="6"/>
      <c r="D37" s="6"/>
      <c r="E37" s="111">
        <v>37.159999999999997</v>
      </c>
      <c r="F37" s="6">
        <v>89.49</v>
      </c>
      <c r="G37" s="112">
        <f t="shared" si="0"/>
        <v>3325.4483999999993</v>
      </c>
      <c r="H37" s="111"/>
      <c r="I37" s="6"/>
      <c r="J37" s="112">
        <f t="shared" si="1"/>
        <v>0</v>
      </c>
      <c r="K37" s="112">
        <f t="shared" si="2"/>
        <v>3325.4483999999993</v>
      </c>
      <c r="L37" s="248">
        <f t="shared" si="3"/>
        <v>3325.4483999999993</v>
      </c>
      <c r="M37" s="232">
        <v>0</v>
      </c>
      <c r="N37" s="6"/>
    </row>
    <row r="38" spans="1:14">
      <c r="A38" s="6">
        <v>35</v>
      </c>
      <c r="B38" s="128" t="s">
        <v>131</v>
      </c>
      <c r="C38" s="6"/>
      <c r="D38" s="6"/>
      <c r="E38" s="111">
        <v>41.35</v>
      </c>
      <c r="F38" s="6">
        <v>89.49</v>
      </c>
      <c r="G38" s="112">
        <f t="shared" si="0"/>
        <v>3700.4114999999997</v>
      </c>
      <c r="H38" s="111"/>
      <c r="I38" s="6"/>
      <c r="J38" s="112">
        <f t="shared" si="1"/>
        <v>0</v>
      </c>
      <c r="K38" s="112">
        <f t="shared" si="2"/>
        <v>3700.4114999999997</v>
      </c>
      <c r="L38" s="248">
        <f t="shared" si="3"/>
        <v>3700.4114999999997</v>
      </c>
      <c r="M38" s="232">
        <v>0</v>
      </c>
      <c r="N38" s="6"/>
    </row>
    <row r="39" spans="1:14">
      <c r="A39" s="6">
        <v>36</v>
      </c>
      <c r="B39" s="128" t="s">
        <v>132</v>
      </c>
      <c r="C39" s="6"/>
      <c r="D39" s="6"/>
      <c r="E39" s="111">
        <v>110</v>
      </c>
      <c r="F39" s="6">
        <v>89.49</v>
      </c>
      <c r="G39" s="112">
        <f t="shared" si="0"/>
        <v>9843.9</v>
      </c>
      <c r="H39" s="111"/>
      <c r="I39" s="6"/>
      <c r="J39" s="112">
        <f t="shared" si="1"/>
        <v>0</v>
      </c>
      <c r="K39" s="112">
        <f t="shared" si="2"/>
        <v>9843.9</v>
      </c>
      <c r="L39" s="248">
        <f t="shared" si="3"/>
        <v>9843.9</v>
      </c>
      <c r="M39" s="232">
        <v>0</v>
      </c>
      <c r="N39" s="6"/>
    </row>
    <row r="40" spans="1:14">
      <c r="A40" s="6">
        <v>37</v>
      </c>
      <c r="B40" s="128" t="s">
        <v>132</v>
      </c>
      <c r="C40" s="6"/>
      <c r="D40" s="6"/>
      <c r="E40" s="111"/>
      <c r="F40" s="6"/>
      <c r="G40" s="112">
        <f t="shared" si="0"/>
        <v>0</v>
      </c>
      <c r="H40" s="111">
        <v>4.83</v>
      </c>
      <c r="I40" s="6">
        <v>103.39</v>
      </c>
      <c r="J40" s="112">
        <f t="shared" si="1"/>
        <v>499.37369999999999</v>
      </c>
      <c r="K40" s="112">
        <f t="shared" si="2"/>
        <v>499.37369999999999</v>
      </c>
      <c r="L40" s="248">
        <f t="shared" si="3"/>
        <v>499.37369999999999</v>
      </c>
      <c r="M40" s="232">
        <v>0</v>
      </c>
      <c r="N40" s="6"/>
    </row>
    <row r="41" spans="1:14">
      <c r="A41" s="6">
        <v>38</v>
      </c>
      <c r="B41" s="128" t="s">
        <v>146</v>
      </c>
      <c r="C41" s="6"/>
      <c r="D41" s="6"/>
      <c r="E41" s="111"/>
      <c r="F41" s="6"/>
      <c r="G41" s="112">
        <f t="shared" si="0"/>
        <v>0</v>
      </c>
      <c r="H41" s="111">
        <v>4.83</v>
      </c>
      <c r="I41" s="6">
        <v>103.44</v>
      </c>
      <c r="J41" s="112">
        <f t="shared" si="1"/>
        <v>499.61520000000002</v>
      </c>
      <c r="K41" s="112">
        <f t="shared" si="2"/>
        <v>499.61520000000002</v>
      </c>
      <c r="L41" s="248">
        <f t="shared" si="3"/>
        <v>499.61520000000002</v>
      </c>
      <c r="M41" s="232">
        <v>0</v>
      </c>
      <c r="N41" s="6"/>
    </row>
    <row r="42" spans="1:14">
      <c r="A42" s="275">
        <v>39</v>
      </c>
      <c r="B42" s="276" t="s">
        <v>146</v>
      </c>
      <c r="C42" s="275"/>
      <c r="D42" s="275"/>
      <c r="E42" s="277">
        <v>33.46</v>
      </c>
      <c r="F42" s="275">
        <v>89.49</v>
      </c>
      <c r="G42" s="278">
        <f t="shared" si="0"/>
        <v>2994.3353999999999</v>
      </c>
      <c r="H42" s="277"/>
      <c r="I42" s="275"/>
      <c r="J42" s="278">
        <f t="shared" si="1"/>
        <v>0</v>
      </c>
      <c r="K42" s="278">
        <f t="shared" si="2"/>
        <v>2994.3353999999999</v>
      </c>
      <c r="L42" s="248">
        <f t="shared" si="3"/>
        <v>2994.3353999999999</v>
      </c>
      <c r="M42" s="280">
        <v>0</v>
      </c>
      <c r="N42" s="275"/>
    </row>
    <row r="43" spans="1:14">
      <c r="A43" s="6">
        <v>40</v>
      </c>
      <c r="B43" s="6" t="s">
        <v>147</v>
      </c>
      <c r="C43" s="6"/>
      <c r="D43" s="6"/>
      <c r="E43" s="6">
        <v>16.77</v>
      </c>
      <c r="F43" s="6">
        <v>89.47</v>
      </c>
      <c r="G43" s="112">
        <f t="shared" si="0"/>
        <v>1500.4118999999998</v>
      </c>
      <c r="H43" s="6">
        <v>4.83</v>
      </c>
      <c r="I43" s="6">
        <v>103.44</v>
      </c>
      <c r="J43" s="112">
        <f t="shared" si="1"/>
        <v>499.61520000000002</v>
      </c>
      <c r="K43" s="112">
        <f t="shared" si="2"/>
        <v>2000.0270999999998</v>
      </c>
      <c r="L43" s="248">
        <f t="shared" si="3"/>
        <v>2000.0270999999998</v>
      </c>
      <c r="M43" s="232">
        <v>0</v>
      </c>
      <c r="N43" s="6"/>
    </row>
    <row r="44" spans="1:14">
      <c r="A44" s="275">
        <v>41</v>
      </c>
      <c r="B44" s="275" t="s">
        <v>147</v>
      </c>
      <c r="C44" s="275"/>
      <c r="D44" s="275"/>
      <c r="E44" s="275">
        <v>22.36</v>
      </c>
      <c r="F44" s="275">
        <v>89.44</v>
      </c>
      <c r="G44" s="278">
        <f t="shared" si="0"/>
        <v>1999.8783999999998</v>
      </c>
      <c r="H44" s="275">
        <v>0</v>
      </c>
      <c r="I44" s="275">
        <v>0</v>
      </c>
      <c r="J44" s="278">
        <f t="shared" si="1"/>
        <v>0</v>
      </c>
      <c r="K44" s="278">
        <f t="shared" si="2"/>
        <v>1999.8783999999998</v>
      </c>
      <c r="L44" s="248">
        <f t="shared" si="3"/>
        <v>1999.8783999999998</v>
      </c>
      <c r="M44" s="280">
        <v>0</v>
      </c>
      <c r="N44" s="275"/>
    </row>
    <row r="45" spans="1:14">
      <c r="A45" s="275">
        <v>42</v>
      </c>
      <c r="B45" s="275" t="s">
        <v>148</v>
      </c>
      <c r="C45" s="275"/>
      <c r="D45" s="275"/>
      <c r="E45" s="275"/>
      <c r="F45" s="275"/>
      <c r="G45" s="278">
        <f t="shared" si="0"/>
        <v>0</v>
      </c>
      <c r="H45" s="275">
        <v>4.83</v>
      </c>
      <c r="I45" s="275">
        <v>103.39</v>
      </c>
      <c r="J45" s="278">
        <f t="shared" si="1"/>
        <v>499.37369999999999</v>
      </c>
      <c r="K45" s="278">
        <f t="shared" si="2"/>
        <v>499.37369999999999</v>
      </c>
      <c r="L45" s="279">
        <f t="shared" si="3"/>
        <v>499.37369999999999</v>
      </c>
      <c r="M45" s="280">
        <v>0</v>
      </c>
      <c r="N45" s="275"/>
    </row>
    <row r="46" spans="1:14">
      <c r="A46" s="6">
        <v>43</v>
      </c>
      <c r="B46" s="6" t="s">
        <v>149</v>
      </c>
      <c r="C46" s="6"/>
      <c r="D46" s="6"/>
      <c r="E46" s="6">
        <v>16.760000000000002</v>
      </c>
      <c r="F46" s="6">
        <v>89.49</v>
      </c>
      <c r="G46" s="112">
        <f t="shared" si="0"/>
        <v>1499.8524</v>
      </c>
      <c r="H46" s="6">
        <v>4.83</v>
      </c>
      <c r="I46" s="6">
        <v>103.44</v>
      </c>
      <c r="J46" s="112">
        <f t="shared" si="1"/>
        <v>499.61520000000002</v>
      </c>
      <c r="K46" s="112">
        <f>G46+J46</f>
        <v>1999.4675999999999</v>
      </c>
      <c r="L46" s="248">
        <f t="shared" si="3"/>
        <v>1999.4675999999999</v>
      </c>
      <c r="M46" s="280">
        <v>0</v>
      </c>
      <c r="N46" s="6"/>
    </row>
    <row r="47" spans="1:14">
      <c r="A47" s="6">
        <v>44</v>
      </c>
      <c r="B47" s="6" t="s">
        <v>149</v>
      </c>
      <c r="C47" s="6"/>
      <c r="D47" s="6"/>
      <c r="E47" s="6">
        <v>0</v>
      </c>
      <c r="F47" s="6">
        <v>89.49</v>
      </c>
      <c r="G47" s="112">
        <f t="shared" si="0"/>
        <v>0</v>
      </c>
      <c r="H47" s="6">
        <v>4.8499999999999996</v>
      </c>
      <c r="I47" s="6">
        <v>103.85</v>
      </c>
      <c r="J47" s="112">
        <f t="shared" si="1"/>
        <v>503.67249999999996</v>
      </c>
      <c r="K47" s="112">
        <f>G47+J47</f>
        <v>503.67249999999996</v>
      </c>
      <c r="L47" s="248">
        <f t="shared" si="3"/>
        <v>503.67249999999996</v>
      </c>
      <c r="M47" s="280">
        <v>0</v>
      </c>
      <c r="N47" s="6"/>
    </row>
    <row r="48" spans="1:14">
      <c r="A48" s="6">
        <v>45</v>
      </c>
      <c r="B48" s="6" t="s">
        <v>150</v>
      </c>
      <c r="C48" s="6"/>
      <c r="D48" s="6"/>
      <c r="E48" s="6">
        <v>22.35</v>
      </c>
      <c r="F48" s="6">
        <v>89.49</v>
      </c>
      <c r="G48" s="112">
        <f t="shared" si="0"/>
        <v>2000.1015</v>
      </c>
      <c r="H48" s="6">
        <v>0</v>
      </c>
      <c r="I48" s="6">
        <v>103.85</v>
      </c>
      <c r="J48" s="112">
        <f t="shared" si="1"/>
        <v>0</v>
      </c>
      <c r="K48" s="112">
        <f>G48+J48</f>
        <v>2000.1015</v>
      </c>
      <c r="L48" s="248">
        <f t="shared" si="3"/>
        <v>2000.1015</v>
      </c>
      <c r="M48" s="280">
        <v>0</v>
      </c>
      <c r="N48" s="6"/>
    </row>
    <row r="49" spans="1:15">
      <c r="A49" s="6">
        <v>46</v>
      </c>
      <c r="B49" s="6" t="s">
        <v>151</v>
      </c>
      <c r="C49" s="6"/>
      <c r="D49" s="6"/>
      <c r="E49" s="6">
        <v>81.08</v>
      </c>
      <c r="F49" s="6">
        <v>89.49</v>
      </c>
      <c r="G49" s="112">
        <f t="shared" si="0"/>
        <v>7255.8491999999997</v>
      </c>
      <c r="H49" s="6">
        <v>4.5199999999999996</v>
      </c>
      <c r="I49" s="6">
        <v>110.63</v>
      </c>
      <c r="J49" s="112">
        <f t="shared" si="1"/>
        <v>500.04759999999993</v>
      </c>
      <c r="K49" s="112">
        <f>G49+J49</f>
        <v>7755.8967999999995</v>
      </c>
      <c r="L49" s="248">
        <v>7725.25</v>
      </c>
      <c r="M49" s="280">
        <v>0</v>
      </c>
      <c r="N49" s="6"/>
    </row>
    <row r="50" spans="1:15">
      <c r="A50" s="6">
        <v>47</v>
      </c>
      <c r="B50" s="6" t="s">
        <v>133</v>
      </c>
      <c r="C50" s="6"/>
      <c r="D50" s="6"/>
      <c r="E50" s="6">
        <v>5.6</v>
      </c>
      <c r="F50" s="6">
        <v>89.21</v>
      </c>
      <c r="G50" s="112">
        <f t="shared" si="0"/>
        <v>499.57599999999991</v>
      </c>
      <c r="H50" s="6">
        <v>9.66</v>
      </c>
      <c r="I50" s="6">
        <v>103.39</v>
      </c>
      <c r="J50" s="112">
        <f>H50*I50</f>
        <v>998.74739999999997</v>
      </c>
      <c r="K50" s="112">
        <f>G50+J50</f>
        <v>1498.3233999999998</v>
      </c>
      <c r="L50" s="248">
        <v>1498.32</v>
      </c>
      <c r="M50" s="280">
        <v>0</v>
      </c>
      <c r="N50" s="6"/>
    </row>
    <row r="51" spans="1:15">
      <c r="A51" s="6">
        <v>48</v>
      </c>
      <c r="B51" s="6" t="s">
        <v>134</v>
      </c>
      <c r="C51" s="6"/>
      <c r="D51" s="6"/>
      <c r="E51" s="6">
        <v>22.35</v>
      </c>
      <c r="F51" s="6">
        <v>89.49</v>
      </c>
      <c r="G51" s="112">
        <f t="shared" si="0"/>
        <v>2000.1015</v>
      </c>
      <c r="H51" s="6">
        <v>9.66</v>
      </c>
      <c r="I51" s="6">
        <v>103.44</v>
      </c>
      <c r="J51" s="112">
        <f>H51*I51</f>
        <v>999.23040000000003</v>
      </c>
      <c r="K51" s="112">
        <f>G51+J51</f>
        <v>2999.3319000000001</v>
      </c>
      <c r="L51" s="248">
        <v>2999.33</v>
      </c>
      <c r="M51" s="280">
        <v>0</v>
      </c>
      <c r="N51" s="6"/>
    </row>
    <row r="52" spans="1:15">
      <c r="A52" s="6">
        <v>49</v>
      </c>
      <c r="B52" s="6" t="s">
        <v>135</v>
      </c>
      <c r="C52" s="6"/>
      <c r="D52" s="6"/>
      <c r="E52" s="6">
        <v>39.11</v>
      </c>
      <c r="F52" s="6">
        <v>89.44</v>
      </c>
      <c r="G52" s="112">
        <f t="shared" si="0"/>
        <v>3497.9983999999999</v>
      </c>
      <c r="H52" s="6">
        <v>4.83</v>
      </c>
      <c r="I52" s="6">
        <v>103.44</v>
      </c>
      <c r="J52" s="112">
        <f>H52*I52</f>
        <v>499.61520000000002</v>
      </c>
      <c r="K52" s="112">
        <f>G52+J52</f>
        <v>3997.6136000000001</v>
      </c>
      <c r="L52" s="248">
        <v>3997.61</v>
      </c>
      <c r="M52" s="280">
        <v>0</v>
      </c>
      <c r="N52" s="6"/>
    </row>
    <row r="53" spans="1:15">
      <c r="A53" s="6">
        <v>50</v>
      </c>
      <c r="B53" s="6" t="s">
        <v>136</v>
      </c>
      <c r="C53" s="6"/>
      <c r="D53" s="6"/>
      <c r="E53" s="6">
        <v>22.36</v>
      </c>
      <c r="F53" s="6">
        <v>89.44</v>
      </c>
      <c r="G53" s="112">
        <f t="shared" si="0"/>
        <v>1999.8783999999998</v>
      </c>
      <c r="H53" s="6"/>
      <c r="I53" s="6">
        <v>103.44</v>
      </c>
      <c r="J53" s="112">
        <f t="shared" ref="J53:J56" si="4">H53*I53</f>
        <v>0</v>
      </c>
      <c r="K53" s="112">
        <f t="shared" ref="K53:K62" si="5">G53+J53</f>
        <v>1999.8783999999998</v>
      </c>
      <c r="L53" s="248">
        <v>1999.88</v>
      </c>
      <c r="M53" s="280">
        <v>0</v>
      </c>
      <c r="N53" s="6"/>
    </row>
    <row r="54" spans="1:15">
      <c r="A54" s="6">
        <v>51</v>
      </c>
      <c r="B54" s="6" t="s">
        <v>136</v>
      </c>
      <c r="C54" s="6"/>
      <c r="D54" s="6"/>
      <c r="E54" s="6">
        <v>16.78</v>
      </c>
      <c r="F54" s="6">
        <v>89.41</v>
      </c>
      <c r="G54" s="112">
        <f t="shared" si="0"/>
        <v>1500.2998</v>
      </c>
      <c r="H54" s="6"/>
      <c r="I54" s="6">
        <v>103.44</v>
      </c>
      <c r="J54" s="112">
        <f t="shared" si="4"/>
        <v>0</v>
      </c>
      <c r="K54" s="112">
        <f t="shared" si="5"/>
        <v>1500.2998</v>
      </c>
      <c r="L54" s="248">
        <v>1500.3</v>
      </c>
      <c r="M54" s="280">
        <v>0</v>
      </c>
      <c r="N54" s="6"/>
    </row>
    <row r="55" spans="1:15">
      <c r="A55" s="6">
        <v>52</v>
      </c>
      <c r="B55" s="6" t="s">
        <v>137</v>
      </c>
      <c r="C55" s="6"/>
      <c r="D55" s="6"/>
      <c r="E55" s="6">
        <v>0</v>
      </c>
      <c r="F55" s="6">
        <v>89.41</v>
      </c>
      <c r="G55" s="112">
        <f t="shared" si="0"/>
        <v>0</v>
      </c>
      <c r="H55" s="6">
        <v>4.8499999999999996</v>
      </c>
      <c r="I55" s="6">
        <v>103.44</v>
      </c>
      <c r="J55" s="112">
        <f t="shared" si="4"/>
        <v>501.68399999999997</v>
      </c>
      <c r="K55" s="112">
        <f t="shared" si="5"/>
        <v>501.68399999999997</v>
      </c>
      <c r="L55" s="248">
        <v>501.68</v>
      </c>
      <c r="M55" s="280">
        <v>0</v>
      </c>
      <c r="N55" s="6"/>
    </row>
    <row r="56" spans="1:15">
      <c r="A56" s="6">
        <v>53</v>
      </c>
      <c r="B56" s="6" t="s">
        <v>152</v>
      </c>
      <c r="C56" s="6"/>
      <c r="D56" s="6"/>
      <c r="E56" s="6">
        <v>22.38</v>
      </c>
      <c r="F56" s="6">
        <v>89.41</v>
      </c>
      <c r="G56" s="112">
        <f t="shared" si="0"/>
        <v>2000.9957999999999</v>
      </c>
      <c r="H56" s="6">
        <v>4.83</v>
      </c>
      <c r="I56" s="6">
        <v>103.44</v>
      </c>
      <c r="J56" s="112">
        <f t="shared" si="4"/>
        <v>499.61520000000002</v>
      </c>
      <c r="K56" s="112">
        <f t="shared" si="5"/>
        <v>2500.6109999999999</v>
      </c>
      <c r="L56" s="248">
        <v>2500.61</v>
      </c>
      <c r="M56" s="280">
        <v>0</v>
      </c>
      <c r="N56" s="6"/>
    </row>
    <row r="57" spans="1:15">
      <c r="A57" s="6">
        <v>54</v>
      </c>
      <c r="B57" s="6" t="s">
        <v>139</v>
      </c>
      <c r="C57" s="6"/>
      <c r="D57" s="6"/>
      <c r="E57" s="6">
        <v>92.35</v>
      </c>
      <c r="F57" s="6">
        <v>89.41</v>
      </c>
      <c r="G57" s="112">
        <f t="shared" si="0"/>
        <v>8257.0134999999991</v>
      </c>
      <c r="H57" s="6"/>
      <c r="I57" s="6"/>
      <c r="J57" s="112"/>
      <c r="K57" s="112">
        <f t="shared" si="5"/>
        <v>8257.0134999999991</v>
      </c>
      <c r="L57" s="248">
        <v>8257.01</v>
      </c>
      <c r="M57" s="280">
        <v>0</v>
      </c>
      <c r="N57" s="6"/>
    </row>
    <row r="58" spans="1:15">
      <c r="A58" s="6">
        <v>55</v>
      </c>
      <c r="B58" s="6" t="s">
        <v>140</v>
      </c>
      <c r="C58" s="6"/>
      <c r="D58" s="6"/>
      <c r="E58" s="6">
        <v>30</v>
      </c>
      <c r="F58" s="6">
        <v>89.49</v>
      </c>
      <c r="G58" s="112">
        <f t="shared" si="0"/>
        <v>2684.7</v>
      </c>
      <c r="H58" s="6"/>
      <c r="I58" s="6"/>
      <c r="J58" s="112"/>
      <c r="K58" s="112">
        <f t="shared" si="5"/>
        <v>2684.7</v>
      </c>
      <c r="L58" s="248">
        <v>2684.7</v>
      </c>
      <c r="M58" s="280"/>
      <c r="N58" s="6"/>
    </row>
    <row r="59" spans="1:15">
      <c r="A59" s="6">
        <v>56</v>
      </c>
      <c r="B59" s="6" t="s">
        <v>140</v>
      </c>
      <c r="C59" s="6"/>
      <c r="D59" s="6"/>
      <c r="E59" s="6">
        <v>22.41</v>
      </c>
      <c r="F59" s="6">
        <v>89.22</v>
      </c>
      <c r="G59" s="112">
        <f t="shared" si="0"/>
        <v>1999.4202</v>
      </c>
      <c r="H59" s="6"/>
      <c r="I59" s="6"/>
      <c r="J59" s="112"/>
      <c r="K59" s="112">
        <f t="shared" si="5"/>
        <v>1999.4202</v>
      </c>
      <c r="L59" s="248">
        <v>1999.42</v>
      </c>
      <c r="M59" s="280"/>
      <c r="N59" s="6"/>
    </row>
    <row r="60" spans="1:15">
      <c r="A60" s="6">
        <v>57</v>
      </c>
      <c r="B60" s="6" t="s">
        <v>153</v>
      </c>
      <c r="C60" s="6"/>
      <c r="D60" s="6"/>
      <c r="E60" s="6">
        <v>5.6</v>
      </c>
      <c r="F60" s="6">
        <v>89.22</v>
      </c>
      <c r="G60" s="112">
        <f t="shared" si="0"/>
        <v>499.63199999999995</v>
      </c>
      <c r="H60" s="6">
        <v>0</v>
      </c>
      <c r="I60" s="6">
        <v>103.44</v>
      </c>
      <c r="J60" s="112">
        <f t="shared" ref="J60:J62" si="6">H60*I60</f>
        <v>0</v>
      </c>
      <c r="K60" s="112">
        <f t="shared" si="5"/>
        <v>499.63199999999995</v>
      </c>
      <c r="L60" s="248">
        <v>579.26</v>
      </c>
      <c r="M60" s="280"/>
      <c r="N60" s="6"/>
    </row>
    <row r="61" spans="1:15">
      <c r="A61" s="6"/>
      <c r="B61" s="6" t="s">
        <v>154</v>
      </c>
      <c r="C61" s="6"/>
      <c r="D61" s="6"/>
      <c r="E61" s="6"/>
      <c r="F61" s="6"/>
      <c r="G61" s="112">
        <f t="shared" si="0"/>
        <v>0</v>
      </c>
      <c r="H61" s="6">
        <v>9.66</v>
      </c>
      <c r="I61" s="6">
        <v>103.44</v>
      </c>
      <c r="J61" s="112">
        <f t="shared" si="6"/>
        <v>999.23040000000003</v>
      </c>
      <c r="K61" s="112">
        <f t="shared" si="5"/>
        <v>999.23040000000003</v>
      </c>
      <c r="L61" s="248">
        <v>999.23</v>
      </c>
      <c r="M61" s="280"/>
      <c r="N61" s="6"/>
    </row>
    <row r="62" spans="1:15">
      <c r="A62" s="6"/>
      <c r="B62" s="6" t="s">
        <v>154</v>
      </c>
      <c r="C62" s="6"/>
      <c r="D62" s="6"/>
      <c r="E62" s="6">
        <v>16.760000000000002</v>
      </c>
      <c r="F62" s="6">
        <v>89.49</v>
      </c>
      <c r="G62" s="112">
        <f t="shared" si="0"/>
        <v>1499.8524</v>
      </c>
      <c r="H62" s="6">
        <v>4.5199999999999996</v>
      </c>
      <c r="I62" s="6">
        <v>110.47</v>
      </c>
      <c r="J62" s="112">
        <f>H62*I62</f>
        <v>499.32439999999997</v>
      </c>
      <c r="K62" s="112">
        <f t="shared" si="5"/>
        <v>1999.1768</v>
      </c>
      <c r="L62" s="248">
        <v>1999.18</v>
      </c>
      <c r="M62" s="112"/>
      <c r="N62" s="6"/>
    </row>
    <row r="63" spans="1:15">
      <c r="A63" s="108"/>
      <c r="B63" s="108"/>
      <c r="C63" s="108"/>
      <c r="D63" s="108"/>
      <c r="E63" s="109">
        <f>SUM(E4:E62)</f>
        <v>1133.5400000000002</v>
      </c>
      <c r="F63" s="109"/>
      <c r="G63" s="109">
        <f>SUM(G4:G62)</f>
        <v>101381.034</v>
      </c>
      <c r="H63" s="109">
        <f>SUM(H4:H62)</f>
        <v>148.62</v>
      </c>
      <c r="I63" s="109"/>
      <c r="J63" s="109">
        <f>SUM(J4:J62)</f>
        <v>15495.4653</v>
      </c>
      <c r="K63" s="109">
        <f>SUM(K4:K62)</f>
        <v>116876.4993</v>
      </c>
      <c r="L63" s="109">
        <f>SUM(L4:L62)</f>
        <v>116925.4675</v>
      </c>
      <c r="M63" s="109"/>
      <c r="N63" s="109"/>
      <c r="O63" s="103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theme="0"/>
  </sheetPr>
  <dimension ref="A1:O29"/>
  <sheetViews>
    <sheetView workbookViewId="0">
      <pane ySplit="2" topLeftCell="A5" activePane="bottomLeft" state="frozen"/>
      <selection pane="bottomLeft" activeCell="S29" sqref="S29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1.85546875" style="5" bestFit="1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8554687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79" t="s">
        <v>52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96"/>
    </row>
    <row r="2" spans="1:15">
      <c r="A2" s="155" t="s">
        <v>58</v>
      </c>
      <c r="B2" s="156" t="s">
        <v>59</v>
      </c>
      <c r="C2" s="156" t="s">
        <v>60</v>
      </c>
      <c r="D2" s="156" t="s">
        <v>116</v>
      </c>
      <c r="E2" s="156" t="s">
        <v>62</v>
      </c>
      <c r="F2" s="156" t="s">
        <v>63</v>
      </c>
      <c r="G2" s="156" t="s">
        <v>64</v>
      </c>
      <c r="H2" s="156" t="s">
        <v>65</v>
      </c>
      <c r="I2" s="156" t="s">
        <v>63</v>
      </c>
      <c r="J2" s="215" t="s">
        <v>64</v>
      </c>
      <c r="K2" s="157" t="s">
        <v>66</v>
      </c>
      <c r="L2" s="216" t="s">
        <v>67</v>
      </c>
      <c r="M2" s="221" t="s">
        <v>68</v>
      </c>
      <c r="N2" s="158" t="s">
        <v>69</v>
      </c>
      <c r="O2" s="103"/>
    </row>
    <row r="3" spans="1:15">
      <c r="A3" s="241"/>
      <c r="B3" s="23" t="s">
        <v>70</v>
      </c>
      <c r="C3" s="242"/>
      <c r="D3" s="242"/>
      <c r="E3" s="242"/>
      <c r="F3" s="242"/>
      <c r="G3" s="242"/>
      <c r="H3" s="242"/>
      <c r="I3" s="242"/>
      <c r="J3" s="243"/>
      <c r="K3" s="241"/>
      <c r="L3" s="244"/>
      <c r="M3" s="130">
        <v>9874.41</v>
      </c>
      <c r="N3" s="242"/>
      <c r="O3" s="103"/>
    </row>
    <row r="4" spans="1:15">
      <c r="A4" s="135">
        <v>1</v>
      </c>
      <c r="B4" s="128" t="s">
        <v>119</v>
      </c>
      <c r="C4" s="113"/>
      <c r="D4" s="245"/>
      <c r="E4" s="111">
        <v>334.07</v>
      </c>
      <c r="F4" s="6">
        <v>89.23</v>
      </c>
      <c r="G4" s="9">
        <f>E4*F4</f>
        <v>29809.0661</v>
      </c>
      <c r="H4" s="111">
        <v>7.28</v>
      </c>
      <c r="I4" s="6">
        <v>103.16</v>
      </c>
      <c r="J4" s="9">
        <f>H4*I4</f>
        <v>751.00480000000005</v>
      </c>
      <c r="K4" s="9">
        <f>G4+J4</f>
        <v>30560.070899999999</v>
      </c>
      <c r="L4" s="114"/>
      <c r="M4" s="114">
        <f>M3+K4-L4</f>
        <v>40434.480899999995</v>
      </c>
      <c r="N4" s="70" t="s">
        <v>155</v>
      </c>
      <c r="O4" s="117"/>
    </row>
    <row r="5" spans="1:15">
      <c r="A5" s="135">
        <v>2</v>
      </c>
      <c r="B5" s="128" t="s">
        <v>121</v>
      </c>
      <c r="C5" s="113"/>
      <c r="D5" s="120"/>
      <c r="E5" s="111">
        <v>300</v>
      </c>
      <c r="F5" s="6">
        <v>89.23</v>
      </c>
      <c r="G5" s="9">
        <f>E5*F5</f>
        <v>26769</v>
      </c>
      <c r="H5" s="111"/>
      <c r="I5" s="6"/>
      <c r="J5" s="9">
        <f>H5*I5</f>
        <v>0</v>
      </c>
      <c r="K5" s="9">
        <f>G5+J5</f>
        <v>26769</v>
      </c>
      <c r="L5" s="9"/>
      <c r="M5" s="114">
        <f>M4+K5-L5</f>
        <v>67203.480899999995</v>
      </c>
      <c r="N5" s="70"/>
      <c r="O5" s="117"/>
    </row>
    <row r="6" spans="1:15">
      <c r="A6" s="135">
        <v>3</v>
      </c>
      <c r="B6" s="128" t="s">
        <v>122</v>
      </c>
      <c r="C6" s="113"/>
      <c r="D6" s="120"/>
      <c r="E6" s="111">
        <v>257.52</v>
      </c>
      <c r="F6" s="6">
        <v>89.23</v>
      </c>
      <c r="G6" s="9">
        <f>E6*F6</f>
        <v>22978.509599999998</v>
      </c>
      <c r="H6" s="111"/>
      <c r="I6" s="6"/>
      <c r="J6" s="9">
        <f>H6*I6</f>
        <v>0</v>
      </c>
      <c r="K6" s="9">
        <f>G6+J6</f>
        <v>22978.509599999998</v>
      </c>
      <c r="L6" s="9"/>
      <c r="M6" s="114">
        <f t="shared" ref="M5:M26" si="0">M5+K6-L6</f>
        <v>90181.990499999985</v>
      </c>
      <c r="N6" s="70"/>
      <c r="O6" s="117"/>
    </row>
    <row r="7" spans="1:15">
      <c r="A7" s="135">
        <v>4</v>
      </c>
      <c r="B7" s="128" t="s">
        <v>123</v>
      </c>
      <c r="C7" s="113"/>
      <c r="D7" s="120"/>
      <c r="E7" s="111">
        <v>300</v>
      </c>
      <c r="F7" s="6">
        <v>89.23</v>
      </c>
      <c r="G7" s="9">
        <f>E7*F7</f>
        <v>26769</v>
      </c>
      <c r="H7" s="111">
        <v>7.47</v>
      </c>
      <c r="I7" s="6">
        <v>103.16</v>
      </c>
      <c r="J7" s="9">
        <f>H7*I7</f>
        <v>770.60519999999997</v>
      </c>
      <c r="K7" s="9">
        <f>G7+J7</f>
        <v>27539.605199999998</v>
      </c>
      <c r="L7" s="9"/>
      <c r="M7" s="114">
        <f t="shared" si="0"/>
        <v>117721.59569999998</v>
      </c>
      <c r="N7" s="70"/>
      <c r="O7" s="117"/>
    </row>
    <row r="8" spans="1:15">
      <c r="A8" s="135">
        <v>5</v>
      </c>
      <c r="B8" s="128" t="s">
        <v>124</v>
      </c>
      <c r="C8" s="113"/>
      <c r="D8" s="120"/>
      <c r="E8" s="111">
        <v>481.49</v>
      </c>
      <c r="F8" s="6">
        <v>89.23</v>
      </c>
      <c r="G8" s="9">
        <f>E8*F8</f>
        <v>42963.352700000003</v>
      </c>
      <c r="H8" s="111">
        <v>7.79</v>
      </c>
      <c r="I8" s="6">
        <v>103.16</v>
      </c>
      <c r="J8" s="9">
        <f>H8*I8</f>
        <v>803.6164</v>
      </c>
      <c r="K8" s="9">
        <f>G8+J8</f>
        <v>43766.969100000002</v>
      </c>
      <c r="L8" s="9"/>
      <c r="M8" s="114">
        <f t="shared" si="0"/>
        <v>161488.56479999999</v>
      </c>
      <c r="N8" s="70"/>
      <c r="O8" s="117"/>
    </row>
    <row r="9" spans="1:15">
      <c r="A9" s="135">
        <v>6</v>
      </c>
      <c r="B9" s="128" t="s">
        <v>126</v>
      </c>
      <c r="C9" s="113"/>
      <c r="D9" s="120"/>
      <c r="E9" s="111">
        <v>300</v>
      </c>
      <c r="F9" s="6">
        <v>89.23</v>
      </c>
      <c r="G9" s="9">
        <f>E9*F9</f>
        <v>26769</v>
      </c>
      <c r="H9" s="111"/>
      <c r="I9" s="6"/>
      <c r="J9" s="9">
        <f>H9*I9</f>
        <v>0</v>
      </c>
      <c r="K9" s="9">
        <f>G9+J9</f>
        <v>26769</v>
      </c>
      <c r="L9" s="9"/>
      <c r="M9" s="114">
        <f t="shared" si="0"/>
        <v>188257.56479999999</v>
      </c>
      <c r="N9" s="70"/>
      <c r="O9" s="117"/>
    </row>
    <row r="10" spans="1:15">
      <c r="A10" s="135">
        <v>7</v>
      </c>
      <c r="B10" s="128" t="s">
        <v>127</v>
      </c>
      <c r="C10" s="113"/>
      <c r="D10" s="120"/>
      <c r="E10" s="111">
        <v>32.770000000000003</v>
      </c>
      <c r="F10" s="6">
        <v>89.23</v>
      </c>
      <c r="G10" s="9">
        <f>E10*F10</f>
        <v>2924.0671000000002</v>
      </c>
      <c r="H10" s="111">
        <v>5.71</v>
      </c>
      <c r="I10" s="6">
        <v>103.16</v>
      </c>
      <c r="J10" s="9">
        <f>H10*I10</f>
        <v>589.04359999999997</v>
      </c>
      <c r="K10" s="9">
        <f>G10+J10</f>
        <v>3513.1107000000002</v>
      </c>
      <c r="L10" s="9"/>
      <c r="M10" s="114">
        <f t="shared" si="0"/>
        <v>191770.67549999998</v>
      </c>
      <c r="N10" s="70"/>
      <c r="O10" s="117"/>
    </row>
    <row r="11" spans="1:15">
      <c r="A11" s="135">
        <v>8</v>
      </c>
      <c r="B11" s="128" t="s">
        <v>128</v>
      </c>
      <c r="C11" s="113"/>
      <c r="D11" s="120"/>
      <c r="E11" s="111">
        <v>150</v>
      </c>
      <c r="F11" s="6">
        <v>89.23</v>
      </c>
      <c r="G11" s="9">
        <f>E11*F11</f>
        <v>13384.5</v>
      </c>
      <c r="H11" s="111">
        <v>7.28</v>
      </c>
      <c r="I11" s="6">
        <v>103.16</v>
      </c>
      <c r="J11" s="9">
        <f>H11*I11</f>
        <v>751.00480000000005</v>
      </c>
      <c r="K11" s="9">
        <f>G11+J11</f>
        <v>14135.504800000001</v>
      </c>
      <c r="L11" s="9"/>
      <c r="M11" s="114">
        <f t="shared" si="0"/>
        <v>205906.18029999998</v>
      </c>
      <c r="N11" s="70"/>
      <c r="O11" s="117"/>
    </row>
    <row r="12" spans="1:15">
      <c r="A12" s="135">
        <v>9</v>
      </c>
      <c r="B12" s="128" t="s">
        <v>146</v>
      </c>
      <c r="C12" s="113"/>
      <c r="D12" s="120"/>
      <c r="E12" s="111">
        <v>280.62</v>
      </c>
      <c r="F12" s="6">
        <v>89.23</v>
      </c>
      <c r="G12" s="9">
        <f>E12*F12</f>
        <v>25039.722600000001</v>
      </c>
      <c r="H12" s="111">
        <v>6.31</v>
      </c>
      <c r="I12" s="6">
        <v>103.16</v>
      </c>
      <c r="J12" s="9">
        <f>H12*I12</f>
        <v>650.93959999999993</v>
      </c>
      <c r="K12" s="9">
        <f>G12+J12</f>
        <v>25690.662200000002</v>
      </c>
      <c r="L12" s="9"/>
      <c r="M12" s="114">
        <f>M11+K12-L12</f>
        <v>231596.84249999997</v>
      </c>
      <c r="N12" s="70"/>
      <c r="O12" s="117"/>
    </row>
    <row r="13" spans="1:15">
      <c r="A13" s="135">
        <v>10</v>
      </c>
      <c r="B13" s="306" t="s">
        <v>147</v>
      </c>
      <c r="C13" s="358"/>
      <c r="D13" s="359"/>
      <c r="E13" s="437">
        <v>203.48</v>
      </c>
      <c r="F13" s="6">
        <v>89.23</v>
      </c>
      <c r="G13" s="9">
        <f>E13*F13</f>
        <v>18156.520400000001</v>
      </c>
      <c r="H13" s="360">
        <v>2.94</v>
      </c>
      <c r="I13" s="6">
        <v>103.16</v>
      </c>
      <c r="J13" s="9">
        <f>H13*I13</f>
        <v>303.29039999999998</v>
      </c>
      <c r="K13" s="9">
        <f>G13+J13</f>
        <v>18459.810800000003</v>
      </c>
      <c r="L13" s="9"/>
      <c r="M13" s="114">
        <f t="shared" si="0"/>
        <v>250056.65329999998</v>
      </c>
      <c r="N13" s="70"/>
      <c r="O13" s="117"/>
    </row>
    <row r="14" spans="1:15">
      <c r="A14" s="135">
        <v>11</v>
      </c>
      <c r="B14" s="306" t="s">
        <v>149</v>
      </c>
      <c r="C14" s="307"/>
      <c r="D14" s="307"/>
      <c r="E14" s="9">
        <v>326.68</v>
      </c>
      <c r="F14" s="6">
        <v>89.23</v>
      </c>
      <c r="G14" s="9">
        <f>E14*F14</f>
        <v>29149.656400000003</v>
      </c>
      <c r="H14" s="9">
        <v>6.31</v>
      </c>
      <c r="I14" s="6">
        <v>103.16</v>
      </c>
      <c r="J14" s="9">
        <f>H14*I14</f>
        <v>650.93959999999993</v>
      </c>
      <c r="K14" s="9">
        <f>G14+J14</f>
        <v>29800.596000000005</v>
      </c>
      <c r="L14" s="9"/>
      <c r="M14" s="114">
        <f t="shared" si="0"/>
        <v>279857.24929999997</v>
      </c>
      <c r="N14" s="70"/>
      <c r="O14" s="117"/>
    </row>
    <row r="15" spans="1:15">
      <c r="A15" s="135">
        <v>12</v>
      </c>
      <c r="B15" s="306" t="s">
        <v>150</v>
      </c>
      <c r="C15" s="307"/>
      <c r="D15" s="307"/>
      <c r="E15" s="9">
        <v>5</v>
      </c>
      <c r="F15" s="6">
        <v>89.23</v>
      </c>
      <c r="G15" s="9">
        <f>E15*F15</f>
        <v>446.15000000000003</v>
      </c>
      <c r="H15" s="9">
        <v>0</v>
      </c>
      <c r="I15" s="6">
        <v>0</v>
      </c>
      <c r="J15" s="9">
        <f t="shared" ref="J15:J26" si="1">H15*I15</f>
        <v>0</v>
      </c>
      <c r="K15" s="9">
        <f>G15+J15</f>
        <v>446.15000000000003</v>
      </c>
      <c r="L15" s="9"/>
      <c r="M15" s="114">
        <f t="shared" si="0"/>
        <v>280303.39929999999</v>
      </c>
      <c r="N15" s="70"/>
      <c r="O15" s="117"/>
    </row>
    <row r="16" spans="1:15">
      <c r="A16" s="135">
        <v>13</v>
      </c>
      <c r="B16" s="306" t="s">
        <v>151</v>
      </c>
      <c r="C16" s="307"/>
      <c r="D16" s="307"/>
      <c r="E16" s="9">
        <v>363.76</v>
      </c>
      <c r="F16" s="6">
        <v>89.23</v>
      </c>
      <c r="G16" s="9">
        <f>E16*F16</f>
        <v>32458.304800000002</v>
      </c>
      <c r="H16" s="9"/>
      <c r="I16" s="6"/>
      <c r="J16" s="9">
        <f t="shared" si="1"/>
        <v>0</v>
      </c>
      <c r="K16" s="9">
        <f>G16+J16</f>
        <v>32458.304800000002</v>
      </c>
      <c r="L16" s="9"/>
      <c r="M16" s="114">
        <f t="shared" si="0"/>
        <v>312761.70409999997</v>
      </c>
      <c r="N16" s="70"/>
      <c r="O16" s="117"/>
    </row>
    <row r="17" spans="1:15">
      <c r="A17" s="135">
        <v>14</v>
      </c>
      <c r="B17" s="306" t="s">
        <v>133</v>
      </c>
      <c r="C17" s="307"/>
      <c r="D17" s="307"/>
      <c r="E17" s="9">
        <v>238.2</v>
      </c>
      <c r="F17" s="6">
        <v>89.23</v>
      </c>
      <c r="G17" s="9">
        <f>E17*F17</f>
        <v>21254.585999999999</v>
      </c>
      <c r="H17" s="9"/>
      <c r="I17" s="6"/>
      <c r="J17" s="9">
        <f t="shared" si="1"/>
        <v>0</v>
      </c>
      <c r="K17" s="9">
        <f>G17+J17</f>
        <v>21254.585999999999</v>
      </c>
      <c r="L17" s="9"/>
      <c r="M17" s="114">
        <f t="shared" si="0"/>
        <v>334016.29009999998</v>
      </c>
      <c r="N17" s="70"/>
      <c r="O17" s="117"/>
    </row>
    <row r="18" spans="1:15">
      <c r="A18" s="135">
        <v>15</v>
      </c>
      <c r="B18" s="306" t="s">
        <v>134</v>
      </c>
      <c r="C18" s="307"/>
      <c r="D18" s="307"/>
      <c r="E18" s="9">
        <v>240</v>
      </c>
      <c r="F18" s="6">
        <v>89.23</v>
      </c>
      <c r="G18" s="9">
        <f>E18*F18</f>
        <v>21415.200000000001</v>
      </c>
      <c r="H18" s="9"/>
      <c r="I18" s="6"/>
      <c r="J18" s="9">
        <f t="shared" si="1"/>
        <v>0</v>
      </c>
      <c r="K18" s="9">
        <f>G18+J18</f>
        <v>21415.200000000001</v>
      </c>
      <c r="L18" s="9"/>
      <c r="M18" s="114">
        <f t="shared" si="0"/>
        <v>355431.4901</v>
      </c>
      <c r="N18" s="70"/>
      <c r="O18" s="117"/>
    </row>
    <row r="19" spans="1:15">
      <c r="A19" s="135">
        <v>16</v>
      </c>
      <c r="B19" s="306" t="s">
        <v>135</v>
      </c>
      <c r="C19" s="307"/>
      <c r="D19" s="307"/>
      <c r="E19" s="9">
        <v>60</v>
      </c>
      <c r="F19" s="6">
        <v>89.23</v>
      </c>
      <c r="G19" s="9">
        <f>E19*F19</f>
        <v>5353.8</v>
      </c>
      <c r="H19" s="9">
        <v>5.33</v>
      </c>
      <c r="I19" s="6">
        <v>103.16</v>
      </c>
      <c r="J19" s="9">
        <f t="shared" si="1"/>
        <v>549.84280000000001</v>
      </c>
      <c r="K19" s="9">
        <f>G19+J19</f>
        <v>5903.6428000000005</v>
      </c>
      <c r="L19" s="9"/>
      <c r="M19" s="114">
        <f t="shared" si="0"/>
        <v>361335.13289999997</v>
      </c>
      <c r="N19" s="70"/>
      <c r="O19" s="117"/>
    </row>
    <row r="20" spans="1:15">
      <c r="A20" s="135">
        <v>17</v>
      </c>
      <c r="B20" s="306" t="s">
        <v>136</v>
      </c>
      <c r="C20" s="307"/>
      <c r="D20" s="307"/>
      <c r="E20" s="9">
        <v>330</v>
      </c>
      <c r="F20" s="6">
        <v>89.23</v>
      </c>
      <c r="G20" s="9">
        <f>E20*F20</f>
        <v>29445.9</v>
      </c>
      <c r="H20" s="9">
        <v>1.94</v>
      </c>
      <c r="I20" s="6">
        <v>103.16</v>
      </c>
      <c r="J20" s="9">
        <f t="shared" si="1"/>
        <v>200.13039999999998</v>
      </c>
      <c r="K20" s="9">
        <f>G20+J20</f>
        <v>29646.0304</v>
      </c>
      <c r="L20" s="9"/>
      <c r="M20" s="114">
        <f t="shared" si="0"/>
        <v>390981.16329999996</v>
      </c>
      <c r="N20" s="70"/>
      <c r="O20" s="117"/>
    </row>
    <row r="21" spans="1:15">
      <c r="A21" s="135">
        <v>18</v>
      </c>
      <c r="B21" s="306" t="s">
        <v>137</v>
      </c>
      <c r="C21" s="307"/>
      <c r="D21" s="307"/>
      <c r="E21" s="9">
        <v>0</v>
      </c>
      <c r="F21" s="6">
        <v>89.23</v>
      </c>
      <c r="G21" s="9">
        <f>E21*F21</f>
        <v>0</v>
      </c>
      <c r="H21" s="9">
        <v>7.76</v>
      </c>
      <c r="I21" s="6">
        <v>103.16</v>
      </c>
      <c r="J21" s="9">
        <f t="shared" si="1"/>
        <v>800.52159999999992</v>
      </c>
      <c r="K21" s="9">
        <f>G21+J21</f>
        <v>800.52159999999992</v>
      </c>
      <c r="L21" s="9"/>
      <c r="M21" s="114">
        <f t="shared" si="0"/>
        <v>391781.68489999993</v>
      </c>
      <c r="N21" s="70"/>
      <c r="O21" s="117"/>
    </row>
    <row r="22" spans="1:15">
      <c r="A22" s="135">
        <v>19</v>
      </c>
      <c r="B22" s="306" t="s">
        <v>152</v>
      </c>
      <c r="C22" s="307"/>
      <c r="D22" s="307"/>
      <c r="E22" s="9">
        <v>380</v>
      </c>
      <c r="F22" s="6">
        <v>89.23</v>
      </c>
      <c r="G22" s="9">
        <f>E22*F22</f>
        <v>33907.4</v>
      </c>
      <c r="H22" s="9">
        <v>0</v>
      </c>
      <c r="I22" s="6">
        <v>103.16</v>
      </c>
      <c r="J22" s="9">
        <f t="shared" si="1"/>
        <v>0</v>
      </c>
      <c r="K22" s="9">
        <f>G22+J22</f>
        <v>33907.4</v>
      </c>
      <c r="L22" s="9"/>
      <c r="M22" s="114">
        <f t="shared" si="0"/>
        <v>425689.08489999996</v>
      </c>
      <c r="N22" s="70"/>
      <c r="O22" s="117"/>
    </row>
    <row r="23" spans="1:15">
      <c r="A23" s="135"/>
      <c r="B23" s="306" t="s">
        <v>139</v>
      </c>
      <c r="C23" s="307"/>
      <c r="D23" s="307"/>
      <c r="E23" s="9">
        <v>24.27</v>
      </c>
      <c r="F23" s="6">
        <v>89.23</v>
      </c>
      <c r="G23" s="9">
        <f>E23*F23</f>
        <v>2165.6121000000003</v>
      </c>
      <c r="H23" s="9">
        <v>5.82</v>
      </c>
      <c r="I23" s="6">
        <v>103.16</v>
      </c>
      <c r="J23" s="9">
        <f t="shared" si="1"/>
        <v>600.39120000000003</v>
      </c>
      <c r="K23" s="9">
        <f>G23+J23</f>
        <v>2766.0033000000003</v>
      </c>
      <c r="L23" s="9"/>
      <c r="M23" s="114">
        <f t="shared" si="0"/>
        <v>428455.08819999994</v>
      </c>
      <c r="N23" s="70"/>
      <c r="O23" s="117"/>
    </row>
    <row r="24" spans="1:15">
      <c r="A24" s="135"/>
      <c r="B24" s="306" t="s">
        <v>140</v>
      </c>
      <c r="C24" s="307"/>
      <c r="D24" s="307"/>
      <c r="E24" s="9">
        <v>200</v>
      </c>
      <c r="F24" s="6">
        <v>89.23</v>
      </c>
      <c r="G24" s="9">
        <f>E24*F24</f>
        <v>17846</v>
      </c>
      <c r="H24" s="9">
        <v>2.0099999999999998</v>
      </c>
      <c r="I24" s="6">
        <v>103.16</v>
      </c>
      <c r="J24" s="9">
        <f t="shared" si="1"/>
        <v>207.35159999999996</v>
      </c>
      <c r="K24" s="9">
        <f>G24+J24</f>
        <v>18053.351600000002</v>
      </c>
      <c r="L24" s="9"/>
      <c r="M24" s="114">
        <f t="shared" si="0"/>
        <v>446508.43979999993</v>
      </c>
      <c r="N24" s="70"/>
      <c r="O24" s="117"/>
    </row>
    <row r="25" spans="1:15">
      <c r="A25" s="135"/>
      <c r="B25" s="306" t="s">
        <v>153</v>
      </c>
      <c r="C25" s="307"/>
      <c r="D25" s="307"/>
      <c r="E25" s="9">
        <v>63.13</v>
      </c>
      <c r="F25" s="6">
        <v>89.23</v>
      </c>
      <c r="G25" s="9">
        <f>E25*F25</f>
        <v>5633.0899000000009</v>
      </c>
      <c r="H25" s="9">
        <v>1.94</v>
      </c>
      <c r="I25" s="6">
        <v>103.16</v>
      </c>
      <c r="J25" s="9">
        <f t="shared" si="1"/>
        <v>200.13039999999998</v>
      </c>
      <c r="K25" s="9">
        <f>G25+J25</f>
        <v>5833.2203000000009</v>
      </c>
      <c r="L25" s="9"/>
      <c r="M25" s="114">
        <f t="shared" si="0"/>
        <v>452341.66009999992</v>
      </c>
      <c r="N25" s="70"/>
      <c r="O25" s="117"/>
    </row>
    <row r="26" spans="1:15">
      <c r="A26" s="135"/>
      <c r="B26" s="306" t="s">
        <v>154</v>
      </c>
      <c r="C26" s="307"/>
      <c r="D26" s="307"/>
      <c r="E26" s="9">
        <v>314.83999999999997</v>
      </c>
      <c r="F26" s="6">
        <v>89.23</v>
      </c>
      <c r="G26" s="9">
        <f>E26*F26</f>
        <v>28093.173199999997</v>
      </c>
      <c r="H26" s="9">
        <v>4.96</v>
      </c>
      <c r="I26" s="6">
        <v>103.16</v>
      </c>
      <c r="J26" s="9">
        <f t="shared" si="1"/>
        <v>511.67359999999996</v>
      </c>
      <c r="K26" s="9">
        <f>G26+J26</f>
        <v>28604.846799999996</v>
      </c>
      <c r="L26" s="9"/>
      <c r="M26" s="114">
        <f>M25+K26-L26</f>
        <v>480946.50689999992</v>
      </c>
      <c r="N26" s="70"/>
      <c r="O26" s="117"/>
    </row>
    <row r="27" spans="1:15">
      <c r="A27" s="135"/>
      <c r="B27" s="306"/>
      <c r="C27" s="307"/>
      <c r="D27" s="307"/>
      <c r="E27" s="9"/>
      <c r="F27" s="6"/>
      <c r="G27" s="9"/>
      <c r="H27" s="9"/>
      <c r="I27" s="6"/>
      <c r="J27" s="9"/>
      <c r="K27" s="9"/>
      <c r="L27" s="9"/>
      <c r="M27" s="114"/>
      <c r="N27" s="70"/>
      <c r="O27" s="117"/>
    </row>
    <row r="28" spans="1:15">
      <c r="A28" s="246"/>
      <c r="B28" s="246"/>
      <c r="C28" s="246"/>
      <c r="D28" s="246"/>
      <c r="E28" s="247">
        <f>SUM(E4:E27)</f>
        <v>5185.83</v>
      </c>
      <c r="F28" s="247"/>
      <c r="G28" s="247">
        <f>SUM(G4:G27)</f>
        <v>462731.61090000009</v>
      </c>
      <c r="H28" s="247">
        <f>SUM(H4:H27)</f>
        <v>80.849999999999994</v>
      </c>
      <c r="I28" s="247"/>
      <c r="J28" s="247">
        <f>SUM(J4:J27)</f>
        <v>8340.485999999999</v>
      </c>
      <c r="K28" s="247">
        <f>SUM(K4:K27)</f>
        <v>471072.09689999995</v>
      </c>
      <c r="L28" s="247">
        <f>SUM(L4:L14)</f>
        <v>0</v>
      </c>
      <c r="M28" s="247"/>
      <c r="N28" s="247"/>
      <c r="O28" s="103"/>
    </row>
    <row r="29" spans="1:15">
      <c r="A29" s="122"/>
      <c r="B29" s="123"/>
      <c r="C29" s="122"/>
      <c r="D29" s="122"/>
      <c r="E29" s="124"/>
      <c r="F29" s="124"/>
      <c r="G29" s="124"/>
      <c r="H29" s="124"/>
      <c r="I29" s="124"/>
      <c r="J29" s="125"/>
      <c r="K29" s="125"/>
      <c r="L29" s="125"/>
      <c r="M29" s="125"/>
      <c r="N29" s="124"/>
      <c r="O29" s="117"/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R43"/>
  <sheetViews>
    <sheetView workbookViewId="0">
      <pane ySplit="2" topLeftCell="A4" activePane="bottomLeft" state="frozen"/>
      <selection pane="bottomLeft" activeCell="Q42" sqref="Q42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0.85546875" customWidth="1"/>
    <col min="5" max="5" width="10.7109375" bestFit="1" customWidth="1"/>
    <col min="6" max="6" width="11.8554687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</cols>
  <sheetData>
    <row r="1" spans="1:14" s="147" customFormat="1" ht="15.75" customHeight="1">
      <c r="A1" s="495" t="s">
        <v>32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>
      <c r="A2" s="110" t="s">
        <v>58</v>
      </c>
      <c r="B2" s="110" t="s">
        <v>59</v>
      </c>
      <c r="C2" s="110" t="s">
        <v>60</v>
      </c>
      <c r="D2" s="110" t="s">
        <v>61</v>
      </c>
      <c r="E2" s="146" t="s">
        <v>62</v>
      </c>
      <c r="F2" s="146" t="s">
        <v>63</v>
      </c>
      <c r="G2" s="146" t="s">
        <v>64</v>
      </c>
      <c r="H2" s="146" t="s">
        <v>65</v>
      </c>
      <c r="I2" s="146" t="s">
        <v>63</v>
      </c>
      <c r="J2" s="146" t="s">
        <v>64</v>
      </c>
      <c r="K2" s="146" t="s">
        <v>66</v>
      </c>
      <c r="L2" s="138" t="s">
        <v>67</v>
      </c>
      <c r="M2" s="138" t="s">
        <v>93</v>
      </c>
      <c r="N2" s="110" t="s">
        <v>69</v>
      </c>
    </row>
    <row r="3" spans="1:14">
      <c r="A3" s="23"/>
      <c r="B3" s="23"/>
      <c r="C3" s="23"/>
      <c r="D3" s="23" t="s">
        <v>70</v>
      </c>
      <c r="E3" s="23"/>
      <c r="F3" s="23"/>
      <c r="G3" s="23"/>
      <c r="H3" s="23"/>
      <c r="I3" s="23"/>
      <c r="J3" s="23"/>
      <c r="K3" s="67">
        <v>55164.18</v>
      </c>
      <c r="L3" s="23"/>
      <c r="M3" s="67">
        <f>+K3</f>
        <v>55164.18</v>
      </c>
      <c r="N3" s="23"/>
    </row>
    <row r="4" spans="1:14">
      <c r="A4" s="23">
        <v>1</v>
      </c>
      <c r="B4" s="139">
        <v>45658</v>
      </c>
      <c r="C4" s="23"/>
      <c r="D4" s="23"/>
      <c r="E4" s="84">
        <v>0</v>
      </c>
      <c r="F4" s="84">
        <v>0</v>
      </c>
      <c r="G4" s="67">
        <f>E4*F4</f>
        <v>0</v>
      </c>
      <c r="H4" s="84">
        <v>0</v>
      </c>
      <c r="I4" s="84">
        <v>0</v>
      </c>
      <c r="J4" s="67">
        <f>H4*I4</f>
        <v>0</v>
      </c>
      <c r="K4" s="67">
        <f>G4+J4</f>
        <v>0</v>
      </c>
      <c r="L4" s="23"/>
      <c r="M4" s="67">
        <f>M3+K4-L4</f>
        <v>55164.18</v>
      </c>
      <c r="N4" s="23"/>
    </row>
    <row r="5" spans="1:14">
      <c r="A5" s="23">
        <v>2</v>
      </c>
      <c r="B5" s="139">
        <v>45659</v>
      </c>
      <c r="C5" s="23"/>
      <c r="D5" s="23"/>
      <c r="E5" s="84">
        <v>117.27</v>
      </c>
      <c r="F5" s="84">
        <v>89.26</v>
      </c>
      <c r="G5" s="67">
        <f>E5*F5</f>
        <v>10467.520200000001</v>
      </c>
      <c r="H5" s="84">
        <v>6</v>
      </c>
      <c r="I5" s="84">
        <v>103.18</v>
      </c>
      <c r="J5" s="67">
        <f>H5*I5</f>
        <v>619.08000000000004</v>
      </c>
      <c r="K5" s="67">
        <f>G5+J5</f>
        <v>11086.600200000001</v>
      </c>
      <c r="L5" s="23"/>
      <c r="M5" s="67">
        <f>M4+K5-L5</f>
        <v>66250.780200000008</v>
      </c>
      <c r="N5" s="23"/>
    </row>
    <row r="6" spans="1:14">
      <c r="A6" s="23">
        <v>3</v>
      </c>
      <c r="B6" s="139">
        <v>45660</v>
      </c>
      <c r="C6" s="23"/>
      <c r="D6" s="23"/>
      <c r="E6" s="84">
        <v>68</v>
      </c>
      <c r="F6" s="84">
        <v>89.26</v>
      </c>
      <c r="G6" s="67">
        <f>E6*F6</f>
        <v>6069.68</v>
      </c>
      <c r="H6" s="84">
        <v>7.5</v>
      </c>
      <c r="I6" s="84">
        <v>103.18</v>
      </c>
      <c r="J6" s="67">
        <f>H6*I6</f>
        <v>773.85</v>
      </c>
      <c r="K6" s="67">
        <f>G6+J6</f>
        <v>6843.5300000000007</v>
      </c>
      <c r="L6" s="23"/>
      <c r="M6" s="67">
        <f>M5+K6-L6</f>
        <v>73094.310200000007</v>
      </c>
      <c r="N6" s="23"/>
    </row>
    <row r="7" spans="1:14">
      <c r="A7" s="23">
        <v>4</v>
      </c>
      <c r="B7" s="139">
        <v>45661</v>
      </c>
      <c r="C7" s="23"/>
      <c r="D7" s="23"/>
      <c r="E7" s="84">
        <v>54</v>
      </c>
      <c r="F7" s="84">
        <v>89.26</v>
      </c>
      <c r="G7" s="67">
        <f>E7*F7</f>
        <v>4820.04</v>
      </c>
      <c r="H7" s="84">
        <v>1</v>
      </c>
      <c r="I7" s="84">
        <v>103.18</v>
      </c>
      <c r="J7" s="67">
        <f>H7*I7</f>
        <v>103.18</v>
      </c>
      <c r="K7" s="67">
        <f>G7+J7</f>
        <v>4923.22</v>
      </c>
      <c r="L7" s="23"/>
      <c r="M7" s="67">
        <f>M6+K7-L7</f>
        <v>78017.530200000008</v>
      </c>
      <c r="N7" s="23"/>
    </row>
    <row r="8" spans="1:14">
      <c r="A8" s="23">
        <v>5</v>
      </c>
      <c r="B8" s="139">
        <v>45662</v>
      </c>
      <c r="C8" s="23"/>
      <c r="D8" s="23"/>
      <c r="E8" s="84">
        <v>0</v>
      </c>
      <c r="F8" s="84">
        <v>0</v>
      </c>
      <c r="G8" s="67">
        <f>E8*F8</f>
        <v>0</v>
      </c>
      <c r="H8" s="84">
        <v>0</v>
      </c>
      <c r="I8" s="84">
        <v>0</v>
      </c>
      <c r="J8" s="67">
        <f>H8*I8</f>
        <v>0</v>
      </c>
      <c r="K8" s="67">
        <f>G8+J8</f>
        <v>0</v>
      </c>
      <c r="L8" s="23"/>
      <c r="M8" s="67">
        <f>M7+K8-L8</f>
        <v>78017.530200000008</v>
      </c>
      <c r="N8" s="23"/>
    </row>
    <row r="9" spans="1:14">
      <c r="A9" s="23">
        <v>6</v>
      </c>
      <c r="B9" s="139">
        <v>45663</v>
      </c>
      <c r="C9" s="23"/>
      <c r="D9" s="23"/>
      <c r="E9" s="84">
        <v>80</v>
      </c>
      <c r="F9" s="84">
        <v>89.26</v>
      </c>
      <c r="G9" s="67">
        <f>E9*F9</f>
        <v>7140.8</v>
      </c>
      <c r="H9" s="84">
        <v>0</v>
      </c>
      <c r="I9" s="84">
        <v>0</v>
      </c>
      <c r="J9" s="67">
        <f>H9*I9</f>
        <v>0</v>
      </c>
      <c r="K9" s="67">
        <f>G9+J9</f>
        <v>7140.8</v>
      </c>
      <c r="L9" s="23"/>
      <c r="M9" s="67">
        <f>M8+K9-L9</f>
        <v>85158.330200000011</v>
      </c>
      <c r="N9" s="23"/>
    </row>
    <row r="10" spans="1:14">
      <c r="A10" s="23">
        <v>7</v>
      </c>
      <c r="B10" s="139">
        <v>45664</v>
      </c>
      <c r="C10" s="23"/>
      <c r="D10" s="23"/>
      <c r="E10" s="84">
        <v>127</v>
      </c>
      <c r="F10" s="84">
        <v>89.26</v>
      </c>
      <c r="G10" s="67">
        <f>E10*F10</f>
        <v>11336.02</v>
      </c>
      <c r="H10" s="84">
        <v>6</v>
      </c>
      <c r="I10" s="84">
        <v>103.18</v>
      </c>
      <c r="J10" s="67">
        <f>H10*I10</f>
        <v>619.08000000000004</v>
      </c>
      <c r="K10" s="67">
        <f>G10+J10</f>
        <v>11955.1</v>
      </c>
      <c r="L10" s="23"/>
      <c r="M10" s="67">
        <f>M9+K10-L10</f>
        <v>97113.430200000017</v>
      </c>
      <c r="N10" s="23"/>
    </row>
    <row r="11" spans="1:14">
      <c r="A11" s="23">
        <v>8</v>
      </c>
      <c r="B11" s="139">
        <v>45665</v>
      </c>
      <c r="C11" s="23"/>
      <c r="D11" s="23"/>
      <c r="E11" s="84">
        <v>0</v>
      </c>
      <c r="F11" s="84">
        <v>0</v>
      </c>
      <c r="G11" s="67">
        <f>E11*F11</f>
        <v>0</v>
      </c>
      <c r="H11" s="84">
        <v>0</v>
      </c>
      <c r="I11" s="84">
        <v>0</v>
      </c>
      <c r="J11" s="67">
        <f>H11*I11</f>
        <v>0</v>
      </c>
      <c r="K11" s="67">
        <f>G11+J11</f>
        <v>0</v>
      </c>
      <c r="L11" s="23"/>
      <c r="M11" s="67">
        <f>M10+K11-L11</f>
        <v>97113.430200000017</v>
      </c>
      <c r="N11" s="23"/>
    </row>
    <row r="12" spans="1:14">
      <c r="A12" s="23">
        <v>9</v>
      </c>
      <c r="B12" s="139">
        <v>45666</v>
      </c>
      <c r="C12" s="23"/>
      <c r="D12" s="23"/>
      <c r="E12" s="84">
        <v>120</v>
      </c>
      <c r="F12" s="84">
        <v>89.26</v>
      </c>
      <c r="G12" s="67">
        <f>E12*F12</f>
        <v>10711.2</v>
      </c>
      <c r="H12" s="84">
        <v>5</v>
      </c>
      <c r="I12" s="84">
        <v>103.18</v>
      </c>
      <c r="J12" s="67">
        <f>H12*I12</f>
        <v>515.90000000000009</v>
      </c>
      <c r="K12" s="67">
        <f>G12+J12</f>
        <v>11227.1</v>
      </c>
      <c r="L12" s="23"/>
      <c r="M12" s="67">
        <f>M11+K12-L12</f>
        <v>108340.53020000002</v>
      </c>
      <c r="N12" s="23"/>
    </row>
    <row r="13" spans="1:14">
      <c r="A13" s="23">
        <v>10</v>
      </c>
      <c r="B13" s="139">
        <v>45667</v>
      </c>
      <c r="C13" s="23"/>
      <c r="D13" s="23"/>
      <c r="E13" s="84">
        <v>20</v>
      </c>
      <c r="F13" s="84">
        <v>89.26</v>
      </c>
      <c r="G13" s="67">
        <f>E13*F13</f>
        <v>1785.2</v>
      </c>
      <c r="H13" s="84">
        <v>12</v>
      </c>
      <c r="I13" s="84">
        <v>103.18</v>
      </c>
      <c r="J13" s="67">
        <f>H13*I13</f>
        <v>1238.1600000000001</v>
      </c>
      <c r="K13" s="67">
        <f>G13+J13</f>
        <v>3023.36</v>
      </c>
      <c r="L13" s="23"/>
      <c r="M13" s="67">
        <f>M12+K13-L13</f>
        <v>111363.89020000002</v>
      </c>
      <c r="N13" s="23"/>
    </row>
    <row r="14" spans="1:14">
      <c r="A14" s="23">
        <v>11</v>
      </c>
      <c r="B14" s="139">
        <v>45668</v>
      </c>
      <c r="C14" s="23"/>
      <c r="D14" s="23"/>
      <c r="E14" s="84">
        <v>0</v>
      </c>
      <c r="F14" s="84">
        <v>0</v>
      </c>
      <c r="G14" s="67">
        <f>E14*F14</f>
        <v>0</v>
      </c>
      <c r="H14" s="84">
        <v>0</v>
      </c>
      <c r="I14" s="84">
        <v>0</v>
      </c>
      <c r="J14" s="67">
        <f>H14*I14</f>
        <v>0</v>
      </c>
      <c r="K14" s="67">
        <f>G14+J14</f>
        <v>0</v>
      </c>
      <c r="L14" s="23"/>
      <c r="M14" s="67">
        <f>M13+K14-L14</f>
        <v>111363.89020000002</v>
      </c>
      <c r="N14" s="23"/>
    </row>
    <row r="15" spans="1:14">
      <c r="A15" s="23">
        <v>12</v>
      </c>
      <c r="B15" s="139">
        <v>45669</v>
      </c>
      <c r="C15" s="23"/>
      <c r="D15" s="23"/>
      <c r="E15" s="84">
        <v>20</v>
      </c>
      <c r="F15" s="84">
        <v>89.26</v>
      </c>
      <c r="G15" s="67">
        <f>E15*F15</f>
        <v>1785.2</v>
      </c>
      <c r="H15" s="84">
        <v>0</v>
      </c>
      <c r="I15" s="84">
        <v>0</v>
      </c>
      <c r="J15" s="67">
        <f>H15*I15</f>
        <v>0</v>
      </c>
      <c r="K15" s="67">
        <f>G15+J15</f>
        <v>1785.2</v>
      </c>
      <c r="L15" s="67">
        <f>+K15</f>
        <v>1785.2</v>
      </c>
      <c r="M15" s="67">
        <f>M14+K15-L15</f>
        <v>111363.89020000002</v>
      </c>
      <c r="N15" s="23" t="s">
        <v>156</v>
      </c>
    </row>
    <row r="16" spans="1:14">
      <c r="A16" s="23">
        <v>13</v>
      </c>
      <c r="B16" s="139">
        <v>45671</v>
      </c>
      <c r="C16" s="23"/>
      <c r="D16" s="23"/>
      <c r="E16" s="84">
        <v>146.13999999999999</v>
      </c>
      <c r="F16" s="84">
        <v>89.26</v>
      </c>
      <c r="G16" s="67">
        <f>E16*F16</f>
        <v>13044.456399999999</v>
      </c>
      <c r="H16" s="84">
        <v>0</v>
      </c>
      <c r="I16" s="84">
        <v>0</v>
      </c>
      <c r="J16" s="67">
        <f>H16*I16</f>
        <v>0</v>
      </c>
      <c r="K16" s="67">
        <f>G16+J16</f>
        <v>13044.456399999999</v>
      </c>
      <c r="L16" s="67">
        <f t="shared" ref="L16:L22" si="0">+K16</f>
        <v>13044.456399999999</v>
      </c>
      <c r="M16" s="67">
        <f>M15+K16-L16</f>
        <v>111363.89020000002</v>
      </c>
      <c r="N16" s="23" t="s">
        <v>156</v>
      </c>
    </row>
    <row r="17" spans="1:18">
      <c r="A17" s="23">
        <v>14</v>
      </c>
      <c r="B17" s="139">
        <v>45672</v>
      </c>
      <c r="C17" s="23"/>
      <c r="D17" s="23"/>
      <c r="E17" s="112">
        <v>22.31</v>
      </c>
      <c r="F17" s="84">
        <v>89.26</v>
      </c>
      <c r="G17" s="67">
        <f>E17*F17</f>
        <v>1991.3905999999999</v>
      </c>
      <c r="H17" s="84">
        <v>3.4</v>
      </c>
      <c r="I17" s="84">
        <v>103.18</v>
      </c>
      <c r="J17" s="67">
        <f>H17*I17</f>
        <v>350.81200000000001</v>
      </c>
      <c r="K17" s="67">
        <f>G17+J17</f>
        <v>2342.2026000000001</v>
      </c>
      <c r="L17" s="67">
        <f>+K17</f>
        <v>2342.2026000000001</v>
      </c>
      <c r="M17" s="67">
        <f>M16+K17-L17</f>
        <v>111363.89020000002</v>
      </c>
      <c r="N17" s="23" t="s">
        <v>156</v>
      </c>
    </row>
    <row r="18" spans="1:18">
      <c r="A18" s="23">
        <v>15</v>
      </c>
      <c r="B18" s="139">
        <v>45673</v>
      </c>
      <c r="C18" s="23"/>
      <c r="D18" s="23"/>
      <c r="E18" s="84">
        <v>55</v>
      </c>
      <c r="F18" s="84">
        <v>89.26</v>
      </c>
      <c r="G18" s="67">
        <f>E18*F18</f>
        <v>4909.3</v>
      </c>
      <c r="H18" s="84">
        <v>0</v>
      </c>
      <c r="I18" s="84">
        <v>103.18</v>
      </c>
      <c r="J18" s="67">
        <f>H18*I18</f>
        <v>0</v>
      </c>
      <c r="K18" s="67">
        <f>G18+J18</f>
        <v>4909.3</v>
      </c>
      <c r="L18" s="67">
        <f>+K18</f>
        <v>4909.3</v>
      </c>
      <c r="M18" s="67">
        <f>M17+K18-L18</f>
        <v>111363.89020000002</v>
      </c>
      <c r="N18" s="23" t="s">
        <v>156</v>
      </c>
    </row>
    <row r="19" spans="1:18">
      <c r="A19" s="23">
        <v>16</v>
      </c>
      <c r="B19" s="139">
        <v>45674</v>
      </c>
      <c r="C19" s="23"/>
      <c r="D19" s="23"/>
      <c r="E19" s="84">
        <v>35</v>
      </c>
      <c r="F19" s="84">
        <v>89.26</v>
      </c>
      <c r="G19" s="67">
        <f>E19*F19</f>
        <v>3124.1000000000004</v>
      </c>
      <c r="H19" s="84">
        <v>0</v>
      </c>
      <c r="I19" s="84">
        <v>103.18</v>
      </c>
      <c r="J19" s="67">
        <f>H19*I19</f>
        <v>0</v>
      </c>
      <c r="K19" s="67">
        <f>G19+J19</f>
        <v>3124.1000000000004</v>
      </c>
      <c r="L19" s="67">
        <f>+K19</f>
        <v>3124.1000000000004</v>
      </c>
      <c r="M19" s="67">
        <f>M18+K19-L19</f>
        <v>111363.89020000002</v>
      </c>
      <c r="N19" s="23" t="s">
        <v>156</v>
      </c>
    </row>
    <row r="20" spans="1:18">
      <c r="A20" s="23">
        <v>17</v>
      </c>
      <c r="B20" s="139">
        <v>45675</v>
      </c>
      <c r="C20" s="23"/>
      <c r="D20" s="23"/>
      <c r="E20" s="84">
        <v>35</v>
      </c>
      <c r="F20" s="84">
        <v>89.26</v>
      </c>
      <c r="G20" s="67">
        <f>E20*F20</f>
        <v>3124.1000000000004</v>
      </c>
      <c r="H20" s="84">
        <v>0</v>
      </c>
      <c r="I20" s="84">
        <v>103.18</v>
      </c>
      <c r="J20" s="67">
        <f>H20*I20</f>
        <v>0</v>
      </c>
      <c r="K20" s="67">
        <f>G20+J20</f>
        <v>3124.1000000000004</v>
      </c>
      <c r="L20" s="67">
        <f>+K20</f>
        <v>3124.1000000000004</v>
      </c>
      <c r="M20" s="67">
        <f>M19+K20-L20</f>
        <v>111363.89020000002</v>
      </c>
      <c r="N20" s="23" t="s">
        <v>156</v>
      </c>
    </row>
    <row r="21" spans="1:18">
      <c r="A21" s="23">
        <v>18</v>
      </c>
      <c r="B21" s="139">
        <v>45676</v>
      </c>
      <c r="C21" s="23"/>
      <c r="D21" s="23"/>
      <c r="E21" s="84">
        <v>75</v>
      </c>
      <c r="F21" s="84">
        <v>89.26</v>
      </c>
      <c r="G21" s="67">
        <f>E21*F21</f>
        <v>6694.5</v>
      </c>
      <c r="H21" s="84">
        <v>4.38</v>
      </c>
      <c r="I21" s="84">
        <v>107.46</v>
      </c>
      <c r="J21" s="67">
        <f>H21*I21</f>
        <v>470.67479999999995</v>
      </c>
      <c r="K21" s="67">
        <f>G21+J21</f>
        <v>7165.1747999999998</v>
      </c>
      <c r="L21" s="67">
        <f>+K21</f>
        <v>7165.1747999999998</v>
      </c>
      <c r="M21" s="67">
        <f>M20+K21-L21</f>
        <v>111363.89020000002</v>
      </c>
      <c r="N21" s="23" t="s">
        <v>156</v>
      </c>
    </row>
    <row r="22" spans="1:18">
      <c r="A22" s="23">
        <v>19</v>
      </c>
      <c r="B22" s="139">
        <v>45677</v>
      </c>
      <c r="C22" s="23"/>
      <c r="D22" s="23"/>
      <c r="E22" s="84">
        <v>89.99</v>
      </c>
      <c r="F22" s="84">
        <v>89.26</v>
      </c>
      <c r="G22" s="67">
        <f>E22*F22</f>
        <v>8032.5074000000004</v>
      </c>
      <c r="H22" s="84">
        <v>6</v>
      </c>
      <c r="I22" s="84">
        <v>103.18</v>
      </c>
      <c r="J22" s="67">
        <f>H22*I22</f>
        <v>619.08000000000004</v>
      </c>
      <c r="K22" s="67">
        <f>G22+J22</f>
        <v>8651.5874000000003</v>
      </c>
      <c r="L22" s="67">
        <f>+K22</f>
        <v>8651.5874000000003</v>
      </c>
      <c r="M22" s="67">
        <f>M21+K22-L22</f>
        <v>111363.89020000002</v>
      </c>
      <c r="N22" s="23" t="s">
        <v>156</v>
      </c>
    </row>
    <row r="23" spans="1:18">
      <c r="A23" s="23">
        <v>20</v>
      </c>
      <c r="B23" s="139">
        <v>45678</v>
      </c>
      <c r="C23" s="23"/>
      <c r="D23" s="23"/>
      <c r="E23" s="84">
        <v>64.81</v>
      </c>
      <c r="F23" s="84">
        <v>89.26</v>
      </c>
      <c r="G23" s="67">
        <f>E23*F23</f>
        <v>5784.9406000000008</v>
      </c>
      <c r="H23" s="84">
        <v>6.01</v>
      </c>
      <c r="I23" s="84">
        <v>103.18</v>
      </c>
      <c r="J23" s="67">
        <f>H23*I23</f>
        <v>620.11180000000002</v>
      </c>
      <c r="K23" s="67">
        <f>G23+J23</f>
        <v>6405.0524000000005</v>
      </c>
      <c r="L23" s="23">
        <v>6405.05</v>
      </c>
      <c r="M23" s="67">
        <f>M22+K23-L23</f>
        <v>111363.89260000002</v>
      </c>
      <c r="N23" s="23" t="s">
        <v>156</v>
      </c>
    </row>
    <row r="24" spans="1:18">
      <c r="A24" s="23">
        <v>21</v>
      </c>
      <c r="B24" s="139">
        <v>45679</v>
      </c>
      <c r="C24" s="23"/>
      <c r="D24" s="23"/>
      <c r="E24" s="84">
        <v>75</v>
      </c>
      <c r="F24" s="84">
        <v>89.26</v>
      </c>
      <c r="G24" s="67">
        <f>E24*F24</f>
        <v>6694.5</v>
      </c>
      <c r="H24" s="84">
        <v>0</v>
      </c>
      <c r="I24" s="84">
        <v>103.18</v>
      </c>
      <c r="J24" s="67">
        <f>H24*I24</f>
        <v>0</v>
      </c>
      <c r="K24" s="67">
        <f>G24+J24</f>
        <v>6694.5</v>
      </c>
      <c r="L24" s="23">
        <v>61858</v>
      </c>
      <c r="M24" s="67">
        <f>M23+K24-L24</f>
        <v>56200.392600000021</v>
      </c>
      <c r="N24" s="23" t="s">
        <v>157</v>
      </c>
    </row>
    <row r="25" spans="1:18">
      <c r="A25" s="23">
        <v>22</v>
      </c>
      <c r="B25" s="139">
        <v>45680</v>
      </c>
      <c r="C25" s="23"/>
      <c r="D25" s="23"/>
      <c r="E25" s="84">
        <v>55</v>
      </c>
      <c r="F25" s="84">
        <v>89.26</v>
      </c>
      <c r="G25" s="67">
        <f>E25*F25</f>
        <v>4909.3</v>
      </c>
      <c r="H25" s="84">
        <v>0</v>
      </c>
      <c r="I25" s="84">
        <v>103.18</v>
      </c>
      <c r="J25" s="67">
        <f>H25*I25</f>
        <v>0</v>
      </c>
      <c r="K25" s="67">
        <f>G25+J25</f>
        <v>4909.3</v>
      </c>
      <c r="L25" s="23">
        <v>4909</v>
      </c>
      <c r="M25" s="67">
        <f>M24+K25-L25</f>
        <v>56200.692600000024</v>
      </c>
      <c r="N25" s="23" t="s">
        <v>156</v>
      </c>
      <c r="R25">
        <f>55164+6</f>
        <v>55170</v>
      </c>
    </row>
    <row r="26" spans="1:18">
      <c r="A26" s="23">
        <v>23</v>
      </c>
      <c r="B26" s="139">
        <v>45681</v>
      </c>
      <c r="C26" s="23"/>
      <c r="D26" s="23"/>
      <c r="E26" s="84">
        <v>125</v>
      </c>
      <c r="F26" s="84">
        <v>89.26</v>
      </c>
      <c r="G26" s="67">
        <f>E26*F26</f>
        <v>11157.5</v>
      </c>
      <c r="H26" s="84">
        <v>3.8</v>
      </c>
      <c r="I26" s="84">
        <v>107.46</v>
      </c>
      <c r="J26" s="67">
        <f>H26*I26</f>
        <v>408.34799999999996</v>
      </c>
      <c r="K26" s="67">
        <f>G26+J26</f>
        <v>11565.848</v>
      </c>
      <c r="L26" s="23">
        <v>11565.85</v>
      </c>
      <c r="M26" s="67">
        <f>M25+K26-L26</f>
        <v>56200.690600000024</v>
      </c>
      <c r="N26" s="23" t="s">
        <v>156</v>
      </c>
      <c r="R26">
        <v>6694.5</v>
      </c>
    </row>
    <row r="27" spans="1:18">
      <c r="A27" s="23">
        <v>24</v>
      </c>
      <c r="B27" s="139">
        <v>45682</v>
      </c>
      <c r="C27" s="23"/>
      <c r="D27" s="23"/>
      <c r="E27" s="84">
        <v>0</v>
      </c>
      <c r="F27" s="84">
        <v>89.26</v>
      </c>
      <c r="G27" s="67">
        <f t="shared" ref="G27:G33" si="1">E27*F27</f>
        <v>0</v>
      </c>
      <c r="H27" s="84">
        <v>0</v>
      </c>
      <c r="I27" s="84">
        <v>107.46</v>
      </c>
      <c r="J27" s="67">
        <f t="shared" ref="J27:J29" si="2">H27*I27</f>
        <v>0</v>
      </c>
      <c r="K27" s="67">
        <f t="shared" ref="K27:M29" si="3">G27+J27</f>
        <v>0</v>
      </c>
      <c r="L27" s="23"/>
      <c r="M27" s="67">
        <f>M26+K27-L27</f>
        <v>56200.690600000024</v>
      </c>
      <c r="N27" s="23"/>
    </row>
    <row r="28" spans="1:18">
      <c r="A28" s="23">
        <v>25</v>
      </c>
      <c r="B28" s="139">
        <v>26</v>
      </c>
      <c r="C28" s="23"/>
      <c r="D28" s="23"/>
      <c r="E28" s="84">
        <v>40</v>
      </c>
      <c r="F28" s="84">
        <v>89.26</v>
      </c>
      <c r="G28" s="67">
        <f t="shared" si="1"/>
        <v>3570.4</v>
      </c>
      <c r="H28" s="84"/>
      <c r="I28" s="84">
        <v>107.46</v>
      </c>
      <c r="J28" s="67">
        <f t="shared" si="2"/>
        <v>0</v>
      </c>
      <c r="K28" s="67">
        <f t="shared" si="3"/>
        <v>3570.4</v>
      </c>
      <c r="L28" s="23">
        <v>3570.4</v>
      </c>
      <c r="M28" s="67">
        <f>M27+K28-L28</f>
        <v>56200.690600000024</v>
      </c>
      <c r="N28" s="23" t="s">
        <v>156</v>
      </c>
    </row>
    <row r="29" spans="1:18">
      <c r="A29" s="23">
        <v>26</v>
      </c>
      <c r="B29" s="139">
        <v>27</v>
      </c>
      <c r="C29" s="23"/>
      <c r="D29" s="23"/>
      <c r="E29" s="84">
        <v>90</v>
      </c>
      <c r="F29" s="84">
        <v>89.26</v>
      </c>
      <c r="G29" s="67">
        <f t="shared" si="1"/>
        <v>8033.4000000000005</v>
      </c>
      <c r="H29" s="84">
        <v>13</v>
      </c>
      <c r="I29" s="84">
        <v>107.46</v>
      </c>
      <c r="J29" s="67">
        <f t="shared" si="2"/>
        <v>1396.98</v>
      </c>
      <c r="K29" s="67">
        <f>G29+J29</f>
        <v>9430.380000000001</v>
      </c>
      <c r="L29" s="67">
        <v>9430.3799999999992</v>
      </c>
      <c r="M29" s="67">
        <f>M28+K29-L29</f>
        <v>56200.690600000024</v>
      </c>
      <c r="N29" s="23" t="s">
        <v>156</v>
      </c>
    </row>
    <row r="30" spans="1:18">
      <c r="A30" s="23">
        <v>27</v>
      </c>
      <c r="B30" s="139">
        <v>28</v>
      </c>
      <c r="C30" s="23"/>
      <c r="D30" s="23"/>
      <c r="E30" s="84">
        <v>140</v>
      </c>
      <c r="F30" s="84">
        <v>89.26</v>
      </c>
      <c r="G30" s="67">
        <f t="shared" si="1"/>
        <v>12496.400000000001</v>
      </c>
      <c r="H30" s="84"/>
      <c r="I30" s="84"/>
      <c r="J30" s="67"/>
      <c r="K30" s="67">
        <f>G30+J30</f>
        <v>12496.400000000001</v>
      </c>
      <c r="L30" s="67">
        <v>12496.4</v>
      </c>
      <c r="M30" s="67">
        <f>M29+K30-L30</f>
        <v>56200.690600000024</v>
      </c>
      <c r="N30" s="23" t="s">
        <v>156</v>
      </c>
    </row>
    <row r="31" spans="1:18">
      <c r="A31" s="23">
        <v>28</v>
      </c>
      <c r="B31" s="139">
        <v>45686</v>
      </c>
      <c r="C31" s="23"/>
      <c r="D31" s="23"/>
      <c r="E31" s="84">
        <v>105</v>
      </c>
      <c r="F31" s="84">
        <v>89.26</v>
      </c>
      <c r="G31" s="67">
        <f t="shared" si="1"/>
        <v>9372.3000000000011</v>
      </c>
      <c r="H31" s="84"/>
      <c r="I31" s="84"/>
      <c r="J31" s="67"/>
      <c r="K31" s="67">
        <f>G31+J31</f>
        <v>9372.3000000000011</v>
      </c>
      <c r="L31" s="67">
        <v>9372.2999999999993</v>
      </c>
      <c r="M31" s="67">
        <f>M30+K31-L31</f>
        <v>56200.690600000016</v>
      </c>
      <c r="N31" s="23" t="s">
        <v>156</v>
      </c>
    </row>
    <row r="32" spans="1:18">
      <c r="A32" s="23">
        <v>29</v>
      </c>
      <c r="B32" s="139">
        <v>30</v>
      </c>
      <c r="C32" s="23"/>
      <c r="D32" s="23"/>
      <c r="E32" s="84">
        <v>70</v>
      </c>
      <c r="F32" s="84">
        <v>89.26</v>
      </c>
      <c r="G32" s="67">
        <f t="shared" si="1"/>
        <v>6248.2000000000007</v>
      </c>
      <c r="H32" s="84"/>
      <c r="I32" s="84"/>
      <c r="J32" s="67"/>
      <c r="K32" s="67">
        <f t="shared" ref="K32:K33" si="4">G32+J32</f>
        <v>6248.2000000000007</v>
      </c>
      <c r="L32" s="67">
        <v>6248.2000000000007</v>
      </c>
      <c r="M32" s="67">
        <f t="shared" ref="M32:M33" si="5">M31+K32-L32</f>
        <v>56200.690600000016</v>
      </c>
      <c r="N32" s="23" t="s">
        <v>156</v>
      </c>
    </row>
    <row r="33" spans="1:14">
      <c r="A33" s="23">
        <v>30</v>
      </c>
      <c r="B33" s="139">
        <v>31</v>
      </c>
      <c r="C33" s="23"/>
      <c r="D33" s="23"/>
      <c r="E33" s="84">
        <v>95</v>
      </c>
      <c r="F33" s="84">
        <v>89.26</v>
      </c>
      <c r="G33" s="67">
        <f t="shared" si="1"/>
        <v>8479.7000000000007</v>
      </c>
      <c r="H33" s="84"/>
      <c r="I33" s="84"/>
      <c r="J33" s="67"/>
      <c r="K33" s="67">
        <f t="shared" si="4"/>
        <v>8479.7000000000007</v>
      </c>
      <c r="L33" s="67">
        <v>8479.7000000000007</v>
      </c>
      <c r="M33" s="67">
        <f t="shared" si="5"/>
        <v>56200.690600000016</v>
      </c>
      <c r="N33" s="23" t="s">
        <v>156</v>
      </c>
    </row>
    <row r="34" spans="1:14">
      <c r="A34" s="23"/>
      <c r="B34" s="139"/>
      <c r="C34" s="23"/>
      <c r="D34" s="23"/>
      <c r="E34" s="84"/>
      <c r="F34" s="84"/>
      <c r="G34" s="67"/>
      <c r="H34" s="84"/>
      <c r="I34" s="84"/>
      <c r="J34" s="67"/>
      <c r="K34" s="67"/>
      <c r="L34" s="23"/>
      <c r="M34" s="23"/>
      <c r="N34" s="23"/>
    </row>
    <row r="35" spans="1:14">
      <c r="A35" s="82"/>
      <c r="B35" s="82"/>
      <c r="C35" s="82"/>
      <c r="D35" s="82"/>
      <c r="E35" s="82">
        <f>SUM(E4:E34)</f>
        <v>1924.5199999999998</v>
      </c>
      <c r="F35" s="82"/>
      <c r="G35" s="82">
        <f>SUM(G4:G34)</f>
        <v>171782.65520000001</v>
      </c>
      <c r="H35" s="82">
        <f>SUM(H4:H34)</f>
        <v>74.09</v>
      </c>
      <c r="I35" s="82"/>
      <c r="J35" s="82">
        <f>SUM(J4:J34)</f>
        <v>7735.2565999999988</v>
      </c>
      <c r="K35" s="82">
        <f>SUM(K4:K34)</f>
        <v>179517.91180000003</v>
      </c>
      <c r="L35" s="82">
        <f>SUM(L4:L34)</f>
        <v>178481.40120000002</v>
      </c>
      <c r="M35" s="82"/>
      <c r="N35" s="82"/>
    </row>
    <row r="38" spans="1:14">
      <c r="D38" s="496" t="s">
        <v>158</v>
      </c>
      <c r="E38" s="496"/>
      <c r="F38" s="496"/>
    </row>
    <row r="39" spans="1:14">
      <c r="D39" s="497" t="s">
        <v>32</v>
      </c>
      <c r="E39" s="498"/>
      <c r="F39" s="499"/>
    </row>
    <row r="40" spans="1:14">
      <c r="D40" s="500" t="s">
        <v>159</v>
      </c>
      <c r="E40" s="500"/>
      <c r="F40" s="55">
        <v>52894.39</v>
      </c>
    </row>
    <row r="41" spans="1:14">
      <c r="D41" s="500" t="s">
        <v>7</v>
      </c>
      <c r="E41" s="500"/>
      <c r="F41" s="55">
        <f>+K35</f>
        <v>179517.91180000003</v>
      </c>
    </row>
    <row r="42" spans="1:14">
      <c r="D42" s="500" t="s">
        <v>9</v>
      </c>
      <c r="E42" s="500"/>
      <c r="F42" s="55">
        <f>+L35</f>
        <v>178481.40120000002</v>
      </c>
    </row>
    <row r="43" spans="1:14">
      <c r="D43" s="494" t="s">
        <v>160</v>
      </c>
      <c r="E43" s="494"/>
      <c r="F43" s="43">
        <f>F41+F40-F42</f>
        <v>53930.900599999994</v>
      </c>
      <c r="G43" t="s">
        <v>161</v>
      </c>
    </row>
  </sheetData>
  <mergeCells count="7">
    <mergeCell ref="D43:E43"/>
    <mergeCell ref="A1:N1"/>
    <mergeCell ref="D38:F38"/>
    <mergeCell ref="D39:F39"/>
    <mergeCell ref="D40:E40"/>
    <mergeCell ref="D41:E41"/>
    <mergeCell ref="D42:E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dimension ref="A1:O40"/>
  <sheetViews>
    <sheetView workbookViewId="0">
      <pane ySplit="2" topLeftCell="A4" activePane="bottomLeft" state="frozen"/>
      <selection pane="bottomLeft" activeCell="O42" sqref="O42"/>
    </sheetView>
  </sheetViews>
  <sheetFormatPr defaultRowHeight="15"/>
  <cols>
    <col min="1" max="1" width="6.140625" bestFit="1" customWidth="1"/>
    <col min="2" max="2" width="11.85546875" style="127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353" bestFit="1" customWidth="1"/>
    <col min="8" max="8" width="10.85546875" bestFit="1" customWidth="1"/>
    <col min="9" max="9" width="8.140625" bestFit="1" customWidth="1"/>
    <col min="10" max="10" width="10.85546875" style="353" bestFit="1" customWidth="1"/>
    <col min="11" max="11" width="13.85546875" style="127" bestFit="1" customWidth="1"/>
    <col min="12" max="12" width="12.7109375" style="127" bestFit="1" customWidth="1"/>
    <col min="13" max="13" width="12.7109375" style="127" customWidth="1"/>
    <col min="14" max="14" width="14.140625" bestFit="1" customWidth="1"/>
    <col min="15" max="15" width="10.42578125" customWidth="1"/>
  </cols>
  <sheetData>
    <row r="1" spans="1:15" ht="15.75">
      <c r="A1" s="479" t="s">
        <v>50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96"/>
    </row>
    <row r="2" spans="1:15">
      <c r="A2" s="97" t="s">
        <v>58</v>
      </c>
      <c r="B2" s="98" t="s">
        <v>59</v>
      </c>
      <c r="C2" s="98" t="s">
        <v>60</v>
      </c>
      <c r="D2" s="98" t="s">
        <v>61</v>
      </c>
      <c r="E2" s="156" t="s">
        <v>62</v>
      </c>
      <c r="F2" s="156" t="s">
        <v>63</v>
      </c>
      <c r="G2" s="344" t="s">
        <v>64</v>
      </c>
      <c r="H2" s="156" t="s">
        <v>65</v>
      </c>
      <c r="I2" s="156" t="s">
        <v>63</v>
      </c>
      <c r="J2" s="354" t="s">
        <v>64</v>
      </c>
      <c r="K2" s="157" t="s">
        <v>66</v>
      </c>
      <c r="L2" s="216" t="s">
        <v>67</v>
      </c>
      <c r="M2" s="221" t="s">
        <v>68</v>
      </c>
      <c r="N2" s="158" t="s">
        <v>69</v>
      </c>
      <c r="O2" s="103"/>
    </row>
    <row r="3" spans="1:15">
      <c r="A3" s="214"/>
      <c r="B3"/>
      <c r="D3" s="154" t="s">
        <v>70</v>
      </c>
      <c r="E3" s="23"/>
      <c r="F3" s="23"/>
      <c r="G3" s="345"/>
      <c r="H3" s="23"/>
      <c r="I3" s="23"/>
      <c r="J3" s="345"/>
      <c r="K3" s="16">
        <v>278314</v>
      </c>
      <c r="L3" s="23"/>
      <c r="M3" s="169">
        <f>+K3</f>
        <v>278314</v>
      </c>
      <c r="N3" s="23"/>
      <c r="O3" s="103"/>
    </row>
    <row r="4" spans="1:15">
      <c r="A4" s="116">
        <v>1</v>
      </c>
      <c r="B4" s="74" t="s">
        <v>162</v>
      </c>
      <c r="C4" s="14"/>
      <c r="D4" s="15"/>
      <c r="E4" s="18">
        <v>0</v>
      </c>
      <c r="F4" s="18">
        <v>89.49</v>
      </c>
      <c r="G4" s="346">
        <f>E4*F4</f>
        <v>0</v>
      </c>
      <c r="H4" s="218">
        <v>0</v>
      </c>
      <c r="I4" s="218">
        <v>103.42</v>
      </c>
      <c r="J4" s="355">
        <f>H4*I4</f>
        <v>0</v>
      </c>
      <c r="K4" s="26">
        <f>G4+J4</f>
        <v>0</v>
      </c>
      <c r="L4" s="219">
        <v>270815</v>
      </c>
      <c r="M4" s="219">
        <f>M3+K4-L4</f>
        <v>7499</v>
      </c>
      <c r="N4" s="220" t="s">
        <v>155</v>
      </c>
      <c r="O4" s="117"/>
    </row>
    <row r="5" spans="1:15">
      <c r="A5" s="118">
        <f>A4+1</f>
        <v>2</v>
      </c>
      <c r="B5" s="74" t="s">
        <v>163</v>
      </c>
      <c r="C5" s="14"/>
      <c r="D5" s="14"/>
      <c r="E5" s="18">
        <v>584.57000000000005</v>
      </c>
      <c r="F5" s="18">
        <v>89.49</v>
      </c>
      <c r="G5" s="347">
        <f>E5*F5</f>
        <v>52313.169300000001</v>
      </c>
      <c r="H5" s="18">
        <v>11</v>
      </c>
      <c r="I5" s="18">
        <v>103.42</v>
      </c>
      <c r="J5" s="356">
        <f>H5*I5</f>
        <v>1137.6200000000001</v>
      </c>
      <c r="K5" s="7">
        <f>G5+J5</f>
        <v>53450.789300000004</v>
      </c>
      <c r="L5" s="19"/>
      <c r="M5" s="219">
        <f>M4+K5-L5</f>
        <v>60949.789300000004</v>
      </c>
      <c r="N5" s="16"/>
      <c r="O5" s="117"/>
    </row>
    <row r="6" spans="1:15">
      <c r="A6" s="118">
        <f>A5+1</f>
        <v>3</v>
      </c>
      <c r="B6" s="75" t="s">
        <v>164</v>
      </c>
      <c r="C6" s="14"/>
      <c r="D6" s="14"/>
      <c r="E6" s="18">
        <v>285</v>
      </c>
      <c r="F6" s="18">
        <v>89.49</v>
      </c>
      <c r="G6" s="347">
        <f>E6*F6</f>
        <v>25504.649999999998</v>
      </c>
      <c r="H6" s="18">
        <v>10</v>
      </c>
      <c r="I6" s="18">
        <v>103.42</v>
      </c>
      <c r="J6" s="356">
        <f>H6*I6</f>
        <v>1034.2</v>
      </c>
      <c r="K6" s="7">
        <f>G6+J6</f>
        <v>26538.85</v>
      </c>
      <c r="L6" s="20"/>
      <c r="M6" s="219">
        <f>M5+K6-L6</f>
        <v>87488.63930000001</v>
      </c>
      <c r="N6" s="17"/>
      <c r="O6" s="117"/>
    </row>
    <row r="7" spans="1:15">
      <c r="A7" s="116">
        <v>4</v>
      </c>
      <c r="B7" s="75" t="s">
        <v>165</v>
      </c>
      <c r="C7" s="119"/>
      <c r="D7" s="120"/>
      <c r="E7" s="18">
        <v>0</v>
      </c>
      <c r="F7" s="18">
        <v>0</v>
      </c>
      <c r="G7" s="347">
        <f>E7*F7</f>
        <v>0</v>
      </c>
      <c r="H7" s="18">
        <v>33.93</v>
      </c>
      <c r="I7" s="18">
        <v>103.42</v>
      </c>
      <c r="J7" s="356">
        <f>H7*I7</f>
        <v>3509.0405999999998</v>
      </c>
      <c r="K7" s="7">
        <f>G7+J7</f>
        <v>3509.0405999999998</v>
      </c>
      <c r="L7" s="9"/>
      <c r="M7" s="219">
        <f>M6+K7-L7</f>
        <v>90997.679900000003</v>
      </c>
      <c r="N7" s="70"/>
      <c r="O7" s="117"/>
    </row>
    <row r="8" spans="1:15">
      <c r="A8" s="118">
        <v>5</v>
      </c>
      <c r="B8" s="75" t="s">
        <v>166</v>
      </c>
      <c r="C8" s="119"/>
      <c r="D8" s="120"/>
      <c r="E8" s="18">
        <v>120.6</v>
      </c>
      <c r="F8" s="18">
        <v>89.49</v>
      </c>
      <c r="G8" s="347">
        <f>E8*F8</f>
        <v>10792.493999999999</v>
      </c>
      <c r="H8" s="18">
        <v>0</v>
      </c>
      <c r="I8" s="18">
        <v>0</v>
      </c>
      <c r="J8" s="356">
        <f>H8*I8</f>
        <v>0</v>
      </c>
      <c r="K8" s="7">
        <f>G8+J8</f>
        <v>10792.493999999999</v>
      </c>
      <c r="L8" s="9"/>
      <c r="M8" s="219">
        <f>M7+K8-L8</f>
        <v>101790.17389999999</v>
      </c>
      <c r="N8" s="70"/>
      <c r="O8" s="117"/>
    </row>
    <row r="9" spans="1:15">
      <c r="A9" s="118">
        <v>6</v>
      </c>
      <c r="B9" s="75" t="s">
        <v>167</v>
      </c>
      <c r="C9" s="119"/>
      <c r="D9" s="120"/>
      <c r="E9" s="18">
        <v>33.44</v>
      </c>
      <c r="F9" s="18">
        <v>89.49</v>
      </c>
      <c r="G9" s="347">
        <f>E9*F9</f>
        <v>2992.5455999999995</v>
      </c>
      <c r="H9" s="18">
        <v>20</v>
      </c>
      <c r="I9" s="18">
        <v>103.42</v>
      </c>
      <c r="J9" s="356">
        <f>H9*I9</f>
        <v>2068.4</v>
      </c>
      <c r="K9" s="7">
        <f>G9+J9</f>
        <v>5060.9455999999991</v>
      </c>
      <c r="L9" s="9"/>
      <c r="M9" s="219">
        <f>M8+K9-L9</f>
        <v>106851.1195</v>
      </c>
      <c r="N9" s="70"/>
      <c r="O9" s="117"/>
    </row>
    <row r="10" spans="1:15">
      <c r="A10" s="116">
        <v>7</v>
      </c>
      <c r="B10" s="75" t="s">
        <v>168</v>
      </c>
      <c r="C10" s="119"/>
      <c r="D10" s="120"/>
      <c r="E10" s="18">
        <v>252.61</v>
      </c>
      <c r="F10" s="18">
        <v>89.49</v>
      </c>
      <c r="G10" s="347">
        <f>E10*F10</f>
        <v>22606.068899999998</v>
      </c>
      <c r="H10" s="18">
        <v>11</v>
      </c>
      <c r="I10" s="18">
        <v>110.93</v>
      </c>
      <c r="J10" s="356">
        <f>H10*I10</f>
        <v>1220.23</v>
      </c>
      <c r="K10" s="7">
        <f>G10+J10</f>
        <v>23826.298899999998</v>
      </c>
      <c r="L10" s="9"/>
      <c r="M10" s="219">
        <f>M9+K10-L10</f>
        <v>130677.4184</v>
      </c>
      <c r="N10" s="70"/>
      <c r="O10" s="117"/>
    </row>
    <row r="11" spans="1:15">
      <c r="A11" s="118">
        <v>8</v>
      </c>
      <c r="B11" s="75" t="s">
        <v>169</v>
      </c>
      <c r="C11" s="119"/>
      <c r="D11" s="120"/>
      <c r="E11" s="18">
        <v>127</v>
      </c>
      <c r="F11" s="18">
        <v>89.49</v>
      </c>
      <c r="G11" s="347">
        <f>E11*F11</f>
        <v>11365.23</v>
      </c>
      <c r="H11" s="18">
        <v>27.87</v>
      </c>
      <c r="I11" s="18">
        <v>103.42</v>
      </c>
      <c r="J11" s="356">
        <f>H11*I11</f>
        <v>2882.3154</v>
      </c>
      <c r="K11" s="7">
        <f>G11+J11</f>
        <v>14247.545399999999</v>
      </c>
      <c r="L11" s="9"/>
      <c r="M11" s="219">
        <f>M10+K11-L11</f>
        <v>144924.9638</v>
      </c>
      <c r="N11" s="70"/>
      <c r="O11" s="117"/>
    </row>
    <row r="12" spans="1:15">
      <c r="A12" s="118">
        <f>A11+1</f>
        <v>9</v>
      </c>
      <c r="B12" s="75" t="s">
        <v>170</v>
      </c>
      <c r="C12" s="119"/>
      <c r="D12" s="120"/>
      <c r="E12" s="18">
        <v>77.67</v>
      </c>
      <c r="F12" s="18">
        <v>89.49</v>
      </c>
      <c r="G12" s="347">
        <f>E12*F12</f>
        <v>6950.6882999999998</v>
      </c>
      <c r="H12" s="18">
        <v>0</v>
      </c>
      <c r="I12" s="18">
        <v>0</v>
      </c>
      <c r="J12" s="356">
        <f>H12*I12</f>
        <v>0</v>
      </c>
      <c r="K12" s="7">
        <f>G12+J12</f>
        <v>6950.6882999999998</v>
      </c>
      <c r="L12" s="9"/>
      <c r="M12" s="219">
        <f>M11+K12-L12</f>
        <v>151875.65210000001</v>
      </c>
      <c r="N12" s="70"/>
      <c r="O12" s="117"/>
    </row>
    <row r="13" spans="1:15">
      <c r="A13" s="116">
        <v>10</v>
      </c>
      <c r="B13" s="75" t="s">
        <v>171</v>
      </c>
      <c r="C13" s="119"/>
      <c r="D13" s="120"/>
      <c r="E13" s="18">
        <v>462.03</v>
      </c>
      <c r="F13" s="18">
        <v>89.49</v>
      </c>
      <c r="G13" s="347">
        <f>E13*F13</f>
        <v>41347.064699999995</v>
      </c>
      <c r="H13" s="18">
        <v>20</v>
      </c>
      <c r="I13" s="18">
        <v>103.42</v>
      </c>
      <c r="J13" s="356">
        <f>H13*I13</f>
        <v>2068.4</v>
      </c>
      <c r="K13" s="7">
        <f>G13+J13</f>
        <v>43415.464699999997</v>
      </c>
      <c r="L13" s="9"/>
      <c r="M13" s="219">
        <f>M12+K13-L13</f>
        <v>195291.11680000002</v>
      </c>
      <c r="N13" s="70"/>
      <c r="O13" s="117"/>
    </row>
    <row r="14" spans="1:15">
      <c r="A14" s="118">
        <v>11</v>
      </c>
      <c r="B14" s="75" t="s">
        <v>172</v>
      </c>
      <c r="C14" s="119"/>
      <c r="D14" s="120"/>
      <c r="E14" s="18">
        <v>20</v>
      </c>
      <c r="F14" s="18">
        <v>89.49</v>
      </c>
      <c r="G14" s="347">
        <f>E14*F14</f>
        <v>1789.8</v>
      </c>
      <c r="H14" s="18">
        <v>0</v>
      </c>
      <c r="I14" s="18">
        <v>0</v>
      </c>
      <c r="J14" s="356">
        <f>H14*I14</f>
        <v>0</v>
      </c>
      <c r="K14" s="7">
        <f>G14+J14</f>
        <v>1789.8</v>
      </c>
      <c r="L14" s="9"/>
      <c r="M14" s="219">
        <f>M13+K14-L14</f>
        <v>197080.91680000001</v>
      </c>
      <c r="N14" s="70"/>
      <c r="O14" s="117"/>
    </row>
    <row r="15" spans="1:15">
      <c r="A15" s="118">
        <f>A14+1</f>
        <v>12</v>
      </c>
      <c r="B15" s="75" t="s">
        <v>173</v>
      </c>
      <c r="C15" s="119"/>
      <c r="D15" s="120"/>
      <c r="E15" s="18">
        <v>78.92</v>
      </c>
      <c r="F15" s="18">
        <v>89.49</v>
      </c>
      <c r="G15" s="347">
        <f>E15*F15</f>
        <v>7062.5508</v>
      </c>
      <c r="H15" s="18">
        <v>27.86</v>
      </c>
      <c r="I15" s="18">
        <v>103.42</v>
      </c>
      <c r="J15" s="356">
        <f>H15*I15</f>
        <v>2881.2811999999999</v>
      </c>
      <c r="K15" s="7">
        <f>G15+J15</f>
        <v>9943.8320000000003</v>
      </c>
      <c r="L15" s="9"/>
      <c r="M15" s="219">
        <f>M14+K15-L15</f>
        <v>207024.7488</v>
      </c>
      <c r="N15" s="70"/>
      <c r="O15" s="117"/>
    </row>
    <row r="16" spans="1:15">
      <c r="A16" s="116">
        <v>13</v>
      </c>
      <c r="B16" s="75" t="s">
        <v>173</v>
      </c>
      <c r="C16" s="119"/>
      <c r="D16" s="120"/>
      <c r="E16" s="18">
        <v>0</v>
      </c>
      <c r="F16" s="18">
        <v>89.49</v>
      </c>
      <c r="G16" s="347">
        <f>E16*F16</f>
        <v>0</v>
      </c>
      <c r="H16" s="18">
        <v>5</v>
      </c>
      <c r="I16" s="18">
        <v>103.42</v>
      </c>
      <c r="J16" s="356">
        <f>H16*I16</f>
        <v>517.1</v>
      </c>
      <c r="K16" s="7">
        <f>G16+J16</f>
        <v>517.1</v>
      </c>
      <c r="L16" s="9"/>
      <c r="M16" s="219">
        <f>M15+K16-L16</f>
        <v>207541.84880000001</v>
      </c>
      <c r="N16" s="70"/>
      <c r="O16" s="117"/>
    </row>
    <row r="17" spans="1:15">
      <c r="A17" s="118">
        <f>A16+1</f>
        <v>14</v>
      </c>
      <c r="B17" s="75" t="s">
        <v>174</v>
      </c>
      <c r="C17" s="119"/>
      <c r="D17" s="120"/>
      <c r="E17" s="18">
        <v>200</v>
      </c>
      <c r="F17" s="18">
        <v>89.49</v>
      </c>
      <c r="G17" s="347">
        <f>E17*F17</f>
        <v>17898</v>
      </c>
      <c r="H17" s="18">
        <v>0</v>
      </c>
      <c r="I17" s="18">
        <v>0</v>
      </c>
      <c r="J17" s="356">
        <f>H17*I17</f>
        <v>0</v>
      </c>
      <c r="K17" s="7">
        <f>G17+J17</f>
        <v>17898</v>
      </c>
      <c r="L17" s="9"/>
      <c r="M17" s="219">
        <f>M16+K17-L17</f>
        <v>225439.84880000001</v>
      </c>
      <c r="N17" s="70"/>
      <c r="O17" s="117"/>
    </row>
    <row r="18" spans="1:15">
      <c r="A18" s="118">
        <f>A17+1</f>
        <v>15</v>
      </c>
      <c r="B18" s="75" t="s">
        <v>175</v>
      </c>
      <c r="C18" s="119"/>
      <c r="D18" s="120"/>
      <c r="E18" s="18">
        <v>151.84</v>
      </c>
      <c r="F18" s="18">
        <v>89.49</v>
      </c>
      <c r="G18" s="347">
        <f>E18*F18</f>
        <v>13588.161599999999</v>
      </c>
      <c r="H18" s="18">
        <v>0</v>
      </c>
      <c r="I18" s="18">
        <v>0</v>
      </c>
      <c r="J18" s="356">
        <f>H18*I18</f>
        <v>0</v>
      </c>
      <c r="K18" s="7">
        <f>G18+J18</f>
        <v>13588.161599999999</v>
      </c>
      <c r="L18" s="9"/>
      <c r="M18" s="219">
        <f>M17+K18-L18</f>
        <v>239028.0104</v>
      </c>
      <c r="N18" s="70"/>
      <c r="O18" s="117"/>
    </row>
    <row r="19" spans="1:15">
      <c r="A19" s="116">
        <v>16</v>
      </c>
      <c r="B19" s="75" t="s">
        <v>176</v>
      </c>
      <c r="C19" s="119"/>
      <c r="D19" s="120"/>
      <c r="E19" s="18">
        <v>0</v>
      </c>
      <c r="F19" s="18">
        <v>89.49</v>
      </c>
      <c r="G19" s="347">
        <f>E19*F19</f>
        <v>0</v>
      </c>
      <c r="H19" s="18">
        <v>63</v>
      </c>
      <c r="I19" s="18">
        <v>103.42</v>
      </c>
      <c r="J19" s="356">
        <f>H19*I19</f>
        <v>6515.46</v>
      </c>
      <c r="K19" s="7">
        <f>G19+J19</f>
        <v>6515.46</v>
      </c>
      <c r="L19" s="9"/>
      <c r="M19" s="219">
        <f>M18+K19-L19</f>
        <v>245543.47039999999</v>
      </c>
      <c r="N19" s="70"/>
      <c r="O19" s="117"/>
    </row>
    <row r="20" spans="1:15">
      <c r="A20" s="118">
        <f>A19+1</f>
        <v>17</v>
      </c>
      <c r="B20" s="75" t="s">
        <v>177</v>
      </c>
      <c r="C20" s="119"/>
      <c r="D20" s="120"/>
      <c r="E20" s="18">
        <v>318.8</v>
      </c>
      <c r="F20" s="18">
        <v>89.49</v>
      </c>
      <c r="G20" s="347">
        <f>E20*F20</f>
        <v>28529.412</v>
      </c>
      <c r="H20" s="18">
        <v>5</v>
      </c>
      <c r="I20" s="18">
        <v>110.93</v>
      </c>
      <c r="J20" s="356">
        <f>H20*I20</f>
        <v>554.65000000000009</v>
      </c>
      <c r="K20" s="7">
        <f>G20+J20</f>
        <v>29084.062000000002</v>
      </c>
      <c r="L20" s="9"/>
      <c r="M20" s="219">
        <f>M19+K20-L20</f>
        <v>274627.53239999997</v>
      </c>
      <c r="N20" s="70"/>
      <c r="O20" s="117"/>
    </row>
    <row r="21" spans="1:15">
      <c r="A21" s="116">
        <v>18</v>
      </c>
      <c r="B21" s="75" t="s">
        <v>178</v>
      </c>
      <c r="C21" s="119"/>
      <c r="D21" s="120"/>
      <c r="E21" s="9">
        <v>200</v>
      </c>
      <c r="F21" s="18">
        <v>89.49</v>
      </c>
      <c r="G21" s="347">
        <f>E21*F21</f>
        <v>17898</v>
      </c>
      <c r="H21" s="7">
        <v>5</v>
      </c>
      <c r="I21" s="18">
        <v>103.42</v>
      </c>
      <c r="J21" s="356">
        <f>H21*I21</f>
        <v>517.1</v>
      </c>
      <c r="K21" s="9">
        <f>G21+J21</f>
        <v>18415.099999999999</v>
      </c>
      <c r="L21" s="9"/>
      <c r="M21" s="219">
        <f>M20+K21-L21</f>
        <v>293042.63239999994</v>
      </c>
      <c r="N21" s="70"/>
      <c r="O21" s="117"/>
    </row>
    <row r="22" spans="1:15">
      <c r="A22" s="118">
        <f>A21+1</f>
        <v>19</v>
      </c>
      <c r="B22" s="75" t="s">
        <v>179</v>
      </c>
      <c r="C22" s="119"/>
      <c r="D22" s="120"/>
      <c r="E22" s="9">
        <v>87.71</v>
      </c>
      <c r="F22" s="18">
        <v>89.49</v>
      </c>
      <c r="G22" s="347">
        <f>E22*F22</f>
        <v>7849.1678999999986</v>
      </c>
      <c r="H22" s="7">
        <v>10</v>
      </c>
      <c r="I22" s="18">
        <v>103.42</v>
      </c>
      <c r="J22" s="356">
        <f>H22*I22</f>
        <v>1034.2</v>
      </c>
      <c r="K22" s="9">
        <f>G22+J22</f>
        <v>8883.3678999999993</v>
      </c>
      <c r="L22" s="9"/>
      <c r="M22" s="219">
        <f>M21+K22-L22</f>
        <v>301926.00029999996</v>
      </c>
      <c r="N22" s="70"/>
      <c r="O22" s="117"/>
    </row>
    <row r="23" spans="1:15">
      <c r="A23" s="116">
        <v>20</v>
      </c>
      <c r="B23" s="75" t="s">
        <v>180</v>
      </c>
      <c r="C23" s="119"/>
      <c r="D23" s="120"/>
      <c r="E23" s="9">
        <v>32</v>
      </c>
      <c r="F23" s="18">
        <v>89.49</v>
      </c>
      <c r="G23" s="347">
        <f>E23*F23</f>
        <v>2863.68</v>
      </c>
      <c r="H23" s="7">
        <v>10</v>
      </c>
      <c r="I23" s="149">
        <v>110.93</v>
      </c>
      <c r="J23" s="356">
        <f>H23*I23</f>
        <v>1109.3000000000002</v>
      </c>
      <c r="K23" s="9">
        <f>G23+J23</f>
        <v>3972.98</v>
      </c>
      <c r="L23" s="9"/>
      <c r="M23" s="219">
        <f>M22+K23-L23</f>
        <v>305898.98029999994</v>
      </c>
      <c r="N23" s="70"/>
      <c r="O23" s="117"/>
    </row>
    <row r="24" spans="1:15">
      <c r="A24" s="374">
        <f>A23+1</f>
        <v>21</v>
      </c>
      <c r="B24" s="375" t="s">
        <v>151</v>
      </c>
      <c r="C24" s="376"/>
      <c r="D24" s="377"/>
      <c r="E24" s="340">
        <v>707.02</v>
      </c>
      <c r="F24" s="341">
        <v>89.49</v>
      </c>
      <c r="G24" s="348">
        <f>E24*F24</f>
        <v>63271.219799999992</v>
      </c>
      <c r="H24" s="309">
        <v>0</v>
      </c>
      <c r="I24" s="309">
        <v>0</v>
      </c>
      <c r="J24" s="357">
        <f>H24*I24</f>
        <v>0</v>
      </c>
      <c r="K24" s="340">
        <f>G24+J24</f>
        <v>63271.219799999992</v>
      </c>
      <c r="L24" s="340">
        <v>239029</v>
      </c>
      <c r="M24" s="342">
        <f>M23+K24-L24</f>
        <v>130141.2000999999</v>
      </c>
      <c r="N24" s="70"/>
      <c r="O24" s="117"/>
    </row>
    <row r="25" spans="1:15">
      <c r="A25" s="135">
        <v>22</v>
      </c>
      <c r="B25" s="373" t="s">
        <v>133</v>
      </c>
      <c r="C25" s="113"/>
      <c r="D25" s="120"/>
      <c r="E25" s="9">
        <v>0</v>
      </c>
      <c r="F25" s="87">
        <v>89.49</v>
      </c>
      <c r="G25" s="349">
        <f>E25*F25</f>
        <v>0</v>
      </c>
      <c r="H25" s="9">
        <v>15</v>
      </c>
      <c r="I25" s="9">
        <v>103.42</v>
      </c>
      <c r="J25" s="349">
        <f>H25*I25</f>
        <v>1551.3</v>
      </c>
      <c r="K25" s="9">
        <f>G25+J25</f>
        <v>1551.3</v>
      </c>
      <c r="L25" s="9"/>
      <c r="M25" s="114">
        <f>M24+K25-L25</f>
        <v>131692.50009999989</v>
      </c>
      <c r="N25" s="339"/>
      <c r="O25" s="117"/>
    </row>
    <row r="26" spans="1:15">
      <c r="A26" s="135">
        <v>23</v>
      </c>
      <c r="B26" s="373" t="s">
        <v>134</v>
      </c>
      <c r="C26" s="113"/>
      <c r="D26" s="120"/>
      <c r="E26" s="9">
        <v>258.04000000000002</v>
      </c>
      <c r="F26" s="87">
        <v>89.49</v>
      </c>
      <c r="G26" s="349">
        <f>E26*F26</f>
        <v>23091.999599999999</v>
      </c>
      <c r="H26" s="9">
        <v>5</v>
      </c>
      <c r="I26" s="9">
        <v>103.42</v>
      </c>
      <c r="J26" s="349">
        <f>H26*I26</f>
        <v>517.1</v>
      </c>
      <c r="K26" s="9">
        <f>G26+J26</f>
        <v>23609.099599999998</v>
      </c>
      <c r="L26" s="9"/>
      <c r="M26" s="114">
        <f>M25+K26-L26</f>
        <v>155301.59969999988</v>
      </c>
      <c r="N26" s="339"/>
      <c r="O26" s="117"/>
    </row>
    <row r="27" spans="1:15">
      <c r="A27" s="374">
        <f>A26+1</f>
        <v>24</v>
      </c>
      <c r="B27" s="373" t="s">
        <v>135</v>
      </c>
      <c r="C27" s="113"/>
      <c r="D27" s="120"/>
      <c r="E27" s="9">
        <v>394.01</v>
      </c>
      <c r="F27" s="87">
        <v>89.49</v>
      </c>
      <c r="G27" s="349">
        <f>E27*F27</f>
        <v>35259.954899999997</v>
      </c>
      <c r="H27" s="9">
        <v>16</v>
      </c>
      <c r="I27" s="9">
        <v>103.42</v>
      </c>
      <c r="J27" s="349">
        <f>H27*I27</f>
        <v>1654.72</v>
      </c>
      <c r="K27" s="9">
        <f>G27+J27</f>
        <v>36914.674899999998</v>
      </c>
      <c r="L27" s="9"/>
      <c r="M27" s="114">
        <f>M26+K27-L27</f>
        <v>192216.27459999989</v>
      </c>
      <c r="N27" s="339"/>
      <c r="O27" s="117"/>
    </row>
    <row r="28" spans="1:15">
      <c r="A28" s="135">
        <v>25</v>
      </c>
      <c r="B28" s="373" t="s">
        <v>136</v>
      </c>
      <c r="C28" s="113"/>
      <c r="D28" s="120"/>
      <c r="E28" s="9">
        <v>15</v>
      </c>
      <c r="F28" s="87">
        <v>89.49</v>
      </c>
      <c r="G28" s="349">
        <f>E28*F28</f>
        <v>1342.35</v>
      </c>
      <c r="H28" s="9">
        <v>6</v>
      </c>
      <c r="I28" s="9">
        <v>103.42</v>
      </c>
      <c r="J28" s="349">
        <f>H28*I28</f>
        <v>620.52</v>
      </c>
      <c r="K28" s="9">
        <f>G28+J28</f>
        <v>1962.87</v>
      </c>
      <c r="L28" s="9"/>
      <c r="M28" s="114">
        <f>M27+K28-L28</f>
        <v>194179.14459999988</v>
      </c>
      <c r="N28" s="339"/>
      <c r="O28" s="117"/>
    </row>
    <row r="29" spans="1:15">
      <c r="A29" s="135">
        <v>26</v>
      </c>
      <c r="B29" s="373" t="s">
        <v>137</v>
      </c>
      <c r="C29" s="113"/>
      <c r="D29" s="120"/>
      <c r="E29" s="9">
        <v>130</v>
      </c>
      <c r="F29" s="87">
        <v>89.49</v>
      </c>
      <c r="G29" s="349">
        <f>E29*F29</f>
        <v>11633.699999999999</v>
      </c>
      <c r="H29" s="9">
        <v>5</v>
      </c>
      <c r="I29" s="9">
        <v>103.42</v>
      </c>
      <c r="J29" s="349">
        <f>H29*I29</f>
        <v>517.1</v>
      </c>
      <c r="K29" s="340">
        <f>G29+J29</f>
        <v>12150.8</v>
      </c>
      <c r="L29" s="9"/>
      <c r="M29" s="114">
        <f>M28+K29-L29</f>
        <v>206329.94459999987</v>
      </c>
      <c r="N29" s="339"/>
      <c r="O29" s="117"/>
    </row>
    <row r="30" spans="1:15">
      <c r="A30" s="135">
        <v>27</v>
      </c>
      <c r="B30" s="373" t="s">
        <v>152</v>
      </c>
      <c r="C30" s="113"/>
      <c r="D30" s="120"/>
      <c r="E30" s="9">
        <v>746.77</v>
      </c>
      <c r="F30" s="87">
        <v>89.49</v>
      </c>
      <c r="G30" s="349">
        <f>E30*F30</f>
        <v>66828.4473</v>
      </c>
      <c r="H30" s="9">
        <v>34.01</v>
      </c>
      <c r="I30" s="9">
        <v>103.42</v>
      </c>
      <c r="J30" s="399">
        <f>H30*I30</f>
        <v>3517.3141999999998</v>
      </c>
      <c r="K30" s="9">
        <f>G30+J30</f>
        <v>70345.761499999993</v>
      </c>
      <c r="L30" s="390"/>
      <c r="M30" s="114">
        <f>M29+K30-L30</f>
        <v>276675.70609999984</v>
      </c>
      <c r="N30" s="339"/>
      <c r="O30" s="117"/>
    </row>
    <row r="31" spans="1:15">
      <c r="A31" s="135">
        <v>28</v>
      </c>
      <c r="B31" s="373" t="s">
        <v>139</v>
      </c>
      <c r="C31" s="113"/>
      <c r="D31" s="120"/>
      <c r="E31" s="9">
        <v>871.1</v>
      </c>
      <c r="F31" s="87">
        <v>89.49</v>
      </c>
      <c r="G31" s="349">
        <f>E31*F31</f>
        <v>77954.739000000001</v>
      </c>
      <c r="H31" s="9">
        <v>10</v>
      </c>
      <c r="I31" s="9">
        <v>103.42</v>
      </c>
      <c r="J31" s="399">
        <f>H31*I31</f>
        <v>1034.2</v>
      </c>
      <c r="K31" s="9">
        <f>G31+J31</f>
        <v>78988.938999999998</v>
      </c>
      <c r="L31" s="390"/>
      <c r="M31" s="114">
        <f>M30+K31-L31</f>
        <v>355664.64509999985</v>
      </c>
      <c r="N31" s="339"/>
      <c r="O31" s="117"/>
    </row>
    <row r="32" spans="1:15">
      <c r="A32" s="135">
        <v>29</v>
      </c>
      <c r="B32" s="373" t="s">
        <v>140</v>
      </c>
      <c r="C32" s="113"/>
      <c r="D32" s="120"/>
      <c r="E32" s="9">
        <v>79.930000000000007</v>
      </c>
      <c r="F32" s="87">
        <v>89.49</v>
      </c>
      <c r="G32" s="349">
        <f>E32*F32</f>
        <v>7152.9357</v>
      </c>
      <c r="H32" s="349">
        <v>28.06</v>
      </c>
      <c r="I32" s="9">
        <v>103.42</v>
      </c>
      <c r="J32" s="399">
        <f>H32*I32</f>
        <v>2901.9652000000001</v>
      </c>
      <c r="K32" s="9">
        <f>G32+J32</f>
        <v>10054.900900000001</v>
      </c>
      <c r="L32" s="390"/>
      <c r="M32" s="114">
        <f>M31+K32-L32</f>
        <v>365719.54599999986</v>
      </c>
      <c r="N32" s="339"/>
      <c r="O32" s="117"/>
    </row>
    <row r="33" spans="1:15">
      <c r="A33" s="135">
        <v>30</v>
      </c>
      <c r="B33" s="373" t="s">
        <v>153</v>
      </c>
      <c r="C33" s="113"/>
      <c r="D33" s="120"/>
      <c r="E33" s="9">
        <v>470.53</v>
      </c>
      <c r="F33" s="87">
        <v>89.49</v>
      </c>
      <c r="G33" s="349">
        <f>E33*F33</f>
        <v>42107.729699999996</v>
      </c>
      <c r="H33" s="9"/>
      <c r="I33" s="9">
        <v>103.42</v>
      </c>
      <c r="J33" s="399">
        <f t="shared" ref="J33:J34" si="0">H33*I33</f>
        <v>0</v>
      </c>
      <c r="K33" s="9">
        <f>G33+J33</f>
        <v>42107.729699999996</v>
      </c>
      <c r="L33" s="9"/>
      <c r="M33" s="114">
        <f>M32+K33-L33</f>
        <v>407827.27569999988</v>
      </c>
      <c r="N33" s="339"/>
      <c r="O33" s="117"/>
    </row>
    <row r="34" spans="1:15">
      <c r="A34" s="193">
        <v>31</v>
      </c>
      <c r="B34" s="432" t="s">
        <v>154</v>
      </c>
      <c r="C34" s="194"/>
      <c r="D34" s="433"/>
      <c r="E34" s="25">
        <v>222.85</v>
      </c>
      <c r="F34" s="87">
        <v>89.49</v>
      </c>
      <c r="G34" s="349">
        <f>E34*F34</f>
        <v>19942.8465</v>
      </c>
      <c r="H34" s="25">
        <v>7</v>
      </c>
      <c r="I34" s="9">
        <v>103.42</v>
      </c>
      <c r="J34" s="399">
        <f t="shared" si="0"/>
        <v>723.94</v>
      </c>
      <c r="K34" s="9">
        <f>G34+J34</f>
        <v>20666.786499999998</v>
      </c>
      <c r="L34" s="25"/>
      <c r="M34" s="114">
        <f>M33+K34-L34</f>
        <v>428494.06219999987</v>
      </c>
      <c r="N34" s="339"/>
      <c r="O34" s="117"/>
    </row>
    <row r="35" spans="1:15">
      <c r="A35" s="193"/>
      <c r="B35" s="432"/>
      <c r="C35" s="194"/>
      <c r="D35" s="433"/>
      <c r="E35" s="25"/>
      <c r="F35" s="213"/>
      <c r="G35" s="434"/>
      <c r="H35" s="25"/>
      <c r="I35" s="25"/>
      <c r="J35" s="434"/>
      <c r="K35" s="25"/>
      <c r="L35" s="25"/>
      <c r="M35" s="196"/>
      <c r="N35" s="339"/>
      <c r="O35" s="117"/>
    </row>
    <row r="36" spans="1:15">
      <c r="A36" s="378"/>
      <c r="B36" s="378"/>
      <c r="C36" s="378"/>
      <c r="D36" s="378"/>
      <c r="E36" s="343">
        <f>SUM(E4:E35)</f>
        <v>6927.4400000000014</v>
      </c>
      <c r="F36" s="343"/>
      <c r="G36" s="343">
        <f>SUM(G4:G35)</f>
        <v>619936.60560000001</v>
      </c>
      <c r="H36" s="343">
        <f>SUM(H4:H35)</f>
        <v>385.73</v>
      </c>
      <c r="I36" s="343"/>
      <c r="J36" s="343">
        <f>SUM(J4:J35)</f>
        <v>40087.45659999999</v>
      </c>
      <c r="K36" s="343">
        <f>SUM(K4:K35)</f>
        <v>660024.06219999993</v>
      </c>
      <c r="L36" s="343">
        <f>SUM(L4:L35)</f>
        <v>509844</v>
      </c>
      <c r="M36" s="343"/>
      <c r="N36" s="121"/>
      <c r="O36" s="103"/>
    </row>
    <row r="37" spans="1:15">
      <c r="A37" s="122"/>
      <c r="B37" s="123"/>
      <c r="C37" s="122"/>
      <c r="D37" s="122"/>
      <c r="E37" s="124"/>
      <c r="F37" s="124"/>
      <c r="G37" s="350"/>
      <c r="H37" s="124"/>
      <c r="I37" s="124"/>
      <c r="J37" s="350"/>
      <c r="K37" s="125"/>
      <c r="L37" s="125"/>
      <c r="M37" s="125"/>
      <c r="N37" s="124"/>
      <c r="O37" s="117"/>
    </row>
    <row r="38" spans="1:15">
      <c r="A38" s="117"/>
      <c r="B38" s="103"/>
      <c r="C38" s="117"/>
      <c r="D38" s="117"/>
      <c r="E38" s="117"/>
      <c r="F38" s="117"/>
      <c r="G38" s="351"/>
      <c r="H38" s="117"/>
      <c r="I38" s="117"/>
      <c r="J38" s="352"/>
      <c r="K38" s="103"/>
      <c r="L38" s="103"/>
      <c r="M38" s="103"/>
      <c r="N38" s="117"/>
      <c r="O38" s="124"/>
    </row>
    <row r="39" spans="1:15">
      <c r="A39" s="117"/>
      <c r="B39" s="483"/>
      <c r="C39" s="483"/>
      <c r="D39" s="483"/>
      <c r="E39" s="483"/>
      <c r="F39" s="117"/>
      <c r="G39" s="352"/>
      <c r="H39" s="117"/>
      <c r="I39" s="483"/>
      <c r="J39" s="483"/>
      <c r="K39" s="483"/>
      <c r="L39" s="483"/>
      <c r="M39" s="483"/>
      <c r="N39" s="483"/>
      <c r="O39" s="124"/>
    </row>
    <row r="40" spans="1:15">
      <c r="A40" s="117"/>
      <c r="B40" s="103"/>
      <c r="C40" s="117"/>
      <c r="D40" s="117"/>
      <c r="E40" s="117"/>
      <c r="F40" s="117"/>
      <c r="G40" s="352"/>
      <c r="H40" s="117"/>
      <c r="I40" s="117"/>
      <c r="J40" s="352"/>
      <c r="K40" s="103"/>
      <c r="L40" s="103"/>
      <c r="M40" s="103"/>
      <c r="N40" s="117"/>
      <c r="O40" s="124"/>
    </row>
  </sheetData>
  <mergeCells count="3">
    <mergeCell ref="A1:N1"/>
    <mergeCell ref="B39:E39"/>
    <mergeCell ref="I39:N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" activePane="bottomLeft" state="frozen"/>
      <selection pane="bottomLeft" activeCell="Q40" sqref="Q40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8.7109375" style="5" bestFit="1" customWidth="1"/>
    <col min="15" max="16384" width="9.140625" style="5"/>
  </cols>
  <sheetData>
    <row r="1" spans="1:14" ht="15.75" customHeight="1">
      <c r="A1" s="501" t="s">
        <v>40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</row>
    <row r="2" spans="1:14">
      <c r="A2" s="110" t="s">
        <v>58</v>
      </c>
      <c r="B2" s="110" t="s">
        <v>59</v>
      </c>
      <c r="C2" s="110" t="s">
        <v>60</v>
      </c>
      <c r="D2" s="110" t="s">
        <v>61</v>
      </c>
      <c r="E2" s="146" t="s">
        <v>62</v>
      </c>
      <c r="F2" s="146" t="s">
        <v>63</v>
      </c>
      <c r="G2" s="146" t="s">
        <v>64</v>
      </c>
      <c r="H2" s="146" t="s">
        <v>65</v>
      </c>
      <c r="I2" s="146" t="s">
        <v>63</v>
      </c>
      <c r="J2" s="146" t="s">
        <v>64</v>
      </c>
      <c r="K2" s="146" t="s">
        <v>66</v>
      </c>
      <c r="L2" s="138" t="s">
        <v>67</v>
      </c>
      <c r="M2" s="138" t="s">
        <v>68</v>
      </c>
      <c r="N2" s="110" t="s">
        <v>69</v>
      </c>
    </row>
    <row r="3" spans="1:14">
      <c r="A3" s="502" t="s">
        <v>70</v>
      </c>
      <c r="B3" s="502"/>
      <c r="C3" s="502"/>
      <c r="D3" s="502"/>
      <c r="E3" s="502"/>
      <c r="F3" s="502"/>
      <c r="G3" s="502"/>
      <c r="H3" s="502"/>
      <c r="I3" s="502"/>
      <c r="J3" s="502"/>
      <c r="K3" s="311">
        <v>0</v>
      </c>
      <c r="L3" s="159"/>
      <c r="M3" s="159">
        <f>+K3</f>
        <v>0</v>
      </c>
    </row>
    <row r="4" spans="1:14">
      <c r="A4" s="6">
        <v>1</v>
      </c>
      <c r="B4" s="387">
        <v>45658</v>
      </c>
      <c r="C4" s="6"/>
      <c r="D4" s="6"/>
      <c r="E4" s="84">
        <v>0</v>
      </c>
      <c r="F4" s="84">
        <v>0</v>
      </c>
      <c r="G4" s="112">
        <f>E4*F4</f>
        <v>0</v>
      </c>
      <c r="H4" s="84">
        <v>0</v>
      </c>
      <c r="I4" s="84">
        <v>0</v>
      </c>
      <c r="J4" s="112">
        <f>H4*I4</f>
        <v>0</v>
      </c>
      <c r="K4" s="112">
        <f>G4+J4</f>
        <v>0</v>
      </c>
      <c r="L4" s="6"/>
      <c r="M4" s="112">
        <f>M3+K4-L4</f>
        <v>0</v>
      </c>
      <c r="N4" s="6"/>
    </row>
    <row r="5" spans="1:14">
      <c r="A5" s="6">
        <v>2</v>
      </c>
      <c r="B5" s="388">
        <v>45689</v>
      </c>
      <c r="C5" s="6"/>
      <c r="D5" s="6"/>
      <c r="E5" s="148">
        <v>80</v>
      </c>
      <c r="F5" s="148">
        <v>89.9</v>
      </c>
      <c r="G5" s="112">
        <f>E5*F5</f>
        <v>7192</v>
      </c>
      <c r="H5" s="148">
        <v>6.16</v>
      </c>
      <c r="I5" s="148">
        <v>103.96</v>
      </c>
      <c r="J5" s="112">
        <f>H5*I5</f>
        <v>640.39359999999999</v>
      </c>
      <c r="K5" s="112">
        <f>G5+J5</f>
        <v>7832.3936000000003</v>
      </c>
      <c r="L5" s="112">
        <v>7832.39</v>
      </c>
      <c r="M5" s="112">
        <f t="shared" ref="M5:M21" si="0">M4+K5-L5</f>
        <v>3.6000000000058208E-3</v>
      </c>
      <c r="N5" s="6" t="s">
        <v>181</v>
      </c>
    </row>
    <row r="6" spans="1:14">
      <c r="A6" s="6">
        <v>3</v>
      </c>
      <c r="B6" s="388">
        <v>45717</v>
      </c>
      <c r="C6" s="6"/>
      <c r="D6" s="6"/>
      <c r="E6" s="148">
        <v>26.7</v>
      </c>
      <c r="F6" s="148">
        <v>89.9</v>
      </c>
      <c r="G6" s="112">
        <f>E6*F6</f>
        <v>2400.33</v>
      </c>
      <c r="H6" s="148">
        <v>0</v>
      </c>
      <c r="I6" s="148">
        <v>0</v>
      </c>
      <c r="J6" s="112">
        <f>H6*I6</f>
        <v>0</v>
      </c>
      <c r="K6" s="112">
        <f>G6+J6</f>
        <v>2400.33</v>
      </c>
      <c r="L6" s="112">
        <v>2400.33</v>
      </c>
      <c r="M6" s="112">
        <f t="shared" si="0"/>
        <v>3.6000000000058208E-3</v>
      </c>
      <c r="N6" s="6" t="s">
        <v>181</v>
      </c>
    </row>
    <row r="7" spans="1:14">
      <c r="A7" s="6">
        <v>4</v>
      </c>
      <c r="B7" s="388">
        <v>45748</v>
      </c>
      <c r="C7" s="6"/>
      <c r="D7" s="6"/>
      <c r="E7" s="148">
        <v>0</v>
      </c>
      <c r="F7" s="148">
        <v>0</v>
      </c>
      <c r="G7" s="112">
        <f>E7*F7</f>
        <v>0</v>
      </c>
      <c r="H7" s="148">
        <v>0</v>
      </c>
      <c r="I7" s="148">
        <v>0</v>
      </c>
      <c r="J7" s="112">
        <f>H7*I7</f>
        <v>0</v>
      </c>
      <c r="K7" s="112">
        <f>G7+J7</f>
        <v>0</v>
      </c>
      <c r="L7" s="6"/>
      <c r="M7" s="112">
        <f t="shared" si="0"/>
        <v>3.6000000000058208E-3</v>
      </c>
      <c r="N7" s="6"/>
    </row>
    <row r="8" spans="1:14">
      <c r="A8" s="6">
        <v>5</v>
      </c>
      <c r="B8" s="388">
        <v>45778</v>
      </c>
      <c r="C8" s="6"/>
      <c r="D8" s="6"/>
      <c r="E8" s="148">
        <v>0</v>
      </c>
      <c r="F8" s="148">
        <v>0</v>
      </c>
      <c r="G8" s="112">
        <f>E8*F8</f>
        <v>0</v>
      </c>
      <c r="H8" s="148">
        <v>0</v>
      </c>
      <c r="I8" s="148">
        <v>0</v>
      </c>
      <c r="J8" s="112">
        <f>H8*I8</f>
        <v>0</v>
      </c>
      <c r="K8" s="112">
        <f>G8+J8</f>
        <v>0</v>
      </c>
      <c r="L8" s="6"/>
      <c r="M8" s="112">
        <f t="shared" si="0"/>
        <v>3.6000000000058208E-3</v>
      </c>
      <c r="N8" s="6"/>
    </row>
    <row r="9" spans="1:14">
      <c r="A9" s="6">
        <v>6</v>
      </c>
      <c r="B9" s="388">
        <v>45809</v>
      </c>
      <c r="C9" s="6"/>
      <c r="D9" s="6"/>
      <c r="E9" s="148">
        <v>100</v>
      </c>
      <c r="F9" s="148">
        <v>89.9</v>
      </c>
      <c r="G9" s="112">
        <f>E9*F9</f>
        <v>8990</v>
      </c>
      <c r="H9" s="148">
        <v>6.74</v>
      </c>
      <c r="I9" s="148">
        <v>103.96</v>
      </c>
      <c r="J9" s="112">
        <f>H9*I9</f>
        <v>700.69039999999995</v>
      </c>
      <c r="K9" s="112">
        <f>G9+J9</f>
        <v>9690.6903999999995</v>
      </c>
      <c r="L9" s="6">
        <v>9690.69</v>
      </c>
      <c r="M9" s="112">
        <f t="shared" si="0"/>
        <v>3.9999999989959178E-3</v>
      </c>
      <c r="N9" s="6" t="s">
        <v>181</v>
      </c>
    </row>
    <row r="10" spans="1:14">
      <c r="A10" s="6">
        <v>7</v>
      </c>
      <c r="B10" s="388">
        <v>45839</v>
      </c>
      <c r="C10" s="6"/>
      <c r="D10" s="6"/>
      <c r="E10" s="148">
        <v>105</v>
      </c>
      <c r="F10" s="148">
        <v>89.9</v>
      </c>
      <c r="G10" s="112">
        <f>E10*F10</f>
        <v>9439.5</v>
      </c>
      <c r="H10" s="148">
        <v>4.8099999999999996</v>
      </c>
      <c r="I10" s="148">
        <v>103.96</v>
      </c>
      <c r="J10" s="112">
        <f>H10*I10</f>
        <v>500.04759999999993</v>
      </c>
      <c r="K10" s="112">
        <f>G10+J10</f>
        <v>9939.5475999999999</v>
      </c>
      <c r="L10" s="6">
        <v>9939.5499999999993</v>
      </c>
      <c r="M10" s="112">
        <f t="shared" si="0"/>
        <v>1.5999999995983671E-3</v>
      </c>
      <c r="N10" s="6" t="s">
        <v>181</v>
      </c>
    </row>
    <row r="11" spans="1:14">
      <c r="A11" s="6">
        <v>8</v>
      </c>
      <c r="B11" s="388">
        <v>45839</v>
      </c>
      <c r="C11" s="6"/>
      <c r="D11" s="6"/>
      <c r="E11" s="148">
        <v>38.200000000000003</v>
      </c>
      <c r="F11" s="148">
        <v>89.48</v>
      </c>
      <c r="G11" s="112">
        <f>E11*F11</f>
        <v>3418.1360000000004</v>
      </c>
      <c r="H11" s="148">
        <v>0</v>
      </c>
      <c r="I11" s="148">
        <v>103.96</v>
      </c>
      <c r="J11" s="112">
        <f>H11*I11</f>
        <v>0</v>
      </c>
      <c r="K11" s="112">
        <f>G11+J11</f>
        <v>3418.1360000000004</v>
      </c>
      <c r="L11" s="6">
        <v>3418.14</v>
      </c>
      <c r="M11" s="112">
        <f t="shared" si="0"/>
        <v>-2.3999999998522981E-3</v>
      </c>
      <c r="N11" s="6" t="s">
        <v>182</v>
      </c>
    </row>
    <row r="12" spans="1:14">
      <c r="A12" s="6">
        <v>9</v>
      </c>
      <c r="B12" s="388">
        <v>45870</v>
      </c>
      <c r="C12" s="6"/>
      <c r="D12" s="6"/>
      <c r="E12" s="148">
        <v>40</v>
      </c>
      <c r="F12" s="148">
        <v>89.9</v>
      </c>
      <c r="G12" s="112">
        <f>E12*F12</f>
        <v>3596</v>
      </c>
      <c r="H12" s="148">
        <v>0</v>
      </c>
      <c r="I12" s="148">
        <v>103.96</v>
      </c>
      <c r="J12" s="112">
        <f>H12*I12</f>
        <v>0</v>
      </c>
      <c r="K12" s="112">
        <f>G12+J12</f>
        <v>3596</v>
      </c>
      <c r="L12" s="6">
        <v>3596</v>
      </c>
      <c r="M12" s="112">
        <f t="shared" si="0"/>
        <v>-2.3999999998522981E-3</v>
      </c>
      <c r="N12" s="6" t="s">
        <v>181</v>
      </c>
    </row>
    <row r="13" spans="1:14">
      <c r="A13" s="6">
        <v>10</v>
      </c>
      <c r="B13" s="388">
        <v>45870</v>
      </c>
      <c r="C13" s="6"/>
      <c r="D13" s="6"/>
      <c r="E13" s="148">
        <v>60</v>
      </c>
      <c r="F13" s="148">
        <v>89.9</v>
      </c>
      <c r="G13" s="112">
        <f>E13*F13</f>
        <v>5394</v>
      </c>
      <c r="H13" s="148">
        <v>0</v>
      </c>
      <c r="I13" s="148">
        <v>103.96</v>
      </c>
      <c r="J13" s="112">
        <f>H13*I13</f>
        <v>0</v>
      </c>
      <c r="K13" s="112">
        <f>G13+J13</f>
        <v>5394</v>
      </c>
      <c r="L13" s="6">
        <v>5394</v>
      </c>
      <c r="M13" s="112">
        <f t="shared" si="0"/>
        <v>-2.3999999993975507E-3</v>
      </c>
      <c r="N13" s="6" t="s">
        <v>181</v>
      </c>
    </row>
    <row r="14" spans="1:14">
      <c r="A14" s="6">
        <v>11</v>
      </c>
      <c r="B14" s="388">
        <v>45901</v>
      </c>
      <c r="C14" s="6"/>
      <c r="D14" s="6"/>
      <c r="E14" s="148">
        <v>100</v>
      </c>
      <c r="F14" s="148">
        <v>89.9</v>
      </c>
      <c r="G14" s="112">
        <f>E14*F14</f>
        <v>8990</v>
      </c>
      <c r="H14" s="148">
        <v>0</v>
      </c>
      <c r="I14" s="148">
        <v>103.96</v>
      </c>
      <c r="J14" s="112">
        <f>H14*I14</f>
        <v>0</v>
      </c>
      <c r="K14" s="112">
        <f>G14+J14</f>
        <v>8990</v>
      </c>
      <c r="L14" s="6">
        <v>8990</v>
      </c>
      <c r="M14" s="112">
        <f t="shared" si="0"/>
        <v>-2.3999999993975507E-3</v>
      </c>
      <c r="N14" s="6" t="s">
        <v>181</v>
      </c>
    </row>
    <row r="15" spans="1:14">
      <c r="A15" s="6">
        <v>12</v>
      </c>
      <c r="B15" s="388">
        <v>45931</v>
      </c>
      <c r="C15" s="6"/>
      <c r="D15" s="6"/>
      <c r="E15" s="148">
        <v>60</v>
      </c>
      <c r="F15" s="148">
        <v>89.9</v>
      </c>
      <c r="G15" s="112">
        <f>E15*F15</f>
        <v>5394</v>
      </c>
      <c r="H15" s="148">
        <v>5.83</v>
      </c>
      <c r="I15" s="148">
        <v>103.96</v>
      </c>
      <c r="J15" s="112">
        <f>H15*I15</f>
        <v>606.08679999999993</v>
      </c>
      <c r="K15" s="112">
        <f>G15+J15</f>
        <v>6000.0868</v>
      </c>
      <c r="L15" s="112">
        <v>6000.09</v>
      </c>
      <c r="M15" s="112">
        <f t="shared" si="0"/>
        <v>-5.5999999995037797E-3</v>
      </c>
      <c r="N15" s="6" t="s">
        <v>181</v>
      </c>
    </row>
    <row r="16" spans="1:14">
      <c r="A16" s="6">
        <v>13</v>
      </c>
      <c r="B16" s="388">
        <v>45962</v>
      </c>
      <c r="C16" s="6"/>
      <c r="D16" s="6"/>
      <c r="E16" s="148">
        <v>80</v>
      </c>
      <c r="F16" s="148">
        <v>89.9</v>
      </c>
      <c r="G16" s="112">
        <f>E16*F16</f>
        <v>7192</v>
      </c>
      <c r="H16" s="148">
        <v>0</v>
      </c>
      <c r="I16" s="148">
        <v>103.96</v>
      </c>
      <c r="J16" s="112">
        <f>H16*I16</f>
        <v>0</v>
      </c>
      <c r="K16" s="112">
        <f>G16+J16</f>
        <v>7192</v>
      </c>
      <c r="L16" s="6">
        <v>7192</v>
      </c>
      <c r="M16" s="112">
        <f t="shared" si="0"/>
        <v>-5.5999999995037797E-3</v>
      </c>
      <c r="N16" s="6" t="s">
        <v>181</v>
      </c>
    </row>
    <row r="17" spans="1:14">
      <c r="A17" s="6">
        <v>14</v>
      </c>
      <c r="B17" s="388">
        <v>45992</v>
      </c>
      <c r="C17" s="308"/>
      <c r="D17" s="6"/>
      <c r="E17" s="148">
        <v>80</v>
      </c>
      <c r="F17" s="148">
        <v>89.9</v>
      </c>
      <c r="G17" s="112">
        <f>E17*F17</f>
        <v>7192</v>
      </c>
      <c r="H17" s="148">
        <v>0</v>
      </c>
      <c r="I17" s="148">
        <v>103.96</v>
      </c>
      <c r="J17" s="112">
        <f>H17*I17</f>
        <v>0</v>
      </c>
      <c r="K17" s="112">
        <f>G17+J17</f>
        <v>7192</v>
      </c>
      <c r="L17" s="6">
        <v>7192</v>
      </c>
      <c r="M17" s="112">
        <f t="shared" si="0"/>
        <v>-5.5999999995037797E-3</v>
      </c>
      <c r="N17" s="6" t="s">
        <v>181</v>
      </c>
    </row>
    <row r="18" spans="1:14">
      <c r="A18" s="6">
        <v>15</v>
      </c>
      <c r="B18" s="388" t="s">
        <v>183</v>
      </c>
      <c r="C18" s="308"/>
      <c r="D18" s="6"/>
      <c r="E18" s="148">
        <v>100</v>
      </c>
      <c r="F18" s="148">
        <v>89.9</v>
      </c>
      <c r="G18" s="112">
        <f>E18*F18</f>
        <v>8990</v>
      </c>
      <c r="H18" s="148">
        <v>0</v>
      </c>
      <c r="I18" s="148">
        <v>103.96</v>
      </c>
      <c r="J18" s="112">
        <f>H18*I18</f>
        <v>0</v>
      </c>
      <c r="K18" s="112">
        <f>G18+J18</f>
        <v>8990</v>
      </c>
      <c r="L18" s="6">
        <v>8990</v>
      </c>
      <c r="M18" s="112">
        <f t="shared" si="0"/>
        <v>-5.6000000004132744E-3</v>
      </c>
      <c r="N18" s="6" t="s">
        <v>181</v>
      </c>
    </row>
    <row r="19" spans="1:14">
      <c r="A19" s="6">
        <v>16</v>
      </c>
      <c r="B19" s="388" t="s">
        <v>184</v>
      </c>
      <c r="C19" s="308"/>
      <c r="D19" s="6"/>
      <c r="E19" s="148">
        <v>75</v>
      </c>
      <c r="F19" s="148">
        <v>89.9</v>
      </c>
      <c r="G19" s="112">
        <f>E19*F19</f>
        <v>6742.5</v>
      </c>
      <c r="H19" s="148">
        <v>7.22</v>
      </c>
      <c r="I19" s="148">
        <v>103.96</v>
      </c>
      <c r="J19" s="112">
        <f>H19*I19</f>
        <v>750.59119999999996</v>
      </c>
      <c r="K19" s="112">
        <f>G19+J19</f>
        <v>7493.0911999999998</v>
      </c>
      <c r="L19" s="6">
        <v>7493.09</v>
      </c>
      <c r="M19" s="112">
        <f t="shared" si="0"/>
        <v>-4.400000000714499E-3</v>
      </c>
      <c r="N19" s="6" t="s">
        <v>181</v>
      </c>
    </row>
    <row r="20" spans="1:14">
      <c r="A20" s="6">
        <v>17</v>
      </c>
      <c r="B20" s="388" t="s">
        <v>185</v>
      </c>
      <c r="C20" s="308"/>
      <c r="D20" s="6"/>
      <c r="E20" s="148">
        <v>60</v>
      </c>
      <c r="F20" s="148">
        <v>89.9</v>
      </c>
      <c r="G20" s="112">
        <f>E20*F20</f>
        <v>5394</v>
      </c>
      <c r="H20" s="148">
        <v>0</v>
      </c>
      <c r="I20" s="148">
        <v>103.96</v>
      </c>
      <c r="J20" s="112">
        <f t="shared" ref="J20:J24" si="1">H20*I20</f>
        <v>0</v>
      </c>
      <c r="K20" s="112">
        <f>G20+J20</f>
        <v>5394</v>
      </c>
      <c r="L20" s="6">
        <v>5394</v>
      </c>
      <c r="M20" s="112">
        <f t="shared" si="0"/>
        <v>-4.400000000714499E-3</v>
      </c>
      <c r="N20" s="6" t="s">
        <v>181</v>
      </c>
    </row>
    <row r="21" spans="1:14">
      <c r="A21" s="6">
        <v>18</v>
      </c>
      <c r="B21" s="388" t="s">
        <v>186</v>
      </c>
      <c r="C21" s="308"/>
      <c r="D21" s="6"/>
      <c r="E21" s="148">
        <v>0</v>
      </c>
      <c r="F21" s="148">
        <v>89.9</v>
      </c>
      <c r="G21" s="112">
        <f t="shared" ref="G21:G34" si="2">E21*F21</f>
        <v>0</v>
      </c>
      <c r="H21" s="148">
        <v>0</v>
      </c>
      <c r="I21" s="148">
        <v>103.96</v>
      </c>
      <c r="J21" s="112">
        <f t="shared" si="1"/>
        <v>0</v>
      </c>
      <c r="K21" s="112">
        <f>G21+J21</f>
        <v>0</v>
      </c>
      <c r="L21" s="6">
        <v>0</v>
      </c>
      <c r="M21" s="112">
        <f t="shared" si="0"/>
        <v>-4.400000000714499E-3</v>
      </c>
      <c r="N21" s="6"/>
    </row>
    <row r="22" spans="1:14">
      <c r="A22" s="6">
        <v>19</v>
      </c>
      <c r="B22" s="388" t="s">
        <v>187</v>
      </c>
      <c r="C22" s="308"/>
      <c r="D22" s="6"/>
      <c r="E22" s="148">
        <v>0</v>
      </c>
      <c r="F22" s="148">
        <v>89.9</v>
      </c>
      <c r="G22" s="112">
        <f t="shared" si="2"/>
        <v>0</v>
      </c>
      <c r="H22" s="148">
        <v>0</v>
      </c>
      <c r="I22" s="148">
        <v>103.96</v>
      </c>
      <c r="J22" s="112">
        <f t="shared" si="1"/>
        <v>0</v>
      </c>
      <c r="K22" s="112">
        <f>G22+J22</f>
        <v>0</v>
      </c>
      <c r="L22" s="6">
        <v>0</v>
      </c>
      <c r="M22" s="112">
        <f t="shared" ref="M22:M34" si="3">M21+K22-L22</f>
        <v>-4.400000000714499E-3</v>
      </c>
      <c r="N22" s="6"/>
    </row>
    <row r="23" spans="1:14">
      <c r="A23" s="6">
        <v>20</v>
      </c>
      <c r="B23" s="388" t="s">
        <v>188</v>
      </c>
      <c r="C23" s="308"/>
      <c r="D23" s="6"/>
      <c r="E23" s="148">
        <v>89.22</v>
      </c>
      <c r="F23" s="148">
        <v>89.9</v>
      </c>
      <c r="G23" s="112">
        <f t="shared" si="2"/>
        <v>8020.8780000000006</v>
      </c>
      <c r="H23" s="148">
        <v>6.74</v>
      </c>
      <c r="I23" s="148">
        <v>103.96</v>
      </c>
      <c r="J23" s="112">
        <f t="shared" si="1"/>
        <v>700.69039999999995</v>
      </c>
      <c r="K23" s="112">
        <f>G23+J23</f>
        <v>8721.5684000000001</v>
      </c>
      <c r="L23" s="6">
        <v>8721.57</v>
      </c>
      <c r="M23" s="112">
        <f t="shared" si="3"/>
        <v>-6.0000000012223609E-3</v>
      </c>
      <c r="N23" s="6" t="s">
        <v>181</v>
      </c>
    </row>
    <row r="24" spans="1:14">
      <c r="A24" s="6">
        <v>21</v>
      </c>
      <c r="B24" s="388" t="s">
        <v>189</v>
      </c>
      <c r="C24" s="308"/>
      <c r="D24" s="6"/>
      <c r="E24" s="148">
        <v>43.69</v>
      </c>
      <c r="F24" s="148">
        <v>89.9</v>
      </c>
      <c r="G24" s="112">
        <f t="shared" si="2"/>
        <v>3927.7310000000002</v>
      </c>
      <c r="H24" s="148">
        <v>0</v>
      </c>
      <c r="I24" s="148">
        <v>103.96</v>
      </c>
      <c r="J24" s="112">
        <f t="shared" si="1"/>
        <v>0</v>
      </c>
      <c r="K24" s="112">
        <f>G24+J24</f>
        <v>3927.7310000000002</v>
      </c>
      <c r="L24" s="6">
        <v>3927.73</v>
      </c>
      <c r="M24" s="112">
        <f t="shared" si="3"/>
        <v>-5.0000000010186341E-3</v>
      </c>
      <c r="N24" s="6" t="s">
        <v>181</v>
      </c>
    </row>
    <row r="25" spans="1:14">
      <c r="A25" s="6">
        <v>22</v>
      </c>
      <c r="B25" s="388" t="s">
        <v>190</v>
      </c>
      <c r="C25" s="308"/>
      <c r="D25" s="6"/>
      <c r="E25" s="148"/>
      <c r="F25" s="148"/>
      <c r="G25" s="112">
        <f t="shared" si="2"/>
        <v>0</v>
      </c>
      <c r="H25" s="148"/>
      <c r="I25" s="148"/>
      <c r="J25" s="112"/>
      <c r="K25" s="112"/>
      <c r="L25" s="6"/>
      <c r="M25" s="112">
        <f t="shared" si="3"/>
        <v>-5.0000000010186341E-3</v>
      </c>
      <c r="N25" s="6"/>
    </row>
    <row r="26" spans="1:14">
      <c r="A26" s="6">
        <v>23</v>
      </c>
      <c r="B26" s="388" t="s">
        <v>191</v>
      </c>
      <c r="C26" s="308"/>
      <c r="D26" s="6"/>
      <c r="E26" s="148">
        <v>0</v>
      </c>
      <c r="F26" s="148">
        <v>0</v>
      </c>
      <c r="G26" s="112">
        <f t="shared" si="2"/>
        <v>0</v>
      </c>
      <c r="H26" s="148">
        <v>6.26</v>
      </c>
      <c r="I26" s="148">
        <v>103.96</v>
      </c>
      <c r="J26" s="112">
        <f>H26*I26</f>
        <v>650.78959999999995</v>
      </c>
      <c r="K26" s="112">
        <f>G26+J26</f>
        <v>650.78959999999995</v>
      </c>
      <c r="L26" s="6">
        <v>650.79</v>
      </c>
      <c r="M26" s="112">
        <f t="shared" si="3"/>
        <v>-5.4000000010319127E-3</v>
      </c>
      <c r="N26" s="6" t="s">
        <v>181</v>
      </c>
    </row>
    <row r="27" spans="1:14">
      <c r="A27" s="6">
        <v>24</v>
      </c>
      <c r="B27" s="388" t="s">
        <v>192</v>
      </c>
      <c r="C27" s="308"/>
      <c r="D27" s="6"/>
      <c r="E27" s="148">
        <v>80</v>
      </c>
      <c r="F27" s="148">
        <v>89.9</v>
      </c>
      <c r="G27" s="112">
        <f t="shared" si="2"/>
        <v>7192</v>
      </c>
      <c r="H27" s="148">
        <v>5.58</v>
      </c>
      <c r="I27" s="148">
        <v>103.96</v>
      </c>
      <c r="J27" s="112">
        <f>H27*I27</f>
        <v>580.09679999999992</v>
      </c>
      <c r="K27" s="112">
        <f>G27+J27</f>
        <v>7772.0968000000003</v>
      </c>
      <c r="L27" s="6">
        <v>7772.1</v>
      </c>
      <c r="M27" s="112">
        <f t="shared" si="3"/>
        <v>-8.6000000010244548E-3</v>
      </c>
      <c r="N27" s="6" t="s">
        <v>181</v>
      </c>
    </row>
    <row r="28" spans="1:14">
      <c r="A28" s="6">
        <v>25</v>
      </c>
      <c r="B28" s="388" t="s">
        <v>193</v>
      </c>
      <c r="C28" s="308"/>
      <c r="D28" s="6"/>
      <c r="E28" s="148">
        <v>100</v>
      </c>
      <c r="F28" s="148">
        <v>89.9</v>
      </c>
      <c r="G28" s="112">
        <f t="shared" si="2"/>
        <v>8990</v>
      </c>
      <c r="H28" s="148"/>
      <c r="I28" s="148">
        <v>103.96</v>
      </c>
      <c r="J28" s="112">
        <f t="shared" ref="J28:J31" si="4">H28*I28</f>
        <v>0</v>
      </c>
      <c r="K28" s="112">
        <f>G28+J28</f>
        <v>8990</v>
      </c>
      <c r="L28" s="6">
        <v>8990</v>
      </c>
      <c r="M28" s="112">
        <f t="shared" si="3"/>
        <v>-8.6000000010244548E-3</v>
      </c>
      <c r="N28" s="6" t="s">
        <v>181</v>
      </c>
    </row>
    <row r="29" spans="1:14">
      <c r="A29" s="6">
        <v>26</v>
      </c>
      <c r="B29" s="388" t="s">
        <v>194</v>
      </c>
      <c r="C29" s="308"/>
      <c r="D29" s="6"/>
      <c r="E29" s="148">
        <v>80</v>
      </c>
      <c r="F29" s="148">
        <v>89.9</v>
      </c>
      <c r="G29" s="112">
        <f t="shared" si="2"/>
        <v>7192</v>
      </c>
      <c r="H29" s="148"/>
      <c r="I29" s="148">
        <v>103.96</v>
      </c>
      <c r="J29" s="112">
        <f t="shared" si="4"/>
        <v>0</v>
      </c>
      <c r="K29" s="112">
        <f>G29+J29</f>
        <v>7192</v>
      </c>
      <c r="L29" s="6">
        <v>7192</v>
      </c>
      <c r="M29" s="112">
        <f>M28+K29-L29</f>
        <v>-8.6000000010244548E-3</v>
      </c>
      <c r="N29" s="6" t="s">
        <v>181</v>
      </c>
    </row>
    <row r="30" spans="1:14">
      <c r="A30" s="6">
        <v>27</v>
      </c>
      <c r="B30" s="388" t="s">
        <v>195</v>
      </c>
      <c r="C30" s="308"/>
      <c r="D30" s="6"/>
      <c r="E30" s="148"/>
      <c r="F30" s="148">
        <v>89.9</v>
      </c>
      <c r="G30" s="112">
        <f t="shared" si="2"/>
        <v>0</v>
      </c>
      <c r="H30" s="148"/>
      <c r="I30" s="148">
        <v>103.96</v>
      </c>
      <c r="J30" s="112">
        <f t="shared" si="4"/>
        <v>0</v>
      </c>
      <c r="K30" s="112">
        <f t="shared" ref="K30:K34" si="5">G30+J30</f>
        <v>0</v>
      </c>
      <c r="L30" s="6"/>
      <c r="M30" s="112">
        <f t="shared" si="3"/>
        <v>-8.6000000010244548E-3</v>
      </c>
      <c r="N30" s="6"/>
    </row>
    <row r="31" spans="1:14">
      <c r="A31" s="6">
        <v>28</v>
      </c>
      <c r="B31" s="388" t="s">
        <v>196</v>
      </c>
      <c r="C31" s="308"/>
      <c r="D31" s="6"/>
      <c r="E31" s="148"/>
      <c r="F31" s="148">
        <v>89.9</v>
      </c>
      <c r="G31" s="112">
        <f t="shared" si="2"/>
        <v>0</v>
      </c>
      <c r="H31" s="148">
        <v>8.2799999999999994</v>
      </c>
      <c r="I31" s="148">
        <v>103.96</v>
      </c>
      <c r="J31" s="112">
        <f t="shared" si="4"/>
        <v>860.78879999999992</v>
      </c>
      <c r="K31" s="112">
        <f t="shared" si="5"/>
        <v>860.78879999999992</v>
      </c>
      <c r="L31" s="6">
        <v>860.79</v>
      </c>
      <c r="M31" s="112">
        <f t="shared" si="3"/>
        <v>-9.8000000010642907E-3</v>
      </c>
      <c r="N31" s="6" t="s">
        <v>181</v>
      </c>
    </row>
    <row r="32" spans="1:14">
      <c r="A32" s="6"/>
      <c r="B32" s="388" t="s">
        <v>197</v>
      </c>
      <c r="C32" s="308"/>
      <c r="D32" s="6"/>
      <c r="E32" s="148">
        <v>60</v>
      </c>
      <c r="F32" s="148">
        <v>89.9</v>
      </c>
      <c r="G32" s="112">
        <f>E32*F32</f>
        <v>5394</v>
      </c>
      <c r="H32" s="148"/>
      <c r="I32" s="148"/>
      <c r="J32" s="112"/>
      <c r="K32" s="112">
        <f t="shared" si="5"/>
        <v>5394</v>
      </c>
      <c r="L32" s="112">
        <f>H32+K32</f>
        <v>5394</v>
      </c>
      <c r="M32" s="112">
        <f t="shared" si="3"/>
        <v>-9.8000000007232302E-3</v>
      </c>
      <c r="N32" s="6" t="s">
        <v>181</v>
      </c>
    </row>
    <row r="33" spans="1:14">
      <c r="A33" s="6"/>
      <c r="B33" s="388" t="s">
        <v>198</v>
      </c>
      <c r="C33" s="308"/>
      <c r="D33" s="6"/>
      <c r="E33" s="148">
        <v>60</v>
      </c>
      <c r="F33" s="148">
        <v>89.9</v>
      </c>
      <c r="G33" s="112">
        <f t="shared" si="2"/>
        <v>5394</v>
      </c>
      <c r="H33" s="148"/>
      <c r="I33" s="148"/>
      <c r="J33" s="112"/>
      <c r="K33" s="112">
        <f t="shared" si="5"/>
        <v>5394</v>
      </c>
      <c r="L33" s="112">
        <f>H33+K33</f>
        <v>5394</v>
      </c>
      <c r="M33" s="112">
        <f t="shared" si="3"/>
        <v>-9.8000000007232302E-3</v>
      </c>
      <c r="N33" s="6" t="s">
        <v>181</v>
      </c>
    </row>
    <row r="34" spans="1:14">
      <c r="A34" s="6"/>
      <c r="B34" s="388" t="s">
        <v>199</v>
      </c>
      <c r="C34" s="308"/>
      <c r="D34" s="6"/>
      <c r="E34" s="148">
        <v>100</v>
      </c>
      <c r="F34" s="148">
        <v>89.9</v>
      </c>
      <c r="G34" s="112">
        <f t="shared" si="2"/>
        <v>8990</v>
      </c>
      <c r="H34" s="148"/>
      <c r="I34" s="148"/>
      <c r="J34" s="112"/>
      <c r="K34" s="112">
        <f t="shared" si="5"/>
        <v>8990</v>
      </c>
      <c r="L34" s="6">
        <v>8990</v>
      </c>
      <c r="M34" s="112">
        <f t="shared" si="3"/>
        <v>-9.7999999998137355E-3</v>
      </c>
      <c r="N34" s="6" t="s">
        <v>181</v>
      </c>
    </row>
    <row r="35" spans="1:14">
      <c r="A35" s="82"/>
      <c r="B35" s="82"/>
      <c r="C35" s="82"/>
      <c r="D35" s="82"/>
      <c r="E35" s="82">
        <f>SUM(E4:E34)</f>
        <v>1617.81</v>
      </c>
      <c r="F35" s="82"/>
      <c r="G35" s="82">
        <f>SUM(G4:G34)</f>
        <v>145425.07500000001</v>
      </c>
      <c r="H35" s="82">
        <f>SUM(H4:H34)</f>
        <v>57.62</v>
      </c>
      <c r="I35" s="82"/>
      <c r="J35" s="82">
        <f>SUM(J4:J34)</f>
        <v>5990.1751999999997</v>
      </c>
      <c r="K35" s="82">
        <f>SUM(K4:K34)</f>
        <v>151415.25020000001</v>
      </c>
      <c r="L35" s="82">
        <f>SUM(L4:L34)</f>
        <v>151415.26</v>
      </c>
      <c r="M35" s="82"/>
      <c r="N35" s="82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sheetPr>
    <tabColor theme="0"/>
  </sheetPr>
  <dimension ref="A1:O37"/>
  <sheetViews>
    <sheetView workbookViewId="0">
      <pane ySplit="2" topLeftCell="A3" activePane="bottomLeft" state="frozen"/>
      <selection pane="bottomLeft" activeCell="Q21" sqref="Q20:Q21"/>
    </sheetView>
  </sheetViews>
  <sheetFormatPr defaultRowHeight="15"/>
  <cols>
    <col min="1" max="1" width="5.140625" style="127" bestFit="1" customWidth="1"/>
    <col min="2" max="2" width="10.85546875" style="127" bestFit="1" customWidth="1"/>
    <col min="3" max="3" width="16" style="127" bestFit="1" customWidth="1"/>
    <col min="4" max="4" width="13.28515625" style="127" bestFit="1" customWidth="1"/>
    <col min="5" max="6" width="10.7109375" style="127" bestFit="1" customWidth="1"/>
    <col min="7" max="7" width="15.28515625" style="127" customWidth="1"/>
    <col min="8" max="8" width="10.7109375" style="127" bestFit="1" customWidth="1"/>
    <col min="9" max="9" width="7.140625" style="127" bestFit="1" customWidth="1"/>
    <col min="10" max="10" width="9.7109375" style="127" bestFit="1" customWidth="1"/>
    <col min="11" max="12" width="13.5703125" style="127" bestFit="1" customWidth="1"/>
    <col min="13" max="13" width="15" style="127" customWidth="1"/>
    <col min="14" max="14" width="14.28515625" style="127" bestFit="1" customWidth="1"/>
    <col min="15" max="16384" width="9.140625" style="127"/>
  </cols>
  <sheetData>
    <row r="1" spans="1:15" ht="15.75">
      <c r="A1" s="479" t="s">
        <v>38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96"/>
    </row>
    <row r="2" spans="1:15">
      <c r="A2" s="155" t="s">
        <v>58</v>
      </c>
      <c r="B2" s="156" t="s">
        <v>59</v>
      </c>
      <c r="C2" s="156" t="s">
        <v>60</v>
      </c>
      <c r="D2" s="156" t="s">
        <v>116</v>
      </c>
      <c r="E2" s="156" t="s">
        <v>62</v>
      </c>
      <c r="F2" s="156" t="s">
        <v>63</v>
      </c>
      <c r="G2" s="156" t="s">
        <v>64</v>
      </c>
      <c r="H2" s="156" t="s">
        <v>65</v>
      </c>
      <c r="I2" s="156" t="s">
        <v>63</v>
      </c>
      <c r="J2" s="215" t="s">
        <v>64</v>
      </c>
      <c r="K2" s="157" t="s">
        <v>66</v>
      </c>
      <c r="L2" s="216" t="s">
        <v>67</v>
      </c>
      <c r="M2" s="221" t="s">
        <v>68</v>
      </c>
      <c r="N2" s="158" t="s">
        <v>69</v>
      </c>
      <c r="O2" s="103"/>
    </row>
    <row r="3" spans="1:15">
      <c r="A3" s="504" t="s">
        <v>70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232">
        <v>519.11</v>
      </c>
      <c r="N3" s="242"/>
      <c r="O3" s="103"/>
    </row>
    <row r="4" spans="1:15">
      <c r="A4" s="33">
        <v>1</v>
      </c>
      <c r="B4" s="87" t="s">
        <v>123</v>
      </c>
      <c r="C4" s="32"/>
      <c r="D4" s="24"/>
      <c r="E4" s="87">
        <v>42</v>
      </c>
      <c r="F4" s="87">
        <v>89.75</v>
      </c>
      <c r="G4" s="9">
        <f>E4*F4</f>
        <v>3769.5</v>
      </c>
      <c r="H4" s="87"/>
      <c r="I4" s="87"/>
      <c r="J4" s="9"/>
      <c r="K4" s="9">
        <f>G4+J4</f>
        <v>3769.5</v>
      </c>
      <c r="L4" s="9"/>
      <c r="M4" s="9">
        <f>M3+K4-L4</f>
        <v>4288.6099999999997</v>
      </c>
      <c r="N4" s="9"/>
      <c r="O4" s="103"/>
    </row>
    <row r="5" spans="1:15">
      <c r="A5" s="33">
        <v>2</v>
      </c>
      <c r="B5" s="87" t="s">
        <v>125</v>
      </c>
      <c r="C5" s="32"/>
      <c r="D5" s="24"/>
      <c r="E5" s="87"/>
      <c r="F5" s="87"/>
      <c r="G5" s="9"/>
      <c r="H5" s="87">
        <v>5</v>
      </c>
      <c r="I5" s="87">
        <v>103.73</v>
      </c>
      <c r="J5" s="9">
        <f>H5*I5</f>
        <v>518.65</v>
      </c>
      <c r="K5" s="9">
        <f>G5+J5</f>
        <v>518.65</v>
      </c>
      <c r="L5" s="9"/>
      <c r="M5" s="9">
        <f t="shared" ref="M5:M16" si="0">M4+K5-L5</f>
        <v>4807.2599999999993</v>
      </c>
      <c r="N5" s="9"/>
      <c r="O5" s="103"/>
    </row>
    <row r="6" spans="1:15">
      <c r="A6" s="33">
        <v>3</v>
      </c>
      <c r="B6" s="87" t="s">
        <v>126</v>
      </c>
      <c r="C6" s="32"/>
      <c r="D6" s="24"/>
      <c r="E6" s="87">
        <v>60</v>
      </c>
      <c r="F6" s="87">
        <v>89.75</v>
      </c>
      <c r="G6" s="9">
        <f>E6*F6</f>
        <v>5385</v>
      </c>
      <c r="H6" s="87"/>
      <c r="I6" s="87"/>
      <c r="J6" s="9"/>
      <c r="K6" s="9">
        <f>G6+J6</f>
        <v>5385</v>
      </c>
      <c r="L6" s="9"/>
      <c r="M6" s="9">
        <f t="shared" si="0"/>
        <v>10192.259999999998</v>
      </c>
      <c r="N6" s="9"/>
      <c r="O6" s="103"/>
    </row>
    <row r="7" spans="1:15">
      <c r="A7" s="33">
        <v>4</v>
      </c>
      <c r="B7" s="87" t="s">
        <v>127</v>
      </c>
      <c r="C7" s="32"/>
      <c r="D7" s="24"/>
      <c r="E7" s="87">
        <v>25</v>
      </c>
      <c r="F7" s="87">
        <v>89.75</v>
      </c>
      <c r="G7" s="9">
        <f>E7*F7</f>
        <v>2243.75</v>
      </c>
      <c r="H7" s="87"/>
      <c r="I7" s="87"/>
      <c r="J7" s="9"/>
      <c r="K7" s="9">
        <f>G7+J7</f>
        <v>2243.75</v>
      </c>
      <c r="L7" s="9"/>
      <c r="M7" s="9">
        <f t="shared" si="0"/>
        <v>12436.009999999998</v>
      </c>
      <c r="N7" s="9"/>
      <c r="O7" s="103"/>
    </row>
    <row r="8" spans="1:15">
      <c r="A8" s="33">
        <v>5</v>
      </c>
      <c r="B8" s="87" t="s">
        <v>128</v>
      </c>
      <c r="C8" s="32"/>
      <c r="D8" s="24"/>
      <c r="E8" s="87">
        <v>60</v>
      </c>
      <c r="F8" s="87">
        <v>89.75</v>
      </c>
      <c r="G8" s="9">
        <f>E8*F8</f>
        <v>5385</v>
      </c>
      <c r="H8" s="87"/>
      <c r="I8" s="87"/>
      <c r="J8" s="9"/>
      <c r="K8" s="9">
        <f>G8+J8</f>
        <v>5385</v>
      </c>
      <c r="L8" s="9"/>
      <c r="M8" s="9">
        <f t="shared" si="0"/>
        <v>17821.009999999998</v>
      </c>
      <c r="N8" s="9"/>
      <c r="O8" s="103"/>
    </row>
    <row r="9" spans="1:15">
      <c r="A9" s="33">
        <v>6</v>
      </c>
      <c r="B9" s="87" t="s">
        <v>129</v>
      </c>
      <c r="C9" s="32"/>
      <c r="D9" s="24"/>
      <c r="E9" s="87">
        <v>60</v>
      </c>
      <c r="F9" s="87">
        <v>89.75</v>
      </c>
      <c r="G9" s="9">
        <f>E9*F9</f>
        <v>5385</v>
      </c>
      <c r="H9" s="87"/>
      <c r="I9" s="87"/>
      <c r="J9" s="9"/>
      <c r="K9" s="9">
        <f>G9+J9</f>
        <v>5385</v>
      </c>
      <c r="L9" s="9"/>
      <c r="M9" s="9">
        <f t="shared" si="0"/>
        <v>23206.01</v>
      </c>
      <c r="N9" s="9"/>
      <c r="O9" s="103"/>
    </row>
    <row r="10" spans="1:15">
      <c r="A10" s="33">
        <v>7</v>
      </c>
      <c r="B10" s="87" t="s">
        <v>130</v>
      </c>
      <c r="C10" s="32"/>
      <c r="D10" s="24"/>
      <c r="E10" s="87">
        <v>90</v>
      </c>
      <c r="F10" s="87">
        <v>89.75</v>
      </c>
      <c r="G10" s="9">
        <f>E10*F10</f>
        <v>8077.5</v>
      </c>
      <c r="H10" s="87"/>
      <c r="I10" s="87"/>
      <c r="J10" s="9"/>
      <c r="K10" s="9">
        <f>G10+J10</f>
        <v>8077.5</v>
      </c>
      <c r="L10" s="9"/>
      <c r="M10" s="9">
        <f t="shared" si="0"/>
        <v>31283.51</v>
      </c>
      <c r="N10" s="9"/>
      <c r="O10" s="103"/>
    </row>
    <row r="11" spans="1:15">
      <c r="A11" s="33">
        <v>8</v>
      </c>
      <c r="B11" s="87" t="s">
        <v>132</v>
      </c>
      <c r="C11" s="32"/>
      <c r="D11" s="24"/>
      <c r="E11" s="87">
        <v>105</v>
      </c>
      <c r="F11" s="87">
        <v>89.75</v>
      </c>
      <c r="G11" s="9">
        <f>E11*F11</f>
        <v>9423.75</v>
      </c>
      <c r="H11" s="87">
        <v>10</v>
      </c>
      <c r="I11" s="87">
        <v>103.73</v>
      </c>
      <c r="J11" s="9">
        <f>H11*I11</f>
        <v>1037.3</v>
      </c>
      <c r="K11" s="9">
        <f>G11+J11</f>
        <v>10461.049999999999</v>
      </c>
      <c r="L11" s="9"/>
      <c r="M11" s="9">
        <f t="shared" si="0"/>
        <v>41744.559999999998</v>
      </c>
      <c r="N11" s="9"/>
      <c r="O11" s="103"/>
    </row>
    <row r="12" spans="1:15">
      <c r="A12" s="33">
        <v>9</v>
      </c>
      <c r="B12" s="87" t="s">
        <v>146</v>
      </c>
      <c r="C12" s="32"/>
      <c r="D12" s="24"/>
      <c r="E12" s="87">
        <v>0</v>
      </c>
      <c r="F12" s="87">
        <v>89.75</v>
      </c>
      <c r="G12" s="9">
        <f>E12*F12</f>
        <v>0</v>
      </c>
      <c r="H12" s="87">
        <v>0</v>
      </c>
      <c r="I12" s="87">
        <v>103.73</v>
      </c>
      <c r="J12" s="9">
        <f t="shared" ref="J12:J27" si="1">H12*I12</f>
        <v>0</v>
      </c>
      <c r="K12" s="9">
        <f>G12+J12</f>
        <v>0</v>
      </c>
      <c r="L12" s="9"/>
      <c r="M12" s="9">
        <f t="shared" si="0"/>
        <v>41744.559999999998</v>
      </c>
      <c r="N12" s="9"/>
      <c r="O12" s="103"/>
    </row>
    <row r="13" spans="1:15">
      <c r="A13" s="305">
        <v>10</v>
      </c>
      <c r="B13" s="87" t="s">
        <v>147</v>
      </c>
      <c r="C13" s="297"/>
      <c r="D13" s="224"/>
      <c r="E13" s="129">
        <v>71.010000000000005</v>
      </c>
      <c r="F13" s="87">
        <v>89.75</v>
      </c>
      <c r="G13" s="9">
        <f>E13*F13</f>
        <v>6373.1475</v>
      </c>
      <c r="H13" s="87">
        <v>0</v>
      </c>
      <c r="I13" s="87">
        <v>103.73</v>
      </c>
      <c r="J13" s="9">
        <f t="shared" si="1"/>
        <v>0</v>
      </c>
      <c r="K13" s="9">
        <f>G13+J13</f>
        <v>6373.1475</v>
      </c>
      <c r="L13" s="25"/>
      <c r="M13" s="9">
        <f t="shared" si="0"/>
        <v>48117.707499999997</v>
      </c>
      <c r="N13" s="25"/>
      <c r="O13" s="103"/>
    </row>
    <row r="14" spans="1:15">
      <c r="A14" s="305">
        <v>11</v>
      </c>
      <c r="B14" s="87" t="s">
        <v>148</v>
      </c>
      <c r="C14" s="297"/>
      <c r="D14" s="224"/>
      <c r="E14" s="129">
        <v>30</v>
      </c>
      <c r="F14" s="87">
        <v>89.75</v>
      </c>
      <c r="G14" s="9">
        <f>E14*F14</f>
        <v>2692.5</v>
      </c>
      <c r="H14" s="87">
        <v>0</v>
      </c>
      <c r="I14" s="87">
        <v>103.73</v>
      </c>
      <c r="J14" s="9">
        <f t="shared" si="1"/>
        <v>0</v>
      </c>
      <c r="K14" s="9">
        <f>G14+J14</f>
        <v>2692.5</v>
      </c>
      <c r="L14" s="25"/>
      <c r="M14" s="9">
        <f t="shared" si="0"/>
        <v>50810.207499999997</v>
      </c>
      <c r="N14" s="25"/>
      <c r="O14" s="103"/>
    </row>
    <row r="15" spans="1:15">
      <c r="A15" s="305">
        <v>12</v>
      </c>
      <c r="B15" s="87" t="s">
        <v>149</v>
      </c>
      <c r="C15" s="297"/>
      <c r="D15" s="224"/>
      <c r="E15" s="129">
        <v>0</v>
      </c>
      <c r="F15" s="87">
        <v>89.75</v>
      </c>
      <c r="G15" s="9">
        <f>E15*F15</f>
        <v>0</v>
      </c>
      <c r="H15" s="129">
        <v>0</v>
      </c>
      <c r="I15" s="87">
        <v>103.73</v>
      </c>
      <c r="J15" s="9">
        <f t="shared" si="1"/>
        <v>0</v>
      </c>
      <c r="K15" s="9">
        <f>G15+J15</f>
        <v>0</v>
      </c>
      <c r="L15" s="25"/>
      <c r="M15" s="9">
        <f t="shared" si="0"/>
        <v>50810.207499999997</v>
      </c>
      <c r="N15" s="25"/>
      <c r="O15" s="103"/>
    </row>
    <row r="16" spans="1:15">
      <c r="A16" s="305">
        <v>13</v>
      </c>
      <c r="B16" s="87" t="s">
        <v>150</v>
      </c>
      <c r="C16" s="297"/>
      <c r="D16" s="224"/>
      <c r="E16" s="129">
        <v>200</v>
      </c>
      <c r="F16" s="87">
        <v>89.75</v>
      </c>
      <c r="G16" s="9">
        <f>E16*F16</f>
        <v>17950</v>
      </c>
      <c r="H16" s="129">
        <v>0</v>
      </c>
      <c r="I16" s="87">
        <v>103.73</v>
      </c>
      <c r="J16" s="9">
        <f t="shared" si="1"/>
        <v>0</v>
      </c>
      <c r="K16" s="9">
        <f>G16+J16</f>
        <v>17950</v>
      </c>
      <c r="L16" s="25"/>
      <c r="M16" s="9">
        <f>M15+K16-L16</f>
        <v>68760.20749999999</v>
      </c>
      <c r="N16" s="25"/>
      <c r="O16" s="103"/>
    </row>
    <row r="17" spans="1:15">
      <c r="A17" s="305">
        <v>14</v>
      </c>
      <c r="B17" s="87" t="s">
        <v>151</v>
      </c>
      <c r="C17" s="297"/>
      <c r="D17" s="224"/>
      <c r="E17" s="129">
        <v>30</v>
      </c>
      <c r="F17" s="87">
        <v>89.75</v>
      </c>
      <c r="G17" s="9">
        <f>E17*F17</f>
        <v>2692.5</v>
      </c>
      <c r="H17" s="129">
        <v>0</v>
      </c>
      <c r="I17" s="87">
        <v>103.73</v>
      </c>
      <c r="J17" s="9">
        <f t="shared" si="1"/>
        <v>0</v>
      </c>
      <c r="K17" s="9">
        <f>G17+J17</f>
        <v>2692.5</v>
      </c>
      <c r="L17" s="25"/>
      <c r="M17" s="9">
        <f>M16+K17-L17</f>
        <v>71452.70749999999</v>
      </c>
      <c r="N17" s="25"/>
      <c r="O17" s="103"/>
    </row>
    <row r="18" spans="1:15">
      <c r="A18" s="305">
        <v>15</v>
      </c>
      <c r="B18" s="129" t="s">
        <v>133</v>
      </c>
      <c r="C18" s="297"/>
      <c r="D18" s="224"/>
      <c r="E18" s="129">
        <v>60</v>
      </c>
      <c r="F18" s="87">
        <v>89.75</v>
      </c>
      <c r="G18" s="9">
        <f>E18*F18</f>
        <v>5385</v>
      </c>
      <c r="H18" s="129">
        <v>5</v>
      </c>
      <c r="I18" s="87">
        <v>103.73</v>
      </c>
      <c r="J18" s="9">
        <f t="shared" si="1"/>
        <v>518.65</v>
      </c>
      <c r="K18" s="9">
        <f>G18+J18</f>
        <v>5903.65</v>
      </c>
      <c r="L18" s="25"/>
      <c r="M18" s="9">
        <f>M17+K18-L18</f>
        <v>77356.357499999984</v>
      </c>
      <c r="N18" s="25"/>
      <c r="O18" s="103"/>
    </row>
    <row r="19" spans="1:15">
      <c r="A19" s="305">
        <v>16</v>
      </c>
      <c r="B19" s="129" t="s">
        <v>134</v>
      </c>
      <c r="C19" s="297"/>
      <c r="D19" s="224"/>
      <c r="E19" s="129">
        <v>20</v>
      </c>
      <c r="F19" s="87">
        <v>89.75</v>
      </c>
      <c r="G19" s="9">
        <f>E19*F19</f>
        <v>1795</v>
      </c>
      <c r="H19" s="129"/>
      <c r="I19" s="87">
        <v>103.73</v>
      </c>
      <c r="J19" s="9">
        <f t="shared" si="1"/>
        <v>0</v>
      </c>
      <c r="K19" s="9">
        <f>G19+J19</f>
        <v>1795</v>
      </c>
      <c r="L19" s="25"/>
      <c r="M19" s="9">
        <f>M18+K19-L19</f>
        <v>79151.357499999984</v>
      </c>
      <c r="N19" s="25"/>
      <c r="O19" s="103"/>
    </row>
    <row r="20" spans="1:15">
      <c r="A20" s="305">
        <v>17</v>
      </c>
      <c r="B20" s="129" t="s">
        <v>200</v>
      </c>
      <c r="C20" s="297"/>
      <c r="D20" s="224"/>
      <c r="E20" s="129">
        <v>20</v>
      </c>
      <c r="F20" s="87">
        <v>89.75</v>
      </c>
      <c r="G20" s="9">
        <f>E20*F20</f>
        <v>1795</v>
      </c>
      <c r="H20" s="129"/>
      <c r="I20" s="87">
        <v>103.73</v>
      </c>
      <c r="J20" s="9">
        <f t="shared" si="1"/>
        <v>0</v>
      </c>
      <c r="K20" s="9">
        <f>G20+J20</f>
        <v>1795</v>
      </c>
      <c r="L20" s="25"/>
      <c r="M20" s="9">
        <f>M19+K20-L20</f>
        <v>80946.357499999984</v>
      </c>
      <c r="N20" s="25"/>
      <c r="O20" s="103"/>
    </row>
    <row r="21" spans="1:15">
      <c r="A21" s="305">
        <v>18</v>
      </c>
      <c r="B21" s="129" t="s">
        <v>136</v>
      </c>
      <c r="C21" s="297"/>
      <c r="D21" s="224"/>
      <c r="E21" s="129">
        <v>30</v>
      </c>
      <c r="F21" s="87">
        <v>89.75</v>
      </c>
      <c r="G21" s="9">
        <f>E21*F21</f>
        <v>2692.5</v>
      </c>
      <c r="H21" s="129"/>
      <c r="I21" s="87">
        <v>103.73</v>
      </c>
      <c r="J21" s="9">
        <f t="shared" si="1"/>
        <v>0</v>
      </c>
      <c r="K21" s="9">
        <f>G21+J21</f>
        <v>2692.5</v>
      </c>
      <c r="L21" s="25"/>
      <c r="M21" s="9">
        <f>M20+K21-L21</f>
        <v>83638.857499999984</v>
      </c>
      <c r="N21" s="25"/>
      <c r="O21" s="103"/>
    </row>
    <row r="22" spans="1:15">
      <c r="A22" s="305">
        <v>19</v>
      </c>
      <c r="B22" s="129" t="s">
        <v>137</v>
      </c>
      <c r="C22" s="297"/>
      <c r="D22" s="224"/>
      <c r="E22" s="129">
        <v>236.52</v>
      </c>
      <c r="F22" s="87">
        <v>89.75</v>
      </c>
      <c r="G22" s="9">
        <f>E22*F22</f>
        <v>21227.670000000002</v>
      </c>
      <c r="H22" s="129">
        <v>0</v>
      </c>
      <c r="I22" s="87">
        <v>103.73</v>
      </c>
      <c r="J22" s="9">
        <f t="shared" si="1"/>
        <v>0</v>
      </c>
      <c r="K22" s="9">
        <f>G22+J22</f>
        <v>21227.670000000002</v>
      </c>
      <c r="L22" s="25"/>
      <c r="M22" s="9">
        <f>M21+K22-L22</f>
        <v>104866.52749999998</v>
      </c>
      <c r="N22" s="25"/>
      <c r="O22" s="103"/>
    </row>
    <row r="23" spans="1:15">
      <c r="A23" s="305">
        <v>20</v>
      </c>
      <c r="B23" s="129" t="s">
        <v>152</v>
      </c>
      <c r="C23" s="297"/>
      <c r="D23" s="224"/>
      <c r="E23" s="129">
        <v>20</v>
      </c>
      <c r="F23" s="87">
        <v>89.75</v>
      </c>
      <c r="G23" s="9">
        <f>E23*F23</f>
        <v>1795</v>
      </c>
      <c r="H23" s="129">
        <v>5</v>
      </c>
      <c r="I23" s="87">
        <v>103.73</v>
      </c>
      <c r="J23" s="9">
        <f t="shared" si="1"/>
        <v>518.65</v>
      </c>
      <c r="K23" s="9">
        <f>G23+J23</f>
        <v>2313.65</v>
      </c>
      <c r="L23" s="25"/>
      <c r="M23" s="9">
        <f>M22+K23-L23</f>
        <v>107180.17749999998</v>
      </c>
      <c r="N23" s="25"/>
      <c r="O23" s="103"/>
    </row>
    <row r="24" spans="1:15">
      <c r="A24" s="305">
        <v>21</v>
      </c>
      <c r="B24" s="129" t="s">
        <v>139</v>
      </c>
      <c r="C24" s="297"/>
      <c r="D24" s="224"/>
      <c r="E24" s="129">
        <v>30</v>
      </c>
      <c r="F24" s="87">
        <v>89.75</v>
      </c>
      <c r="G24" s="9">
        <f>E24*F24</f>
        <v>2692.5</v>
      </c>
      <c r="H24" s="129">
        <v>5</v>
      </c>
      <c r="I24" s="87">
        <v>103.73</v>
      </c>
      <c r="J24" s="9">
        <f t="shared" si="1"/>
        <v>518.65</v>
      </c>
      <c r="K24" s="9">
        <f>G24+J24</f>
        <v>3211.15</v>
      </c>
      <c r="L24" s="25"/>
      <c r="M24" s="9">
        <f>M23+K24-L24</f>
        <v>110391.32749999997</v>
      </c>
      <c r="N24" s="25"/>
      <c r="O24" s="103"/>
    </row>
    <row r="25" spans="1:15">
      <c r="A25" s="305"/>
      <c r="B25" s="129" t="s">
        <v>140</v>
      </c>
      <c r="C25" s="297"/>
      <c r="D25" s="224"/>
      <c r="E25" s="129">
        <v>0</v>
      </c>
      <c r="F25" s="87">
        <v>89.75</v>
      </c>
      <c r="G25" s="9">
        <f t="shared" ref="G25:G27" si="2">E25*F25</f>
        <v>0</v>
      </c>
      <c r="H25" s="129"/>
      <c r="I25" s="87">
        <v>103.73</v>
      </c>
      <c r="J25" s="9">
        <f t="shared" si="1"/>
        <v>0</v>
      </c>
      <c r="K25" s="9">
        <f t="shared" ref="K25:K27" si="3">G25+J25</f>
        <v>0</v>
      </c>
      <c r="L25" s="25"/>
      <c r="M25" s="9">
        <f t="shared" ref="M25:M27" si="4">M24+K25-L25</f>
        <v>110391.32749999997</v>
      </c>
      <c r="N25" s="25"/>
      <c r="O25" s="103"/>
    </row>
    <row r="26" spans="1:15">
      <c r="A26" s="305"/>
      <c r="B26" s="129" t="s">
        <v>153</v>
      </c>
      <c r="C26" s="297"/>
      <c r="D26" s="224"/>
      <c r="E26" s="129">
        <v>125</v>
      </c>
      <c r="F26" s="87">
        <v>89.75</v>
      </c>
      <c r="G26" s="9">
        <f t="shared" si="2"/>
        <v>11218.75</v>
      </c>
      <c r="H26" s="129"/>
      <c r="I26" s="87">
        <v>103.73</v>
      </c>
      <c r="J26" s="9">
        <f t="shared" si="1"/>
        <v>0</v>
      </c>
      <c r="K26" s="9">
        <f t="shared" si="3"/>
        <v>11218.75</v>
      </c>
      <c r="L26" s="25"/>
      <c r="M26" s="9">
        <f t="shared" si="4"/>
        <v>121610.07749999997</v>
      </c>
      <c r="N26" s="25"/>
      <c r="O26" s="103"/>
    </row>
    <row r="27" spans="1:15">
      <c r="A27" s="305"/>
      <c r="B27" s="129" t="s">
        <v>154</v>
      </c>
      <c r="C27" s="297"/>
      <c r="D27" s="224"/>
      <c r="E27" s="129">
        <v>80</v>
      </c>
      <c r="F27" s="87">
        <v>89.75</v>
      </c>
      <c r="G27" s="9">
        <f t="shared" si="2"/>
        <v>7180</v>
      </c>
      <c r="H27" s="129"/>
      <c r="I27" s="87">
        <v>103.73</v>
      </c>
      <c r="J27" s="9">
        <f t="shared" si="1"/>
        <v>0</v>
      </c>
      <c r="K27" s="9">
        <f t="shared" si="3"/>
        <v>7180</v>
      </c>
      <c r="L27" s="25"/>
      <c r="M27" s="9">
        <f>M26+K27-L27</f>
        <v>128790.07749999997</v>
      </c>
      <c r="N27" s="25"/>
      <c r="O27" s="103"/>
    </row>
    <row r="28" spans="1:15">
      <c r="A28" s="246"/>
      <c r="B28" s="246"/>
      <c r="C28" s="246"/>
      <c r="D28" s="246"/>
      <c r="E28" s="247">
        <f>SUM(E4:E27)</f>
        <v>1394.53</v>
      </c>
      <c r="F28" s="247"/>
      <c r="G28" s="247">
        <f>SUM(G4:G27)</f>
        <v>125159.06749999999</v>
      </c>
      <c r="H28" s="247">
        <f>SUM(H4:H27)</f>
        <v>30</v>
      </c>
      <c r="I28" s="247"/>
      <c r="J28" s="247">
        <f>SUM(J4:J27)</f>
        <v>3111.9</v>
      </c>
      <c r="K28" s="247">
        <f>SUM(K4:K27)</f>
        <v>128270.96749999998</v>
      </c>
      <c r="L28" s="247">
        <f>SUM(L4:L12)</f>
        <v>0</v>
      </c>
      <c r="M28" s="247"/>
      <c r="N28" s="247"/>
      <c r="O28" s="103"/>
    </row>
    <row r="29" spans="1:15">
      <c r="A29" s="123"/>
      <c r="B29" s="123"/>
      <c r="C29" s="123"/>
      <c r="D29" s="123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03"/>
    </row>
    <row r="30" spans="1:15">
      <c r="O30" s="103"/>
    </row>
    <row r="31" spans="1:15">
      <c r="O31" s="103"/>
    </row>
    <row r="32" spans="1:15">
      <c r="O32" s="103"/>
    </row>
    <row r="33" spans="1:15">
      <c r="O33" s="103"/>
    </row>
    <row r="34" spans="1:15">
      <c r="O34" s="103"/>
    </row>
    <row r="35" spans="1:15">
      <c r="A35" s="103"/>
      <c r="B35" s="103"/>
      <c r="C35" s="103"/>
      <c r="D35" s="103"/>
      <c r="E35" s="103"/>
      <c r="F35" s="103"/>
      <c r="G35" s="131"/>
      <c r="H35" s="103"/>
      <c r="I35" s="103"/>
      <c r="J35" s="103"/>
      <c r="K35" s="103"/>
      <c r="L35" s="103"/>
      <c r="M35" s="103"/>
      <c r="N35" s="103"/>
      <c r="O35" s="125"/>
    </row>
    <row r="36" spans="1:15">
      <c r="A36" s="103"/>
      <c r="B36" s="503"/>
      <c r="C36" s="503"/>
      <c r="D36" s="503"/>
      <c r="E36" s="503"/>
      <c r="F36" s="103"/>
      <c r="G36" s="103"/>
      <c r="H36" s="103"/>
      <c r="I36" s="503"/>
      <c r="J36" s="503"/>
      <c r="K36" s="503"/>
      <c r="L36" s="503"/>
      <c r="M36" s="503"/>
      <c r="N36" s="503"/>
      <c r="O36" s="125"/>
    </row>
    <row r="37" spans="1:1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25"/>
    </row>
  </sheetData>
  <mergeCells count="4">
    <mergeCell ref="A1:N1"/>
    <mergeCell ref="B36:E36"/>
    <mergeCell ref="I36:N36"/>
    <mergeCell ref="A3:L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O45"/>
  <sheetViews>
    <sheetView workbookViewId="0">
      <pane ySplit="2" topLeftCell="A3" activePane="bottomLeft" state="frozen"/>
      <selection pane="bottomLeft" activeCell="M40" sqref="M40"/>
    </sheetView>
  </sheetViews>
  <sheetFormatPr defaultRowHeight="15"/>
  <cols>
    <col min="1" max="1" width="5.140625" style="117" bestFit="1" customWidth="1"/>
    <col min="2" max="2" width="10.85546875" style="117" bestFit="1" customWidth="1"/>
    <col min="3" max="3" width="8" style="117" bestFit="1" customWidth="1"/>
    <col min="4" max="4" width="16" style="117" bestFit="1" customWidth="1"/>
    <col min="5" max="5" width="10.7109375" style="117" bestFit="1" customWidth="1"/>
    <col min="6" max="6" width="14.5703125" style="117" bestFit="1" customWidth="1"/>
    <col min="7" max="7" width="11.85546875" style="117" bestFit="1" customWidth="1"/>
    <col min="8" max="8" width="10.7109375" style="117" bestFit="1" customWidth="1"/>
    <col min="9" max="9" width="7.140625" style="117" bestFit="1" customWidth="1"/>
    <col min="10" max="10" width="10.85546875" style="117" bestFit="1" customWidth="1"/>
    <col min="11" max="12" width="13.5703125" style="117" bestFit="1" customWidth="1"/>
    <col min="13" max="13" width="13.5703125" style="117" customWidth="1"/>
    <col min="14" max="14" width="14.140625" style="117" bestFit="1" customWidth="1"/>
    <col min="15" max="15" width="11.28515625" style="117" customWidth="1"/>
    <col min="16" max="16" width="9.140625" style="117" customWidth="1"/>
    <col min="17" max="16384" width="9.140625" style="117"/>
  </cols>
  <sheetData>
    <row r="1" spans="1:15" ht="15.75">
      <c r="A1" s="475" t="s">
        <v>36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132"/>
    </row>
    <row r="2" spans="1:15">
      <c r="A2" s="110" t="s">
        <v>58</v>
      </c>
      <c r="B2" s="136" t="s">
        <v>59</v>
      </c>
      <c r="C2" s="136" t="s">
        <v>60</v>
      </c>
      <c r="D2" s="136" t="s">
        <v>61</v>
      </c>
      <c r="E2" s="136" t="s">
        <v>62</v>
      </c>
      <c r="F2" s="136" t="s">
        <v>63</v>
      </c>
      <c r="G2" s="136" t="s">
        <v>64</v>
      </c>
      <c r="H2" s="136" t="s">
        <v>65</v>
      </c>
      <c r="I2" s="136" t="s">
        <v>63</v>
      </c>
      <c r="J2" s="137" t="s">
        <v>64</v>
      </c>
      <c r="K2" s="110" t="s">
        <v>66</v>
      </c>
      <c r="L2" s="138" t="s">
        <v>67</v>
      </c>
      <c r="M2" s="138" t="s">
        <v>68</v>
      </c>
      <c r="N2" s="136" t="s">
        <v>69</v>
      </c>
      <c r="O2" s="103"/>
    </row>
    <row r="3" spans="1:15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8"/>
      <c r="K3" s="252">
        <v>245446.58</v>
      </c>
      <c r="L3" s="113"/>
      <c r="M3" s="245">
        <f>+K3</f>
        <v>245446.58</v>
      </c>
      <c r="N3" s="113"/>
      <c r="O3" s="103"/>
    </row>
    <row r="4" spans="1:15">
      <c r="A4" s="135">
        <v>1</v>
      </c>
      <c r="B4" s="254" t="s">
        <v>117</v>
      </c>
      <c r="C4" s="113"/>
      <c r="D4" s="245"/>
      <c r="E4" s="254">
        <v>0</v>
      </c>
      <c r="F4" s="254">
        <v>89.91</v>
      </c>
      <c r="G4" s="9">
        <f>E4*F4</f>
        <v>0</v>
      </c>
      <c r="H4" s="254">
        <v>0</v>
      </c>
      <c r="I4" s="254">
        <v>103.89</v>
      </c>
      <c r="J4" s="9">
        <f>H4*I4</f>
        <v>0</v>
      </c>
      <c r="K4" s="9">
        <f>G4+J4</f>
        <v>0</v>
      </c>
      <c r="L4" s="255">
        <v>141300</v>
      </c>
      <c r="M4" s="255">
        <f>M3+K4-L4</f>
        <v>104146.57999999999</v>
      </c>
      <c r="N4" s="70" t="s">
        <v>155</v>
      </c>
    </row>
    <row r="5" spans="1:15">
      <c r="A5" s="135">
        <v>2</v>
      </c>
      <c r="B5" s="254" t="s">
        <v>119</v>
      </c>
      <c r="C5" s="113"/>
      <c r="D5" s="113"/>
      <c r="E5" s="254">
        <v>35</v>
      </c>
      <c r="F5" s="254">
        <v>89.91</v>
      </c>
      <c r="G5" s="9">
        <f>E5*F5</f>
        <v>3146.85</v>
      </c>
      <c r="H5" s="254">
        <v>12</v>
      </c>
      <c r="I5" s="254">
        <v>103.89</v>
      </c>
      <c r="J5" s="9">
        <f>H5*I5</f>
        <v>1246.68</v>
      </c>
      <c r="K5" s="9">
        <f>G5+J5</f>
        <v>4393.53</v>
      </c>
      <c r="L5" s="9"/>
      <c r="M5" s="255">
        <f>M4+K5-L5</f>
        <v>108540.10999999999</v>
      </c>
      <c r="N5" s="70"/>
    </row>
    <row r="6" spans="1:15">
      <c r="A6" s="135">
        <v>3</v>
      </c>
      <c r="B6" s="254" t="s">
        <v>120</v>
      </c>
      <c r="C6" s="113"/>
      <c r="D6" s="113"/>
      <c r="E6" s="254">
        <v>235</v>
      </c>
      <c r="F6" s="254">
        <v>89.91</v>
      </c>
      <c r="G6" s="9">
        <f>E6*F6</f>
        <v>21128.85</v>
      </c>
      <c r="H6" s="254">
        <v>6</v>
      </c>
      <c r="I6" s="254">
        <v>103.89</v>
      </c>
      <c r="J6" s="9">
        <f>H6*I6</f>
        <v>623.34</v>
      </c>
      <c r="K6" s="9">
        <f>G6+J6</f>
        <v>21752.19</v>
      </c>
      <c r="L6" s="9"/>
      <c r="M6" s="255">
        <f>M5+K6-L6</f>
        <v>130292.29999999999</v>
      </c>
      <c r="N6" s="70"/>
    </row>
    <row r="7" spans="1:15">
      <c r="A7" s="135">
        <v>4</v>
      </c>
      <c r="B7" s="254" t="s">
        <v>121</v>
      </c>
      <c r="C7" s="113"/>
      <c r="D7" s="120"/>
      <c r="E7" s="254">
        <v>159</v>
      </c>
      <c r="F7" s="254">
        <v>89.91</v>
      </c>
      <c r="G7" s="9">
        <f>E7*F7</f>
        <v>14295.689999999999</v>
      </c>
      <c r="H7" s="254">
        <v>0</v>
      </c>
      <c r="I7" s="254">
        <v>103.89</v>
      </c>
      <c r="J7" s="9">
        <f>H7*I7</f>
        <v>0</v>
      </c>
      <c r="K7" s="9">
        <f>G7+J7</f>
        <v>14295.689999999999</v>
      </c>
      <c r="L7" s="9"/>
      <c r="M7" s="255">
        <f>M6+K7-L7</f>
        <v>144587.99</v>
      </c>
      <c r="N7" s="70"/>
    </row>
    <row r="8" spans="1:15">
      <c r="A8" s="135">
        <v>5</v>
      </c>
      <c r="B8" s="254" t="s">
        <v>122</v>
      </c>
      <c r="C8" s="113"/>
      <c r="D8" s="120"/>
      <c r="E8" s="254">
        <v>72</v>
      </c>
      <c r="F8" s="254">
        <v>89.91</v>
      </c>
      <c r="G8" s="9">
        <f>E8*F8</f>
        <v>6473.5199999999995</v>
      </c>
      <c r="H8" s="254">
        <v>0</v>
      </c>
      <c r="I8" s="254">
        <v>103.89</v>
      </c>
      <c r="J8" s="9">
        <f>H8*I8</f>
        <v>0</v>
      </c>
      <c r="K8" s="9">
        <f>G8+J8</f>
        <v>6473.5199999999995</v>
      </c>
      <c r="L8" s="9"/>
      <c r="M8" s="255">
        <f>M7+K8-L8</f>
        <v>151061.50999999998</v>
      </c>
      <c r="N8" s="70"/>
    </row>
    <row r="9" spans="1:15">
      <c r="A9" s="135">
        <v>6</v>
      </c>
      <c r="B9" s="254" t="s">
        <v>123</v>
      </c>
      <c r="C9" s="113"/>
      <c r="D9" s="120"/>
      <c r="E9" s="254">
        <v>65</v>
      </c>
      <c r="F9" s="254">
        <v>89.91</v>
      </c>
      <c r="G9" s="9">
        <f>E9*F9</f>
        <v>5844.15</v>
      </c>
      <c r="H9" s="254">
        <v>17</v>
      </c>
      <c r="I9" s="254">
        <v>103.89</v>
      </c>
      <c r="J9" s="9">
        <f>H9*I9</f>
        <v>1766.13</v>
      </c>
      <c r="K9" s="9">
        <f>G9+J9</f>
        <v>7610.28</v>
      </c>
      <c r="L9" s="9"/>
      <c r="M9" s="255">
        <f>M8+K9-L9</f>
        <v>158671.78999999998</v>
      </c>
      <c r="N9" s="70"/>
    </row>
    <row r="10" spans="1:15">
      <c r="A10" s="135">
        <v>7</v>
      </c>
      <c r="B10" s="254" t="s">
        <v>124</v>
      </c>
      <c r="C10" s="113"/>
      <c r="D10" s="120"/>
      <c r="E10" s="254">
        <v>0</v>
      </c>
      <c r="F10" s="254">
        <v>89.91</v>
      </c>
      <c r="G10" s="9">
        <f>E10*F10</f>
        <v>0</v>
      </c>
      <c r="H10" s="254">
        <v>0</v>
      </c>
      <c r="I10" s="254">
        <v>0</v>
      </c>
      <c r="J10" s="9">
        <f>H10*I10</f>
        <v>0</v>
      </c>
      <c r="K10" s="9">
        <f>G10+J10</f>
        <v>0</v>
      </c>
      <c r="L10" s="9"/>
      <c r="M10" s="255">
        <f>M9+K10-L10</f>
        <v>158671.78999999998</v>
      </c>
      <c r="N10" s="70"/>
    </row>
    <row r="11" spans="1:15">
      <c r="A11" s="135">
        <v>8</v>
      </c>
      <c r="B11" s="254" t="s">
        <v>125</v>
      </c>
      <c r="C11" s="113"/>
      <c r="D11" s="120"/>
      <c r="E11" s="254">
        <v>145</v>
      </c>
      <c r="F11" s="254">
        <v>89.91</v>
      </c>
      <c r="G11" s="9">
        <f>E11*F11</f>
        <v>13036.949999999999</v>
      </c>
      <c r="H11" s="254">
        <v>6</v>
      </c>
      <c r="I11" s="254">
        <v>103.89</v>
      </c>
      <c r="J11" s="9">
        <f>H11*I11</f>
        <v>623.34</v>
      </c>
      <c r="K11" s="9">
        <f>G11+J11</f>
        <v>13660.289999999999</v>
      </c>
      <c r="L11" s="9"/>
      <c r="M11" s="255">
        <f>M10+K11-L11</f>
        <v>172332.08</v>
      </c>
      <c r="N11" s="70"/>
    </row>
    <row r="12" spans="1:15">
      <c r="A12" s="135">
        <v>9</v>
      </c>
      <c r="B12" s="254" t="s">
        <v>126</v>
      </c>
      <c r="C12" s="113"/>
      <c r="D12" s="120"/>
      <c r="E12" s="254">
        <v>108.78</v>
      </c>
      <c r="F12" s="254">
        <v>89.91</v>
      </c>
      <c r="G12" s="9">
        <f>E12*F12</f>
        <v>9780.4097999999994</v>
      </c>
      <c r="H12" s="254">
        <v>0</v>
      </c>
      <c r="I12" s="254">
        <v>0</v>
      </c>
      <c r="J12" s="9">
        <f>H12*I12</f>
        <v>0</v>
      </c>
      <c r="K12" s="9">
        <f>G12+J12</f>
        <v>9780.4097999999994</v>
      </c>
      <c r="L12" s="9"/>
      <c r="M12" s="255">
        <f>M11+K12-L12</f>
        <v>182112.48979999998</v>
      </c>
      <c r="N12" s="70"/>
    </row>
    <row r="13" spans="1:15">
      <c r="A13" s="135">
        <v>10</v>
      </c>
      <c r="B13" s="254" t="s">
        <v>127</v>
      </c>
      <c r="C13" s="113"/>
      <c r="D13" s="120"/>
      <c r="E13" s="254">
        <v>92.82</v>
      </c>
      <c r="F13" s="254">
        <v>89.91</v>
      </c>
      <c r="G13" s="9">
        <f>E13*F13</f>
        <v>8345.4461999999985</v>
      </c>
      <c r="H13" s="254">
        <v>15</v>
      </c>
      <c r="I13" s="254">
        <v>103.89</v>
      </c>
      <c r="J13" s="9">
        <f>H13*I13</f>
        <v>1558.35</v>
      </c>
      <c r="K13" s="9">
        <f>G13+J13</f>
        <v>9903.7961999999989</v>
      </c>
      <c r="L13" s="9"/>
      <c r="M13" s="255">
        <f>M12+K13-L13</f>
        <v>192016.28599999999</v>
      </c>
      <c r="N13" s="70"/>
    </row>
    <row r="14" spans="1:15">
      <c r="A14" s="135">
        <v>11</v>
      </c>
      <c r="B14" s="254" t="s">
        <v>128</v>
      </c>
      <c r="C14" s="113"/>
      <c r="D14" s="120"/>
      <c r="E14" s="254">
        <v>70</v>
      </c>
      <c r="F14" s="254">
        <v>89.91</v>
      </c>
      <c r="G14" s="9">
        <f>E14*F14</f>
        <v>6293.7</v>
      </c>
      <c r="H14" s="254">
        <v>0</v>
      </c>
      <c r="I14" s="254">
        <v>0</v>
      </c>
      <c r="J14" s="9">
        <f>H14*I14</f>
        <v>0</v>
      </c>
      <c r="K14" s="9">
        <f>G14+J14</f>
        <v>6293.7</v>
      </c>
      <c r="L14" s="9"/>
      <c r="M14" s="255">
        <f>M13+K14-L14</f>
        <v>198309.986</v>
      </c>
      <c r="N14" s="70"/>
    </row>
    <row r="15" spans="1:15">
      <c r="A15" s="135">
        <v>12</v>
      </c>
      <c r="B15" s="254" t="s">
        <v>129</v>
      </c>
      <c r="C15" s="113"/>
      <c r="D15" s="120"/>
      <c r="E15" s="254">
        <v>45</v>
      </c>
      <c r="F15" s="254">
        <v>89.91</v>
      </c>
      <c r="G15" s="9">
        <f>E15*F15</f>
        <v>4045.95</v>
      </c>
      <c r="H15" s="254">
        <v>6</v>
      </c>
      <c r="I15" s="254">
        <v>103.89</v>
      </c>
      <c r="J15" s="9">
        <f>H15*I15</f>
        <v>623.34</v>
      </c>
      <c r="K15" s="9">
        <f>G15+J15</f>
        <v>4669.29</v>
      </c>
      <c r="L15" s="9"/>
      <c r="M15" s="255">
        <f>M14+K15-L15</f>
        <v>202979.27600000001</v>
      </c>
      <c r="N15" s="70"/>
    </row>
    <row r="16" spans="1:15">
      <c r="A16" s="135">
        <v>13</v>
      </c>
      <c r="B16" s="254" t="s">
        <v>130</v>
      </c>
      <c r="C16" s="113"/>
      <c r="D16" s="120"/>
      <c r="E16" s="254">
        <v>80</v>
      </c>
      <c r="F16" s="254">
        <v>89.91</v>
      </c>
      <c r="G16" s="9">
        <f>E16*F16</f>
        <v>7192.7999999999993</v>
      </c>
      <c r="H16" s="254">
        <v>6</v>
      </c>
      <c r="I16" s="254">
        <v>103.89</v>
      </c>
      <c r="J16" s="9">
        <f>H16*I16</f>
        <v>623.34</v>
      </c>
      <c r="K16" s="9">
        <f>G16+J16</f>
        <v>7816.1399999999994</v>
      </c>
      <c r="L16" s="9"/>
      <c r="M16" s="255">
        <f>M15+K16-L16</f>
        <v>210795.41600000003</v>
      </c>
      <c r="N16" s="70"/>
    </row>
    <row r="17" spans="1:14">
      <c r="A17" s="135">
        <v>14</v>
      </c>
      <c r="B17" s="254" t="s">
        <v>131</v>
      </c>
      <c r="C17" s="113"/>
      <c r="D17" s="120"/>
      <c r="E17" s="254">
        <v>29.9</v>
      </c>
      <c r="F17" s="254">
        <v>89.91</v>
      </c>
      <c r="G17" s="9">
        <f>E17*F17</f>
        <v>2688.3089999999997</v>
      </c>
      <c r="H17" s="254">
        <v>0</v>
      </c>
      <c r="I17" s="254">
        <v>0</v>
      </c>
      <c r="J17" s="9">
        <f>H17*I17</f>
        <v>0</v>
      </c>
      <c r="K17" s="9">
        <f>G17+J17</f>
        <v>2688.3089999999997</v>
      </c>
      <c r="L17" s="9"/>
      <c r="M17" s="255">
        <f>M16+K17-L17</f>
        <v>213483.72500000003</v>
      </c>
      <c r="N17" s="70"/>
    </row>
    <row r="18" spans="1:14">
      <c r="A18" s="135">
        <v>15</v>
      </c>
      <c r="B18" s="254" t="s">
        <v>132</v>
      </c>
      <c r="C18" s="113"/>
      <c r="D18" s="120"/>
      <c r="E18" s="254">
        <v>52</v>
      </c>
      <c r="F18" s="254">
        <v>89.91</v>
      </c>
      <c r="G18" s="9">
        <f>E18*F18</f>
        <v>4675.32</v>
      </c>
      <c r="H18" s="254">
        <v>12</v>
      </c>
      <c r="I18" s="254">
        <v>103.89</v>
      </c>
      <c r="J18" s="9">
        <f>H18*I18</f>
        <v>1246.68</v>
      </c>
      <c r="K18" s="9">
        <f>G18+J18</f>
        <v>5922</v>
      </c>
      <c r="L18" s="9"/>
      <c r="M18" s="255">
        <f>M17+K18-L18</f>
        <v>219405.72500000003</v>
      </c>
      <c r="N18" s="70"/>
    </row>
    <row r="19" spans="1:14">
      <c r="A19" s="135">
        <v>16</v>
      </c>
      <c r="B19" s="254" t="s">
        <v>146</v>
      </c>
      <c r="C19" s="113"/>
      <c r="D19" s="120"/>
      <c r="E19" s="254">
        <v>80</v>
      </c>
      <c r="F19" s="254">
        <v>89.91</v>
      </c>
      <c r="G19" s="9">
        <f>E19*F19</f>
        <v>7192.7999999999993</v>
      </c>
      <c r="H19" s="254">
        <v>0</v>
      </c>
      <c r="I19" s="254">
        <v>0</v>
      </c>
      <c r="J19" s="9">
        <f>H19*I19</f>
        <v>0</v>
      </c>
      <c r="K19" s="9">
        <f>G19+J19</f>
        <v>7192.7999999999993</v>
      </c>
      <c r="L19" s="9"/>
      <c r="M19" s="255">
        <f>M18+K19-L19</f>
        <v>226598.52500000002</v>
      </c>
      <c r="N19" s="70"/>
    </row>
    <row r="20" spans="1:14">
      <c r="A20" s="135">
        <v>17</v>
      </c>
      <c r="B20" s="254" t="s">
        <v>147</v>
      </c>
      <c r="C20" s="113"/>
      <c r="D20" s="120"/>
      <c r="E20" s="254">
        <v>75</v>
      </c>
      <c r="F20" s="254">
        <v>89.91</v>
      </c>
      <c r="G20" s="9">
        <f>E20*F20</f>
        <v>6743.25</v>
      </c>
      <c r="H20" s="254">
        <v>0</v>
      </c>
      <c r="I20" s="254">
        <v>0</v>
      </c>
      <c r="J20" s="9">
        <f>H20*I20</f>
        <v>0</v>
      </c>
      <c r="K20" s="9">
        <f>G20+J20</f>
        <v>6743.25</v>
      </c>
      <c r="L20" s="9"/>
      <c r="M20" s="255">
        <f t="shared" ref="M20:M34" si="0">M19+K20-L20</f>
        <v>233341.77500000002</v>
      </c>
      <c r="N20" s="70"/>
    </row>
    <row r="21" spans="1:14">
      <c r="A21" s="135">
        <v>18</v>
      </c>
      <c r="B21" s="254" t="s">
        <v>148</v>
      </c>
      <c r="C21" s="113"/>
      <c r="D21" s="120"/>
      <c r="E21" s="254">
        <v>355</v>
      </c>
      <c r="F21" s="254">
        <v>89.91</v>
      </c>
      <c r="G21" s="9">
        <f>E21*F21</f>
        <v>31918.05</v>
      </c>
      <c r="H21" s="254">
        <v>12</v>
      </c>
      <c r="I21" s="254">
        <v>103.89</v>
      </c>
      <c r="J21" s="9">
        <f>H21*I21</f>
        <v>1246.68</v>
      </c>
      <c r="K21" s="9">
        <f>G21+J21</f>
        <v>33164.729999999996</v>
      </c>
      <c r="L21" s="9"/>
      <c r="M21" s="255">
        <f t="shared" si="0"/>
        <v>266506.505</v>
      </c>
      <c r="N21" s="70"/>
    </row>
    <row r="22" spans="1:14">
      <c r="A22" s="135">
        <v>19</v>
      </c>
      <c r="B22" s="254" t="s">
        <v>149</v>
      </c>
      <c r="C22" s="113"/>
      <c r="D22" s="120"/>
      <c r="E22" s="254">
        <v>65</v>
      </c>
      <c r="F22" s="254">
        <v>89.91</v>
      </c>
      <c r="G22" s="9">
        <f>E22*F22</f>
        <v>5844.15</v>
      </c>
      <c r="H22" s="254">
        <v>6</v>
      </c>
      <c r="I22" s="254">
        <v>103.89</v>
      </c>
      <c r="J22" s="9">
        <f>H22*I22</f>
        <v>623.34</v>
      </c>
      <c r="K22" s="9">
        <f>G22+J22</f>
        <v>6467.49</v>
      </c>
      <c r="L22" s="9"/>
      <c r="M22" s="255">
        <f t="shared" si="0"/>
        <v>272973.995</v>
      </c>
      <c r="N22" s="70"/>
    </row>
    <row r="23" spans="1:14">
      <c r="A23" s="135">
        <v>20</v>
      </c>
      <c r="B23" s="254" t="s">
        <v>150</v>
      </c>
      <c r="C23" s="113"/>
      <c r="D23" s="120"/>
      <c r="E23" s="254">
        <v>0</v>
      </c>
      <c r="F23" s="254">
        <v>89.91</v>
      </c>
      <c r="G23" s="9">
        <f t="shared" ref="G23:G34" si="1">E23*F23</f>
        <v>0</v>
      </c>
      <c r="H23" s="254">
        <v>6</v>
      </c>
      <c r="I23" s="254">
        <v>103.89</v>
      </c>
      <c r="J23" s="9">
        <f>H23*I23</f>
        <v>623.34</v>
      </c>
      <c r="K23" s="9">
        <f>G23+J23</f>
        <v>623.34</v>
      </c>
      <c r="L23" s="9"/>
      <c r="M23" s="255">
        <f t="shared" si="0"/>
        <v>273597.33500000002</v>
      </c>
      <c r="N23" s="70"/>
    </row>
    <row r="24" spans="1:14">
      <c r="A24" s="135">
        <v>21</v>
      </c>
      <c r="B24" s="254" t="s">
        <v>151</v>
      </c>
      <c r="C24" s="113"/>
      <c r="D24" s="120"/>
      <c r="E24" s="254">
        <v>130</v>
      </c>
      <c r="F24" s="254">
        <v>89.91</v>
      </c>
      <c r="G24" s="9">
        <f t="shared" si="1"/>
        <v>11688.3</v>
      </c>
      <c r="H24" s="254">
        <v>6</v>
      </c>
      <c r="I24" s="254">
        <v>103.89</v>
      </c>
      <c r="J24" s="9">
        <f>H24*I24</f>
        <v>623.34</v>
      </c>
      <c r="K24" s="9">
        <f>G24+J24</f>
        <v>12311.64</v>
      </c>
      <c r="L24" s="9"/>
      <c r="M24" s="255">
        <f t="shared" si="0"/>
        <v>285908.97500000003</v>
      </c>
      <c r="N24" s="70"/>
    </row>
    <row r="25" spans="1:14">
      <c r="A25" s="135">
        <v>22</v>
      </c>
      <c r="B25" s="254" t="s">
        <v>133</v>
      </c>
      <c r="C25" s="113"/>
      <c r="D25" s="120"/>
      <c r="E25" s="254">
        <v>375</v>
      </c>
      <c r="F25" s="254">
        <v>89.91</v>
      </c>
      <c r="G25" s="9">
        <f t="shared" si="1"/>
        <v>33716.25</v>
      </c>
      <c r="H25" s="254"/>
      <c r="I25" s="254">
        <v>103.89</v>
      </c>
      <c r="J25" s="9">
        <f>H25*I25</f>
        <v>0</v>
      </c>
      <c r="K25" s="9">
        <f>G25+J25</f>
        <v>33716.25</v>
      </c>
      <c r="L25" s="9"/>
      <c r="M25" s="255">
        <f t="shared" si="0"/>
        <v>319625.22500000003</v>
      </c>
      <c r="N25" s="70"/>
    </row>
    <row r="26" spans="1:14">
      <c r="A26" s="135">
        <v>23</v>
      </c>
      <c r="B26" s="254" t="s">
        <v>134</v>
      </c>
      <c r="C26" s="113"/>
      <c r="D26" s="120"/>
      <c r="E26" s="254">
        <v>353</v>
      </c>
      <c r="F26" s="254">
        <v>89.91</v>
      </c>
      <c r="G26" s="9">
        <f t="shared" si="1"/>
        <v>31738.23</v>
      </c>
      <c r="H26" s="254">
        <v>6</v>
      </c>
      <c r="I26" s="254">
        <v>103.89</v>
      </c>
      <c r="J26" s="9">
        <f>H26*I26</f>
        <v>623.34</v>
      </c>
      <c r="K26" s="9">
        <f>G26+J26</f>
        <v>32361.57</v>
      </c>
      <c r="L26" s="9"/>
      <c r="M26" s="255">
        <f t="shared" si="0"/>
        <v>351986.79500000004</v>
      </c>
      <c r="N26" s="70"/>
    </row>
    <row r="27" spans="1:14">
      <c r="A27" s="135">
        <v>24</v>
      </c>
      <c r="B27" s="254" t="s">
        <v>135</v>
      </c>
      <c r="C27" s="113"/>
      <c r="D27" s="120"/>
      <c r="E27" s="254">
        <v>300</v>
      </c>
      <c r="F27" s="254">
        <v>89.91</v>
      </c>
      <c r="G27" s="9">
        <f t="shared" si="1"/>
        <v>26973</v>
      </c>
      <c r="H27" s="254"/>
      <c r="I27" s="254">
        <v>103.89</v>
      </c>
      <c r="J27" s="9">
        <f t="shared" ref="J27:J34" si="2">H27*I27</f>
        <v>0</v>
      </c>
      <c r="K27" s="9">
        <f>G27+J27</f>
        <v>26973</v>
      </c>
      <c r="L27" s="9">
        <v>0</v>
      </c>
      <c r="M27" s="255">
        <f t="shared" si="0"/>
        <v>378959.79500000004</v>
      </c>
      <c r="N27" s="70"/>
    </row>
    <row r="28" spans="1:14">
      <c r="A28" s="135">
        <v>25</v>
      </c>
      <c r="B28" s="254" t="s">
        <v>136</v>
      </c>
      <c r="C28" s="113"/>
      <c r="D28" s="120"/>
      <c r="E28" s="254">
        <v>345</v>
      </c>
      <c r="F28" s="254">
        <v>89.91</v>
      </c>
      <c r="G28" s="9">
        <f t="shared" si="1"/>
        <v>31018.949999999997</v>
      </c>
      <c r="H28" s="254">
        <v>17</v>
      </c>
      <c r="I28" s="254">
        <v>103.89</v>
      </c>
      <c r="J28" s="9">
        <f t="shared" si="2"/>
        <v>1766.13</v>
      </c>
      <c r="K28" s="9">
        <f>G28+J28</f>
        <v>32785.079999999994</v>
      </c>
      <c r="L28" s="9"/>
      <c r="M28" s="255">
        <f t="shared" si="0"/>
        <v>411744.87500000006</v>
      </c>
      <c r="N28" s="70"/>
    </row>
    <row r="29" spans="1:14">
      <c r="A29" s="135">
        <v>26</v>
      </c>
      <c r="B29" s="254" t="s">
        <v>137</v>
      </c>
      <c r="C29" s="113"/>
      <c r="D29" s="120"/>
      <c r="E29" s="254"/>
      <c r="F29" s="254">
        <v>89.91</v>
      </c>
      <c r="G29" s="9">
        <f t="shared" si="1"/>
        <v>0</v>
      </c>
      <c r="H29" s="254"/>
      <c r="I29" s="254">
        <v>103.89</v>
      </c>
      <c r="J29" s="9">
        <f t="shared" si="2"/>
        <v>0</v>
      </c>
      <c r="K29" s="9">
        <f t="shared" ref="K29:K34" si="3">G29+J29</f>
        <v>0</v>
      </c>
      <c r="L29" s="9"/>
      <c r="M29" s="255">
        <f t="shared" si="0"/>
        <v>411744.87500000006</v>
      </c>
      <c r="N29" s="70"/>
    </row>
    <row r="30" spans="1:14">
      <c r="A30" s="135">
        <v>27</v>
      </c>
      <c r="B30" s="254" t="s">
        <v>152</v>
      </c>
      <c r="C30" s="113"/>
      <c r="D30" s="120"/>
      <c r="E30" s="254"/>
      <c r="F30" s="254">
        <v>89.91</v>
      </c>
      <c r="G30" s="9">
        <f t="shared" si="1"/>
        <v>0</v>
      </c>
      <c r="H30" s="254"/>
      <c r="I30" s="254">
        <v>103.89</v>
      </c>
      <c r="J30" s="9">
        <f t="shared" si="2"/>
        <v>0</v>
      </c>
      <c r="K30" s="9">
        <f t="shared" si="3"/>
        <v>0</v>
      </c>
      <c r="L30" s="9"/>
      <c r="M30" s="255">
        <f t="shared" si="0"/>
        <v>411744.87500000006</v>
      </c>
      <c r="N30" s="70"/>
    </row>
    <row r="31" spans="1:14">
      <c r="A31" s="135">
        <v>28</v>
      </c>
      <c r="B31" s="420" t="s">
        <v>139</v>
      </c>
      <c r="C31" s="421"/>
      <c r="D31" s="377"/>
      <c r="E31" s="422">
        <v>140</v>
      </c>
      <c r="F31" s="422">
        <v>89.91</v>
      </c>
      <c r="G31" s="9">
        <f t="shared" si="1"/>
        <v>12587.4</v>
      </c>
      <c r="H31" s="254">
        <v>6</v>
      </c>
      <c r="I31" s="254">
        <v>103.89</v>
      </c>
      <c r="J31" s="9">
        <f t="shared" si="2"/>
        <v>623.34</v>
      </c>
      <c r="K31" s="9">
        <f t="shared" si="3"/>
        <v>13210.74</v>
      </c>
      <c r="L31" s="9"/>
      <c r="M31" s="255">
        <f t="shared" si="0"/>
        <v>424955.61500000005</v>
      </c>
      <c r="N31" s="70"/>
    </row>
    <row r="32" spans="1:14">
      <c r="A32" s="135">
        <v>29</v>
      </c>
      <c r="B32" s="254" t="s">
        <v>140</v>
      </c>
      <c r="C32" s="113"/>
      <c r="D32" s="120"/>
      <c r="E32" s="254">
        <v>10</v>
      </c>
      <c r="F32" s="422">
        <v>89.91</v>
      </c>
      <c r="G32" s="9">
        <f t="shared" si="1"/>
        <v>899.09999999999991</v>
      </c>
      <c r="H32" s="254">
        <v>5</v>
      </c>
      <c r="I32" s="254">
        <v>103.89</v>
      </c>
      <c r="J32" s="9">
        <f t="shared" si="2"/>
        <v>519.45000000000005</v>
      </c>
      <c r="K32" s="9">
        <f t="shared" si="3"/>
        <v>1418.55</v>
      </c>
      <c r="L32" s="9"/>
      <c r="M32" s="255">
        <f t="shared" si="0"/>
        <v>426374.16500000004</v>
      </c>
      <c r="N32" s="70"/>
    </row>
    <row r="33" spans="1:15">
      <c r="A33" s="135">
        <v>30</v>
      </c>
      <c r="B33" s="254" t="s">
        <v>153</v>
      </c>
      <c r="C33" s="113"/>
      <c r="D33" s="120"/>
      <c r="E33" s="254">
        <v>50</v>
      </c>
      <c r="F33" s="422">
        <v>89.91</v>
      </c>
      <c r="G33" s="9">
        <f t="shared" si="1"/>
        <v>4495.5</v>
      </c>
      <c r="H33" s="254">
        <v>5</v>
      </c>
      <c r="I33" s="254">
        <v>103.89</v>
      </c>
      <c r="J33" s="9">
        <f t="shared" si="2"/>
        <v>519.45000000000005</v>
      </c>
      <c r="K33" s="9">
        <f t="shared" si="3"/>
        <v>5014.95</v>
      </c>
      <c r="L33" s="9"/>
      <c r="M33" s="255">
        <f t="shared" si="0"/>
        <v>431389.11500000005</v>
      </c>
      <c r="N33" s="70"/>
    </row>
    <row r="34" spans="1:15">
      <c r="A34" s="135">
        <v>31</v>
      </c>
      <c r="B34" s="254" t="s">
        <v>154</v>
      </c>
      <c r="C34" s="113"/>
      <c r="D34" s="120"/>
      <c r="E34" s="254">
        <v>224.25</v>
      </c>
      <c r="F34" s="422">
        <v>89.91</v>
      </c>
      <c r="G34" s="9">
        <f t="shared" si="1"/>
        <v>20162.317500000001</v>
      </c>
      <c r="H34" s="254">
        <v>0</v>
      </c>
      <c r="I34" s="254">
        <v>103.89</v>
      </c>
      <c r="J34" s="9">
        <f t="shared" si="2"/>
        <v>0</v>
      </c>
      <c r="K34" s="9">
        <f t="shared" si="3"/>
        <v>20162.317500000001</v>
      </c>
      <c r="L34" s="9"/>
      <c r="M34" s="255">
        <f t="shared" si="0"/>
        <v>451551.43250000005</v>
      </c>
      <c r="N34" s="70"/>
    </row>
    <row r="35" spans="1:15">
      <c r="A35" s="135">
        <v>32</v>
      </c>
      <c r="B35" s="113"/>
      <c r="C35" s="113"/>
      <c r="D35" s="120"/>
      <c r="E35" s="254">
        <v>0</v>
      </c>
      <c r="F35" s="254"/>
      <c r="G35" s="390"/>
      <c r="H35" s="254"/>
      <c r="I35" s="254"/>
      <c r="J35" s="9"/>
      <c r="K35" s="9"/>
      <c r="L35" s="9"/>
      <c r="M35" s="255"/>
      <c r="N35" s="70"/>
    </row>
    <row r="36" spans="1:15">
      <c r="A36" s="246"/>
      <c r="B36" s="246"/>
      <c r="C36" s="246"/>
      <c r="D36" s="246"/>
      <c r="E36" s="247">
        <f>SUM(E4:E35)</f>
        <v>3691.75</v>
      </c>
      <c r="F36" s="247"/>
      <c r="G36" s="247">
        <f>SUM(G4:G35)</f>
        <v>331925.24249999999</v>
      </c>
      <c r="H36" s="247">
        <f>SUM(H4:H35)</f>
        <v>149</v>
      </c>
      <c r="I36" s="109"/>
      <c r="J36" s="247">
        <f>SUM(J4:J35)</f>
        <v>15479.610000000004</v>
      </c>
      <c r="K36" s="247">
        <f>SUM(K4:K35)</f>
        <v>347404.85249999998</v>
      </c>
      <c r="L36" s="247">
        <f>SUM(L4:L35)</f>
        <v>141300</v>
      </c>
      <c r="M36" s="109"/>
      <c r="N36" s="109"/>
      <c r="O36" s="103"/>
    </row>
    <row r="37" spans="1:15">
      <c r="A37" s="122"/>
      <c r="B37" s="123"/>
      <c r="C37" s="122"/>
      <c r="D37" s="122"/>
      <c r="E37" s="124"/>
      <c r="F37" s="124"/>
      <c r="G37" s="124"/>
      <c r="H37" s="124"/>
      <c r="I37" s="124"/>
      <c r="J37" s="125"/>
      <c r="K37" s="125"/>
      <c r="L37" s="125"/>
      <c r="M37" s="125"/>
      <c r="N37" s="124"/>
    </row>
    <row r="43" spans="1:15">
      <c r="B43" s="103"/>
      <c r="G43" s="126"/>
      <c r="J43" s="103"/>
      <c r="K43" s="103"/>
      <c r="L43" s="103"/>
      <c r="M43" s="103"/>
      <c r="O43" s="124"/>
    </row>
    <row r="44" spans="1:15">
      <c r="B44" s="483"/>
      <c r="C44" s="483"/>
      <c r="D44" s="483"/>
      <c r="E44" s="483"/>
      <c r="I44" s="483"/>
      <c r="J44" s="483"/>
      <c r="K44" s="483"/>
      <c r="L44" s="483"/>
      <c r="M44" s="483"/>
      <c r="N44" s="483"/>
      <c r="O44" s="124"/>
    </row>
    <row r="45" spans="1:15">
      <c r="B45" s="103"/>
      <c r="J45" s="103"/>
      <c r="K45" s="103"/>
      <c r="L45" s="103"/>
      <c r="M45" s="103"/>
      <c r="O45" s="124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N16"/>
  <sheetViews>
    <sheetView workbookViewId="0">
      <pane ySplit="2" topLeftCell="A3" activePane="bottomLeft" state="frozen"/>
      <selection pane="bottomLeft" activeCell="R18" sqref="R18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8" bestFit="1" customWidth="1"/>
    <col min="6" max="6" width="9.5703125" style="28" bestFit="1" customWidth="1"/>
    <col min="7" max="7" width="9.28515625" style="28" bestFit="1" customWidth="1"/>
    <col min="8" max="8" width="10.7109375" style="28" bestFit="1" customWidth="1"/>
    <col min="9" max="9" width="7.140625" style="28" bestFit="1" customWidth="1"/>
    <col min="10" max="10" width="8.7109375" style="28" bestFit="1" customWidth="1"/>
    <col min="11" max="11" width="13.5703125" style="28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505" t="s">
        <v>42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</row>
    <row r="2" spans="1:14">
      <c r="A2" s="110" t="s">
        <v>58</v>
      </c>
      <c r="B2" s="136" t="s">
        <v>59</v>
      </c>
      <c r="C2" s="136" t="s">
        <v>60</v>
      </c>
      <c r="D2" s="136" t="s">
        <v>61</v>
      </c>
      <c r="E2" s="145" t="s">
        <v>62</v>
      </c>
      <c r="F2" s="145" t="s">
        <v>63</v>
      </c>
      <c r="G2" s="145" t="s">
        <v>64</v>
      </c>
      <c r="H2" s="145" t="s">
        <v>65</v>
      </c>
      <c r="I2" s="145" t="s">
        <v>63</v>
      </c>
      <c r="J2" s="145" t="s">
        <v>64</v>
      </c>
      <c r="K2" s="146" t="s">
        <v>66</v>
      </c>
      <c r="L2" s="138" t="s">
        <v>67</v>
      </c>
      <c r="M2" s="138" t="s">
        <v>68</v>
      </c>
      <c r="N2" s="190" t="s">
        <v>69</v>
      </c>
    </row>
    <row r="3" spans="1:14">
      <c r="A3" s="506" t="s">
        <v>70</v>
      </c>
      <c r="B3" s="506"/>
      <c r="C3" s="506"/>
      <c r="D3" s="506"/>
      <c r="E3" s="506"/>
      <c r="F3" s="506"/>
      <c r="G3" s="506"/>
      <c r="H3" s="506"/>
      <c r="I3" s="506"/>
      <c r="J3" s="507"/>
      <c r="K3" s="43">
        <v>17828</v>
      </c>
      <c r="M3" s="209">
        <f>+K3</f>
        <v>17828</v>
      </c>
      <c r="N3" s="23"/>
    </row>
    <row r="4" spans="1:14">
      <c r="A4" s="23">
        <v>1</v>
      </c>
      <c r="B4" s="36" t="s">
        <v>119</v>
      </c>
      <c r="C4" s="23"/>
      <c r="D4" s="23"/>
      <c r="E4" s="67">
        <v>32.81</v>
      </c>
      <c r="F4" s="67">
        <v>91.44</v>
      </c>
      <c r="G4" s="67">
        <f>E4*F4</f>
        <v>3000.1464000000001</v>
      </c>
      <c r="H4" s="67">
        <v>4.76</v>
      </c>
      <c r="I4" s="67">
        <v>105.04</v>
      </c>
      <c r="J4" s="67">
        <f>H4*I4</f>
        <v>499.99040000000002</v>
      </c>
      <c r="K4" s="67">
        <f>G4+J4</f>
        <v>3500.1368000000002</v>
      </c>
      <c r="L4" s="23"/>
      <c r="M4" s="210">
        <f>M3+K4-L4</f>
        <v>21328.1368</v>
      </c>
      <c r="N4" s="213"/>
    </row>
    <row r="5" spans="1:14">
      <c r="A5" s="23">
        <v>2</v>
      </c>
      <c r="B5" s="36" t="s">
        <v>119</v>
      </c>
      <c r="C5" s="23"/>
      <c r="D5" s="23"/>
      <c r="E5" s="67">
        <v>40</v>
      </c>
      <c r="F5" s="67">
        <v>91.5</v>
      </c>
      <c r="G5" s="67">
        <f>E5*F5</f>
        <v>3660</v>
      </c>
      <c r="H5" s="67">
        <v>0</v>
      </c>
      <c r="I5" s="67">
        <v>0</v>
      </c>
      <c r="J5" s="67">
        <f>H5*I5</f>
        <v>0</v>
      </c>
      <c r="K5" s="67">
        <f>G5+J5</f>
        <v>3660</v>
      </c>
      <c r="L5" s="23"/>
      <c r="M5" s="210">
        <f t="shared" ref="M5:M15" si="0">M4+K5-L5</f>
        <v>24988.1368</v>
      </c>
      <c r="N5" s="23"/>
    </row>
    <row r="6" spans="1:14">
      <c r="A6" s="23">
        <v>2</v>
      </c>
      <c r="B6" s="36" t="s">
        <v>121</v>
      </c>
      <c r="C6" s="23"/>
      <c r="D6" s="23"/>
      <c r="E6" s="67">
        <v>54.66</v>
      </c>
      <c r="F6" s="67">
        <v>91.47</v>
      </c>
      <c r="G6" s="67">
        <f>E6*F6</f>
        <v>4999.7501999999995</v>
      </c>
      <c r="H6" s="67">
        <v>0</v>
      </c>
      <c r="I6" s="67">
        <v>0</v>
      </c>
      <c r="J6" s="67">
        <f t="shared" ref="J6:J11" si="1">H6*I6</f>
        <v>0</v>
      </c>
      <c r="K6" s="67">
        <f>G6+J6</f>
        <v>4999.7501999999995</v>
      </c>
      <c r="L6" s="23"/>
      <c r="M6" s="210">
        <f t="shared" si="0"/>
        <v>29987.886999999999</v>
      </c>
      <c r="N6" s="23"/>
    </row>
    <row r="7" spans="1:14">
      <c r="A7" s="23">
        <v>3</v>
      </c>
      <c r="B7" s="36" t="s">
        <v>123</v>
      </c>
      <c r="C7" s="23"/>
      <c r="D7" s="23"/>
      <c r="E7" s="67">
        <v>40</v>
      </c>
      <c r="F7" s="67">
        <v>91.48</v>
      </c>
      <c r="G7" s="67">
        <f>E7*F7</f>
        <v>3659.2000000000003</v>
      </c>
      <c r="H7" s="67">
        <v>0</v>
      </c>
      <c r="I7" s="67">
        <v>0</v>
      </c>
      <c r="J7" s="67">
        <f t="shared" si="1"/>
        <v>0</v>
      </c>
      <c r="K7" s="67">
        <f>G7+J7</f>
        <v>3659.2000000000003</v>
      </c>
      <c r="L7" s="23"/>
      <c r="M7" s="210">
        <f t="shared" si="0"/>
        <v>33647.087</v>
      </c>
      <c r="N7" s="23"/>
    </row>
    <row r="8" spans="1:14">
      <c r="A8" s="23">
        <v>4</v>
      </c>
      <c r="B8" s="36" t="s">
        <v>125</v>
      </c>
      <c r="C8" s="23"/>
      <c r="D8" s="23"/>
      <c r="E8" s="67">
        <v>43.74</v>
      </c>
      <c r="F8" s="67">
        <v>91.45</v>
      </c>
      <c r="G8" s="67">
        <f>E8*F8</f>
        <v>4000.0230000000001</v>
      </c>
      <c r="H8" s="67">
        <v>0</v>
      </c>
      <c r="I8" s="67">
        <v>0</v>
      </c>
      <c r="J8" s="67">
        <f t="shared" si="1"/>
        <v>0</v>
      </c>
      <c r="K8" s="67">
        <f>G8+J8</f>
        <v>4000.0230000000001</v>
      </c>
      <c r="L8" s="23">
        <v>4000.02</v>
      </c>
      <c r="M8" s="210">
        <f t="shared" si="0"/>
        <v>33647.090000000004</v>
      </c>
      <c r="N8" s="84" t="s">
        <v>95</v>
      </c>
    </row>
    <row r="9" spans="1:14">
      <c r="A9" s="23">
        <v>5</v>
      </c>
      <c r="B9" s="36" t="s">
        <v>127</v>
      </c>
      <c r="C9" s="23"/>
      <c r="D9" s="23"/>
      <c r="E9" s="67">
        <v>0</v>
      </c>
      <c r="F9" s="67">
        <v>0</v>
      </c>
      <c r="G9" s="67">
        <f>E9*F9</f>
        <v>0</v>
      </c>
      <c r="H9" s="67">
        <v>4.76</v>
      </c>
      <c r="I9" s="67">
        <v>105.04</v>
      </c>
      <c r="J9" s="67">
        <f t="shared" si="1"/>
        <v>499.99040000000002</v>
      </c>
      <c r="K9" s="67">
        <f>G9+J9</f>
        <v>499.99040000000002</v>
      </c>
      <c r="L9" s="23">
        <v>499.99</v>
      </c>
      <c r="M9" s="210">
        <f t="shared" si="0"/>
        <v>33647.090400000008</v>
      </c>
      <c r="N9" s="84" t="s">
        <v>95</v>
      </c>
    </row>
    <row r="10" spans="1:14">
      <c r="A10" s="23">
        <v>6</v>
      </c>
      <c r="B10" s="36" t="s">
        <v>132</v>
      </c>
      <c r="C10" s="23"/>
      <c r="D10" s="23"/>
      <c r="E10" s="67">
        <v>40.450000000000003</v>
      </c>
      <c r="F10" s="67">
        <v>91.47</v>
      </c>
      <c r="G10" s="67">
        <f>E10*F10</f>
        <v>3699.9615000000003</v>
      </c>
      <c r="H10" s="67">
        <v>8.1</v>
      </c>
      <c r="I10" s="67">
        <v>104.93827160493828</v>
      </c>
      <c r="J10" s="67">
        <f t="shared" si="1"/>
        <v>850</v>
      </c>
      <c r="K10" s="67">
        <f>G10+J10</f>
        <v>4549.9615000000003</v>
      </c>
      <c r="L10" s="23">
        <v>4549.96</v>
      </c>
      <c r="M10" s="210">
        <f t="shared" si="0"/>
        <v>33647.091900000007</v>
      </c>
      <c r="N10" s="84" t="s">
        <v>95</v>
      </c>
    </row>
    <row r="11" spans="1:14">
      <c r="A11" s="23">
        <v>7</v>
      </c>
      <c r="B11" s="36" t="s">
        <v>146</v>
      </c>
      <c r="C11" s="23"/>
      <c r="D11" s="23"/>
      <c r="E11" s="67">
        <v>0</v>
      </c>
      <c r="F11" s="67">
        <v>0</v>
      </c>
      <c r="G11" s="67">
        <f t="shared" ref="G11:G15" si="2">E11*F11</f>
        <v>0</v>
      </c>
      <c r="H11" s="67">
        <v>8.49</v>
      </c>
      <c r="I11" s="67">
        <v>104.83</v>
      </c>
      <c r="J11" s="67">
        <f t="shared" si="1"/>
        <v>890.00670000000002</v>
      </c>
      <c r="K11" s="67">
        <f>G11+J11</f>
        <v>890.00670000000002</v>
      </c>
      <c r="L11" s="23">
        <v>890.01</v>
      </c>
      <c r="M11" s="210">
        <f t="shared" si="0"/>
        <v>33647.088600000003</v>
      </c>
      <c r="N11" s="84" t="s">
        <v>95</v>
      </c>
    </row>
    <row r="12" spans="1:14">
      <c r="A12" s="151">
        <v>8</v>
      </c>
      <c r="B12" s="370" t="s">
        <v>133</v>
      </c>
      <c r="C12" s="151"/>
      <c r="D12" s="151"/>
      <c r="E12" s="364"/>
      <c r="F12" s="364"/>
      <c r="G12" s="67">
        <f t="shared" si="2"/>
        <v>0</v>
      </c>
      <c r="H12" s="364"/>
      <c r="I12" s="364"/>
      <c r="J12" s="364"/>
      <c r="K12" s="67">
        <f t="shared" ref="K12:K15" si="3">G12+J12</f>
        <v>0</v>
      </c>
      <c r="L12" s="151">
        <v>33647</v>
      </c>
      <c r="M12" s="371">
        <f t="shared" si="0"/>
        <v>8.8600000002770685E-2</v>
      </c>
      <c r="N12" s="372" t="s">
        <v>95</v>
      </c>
    </row>
    <row r="13" spans="1:14">
      <c r="A13" s="23">
        <v>9</v>
      </c>
      <c r="B13" s="23" t="s">
        <v>134</v>
      </c>
      <c r="C13" s="23"/>
      <c r="D13" s="23"/>
      <c r="E13" s="67">
        <v>44.6</v>
      </c>
      <c r="F13" s="67">
        <v>91.47</v>
      </c>
      <c r="G13" s="67">
        <f t="shared" si="2"/>
        <v>4079.5619999999999</v>
      </c>
      <c r="H13" s="67"/>
      <c r="I13" s="67"/>
      <c r="J13" s="67"/>
      <c r="K13" s="67">
        <f t="shared" si="3"/>
        <v>4079.5619999999999</v>
      </c>
      <c r="L13" s="23">
        <v>4079.56</v>
      </c>
      <c r="M13" s="371">
        <f t="shared" si="0"/>
        <v>9.0600000002723391E-2</v>
      </c>
      <c r="N13" s="372" t="s">
        <v>95</v>
      </c>
    </row>
    <row r="14" spans="1:14">
      <c r="A14" s="23"/>
      <c r="B14" s="23" t="s">
        <v>152</v>
      </c>
      <c r="C14" s="23"/>
      <c r="D14" s="23"/>
      <c r="E14" s="67">
        <v>15.96</v>
      </c>
      <c r="F14" s="67">
        <v>91.47</v>
      </c>
      <c r="G14" s="67">
        <f t="shared" si="2"/>
        <v>1459.8612000000001</v>
      </c>
      <c r="H14" s="67"/>
      <c r="I14" s="67"/>
      <c r="J14" s="67"/>
      <c r="K14" s="67">
        <f t="shared" si="3"/>
        <v>1459.8612000000001</v>
      </c>
      <c r="L14" s="23">
        <v>1459.86</v>
      </c>
      <c r="M14" s="371">
        <f t="shared" si="0"/>
        <v>9.1800000002876914E-2</v>
      </c>
      <c r="N14" s="372" t="s">
        <v>95</v>
      </c>
    </row>
    <row r="15" spans="1:14">
      <c r="A15" s="23">
        <v>10</v>
      </c>
      <c r="B15" s="23" t="s">
        <v>153</v>
      </c>
      <c r="C15" s="23"/>
      <c r="D15" s="23"/>
      <c r="E15" s="67">
        <v>30.49</v>
      </c>
      <c r="F15" s="67">
        <v>91.47</v>
      </c>
      <c r="G15" s="67">
        <f t="shared" si="2"/>
        <v>2788.9202999999998</v>
      </c>
      <c r="H15" s="67"/>
      <c r="I15" s="67"/>
      <c r="J15" s="67"/>
      <c r="K15" s="67">
        <f t="shared" si="3"/>
        <v>2788.9202999999998</v>
      </c>
      <c r="L15" s="23"/>
      <c r="M15" s="371">
        <f t="shared" si="0"/>
        <v>2789.0121000000026</v>
      </c>
      <c r="N15" s="84"/>
    </row>
    <row r="16" spans="1:14">
      <c r="A16" s="338"/>
      <c r="B16" s="338"/>
      <c r="C16" s="338"/>
      <c r="D16" s="338"/>
      <c r="E16" s="338">
        <f>SUM(E4:E15)</f>
        <v>342.71000000000004</v>
      </c>
      <c r="F16" s="338"/>
      <c r="G16" s="338">
        <f>SUM(G4:G15)</f>
        <v>31347.424599999998</v>
      </c>
      <c r="H16" s="338">
        <f>SUM(H4:H15)</f>
        <v>26.11</v>
      </c>
      <c r="I16" s="338"/>
      <c r="J16" s="338">
        <f>SUM(J4:J15)</f>
        <v>2739.9875000000002</v>
      </c>
      <c r="K16" s="338">
        <f>SUM(K4:K15)</f>
        <v>34087.412100000001</v>
      </c>
      <c r="L16" s="338">
        <f>SUM(L4:L15)</f>
        <v>49126.400000000001</v>
      </c>
      <c r="M16" s="338"/>
      <c r="N16" s="338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O19"/>
  <sheetViews>
    <sheetView workbookViewId="0">
      <pane ySplit="2" topLeftCell="A3" activePane="bottomLeft" state="frozen"/>
      <selection pane="bottomLeft" activeCell="M14" sqref="M14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9.7109375" bestFit="1" customWidth="1"/>
    <col min="11" max="12" width="13.5703125" bestFit="1" customWidth="1"/>
    <col min="13" max="13" width="13.5703125" customWidth="1"/>
    <col min="14" max="14" width="8.7109375" bestFit="1" customWidth="1"/>
    <col min="15" max="15" width="1.7109375" bestFit="1" customWidth="1"/>
  </cols>
  <sheetData>
    <row r="1" spans="1:15" ht="15.75" customHeight="1">
      <c r="A1" s="479" t="s">
        <v>44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96"/>
    </row>
    <row r="2" spans="1:15">
      <c r="A2" s="97" t="s">
        <v>58</v>
      </c>
      <c r="B2" s="98" t="s">
        <v>59</v>
      </c>
      <c r="C2" s="98" t="s">
        <v>60</v>
      </c>
      <c r="D2" s="98" t="s">
        <v>61</v>
      </c>
      <c r="E2" s="98" t="s">
        <v>62</v>
      </c>
      <c r="F2" s="98" t="s">
        <v>63</v>
      </c>
      <c r="G2" s="98" t="s">
        <v>64</v>
      </c>
      <c r="H2" s="98" t="s">
        <v>65</v>
      </c>
      <c r="I2" s="98" t="s">
        <v>63</v>
      </c>
      <c r="J2" s="99" t="s">
        <v>64</v>
      </c>
      <c r="K2" s="100" t="s">
        <v>66</v>
      </c>
      <c r="L2" s="101" t="s">
        <v>67</v>
      </c>
      <c r="M2" s="180" t="s">
        <v>68</v>
      </c>
      <c r="N2" s="102" t="s">
        <v>69</v>
      </c>
      <c r="O2" s="103"/>
    </row>
    <row r="3" spans="1:15">
      <c r="A3" s="206" t="s">
        <v>70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8"/>
      <c r="M3" s="212">
        <v>671854.67</v>
      </c>
      <c r="O3" s="103"/>
    </row>
    <row r="4" spans="1:15">
      <c r="A4" s="22">
        <v>1</v>
      </c>
      <c r="B4" s="8">
        <v>45660</v>
      </c>
      <c r="C4" s="13">
        <v>612</v>
      </c>
      <c r="D4" s="24"/>
      <c r="E4" s="9">
        <v>1000</v>
      </c>
      <c r="F4" s="9">
        <v>91.14</v>
      </c>
      <c r="G4" s="21">
        <f>E4*F4</f>
        <v>91140</v>
      </c>
      <c r="H4" s="7">
        <v>0</v>
      </c>
      <c r="I4" s="7">
        <v>0</v>
      </c>
      <c r="J4" s="27">
        <f>H4*I4</f>
        <v>0</v>
      </c>
      <c r="K4" s="9">
        <f>G4+J4</f>
        <v>91140</v>
      </c>
      <c r="L4" s="9"/>
      <c r="M4" s="9">
        <f>M3+K4-L4</f>
        <v>762994.67</v>
      </c>
      <c r="N4" s="9"/>
      <c r="O4" s="1"/>
    </row>
    <row r="5" spans="1:15">
      <c r="A5" s="22">
        <f>A4+1</f>
        <v>2</v>
      </c>
      <c r="B5" s="8">
        <v>45665</v>
      </c>
      <c r="C5" s="13">
        <v>614</v>
      </c>
      <c r="D5" s="24"/>
      <c r="E5" s="9">
        <v>600</v>
      </c>
      <c r="F5" s="9">
        <v>91.14</v>
      </c>
      <c r="G5" s="21">
        <f t="shared" ref="G5:G15" si="0">E5*F5</f>
        <v>54684</v>
      </c>
      <c r="H5" s="7">
        <v>0</v>
      </c>
      <c r="I5" s="7">
        <v>0</v>
      </c>
      <c r="J5" s="27">
        <f t="shared" ref="J5:J12" si="1">H5*I5</f>
        <v>0</v>
      </c>
      <c r="K5" s="9">
        <f>G5+J5</f>
        <v>54684</v>
      </c>
      <c r="L5" s="9"/>
      <c r="M5" s="9">
        <f>M4+K5-L5</f>
        <v>817678.67</v>
      </c>
      <c r="N5" s="9"/>
      <c r="O5" s="1"/>
    </row>
    <row r="6" spans="1:15">
      <c r="A6" s="22">
        <f>A5+1</f>
        <v>3</v>
      </c>
      <c r="B6" s="8">
        <v>45666</v>
      </c>
      <c r="C6" s="13">
        <v>619</v>
      </c>
      <c r="D6" s="24"/>
      <c r="E6" s="9">
        <v>800</v>
      </c>
      <c r="F6" s="9">
        <v>91.14</v>
      </c>
      <c r="G6" s="21">
        <f t="shared" si="0"/>
        <v>72912</v>
      </c>
      <c r="H6" s="7">
        <v>30</v>
      </c>
      <c r="I6" s="7">
        <v>104.6</v>
      </c>
      <c r="J6" s="27">
        <v>3138</v>
      </c>
      <c r="K6" s="9">
        <f>G6+J6</f>
        <v>76050</v>
      </c>
      <c r="L6" s="9"/>
      <c r="M6" s="9">
        <f>M5+K6-L6</f>
        <v>893728.67</v>
      </c>
      <c r="N6" s="9"/>
      <c r="O6" s="1"/>
    </row>
    <row r="7" spans="1:15">
      <c r="A7" s="22">
        <f>A6+1</f>
        <v>4</v>
      </c>
      <c r="B7" s="8">
        <v>45667</v>
      </c>
      <c r="C7" s="13"/>
      <c r="D7" s="24"/>
      <c r="E7" s="9">
        <v>0</v>
      </c>
      <c r="F7" s="9">
        <v>0</v>
      </c>
      <c r="G7" s="21">
        <f t="shared" si="0"/>
        <v>0</v>
      </c>
      <c r="H7" s="7">
        <v>0</v>
      </c>
      <c r="I7" s="7">
        <v>0</v>
      </c>
      <c r="J7" s="27">
        <v>0</v>
      </c>
      <c r="K7" s="9">
        <f>G7+J7</f>
        <v>0</v>
      </c>
      <c r="L7" s="9">
        <v>700000</v>
      </c>
      <c r="M7" s="9">
        <f>M6+K7-L7</f>
        <v>193728.67000000004</v>
      </c>
      <c r="N7" s="9" t="s">
        <v>201</v>
      </c>
      <c r="O7" s="1"/>
    </row>
    <row r="8" spans="1:15">
      <c r="A8" s="22">
        <f>A7+1</f>
        <v>5</v>
      </c>
      <c r="B8" s="8">
        <v>45668</v>
      </c>
      <c r="C8" s="13">
        <v>620</v>
      </c>
      <c r="D8" s="24"/>
      <c r="E8" s="9">
        <v>1900</v>
      </c>
      <c r="F8" s="9">
        <v>91.14</v>
      </c>
      <c r="G8" s="21">
        <f t="shared" si="0"/>
        <v>173166</v>
      </c>
      <c r="H8" s="7">
        <v>0</v>
      </c>
      <c r="I8" s="7">
        <v>0</v>
      </c>
      <c r="J8" s="27">
        <v>0</v>
      </c>
      <c r="K8" s="9">
        <f>G8+J8</f>
        <v>173166</v>
      </c>
      <c r="L8" s="9"/>
      <c r="M8" s="9">
        <f>M7+K8-L8</f>
        <v>366894.67000000004</v>
      </c>
      <c r="N8" s="9"/>
      <c r="O8" s="1"/>
    </row>
    <row r="9" spans="1:15">
      <c r="A9" s="22">
        <f>A8+1</f>
        <v>6</v>
      </c>
      <c r="B9" s="8">
        <v>45671</v>
      </c>
      <c r="C9" s="13">
        <v>621</v>
      </c>
      <c r="D9" s="24"/>
      <c r="E9" s="9">
        <v>1000</v>
      </c>
      <c r="F9" s="9">
        <v>91.14</v>
      </c>
      <c r="G9" s="21">
        <f t="shared" si="0"/>
        <v>91140</v>
      </c>
      <c r="H9" s="7">
        <v>0</v>
      </c>
      <c r="I9" s="7">
        <v>0</v>
      </c>
      <c r="J9" s="27">
        <v>0</v>
      </c>
      <c r="K9" s="9">
        <f>G9+J9</f>
        <v>91140</v>
      </c>
      <c r="L9" s="9"/>
      <c r="M9" s="9">
        <f>M8+K9-L9</f>
        <v>458034.67000000004</v>
      </c>
      <c r="N9" s="9"/>
      <c r="O9" s="1"/>
    </row>
    <row r="10" spans="1:15">
      <c r="A10" s="22">
        <f>A9+1</f>
        <v>7</v>
      </c>
      <c r="B10" s="8">
        <v>45672</v>
      </c>
      <c r="C10" s="13">
        <v>625</v>
      </c>
      <c r="D10" s="24"/>
      <c r="E10" s="9">
        <v>3600</v>
      </c>
      <c r="F10" s="9">
        <v>91.14</v>
      </c>
      <c r="G10" s="21">
        <f t="shared" si="0"/>
        <v>328104</v>
      </c>
      <c r="H10" s="7">
        <v>20</v>
      </c>
      <c r="I10" s="7">
        <v>104.6</v>
      </c>
      <c r="J10" s="27">
        <v>2092</v>
      </c>
      <c r="K10" s="9">
        <f>G10+J10</f>
        <v>330196</v>
      </c>
      <c r="L10" s="9"/>
      <c r="M10" s="9">
        <f>M9+K10-L10</f>
        <v>788230.67</v>
      </c>
      <c r="N10" s="9"/>
      <c r="O10" s="1"/>
    </row>
    <row r="11" spans="1:15">
      <c r="A11" s="22">
        <f>A10+1</f>
        <v>8</v>
      </c>
      <c r="B11" s="8">
        <v>45675</v>
      </c>
      <c r="C11" s="13">
        <v>627</v>
      </c>
      <c r="D11" s="24"/>
      <c r="E11" s="9">
        <v>1200</v>
      </c>
      <c r="F11" s="9">
        <v>91.14</v>
      </c>
      <c r="G11" s="21">
        <f t="shared" si="0"/>
        <v>109368</v>
      </c>
      <c r="H11" s="309"/>
      <c r="I11" s="309"/>
      <c r="J11" s="391"/>
      <c r="K11" s="9">
        <f>G11+J11</f>
        <v>109368</v>
      </c>
      <c r="L11" s="9"/>
      <c r="M11" s="9">
        <f>M10+K11-L11</f>
        <v>897598.67</v>
      </c>
      <c r="N11" s="9"/>
      <c r="O11" s="1"/>
    </row>
    <row r="12" spans="1:15">
      <c r="A12" s="22">
        <f>A11+1</f>
        <v>9</v>
      </c>
      <c r="B12" s="8">
        <v>45679</v>
      </c>
      <c r="C12" s="392">
        <v>628</v>
      </c>
      <c r="D12" s="24"/>
      <c r="E12" s="9">
        <v>1000</v>
      </c>
      <c r="F12" s="9">
        <v>91.14</v>
      </c>
      <c r="G12" s="389">
        <f t="shared" si="0"/>
        <v>91140</v>
      </c>
      <c r="H12" s="9"/>
      <c r="I12" s="9"/>
      <c r="J12" s="9">
        <f t="shared" si="1"/>
        <v>0</v>
      </c>
      <c r="K12" s="390">
        <f>G12+J12</f>
        <v>91140</v>
      </c>
      <c r="L12" s="9"/>
      <c r="M12" s="9">
        <f>M11+K12-L12</f>
        <v>988738.67</v>
      </c>
      <c r="N12" s="9"/>
      <c r="O12" s="1"/>
    </row>
    <row r="13" spans="1:15">
      <c r="A13" s="385">
        <v>10</v>
      </c>
      <c r="B13" s="416">
        <v>45681</v>
      </c>
      <c r="C13" s="415">
        <v>629</v>
      </c>
      <c r="D13" s="417"/>
      <c r="E13" s="340">
        <v>4000</v>
      </c>
      <c r="F13" s="340">
        <v>91.14</v>
      </c>
      <c r="G13" s="418">
        <f t="shared" si="0"/>
        <v>364560</v>
      </c>
      <c r="H13" s="340"/>
      <c r="I13" s="340"/>
      <c r="J13" s="340"/>
      <c r="K13" s="419">
        <f>G13+J13</f>
        <v>364560</v>
      </c>
      <c r="L13" s="340"/>
      <c r="M13" s="340">
        <f>M12+K13-L13</f>
        <v>1353298.67</v>
      </c>
      <c r="N13" s="9"/>
      <c r="O13" s="1"/>
    </row>
    <row r="14" spans="1:15">
      <c r="A14" s="33"/>
      <c r="B14" s="34">
        <v>45684</v>
      </c>
      <c r="C14" s="32">
        <v>633</v>
      </c>
      <c r="D14" s="24"/>
      <c r="E14" s="9">
        <v>1000</v>
      </c>
      <c r="F14" s="9">
        <v>91.14</v>
      </c>
      <c r="G14" s="9">
        <f t="shared" si="0"/>
        <v>91140</v>
      </c>
      <c r="H14" s="9"/>
      <c r="I14" s="9"/>
      <c r="J14" s="9"/>
      <c r="K14" s="9">
        <f>G14+J14</f>
        <v>91140</v>
      </c>
      <c r="L14" s="9"/>
      <c r="M14" s="9">
        <f>M13+K14-L14</f>
        <v>1444438.67</v>
      </c>
      <c r="N14" s="390"/>
      <c r="O14" s="1"/>
    </row>
    <row r="15" spans="1:15">
      <c r="A15" s="33"/>
      <c r="B15" s="373"/>
      <c r="C15" s="32"/>
      <c r="D15" s="24"/>
      <c r="E15" s="9"/>
      <c r="F15" s="9"/>
      <c r="G15" s="9"/>
      <c r="H15" s="9"/>
      <c r="I15" s="9"/>
      <c r="J15" s="9"/>
      <c r="K15" s="9"/>
      <c r="L15" s="9"/>
      <c r="M15" s="9"/>
      <c r="N15" s="390"/>
      <c r="O15" s="1"/>
    </row>
    <row r="16" spans="1:15">
      <c r="A16" s="246"/>
      <c r="B16" s="246"/>
      <c r="C16" s="246"/>
      <c r="D16" s="246"/>
      <c r="E16" s="247">
        <f>SUM(E4:E15)</f>
        <v>16100</v>
      </c>
      <c r="F16" s="247"/>
      <c r="G16" s="247">
        <f>SUM(G4:G15)</f>
        <v>1467354</v>
      </c>
      <c r="H16" s="247">
        <f>SUM(H4:H15)</f>
        <v>50</v>
      </c>
      <c r="I16" s="247"/>
      <c r="J16" s="247">
        <f>SUM(J4:J15)</f>
        <v>5230</v>
      </c>
      <c r="K16" s="247">
        <f>SUM(K4:K15)</f>
        <v>1472584</v>
      </c>
      <c r="L16" s="247">
        <f>SUM(L4:L15)</f>
        <v>700000</v>
      </c>
      <c r="M16" s="247"/>
      <c r="N16" s="109"/>
      <c r="O16" s="103"/>
    </row>
    <row r="17" spans="1:15">
      <c r="A17" s="2"/>
      <c r="B17" s="2"/>
      <c r="C17" s="2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1"/>
    </row>
    <row r="18" spans="1:15">
      <c r="A18" s="1"/>
      <c r="B18" s="460"/>
      <c r="C18" s="460"/>
      <c r="D18" s="460"/>
      <c r="E18" s="460"/>
      <c r="F18" s="1"/>
      <c r="G18" s="1"/>
      <c r="H18" s="1"/>
      <c r="I18" s="460"/>
      <c r="J18" s="460"/>
      <c r="K18" s="460"/>
      <c r="L18" s="460"/>
      <c r="M18" s="460"/>
      <c r="N18" s="460"/>
      <c r="O18" s="4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/>
    </row>
  </sheetData>
  <mergeCells count="3">
    <mergeCell ref="B18:E18"/>
    <mergeCell ref="I18:N18"/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sheetPr>
    <tabColor theme="0"/>
  </sheetPr>
  <dimension ref="A1:O24"/>
  <sheetViews>
    <sheetView workbookViewId="0">
      <pane ySplit="2" topLeftCell="A3" activePane="bottomLeft" state="frozen"/>
      <selection pane="bottomLeft" activeCell="M20" sqref="M20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88" t="s">
        <v>56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132"/>
    </row>
    <row r="2" spans="1:15" ht="16.5" customHeight="1">
      <c r="A2" s="155" t="s">
        <v>58</v>
      </c>
      <c r="B2" s="156" t="s">
        <v>59</v>
      </c>
      <c r="C2" s="156" t="s">
        <v>60</v>
      </c>
      <c r="D2" s="156" t="s">
        <v>116</v>
      </c>
      <c r="E2" s="156" t="s">
        <v>62</v>
      </c>
      <c r="F2" s="156" t="s">
        <v>63</v>
      </c>
      <c r="G2" s="156" t="s">
        <v>64</v>
      </c>
      <c r="H2" s="156" t="s">
        <v>65</v>
      </c>
      <c r="I2" s="156" t="s">
        <v>63</v>
      </c>
      <c r="J2" s="215" t="s">
        <v>64</v>
      </c>
      <c r="K2" s="157" t="s">
        <v>66</v>
      </c>
      <c r="L2" s="216" t="s">
        <v>67</v>
      </c>
      <c r="M2" s="221" t="s">
        <v>68</v>
      </c>
      <c r="N2" s="158" t="s">
        <v>69</v>
      </c>
      <c r="O2" s="103"/>
    </row>
    <row r="3" spans="1:15" ht="16.5" customHeight="1">
      <c r="A3" s="471" t="s">
        <v>70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8"/>
      <c r="M3" s="231">
        <v>0</v>
      </c>
      <c r="N3" s="242"/>
      <c r="O3" s="103"/>
    </row>
    <row r="4" spans="1:15">
      <c r="A4" s="135">
        <v>1</v>
      </c>
      <c r="B4" s="139">
        <v>45658</v>
      </c>
      <c r="C4" s="113"/>
      <c r="D4" s="245"/>
      <c r="E4" s="111"/>
      <c r="F4" s="111"/>
      <c r="G4" s="9">
        <f>E4*F4</f>
        <v>0</v>
      </c>
      <c r="H4" s="111">
        <v>5.95</v>
      </c>
      <c r="I4" s="112">
        <v>102.46</v>
      </c>
      <c r="J4" s="9">
        <f>H4*I4</f>
        <v>609.63699999999994</v>
      </c>
      <c r="K4" s="9">
        <f>G4+J4</f>
        <v>609.63699999999994</v>
      </c>
      <c r="L4" s="114">
        <f>+K4</f>
        <v>609.63699999999994</v>
      </c>
      <c r="M4" s="114">
        <v>0</v>
      </c>
      <c r="N4" s="9" t="s">
        <v>202</v>
      </c>
    </row>
    <row r="5" spans="1:15">
      <c r="A5" s="135">
        <v>2</v>
      </c>
      <c r="B5" s="139">
        <v>45660</v>
      </c>
      <c r="C5" s="113"/>
      <c r="D5" s="113"/>
      <c r="E5" s="111">
        <v>5.67</v>
      </c>
      <c r="F5" s="111">
        <v>88.58</v>
      </c>
      <c r="G5" s="9">
        <f>E5*F5</f>
        <v>502.24860000000001</v>
      </c>
      <c r="H5" s="111"/>
      <c r="I5" s="112"/>
      <c r="J5" s="9">
        <f>H5*I5</f>
        <v>0</v>
      </c>
      <c r="K5" s="9">
        <f>G5+J5</f>
        <v>502.24860000000001</v>
      </c>
      <c r="L5" s="114">
        <f t="shared" ref="L5:L14" si="0">+K5</f>
        <v>502.24860000000001</v>
      </c>
      <c r="M5" s="114">
        <v>0</v>
      </c>
      <c r="N5" s="9" t="s">
        <v>202</v>
      </c>
    </row>
    <row r="6" spans="1:15">
      <c r="A6" s="135">
        <v>3</v>
      </c>
      <c r="B6" s="139">
        <v>45665</v>
      </c>
      <c r="C6" s="113"/>
      <c r="D6" s="113"/>
      <c r="E6" s="111"/>
      <c r="F6" s="111"/>
      <c r="G6" s="9">
        <f>E6*F6</f>
        <v>0</v>
      </c>
      <c r="H6" s="111">
        <v>6.36</v>
      </c>
      <c r="I6" s="112">
        <v>102.46</v>
      </c>
      <c r="J6" s="9">
        <f>H6*I6</f>
        <v>651.64559999999994</v>
      </c>
      <c r="K6" s="9">
        <f>G6+J6</f>
        <v>651.64559999999994</v>
      </c>
      <c r="L6" s="114">
        <f t="shared" si="0"/>
        <v>651.64559999999994</v>
      </c>
      <c r="M6" s="114">
        <v>0</v>
      </c>
      <c r="N6" s="9" t="s">
        <v>202</v>
      </c>
    </row>
    <row r="7" spans="1:15">
      <c r="A7" s="135">
        <v>4</v>
      </c>
      <c r="B7" s="139">
        <v>45666</v>
      </c>
      <c r="C7" s="113"/>
      <c r="D7" s="120"/>
      <c r="E7" s="111">
        <v>33.869999999999997</v>
      </c>
      <c r="F7" s="111">
        <v>88.58</v>
      </c>
      <c r="G7" s="9">
        <f>E7*F7</f>
        <v>3000.2045999999996</v>
      </c>
      <c r="H7" s="111">
        <v>9.16</v>
      </c>
      <c r="I7" s="112">
        <v>102.46</v>
      </c>
      <c r="J7" s="9">
        <f>H7*I7</f>
        <v>938.53359999999998</v>
      </c>
      <c r="K7" s="9">
        <f>G7+J7</f>
        <v>3938.7381999999998</v>
      </c>
      <c r="L7" s="114">
        <f t="shared" si="0"/>
        <v>3938.7381999999998</v>
      </c>
      <c r="M7" s="114">
        <v>0</v>
      </c>
      <c r="N7" s="9" t="s">
        <v>202</v>
      </c>
    </row>
    <row r="8" spans="1:15">
      <c r="A8" s="135">
        <v>5</v>
      </c>
      <c r="B8" s="139">
        <v>45671</v>
      </c>
      <c r="C8" s="113"/>
      <c r="D8" s="120"/>
      <c r="E8" s="111">
        <v>22.58</v>
      </c>
      <c r="F8" s="111">
        <v>88.58</v>
      </c>
      <c r="G8" s="9">
        <f>E8*F8</f>
        <v>2000.1363999999999</v>
      </c>
      <c r="H8" s="111"/>
      <c r="I8" s="112"/>
      <c r="J8" s="9">
        <f>H8*I8</f>
        <v>0</v>
      </c>
      <c r="K8" s="9">
        <f>G8+J8</f>
        <v>2000.1363999999999</v>
      </c>
      <c r="L8" s="114">
        <f t="shared" si="0"/>
        <v>2000.1363999999999</v>
      </c>
      <c r="M8" s="114">
        <v>0</v>
      </c>
      <c r="N8" s="9" t="s">
        <v>202</v>
      </c>
      <c r="O8" s="117"/>
    </row>
    <row r="9" spans="1:15">
      <c r="A9" s="135">
        <v>6</v>
      </c>
      <c r="B9" s="139">
        <v>45676</v>
      </c>
      <c r="C9" s="113"/>
      <c r="D9" s="120"/>
      <c r="E9" s="111">
        <v>0</v>
      </c>
      <c r="F9" s="111"/>
      <c r="G9" s="9">
        <f t="shared" ref="G9:G13" si="1">E9*F9</f>
        <v>0</v>
      </c>
      <c r="H9" s="111">
        <v>7.02</v>
      </c>
      <c r="I9" s="112">
        <v>102.46</v>
      </c>
      <c r="J9" s="9">
        <f t="shared" ref="J9:J14" si="2">H9*I9</f>
        <v>719.26919999999996</v>
      </c>
      <c r="K9" s="9">
        <f>G9+J9</f>
        <v>719.26919999999996</v>
      </c>
      <c r="L9" s="114">
        <f t="shared" si="0"/>
        <v>719.26919999999996</v>
      </c>
      <c r="M9" s="114">
        <v>0</v>
      </c>
      <c r="N9" s="9" t="s">
        <v>202</v>
      </c>
      <c r="O9" s="117"/>
    </row>
    <row r="10" spans="1:15">
      <c r="A10" s="135">
        <v>7</v>
      </c>
      <c r="B10" s="139">
        <v>45677</v>
      </c>
      <c r="C10" s="113"/>
      <c r="D10" s="120"/>
      <c r="E10" s="111"/>
      <c r="F10" s="111"/>
      <c r="G10" s="9">
        <f t="shared" si="1"/>
        <v>0</v>
      </c>
      <c r="H10" s="111"/>
      <c r="I10" s="112"/>
      <c r="J10" s="9">
        <f t="shared" si="2"/>
        <v>0</v>
      </c>
      <c r="K10" s="9">
        <f t="shared" ref="K10:K14" si="3">G10+J10</f>
        <v>0</v>
      </c>
      <c r="L10" s="114">
        <f t="shared" si="0"/>
        <v>0</v>
      </c>
      <c r="M10" s="114">
        <v>0</v>
      </c>
      <c r="N10" s="9"/>
      <c r="O10" s="117"/>
    </row>
    <row r="11" spans="1:15">
      <c r="A11" s="135">
        <v>8</v>
      </c>
      <c r="B11" s="139">
        <v>45678</v>
      </c>
      <c r="C11" s="113"/>
      <c r="D11" s="120"/>
      <c r="E11" s="111">
        <v>33.869999999999997</v>
      </c>
      <c r="F11" s="111">
        <v>88.58</v>
      </c>
      <c r="G11" s="9">
        <f t="shared" si="1"/>
        <v>3000.2045999999996</v>
      </c>
      <c r="H11" s="111"/>
      <c r="I11" s="112"/>
      <c r="J11" s="9">
        <f t="shared" si="2"/>
        <v>0</v>
      </c>
      <c r="K11" s="9">
        <f t="shared" si="3"/>
        <v>3000.2045999999996</v>
      </c>
      <c r="L11" s="114">
        <f t="shared" si="0"/>
        <v>3000.2045999999996</v>
      </c>
      <c r="M11" s="114">
        <v>0</v>
      </c>
      <c r="N11" s="9" t="s">
        <v>202</v>
      </c>
      <c r="O11" s="117"/>
    </row>
    <row r="12" spans="1:15">
      <c r="A12" s="135">
        <v>9</v>
      </c>
      <c r="B12" s="139">
        <v>23</v>
      </c>
      <c r="C12" s="113"/>
      <c r="D12" s="120"/>
      <c r="E12" s="111"/>
      <c r="F12" s="111"/>
      <c r="G12" s="9">
        <f t="shared" si="1"/>
        <v>0</v>
      </c>
      <c r="H12" s="111">
        <v>15.53</v>
      </c>
      <c r="I12" s="112">
        <v>102.46</v>
      </c>
      <c r="J12" s="9">
        <f t="shared" si="2"/>
        <v>1591.2037999999998</v>
      </c>
      <c r="K12" s="9">
        <f t="shared" si="3"/>
        <v>1591.2037999999998</v>
      </c>
      <c r="L12" s="114">
        <f t="shared" si="0"/>
        <v>1591.2037999999998</v>
      </c>
      <c r="M12" s="114"/>
      <c r="N12" s="9" t="s">
        <v>202</v>
      </c>
      <c r="O12" s="117"/>
    </row>
    <row r="13" spans="1:15">
      <c r="A13" s="135"/>
      <c r="B13" s="139">
        <v>45686</v>
      </c>
      <c r="C13" s="113"/>
      <c r="D13" s="120"/>
      <c r="E13" s="111">
        <v>56.45</v>
      </c>
      <c r="F13" s="111">
        <v>88.58</v>
      </c>
      <c r="G13" s="9">
        <f t="shared" si="1"/>
        <v>5000.3410000000003</v>
      </c>
      <c r="H13" s="111"/>
      <c r="I13" s="112"/>
      <c r="J13" s="9">
        <f t="shared" si="2"/>
        <v>0</v>
      </c>
      <c r="K13" s="9">
        <f t="shared" si="3"/>
        <v>5000.3410000000003</v>
      </c>
      <c r="L13" s="114">
        <v>5000.34</v>
      </c>
      <c r="M13" s="114"/>
      <c r="N13" s="9" t="s">
        <v>202</v>
      </c>
      <c r="O13" s="117"/>
    </row>
    <row r="14" spans="1:15">
      <c r="A14" s="135"/>
      <c r="B14" s="139">
        <v>45687</v>
      </c>
      <c r="C14" s="113"/>
      <c r="D14" s="120"/>
      <c r="E14" s="111"/>
      <c r="F14" s="111"/>
      <c r="G14" s="9"/>
      <c r="H14" s="111">
        <v>9.27</v>
      </c>
      <c r="I14" s="112">
        <v>102.46</v>
      </c>
      <c r="J14" s="9">
        <f t="shared" si="2"/>
        <v>949.80419999999992</v>
      </c>
      <c r="K14" s="9">
        <f>G14+J14</f>
        <v>949.80419999999992</v>
      </c>
      <c r="L14" s="114">
        <v>949.8</v>
      </c>
      <c r="M14" s="114"/>
      <c r="N14" s="9"/>
      <c r="O14" s="117"/>
    </row>
    <row r="15" spans="1:15">
      <c r="A15" s="108"/>
      <c r="B15" s="108"/>
      <c r="C15" s="108"/>
      <c r="D15" s="108"/>
      <c r="E15" s="109">
        <f>SUM(E4:E14)</f>
        <v>152.44</v>
      </c>
      <c r="F15" s="109"/>
      <c r="G15" s="109">
        <f>SUM(G4:G14)</f>
        <v>13503.135199999999</v>
      </c>
      <c r="H15" s="109">
        <f>SUM(H4:H14)</f>
        <v>53.289999999999992</v>
      </c>
      <c r="I15" s="109"/>
      <c r="J15" s="109">
        <f>SUM(J4:J14)</f>
        <v>5460.0933999999988</v>
      </c>
      <c r="K15" s="109">
        <f>SUM(K4:K14)</f>
        <v>18963.228599999995</v>
      </c>
      <c r="L15" s="109">
        <f>SUM(L4:L14)</f>
        <v>18963.223399999999</v>
      </c>
      <c r="M15" s="109"/>
      <c r="N15" s="109"/>
      <c r="O15" s="103"/>
    </row>
    <row r="16" spans="1:15">
      <c r="A16" s="122"/>
      <c r="B16" s="123"/>
      <c r="C16" s="122"/>
      <c r="D16" s="122"/>
      <c r="E16" s="124"/>
      <c r="F16" s="124"/>
      <c r="G16" s="124"/>
      <c r="H16" s="124"/>
      <c r="I16" s="124"/>
      <c r="J16" s="125"/>
      <c r="K16" s="125"/>
      <c r="L16" s="125"/>
      <c r="M16" s="125"/>
      <c r="N16" s="124"/>
      <c r="O16" s="117"/>
    </row>
    <row r="17" spans="1:15">
      <c r="O17" s="117"/>
    </row>
    <row r="18" spans="1:15">
      <c r="O18" s="117"/>
    </row>
    <row r="19" spans="1:15">
      <c r="O19" s="117"/>
    </row>
    <row r="20" spans="1:15">
      <c r="O20" s="117"/>
    </row>
    <row r="21" spans="1:15">
      <c r="O21" s="117"/>
    </row>
    <row r="22" spans="1:15">
      <c r="A22" s="117"/>
      <c r="B22" s="103"/>
      <c r="C22" s="117"/>
      <c r="D22" s="117"/>
      <c r="E22" s="117"/>
      <c r="F22" s="117"/>
      <c r="G22" s="126"/>
      <c r="H22" s="117"/>
      <c r="I22" s="117"/>
      <c r="J22" s="103"/>
      <c r="K22" s="103"/>
      <c r="L22" s="103"/>
      <c r="M22" s="103"/>
      <c r="N22" s="117"/>
      <c r="O22" s="124"/>
    </row>
    <row r="23" spans="1:15">
      <c r="A23" s="117"/>
      <c r="B23" s="483"/>
      <c r="C23" s="483"/>
      <c r="D23" s="483"/>
      <c r="E23" s="483"/>
      <c r="F23" s="117"/>
      <c r="G23" s="117"/>
      <c r="H23" s="117"/>
      <c r="I23" s="483"/>
      <c r="J23" s="483"/>
      <c r="K23" s="483"/>
      <c r="L23" s="483"/>
      <c r="M23" s="483"/>
      <c r="N23" s="483"/>
      <c r="O23" s="124"/>
    </row>
    <row r="24" spans="1:15">
      <c r="A24" s="117"/>
      <c r="B24" s="103"/>
      <c r="C24" s="117"/>
      <c r="D24" s="117"/>
      <c r="E24" s="117"/>
      <c r="F24" s="117"/>
      <c r="G24" s="117"/>
      <c r="H24" s="117"/>
      <c r="I24" s="117"/>
      <c r="J24" s="103"/>
      <c r="K24" s="103"/>
      <c r="L24" s="103"/>
      <c r="M24" s="103"/>
      <c r="N24" s="117"/>
      <c r="O24" s="124"/>
    </row>
  </sheetData>
  <mergeCells count="4">
    <mergeCell ref="B23:E23"/>
    <mergeCell ref="I23:N23"/>
    <mergeCell ref="A1:N1"/>
    <mergeCell ref="A3:L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M30"/>
  <sheetViews>
    <sheetView topLeftCell="A7" workbookViewId="0">
      <selection activeCell="J9" sqref="J9"/>
    </sheetView>
  </sheetViews>
  <sheetFormatPr defaultColWidth="10.5703125" defaultRowHeight="15" customHeight="1"/>
  <cols>
    <col min="3" max="3" width="12.85546875" customWidth="1"/>
    <col min="10" max="10" width="13.85546875" customWidth="1"/>
    <col min="11" max="11" width="13.5703125" customWidth="1"/>
    <col min="12" max="12" width="16.140625" customWidth="1"/>
    <col min="13" max="13" width="17.42578125" customWidth="1"/>
  </cols>
  <sheetData>
    <row r="1" spans="1:13" ht="15" customHeight="1">
      <c r="A1" s="475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</row>
    <row r="2" spans="1:13" ht="15" customHeight="1">
      <c r="A2" s="110"/>
      <c r="B2" s="136"/>
      <c r="C2" s="136"/>
      <c r="D2" s="136"/>
      <c r="E2" s="136"/>
      <c r="F2" s="145"/>
      <c r="G2" s="136"/>
      <c r="H2" s="136"/>
      <c r="I2" s="145"/>
      <c r="J2" s="110"/>
      <c r="K2" s="146"/>
      <c r="L2" s="192"/>
      <c r="M2" s="190"/>
    </row>
    <row r="3" spans="1:13" ht="15" customHeight="1">
      <c r="A3" s="489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508"/>
      <c r="M3" s="509"/>
    </row>
    <row r="4" spans="1:13" ht="15" customHeight="1">
      <c r="A4" s="6"/>
      <c r="B4" s="128"/>
      <c r="C4" s="6"/>
      <c r="D4" s="111"/>
      <c r="E4" s="6"/>
      <c r="F4" s="112"/>
      <c r="G4" s="111"/>
      <c r="H4" s="6"/>
      <c r="I4" s="112"/>
      <c r="J4" s="112"/>
      <c r="K4" s="248"/>
      <c r="L4" s="427"/>
      <c r="M4" s="428"/>
    </row>
    <row r="5" spans="1:13" ht="15" customHeight="1">
      <c r="A5" s="6"/>
      <c r="B5" s="128"/>
      <c r="C5" s="6"/>
      <c r="D5" s="111"/>
      <c r="E5" s="6"/>
      <c r="F5" s="112"/>
      <c r="G5" s="111"/>
      <c r="H5" s="6"/>
      <c r="I5" s="112"/>
      <c r="J5" s="112"/>
      <c r="K5" s="248"/>
      <c r="L5" s="232"/>
      <c r="M5" s="86"/>
    </row>
    <row r="6" spans="1:13" ht="15" customHeight="1">
      <c r="A6" s="6"/>
      <c r="B6" s="128"/>
      <c r="C6" s="6"/>
      <c r="D6" s="111"/>
      <c r="E6" s="6"/>
      <c r="F6" s="112"/>
      <c r="G6" s="111"/>
      <c r="H6" s="6"/>
      <c r="I6" s="112"/>
      <c r="J6" s="112"/>
      <c r="K6" s="248"/>
      <c r="L6" s="232"/>
      <c r="M6" s="86"/>
    </row>
    <row r="7" spans="1:13" ht="15" customHeight="1">
      <c r="A7" s="6"/>
      <c r="B7" s="128"/>
      <c r="C7" s="6"/>
      <c r="D7" s="111"/>
      <c r="E7" s="6"/>
      <c r="F7" s="112"/>
      <c r="G7" s="111"/>
      <c r="H7" s="6"/>
      <c r="I7" s="112"/>
      <c r="J7" s="112"/>
      <c r="K7" s="248"/>
      <c r="L7" s="232"/>
      <c r="M7" s="86"/>
    </row>
    <row r="8" spans="1:13" ht="15" customHeight="1">
      <c r="A8" s="6"/>
      <c r="B8" s="128"/>
      <c r="C8" s="6"/>
      <c r="D8" s="111"/>
      <c r="E8" s="6"/>
      <c r="F8" s="112"/>
      <c r="G8" s="111"/>
      <c r="H8" s="6"/>
      <c r="I8" s="112"/>
      <c r="J8" s="112"/>
      <c r="K8" s="248"/>
      <c r="L8" s="232"/>
      <c r="M8" s="86"/>
    </row>
    <row r="9" spans="1:13" ht="15" customHeight="1">
      <c r="A9" s="510" t="s">
        <v>57</v>
      </c>
      <c r="B9" s="510"/>
      <c r="K9" s="28">
        <f>SUM(K4:K8)</f>
        <v>0</v>
      </c>
    </row>
    <row r="13" spans="1:13" ht="15" customHeight="1">
      <c r="A13" s="475"/>
      <c r="B13" s="475"/>
      <c r="C13" s="475"/>
      <c r="D13" s="475"/>
      <c r="E13" s="475"/>
      <c r="F13" s="475"/>
      <c r="G13" s="475"/>
      <c r="H13" s="475"/>
      <c r="I13" s="475"/>
      <c r="J13" s="475"/>
      <c r="K13" s="475"/>
      <c r="L13" s="475"/>
      <c r="M13" s="475"/>
    </row>
    <row r="14" spans="1:13" ht="15" customHeight="1">
      <c r="A14" s="110"/>
      <c r="B14" s="136"/>
      <c r="C14" s="136"/>
      <c r="D14" s="136"/>
      <c r="E14" s="136"/>
      <c r="F14" s="145"/>
      <c r="G14" s="136"/>
      <c r="H14" s="136"/>
      <c r="I14" s="145"/>
      <c r="J14" s="110"/>
      <c r="K14" s="146"/>
      <c r="L14" s="192"/>
      <c r="M14" s="190"/>
    </row>
    <row r="15" spans="1:13" ht="15" customHeight="1">
      <c r="A15" s="489"/>
      <c r="B15" s="490"/>
      <c r="C15" s="490"/>
      <c r="D15" s="490"/>
      <c r="E15" s="490"/>
      <c r="F15" s="490"/>
      <c r="G15" s="490"/>
      <c r="H15" s="490"/>
      <c r="I15" s="490"/>
      <c r="J15" s="490"/>
      <c r="K15" s="490"/>
      <c r="L15" s="508"/>
      <c r="M15" s="509"/>
    </row>
    <row r="16" spans="1:13" ht="15" customHeight="1">
      <c r="A16" s="6"/>
      <c r="B16" s="128"/>
      <c r="C16" s="6"/>
      <c r="D16" s="111"/>
      <c r="E16" s="6"/>
      <c r="F16" s="112"/>
      <c r="G16" s="111"/>
      <c r="H16" s="6"/>
      <c r="I16" s="112"/>
      <c r="J16" s="112"/>
      <c r="K16" s="248"/>
      <c r="L16" s="248"/>
      <c r="M16" s="428"/>
    </row>
    <row r="17" spans="1:13" ht="15" customHeight="1">
      <c r="A17" s="6"/>
      <c r="B17" s="128"/>
      <c r="C17" s="6"/>
      <c r="D17" s="111"/>
      <c r="E17" s="6"/>
      <c r="F17" s="112"/>
      <c r="G17" s="111"/>
      <c r="H17" s="6"/>
      <c r="I17" s="112"/>
      <c r="J17" s="112"/>
      <c r="K17" s="248"/>
      <c r="L17" s="248"/>
      <c r="M17" s="86"/>
    </row>
    <row r="18" spans="1:13" ht="15" customHeight="1">
      <c r="A18" s="6"/>
      <c r="B18" s="128"/>
      <c r="C18" s="6"/>
      <c r="D18" s="111"/>
      <c r="E18" s="6"/>
      <c r="F18" s="112"/>
      <c r="G18" s="111"/>
      <c r="H18" s="6"/>
      <c r="I18" s="112"/>
      <c r="J18" s="112"/>
      <c r="K18" s="248"/>
      <c r="L18" s="232"/>
      <c r="M18" s="86"/>
    </row>
    <row r="19" spans="1:13" ht="15" customHeight="1">
      <c r="A19" s="6"/>
      <c r="B19" s="128"/>
      <c r="C19" s="6"/>
      <c r="D19" s="111"/>
      <c r="E19" s="6"/>
      <c r="F19" s="112"/>
      <c r="G19" s="111"/>
      <c r="H19" s="6"/>
      <c r="I19" s="112"/>
      <c r="J19" s="112"/>
      <c r="K19" s="248"/>
      <c r="L19" s="232"/>
      <c r="M19" s="86"/>
    </row>
    <row r="20" spans="1:13" ht="15" customHeight="1">
      <c r="A20" s="6"/>
      <c r="B20" s="128"/>
      <c r="C20" s="6"/>
      <c r="D20" s="111"/>
      <c r="E20" s="6"/>
      <c r="F20" s="112"/>
      <c r="G20" s="111"/>
      <c r="H20" s="6"/>
      <c r="I20" s="112"/>
      <c r="J20" s="112"/>
      <c r="K20" s="248"/>
      <c r="L20" s="232"/>
      <c r="M20" s="86"/>
    </row>
    <row r="21" spans="1:13" ht="15" customHeight="1">
      <c r="A21" s="510"/>
      <c r="B21" s="510"/>
      <c r="K21" s="28"/>
    </row>
    <row r="23" spans="1:13" ht="15" customHeight="1">
      <c r="A23" t="s">
        <v>203</v>
      </c>
    </row>
    <row r="24" spans="1:13" ht="15" customHeight="1">
      <c r="A24" t="s">
        <v>58</v>
      </c>
      <c r="B24" t="s">
        <v>59</v>
      </c>
      <c r="C24" t="s">
        <v>116</v>
      </c>
      <c r="D24" t="s">
        <v>62</v>
      </c>
      <c r="E24" t="s">
        <v>63</v>
      </c>
      <c r="F24" t="s">
        <v>64</v>
      </c>
      <c r="G24" t="s">
        <v>65</v>
      </c>
      <c r="H24" t="s">
        <v>63</v>
      </c>
      <c r="I24" t="s">
        <v>64</v>
      </c>
      <c r="J24" t="s">
        <v>66</v>
      </c>
      <c r="K24" t="s">
        <v>67</v>
      </c>
      <c r="L24" t="s">
        <v>68</v>
      </c>
      <c r="M24" t="s">
        <v>69</v>
      </c>
    </row>
    <row r="25" spans="1:13" ht="15" customHeight="1">
      <c r="A25" t="s">
        <v>204</v>
      </c>
      <c r="L25">
        <v>57156.416799999999</v>
      </c>
    </row>
    <row r="26" spans="1:13" ht="15" customHeight="1">
      <c r="A26">
        <v>1</v>
      </c>
      <c r="B26" t="s">
        <v>153</v>
      </c>
      <c r="D26">
        <v>400</v>
      </c>
      <c r="E26">
        <v>96.36</v>
      </c>
      <c r="F26">
        <v>38544</v>
      </c>
      <c r="I26">
        <v>0</v>
      </c>
      <c r="J26">
        <v>38544</v>
      </c>
      <c r="K26">
        <v>38544</v>
      </c>
      <c r="M26" t="s">
        <v>144</v>
      </c>
    </row>
    <row r="27" spans="1:13" ht="15" customHeight="1">
      <c r="A27">
        <v>2</v>
      </c>
      <c r="B27" t="s">
        <v>154</v>
      </c>
      <c r="D27">
        <v>44.62</v>
      </c>
      <c r="E27">
        <v>96.36</v>
      </c>
      <c r="F27">
        <v>4299.5832</v>
      </c>
      <c r="I27">
        <v>0</v>
      </c>
      <c r="J27">
        <v>4299.5832</v>
      </c>
      <c r="K27">
        <v>4299.5832</v>
      </c>
      <c r="L27">
        <v>0</v>
      </c>
      <c r="M27" t="s">
        <v>144</v>
      </c>
    </row>
    <row r="28" spans="1:13" ht="15" customHeight="1">
      <c r="A28">
        <v>3</v>
      </c>
      <c r="D28">
        <v>0</v>
      </c>
      <c r="E28">
        <v>96.36</v>
      </c>
      <c r="F28">
        <v>0</v>
      </c>
      <c r="I28">
        <v>0</v>
      </c>
      <c r="J28">
        <v>0</v>
      </c>
      <c r="K28">
        <v>0</v>
      </c>
      <c r="L28">
        <v>0</v>
      </c>
      <c r="M28" t="s">
        <v>144</v>
      </c>
    </row>
    <row r="29" spans="1:13" ht="15" customHeight="1">
      <c r="A29">
        <v>4</v>
      </c>
      <c r="D29">
        <v>0</v>
      </c>
      <c r="E29">
        <v>0</v>
      </c>
      <c r="F29">
        <v>0</v>
      </c>
      <c r="I29">
        <v>0</v>
      </c>
      <c r="J29">
        <v>0</v>
      </c>
      <c r="K29">
        <v>0</v>
      </c>
      <c r="L29">
        <v>0</v>
      </c>
      <c r="M29" t="s">
        <v>144</v>
      </c>
    </row>
    <row r="30" spans="1:13" ht="15" customHeight="1">
      <c r="A30">
        <v>5</v>
      </c>
      <c r="D30">
        <v>0</v>
      </c>
      <c r="E30">
        <v>0</v>
      </c>
      <c r="F30">
        <v>0</v>
      </c>
      <c r="I30">
        <v>0</v>
      </c>
      <c r="J30">
        <v>0</v>
      </c>
      <c r="K30">
        <v>0</v>
      </c>
      <c r="L30">
        <v>0</v>
      </c>
      <c r="M30" t="s">
        <v>144</v>
      </c>
    </row>
  </sheetData>
  <mergeCells count="8">
    <mergeCell ref="A15:K15"/>
    <mergeCell ref="L15:M15"/>
    <mergeCell ref="A21:B21"/>
    <mergeCell ref="A1:M1"/>
    <mergeCell ref="A3:K3"/>
    <mergeCell ref="L3:M3"/>
    <mergeCell ref="A9:B9"/>
    <mergeCell ref="A13:M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N35"/>
  <sheetViews>
    <sheetView workbookViewId="0">
      <selection activeCell="M30" sqref="M30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8.710937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</cols>
  <sheetData>
    <row r="1" spans="1:14" ht="15.75" customHeight="1">
      <c r="A1" s="495" t="s">
        <v>34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>
      <c r="A2" s="189" t="s">
        <v>58</v>
      </c>
      <c r="B2" s="189" t="s">
        <v>59</v>
      </c>
      <c r="C2" s="189" t="s">
        <v>60</v>
      </c>
      <c r="D2" s="189" t="s">
        <v>61</v>
      </c>
      <c r="E2" s="300" t="s">
        <v>62</v>
      </c>
      <c r="F2" s="300" t="s">
        <v>63</v>
      </c>
      <c r="G2" s="300" t="s">
        <v>64</v>
      </c>
      <c r="H2" s="300" t="s">
        <v>65</v>
      </c>
      <c r="I2" s="300" t="s">
        <v>63</v>
      </c>
      <c r="J2" s="300" t="s">
        <v>64</v>
      </c>
      <c r="K2" s="300" t="s">
        <v>66</v>
      </c>
      <c r="L2" s="189" t="s">
        <v>9</v>
      </c>
      <c r="M2" s="192" t="s">
        <v>205</v>
      </c>
      <c r="N2" s="189" t="s">
        <v>69</v>
      </c>
    </row>
    <row r="3" spans="1:14">
      <c r="A3" s="23"/>
      <c r="B3" s="23"/>
      <c r="C3" s="23"/>
      <c r="D3" s="23" t="s">
        <v>70</v>
      </c>
      <c r="E3" s="23"/>
      <c r="F3" s="23"/>
      <c r="G3" s="23"/>
      <c r="H3" s="23"/>
      <c r="I3" s="23"/>
      <c r="J3" s="23"/>
      <c r="K3" s="23">
        <v>2671.13</v>
      </c>
      <c r="L3" s="23"/>
      <c r="M3" s="23">
        <f>+K3</f>
        <v>2671.13</v>
      </c>
      <c r="N3" s="23"/>
    </row>
    <row r="4" spans="1:14">
      <c r="A4" s="213">
        <v>1</v>
      </c>
      <c r="B4" s="322" t="s">
        <v>117</v>
      </c>
      <c r="C4" s="213"/>
      <c r="D4" s="213"/>
      <c r="E4" s="148">
        <v>0</v>
      </c>
      <c r="F4" s="148">
        <v>0</v>
      </c>
      <c r="G4" s="323">
        <f>F4*E4</f>
        <v>0</v>
      </c>
      <c r="H4" s="148">
        <v>0</v>
      </c>
      <c r="I4" s="148">
        <v>0</v>
      </c>
      <c r="J4" s="323">
        <f>H4*I4</f>
        <v>0</v>
      </c>
      <c r="K4" s="323">
        <f>G4+J4</f>
        <v>0</v>
      </c>
      <c r="L4" s="213"/>
      <c r="M4" s="323">
        <f>M3+K4-L4</f>
        <v>2671.13</v>
      </c>
      <c r="N4" s="213"/>
    </row>
    <row r="5" spans="1:14">
      <c r="A5" s="23">
        <v>2</v>
      </c>
      <c r="B5" s="150" t="s">
        <v>119</v>
      </c>
      <c r="C5" s="23"/>
      <c r="D5" s="23"/>
      <c r="E5" s="84">
        <v>30</v>
      </c>
      <c r="F5" s="84">
        <v>88.86</v>
      </c>
      <c r="G5" s="67">
        <f>F5*E5</f>
        <v>2665.8</v>
      </c>
      <c r="H5" s="84">
        <v>0</v>
      </c>
      <c r="I5" s="84">
        <v>0</v>
      </c>
      <c r="J5" s="67">
        <f>H5*I5</f>
        <v>0</v>
      </c>
      <c r="K5" s="67">
        <f>G5+J5</f>
        <v>2665.8</v>
      </c>
      <c r="L5" s="23"/>
      <c r="M5" s="323">
        <f t="shared" ref="M5:M30" si="0">M4+K5-L5</f>
        <v>5336.93</v>
      </c>
      <c r="N5" s="23"/>
    </row>
    <row r="6" spans="1:14">
      <c r="A6" s="23">
        <v>3</v>
      </c>
      <c r="B6" s="150" t="s">
        <v>120</v>
      </c>
      <c r="C6" s="23"/>
      <c r="D6" s="23"/>
      <c r="E6" s="84">
        <v>30</v>
      </c>
      <c r="F6" s="84">
        <v>92.47</v>
      </c>
      <c r="G6" s="67">
        <f>F6*E6</f>
        <v>2774.1</v>
      </c>
      <c r="H6" s="84">
        <v>4.8600000000000003</v>
      </c>
      <c r="I6" s="84">
        <v>102.73</v>
      </c>
      <c r="J6" s="67">
        <f>H6*I6</f>
        <v>499.26780000000008</v>
      </c>
      <c r="K6" s="67">
        <f>G6+J6</f>
        <v>3273.3678</v>
      </c>
      <c r="L6" s="23"/>
      <c r="M6" s="323">
        <f t="shared" si="0"/>
        <v>8610.2978000000003</v>
      </c>
      <c r="N6" s="23"/>
    </row>
    <row r="7" spans="1:14">
      <c r="A7" s="23">
        <v>4</v>
      </c>
      <c r="B7" s="150" t="s">
        <v>121</v>
      </c>
      <c r="C7" s="23"/>
      <c r="D7" s="23"/>
      <c r="E7" s="84">
        <v>45.01</v>
      </c>
      <c r="F7" s="84">
        <v>88.86</v>
      </c>
      <c r="G7" s="67">
        <f>F7*E7</f>
        <v>3999.5885999999996</v>
      </c>
      <c r="H7" s="84">
        <v>4.8600000000000003</v>
      </c>
      <c r="I7" s="84">
        <v>102.73</v>
      </c>
      <c r="J7" s="67">
        <f>H7*I7</f>
        <v>499.26780000000008</v>
      </c>
      <c r="K7" s="67">
        <f>G7+J7</f>
        <v>4498.8563999999997</v>
      </c>
      <c r="L7" s="23"/>
      <c r="M7" s="323">
        <f t="shared" si="0"/>
        <v>13109.154200000001</v>
      </c>
      <c r="N7" s="23"/>
    </row>
    <row r="8" spans="1:14">
      <c r="A8" s="23">
        <v>5</v>
      </c>
      <c r="B8" s="150" t="s">
        <v>122</v>
      </c>
      <c r="C8" s="23"/>
      <c r="D8" s="23"/>
      <c r="E8" s="84">
        <v>0</v>
      </c>
      <c r="F8" s="84">
        <v>0</v>
      </c>
      <c r="G8" s="67">
        <f>F8*E8</f>
        <v>0</v>
      </c>
      <c r="H8" s="84">
        <v>0</v>
      </c>
      <c r="I8" s="84">
        <v>102.73</v>
      </c>
      <c r="J8" s="67">
        <f>H8*I8</f>
        <v>0</v>
      </c>
      <c r="K8" s="67">
        <f>G8+J8</f>
        <v>0</v>
      </c>
      <c r="L8" s="23"/>
      <c r="M8" s="323">
        <f t="shared" si="0"/>
        <v>13109.154200000001</v>
      </c>
      <c r="N8" s="23"/>
    </row>
    <row r="9" spans="1:14">
      <c r="A9" s="23">
        <v>6</v>
      </c>
      <c r="B9" s="150" t="s">
        <v>123</v>
      </c>
      <c r="C9" s="23"/>
      <c r="D9" s="23"/>
      <c r="E9" s="84">
        <v>45.01</v>
      </c>
      <c r="F9" s="84">
        <v>88.86</v>
      </c>
      <c r="G9" s="67">
        <f>F9*E9</f>
        <v>3999.5885999999996</v>
      </c>
      <c r="H9" s="84">
        <v>0</v>
      </c>
      <c r="I9" s="84">
        <v>102.73</v>
      </c>
      <c r="J9" s="67">
        <f>H9*I9</f>
        <v>0</v>
      </c>
      <c r="K9" s="67">
        <f>G9+J9</f>
        <v>3999.5885999999996</v>
      </c>
      <c r="L9" s="23"/>
      <c r="M9" s="323">
        <f t="shared" si="0"/>
        <v>17108.7428</v>
      </c>
      <c r="N9" s="23"/>
    </row>
    <row r="10" spans="1:14">
      <c r="A10" s="23">
        <v>7</v>
      </c>
      <c r="B10" s="150" t="s">
        <v>123</v>
      </c>
      <c r="C10" s="23"/>
      <c r="D10" s="23"/>
      <c r="E10" s="84">
        <v>30</v>
      </c>
      <c r="F10" s="84">
        <v>92.47</v>
      </c>
      <c r="G10" s="67">
        <f>F10*E10</f>
        <v>2774.1</v>
      </c>
      <c r="H10" s="84">
        <v>0</v>
      </c>
      <c r="I10" s="84">
        <v>102.73</v>
      </c>
      <c r="J10" s="67">
        <f>H10*I10</f>
        <v>0</v>
      </c>
      <c r="K10" s="67">
        <f>G10+J10</f>
        <v>2774.1</v>
      </c>
      <c r="L10" s="23"/>
      <c r="M10" s="323">
        <f t="shared" si="0"/>
        <v>19882.842799999999</v>
      </c>
      <c r="N10" s="23"/>
    </row>
    <row r="11" spans="1:14">
      <c r="A11" s="23">
        <v>8</v>
      </c>
      <c r="B11" s="150" t="s">
        <v>124</v>
      </c>
      <c r="C11" s="23"/>
      <c r="D11" s="23"/>
      <c r="E11" s="84">
        <v>0</v>
      </c>
      <c r="F11" s="84">
        <v>0</v>
      </c>
      <c r="G11" s="67">
        <f>F11*E11</f>
        <v>0</v>
      </c>
      <c r="H11" s="84">
        <v>0</v>
      </c>
      <c r="I11" s="84">
        <v>102.73</v>
      </c>
      <c r="J11" s="67">
        <f>H11*I11</f>
        <v>0</v>
      </c>
      <c r="K11" s="67">
        <f>G11+J11</f>
        <v>0</v>
      </c>
      <c r="L11" s="23"/>
      <c r="M11" s="323">
        <f t="shared" si="0"/>
        <v>19882.842799999999</v>
      </c>
      <c r="N11" s="23"/>
    </row>
    <row r="12" spans="1:14">
      <c r="A12" s="23">
        <v>9</v>
      </c>
      <c r="B12" s="150" t="s">
        <v>125</v>
      </c>
      <c r="C12" s="23"/>
      <c r="D12" s="23"/>
      <c r="E12" s="84">
        <v>45.01</v>
      </c>
      <c r="F12" s="84">
        <v>88.86</v>
      </c>
      <c r="G12" s="67">
        <f>F12*E12</f>
        <v>3999.5885999999996</v>
      </c>
      <c r="H12" s="84">
        <v>4.8600000000000003</v>
      </c>
      <c r="I12" s="84">
        <v>102.73</v>
      </c>
      <c r="J12" s="67">
        <f>H12*I12</f>
        <v>499.26780000000008</v>
      </c>
      <c r="K12" s="67">
        <f>G12+J12</f>
        <v>4498.8563999999997</v>
      </c>
      <c r="L12" s="23"/>
      <c r="M12" s="323">
        <f t="shared" si="0"/>
        <v>24381.699199999999</v>
      </c>
      <c r="N12" s="23"/>
    </row>
    <row r="13" spans="1:14">
      <c r="A13" s="23">
        <v>10</v>
      </c>
      <c r="B13" s="150" t="s">
        <v>126</v>
      </c>
      <c r="C13" s="23"/>
      <c r="D13" s="23"/>
      <c r="E13" s="84">
        <v>0</v>
      </c>
      <c r="F13" s="84">
        <v>0</v>
      </c>
      <c r="G13" s="67">
        <f>F13*E13</f>
        <v>0</v>
      </c>
      <c r="H13" s="84">
        <v>0</v>
      </c>
      <c r="I13" s="84">
        <v>102.73</v>
      </c>
      <c r="J13" s="67">
        <f>H13*I13</f>
        <v>0</v>
      </c>
      <c r="K13" s="67">
        <f>G13+J13</f>
        <v>0</v>
      </c>
      <c r="L13" s="23"/>
      <c r="M13" s="323">
        <f t="shared" si="0"/>
        <v>24381.699199999999</v>
      </c>
      <c r="N13" s="23"/>
    </row>
    <row r="14" spans="1:14">
      <c r="A14" s="23">
        <v>11</v>
      </c>
      <c r="B14" s="150" t="s">
        <v>127</v>
      </c>
      <c r="C14" s="23"/>
      <c r="D14" s="23"/>
      <c r="E14" s="84">
        <v>56.26</v>
      </c>
      <c r="F14" s="84">
        <v>88.86</v>
      </c>
      <c r="G14" s="67">
        <f>F14*E14</f>
        <v>4999.2636000000002</v>
      </c>
      <c r="H14" s="84">
        <v>4.8600000000000003</v>
      </c>
      <c r="I14" s="84">
        <v>102.73</v>
      </c>
      <c r="J14" s="67">
        <f>H14*I14</f>
        <v>499.26780000000008</v>
      </c>
      <c r="K14" s="67">
        <f>G14+J14</f>
        <v>5498.5313999999998</v>
      </c>
      <c r="L14" s="23"/>
      <c r="M14" s="323">
        <f>M13+K14-L14</f>
        <v>29880.230599999999</v>
      </c>
      <c r="N14" s="23"/>
    </row>
    <row r="15" spans="1:14">
      <c r="A15" s="23">
        <v>12</v>
      </c>
      <c r="B15" s="150" t="s">
        <v>128</v>
      </c>
      <c r="C15" s="23"/>
      <c r="D15" s="23"/>
      <c r="E15" s="84">
        <v>101.26</v>
      </c>
      <c r="F15" s="84">
        <v>88.86</v>
      </c>
      <c r="G15" s="67">
        <f>F15*E15</f>
        <v>8997.963600000001</v>
      </c>
      <c r="H15" s="84">
        <v>0</v>
      </c>
      <c r="I15" s="84">
        <v>102.73</v>
      </c>
      <c r="J15" s="67">
        <f>H15*I15</f>
        <v>0</v>
      </c>
      <c r="K15" s="67">
        <f>G15+J15</f>
        <v>8997.963600000001</v>
      </c>
      <c r="L15" s="150"/>
      <c r="M15" s="323">
        <f t="shared" si="0"/>
        <v>38878.194199999998</v>
      </c>
      <c r="N15" s="23"/>
    </row>
    <row r="16" spans="1:14">
      <c r="A16" s="23">
        <v>13</v>
      </c>
      <c r="B16" s="150" t="s">
        <v>129</v>
      </c>
      <c r="C16" s="23"/>
      <c r="D16" s="23"/>
      <c r="E16" s="84">
        <v>33.76</v>
      </c>
      <c r="F16" s="84">
        <v>88.86</v>
      </c>
      <c r="G16" s="67">
        <f>F16*E16</f>
        <v>2999.9135999999999</v>
      </c>
      <c r="H16" s="84">
        <v>0</v>
      </c>
      <c r="I16" s="84">
        <v>102.73</v>
      </c>
      <c r="J16" s="67">
        <f>H16*I16</f>
        <v>0</v>
      </c>
      <c r="K16" s="67">
        <f>G16+J16</f>
        <v>2999.9135999999999</v>
      </c>
      <c r="L16" s="23"/>
      <c r="M16" s="323">
        <f t="shared" si="0"/>
        <v>41878.107799999998</v>
      </c>
      <c r="N16" s="23"/>
    </row>
    <row r="17" spans="1:14">
      <c r="A17" s="23">
        <v>14</v>
      </c>
      <c r="B17" s="150" t="s">
        <v>132</v>
      </c>
      <c r="C17" s="23"/>
      <c r="D17" s="23"/>
      <c r="E17" s="84">
        <v>33.76</v>
      </c>
      <c r="F17" s="84">
        <v>88.86</v>
      </c>
      <c r="G17" s="67">
        <f>F17*E17</f>
        <v>2999.9135999999999</v>
      </c>
      <c r="H17" s="84">
        <v>0</v>
      </c>
      <c r="I17" s="84">
        <v>102.73</v>
      </c>
      <c r="J17" s="67">
        <f>H17*I17</f>
        <v>0</v>
      </c>
      <c r="K17" s="67">
        <f>G17+J17</f>
        <v>2999.9135999999999</v>
      </c>
      <c r="L17" s="23"/>
      <c r="M17" s="323">
        <f t="shared" si="0"/>
        <v>44878.021399999998</v>
      </c>
      <c r="N17" s="23"/>
    </row>
    <row r="18" spans="1:14">
      <c r="A18" s="23">
        <v>15</v>
      </c>
      <c r="B18" s="150" t="s">
        <v>146</v>
      </c>
      <c r="C18" s="23"/>
      <c r="D18" s="23"/>
      <c r="E18" s="84">
        <v>83.76</v>
      </c>
      <c r="F18" s="84">
        <v>88.86</v>
      </c>
      <c r="G18" s="67">
        <f>F18*E18</f>
        <v>7442.9136000000008</v>
      </c>
      <c r="H18" s="84">
        <v>0</v>
      </c>
      <c r="I18" s="84">
        <v>102.73</v>
      </c>
      <c r="J18" s="67">
        <f>H18*I18</f>
        <v>0</v>
      </c>
      <c r="K18" s="67">
        <f>G18+J18</f>
        <v>7442.9136000000008</v>
      </c>
      <c r="L18" s="23"/>
      <c r="M18" s="323">
        <f t="shared" si="0"/>
        <v>52320.934999999998</v>
      </c>
      <c r="N18" s="23"/>
    </row>
    <row r="19" spans="1:14">
      <c r="A19" s="23">
        <v>16</v>
      </c>
      <c r="B19" s="150" t="s">
        <v>148</v>
      </c>
      <c r="C19" s="23"/>
      <c r="D19" s="23"/>
      <c r="E19" s="84">
        <v>33.76</v>
      </c>
      <c r="F19" s="84">
        <v>88.86</v>
      </c>
      <c r="G19" s="67">
        <f>F19*E19</f>
        <v>2999.9135999999999</v>
      </c>
      <c r="H19" s="84">
        <v>4.8600000000000003</v>
      </c>
      <c r="I19" s="84">
        <v>102.73</v>
      </c>
      <c r="J19" s="67">
        <f>H19*I19</f>
        <v>499.26780000000008</v>
      </c>
      <c r="K19" s="67">
        <f>G19+J19</f>
        <v>3499.1813999999999</v>
      </c>
      <c r="L19" s="23"/>
      <c r="M19" s="323">
        <f t="shared" si="0"/>
        <v>55820.116399999999</v>
      </c>
      <c r="N19" s="23"/>
    </row>
    <row r="20" spans="1:14">
      <c r="A20" s="23">
        <v>20</v>
      </c>
      <c r="B20" s="150" t="s">
        <v>149</v>
      </c>
      <c r="C20" s="23"/>
      <c r="D20" s="23"/>
      <c r="E20" s="84">
        <v>33.76</v>
      </c>
      <c r="F20" s="84">
        <v>88.86</v>
      </c>
      <c r="G20" s="67">
        <f>F20*E20</f>
        <v>2999.9135999999999</v>
      </c>
      <c r="H20" s="84">
        <v>0</v>
      </c>
      <c r="I20" s="84">
        <v>102.73</v>
      </c>
      <c r="J20" s="67">
        <f>H20*I20</f>
        <v>0</v>
      </c>
      <c r="K20" s="67">
        <f>G20+J20</f>
        <v>2999.9135999999999</v>
      </c>
      <c r="L20" s="23"/>
      <c r="M20" s="323">
        <f t="shared" si="0"/>
        <v>58820.03</v>
      </c>
      <c r="N20" s="23"/>
    </row>
    <row r="21" spans="1:14">
      <c r="A21" s="23">
        <v>21</v>
      </c>
      <c r="B21" s="150" t="s">
        <v>150</v>
      </c>
      <c r="C21" s="23"/>
      <c r="D21" s="23"/>
      <c r="E21" s="84">
        <v>0</v>
      </c>
      <c r="F21" s="84">
        <v>88.86</v>
      </c>
      <c r="G21" s="67">
        <f>F21*E21</f>
        <v>0</v>
      </c>
      <c r="H21" s="84">
        <v>4.8600000000000003</v>
      </c>
      <c r="I21" s="84">
        <v>102.73</v>
      </c>
      <c r="J21" s="67">
        <f>H21*I21</f>
        <v>499.26780000000008</v>
      </c>
      <c r="K21" s="67">
        <f>G21+J21</f>
        <v>499.26780000000008</v>
      </c>
      <c r="L21" s="23"/>
      <c r="M21" s="323">
        <f>M20+K21-L21</f>
        <v>59319.2978</v>
      </c>
      <c r="N21" s="23"/>
    </row>
    <row r="22" spans="1:14">
      <c r="A22" s="23">
        <v>22</v>
      </c>
      <c r="B22" s="150" t="s">
        <v>151</v>
      </c>
      <c r="C22" s="23"/>
      <c r="D22" s="23"/>
      <c r="E22" s="84">
        <v>33.76</v>
      </c>
      <c r="F22" s="84">
        <v>88.86</v>
      </c>
      <c r="G22" s="67">
        <f>F22*E22</f>
        <v>2999.9135999999999</v>
      </c>
      <c r="H22" s="84">
        <v>0</v>
      </c>
      <c r="I22" s="84">
        <v>102.73</v>
      </c>
      <c r="J22" s="67">
        <f t="shared" ref="J22:J29" si="1">H22*I22</f>
        <v>0</v>
      </c>
      <c r="K22" s="67">
        <f>G22+J22</f>
        <v>2999.9135999999999</v>
      </c>
      <c r="L22" s="23"/>
      <c r="M22" s="323">
        <f t="shared" si="0"/>
        <v>62319.2114</v>
      </c>
      <c r="N22" s="23"/>
    </row>
    <row r="23" spans="1:14">
      <c r="A23" s="23">
        <v>23</v>
      </c>
      <c r="B23" s="150" t="s">
        <v>133</v>
      </c>
      <c r="C23" s="23"/>
      <c r="D23" s="23"/>
      <c r="E23" s="84">
        <v>22.51</v>
      </c>
      <c r="F23" s="84">
        <v>88.86</v>
      </c>
      <c r="G23" s="67">
        <f>F23*E23</f>
        <v>2000.2386000000001</v>
      </c>
      <c r="H23" s="84">
        <v>0</v>
      </c>
      <c r="I23" s="84">
        <v>102.73</v>
      </c>
      <c r="J23" s="67">
        <f t="shared" si="1"/>
        <v>0</v>
      </c>
      <c r="K23" s="67">
        <f>G23+J23</f>
        <v>2000.2386000000001</v>
      </c>
      <c r="L23" s="23"/>
      <c r="M23" s="323">
        <f t="shared" si="0"/>
        <v>64319.45</v>
      </c>
      <c r="N23" s="23"/>
    </row>
    <row r="24" spans="1:14">
      <c r="A24" s="23">
        <v>24</v>
      </c>
      <c r="B24" s="150" t="s">
        <v>133</v>
      </c>
      <c r="C24" s="23"/>
      <c r="D24" s="23"/>
      <c r="E24" s="84">
        <v>0</v>
      </c>
      <c r="F24" s="84">
        <v>88.86</v>
      </c>
      <c r="G24" s="67">
        <f>F24*E24</f>
        <v>0</v>
      </c>
      <c r="H24" s="84"/>
      <c r="I24" s="84">
        <v>102.73</v>
      </c>
      <c r="J24" s="67">
        <f t="shared" si="1"/>
        <v>0</v>
      </c>
      <c r="K24" s="67">
        <f>G24+J24</f>
        <v>0</v>
      </c>
      <c r="L24" s="23"/>
      <c r="M24" s="323">
        <f t="shared" si="0"/>
        <v>64319.45</v>
      </c>
      <c r="N24" s="23"/>
    </row>
    <row r="25" spans="1:14">
      <c r="A25" s="23">
        <v>25</v>
      </c>
      <c r="B25" s="150" t="s">
        <v>134</v>
      </c>
      <c r="C25" s="23"/>
      <c r="D25" s="23"/>
      <c r="E25" s="84">
        <v>78.77</v>
      </c>
      <c r="F25" s="84">
        <v>88.86</v>
      </c>
      <c r="G25" s="67">
        <f>F25*E25</f>
        <v>6999.5021999999999</v>
      </c>
      <c r="H25" s="84"/>
      <c r="I25" s="84">
        <v>102.73</v>
      </c>
      <c r="J25" s="67">
        <f t="shared" si="1"/>
        <v>0</v>
      </c>
      <c r="K25" s="67">
        <f>G25+J25</f>
        <v>6999.5021999999999</v>
      </c>
      <c r="L25" s="23"/>
      <c r="M25" s="323">
        <f t="shared" si="0"/>
        <v>71318.9522</v>
      </c>
      <c r="N25" s="23"/>
    </row>
    <row r="26" spans="1:14">
      <c r="A26" s="23">
        <v>26</v>
      </c>
      <c r="B26" s="150" t="s">
        <v>135</v>
      </c>
      <c r="C26" s="23"/>
      <c r="D26" s="23"/>
      <c r="E26" s="84">
        <v>33.76</v>
      </c>
      <c r="F26" s="84">
        <v>88.86</v>
      </c>
      <c r="G26" s="67">
        <f>F26*E26</f>
        <v>2999.9135999999999</v>
      </c>
      <c r="H26" s="84">
        <v>4.8600000000000003</v>
      </c>
      <c r="I26" s="396">
        <v>102.73</v>
      </c>
      <c r="J26" s="67">
        <f t="shared" si="1"/>
        <v>499.26780000000008</v>
      </c>
      <c r="K26" s="67">
        <f>G26+J26</f>
        <v>3499.1813999999999</v>
      </c>
      <c r="L26" s="23">
        <v>10000</v>
      </c>
      <c r="M26" s="323">
        <f t="shared" si="0"/>
        <v>64818.133600000001</v>
      </c>
      <c r="N26" s="23"/>
    </row>
    <row r="27" spans="1:14">
      <c r="A27" s="23">
        <v>27</v>
      </c>
      <c r="B27" s="150" t="s">
        <v>136</v>
      </c>
      <c r="C27" s="23"/>
      <c r="D27" s="23"/>
      <c r="E27" s="84"/>
      <c r="F27" s="84">
        <v>88.86</v>
      </c>
      <c r="G27" s="67">
        <f t="shared" ref="G27:G30" si="2">F27*E27</f>
        <v>0</v>
      </c>
      <c r="H27" s="84"/>
      <c r="I27" s="396">
        <v>102.73</v>
      </c>
      <c r="J27" s="67">
        <f t="shared" si="1"/>
        <v>0</v>
      </c>
      <c r="K27" s="67">
        <f t="shared" ref="K27:K30" si="3">G27+J27</f>
        <v>0</v>
      </c>
      <c r="L27" s="23">
        <v>10000</v>
      </c>
      <c r="M27" s="323">
        <f t="shared" si="0"/>
        <v>54818.133600000001</v>
      </c>
      <c r="N27" s="23"/>
    </row>
    <row r="28" spans="1:14">
      <c r="A28" s="23">
        <v>28</v>
      </c>
      <c r="B28" s="150" t="s">
        <v>137</v>
      </c>
      <c r="C28" s="23"/>
      <c r="D28" s="23"/>
      <c r="E28" s="84"/>
      <c r="F28" s="84">
        <v>88.86</v>
      </c>
      <c r="G28" s="67">
        <f t="shared" si="2"/>
        <v>0</v>
      </c>
      <c r="H28" s="84"/>
      <c r="I28" s="396">
        <v>102.73</v>
      </c>
      <c r="J28" s="67">
        <f t="shared" si="1"/>
        <v>0</v>
      </c>
      <c r="K28" s="67">
        <f t="shared" si="3"/>
        <v>0</v>
      </c>
      <c r="L28" s="23">
        <v>9000</v>
      </c>
      <c r="M28" s="323">
        <f t="shared" si="0"/>
        <v>45818.133600000001</v>
      </c>
      <c r="N28" s="23"/>
    </row>
    <row r="29" spans="1:14">
      <c r="A29" s="23">
        <v>29</v>
      </c>
      <c r="B29" s="150" t="s">
        <v>152</v>
      </c>
      <c r="C29" s="23"/>
      <c r="D29" s="23"/>
      <c r="E29" s="84">
        <v>135.05000000000001</v>
      </c>
      <c r="F29" s="84">
        <v>88.86</v>
      </c>
      <c r="G29" s="67">
        <f t="shared" si="2"/>
        <v>12000.543000000001</v>
      </c>
      <c r="H29" s="84">
        <v>14.8</v>
      </c>
      <c r="I29" s="396">
        <v>102.73</v>
      </c>
      <c r="J29" s="67">
        <f t="shared" si="1"/>
        <v>1520.4040000000002</v>
      </c>
      <c r="K29" s="67">
        <f t="shared" si="3"/>
        <v>13520.947000000002</v>
      </c>
      <c r="L29" s="23">
        <v>5000</v>
      </c>
      <c r="M29" s="323">
        <f t="shared" si="0"/>
        <v>54339.080600000001</v>
      </c>
      <c r="N29" s="23"/>
    </row>
    <row r="30" spans="1:14">
      <c r="A30" s="23">
        <v>30</v>
      </c>
      <c r="B30" s="150" t="s">
        <v>139</v>
      </c>
      <c r="C30" s="23"/>
      <c r="D30" s="23"/>
      <c r="E30" s="84">
        <v>67.52</v>
      </c>
      <c r="F30" s="84">
        <v>88.86</v>
      </c>
      <c r="G30" s="67">
        <f t="shared" si="2"/>
        <v>5999.8271999999997</v>
      </c>
      <c r="H30" s="84"/>
      <c r="I30" s="396"/>
      <c r="J30" s="67"/>
      <c r="K30" s="67">
        <f t="shared" si="3"/>
        <v>5999.8271999999997</v>
      </c>
      <c r="L30" s="23">
        <v>10000</v>
      </c>
      <c r="M30" s="323">
        <f t="shared" si="0"/>
        <v>50338.907800000001</v>
      </c>
      <c r="N30" s="23"/>
    </row>
    <row r="31" spans="1:14">
      <c r="A31" s="23">
        <v>31</v>
      </c>
      <c r="B31" s="150" t="s">
        <v>206</v>
      </c>
      <c r="C31" s="23"/>
      <c r="D31" s="23"/>
      <c r="E31" s="84">
        <v>0</v>
      </c>
      <c r="F31" s="84"/>
      <c r="G31" s="67"/>
      <c r="H31" s="84"/>
      <c r="I31" s="84"/>
      <c r="J31" s="67"/>
      <c r="K31" s="67"/>
      <c r="L31" s="23"/>
      <c r="M31" s="323"/>
      <c r="N31" s="23"/>
    </row>
    <row r="32" spans="1:14">
      <c r="A32" s="23">
        <v>32</v>
      </c>
      <c r="B32" s="150" t="s">
        <v>207</v>
      </c>
      <c r="C32" s="23"/>
      <c r="D32" s="23"/>
      <c r="E32" s="84">
        <v>0</v>
      </c>
      <c r="F32" s="84"/>
      <c r="G32" s="67"/>
      <c r="H32" s="84"/>
      <c r="I32" s="84"/>
      <c r="J32" s="67"/>
      <c r="K32" s="67"/>
      <c r="L32" s="23"/>
      <c r="M32" s="323"/>
      <c r="N32" s="23"/>
    </row>
    <row r="33" spans="1:14">
      <c r="A33" s="23">
        <v>33</v>
      </c>
      <c r="B33" s="150" t="s">
        <v>208</v>
      </c>
      <c r="C33" s="23"/>
      <c r="D33" s="23"/>
      <c r="E33" s="84">
        <v>0</v>
      </c>
      <c r="F33" s="84"/>
      <c r="G33" s="67"/>
      <c r="H33" s="84"/>
      <c r="I33" s="84"/>
      <c r="J33" s="67"/>
      <c r="K33" s="67"/>
      <c r="L33" s="23"/>
      <c r="M33" s="323"/>
      <c r="N33" s="23"/>
    </row>
    <row r="34" spans="1:14">
      <c r="A34" s="23"/>
      <c r="B34" s="150"/>
      <c r="C34" s="23"/>
      <c r="D34" s="23"/>
      <c r="E34" s="84">
        <v>0</v>
      </c>
      <c r="F34" s="84"/>
      <c r="G34" s="67"/>
      <c r="H34" s="84"/>
      <c r="I34" s="84"/>
      <c r="J34" s="67"/>
      <c r="K34" s="67"/>
      <c r="L34" s="23"/>
      <c r="M34" s="323"/>
      <c r="N34" s="23"/>
    </row>
    <row r="35" spans="1:14">
      <c r="A35" s="82"/>
      <c r="B35" s="82"/>
      <c r="C35" s="82"/>
      <c r="D35" s="82"/>
      <c r="E35" s="82">
        <f>SUM(E4:E31)</f>
        <v>972.7199999999998</v>
      </c>
      <c r="F35" s="82"/>
      <c r="G35" s="82">
        <f>SUM(G4:G31)</f>
        <v>86652.499200000006</v>
      </c>
      <c r="H35" s="82">
        <f>SUM(H4:H31)</f>
        <v>48.820000000000007</v>
      </c>
      <c r="I35" s="82"/>
      <c r="J35" s="82">
        <f>SUM(J4:J31)</f>
        <v>5015.2786000000006</v>
      </c>
      <c r="K35" s="82">
        <f>SUM(K4:K31)</f>
        <v>91667.777799999996</v>
      </c>
      <c r="L35" s="82">
        <f>SUM(L4:L31)</f>
        <v>44000</v>
      </c>
      <c r="M35" s="82"/>
      <c r="N35" s="82"/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041A-D552-4E9C-82CE-6FE0FE7DB884}">
  <sheetPr>
    <tabColor theme="5" tint="0.79998168889431442"/>
  </sheetPr>
  <dimension ref="A1:T157"/>
  <sheetViews>
    <sheetView workbookViewId="0">
      <pane ySplit="2" topLeftCell="A15" activePane="bottomLeft" state="frozen"/>
      <selection pane="bottomLeft" activeCell="S16" sqref="S16"/>
    </sheetView>
  </sheetViews>
  <sheetFormatPr defaultRowHeight="15"/>
  <cols>
    <col min="1" max="1" width="5.140625" bestFit="1" customWidth="1"/>
    <col min="2" max="2" width="9.5703125" style="283" customWidth="1"/>
    <col min="3" max="3" width="31.5703125" customWidth="1"/>
    <col min="4" max="4" width="29" bestFit="1" customWidth="1"/>
    <col min="5" max="5" width="18.85546875" bestFit="1" customWidth="1"/>
    <col min="6" max="6" width="10.7109375" bestFit="1" customWidth="1"/>
    <col min="7" max="7" width="7.5703125" customWidth="1"/>
    <col min="8" max="8" width="11.85546875" customWidth="1"/>
    <col min="9" max="9" width="10.7109375" bestFit="1" customWidth="1"/>
    <col min="10" max="10" width="7.140625" bestFit="1" customWidth="1"/>
    <col min="11" max="11" width="13" customWidth="1"/>
    <col min="12" max="12" width="13.7109375" bestFit="1" customWidth="1"/>
    <col min="13" max="13" width="16.28515625" customWidth="1"/>
    <col min="14" max="14" width="13.5703125" bestFit="1" customWidth="1"/>
    <col min="15" max="16" width="15.140625" bestFit="1" customWidth="1"/>
    <col min="20" max="20" width="10.85546875" bestFit="1" customWidth="1"/>
    <col min="16384" max="16384" width="9.140625" bestFit="1" customWidth="1"/>
  </cols>
  <sheetData>
    <row r="1" spans="1:16" ht="15.75" customHeight="1">
      <c r="A1" s="475" t="s">
        <v>209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</row>
    <row r="2" spans="1:16">
      <c r="A2" s="110" t="s">
        <v>58</v>
      </c>
      <c r="B2" s="281" t="s">
        <v>59</v>
      </c>
      <c r="C2" s="136" t="s">
        <v>210</v>
      </c>
      <c r="D2" s="136" t="s">
        <v>211</v>
      </c>
      <c r="E2" s="136" t="s">
        <v>212</v>
      </c>
      <c r="F2" s="136" t="s">
        <v>62</v>
      </c>
      <c r="G2" s="136" t="s">
        <v>63</v>
      </c>
      <c r="H2" s="145" t="s">
        <v>64</v>
      </c>
      <c r="I2" s="136" t="s">
        <v>65</v>
      </c>
      <c r="J2" s="136" t="s">
        <v>63</v>
      </c>
      <c r="K2" s="145" t="s">
        <v>64</v>
      </c>
      <c r="L2" s="110" t="s">
        <v>66</v>
      </c>
      <c r="M2" s="300" t="s">
        <v>213</v>
      </c>
      <c r="N2" s="138" t="s">
        <v>68</v>
      </c>
      <c r="O2" s="190" t="s">
        <v>69</v>
      </c>
      <c r="P2" s="190" t="s">
        <v>214</v>
      </c>
    </row>
    <row r="3" spans="1:16">
      <c r="A3" s="511" t="s">
        <v>70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298">
        <v>316243.76</v>
      </c>
      <c r="M3" s="270"/>
      <c r="N3" s="299"/>
      <c r="O3" s="151"/>
      <c r="P3" s="151"/>
    </row>
    <row r="4" spans="1:16">
      <c r="A4" s="23">
        <v>1</v>
      </c>
      <c r="B4" s="282">
        <v>45658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0">
        <v>316243.76</v>
      </c>
      <c r="O4" s="23" t="s">
        <v>215</v>
      </c>
      <c r="P4" s="249">
        <v>1120.48</v>
      </c>
    </row>
    <row r="5" spans="1:16">
      <c r="A5" s="23">
        <v>2</v>
      </c>
      <c r="B5" s="282">
        <v>45658</v>
      </c>
      <c r="C5" s="162" t="s">
        <v>216</v>
      </c>
      <c r="D5" s="162" t="s">
        <v>217</v>
      </c>
      <c r="E5" s="284" t="s">
        <v>218</v>
      </c>
      <c r="F5" s="23">
        <v>40.01</v>
      </c>
      <c r="G5" s="23">
        <v>89.47</v>
      </c>
      <c r="H5" s="67">
        <f>F5*G5</f>
        <v>3579.6946999999996</v>
      </c>
      <c r="I5" s="23"/>
      <c r="J5" s="23"/>
      <c r="K5" s="67">
        <f>I5*J5</f>
        <v>0</v>
      </c>
      <c r="L5" s="67">
        <f>H5+K5</f>
        <v>3579.6946999999996</v>
      </c>
      <c r="M5" s="23"/>
      <c r="N5" s="210">
        <f>N4+M5-L5</f>
        <v>312664.06530000002</v>
      </c>
      <c r="O5" s="23"/>
      <c r="P5" s="23"/>
    </row>
    <row r="6" spans="1:16">
      <c r="A6" s="23">
        <v>3</v>
      </c>
      <c r="B6" s="282">
        <v>45658</v>
      </c>
      <c r="C6" s="162" t="s">
        <v>219</v>
      </c>
      <c r="D6" s="162" t="s">
        <v>55</v>
      </c>
      <c r="E6" s="284" t="s">
        <v>220</v>
      </c>
      <c r="F6" s="23"/>
      <c r="G6" s="23"/>
      <c r="H6" s="67">
        <f>F6*G6</f>
        <v>0</v>
      </c>
      <c r="I6" s="23">
        <v>5.95</v>
      </c>
      <c r="J6" s="23">
        <v>102.46</v>
      </c>
      <c r="K6" s="67">
        <f>I6*J6</f>
        <v>609.63699999999994</v>
      </c>
      <c r="L6" s="67">
        <f>H6+K6</f>
        <v>609.63699999999994</v>
      </c>
      <c r="M6" s="23"/>
      <c r="N6" s="210">
        <f>N5+M6-L6</f>
        <v>312054.42830000003</v>
      </c>
      <c r="O6" s="23"/>
      <c r="P6" s="23"/>
    </row>
    <row r="7" spans="1:16">
      <c r="A7" s="23">
        <v>4</v>
      </c>
      <c r="B7" s="282">
        <v>45658</v>
      </c>
      <c r="C7" s="162" t="s">
        <v>221</v>
      </c>
      <c r="D7" s="162" t="s">
        <v>222</v>
      </c>
      <c r="E7" s="284" t="s">
        <v>223</v>
      </c>
      <c r="F7" s="23">
        <v>60</v>
      </c>
      <c r="G7" s="23">
        <v>89.29</v>
      </c>
      <c r="H7" s="67">
        <f>F7*G7</f>
        <v>5357.4000000000005</v>
      </c>
      <c r="I7" s="23"/>
      <c r="J7" s="23"/>
      <c r="K7" s="67">
        <f>I7*J7</f>
        <v>0</v>
      </c>
      <c r="L7" s="67">
        <f>H7+K7</f>
        <v>5357.4000000000005</v>
      </c>
      <c r="M7" s="23"/>
      <c r="N7" s="210">
        <f>N6+M7-L7</f>
        <v>306697.02830000001</v>
      </c>
      <c r="O7" s="23"/>
      <c r="P7" s="23"/>
    </row>
    <row r="8" spans="1:16">
      <c r="A8" s="285">
        <v>5</v>
      </c>
      <c r="B8" s="301">
        <v>45658</v>
      </c>
      <c r="C8" s="302"/>
      <c r="D8" s="302"/>
      <c r="E8" s="303"/>
      <c r="F8" s="285"/>
      <c r="G8" s="285"/>
      <c r="H8" s="290">
        <f>F8*G8</f>
        <v>0</v>
      </c>
      <c r="I8" s="285"/>
      <c r="J8" s="285"/>
      <c r="K8" s="290">
        <f>I8*J8</f>
        <v>0</v>
      </c>
      <c r="L8" s="290">
        <f>H8+K8</f>
        <v>0</v>
      </c>
      <c r="M8" s="285">
        <v>1000000</v>
      </c>
      <c r="N8" s="304">
        <f>N7+M8-L8</f>
        <v>1306697.0282999999</v>
      </c>
      <c r="O8" s="285"/>
      <c r="P8" s="285"/>
    </row>
    <row r="9" spans="1:16">
      <c r="A9" s="23">
        <v>6</v>
      </c>
      <c r="B9" s="282">
        <v>45659</v>
      </c>
      <c r="C9" s="162" t="s">
        <v>224</v>
      </c>
      <c r="D9" s="162" t="s">
        <v>225</v>
      </c>
      <c r="E9" s="284" t="s">
        <v>226</v>
      </c>
      <c r="F9" s="23">
        <v>1670.76</v>
      </c>
      <c r="G9" s="23">
        <v>89.78</v>
      </c>
      <c r="H9" s="67">
        <f>F9*G9</f>
        <v>150000.8328</v>
      </c>
      <c r="I9" s="23"/>
      <c r="J9" s="23"/>
      <c r="K9" s="67">
        <f>I9*J9</f>
        <v>0</v>
      </c>
      <c r="L9" s="67">
        <f>H9+K9</f>
        <v>150000.8328</v>
      </c>
      <c r="M9" s="23"/>
      <c r="N9" s="210">
        <f>N8+M9-L9</f>
        <v>1156696.1954999999</v>
      </c>
      <c r="O9" s="23"/>
      <c r="P9" s="23"/>
    </row>
    <row r="10" spans="1:16">
      <c r="A10" s="23">
        <v>7</v>
      </c>
      <c r="B10" s="282">
        <v>45659</v>
      </c>
      <c r="C10" s="162" t="s">
        <v>227</v>
      </c>
      <c r="D10" s="162" t="s">
        <v>228</v>
      </c>
      <c r="E10" s="284" t="s">
        <v>229</v>
      </c>
      <c r="F10" s="23">
        <v>150</v>
      </c>
      <c r="G10" s="23">
        <v>90.23</v>
      </c>
      <c r="H10" s="67">
        <f>F10*G10</f>
        <v>13534.5</v>
      </c>
      <c r="I10" s="23">
        <v>10</v>
      </c>
      <c r="J10" s="23">
        <v>104.13</v>
      </c>
      <c r="K10" s="67">
        <f>I10*J10</f>
        <v>1041.3</v>
      </c>
      <c r="L10" s="67">
        <f>H10+K10</f>
        <v>14575.8</v>
      </c>
      <c r="M10" s="23"/>
      <c r="N10" s="210">
        <f>N9+M10-L10</f>
        <v>1142120.3954999999</v>
      </c>
      <c r="O10" s="23"/>
      <c r="P10" s="23"/>
    </row>
    <row r="11" spans="1:16">
      <c r="A11" s="23">
        <v>8</v>
      </c>
      <c r="B11" s="282">
        <v>45659</v>
      </c>
      <c r="C11" s="162" t="s">
        <v>221</v>
      </c>
      <c r="D11" s="162" t="s">
        <v>222</v>
      </c>
      <c r="E11" s="284" t="s">
        <v>223</v>
      </c>
      <c r="F11" s="23">
        <v>2406.6999999999998</v>
      </c>
      <c r="G11" s="87">
        <v>89.29</v>
      </c>
      <c r="H11" s="67">
        <f>F11*G11</f>
        <v>214894.24299999999</v>
      </c>
      <c r="I11" s="23">
        <v>105</v>
      </c>
      <c r="J11" s="23">
        <v>103.24</v>
      </c>
      <c r="K11" s="67">
        <f>I11*J11</f>
        <v>10840.199999999999</v>
      </c>
      <c r="L11" s="67">
        <f>H11+K11</f>
        <v>225734.443</v>
      </c>
      <c r="M11" s="23"/>
      <c r="N11" s="210">
        <f>N10+M11-L11</f>
        <v>916385.9524999999</v>
      </c>
      <c r="O11" s="23"/>
      <c r="P11" s="23"/>
    </row>
    <row r="12" spans="1:16">
      <c r="A12" s="23">
        <v>9</v>
      </c>
      <c r="B12" s="282">
        <v>45659</v>
      </c>
      <c r="C12" s="162" t="s">
        <v>230</v>
      </c>
      <c r="D12" s="162" t="s">
        <v>231</v>
      </c>
      <c r="E12" s="284" t="s">
        <v>232</v>
      </c>
      <c r="F12" s="23">
        <v>400</v>
      </c>
      <c r="G12" s="23">
        <v>90.23</v>
      </c>
      <c r="H12" s="67">
        <f>F12*G12</f>
        <v>36092</v>
      </c>
      <c r="I12" s="23">
        <v>35</v>
      </c>
      <c r="J12" s="87">
        <v>104.14</v>
      </c>
      <c r="K12" s="67">
        <f>I12*J12</f>
        <v>3644.9</v>
      </c>
      <c r="L12" s="67">
        <f>H12+K12</f>
        <v>39736.9</v>
      </c>
      <c r="M12" s="23"/>
      <c r="N12" s="210">
        <f>N11+M12-L12</f>
        <v>876649.05249999987</v>
      </c>
      <c r="O12" s="23"/>
      <c r="P12" s="23"/>
    </row>
    <row r="13" spans="1:16">
      <c r="A13" s="23">
        <v>10</v>
      </c>
      <c r="B13" s="282">
        <v>45659</v>
      </c>
      <c r="C13" s="162" t="s">
        <v>216</v>
      </c>
      <c r="D13" s="162" t="s">
        <v>217</v>
      </c>
      <c r="E13" s="284" t="s">
        <v>218</v>
      </c>
      <c r="F13" s="253">
        <v>49</v>
      </c>
      <c r="G13" s="23">
        <v>89.47</v>
      </c>
      <c r="H13" s="67">
        <f>F13*G13</f>
        <v>4384.03</v>
      </c>
      <c r="I13" s="23">
        <v>30</v>
      </c>
      <c r="J13" s="23">
        <v>103.4</v>
      </c>
      <c r="K13" s="67">
        <f>I13*J13</f>
        <v>3102</v>
      </c>
      <c r="L13" s="67">
        <f>H13+K13</f>
        <v>7486.03</v>
      </c>
      <c r="M13" s="23"/>
      <c r="N13" s="210">
        <f>N12+M13-L13</f>
        <v>869163.02249999985</v>
      </c>
      <c r="O13" s="23"/>
      <c r="P13" s="23"/>
    </row>
    <row r="14" spans="1:16">
      <c r="A14" s="23">
        <v>11</v>
      </c>
      <c r="B14" s="282">
        <v>45659</v>
      </c>
      <c r="C14" s="162" t="s">
        <v>233</v>
      </c>
      <c r="D14" s="162" t="s">
        <v>234</v>
      </c>
      <c r="E14" s="284" t="s">
        <v>235</v>
      </c>
      <c r="F14" s="23">
        <v>80</v>
      </c>
      <c r="G14" s="23">
        <v>89.9</v>
      </c>
      <c r="H14" s="67">
        <f>F14*G14</f>
        <v>7192</v>
      </c>
      <c r="I14" s="23">
        <v>6.16</v>
      </c>
      <c r="J14" s="23">
        <v>103.96</v>
      </c>
      <c r="K14" s="67">
        <f>I14*J14</f>
        <v>640.39359999999999</v>
      </c>
      <c r="L14" s="67">
        <f>H14+K14</f>
        <v>7832.3936000000003</v>
      </c>
      <c r="M14" s="23"/>
      <c r="N14" s="210">
        <f>N13+M14-L14</f>
        <v>861330.62889999989</v>
      </c>
      <c r="O14" s="23"/>
      <c r="P14" s="23"/>
    </row>
    <row r="15" spans="1:16">
      <c r="A15" s="23">
        <v>12</v>
      </c>
      <c r="B15" s="282">
        <v>45660</v>
      </c>
      <c r="C15" s="162" t="s">
        <v>219</v>
      </c>
      <c r="D15" s="162" t="s">
        <v>55</v>
      </c>
      <c r="E15" s="284" t="s">
        <v>220</v>
      </c>
      <c r="F15" s="23">
        <v>5.65</v>
      </c>
      <c r="G15" s="23">
        <v>88.58</v>
      </c>
      <c r="H15" s="67">
        <f>F15*G15</f>
        <v>500.47700000000003</v>
      </c>
      <c r="I15" s="23"/>
      <c r="J15" s="87"/>
      <c r="K15" s="67">
        <f>I15*J15</f>
        <v>0</v>
      </c>
      <c r="L15" s="67">
        <f>H15+K15</f>
        <v>500.47700000000003</v>
      </c>
      <c r="M15" s="23"/>
      <c r="N15" s="210">
        <f>N14+M15-L15</f>
        <v>860830.15189999994</v>
      </c>
      <c r="O15" s="23"/>
      <c r="P15" s="23"/>
    </row>
    <row r="16" spans="1:16">
      <c r="A16" s="23">
        <v>13</v>
      </c>
      <c r="B16" s="282">
        <v>45660</v>
      </c>
      <c r="C16" s="162" t="s">
        <v>216</v>
      </c>
      <c r="D16" s="162" t="s">
        <v>217</v>
      </c>
      <c r="E16" s="284" t="s">
        <v>218</v>
      </c>
      <c r="F16" s="23">
        <v>72.52</v>
      </c>
      <c r="G16" s="87">
        <v>89.47</v>
      </c>
      <c r="H16" s="67">
        <f>F16*G16</f>
        <v>6488.3643999999995</v>
      </c>
      <c r="I16" s="23">
        <v>5</v>
      </c>
      <c r="J16" s="23">
        <v>103.4</v>
      </c>
      <c r="K16" s="67">
        <f>I16*J16</f>
        <v>517</v>
      </c>
      <c r="L16" s="67">
        <f>H16+K16</f>
        <v>7005.3643999999995</v>
      </c>
      <c r="M16" s="23"/>
      <c r="N16" s="210">
        <f>N15+M16-L16</f>
        <v>853824.78749999998</v>
      </c>
      <c r="O16" s="23"/>
      <c r="P16" s="23"/>
    </row>
    <row r="17" spans="1:16">
      <c r="A17" s="23">
        <v>14</v>
      </c>
      <c r="B17" s="282">
        <v>45660</v>
      </c>
      <c r="C17" s="162" t="s">
        <v>233</v>
      </c>
      <c r="D17" s="162" t="s">
        <v>234</v>
      </c>
      <c r="E17" s="284" t="s">
        <v>235</v>
      </c>
      <c r="F17" s="23">
        <v>26.7</v>
      </c>
      <c r="G17" s="23">
        <v>89.9</v>
      </c>
      <c r="H17" s="67">
        <f>F17*G17</f>
        <v>2400.33</v>
      </c>
      <c r="I17" s="23"/>
      <c r="J17" s="87"/>
      <c r="K17" s="67">
        <f>I17*J17</f>
        <v>0</v>
      </c>
      <c r="L17" s="67">
        <f>H17+K17</f>
        <v>2400.33</v>
      </c>
      <c r="M17" s="23"/>
      <c r="N17" s="210">
        <f>N16+M17-L17</f>
        <v>851424.45750000002</v>
      </c>
      <c r="O17" s="23"/>
      <c r="P17" s="23"/>
    </row>
    <row r="18" spans="1:16">
      <c r="A18" s="23">
        <v>15</v>
      </c>
      <c r="B18" s="282">
        <v>45661</v>
      </c>
      <c r="C18" s="162" t="s">
        <v>216</v>
      </c>
      <c r="D18" s="162" t="s">
        <v>217</v>
      </c>
      <c r="E18" s="284" t="s">
        <v>218</v>
      </c>
      <c r="F18" s="23">
        <v>20</v>
      </c>
      <c r="G18" s="23">
        <v>89.47</v>
      </c>
      <c r="H18" s="67">
        <f>F18*G18</f>
        <v>1789.4</v>
      </c>
      <c r="I18" s="23">
        <v>6</v>
      </c>
      <c r="J18" s="23">
        <v>103.4</v>
      </c>
      <c r="K18" s="67">
        <f>I18*J18</f>
        <v>620.40000000000009</v>
      </c>
      <c r="L18" s="67">
        <f>H18+K18</f>
        <v>2409.8000000000002</v>
      </c>
      <c r="M18" s="23"/>
      <c r="N18" s="210">
        <f>N17+M18-L18</f>
        <v>849014.65749999997</v>
      </c>
      <c r="O18" s="23"/>
      <c r="P18" s="23"/>
    </row>
    <row r="19" spans="1:16">
      <c r="A19" s="23">
        <v>16</v>
      </c>
      <c r="B19" s="282">
        <v>45663</v>
      </c>
      <c r="C19" s="162" t="s">
        <v>230</v>
      </c>
      <c r="D19" s="162" t="s">
        <v>236</v>
      </c>
      <c r="E19" s="284" t="s">
        <v>232</v>
      </c>
      <c r="F19" s="23">
        <v>110.83</v>
      </c>
      <c r="G19" s="23">
        <v>90.23</v>
      </c>
      <c r="H19" s="67">
        <f>F19*G19</f>
        <v>10000.1909</v>
      </c>
      <c r="I19" s="23"/>
      <c r="J19" s="23"/>
      <c r="K19" s="67">
        <f>I19*J19</f>
        <v>0</v>
      </c>
      <c r="L19" s="67">
        <f>H19+K19</f>
        <v>10000.1909</v>
      </c>
      <c r="M19" s="23"/>
      <c r="N19" s="210">
        <f>N18+M19-L19</f>
        <v>839014.46659999993</v>
      </c>
      <c r="O19" s="23"/>
      <c r="P19" s="23"/>
    </row>
    <row r="20" spans="1:16">
      <c r="A20" s="23">
        <v>17</v>
      </c>
      <c r="B20" s="282">
        <v>45663</v>
      </c>
      <c r="C20" s="162" t="s">
        <v>216</v>
      </c>
      <c r="D20" s="162" t="s">
        <v>217</v>
      </c>
      <c r="E20" s="284" t="s">
        <v>218</v>
      </c>
      <c r="F20" s="23">
        <v>32.89</v>
      </c>
      <c r="G20" s="23">
        <v>89.47</v>
      </c>
      <c r="H20" s="67">
        <f>F20*G20</f>
        <v>2942.6682999999998</v>
      </c>
      <c r="I20" s="23"/>
      <c r="J20" s="23"/>
      <c r="K20" s="67">
        <f>I20*J20</f>
        <v>0</v>
      </c>
      <c r="L20" s="67">
        <f>H20+K20</f>
        <v>2942.6682999999998</v>
      </c>
      <c r="M20" s="23"/>
      <c r="N20" s="210">
        <f>N19+M20-L20</f>
        <v>836071.79829999991</v>
      </c>
      <c r="O20" s="23"/>
      <c r="P20" s="23"/>
    </row>
    <row r="21" spans="1:16">
      <c r="A21" s="23">
        <v>18</v>
      </c>
      <c r="B21" s="282">
        <v>45663</v>
      </c>
      <c r="C21" s="162" t="s">
        <v>233</v>
      </c>
      <c r="D21" s="162" t="s">
        <v>234</v>
      </c>
      <c r="E21" s="284" t="s">
        <v>235</v>
      </c>
      <c r="F21" s="23">
        <v>100</v>
      </c>
      <c r="G21" s="23">
        <v>89.9</v>
      </c>
      <c r="H21" s="67">
        <f>F21*G21</f>
        <v>8990</v>
      </c>
      <c r="I21" s="23">
        <v>6.74</v>
      </c>
      <c r="J21" s="23">
        <v>103.96</v>
      </c>
      <c r="K21" s="67">
        <f>I21*J21</f>
        <v>700.69039999999995</v>
      </c>
      <c r="L21" s="67">
        <f>H21+K21</f>
        <v>9690.6903999999995</v>
      </c>
      <c r="M21" s="23"/>
      <c r="N21" s="210">
        <f>N20+M21-L21</f>
        <v>826381.10789999994</v>
      </c>
      <c r="O21" s="23"/>
      <c r="P21" s="23"/>
    </row>
    <row r="22" spans="1:16">
      <c r="A22" s="23">
        <v>19</v>
      </c>
      <c r="B22" s="282">
        <v>45664</v>
      </c>
      <c r="C22" s="162" t="s">
        <v>237</v>
      </c>
      <c r="D22" s="162" t="s">
        <v>53</v>
      </c>
      <c r="E22" s="284" t="s">
        <v>238</v>
      </c>
      <c r="F22" s="23">
        <v>22.35</v>
      </c>
      <c r="G22" s="23">
        <v>89.49</v>
      </c>
      <c r="H22" s="67">
        <f>F22*G22</f>
        <v>2000.1015</v>
      </c>
      <c r="I22" s="23">
        <v>4.83</v>
      </c>
      <c r="J22" s="23">
        <v>103.44</v>
      </c>
      <c r="K22" s="67">
        <f>I22*J22</f>
        <v>499.61520000000002</v>
      </c>
      <c r="L22" s="67">
        <f>H22+K22</f>
        <v>2499.7166999999999</v>
      </c>
      <c r="M22" s="23"/>
      <c r="N22" s="210">
        <f>N21+M22-L22</f>
        <v>823881.39119999995</v>
      </c>
      <c r="O22" s="23"/>
      <c r="P22" s="23"/>
    </row>
    <row r="23" spans="1:16">
      <c r="A23" s="23">
        <v>20</v>
      </c>
      <c r="B23" s="282">
        <v>45664</v>
      </c>
      <c r="C23" s="162" t="s">
        <v>221</v>
      </c>
      <c r="D23" s="162" t="s">
        <v>222</v>
      </c>
      <c r="E23" s="284" t="s">
        <v>223</v>
      </c>
      <c r="F23" s="23">
        <v>1540</v>
      </c>
      <c r="G23" s="23">
        <v>89.29</v>
      </c>
      <c r="H23" s="67">
        <f>F23*G23</f>
        <v>137506.6</v>
      </c>
      <c r="I23" s="23">
        <v>120</v>
      </c>
      <c r="J23" s="23">
        <v>103.24</v>
      </c>
      <c r="K23" s="67">
        <f>I23*J23</f>
        <v>12388.8</v>
      </c>
      <c r="L23" s="67">
        <f>H23+K23</f>
        <v>149895.4</v>
      </c>
      <c r="M23" s="23"/>
      <c r="N23" s="210">
        <f>N22+M23-L23</f>
        <v>673985.99119999993</v>
      </c>
      <c r="O23" s="23"/>
      <c r="P23" s="23"/>
    </row>
    <row r="24" spans="1:16">
      <c r="A24" s="23">
        <v>21</v>
      </c>
      <c r="B24" s="282">
        <v>45664</v>
      </c>
      <c r="C24" s="162" t="s">
        <v>233</v>
      </c>
      <c r="D24" s="162" t="s">
        <v>234</v>
      </c>
      <c r="E24" s="284" t="s">
        <v>235</v>
      </c>
      <c r="F24" s="23">
        <v>105</v>
      </c>
      <c r="G24" s="23">
        <v>89.9</v>
      </c>
      <c r="H24" s="67">
        <f>F24*G24</f>
        <v>9439.5</v>
      </c>
      <c r="I24" s="23">
        <v>4.8099999999999996</v>
      </c>
      <c r="J24" s="23">
        <v>103.96</v>
      </c>
      <c r="K24" s="67">
        <f>I24*J24</f>
        <v>500.04759999999993</v>
      </c>
      <c r="L24" s="67">
        <f>H24+K24</f>
        <v>9939.5475999999999</v>
      </c>
      <c r="M24" s="23"/>
      <c r="N24" s="210">
        <f>N23+M24-L24</f>
        <v>664046.44359999988</v>
      </c>
      <c r="O24" s="23"/>
      <c r="P24" s="23"/>
    </row>
    <row r="25" spans="1:16">
      <c r="A25" s="23">
        <v>22</v>
      </c>
      <c r="B25" s="282">
        <v>45665</v>
      </c>
      <c r="C25" s="162" t="s">
        <v>239</v>
      </c>
      <c r="D25" s="162" t="s">
        <v>240</v>
      </c>
      <c r="E25" s="284" t="s">
        <v>241</v>
      </c>
      <c r="F25" s="23">
        <v>35</v>
      </c>
      <c r="G25" s="23">
        <v>90.23</v>
      </c>
      <c r="H25" s="67">
        <f>F25*G25</f>
        <v>3158.05</v>
      </c>
      <c r="I25" s="23"/>
      <c r="J25" s="23"/>
      <c r="K25" s="67">
        <f>I25*J25</f>
        <v>0</v>
      </c>
      <c r="L25" s="67">
        <f>H25+K25</f>
        <v>3158.05</v>
      </c>
      <c r="M25" s="23"/>
      <c r="N25" s="210">
        <f>N24+M25-L25</f>
        <v>660888.39359999984</v>
      </c>
      <c r="O25" s="23"/>
      <c r="P25" s="23"/>
    </row>
    <row r="26" spans="1:16">
      <c r="A26" s="23">
        <v>23</v>
      </c>
      <c r="B26" s="282">
        <v>45665</v>
      </c>
      <c r="C26" s="162" t="s">
        <v>224</v>
      </c>
      <c r="D26" s="162" t="s">
        <v>225</v>
      </c>
      <c r="E26" s="284" t="s">
        <v>226</v>
      </c>
      <c r="F26" s="23">
        <v>1589.67</v>
      </c>
      <c r="G26" s="23">
        <v>89.78</v>
      </c>
      <c r="H26" s="67">
        <f>F26*G26</f>
        <v>142720.57260000001</v>
      </c>
      <c r="I26" s="23">
        <v>70</v>
      </c>
      <c r="J26" s="23">
        <v>104</v>
      </c>
      <c r="K26" s="67">
        <f>I26*J26</f>
        <v>7280</v>
      </c>
      <c r="L26" s="67">
        <f>H26+K26</f>
        <v>150000.57260000001</v>
      </c>
      <c r="M26" s="23"/>
      <c r="N26" s="210">
        <f>N25+M26-L26</f>
        <v>510887.82099999982</v>
      </c>
      <c r="O26" s="23"/>
      <c r="P26" s="23"/>
    </row>
    <row r="27" spans="1:16">
      <c r="A27" s="23">
        <v>24</v>
      </c>
      <c r="B27" s="282">
        <v>45665</v>
      </c>
      <c r="C27" s="162" t="s">
        <v>28</v>
      </c>
      <c r="D27" s="162" t="s">
        <v>242</v>
      </c>
      <c r="E27" s="284" t="s">
        <v>243</v>
      </c>
      <c r="F27" s="23">
        <v>1662.24</v>
      </c>
      <c r="G27" s="23">
        <v>90.24</v>
      </c>
      <c r="H27" s="67">
        <f>F27*G27</f>
        <v>150000.53759999998</v>
      </c>
      <c r="I27" s="23"/>
      <c r="J27" s="23"/>
      <c r="K27" s="67">
        <f>I27*J27</f>
        <v>0</v>
      </c>
      <c r="L27" s="67">
        <f>H27+K27</f>
        <v>150000.53759999998</v>
      </c>
      <c r="M27" s="23"/>
      <c r="N27" s="210">
        <f>N26+M27-L27</f>
        <v>360887.28339999984</v>
      </c>
      <c r="O27" s="23"/>
      <c r="P27" s="23"/>
    </row>
    <row r="28" spans="1:16">
      <c r="A28" s="23">
        <v>25</v>
      </c>
      <c r="B28" s="282">
        <v>45665</v>
      </c>
      <c r="C28" s="162" t="s">
        <v>227</v>
      </c>
      <c r="D28" s="162" t="s">
        <v>228</v>
      </c>
      <c r="E28" s="284" t="s">
        <v>229</v>
      </c>
      <c r="F28" s="23">
        <v>20</v>
      </c>
      <c r="G28" s="23">
        <v>90.23</v>
      </c>
      <c r="H28" s="67">
        <f>F28*G28</f>
        <v>1804.6000000000001</v>
      </c>
      <c r="I28" s="23"/>
      <c r="J28" s="23"/>
      <c r="K28" s="67">
        <f>I28*J28</f>
        <v>0</v>
      </c>
      <c r="L28" s="67">
        <f>H28+K28</f>
        <v>1804.6000000000001</v>
      </c>
      <c r="M28" s="23"/>
      <c r="N28" s="210">
        <f>N27+M28-L28</f>
        <v>359082.68339999986</v>
      </c>
      <c r="O28" s="23"/>
      <c r="P28" s="23"/>
    </row>
    <row r="29" spans="1:16">
      <c r="A29" s="23">
        <v>26</v>
      </c>
      <c r="B29" s="282">
        <v>45665</v>
      </c>
      <c r="C29" s="162" t="s">
        <v>28</v>
      </c>
      <c r="D29" s="162" t="s">
        <v>242</v>
      </c>
      <c r="E29" s="284" t="s">
        <v>229</v>
      </c>
      <c r="F29" s="23">
        <v>200</v>
      </c>
      <c r="G29" s="23">
        <v>90.24</v>
      </c>
      <c r="H29" s="67">
        <f>F29*G29</f>
        <v>18048</v>
      </c>
      <c r="I29" s="23"/>
      <c r="J29" s="23"/>
      <c r="K29" s="67">
        <f>I29*J29</f>
        <v>0</v>
      </c>
      <c r="L29" s="67">
        <f>H29+K29</f>
        <v>18048</v>
      </c>
      <c r="M29" s="23"/>
      <c r="N29" s="210">
        <f>N28+M29-L29</f>
        <v>341034.68339999986</v>
      </c>
      <c r="O29" s="23"/>
      <c r="P29" s="23"/>
    </row>
    <row r="30" spans="1:16">
      <c r="A30" s="23">
        <v>27</v>
      </c>
      <c r="B30" s="282">
        <v>45665</v>
      </c>
      <c r="C30" s="162" t="s">
        <v>28</v>
      </c>
      <c r="D30" s="162" t="s">
        <v>242</v>
      </c>
      <c r="E30" s="284" t="s">
        <v>232</v>
      </c>
      <c r="F30" s="23">
        <v>400</v>
      </c>
      <c r="G30" s="23">
        <v>90.24</v>
      </c>
      <c r="H30" s="67">
        <f>F30*G30</f>
        <v>36096</v>
      </c>
      <c r="I30" s="23"/>
      <c r="J30" s="23"/>
      <c r="K30" s="67">
        <f>I30*J30</f>
        <v>0</v>
      </c>
      <c r="L30" s="67">
        <f>H30+K30</f>
        <v>36096</v>
      </c>
      <c r="M30" s="23"/>
      <c r="N30" s="210">
        <f>N29+M30-L30</f>
        <v>304938.68339999986</v>
      </c>
      <c r="O30" s="23"/>
      <c r="P30" s="23"/>
    </row>
    <row r="31" spans="1:16">
      <c r="A31" s="23">
        <v>28</v>
      </c>
      <c r="B31" s="282">
        <v>45665</v>
      </c>
      <c r="C31" s="162" t="s">
        <v>219</v>
      </c>
      <c r="D31" s="162" t="s">
        <v>55</v>
      </c>
      <c r="E31" s="284" t="s">
        <v>220</v>
      </c>
      <c r="F31" s="23"/>
      <c r="G31" s="23"/>
      <c r="H31" s="67">
        <f>F31*G31</f>
        <v>0</v>
      </c>
      <c r="I31" s="23">
        <v>6.36</v>
      </c>
      <c r="J31" s="23">
        <v>102.46</v>
      </c>
      <c r="K31" s="67">
        <f>I31*J31</f>
        <v>651.64559999999994</v>
      </c>
      <c r="L31" s="67">
        <f>H31+K31</f>
        <v>651.64559999999994</v>
      </c>
      <c r="M31" s="23"/>
      <c r="N31" s="210">
        <f>N30+M31-L31</f>
        <v>304287.03779999987</v>
      </c>
      <c r="O31" s="23"/>
      <c r="P31" s="23"/>
    </row>
    <row r="32" spans="1:16">
      <c r="A32" s="23">
        <v>29</v>
      </c>
      <c r="B32" s="282">
        <v>45665</v>
      </c>
      <c r="C32" s="162" t="s">
        <v>216</v>
      </c>
      <c r="D32" s="162" t="s">
        <v>217</v>
      </c>
      <c r="E32" s="284" t="s">
        <v>218</v>
      </c>
      <c r="F32" s="23">
        <v>86.42</v>
      </c>
      <c r="G32" s="23">
        <v>89.47</v>
      </c>
      <c r="H32" s="67">
        <f>F32*G32</f>
        <v>7731.9974000000002</v>
      </c>
      <c r="I32" s="23">
        <v>6</v>
      </c>
      <c r="J32" s="23">
        <v>103.4</v>
      </c>
      <c r="K32" s="67">
        <f>I32*J32</f>
        <v>620.40000000000009</v>
      </c>
      <c r="L32" s="67">
        <f>H32+K32</f>
        <v>8352.3973999999998</v>
      </c>
      <c r="M32" s="23"/>
      <c r="N32" s="210">
        <f>N31+M32-L32</f>
        <v>295934.64039999986</v>
      </c>
      <c r="O32" s="23"/>
      <c r="P32" s="23"/>
    </row>
    <row r="33" spans="1:16">
      <c r="A33" s="23">
        <v>30</v>
      </c>
      <c r="B33" s="282">
        <v>45665</v>
      </c>
      <c r="C33" s="162" t="s">
        <v>233</v>
      </c>
      <c r="D33" s="162" t="s">
        <v>234</v>
      </c>
      <c r="E33" s="284" t="s">
        <v>235</v>
      </c>
      <c r="F33" s="23">
        <v>100</v>
      </c>
      <c r="G33" s="23">
        <v>89.9</v>
      </c>
      <c r="H33" s="67">
        <f>F33*G33</f>
        <v>8990</v>
      </c>
      <c r="I33" s="23"/>
      <c r="J33" s="23"/>
      <c r="K33" s="67">
        <f>I33*J33</f>
        <v>0</v>
      </c>
      <c r="L33" s="67">
        <f>H33+K33</f>
        <v>8990</v>
      </c>
      <c r="M33" s="23"/>
      <c r="N33" s="210">
        <f>N32+M33-L33</f>
        <v>286944.64039999986</v>
      </c>
      <c r="O33" s="23"/>
      <c r="P33" s="23"/>
    </row>
    <row r="34" spans="1:16">
      <c r="A34" s="23">
        <v>31</v>
      </c>
      <c r="B34" s="282">
        <v>45665</v>
      </c>
      <c r="C34" s="23"/>
      <c r="D34" s="23"/>
      <c r="E34" s="23"/>
      <c r="F34" s="23"/>
      <c r="G34" s="23"/>
      <c r="H34" s="67">
        <f>F34*G34</f>
        <v>0</v>
      </c>
      <c r="I34" s="23"/>
      <c r="J34" s="23"/>
      <c r="K34" s="67">
        <f>I34*J34</f>
        <v>0</v>
      </c>
      <c r="L34" s="67">
        <f>H34+K34</f>
        <v>0</v>
      </c>
      <c r="M34" s="23"/>
      <c r="N34" s="210">
        <f>N33+M34-L34</f>
        <v>286944.64039999986</v>
      </c>
      <c r="O34" s="23" t="s">
        <v>215</v>
      </c>
      <c r="P34" s="23">
        <v>52175.62</v>
      </c>
    </row>
    <row r="35" spans="1:16">
      <c r="A35" s="23">
        <v>32</v>
      </c>
      <c r="B35" s="282">
        <v>45666</v>
      </c>
      <c r="C35" s="162" t="s">
        <v>230</v>
      </c>
      <c r="D35" s="162" t="s">
        <v>236</v>
      </c>
      <c r="E35" s="284" t="s">
        <v>232</v>
      </c>
      <c r="F35" s="23">
        <v>614.92999999999995</v>
      </c>
      <c r="G35" s="23">
        <v>90.23</v>
      </c>
      <c r="H35" s="67">
        <f>F35*G35</f>
        <v>55485.133900000001</v>
      </c>
      <c r="I35" s="23">
        <v>20</v>
      </c>
      <c r="J35" s="23">
        <v>104.14</v>
      </c>
      <c r="K35" s="67">
        <f>I35*J35</f>
        <v>2082.8000000000002</v>
      </c>
      <c r="L35" s="67">
        <f>H35+K35</f>
        <v>57567.933900000004</v>
      </c>
      <c r="M35" s="23"/>
      <c r="N35" s="210">
        <f>N34+M35-L35</f>
        <v>229376.70649999985</v>
      </c>
      <c r="O35" s="23"/>
      <c r="P35" s="23"/>
    </row>
    <row r="36" spans="1:16">
      <c r="A36" s="23">
        <v>33</v>
      </c>
      <c r="B36" s="282">
        <v>45666</v>
      </c>
      <c r="C36" s="162" t="s">
        <v>219</v>
      </c>
      <c r="D36" s="162" t="s">
        <v>55</v>
      </c>
      <c r="E36" s="284" t="s">
        <v>220</v>
      </c>
      <c r="F36" s="23">
        <v>33.869999999999997</v>
      </c>
      <c r="G36" s="23">
        <v>88.58</v>
      </c>
      <c r="H36" s="67">
        <f>F36*G36</f>
        <v>3000.2045999999996</v>
      </c>
      <c r="I36" s="23">
        <v>9.16</v>
      </c>
      <c r="J36" s="23">
        <v>102.46</v>
      </c>
      <c r="K36" s="67">
        <f>I36*J36</f>
        <v>938.53359999999998</v>
      </c>
      <c r="L36" s="67">
        <f>H36+K36</f>
        <v>3938.7381999999998</v>
      </c>
      <c r="M36" s="23"/>
      <c r="N36" s="210">
        <f>N35+M36-L36</f>
        <v>225437.96829999986</v>
      </c>
      <c r="O36" s="23"/>
      <c r="P36" s="23"/>
    </row>
    <row r="37" spans="1:16">
      <c r="A37" s="23">
        <v>34</v>
      </c>
      <c r="B37" s="282">
        <v>45666</v>
      </c>
      <c r="C37" s="162" t="s">
        <v>216</v>
      </c>
      <c r="D37" s="162" t="s">
        <v>217</v>
      </c>
      <c r="E37" s="284" t="s">
        <v>218</v>
      </c>
      <c r="F37" s="23">
        <v>66.48</v>
      </c>
      <c r="G37" s="23">
        <v>89.47</v>
      </c>
      <c r="H37" s="67">
        <f>F37*G37</f>
        <v>5947.9656000000004</v>
      </c>
      <c r="I37" s="23">
        <v>5</v>
      </c>
      <c r="J37" s="23">
        <v>103.4</v>
      </c>
      <c r="K37" s="67">
        <f>I37*J37</f>
        <v>517</v>
      </c>
      <c r="L37" s="67">
        <f>H37+K37</f>
        <v>6464.9656000000004</v>
      </c>
      <c r="M37" s="23"/>
      <c r="N37" s="210">
        <f>N36+M37-L37</f>
        <v>218973.00269999987</v>
      </c>
      <c r="O37" s="23"/>
      <c r="P37" s="23"/>
    </row>
    <row r="38" spans="1:16">
      <c r="A38" s="23">
        <v>35</v>
      </c>
      <c r="B38" s="282">
        <v>45666</v>
      </c>
      <c r="C38" s="162" t="s">
        <v>233</v>
      </c>
      <c r="D38" s="162" t="s">
        <v>234</v>
      </c>
      <c r="E38" s="284" t="s">
        <v>235</v>
      </c>
      <c r="F38" s="23">
        <v>100</v>
      </c>
      <c r="G38" s="23">
        <v>89.9</v>
      </c>
      <c r="H38" s="67">
        <f>F38*G38</f>
        <v>8990</v>
      </c>
      <c r="I38" s="23"/>
      <c r="J38" s="23"/>
      <c r="K38" s="67">
        <f>I38*J38</f>
        <v>0</v>
      </c>
      <c r="L38" s="67">
        <f>H38+K38</f>
        <v>8990</v>
      </c>
      <c r="M38" s="23"/>
      <c r="N38" s="210">
        <f>N37+M38-L38</f>
        <v>209983.00269999987</v>
      </c>
      <c r="O38" s="23"/>
      <c r="P38" s="23"/>
    </row>
    <row r="39" spans="1:16">
      <c r="A39" s="23">
        <v>36</v>
      </c>
      <c r="B39" s="282">
        <v>45667</v>
      </c>
      <c r="C39" s="23"/>
      <c r="D39" s="23"/>
      <c r="E39" s="23"/>
      <c r="F39" s="23"/>
      <c r="G39" s="23"/>
      <c r="H39" s="67">
        <f>F39*G39</f>
        <v>0</v>
      </c>
      <c r="I39" s="23"/>
      <c r="J39" s="23"/>
      <c r="K39" s="67">
        <f>I39*J39</f>
        <v>0</v>
      </c>
      <c r="L39" s="67">
        <f>H39+K39</f>
        <v>0</v>
      </c>
      <c r="M39" s="23"/>
      <c r="N39" s="210">
        <f>N38+M39-L39</f>
        <v>209983.00269999987</v>
      </c>
      <c r="O39" s="23" t="s">
        <v>215</v>
      </c>
      <c r="P39" s="23">
        <v>6301.28</v>
      </c>
    </row>
    <row r="40" spans="1:16">
      <c r="A40" s="23">
        <v>37</v>
      </c>
      <c r="B40" s="282">
        <v>45667</v>
      </c>
      <c r="C40" s="162" t="s">
        <v>239</v>
      </c>
      <c r="D40" s="162" t="s">
        <v>240</v>
      </c>
      <c r="E40" s="284" t="s">
        <v>241</v>
      </c>
      <c r="F40" s="23">
        <v>85</v>
      </c>
      <c r="G40" s="23">
        <v>90.23</v>
      </c>
      <c r="H40" s="67">
        <f>F40*G40</f>
        <v>7669.55</v>
      </c>
      <c r="I40" s="23"/>
      <c r="J40" s="23"/>
      <c r="K40" s="67">
        <f>I40*J40</f>
        <v>0</v>
      </c>
      <c r="L40" s="67">
        <f>H40+K40</f>
        <v>7669.55</v>
      </c>
      <c r="M40" s="23"/>
      <c r="N40" s="210">
        <f>N39+M40-L40</f>
        <v>202313.45269999988</v>
      </c>
      <c r="O40" s="23"/>
      <c r="P40" s="23"/>
    </row>
    <row r="41" spans="1:16">
      <c r="A41" s="23">
        <v>38</v>
      </c>
      <c r="B41" s="282">
        <v>45667</v>
      </c>
      <c r="C41" s="162" t="s">
        <v>237</v>
      </c>
      <c r="D41" s="162" t="s">
        <v>53</v>
      </c>
      <c r="E41" s="284" t="s">
        <v>238</v>
      </c>
      <c r="F41" s="23">
        <v>99.49</v>
      </c>
      <c r="G41" s="23">
        <v>89.49</v>
      </c>
      <c r="H41" s="67">
        <f>F41*G41</f>
        <v>8903.3600999999999</v>
      </c>
      <c r="I41" s="23"/>
      <c r="J41" s="23"/>
      <c r="K41" s="67">
        <f>I41*J41</f>
        <v>0</v>
      </c>
      <c r="L41" s="67">
        <f>H41+K41</f>
        <v>8903.3600999999999</v>
      </c>
      <c r="M41" s="23"/>
      <c r="N41" s="210">
        <f>N40+M41-L41</f>
        <v>193410.09259999989</v>
      </c>
      <c r="O41" s="23"/>
      <c r="P41" s="23"/>
    </row>
    <row r="42" spans="1:16">
      <c r="A42" s="23">
        <v>39</v>
      </c>
      <c r="B42" s="282">
        <v>45667</v>
      </c>
      <c r="C42" s="162" t="s">
        <v>227</v>
      </c>
      <c r="D42" s="162" t="s">
        <v>228</v>
      </c>
      <c r="E42" s="284" t="s">
        <v>229</v>
      </c>
      <c r="F42" s="23">
        <v>270</v>
      </c>
      <c r="G42" s="23">
        <v>90.23</v>
      </c>
      <c r="H42" s="67">
        <f>F42*G42</f>
        <v>24362.100000000002</v>
      </c>
      <c r="I42" s="23">
        <v>50</v>
      </c>
      <c r="J42" s="23">
        <v>104.13</v>
      </c>
      <c r="K42" s="67">
        <f>I42*J42</f>
        <v>5206.5</v>
      </c>
      <c r="L42" s="67">
        <f>H42+K42</f>
        <v>29568.600000000002</v>
      </c>
      <c r="M42" s="23"/>
      <c r="N42" s="210">
        <f>N41+M42-L42</f>
        <v>163841.49259999988</v>
      </c>
      <c r="O42" s="23"/>
      <c r="P42" s="23"/>
    </row>
    <row r="43" spans="1:16">
      <c r="A43" s="23">
        <v>40</v>
      </c>
      <c r="B43" s="282">
        <v>45667</v>
      </c>
      <c r="C43" s="162" t="s">
        <v>230</v>
      </c>
      <c r="D43" s="162" t="s">
        <v>231</v>
      </c>
      <c r="E43" s="284" t="s">
        <v>232</v>
      </c>
      <c r="F43" s="23">
        <v>610.44000000000005</v>
      </c>
      <c r="G43" s="23">
        <v>90.23</v>
      </c>
      <c r="H43" s="67">
        <f>F43*G43</f>
        <v>55080.001200000006</v>
      </c>
      <c r="I43" s="23"/>
      <c r="J43" s="23"/>
      <c r="K43" s="67">
        <f>I43*J43</f>
        <v>0</v>
      </c>
      <c r="L43" s="67">
        <f>H43+K43</f>
        <v>55080.001200000006</v>
      </c>
      <c r="M43" s="23"/>
      <c r="N43" s="210">
        <f>N42+M43-L43</f>
        <v>108761.49139999988</v>
      </c>
      <c r="O43" s="23"/>
      <c r="P43" s="23"/>
    </row>
    <row r="44" spans="1:16">
      <c r="A44" s="23">
        <v>41</v>
      </c>
      <c r="B44" s="282">
        <v>45667</v>
      </c>
      <c r="C44" s="162" t="s">
        <v>216</v>
      </c>
      <c r="D44" s="162" t="s">
        <v>217</v>
      </c>
      <c r="E44" s="284" t="s">
        <v>218</v>
      </c>
      <c r="F44" s="23"/>
      <c r="G44" s="23"/>
      <c r="H44" s="67">
        <f>F44*G44</f>
        <v>0</v>
      </c>
      <c r="I44" s="23">
        <v>6</v>
      </c>
      <c r="J44" s="23">
        <v>103.4</v>
      </c>
      <c r="K44" s="67">
        <f>I44*J44</f>
        <v>620.40000000000009</v>
      </c>
      <c r="L44" s="67">
        <f>H44+K44</f>
        <v>620.40000000000009</v>
      </c>
      <c r="M44" s="23"/>
      <c r="N44" s="210">
        <f>N43+M44-L44</f>
        <v>108141.09139999989</v>
      </c>
      <c r="O44" s="23"/>
      <c r="P44" s="23"/>
    </row>
    <row r="45" spans="1:16">
      <c r="A45" s="23">
        <v>42</v>
      </c>
      <c r="B45" s="282">
        <v>45667</v>
      </c>
      <c r="C45" s="162" t="s">
        <v>233</v>
      </c>
      <c r="D45" s="162" t="s">
        <v>234</v>
      </c>
      <c r="E45" s="284" t="s">
        <v>235</v>
      </c>
      <c r="F45" s="23">
        <v>60</v>
      </c>
      <c r="G45" s="23">
        <v>89.9</v>
      </c>
      <c r="H45" s="67">
        <f>F45*G45</f>
        <v>5394</v>
      </c>
      <c r="I45" s="23">
        <v>5.83</v>
      </c>
      <c r="J45" s="23">
        <v>103.96</v>
      </c>
      <c r="K45" s="67">
        <f>I45*J45</f>
        <v>606.08679999999993</v>
      </c>
      <c r="L45" s="67">
        <f>H45+K45</f>
        <v>6000.0868</v>
      </c>
      <c r="M45" s="23"/>
      <c r="N45" s="210">
        <f>N44+M45-L45</f>
        <v>102141.00459999988</v>
      </c>
      <c r="O45" s="23"/>
      <c r="P45" s="23"/>
    </row>
    <row r="46" spans="1:16">
      <c r="A46" s="23">
        <v>43</v>
      </c>
      <c r="B46" s="282">
        <v>45668</v>
      </c>
      <c r="C46" s="162" t="s">
        <v>216</v>
      </c>
      <c r="D46" s="162" t="s">
        <v>217</v>
      </c>
      <c r="E46" s="284" t="s">
        <v>218</v>
      </c>
      <c r="F46" s="23"/>
      <c r="G46" s="23"/>
      <c r="H46" s="67">
        <f>F46*G46</f>
        <v>0</v>
      </c>
      <c r="I46" s="23">
        <v>18</v>
      </c>
      <c r="J46" s="23">
        <v>103.4</v>
      </c>
      <c r="K46" s="67">
        <f>I46*J46</f>
        <v>1861.2</v>
      </c>
      <c r="L46" s="67">
        <f>H46+K46</f>
        <v>1861.2</v>
      </c>
      <c r="M46" s="23"/>
      <c r="N46" s="210">
        <f>N45+M46-L46</f>
        <v>100279.80459999989</v>
      </c>
      <c r="O46" s="23"/>
      <c r="P46" s="23"/>
    </row>
    <row r="47" spans="1:16">
      <c r="A47" s="23">
        <v>44</v>
      </c>
      <c r="B47" s="282">
        <v>45668</v>
      </c>
      <c r="C47" s="162" t="s">
        <v>233</v>
      </c>
      <c r="D47" s="162" t="s">
        <v>234</v>
      </c>
      <c r="E47" s="284" t="s">
        <v>235</v>
      </c>
      <c r="F47" s="23">
        <v>80</v>
      </c>
      <c r="G47" s="23">
        <v>89.9</v>
      </c>
      <c r="H47" s="67">
        <f>F47*G47</f>
        <v>7192</v>
      </c>
      <c r="I47" s="23"/>
      <c r="J47" s="23"/>
      <c r="K47" s="67">
        <f>I47*J47</f>
        <v>0</v>
      </c>
      <c r="L47" s="67">
        <f>H47+K47</f>
        <v>7192</v>
      </c>
      <c r="M47" s="23"/>
      <c r="N47" s="210">
        <f>N46+M47-L47</f>
        <v>93087.804599999887</v>
      </c>
      <c r="O47" s="23"/>
      <c r="P47" s="23"/>
    </row>
    <row r="48" spans="1:16">
      <c r="A48" s="285">
        <v>45</v>
      </c>
      <c r="B48" s="301">
        <v>45668</v>
      </c>
      <c r="C48" s="285"/>
      <c r="D48" s="285"/>
      <c r="E48" s="285"/>
      <c r="F48" s="285"/>
      <c r="G48" s="285"/>
      <c r="H48" s="290">
        <f>F48*G48</f>
        <v>0</v>
      </c>
      <c r="I48" s="285"/>
      <c r="J48" s="285"/>
      <c r="K48" s="290">
        <f>I48*J48</f>
        <v>0</v>
      </c>
      <c r="L48" s="290">
        <f>H48+K48</f>
        <v>0</v>
      </c>
      <c r="M48" s="285">
        <v>400000</v>
      </c>
      <c r="N48" s="304">
        <f>N47+M48-L48</f>
        <v>493087.80459999992</v>
      </c>
      <c r="O48" s="285"/>
      <c r="P48" s="285"/>
    </row>
    <row r="49" spans="1:16">
      <c r="A49" s="23">
        <v>46</v>
      </c>
      <c r="B49" s="282">
        <v>45668</v>
      </c>
      <c r="C49" s="23"/>
      <c r="D49" s="23"/>
      <c r="E49" s="23"/>
      <c r="F49" s="23"/>
      <c r="G49" s="23"/>
      <c r="H49" s="67">
        <f>F49*G49</f>
        <v>0</v>
      </c>
      <c r="I49" s="23"/>
      <c r="J49" s="23"/>
      <c r="K49" s="67">
        <f>I49*J49</f>
        <v>0</v>
      </c>
      <c r="L49" s="67">
        <f>H49+K49</f>
        <v>0</v>
      </c>
      <c r="M49" s="23"/>
      <c r="N49" s="210">
        <f>N48+M49-L49</f>
        <v>493087.80459999992</v>
      </c>
      <c r="O49" s="23" t="s">
        <v>215</v>
      </c>
      <c r="P49" s="23">
        <v>6267.81</v>
      </c>
    </row>
    <row r="50" spans="1:16">
      <c r="A50" s="23">
        <v>47</v>
      </c>
      <c r="B50" s="282">
        <v>45669</v>
      </c>
      <c r="C50" s="162" t="s">
        <v>221</v>
      </c>
      <c r="D50" s="162" t="s">
        <v>222</v>
      </c>
      <c r="E50" s="284" t="s">
        <v>223</v>
      </c>
      <c r="F50" s="23">
        <v>3260</v>
      </c>
      <c r="G50" s="23">
        <v>89.29</v>
      </c>
      <c r="H50" s="67">
        <f>F50*G50</f>
        <v>291085.40000000002</v>
      </c>
      <c r="I50" s="23">
        <v>150</v>
      </c>
      <c r="J50" s="23">
        <v>103.24</v>
      </c>
      <c r="K50" s="67">
        <f>I50*J50</f>
        <v>15486</v>
      </c>
      <c r="L50" s="67">
        <f>H50+K50</f>
        <v>306571.40000000002</v>
      </c>
      <c r="M50" s="23"/>
      <c r="N50" s="210">
        <f>N49+M50-L50</f>
        <v>186516.40459999989</v>
      </c>
      <c r="O50" s="23"/>
      <c r="P50" s="23"/>
    </row>
    <row r="51" spans="1:16">
      <c r="A51" s="23">
        <v>48</v>
      </c>
      <c r="B51" s="282">
        <v>45669</v>
      </c>
      <c r="C51" s="162" t="s">
        <v>216</v>
      </c>
      <c r="D51" s="162" t="s">
        <v>217</v>
      </c>
      <c r="E51" s="284" t="s">
        <v>218</v>
      </c>
      <c r="F51" s="23">
        <v>343.98</v>
      </c>
      <c r="G51" s="23">
        <v>89.47</v>
      </c>
      <c r="H51" s="67">
        <f>F51*G51</f>
        <v>30775.890600000002</v>
      </c>
      <c r="I51" s="23"/>
      <c r="J51" s="23"/>
      <c r="K51" s="67">
        <f>I51*J51</f>
        <v>0</v>
      </c>
      <c r="L51" s="67">
        <f>H51+K51</f>
        <v>30775.890600000002</v>
      </c>
      <c r="M51" s="23"/>
      <c r="N51" s="210">
        <f>N50+M51-L51</f>
        <v>155740.51399999988</v>
      </c>
      <c r="O51" s="23"/>
      <c r="P51" s="23"/>
    </row>
    <row r="52" spans="1:16">
      <c r="A52" s="23">
        <v>49</v>
      </c>
      <c r="B52" s="282">
        <v>45669</v>
      </c>
      <c r="C52" s="162" t="s">
        <v>233</v>
      </c>
      <c r="D52" s="162" t="s">
        <v>234</v>
      </c>
      <c r="E52" s="284" t="s">
        <v>235</v>
      </c>
      <c r="F52" s="23">
        <v>80</v>
      </c>
      <c r="G52" s="23">
        <v>89.9</v>
      </c>
      <c r="H52" s="67">
        <f>F52*G52</f>
        <v>7192</v>
      </c>
      <c r="I52" s="23"/>
      <c r="J52" s="23"/>
      <c r="K52" s="67">
        <f>I52*J52</f>
        <v>0</v>
      </c>
      <c r="L52" s="67">
        <f>H52+K52</f>
        <v>7192</v>
      </c>
      <c r="M52" s="23"/>
      <c r="N52" s="210">
        <f>N51+M52-L52</f>
        <v>148548.51399999988</v>
      </c>
      <c r="O52" s="23"/>
      <c r="P52" s="23"/>
    </row>
    <row r="53" spans="1:16">
      <c r="A53" s="23">
        <v>50</v>
      </c>
      <c r="B53" s="282">
        <v>45669</v>
      </c>
      <c r="C53" s="162"/>
      <c r="D53" s="162"/>
      <c r="E53" s="284"/>
      <c r="F53" s="23"/>
      <c r="G53" s="23"/>
      <c r="H53" s="67">
        <f>F53*G53</f>
        <v>0</v>
      </c>
      <c r="I53" s="23"/>
      <c r="J53" s="23"/>
      <c r="K53" s="67">
        <f>I53*J53</f>
        <v>0</v>
      </c>
      <c r="L53" s="67">
        <f>H53+K53</f>
        <v>0</v>
      </c>
      <c r="M53" s="23"/>
      <c r="N53" s="210">
        <f>N52+M53-L53</f>
        <v>148548.51399999988</v>
      </c>
      <c r="O53" s="23" t="s">
        <v>215</v>
      </c>
      <c r="P53" s="23">
        <v>3089.74</v>
      </c>
    </row>
    <row r="54" spans="1:16">
      <c r="A54" s="23">
        <v>51</v>
      </c>
      <c r="B54" s="282">
        <v>45670</v>
      </c>
      <c r="C54" s="162" t="s">
        <v>244</v>
      </c>
      <c r="D54" s="162" t="s">
        <v>245</v>
      </c>
      <c r="E54" s="284" t="s">
        <v>246</v>
      </c>
      <c r="F54" s="23"/>
      <c r="G54" s="23"/>
      <c r="H54" s="67">
        <f>F54*G54</f>
        <v>0</v>
      </c>
      <c r="I54" s="23">
        <v>10</v>
      </c>
      <c r="J54" s="23">
        <v>104.02</v>
      </c>
      <c r="K54" s="67">
        <f>I54*J54</f>
        <v>1040.2</v>
      </c>
      <c r="L54" s="67">
        <f>H54+K54</f>
        <v>1040.2</v>
      </c>
      <c r="M54" s="23"/>
      <c r="N54" s="210">
        <f>N53+M54-L54</f>
        <v>147508.31399999987</v>
      </c>
      <c r="O54" s="23"/>
      <c r="P54" s="23"/>
    </row>
    <row r="55" spans="1:16">
      <c r="A55" s="23">
        <v>52</v>
      </c>
      <c r="B55" s="282">
        <v>45670</v>
      </c>
      <c r="C55" s="162" t="s">
        <v>237</v>
      </c>
      <c r="D55" s="162" t="s">
        <v>53</v>
      </c>
      <c r="E55" s="284" t="s">
        <v>238</v>
      </c>
      <c r="F55" s="23">
        <v>37.159999999999997</v>
      </c>
      <c r="G55" s="23">
        <v>89.49</v>
      </c>
      <c r="H55" s="67">
        <f>F55*G55</f>
        <v>3325.4483999999993</v>
      </c>
      <c r="I55" s="23"/>
      <c r="J55" s="23"/>
      <c r="K55" s="67">
        <f>I55*J55</f>
        <v>0</v>
      </c>
      <c r="L55" s="67">
        <f>H55+K55</f>
        <v>3325.4483999999993</v>
      </c>
      <c r="M55" s="23"/>
      <c r="N55" s="210">
        <f>N54+M55-L55</f>
        <v>144182.86559999987</v>
      </c>
      <c r="O55" s="23"/>
      <c r="P55" s="23"/>
    </row>
    <row r="56" spans="1:16">
      <c r="A56" s="23">
        <v>53</v>
      </c>
      <c r="B56" s="282">
        <v>45670</v>
      </c>
      <c r="C56" s="162" t="s">
        <v>216</v>
      </c>
      <c r="D56" s="162" t="s">
        <v>217</v>
      </c>
      <c r="E56" s="284" t="s">
        <v>218</v>
      </c>
      <c r="F56" s="23">
        <v>328.01</v>
      </c>
      <c r="G56" s="23">
        <v>89.47</v>
      </c>
      <c r="H56" s="67">
        <f>F56*G56</f>
        <v>29347.054700000001</v>
      </c>
      <c r="I56" s="23"/>
      <c r="J56" s="23"/>
      <c r="K56" s="67">
        <f>I56*J56</f>
        <v>0</v>
      </c>
      <c r="L56" s="67">
        <f>H56+K56</f>
        <v>29347.054700000001</v>
      </c>
      <c r="M56" s="23"/>
      <c r="N56" s="210">
        <f>N55+M56-L56</f>
        <v>114835.81089999987</v>
      </c>
      <c r="O56" s="23"/>
      <c r="P56" s="23"/>
    </row>
    <row r="57" spans="1:16">
      <c r="A57" s="23">
        <v>54</v>
      </c>
      <c r="B57" s="282">
        <v>45670</v>
      </c>
      <c r="C57" s="162" t="s">
        <v>233</v>
      </c>
      <c r="D57" s="162" t="s">
        <v>234</v>
      </c>
      <c r="E57" s="284" t="s">
        <v>235</v>
      </c>
      <c r="F57" s="23">
        <v>100</v>
      </c>
      <c r="G57" s="23">
        <v>89.9</v>
      </c>
      <c r="H57" s="67">
        <f>F57*G57</f>
        <v>8990</v>
      </c>
      <c r="I57" s="23"/>
      <c r="J57" s="23"/>
      <c r="K57" s="67">
        <f>I57*J57</f>
        <v>0</v>
      </c>
      <c r="L57" s="67">
        <f>H57+K57</f>
        <v>8990</v>
      </c>
      <c r="M57" s="23"/>
      <c r="N57" s="210">
        <f>N56+M57-L57</f>
        <v>105845.81089999987</v>
      </c>
      <c r="O57" s="23"/>
      <c r="P57" s="23"/>
    </row>
    <row r="58" spans="1:16">
      <c r="A58" s="23">
        <v>55</v>
      </c>
      <c r="B58" s="282">
        <v>45670</v>
      </c>
      <c r="C58" s="23"/>
      <c r="D58" s="23"/>
      <c r="E58" s="23"/>
      <c r="F58" s="23"/>
      <c r="G58" s="23"/>
      <c r="H58" s="67">
        <f>F58*G58</f>
        <v>0</v>
      </c>
      <c r="I58" s="23"/>
      <c r="J58" s="23"/>
      <c r="K58" s="67">
        <f>I58*J58</f>
        <v>0</v>
      </c>
      <c r="L58" s="67">
        <f>H58+K58</f>
        <v>0</v>
      </c>
      <c r="M58" s="23"/>
      <c r="N58" s="210">
        <f>N57+M58-L58</f>
        <v>105845.81089999987</v>
      </c>
      <c r="O58" s="23" t="s">
        <v>215</v>
      </c>
      <c r="P58" s="23">
        <v>26987.78</v>
      </c>
    </row>
    <row r="59" spans="1:16">
      <c r="A59" s="23">
        <v>56</v>
      </c>
      <c r="B59" s="282">
        <v>45671</v>
      </c>
      <c r="C59" s="162" t="s">
        <v>237</v>
      </c>
      <c r="D59" s="162" t="s">
        <v>53</v>
      </c>
      <c r="E59" s="284" t="s">
        <v>238</v>
      </c>
      <c r="F59" s="23">
        <v>41.35</v>
      </c>
      <c r="G59" s="23">
        <v>89.49</v>
      </c>
      <c r="H59" s="67">
        <f>F59*G59</f>
        <v>3700.4114999999997</v>
      </c>
      <c r="I59" s="23"/>
      <c r="J59" s="23"/>
      <c r="K59" s="67">
        <f>I59*J59</f>
        <v>0</v>
      </c>
      <c r="L59" s="67">
        <f>H59+K59</f>
        <v>3700.4114999999997</v>
      </c>
      <c r="M59" s="23"/>
      <c r="N59" s="210">
        <f>N58+M59-L59</f>
        <v>102145.39939999986</v>
      </c>
      <c r="O59" s="23"/>
      <c r="P59" s="23"/>
    </row>
    <row r="60" spans="1:16">
      <c r="A60" s="23">
        <v>57</v>
      </c>
      <c r="B60" s="282">
        <v>45671</v>
      </c>
      <c r="C60" s="162" t="s">
        <v>219</v>
      </c>
      <c r="D60" s="162" t="s">
        <v>55</v>
      </c>
      <c r="E60" s="284" t="s">
        <v>220</v>
      </c>
      <c r="F60" s="23">
        <v>22.58</v>
      </c>
      <c r="G60" s="23">
        <v>88.58</v>
      </c>
      <c r="H60" s="67">
        <f>F60*G60</f>
        <v>2000.1363999999999</v>
      </c>
      <c r="I60" s="23"/>
      <c r="J60" s="23"/>
      <c r="K60" s="67">
        <f>I60*J60</f>
        <v>0</v>
      </c>
      <c r="L60" s="67">
        <f>H60+K60</f>
        <v>2000.1363999999999</v>
      </c>
      <c r="M60" s="23"/>
      <c r="N60" s="210">
        <f>N59+M60-L60</f>
        <v>100145.26299999986</v>
      </c>
      <c r="O60" s="23"/>
      <c r="P60" s="23"/>
    </row>
    <row r="61" spans="1:16">
      <c r="A61" s="23">
        <v>58</v>
      </c>
      <c r="B61" s="282">
        <v>45671</v>
      </c>
      <c r="C61" s="162" t="s">
        <v>216</v>
      </c>
      <c r="D61" s="162" t="s">
        <v>217</v>
      </c>
      <c r="E61" s="284" t="s">
        <v>218</v>
      </c>
      <c r="F61" s="23">
        <v>69.11</v>
      </c>
      <c r="G61" s="23">
        <v>89.47</v>
      </c>
      <c r="H61" s="67">
        <f>F61*G61</f>
        <v>6183.2717000000002</v>
      </c>
      <c r="I61" s="23"/>
      <c r="J61" s="23"/>
      <c r="K61" s="67">
        <f>I61*J61</f>
        <v>0</v>
      </c>
      <c r="L61" s="67">
        <f>H61+K61</f>
        <v>6183.2717000000002</v>
      </c>
      <c r="M61" s="23"/>
      <c r="N61" s="210">
        <f>N60+M61-L61</f>
        <v>93961.991299999863</v>
      </c>
      <c r="O61" s="23"/>
      <c r="P61" s="23"/>
    </row>
    <row r="62" spans="1:16">
      <c r="A62" s="23">
        <v>59</v>
      </c>
      <c r="B62" s="282">
        <v>45671</v>
      </c>
      <c r="C62" s="162" t="s">
        <v>233</v>
      </c>
      <c r="D62" s="162" t="s">
        <v>234</v>
      </c>
      <c r="E62" s="284" t="s">
        <v>235</v>
      </c>
      <c r="F62" s="23">
        <v>75</v>
      </c>
      <c r="G62" s="23">
        <v>89.9</v>
      </c>
      <c r="H62" s="67">
        <f>F62*G62</f>
        <v>6742.5</v>
      </c>
      <c r="I62" s="23">
        <v>7.22</v>
      </c>
      <c r="J62" s="23">
        <v>103.96</v>
      </c>
      <c r="K62" s="67">
        <f>I62*J62</f>
        <v>750.59119999999996</v>
      </c>
      <c r="L62" s="67">
        <f>H62+K62</f>
        <v>7493.0911999999998</v>
      </c>
      <c r="M62" s="23"/>
      <c r="N62" s="210">
        <f>N61+M62-L62</f>
        <v>86468.900099999868</v>
      </c>
      <c r="O62" s="23"/>
      <c r="P62" s="23"/>
    </row>
    <row r="63" spans="1:16">
      <c r="A63" s="23">
        <v>60</v>
      </c>
      <c r="B63" s="282">
        <v>45671</v>
      </c>
      <c r="C63" s="23"/>
      <c r="D63" s="23"/>
      <c r="E63" s="23"/>
      <c r="F63" s="23"/>
      <c r="G63" s="23"/>
      <c r="H63" s="67">
        <f>F63*G63</f>
        <v>0</v>
      </c>
      <c r="I63" s="23"/>
      <c r="J63" s="23"/>
      <c r="K63" s="67">
        <f>I63*J63</f>
        <v>0</v>
      </c>
      <c r="L63" s="67">
        <f>H63+K63</f>
        <v>0</v>
      </c>
      <c r="M63" s="23"/>
      <c r="N63" s="210">
        <f>N62+M63-L63</f>
        <v>86468.900099999868</v>
      </c>
      <c r="O63" s="23" t="s">
        <v>215</v>
      </c>
      <c r="P63" s="23">
        <v>3991.57</v>
      </c>
    </row>
    <row r="64" spans="1:16">
      <c r="A64" s="23">
        <v>61</v>
      </c>
      <c r="B64" s="282">
        <v>45672</v>
      </c>
      <c r="C64" s="162" t="s">
        <v>237</v>
      </c>
      <c r="D64" s="162" t="s">
        <v>53</v>
      </c>
      <c r="E64" s="284" t="s">
        <v>238</v>
      </c>
      <c r="F64" s="23">
        <v>110</v>
      </c>
      <c r="G64" s="23">
        <v>89.49</v>
      </c>
      <c r="H64" s="67">
        <f>F64*G64</f>
        <v>9843.9</v>
      </c>
      <c r="I64" s="23"/>
      <c r="J64" s="23"/>
      <c r="K64" s="67">
        <f>I64*J64</f>
        <v>0</v>
      </c>
      <c r="L64" s="67">
        <f>H64+K64</f>
        <v>9843.9</v>
      </c>
      <c r="M64" s="23"/>
      <c r="N64" s="210">
        <f>N63+M64-L64</f>
        <v>76625.000099999874</v>
      </c>
      <c r="O64" s="23"/>
      <c r="P64" s="23"/>
    </row>
    <row r="65" spans="1:16">
      <c r="A65" s="285">
        <v>62</v>
      </c>
      <c r="B65" s="301">
        <v>45672</v>
      </c>
      <c r="C65" s="285"/>
      <c r="D65" s="285"/>
      <c r="E65" s="285"/>
      <c r="F65" s="285"/>
      <c r="G65" s="285"/>
      <c r="H65" s="290">
        <f>F65*G65</f>
        <v>0</v>
      </c>
      <c r="I65" s="285"/>
      <c r="J65" s="285"/>
      <c r="K65" s="290">
        <f>I65*J65</f>
        <v>0</v>
      </c>
      <c r="L65" s="290">
        <f>H65+K65</f>
        <v>0</v>
      </c>
      <c r="M65" s="285">
        <v>150000</v>
      </c>
      <c r="N65" s="304">
        <f>N64+M65-L65</f>
        <v>226625.00009999989</v>
      </c>
      <c r="O65" s="285"/>
      <c r="P65" s="285"/>
    </row>
    <row r="66" spans="1:16">
      <c r="A66" s="23">
        <v>63</v>
      </c>
      <c r="B66" s="282">
        <v>45672</v>
      </c>
      <c r="C66" s="162" t="s">
        <v>224</v>
      </c>
      <c r="D66" s="162" t="s">
        <v>225</v>
      </c>
      <c r="E66" s="284" t="s">
        <v>226</v>
      </c>
      <c r="F66" s="23">
        <v>1589.67</v>
      </c>
      <c r="G66" s="23">
        <v>89.78</v>
      </c>
      <c r="H66" s="67">
        <f>F66*G66</f>
        <v>142720.57260000001</v>
      </c>
      <c r="I66" s="23">
        <v>70</v>
      </c>
      <c r="J66" s="23">
        <v>104</v>
      </c>
      <c r="K66" s="67">
        <f>I66*J66</f>
        <v>7280</v>
      </c>
      <c r="L66" s="67">
        <f>H66+K66</f>
        <v>150000.57260000001</v>
      </c>
      <c r="M66" s="23"/>
      <c r="N66" s="210">
        <f>N65+M66-L66</f>
        <v>76624.427499999874</v>
      </c>
      <c r="O66" s="23"/>
      <c r="P66" s="23"/>
    </row>
    <row r="67" spans="1:16">
      <c r="A67" s="23">
        <v>64</v>
      </c>
      <c r="B67" s="282">
        <v>45672</v>
      </c>
      <c r="C67" s="162" t="s">
        <v>233</v>
      </c>
      <c r="D67" s="162" t="s">
        <v>234</v>
      </c>
      <c r="E67" s="284" t="s">
        <v>235</v>
      </c>
      <c r="F67" s="23">
        <v>60</v>
      </c>
      <c r="G67" s="23">
        <v>89.9</v>
      </c>
      <c r="H67" s="67">
        <f>F67*G67</f>
        <v>5394</v>
      </c>
      <c r="I67" s="23"/>
      <c r="J67" s="23"/>
      <c r="K67" s="67">
        <f>I67*J67</f>
        <v>0</v>
      </c>
      <c r="L67" s="67">
        <f>H67+K67</f>
        <v>5394</v>
      </c>
      <c r="M67" s="23"/>
      <c r="N67" s="210">
        <f>N66+M67-L67</f>
        <v>71230.427499999874</v>
      </c>
      <c r="O67" s="23"/>
      <c r="P67" s="23"/>
    </row>
    <row r="68" spans="1:16">
      <c r="A68" s="23">
        <v>65</v>
      </c>
      <c r="B68" s="282">
        <v>45672</v>
      </c>
      <c r="C68" s="23"/>
      <c r="D68" s="23"/>
      <c r="E68" s="23"/>
      <c r="F68" s="23"/>
      <c r="G68" s="23"/>
      <c r="H68" s="67">
        <f>F68*G68</f>
        <v>0</v>
      </c>
      <c r="I68" s="23"/>
      <c r="J68" s="23"/>
      <c r="K68" s="67">
        <f>I68*J68</f>
        <v>0</v>
      </c>
      <c r="L68" s="67">
        <f>H68+K68</f>
        <v>0</v>
      </c>
      <c r="M68" s="23"/>
      <c r="N68" s="210">
        <f>N67+M68-L68</f>
        <v>71230.427499999874</v>
      </c>
      <c r="O68" s="23" t="s">
        <v>215</v>
      </c>
      <c r="P68" s="23">
        <v>1500.14</v>
      </c>
    </row>
    <row r="69" spans="1:16">
      <c r="A69" s="23">
        <v>66</v>
      </c>
      <c r="B69" s="282">
        <v>45673</v>
      </c>
      <c r="C69" s="162" t="s">
        <v>237</v>
      </c>
      <c r="D69" s="162" t="s">
        <v>53</v>
      </c>
      <c r="E69" s="284" t="s">
        <v>238</v>
      </c>
      <c r="F69" s="23">
        <v>33.46</v>
      </c>
      <c r="G69" s="23">
        <v>89.49</v>
      </c>
      <c r="H69" s="67">
        <f>F69*G69</f>
        <v>2994.3353999999999</v>
      </c>
      <c r="I69" s="23"/>
      <c r="J69" s="23"/>
      <c r="K69" s="67">
        <f>I69*J69</f>
        <v>0</v>
      </c>
      <c r="L69" s="67">
        <f>H69+K69</f>
        <v>2994.3353999999999</v>
      </c>
      <c r="M69" s="23"/>
      <c r="N69" s="210">
        <f>N68+M69-L69</f>
        <v>68236.092099999878</v>
      </c>
      <c r="O69" s="23"/>
      <c r="P69" s="23"/>
    </row>
    <row r="70" spans="1:16">
      <c r="A70" s="23">
        <v>67</v>
      </c>
      <c r="B70" s="282">
        <v>45673</v>
      </c>
      <c r="C70" s="162" t="s">
        <v>230</v>
      </c>
      <c r="D70" s="162" t="s">
        <v>231</v>
      </c>
      <c r="E70" s="284" t="s">
        <v>232</v>
      </c>
      <c r="F70" s="23">
        <v>40</v>
      </c>
      <c r="G70" s="23">
        <v>90.23</v>
      </c>
      <c r="H70" s="67">
        <f>F70*G70</f>
        <v>3609.2000000000003</v>
      </c>
      <c r="I70" s="23"/>
      <c r="J70" s="23"/>
      <c r="K70" s="67">
        <f>I70*J70</f>
        <v>0</v>
      </c>
      <c r="L70" s="67">
        <f>H70+K70</f>
        <v>3609.2000000000003</v>
      </c>
      <c r="M70" s="23"/>
      <c r="N70" s="210">
        <f>N69+M70-L70</f>
        <v>64626.892099999881</v>
      </c>
      <c r="O70" s="23"/>
      <c r="P70" s="23"/>
    </row>
    <row r="71" spans="1:16">
      <c r="A71" s="23">
        <v>68</v>
      </c>
      <c r="B71" s="282">
        <v>45673</v>
      </c>
      <c r="C71" s="162" t="s">
        <v>219</v>
      </c>
      <c r="D71" s="162" t="s">
        <v>55</v>
      </c>
      <c r="E71" s="284" t="s">
        <v>220</v>
      </c>
      <c r="F71" s="23"/>
      <c r="G71" s="23"/>
      <c r="H71" s="67">
        <f>F71*G71</f>
        <v>0</v>
      </c>
      <c r="I71" s="23">
        <v>4.88</v>
      </c>
      <c r="J71" s="23">
        <v>102.46</v>
      </c>
      <c r="K71" s="67">
        <f>I71*J71</f>
        <v>500.00479999999993</v>
      </c>
      <c r="L71" s="67">
        <f>H71+K71</f>
        <v>500.00479999999993</v>
      </c>
      <c r="M71" s="23"/>
      <c r="N71" s="210">
        <f>N70+M71-L71</f>
        <v>64126.887299999878</v>
      </c>
      <c r="O71" s="23"/>
      <c r="P71" s="23"/>
    </row>
    <row r="72" spans="1:16">
      <c r="A72" s="23">
        <v>69</v>
      </c>
      <c r="B72" s="282">
        <v>45673</v>
      </c>
      <c r="C72" s="162" t="s">
        <v>247</v>
      </c>
      <c r="D72" s="162" t="s">
        <v>248</v>
      </c>
      <c r="E72" s="284" t="s">
        <v>249</v>
      </c>
      <c r="F72" s="23">
        <v>108.67</v>
      </c>
      <c r="G72" s="23">
        <v>91.47</v>
      </c>
      <c r="H72" s="67">
        <f>F72*G72</f>
        <v>9940.0449000000008</v>
      </c>
      <c r="I72" s="23"/>
      <c r="J72" s="23"/>
      <c r="K72" s="67">
        <f>I72*J72</f>
        <v>0</v>
      </c>
      <c r="L72" s="67">
        <f>H72+K72</f>
        <v>9940.0449000000008</v>
      </c>
      <c r="M72" s="23"/>
      <c r="N72" s="210">
        <f>N71+M72-L72</f>
        <v>54186.842399999878</v>
      </c>
      <c r="O72" s="23"/>
      <c r="P72" s="23"/>
    </row>
    <row r="73" spans="1:16">
      <c r="A73" s="23">
        <v>70</v>
      </c>
      <c r="B73" s="282">
        <v>45673</v>
      </c>
      <c r="C73" s="23"/>
      <c r="D73" s="23"/>
      <c r="E73" s="23"/>
      <c r="F73" s="23"/>
      <c r="G73" s="23"/>
      <c r="H73" s="67">
        <f>F73*G73</f>
        <v>0</v>
      </c>
      <c r="I73" s="23"/>
      <c r="J73" s="23"/>
      <c r="K73" s="67">
        <f>I73*J73</f>
        <v>0</v>
      </c>
      <c r="L73" s="67">
        <f>H73+K73</f>
        <v>0</v>
      </c>
      <c r="M73" s="23"/>
      <c r="N73" s="210">
        <f>N72+M73-L73</f>
        <v>54186.842399999878</v>
      </c>
      <c r="O73" s="23" t="s">
        <v>215</v>
      </c>
      <c r="P73" s="162">
        <v>13219.03</v>
      </c>
    </row>
    <row r="74" spans="1:16">
      <c r="A74" s="23">
        <v>71</v>
      </c>
      <c r="B74" s="282">
        <v>45674</v>
      </c>
      <c r="C74" s="162" t="s">
        <v>244</v>
      </c>
      <c r="D74" s="162" t="s">
        <v>245</v>
      </c>
      <c r="E74" s="284" t="s">
        <v>246</v>
      </c>
      <c r="F74" s="23">
        <v>42.11</v>
      </c>
      <c r="G74" s="23">
        <v>90.02</v>
      </c>
      <c r="H74" s="67">
        <f>F74*G74</f>
        <v>3790.7421999999997</v>
      </c>
      <c r="I74" s="23">
        <v>11</v>
      </c>
      <c r="J74" s="23">
        <v>104.02</v>
      </c>
      <c r="K74" s="67">
        <f>I74*J74</f>
        <v>1144.22</v>
      </c>
      <c r="L74" s="67">
        <f>H74+K74</f>
        <v>4934.9621999999999</v>
      </c>
      <c r="M74" s="23"/>
      <c r="N74" s="210">
        <f>N73+M74-L74</f>
        <v>49251.880199999876</v>
      </c>
      <c r="O74" s="23"/>
      <c r="P74" s="23"/>
    </row>
    <row r="75" spans="1:16">
      <c r="A75" s="23">
        <v>72</v>
      </c>
      <c r="B75" s="282">
        <v>45674</v>
      </c>
      <c r="C75" s="162" t="s">
        <v>237</v>
      </c>
      <c r="D75" s="162" t="s">
        <v>53</v>
      </c>
      <c r="E75" s="284" t="s">
        <v>238</v>
      </c>
      <c r="F75" s="23"/>
      <c r="G75" s="23"/>
      <c r="H75" s="67">
        <f>F75*G75</f>
        <v>0</v>
      </c>
      <c r="I75" s="23">
        <v>4.83</v>
      </c>
      <c r="J75" s="23">
        <v>103.44</v>
      </c>
      <c r="K75" s="67">
        <f>I75*J75</f>
        <v>499.61520000000002</v>
      </c>
      <c r="L75" s="67">
        <f>H75+K75</f>
        <v>499.61520000000002</v>
      </c>
      <c r="M75" s="23"/>
      <c r="N75" s="210">
        <f>N74+M75-L75</f>
        <v>48752.264999999876</v>
      </c>
      <c r="O75" s="23"/>
      <c r="P75" s="23"/>
    </row>
    <row r="76" spans="1:16">
      <c r="A76" s="23">
        <v>73</v>
      </c>
      <c r="B76" s="282">
        <v>45674</v>
      </c>
      <c r="C76" s="162" t="s">
        <v>250</v>
      </c>
      <c r="D76" s="162" t="s">
        <v>251</v>
      </c>
      <c r="E76" s="284" t="s">
        <v>229</v>
      </c>
      <c r="F76" s="23">
        <v>430</v>
      </c>
      <c r="G76" s="23">
        <v>90.23</v>
      </c>
      <c r="H76" s="67">
        <f>F76*G76</f>
        <v>38798.9</v>
      </c>
      <c r="I76" s="23"/>
      <c r="J76" s="23"/>
      <c r="K76" s="67">
        <f>I76*J76</f>
        <v>0</v>
      </c>
      <c r="L76" s="67">
        <f>H76+K76</f>
        <v>38798.9</v>
      </c>
      <c r="M76" s="23"/>
      <c r="N76" s="210">
        <f>N75+M76-L76</f>
        <v>9953.3649999998743</v>
      </c>
      <c r="O76" s="23"/>
      <c r="P76" s="23"/>
    </row>
    <row r="77" spans="1:16">
      <c r="A77" s="285">
        <v>74</v>
      </c>
      <c r="B77" s="301">
        <v>45674</v>
      </c>
      <c r="C77" s="285"/>
      <c r="D77" s="285"/>
      <c r="E77" s="285"/>
      <c r="F77" s="285"/>
      <c r="G77" s="285"/>
      <c r="H77" s="290">
        <f>F77*G77</f>
        <v>0</v>
      </c>
      <c r="I77" s="285"/>
      <c r="J77" s="285"/>
      <c r="K77" s="290">
        <f>I77*J77</f>
        <v>0</v>
      </c>
      <c r="L77" s="290">
        <f>H77+K77</f>
        <v>0</v>
      </c>
      <c r="M77" s="285">
        <v>200000</v>
      </c>
      <c r="N77" s="304">
        <f>N76+M77-L77</f>
        <v>209953.36499999987</v>
      </c>
      <c r="O77" s="285"/>
      <c r="P77" s="285"/>
    </row>
    <row r="78" spans="1:16">
      <c r="A78" s="23">
        <v>75</v>
      </c>
      <c r="B78" s="282">
        <v>45674</v>
      </c>
      <c r="C78" s="162" t="s">
        <v>230</v>
      </c>
      <c r="D78" s="162" t="s">
        <v>231</v>
      </c>
      <c r="E78" s="284" t="s">
        <v>232</v>
      </c>
      <c r="F78" s="23">
        <v>600</v>
      </c>
      <c r="G78" s="23">
        <v>90.23</v>
      </c>
      <c r="H78" s="67">
        <f>F78*G78</f>
        <v>54138</v>
      </c>
      <c r="I78" s="23">
        <v>35</v>
      </c>
      <c r="J78" s="23">
        <v>104.14</v>
      </c>
      <c r="K78" s="67">
        <f>I78*J78</f>
        <v>3644.9</v>
      </c>
      <c r="L78" s="67">
        <f>H78+K78</f>
        <v>57782.9</v>
      </c>
      <c r="M78" s="23"/>
      <c r="N78" s="210">
        <f>N77+M78-L78</f>
        <v>152170.46499999988</v>
      </c>
      <c r="O78" s="23"/>
      <c r="P78" s="23"/>
    </row>
    <row r="79" spans="1:16">
      <c r="A79" s="23">
        <v>76</v>
      </c>
      <c r="B79" s="282">
        <v>45674</v>
      </c>
      <c r="C79" s="162" t="s">
        <v>216</v>
      </c>
      <c r="D79" s="162" t="s">
        <v>217</v>
      </c>
      <c r="E79" s="284" t="s">
        <v>218</v>
      </c>
      <c r="F79" s="23">
        <v>40.479999999999997</v>
      </c>
      <c r="G79" s="23">
        <v>89.47</v>
      </c>
      <c r="H79" s="67">
        <f>F79*G79</f>
        <v>3621.7455999999997</v>
      </c>
      <c r="I79" s="23">
        <v>6</v>
      </c>
      <c r="J79" s="23">
        <v>103.4</v>
      </c>
      <c r="K79" s="67">
        <f>I79*J79</f>
        <v>620.40000000000009</v>
      </c>
      <c r="L79" s="67">
        <f>H79+K79</f>
        <v>4242.1455999999998</v>
      </c>
      <c r="M79" s="23"/>
      <c r="N79" s="210">
        <f>N78+M79-L79</f>
        <v>147928.31939999989</v>
      </c>
      <c r="O79" s="23"/>
      <c r="P79" s="23"/>
    </row>
    <row r="80" spans="1:16">
      <c r="A80" s="23">
        <v>77</v>
      </c>
      <c r="B80" s="282">
        <v>45674</v>
      </c>
      <c r="C80" s="23"/>
      <c r="D80" s="23"/>
      <c r="E80" s="23"/>
      <c r="F80" s="23"/>
      <c r="G80" s="23"/>
      <c r="H80" s="67">
        <f>F80*G80</f>
        <v>0</v>
      </c>
      <c r="I80" s="23"/>
      <c r="J80" s="23"/>
      <c r="K80" s="67">
        <f>I80*J80</f>
        <v>0</v>
      </c>
      <c r="L80" s="67">
        <f>H80+K80</f>
        <v>0</v>
      </c>
      <c r="M80" s="23"/>
      <c r="N80" s="210">
        <f>N79+M80-L80</f>
        <v>147928.31939999989</v>
      </c>
      <c r="O80" s="23" t="s">
        <v>215</v>
      </c>
      <c r="P80" s="23">
        <v>1363.49</v>
      </c>
    </row>
    <row r="81" spans="1:16">
      <c r="A81" s="23">
        <v>78</v>
      </c>
      <c r="B81" s="282">
        <v>45675</v>
      </c>
      <c r="C81" s="162" t="s">
        <v>252</v>
      </c>
      <c r="D81" s="162" t="s">
        <v>253</v>
      </c>
      <c r="E81" s="284" t="s">
        <v>254</v>
      </c>
      <c r="F81" s="23"/>
      <c r="G81" s="23"/>
      <c r="H81" s="67">
        <f>F81*G81</f>
        <v>0</v>
      </c>
      <c r="I81" s="23">
        <v>4.84</v>
      </c>
      <c r="J81" s="23">
        <v>103.39</v>
      </c>
      <c r="K81" s="67">
        <f>I81*J81</f>
        <v>500.4076</v>
      </c>
      <c r="L81" s="67">
        <f>H81+K81</f>
        <v>500.4076</v>
      </c>
      <c r="M81" s="23"/>
      <c r="N81" s="210">
        <f>N80+M81-L81</f>
        <v>147427.91179999989</v>
      </c>
      <c r="O81" s="23"/>
      <c r="P81" s="23"/>
    </row>
    <row r="82" spans="1:16">
      <c r="A82" s="23">
        <v>79</v>
      </c>
      <c r="B82" s="282">
        <v>45675</v>
      </c>
      <c r="C82" s="162" t="s">
        <v>216</v>
      </c>
      <c r="D82" s="162" t="s">
        <v>217</v>
      </c>
      <c r="E82" s="284" t="s">
        <v>218</v>
      </c>
      <c r="F82" s="23"/>
      <c r="G82" s="23"/>
      <c r="H82" s="67">
        <f>F82*G82</f>
        <v>0</v>
      </c>
      <c r="I82" s="23">
        <v>12</v>
      </c>
      <c r="J82" s="23">
        <v>103.4</v>
      </c>
      <c r="K82" s="67">
        <f>I82*J82</f>
        <v>1240.8000000000002</v>
      </c>
      <c r="L82" s="67">
        <f>H82+K82</f>
        <v>1240.8000000000002</v>
      </c>
      <c r="M82" s="23"/>
      <c r="N82" s="210">
        <f>N81+M82-L82</f>
        <v>146187.1117999999</v>
      </c>
      <c r="O82" s="23"/>
      <c r="P82" s="23"/>
    </row>
    <row r="83" spans="1:16">
      <c r="A83" s="23">
        <v>80</v>
      </c>
      <c r="B83" s="282">
        <v>45675</v>
      </c>
      <c r="C83" s="162" t="s">
        <v>233</v>
      </c>
      <c r="D83" s="162" t="s">
        <v>234</v>
      </c>
      <c r="E83" s="284" t="s">
        <v>235</v>
      </c>
      <c r="F83" s="23">
        <v>89.22</v>
      </c>
      <c r="G83" s="23">
        <v>89.9</v>
      </c>
      <c r="H83" s="67">
        <f>F83*G83</f>
        <v>8020.8780000000006</v>
      </c>
      <c r="I83" s="23">
        <v>6.74</v>
      </c>
      <c r="J83" s="23">
        <v>103.96</v>
      </c>
      <c r="K83" s="67">
        <f>I83*J83</f>
        <v>700.69039999999995</v>
      </c>
      <c r="L83" s="67">
        <f>H83+K83</f>
        <v>8721.5684000000001</v>
      </c>
      <c r="M83" s="23"/>
      <c r="N83" s="210">
        <f>N82+M83-L83</f>
        <v>137465.54339999991</v>
      </c>
      <c r="O83" s="23"/>
      <c r="P83" s="23"/>
    </row>
    <row r="84" spans="1:16">
      <c r="A84" s="23">
        <v>81</v>
      </c>
      <c r="B84" s="282">
        <v>45675</v>
      </c>
      <c r="C84" s="23"/>
      <c r="D84" s="23"/>
      <c r="E84" s="23"/>
      <c r="F84" s="23"/>
      <c r="G84" s="23"/>
      <c r="H84" s="67">
        <f>F84*G84</f>
        <v>0</v>
      </c>
      <c r="I84" s="23"/>
      <c r="J84" s="23"/>
      <c r="K84" s="67">
        <f>I84*J84</f>
        <v>0</v>
      </c>
      <c r="L84" s="67">
        <f>H84+K84</f>
        <v>0</v>
      </c>
      <c r="M84" s="23"/>
      <c r="N84" s="210">
        <f>N83+M84-L84</f>
        <v>137465.54339999991</v>
      </c>
      <c r="O84" s="23" t="s">
        <v>215</v>
      </c>
      <c r="P84" s="23">
        <v>5396.8</v>
      </c>
    </row>
    <row r="85" spans="1:16">
      <c r="A85" s="23">
        <v>82</v>
      </c>
      <c r="B85" s="282">
        <v>45676</v>
      </c>
      <c r="C85" s="162" t="s">
        <v>239</v>
      </c>
      <c r="D85" s="162" t="s">
        <v>240</v>
      </c>
      <c r="E85" s="284" t="s">
        <v>241</v>
      </c>
      <c r="F85" s="23">
        <v>80</v>
      </c>
      <c r="G85" s="23">
        <v>90.23</v>
      </c>
      <c r="H85" s="67">
        <f>F85*G85</f>
        <v>7218.4000000000005</v>
      </c>
      <c r="I85" s="23">
        <v>5.09</v>
      </c>
      <c r="J85" s="23">
        <v>104.14</v>
      </c>
      <c r="K85" s="67">
        <f>I85*J85</f>
        <v>530.07259999999997</v>
      </c>
      <c r="L85" s="67">
        <f>H85+K85</f>
        <v>7748.472600000001</v>
      </c>
      <c r="M85" s="23"/>
      <c r="N85" s="210">
        <f>N84+M85-L85</f>
        <v>129717.0707999999</v>
      </c>
      <c r="O85" s="23"/>
      <c r="P85" s="23"/>
    </row>
    <row r="86" spans="1:16">
      <c r="A86" s="23">
        <v>83</v>
      </c>
      <c r="B86" s="282">
        <v>45676</v>
      </c>
      <c r="C86" s="162" t="s">
        <v>237</v>
      </c>
      <c r="D86" s="162" t="s">
        <v>53</v>
      </c>
      <c r="E86" s="284" t="s">
        <v>238</v>
      </c>
      <c r="F86" s="23">
        <v>16.760000000000002</v>
      </c>
      <c r="G86" s="23">
        <v>89.49</v>
      </c>
      <c r="H86" s="67">
        <f>F86*G86</f>
        <v>1499.8524</v>
      </c>
      <c r="I86" s="23">
        <v>4.83</v>
      </c>
      <c r="J86" s="23">
        <v>103.44</v>
      </c>
      <c r="K86" s="67">
        <f>I86*J86</f>
        <v>499.61520000000002</v>
      </c>
      <c r="L86" s="67">
        <f>H86+K86</f>
        <v>1999.4675999999999</v>
      </c>
      <c r="M86" s="23"/>
      <c r="N86" s="210">
        <f>N85+M86-L86</f>
        <v>127717.6031999999</v>
      </c>
      <c r="O86" s="23"/>
      <c r="P86" s="23"/>
    </row>
    <row r="87" spans="1:16">
      <c r="A87" s="23">
        <v>84</v>
      </c>
      <c r="B87" s="282">
        <v>45676</v>
      </c>
      <c r="C87" s="162" t="s">
        <v>219</v>
      </c>
      <c r="D87" s="162" t="s">
        <v>55</v>
      </c>
      <c r="E87" s="284" t="s">
        <v>220</v>
      </c>
      <c r="F87" s="23"/>
      <c r="G87" s="23"/>
      <c r="H87" s="67">
        <f>F87*G87</f>
        <v>0</v>
      </c>
      <c r="I87" s="23">
        <v>7.02</v>
      </c>
      <c r="J87" s="23">
        <v>102.46</v>
      </c>
      <c r="K87" s="67">
        <f>I87*J87</f>
        <v>719.26919999999996</v>
      </c>
      <c r="L87" s="67">
        <f>H87+K87</f>
        <v>719.26919999999996</v>
      </c>
      <c r="M87" s="23"/>
      <c r="N87" s="210">
        <f>N86+M87-L87</f>
        <v>126998.3339999999</v>
      </c>
      <c r="O87" s="23"/>
      <c r="P87" s="23"/>
    </row>
    <row r="88" spans="1:16">
      <c r="A88" s="23">
        <v>85</v>
      </c>
      <c r="B88" s="282">
        <v>45676</v>
      </c>
      <c r="C88" s="162" t="s">
        <v>216</v>
      </c>
      <c r="D88" s="162" t="s">
        <v>217</v>
      </c>
      <c r="E88" s="284" t="s">
        <v>218</v>
      </c>
      <c r="F88" s="23">
        <v>53.75</v>
      </c>
      <c r="G88" s="23">
        <v>89.47</v>
      </c>
      <c r="H88" s="67">
        <f>F88*G88</f>
        <v>4809.0124999999998</v>
      </c>
      <c r="I88" s="23">
        <v>5</v>
      </c>
      <c r="J88" s="23">
        <v>103.4</v>
      </c>
      <c r="K88" s="67">
        <f>I88*J88</f>
        <v>517</v>
      </c>
      <c r="L88" s="67">
        <f>H88+K88</f>
        <v>5326.0124999999998</v>
      </c>
      <c r="M88" s="23"/>
      <c r="N88" s="210">
        <f>N87+M88-L88</f>
        <v>121672.3214999999</v>
      </c>
      <c r="O88" s="23"/>
      <c r="P88" s="23"/>
    </row>
    <row r="89" spans="1:16">
      <c r="A89" s="23">
        <v>86</v>
      </c>
      <c r="B89" s="282">
        <v>45676</v>
      </c>
      <c r="C89" s="162" t="s">
        <v>233</v>
      </c>
      <c r="D89" s="162" t="s">
        <v>234</v>
      </c>
      <c r="E89" s="284" t="s">
        <v>235</v>
      </c>
      <c r="F89" s="23">
        <v>43.69</v>
      </c>
      <c r="G89" s="23">
        <v>89.9</v>
      </c>
      <c r="H89" s="67">
        <f>F89*G89</f>
        <v>3927.7310000000002</v>
      </c>
      <c r="I89" s="23">
        <v>48</v>
      </c>
      <c r="J89" s="23">
        <v>104</v>
      </c>
      <c r="K89" s="67">
        <f>I89*J89</f>
        <v>4992</v>
      </c>
      <c r="L89" s="67">
        <f>H89+K89</f>
        <v>8919.7309999999998</v>
      </c>
      <c r="M89" s="23"/>
      <c r="N89" s="210">
        <f>N88+M89-L89</f>
        <v>112752.5904999999</v>
      </c>
      <c r="O89" s="23"/>
      <c r="P89" s="23"/>
    </row>
    <row r="90" spans="1:16">
      <c r="A90" s="23">
        <v>87</v>
      </c>
      <c r="B90" s="282">
        <v>45677</v>
      </c>
      <c r="C90" s="327" t="s">
        <v>224</v>
      </c>
      <c r="D90" s="23" t="s">
        <v>21</v>
      </c>
      <c r="E90" s="328" t="s">
        <v>226</v>
      </c>
      <c r="F90" s="23">
        <v>0</v>
      </c>
      <c r="G90" s="23"/>
      <c r="H90" s="67">
        <f>F90*G90</f>
        <v>0</v>
      </c>
      <c r="I90" s="23"/>
      <c r="J90" s="23"/>
      <c r="K90" s="67">
        <f>I90*J90</f>
        <v>0</v>
      </c>
      <c r="L90" s="67">
        <f>H90+K90</f>
        <v>0</v>
      </c>
      <c r="M90" s="151"/>
      <c r="N90" s="210">
        <f>N89+M90-L90</f>
        <v>112752.5904999999</v>
      </c>
      <c r="O90" s="23" t="s">
        <v>215</v>
      </c>
      <c r="P90" s="23">
        <v>3940.9</v>
      </c>
    </row>
    <row r="91" spans="1:16">
      <c r="A91" s="23">
        <v>88</v>
      </c>
      <c r="B91" s="282">
        <v>45677</v>
      </c>
      <c r="C91" s="151" t="s">
        <v>221</v>
      </c>
      <c r="D91" s="23" t="s">
        <v>19</v>
      </c>
      <c r="E91" s="328" t="s">
        <v>223</v>
      </c>
      <c r="F91" s="23">
        <v>1500</v>
      </c>
      <c r="G91" s="23">
        <v>89.29</v>
      </c>
      <c r="H91" s="67">
        <f>F91*G91</f>
        <v>133935</v>
      </c>
      <c r="I91" s="23">
        <v>70</v>
      </c>
      <c r="J91" s="23">
        <v>103.24</v>
      </c>
      <c r="K91" s="67">
        <f>I91*J91</f>
        <v>7226.7999999999993</v>
      </c>
      <c r="L91" s="331">
        <f>H91+K91</f>
        <v>141161.79999999999</v>
      </c>
      <c r="M91" s="337">
        <v>200000</v>
      </c>
      <c r="N91" s="332">
        <f>N90+M91-L91</f>
        <v>171590.79049999994</v>
      </c>
      <c r="O91" s="23"/>
      <c r="P91" s="151"/>
    </row>
    <row r="92" spans="1:16">
      <c r="A92" s="23">
        <v>89</v>
      </c>
      <c r="B92" s="282">
        <v>45677</v>
      </c>
      <c r="C92" s="162" t="s">
        <v>237</v>
      </c>
      <c r="D92" s="329" t="s">
        <v>255</v>
      </c>
      <c r="E92" s="328" t="s">
        <v>238</v>
      </c>
      <c r="F92" s="23">
        <v>22.35</v>
      </c>
      <c r="G92" s="23">
        <v>89.49</v>
      </c>
      <c r="H92" s="67">
        <f>F92*G92</f>
        <v>2000.1015</v>
      </c>
      <c r="I92" s="23"/>
      <c r="J92" s="23"/>
      <c r="K92" s="67">
        <f t="shared" ref="K92:K99" si="0">I92*J92</f>
        <v>0</v>
      </c>
      <c r="L92" s="331">
        <f>H92+K92</f>
        <v>2000.1015</v>
      </c>
      <c r="M92" s="162"/>
      <c r="N92" s="332">
        <f t="shared" ref="N92:N148" si="1">N91+M92-L92</f>
        <v>169590.68899999995</v>
      </c>
      <c r="O92" s="154" t="s">
        <v>215</v>
      </c>
      <c r="P92" s="84">
        <v>1577.71</v>
      </c>
    </row>
    <row r="93" spans="1:16">
      <c r="A93" s="23">
        <v>90</v>
      </c>
      <c r="B93" s="282">
        <v>45677</v>
      </c>
      <c r="C93" s="162" t="s">
        <v>216</v>
      </c>
      <c r="D93" s="329" t="s">
        <v>217</v>
      </c>
      <c r="E93" s="328" t="s">
        <v>218</v>
      </c>
      <c r="F93" s="23">
        <v>100</v>
      </c>
      <c r="G93" s="23">
        <v>89.47</v>
      </c>
      <c r="H93" s="67">
        <f>F93*G93</f>
        <v>8947</v>
      </c>
      <c r="I93" s="23"/>
      <c r="J93" s="23"/>
      <c r="K93" s="67">
        <f t="shared" si="0"/>
        <v>0</v>
      </c>
      <c r="L93" s="331">
        <f>H93+K93</f>
        <v>8947</v>
      </c>
      <c r="M93" s="162"/>
      <c r="N93" s="332">
        <f t="shared" si="1"/>
        <v>160643.68899999995</v>
      </c>
      <c r="O93" s="23"/>
      <c r="P93" s="213"/>
    </row>
    <row r="94" spans="1:16">
      <c r="A94" s="23">
        <v>91</v>
      </c>
      <c r="B94" s="282">
        <v>45677</v>
      </c>
      <c r="C94" s="327" t="s">
        <v>230</v>
      </c>
      <c r="D94" s="162" t="s">
        <v>231</v>
      </c>
      <c r="E94" s="330" t="s">
        <v>232</v>
      </c>
      <c r="F94" s="23">
        <v>400</v>
      </c>
      <c r="G94" s="23">
        <v>90.23</v>
      </c>
      <c r="H94" s="67">
        <f>F94*G94</f>
        <v>36092</v>
      </c>
      <c r="I94" s="23"/>
      <c r="J94" s="23"/>
      <c r="K94" s="67">
        <f t="shared" si="0"/>
        <v>0</v>
      </c>
      <c r="L94" s="331">
        <f>H94+K94</f>
        <v>36092</v>
      </c>
      <c r="M94" s="162"/>
      <c r="N94" s="332">
        <f t="shared" si="1"/>
        <v>124551.68899999995</v>
      </c>
      <c r="O94" s="23"/>
      <c r="P94" s="23"/>
    </row>
    <row r="95" spans="1:16">
      <c r="A95" s="23">
        <v>92</v>
      </c>
      <c r="B95" s="282">
        <v>45678</v>
      </c>
      <c r="C95" s="151" t="s">
        <v>221</v>
      </c>
      <c r="D95" s="23" t="s">
        <v>19</v>
      </c>
      <c r="E95" s="328" t="s">
        <v>223</v>
      </c>
      <c r="F95" s="23">
        <v>100</v>
      </c>
      <c r="G95" s="23">
        <v>89.29</v>
      </c>
      <c r="H95" s="67">
        <f>F95*G95</f>
        <v>8929</v>
      </c>
      <c r="I95" s="23"/>
      <c r="J95" s="23"/>
      <c r="K95" s="67">
        <f t="shared" si="0"/>
        <v>0</v>
      </c>
      <c r="L95" s="331">
        <f>H95+K95</f>
        <v>8929</v>
      </c>
      <c r="M95" s="162"/>
      <c r="N95" s="332">
        <f t="shared" si="1"/>
        <v>115622.68899999995</v>
      </c>
      <c r="O95" s="23"/>
      <c r="P95" s="23"/>
    </row>
    <row r="96" spans="1:16">
      <c r="A96" s="23">
        <v>93</v>
      </c>
      <c r="B96" s="282">
        <v>45678</v>
      </c>
      <c r="C96" s="162" t="s">
        <v>216</v>
      </c>
      <c r="D96" s="329" t="s">
        <v>217</v>
      </c>
      <c r="E96" s="328" t="s">
        <v>218</v>
      </c>
      <c r="F96" s="23">
        <v>0</v>
      </c>
      <c r="G96" s="23">
        <v>0</v>
      </c>
      <c r="H96" s="67">
        <f>F96*G96</f>
        <v>0</v>
      </c>
      <c r="I96" s="23">
        <v>6</v>
      </c>
      <c r="J96" s="23">
        <v>103.4</v>
      </c>
      <c r="K96" s="67">
        <f t="shared" si="0"/>
        <v>620.40000000000009</v>
      </c>
      <c r="L96" s="331">
        <f>H96+K96</f>
        <v>620.40000000000009</v>
      </c>
      <c r="M96" s="162"/>
      <c r="N96" s="332">
        <f t="shared" si="1"/>
        <v>115002.28899999996</v>
      </c>
      <c r="O96" s="23"/>
      <c r="P96" s="151"/>
    </row>
    <row r="97" spans="1:19">
      <c r="A97" s="23">
        <v>94</v>
      </c>
      <c r="B97" s="282">
        <v>45678</v>
      </c>
      <c r="C97" s="162" t="s">
        <v>237</v>
      </c>
      <c r="D97" s="329" t="s">
        <v>255</v>
      </c>
      <c r="E97" s="328" t="s">
        <v>238</v>
      </c>
      <c r="F97" s="23">
        <v>57.35</v>
      </c>
      <c r="G97" s="23">
        <v>89.49</v>
      </c>
      <c r="H97" s="67">
        <f>F97*G97</f>
        <v>5132.2514999999994</v>
      </c>
      <c r="I97" s="23"/>
      <c r="J97" s="23"/>
      <c r="K97" s="67">
        <f t="shared" si="0"/>
        <v>0</v>
      </c>
      <c r="L97" s="331">
        <f>H97+K97</f>
        <v>5132.2514999999994</v>
      </c>
      <c r="M97" s="162"/>
      <c r="N97" s="332">
        <f t="shared" si="1"/>
        <v>109870.03749999996</v>
      </c>
      <c r="O97" s="154" t="s">
        <v>215</v>
      </c>
      <c r="P97" s="84">
        <v>15056.06</v>
      </c>
    </row>
    <row r="98" spans="1:19">
      <c r="A98" s="23">
        <v>95</v>
      </c>
      <c r="B98" s="282">
        <v>45678</v>
      </c>
      <c r="C98" s="162" t="s">
        <v>219</v>
      </c>
      <c r="D98" s="327" t="s">
        <v>55</v>
      </c>
      <c r="E98" s="330" t="s">
        <v>220</v>
      </c>
      <c r="F98" s="23">
        <v>33.869999999999997</v>
      </c>
      <c r="G98" s="23">
        <v>88.58</v>
      </c>
      <c r="H98" s="67">
        <f>F98*G98</f>
        <v>3000.2045999999996</v>
      </c>
      <c r="I98" s="23"/>
      <c r="J98" s="23"/>
      <c r="K98" s="67">
        <f t="shared" si="0"/>
        <v>0</v>
      </c>
      <c r="L98" s="331">
        <f>H98+K98</f>
        <v>3000.2045999999996</v>
      </c>
      <c r="M98" s="162"/>
      <c r="N98" s="332">
        <f t="shared" si="1"/>
        <v>106869.83289999996</v>
      </c>
      <c r="O98" s="23"/>
      <c r="P98" s="213"/>
    </row>
    <row r="99" spans="1:19">
      <c r="A99" s="23">
        <v>96</v>
      </c>
      <c r="B99" s="282">
        <v>45678</v>
      </c>
      <c r="C99" s="162" t="s">
        <v>233</v>
      </c>
      <c r="D99" s="162" t="s">
        <v>234</v>
      </c>
      <c r="E99" s="284" t="s">
        <v>235</v>
      </c>
      <c r="F99" s="23"/>
      <c r="G99" s="23"/>
      <c r="H99" s="67"/>
      <c r="I99" s="23">
        <v>6.26</v>
      </c>
      <c r="J99" s="23">
        <v>103.96</v>
      </c>
      <c r="K99" s="67">
        <f t="shared" si="0"/>
        <v>650.78959999999995</v>
      </c>
      <c r="L99" s="331">
        <f>H99+K99</f>
        <v>650.78959999999995</v>
      </c>
      <c r="M99" s="162"/>
      <c r="N99" s="332">
        <f t="shared" si="1"/>
        <v>106219.04329999996</v>
      </c>
      <c r="O99" s="151"/>
      <c r="P99" s="151"/>
    </row>
    <row r="100" spans="1:19">
      <c r="A100" s="23">
        <v>97</v>
      </c>
      <c r="B100" s="361">
        <v>45679</v>
      </c>
      <c r="C100" s="327" t="s">
        <v>216</v>
      </c>
      <c r="D100" s="362" t="s">
        <v>217</v>
      </c>
      <c r="E100" s="363" t="s">
        <v>218</v>
      </c>
      <c r="F100" s="151">
        <v>44.71</v>
      </c>
      <c r="G100" s="151">
        <v>89.47</v>
      </c>
      <c r="H100" s="364">
        <f>F100*G100</f>
        <v>4000.2037</v>
      </c>
      <c r="I100" s="151">
        <v>6</v>
      </c>
      <c r="J100" s="151">
        <v>103.4</v>
      </c>
      <c r="K100" s="364">
        <f>I100*J100</f>
        <v>620.40000000000009</v>
      </c>
      <c r="L100" s="381">
        <f>H100+K100</f>
        <v>4620.6036999999997</v>
      </c>
      <c r="M100" s="162">
        <v>218000</v>
      </c>
      <c r="N100" s="382">
        <f t="shared" si="1"/>
        <v>319598.43959999998</v>
      </c>
      <c r="O100" s="151" t="s">
        <v>215</v>
      </c>
      <c r="P100" s="337">
        <v>1625.95</v>
      </c>
      <c r="R100" s="285"/>
    </row>
    <row r="101" spans="1:19">
      <c r="A101" s="154">
        <v>98</v>
      </c>
      <c r="B101" s="282">
        <v>45679</v>
      </c>
      <c r="C101" s="162" t="s">
        <v>230</v>
      </c>
      <c r="D101" s="162" t="s">
        <v>231</v>
      </c>
      <c r="E101" s="284" t="s">
        <v>232</v>
      </c>
      <c r="F101" s="23">
        <v>550</v>
      </c>
      <c r="G101" s="23">
        <v>90.23</v>
      </c>
      <c r="H101" s="67">
        <f>F101*G101</f>
        <v>49626.5</v>
      </c>
      <c r="I101" s="23">
        <v>0</v>
      </c>
      <c r="J101" s="23">
        <v>103.4</v>
      </c>
      <c r="K101" s="67">
        <f>I101*J101</f>
        <v>0</v>
      </c>
      <c r="L101" s="67">
        <f>H101+K101</f>
        <v>49626.5</v>
      </c>
      <c r="M101" s="213"/>
      <c r="N101" s="210">
        <f t="shared" si="1"/>
        <v>269971.93959999998</v>
      </c>
      <c r="O101" s="23"/>
      <c r="P101" s="23"/>
    </row>
    <row r="102" spans="1:19">
      <c r="A102" s="154">
        <v>99</v>
      </c>
      <c r="B102" s="282">
        <v>45679</v>
      </c>
      <c r="C102" s="162" t="s">
        <v>252</v>
      </c>
      <c r="D102" s="162" t="s">
        <v>253</v>
      </c>
      <c r="E102" s="284" t="s">
        <v>254</v>
      </c>
      <c r="F102" s="23">
        <v>0</v>
      </c>
      <c r="G102" s="23">
        <v>0</v>
      </c>
      <c r="H102" s="67">
        <f>F102*G102</f>
        <v>0</v>
      </c>
      <c r="I102" s="23">
        <v>9.68</v>
      </c>
      <c r="J102" s="23">
        <v>103.39</v>
      </c>
      <c r="K102" s="67">
        <f>I102*J102</f>
        <v>1000.8152</v>
      </c>
      <c r="L102" s="67">
        <f>H102+K102</f>
        <v>1000.8152</v>
      </c>
      <c r="M102" s="23"/>
      <c r="N102" s="210">
        <f t="shared" si="1"/>
        <v>268971.12439999997</v>
      </c>
      <c r="O102" s="23"/>
      <c r="P102" s="23"/>
    </row>
    <row r="103" spans="1:19">
      <c r="A103" s="379">
        <v>100</v>
      </c>
      <c r="B103" s="361">
        <v>45679</v>
      </c>
      <c r="C103" s="337" t="s">
        <v>244</v>
      </c>
      <c r="D103" s="337" t="s">
        <v>245</v>
      </c>
      <c r="E103" s="380" t="s">
        <v>246</v>
      </c>
      <c r="F103" s="151">
        <v>166.62</v>
      </c>
      <c r="G103" s="151">
        <v>90.02</v>
      </c>
      <c r="H103" s="364">
        <f>F103*G103</f>
        <v>14999.1324</v>
      </c>
      <c r="I103" s="151">
        <v>6</v>
      </c>
      <c r="J103" s="151">
        <v>104.02</v>
      </c>
      <c r="K103" s="364">
        <f>I103*J103</f>
        <v>624.12</v>
      </c>
      <c r="L103" s="364">
        <f>H103+K103</f>
        <v>15623.252400000001</v>
      </c>
      <c r="M103" s="151"/>
      <c r="N103" s="371">
        <f t="shared" si="1"/>
        <v>253347.87199999997</v>
      </c>
      <c r="O103" s="151"/>
      <c r="P103" s="151"/>
    </row>
    <row r="104" spans="1:19">
      <c r="A104" s="23">
        <v>101</v>
      </c>
      <c r="B104" s="282">
        <v>45680</v>
      </c>
      <c r="C104" s="162" t="s">
        <v>233</v>
      </c>
      <c r="D104" s="162" t="s">
        <v>234</v>
      </c>
      <c r="E104" s="284" t="s">
        <v>235</v>
      </c>
      <c r="F104" s="23">
        <v>100</v>
      </c>
      <c r="G104" s="23">
        <v>89.9</v>
      </c>
      <c r="H104" s="67">
        <f>F104*G104</f>
        <v>8990</v>
      </c>
      <c r="I104" s="23">
        <v>5.58</v>
      </c>
      <c r="J104" s="23">
        <v>103.96</v>
      </c>
      <c r="K104" s="67">
        <f>I104*J104</f>
        <v>580.09679999999992</v>
      </c>
      <c r="L104" s="67">
        <f>H104+K104</f>
        <v>9570.0967999999993</v>
      </c>
      <c r="M104" s="23"/>
      <c r="N104" s="210">
        <f t="shared" si="1"/>
        <v>243777.77519999997</v>
      </c>
      <c r="O104" s="23"/>
      <c r="P104" s="23"/>
    </row>
    <row r="105" spans="1:19">
      <c r="A105" s="23">
        <v>102</v>
      </c>
      <c r="B105" s="282">
        <v>45680</v>
      </c>
      <c r="C105" s="162" t="s">
        <v>247</v>
      </c>
      <c r="D105" s="162" t="s">
        <v>248</v>
      </c>
      <c r="E105" s="284" t="s">
        <v>249</v>
      </c>
      <c r="F105" s="23">
        <v>44.6</v>
      </c>
      <c r="G105" s="23">
        <v>91.47</v>
      </c>
      <c r="H105" s="67">
        <f>F105*G105</f>
        <v>4079.5619999999999</v>
      </c>
      <c r="I105" s="23">
        <v>0</v>
      </c>
      <c r="J105" s="23">
        <v>103.59</v>
      </c>
      <c r="K105" s="67">
        <f>I105*J105</f>
        <v>0</v>
      </c>
      <c r="L105" s="67">
        <f>H105+K105</f>
        <v>4079.5619999999999</v>
      </c>
      <c r="M105" s="23"/>
      <c r="N105" s="210">
        <f t="shared" si="1"/>
        <v>239698.21319999997</v>
      </c>
      <c r="O105" s="23"/>
      <c r="P105" s="23"/>
      <c r="S105">
        <f>16000*15%</f>
        <v>2400</v>
      </c>
    </row>
    <row r="106" spans="1:19">
      <c r="A106" s="23">
        <v>103</v>
      </c>
      <c r="B106" s="282">
        <v>45680</v>
      </c>
      <c r="C106" s="162" t="s">
        <v>216</v>
      </c>
      <c r="D106" s="23" t="s">
        <v>217</v>
      </c>
      <c r="E106" s="328" t="s">
        <v>218</v>
      </c>
      <c r="F106" s="23">
        <v>0</v>
      </c>
      <c r="G106" s="23">
        <v>0</v>
      </c>
      <c r="H106" s="67">
        <f>F106*G106</f>
        <v>0</v>
      </c>
      <c r="I106" s="23">
        <v>6</v>
      </c>
      <c r="J106" s="23">
        <v>103.4</v>
      </c>
      <c r="K106" s="67">
        <f>I106*J106</f>
        <v>620.40000000000009</v>
      </c>
      <c r="L106" s="67">
        <f>H106+K106</f>
        <v>620.40000000000009</v>
      </c>
      <c r="M106" s="23"/>
      <c r="N106" s="210">
        <f t="shared" si="1"/>
        <v>239077.81319999998</v>
      </c>
      <c r="O106" s="23"/>
      <c r="P106" s="23"/>
    </row>
    <row r="107" spans="1:19">
      <c r="A107" s="23">
        <v>104</v>
      </c>
      <c r="B107" s="282">
        <v>45680</v>
      </c>
      <c r="C107" s="162" t="s">
        <v>219</v>
      </c>
      <c r="D107" s="162" t="s">
        <v>55</v>
      </c>
      <c r="E107" s="284" t="s">
        <v>220</v>
      </c>
      <c r="F107" s="23">
        <v>0</v>
      </c>
      <c r="G107" s="23">
        <v>0</v>
      </c>
      <c r="H107" s="67">
        <f>F107*G107</f>
        <v>0</v>
      </c>
      <c r="I107" s="23">
        <v>15.53</v>
      </c>
      <c r="J107" s="23">
        <v>102.46</v>
      </c>
      <c r="K107" s="67">
        <f>I107*J107</f>
        <v>1591.2037999999998</v>
      </c>
      <c r="L107" s="67">
        <f>H107+K107</f>
        <v>1591.2037999999998</v>
      </c>
      <c r="M107" s="23"/>
      <c r="N107" s="210">
        <f t="shared" si="1"/>
        <v>237486.60939999999</v>
      </c>
      <c r="O107" s="23"/>
      <c r="P107" s="151"/>
    </row>
    <row r="108" spans="1:19">
      <c r="A108" s="23">
        <v>105</v>
      </c>
      <c r="B108" s="282">
        <v>45680</v>
      </c>
      <c r="C108" s="23" t="s">
        <v>221</v>
      </c>
      <c r="D108" s="23" t="s">
        <v>19</v>
      </c>
      <c r="E108" s="328" t="s">
        <v>223</v>
      </c>
      <c r="F108" s="23">
        <v>1200</v>
      </c>
      <c r="G108" s="23">
        <v>89.29</v>
      </c>
      <c r="H108" s="67">
        <f>F108*G108</f>
        <v>107148.00000000001</v>
      </c>
      <c r="I108" s="23">
        <v>55</v>
      </c>
      <c r="J108" s="23">
        <v>103.24</v>
      </c>
      <c r="K108" s="67">
        <f>I108*J108</f>
        <v>5678.2</v>
      </c>
      <c r="L108" s="67">
        <f>H108+K108</f>
        <v>112826.20000000001</v>
      </c>
      <c r="M108" s="23"/>
      <c r="N108" s="210">
        <f t="shared" si="1"/>
        <v>124660.40939999997</v>
      </c>
      <c r="O108" s="379" t="s">
        <v>215</v>
      </c>
      <c r="P108" s="162">
        <v>5829.68</v>
      </c>
    </row>
    <row r="109" spans="1:19">
      <c r="A109" s="23">
        <v>106</v>
      </c>
      <c r="B109" s="282">
        <v>45680</v>
      </c>
      <c r="C109" s="162" t="s">
        <v>28</v>
      </c>
      <c r="D109" s="162" t="s">
        <v>242</v>
      </c>
      <c r="E109" s="284" t="s">
        <v>243</v>
      </c>
      <c r="F109" s="23">
        <v>858.42</v>
      </c>
      <c r="G109" s="23">
        <v>90.24</v>
      </c>
      <c r="H109" s="67">
        <f>F109*G109</f>
        <v>77463.820799999987</v>
      </c>
      <c r="I109" s="23">
        <v>0</v>
      </c>
      <c r="J109" s="23">
        <v>0</v>
      </c>
      <c r="K109" s="67">
        <f>I109*J109</f>
        <v>0</v>
      </c>
      <c r="L109" s="67">
        <f>H109+K109</f>
        <v>77463.820799999987</v>
      </c>
      <c r="M109" s="23"/>
      <c r="N109" s="210">
        <f t="shared" si="1"/>
        <v>47196.588599999988</v>
      </c>
      <c r="O109" s="23"/>
      <c r="P109" s="213"/>
    </row>
    <row r="110" spans="1:19">
      <c r="A110" s="23">
        <v>107</v>
      </c>
      <c r="B110" s="361">
        <v>45680</v>
      </c>
      <c r="C110" s="337" t="s">
        <v>237</v>
      </c>
      <c r="D110" s="362" t="s">
        <v>255</v>
      </c>
      <c r="E110" s="363" t="s">
        <v>238</v>
      </c>
      <c r="F110" s="151">
        <v>22.35</v>
      </c>
      <c r="G110" s="151">
        <v>89.49</v>
      </c>
      <c r="H110" s="364">
        <f>F110*G110</f>
        <v>2000.1015</v>
      </c>
      <c r="I110" s="151">
        <v>9.66</v>
      </c>
      <c r="J110" s="151">
        <v>103.44</v>
      </c>
      <c r="K110" s="364">
        <f>I110*J110</f>
        <v>999.23040000000003</v>
      </c>
      <c r="L110" s="364">
        <f>H110+K110</f>
        <v>2999.3319000000001</v>
      </c>
      <c r="M110" s="151"/>
      <c r="N110" s="371">
        <f t="shared" si="1"/>
        <v>44197.256699999991</v>
      </c>
      <c r="O110" s="151"/>
      <c r="P110" s="151"/>
    </row>
    <row r="111" spans="1:19">
      <c r="A111" s="154">
        <v>108</v>
      </c>
      <c r="B111" s="282">
        <v>45681</v>
      </c>
      <c r="C111" s="162" t="s">
        <v>233</v>
      </c>
      <c r="D111" s="162" t="s">
        <v>234</v>
      </c>
      <c r="E111" s="284" t="s">
        <v>235</v>
      </c>
      <c r="F111" s="23">
        <v>100</v>
      </c>
      <c r="G111" s="23">
        <v>89.9</v>
      </c>
      <c r="H111" s="67">
        <f>F111*G111</f>
        <v>8990</v>
      </c>
      <c r="I111" s="23">
        <v>0</v>
      </c>
      <c r="J111" s="23"/>
      <c r="K111" s="67">
        <f>I111*J111</f>
        <v>0</v>
      </c>
      <c r="L111" s="67">
        <f>H111+K111</f>
        <v>8990</v>
      </c>
      <c r="M111" s="23">
        <v>200000</v>
      </c>
      <c r="N111" s="210">
        <f t="shared" si="1"/>
        <v>235207.2567</v>
      </c>
      <c r="O111" s="23"/>
      <c r="P111" s="23"/>
    </row>
    <row r="112" spans="1:19">
      <c r="A112" s="154">
        <v>109</v>
      </c>
      <c r="B112" s="282">
        <v>45681</v>
      </c>
      <c r="C112" s="162" t="s">
        <v>256</v>
      </c>
      <c r="D112" s="162" t="s">
        <v>33</v>
      </c>
      <c r="E112" s="328" t="s">
        <v>257</v>
      </c>
      <c r="F112" s="23">
        <v>112.4</v>
      </c>
      <c r="G112" s="23">
        <v>88.97</v>
      </c>
      <c r="H112" s="67">
        <f>F112*G112</f>
        <v>10000.228000000001</v>
      </c>
      <c r="I112" s="23">
        <v>0</v>
      </c>
      <c r="J112" s="23"/>
      <c r="K112" s="67">
        <f>I112*J112</f>
        <v>0</v>
      </c>
      <c r="L112" s="67">
        <f>H112+K112</f>
        <v>10000.228000000001</v>
      </c>
      <c r="M112" s="23"/>
      <c r="N112" s="210">
        <f t="shared" si="1"/>
        <v>225207.0287</v>
      </c>
      <c r="O112" s="23" t="s">
        <v>215</v>
      </c>
      <c r="P112" s="162">
        <v>16485.75</v>
      </c>
    </row>
    <row r="113" spans="1:20">
      <c r="A113" s="154">
        <v>110</v>
      </c>
      <c r="B113" s="282">
        <v>45681</v>
      </c>
      <c r="C113" s="162" t="s">
        <v>230</v>
      </c>
      <c r="D113" s="162" t="s">
        <v>231</v>
      </c>
      <c r="E113" s="284" t="s">
        <v>232</v>
      </c>
      <c r="F113" s="23">
        <v>200</v>
      </c>
      <c r="G113" s="23">
        <v>90.23</v>
      </c>
      <c r="H113" s="67">
        <f>F113*G113</f>
        <v>18046</v>
      </c>
      <c r="I113" s="23">
        <v>0</v>
      </c>
      <c r="J113" s="23"/>
      <c r="K113" s="67">
        <f>I113*J113</f>
        <v>0</v>
      </c>
      <c r="L113" s="67">
        <f>H113+K113</f>
        <v>18046</v>
      </c>
      <c r="M113" s="23"/>
      <c r="N113" s="210">
        <f t="shared" si="1"/>
        <v>207161.0287</v>
      </c>
      <c r="O113" s="23"/>
      <c r="P113" s="23"/>
    </row>
    <row r="114" spans="1:20">
      <c r="A114" s="154">
        <v>111</v>
      </c>
      <c r="B114" s="282">
        <v>45681</v>
      </c>
      <c r="C114" s="162" t="s">
        <v>250</v>
      </c>
      <c r="D114" s="162" t="s">
        <v>251</v>
      </c>
      <c r="E114" s="284" t="s">
        <v>229</v>
      </c>
      <c r="F114" s="23">
        <v>200</v>
      </c>
      <c r="G114" s="23">
        <v>90.23</v>
      </c>
      <c r="H114" s="67">
        <f>F114*G114</f>
        <v>18046</v>
      </c>
      <c r="I114" s="23">
        <v>15</v>
      </c>
      <c r="J114" s="23">
        <v>104.13</v>
      </c>
      <c r="K114" s="67">
        <f>I114*J114</f>
        <v>1561.9499999999998</v>
      </c>
      <c r="L114" s="67">
        <f>H114+K114</f>
        <v>19607.95</v>
      </c>
      <c r="M114" s="23"/>
      <c r="N114" s="210">
        <f t="shared" si="1"/>
        <v>187553.07869999998</v>
      </c>
      <c r="O114" s="151"/>
      <c r="P114" s="151"/>
    </row>
    <row r="115" spans="1:20">
      <c r="A115" s="154">
        <v>112</v>
      </c>
      <c r="B115" s="361">
        <v>45681</v>
      </c>
      <c r="C115" s="337" t="s">
        <v>237</v>
      </c>
      <c r="D115" s="151" t="s">
        <v>255</v>
      </c>
      <c r="E115" s="363" t="s">
        <v>238</v>
      </c>
      <c r="F115" s="151">
        <v>39.11</v>
      </c>
      <c r="G115" s="151">
        <v>89.49</v>
      </c>
      <c r="H115" s="364">
        <f>F115*G115</f>
        <v>3499.9539</v>
      </c>
      <c r="I115" s="151">
        <v>4.83</v>
      </c>
      <c r="J115" s="151">
        <v>103.44</v>
      </c>
      <c r="K115" s="364">
        <f>I115*J115</f>
        <v>499.61520000000002</v>
      </c>
      <c r="L115" s="364">
        <f>H115+K115</f>
        <v>3999.5691000000002</v>
      </c>
      <c r="M115" s="151"/>
      <c r="N115" s="393">
        <f t="shared" si="1"/>
        <v>183553.50959999999</v>
      </c>
      <c r="O115" s="23"/>
      <c r="P115" s="23"/>
    </row>
    <row r="116" spans="1:20">
      <c r="A116" s="154">
        <v>113</v>
      </c>
      <c r="B116" s="282">
        <v>45681</v>
      </c>
      <c r="C116" s="162" t="s">
        <v>244</v>
      </c>
      <c r="D116" s="23" t="s">
        <v>258</v>
      </c>
      <c r="E116" s="284" t="s">
        <v>246</v>
      </c>
      <c r="F116" s="23">
        <v>150</v>
      </c>
      <c r="G116" s="23">
        <v>90.02</v>
      </c>
      <c r="H116" s="67">
        <f>F116*G116</f>
        <v>13503</v>
      </c>
      <c r="I116" s="23">
        <v>0</v>
      </c>
      <c r="J116" s="23"/>
      <c r="K116" s="67">
        <f>I116*J116</f>
        <v>0</v>
      </c>
      <c r="L116" s="67">
        <f>H116+K116</f>
        <v>13503</v>
      </c>
      <c r="M116" s="23"/>
      <c r="N116" s="394">
        <f t="shared" si="1"/>
        <v>170050.50959999999</v>
      </c>
      <c r="O116" s="23"/>
      <c r="P116" s="23"/>
    </row>
    <row r="117" spans="1:20">
      <c r="A117">
        <v>114</v>
      </c>
      <c r="B117" s="282">
        <v>45682</v>
      </c>
      <c r="C117" s="23"/>
      <c r="D117" s="23"/>
      <c r="E117" s="328"/>
      <c r="F117" s="23"/>
      <c r="G117" s="23"/>
      <c r="H117" s="67">
        <f t="shared" ref="H117:H148" si="2">F117*G117</f>
        <v>0</v>
      </c>
      <c r="I117" s="23">
        <v>0</v>
      </c>
      <c r="J117" s="23"/>
      <c r="K117" s="67">
        <f t="shared" ref="K117:K118" si="3">I117*J117</f>
        <v>0</v>
      </c>
      <c r="L117" s="67">
        <f t="shared" ref="L117:L118" si="4">H117+K117</f>
        <v>0</v>
      </c>
      <c r="M117" s="23">
        <v>150000</v>
      </c>
      <c r="N117" s="394">
        <f t="shared" si="1"/>
        <v>320050.50959999999</v>
      </c>
      <c r="O117" s="23"/>
      <c r="P117" s="23"/>
      <c r="T117" s="395">
        <f>170053.82-169979.11</f>
        <v>74.710000000020955</v>
      </c>
    </row>
    <row r="118" spans="1:20">
      <c r="A118" s="154">
        <v>115</v>
      </c>
      <c r="B118" s="282">
        <v>45682</v>
      </c>
      <c r="C118" s="162" t="s">
        <v>233</v>
      </c>
      <c r="D118" s="162" t="s">
        <v>234</v>
      </c>
      <c r="E118" s="284" t="s">
        <v>235</v>
      </c>
      <c r="F118" s="23">
        <v>80</v>
      </c>
      <c r="G118" s="23">
        <v>89.9</v>
      </c>
      <c r="H118" s="67">
        <f t="shared" si="2"/>
        <v>7192</v>
      </c>
      <c r="I118" s="23">
        <v>0</v>
      </c>
      <c r="J118" s="23"/>
      <c r="K118" s="67">
        <f t="shared" si="3"/>
        <v>0</v>
      </c>
      <c r="L118" s="67">
        <f t="shared" si="4"/>
        <v>7192</v>
      </c>
      <c r="M118" s="23"/>
      <c r="N118" s="394">
        <f t="shared" si="1"/>
        <v>312858.50959999999</v>
      </c>
      <c r="O118" s="23"/>
      <c r="P118" s="151"/>
    </row>
    <row r="119" spans="1:20">
      <c r="A119" s="154">
        <v>116</v>
      </c>
      <c r="B119" s="282">
        <v>45682</v>
      </c>
      <c r="C119" s="162" t="s">
        <v>256</v>
      </c>
      <c r="D119" s="162" t="s">
        <v>33</v>
      </c>
      <c r="E119" s="328" t="s">
        <v>257</v>
      </c>
      <c r="F119" s="23">
        <v>112.4</v>
      </c>
      <c r="G119" s="23">
        <v>88.97</v>
      </c>
      <c r="H119" s="67">
        <f t="shared" si="2"/>
        <v>10000.228000000001</v>
      </c>
      <c r="I119" s="23">
        <v>0</v>
      </c>
      <c r="J119" s="23"/>
      <c r="K119" s="67">
        <f t="shared" ref="K119" si="5">I119*J119</f>
        <v>0</v>
      </c>
      <c r="L119" s="67">
        <f t="shared" ref="L119:L122" si="6">H119+K119</f>
        <v>10000.228000000001</v>
      </c>
      <c r="M119" s="23"/>
      <c r="N119" s="394">
        <f t="shared" si="1"/>
        <v>302858.28159999999</v>
      </c>
      <c r="O119" s="154" t="s">
        <v>215</v>
      </c>
      <c r="P119" s="162">
        <v>4689.4799999999996</v>
      </c>
    </row>
    <row r="120" spans="1:20">
      <c r="A120">
        <v>117</v>
      </c>
      <c r="B120" s="282">
        <v>45682</v>
      </c>
      <c r="C120" s="162" t="s">
        <v>230</v>
      </c>
      <c r="D120" s="162" t="s">
        <v>231</v>
      </c>
      <c r="E120" s="284" t="s">
        <v>232</v>
      </c>
      <c r="F120" s="23">
        <v>221.66</v>
      </c>
      <c r="G120" s="23">
        <v>90.23</v>
      </c>
      <c r="H120" s="67">
        <f t="shared" si="2"/>
        <v>20000.381799999999</v>
      </c>
      <c r="I120" s="23">
        <v>0</v>
      </c>
      <c r="J120" s="23"/>
      <c r="K120" s="67">
        <f t="shared" ref="K120:K148" si="7">I120*J120</f>
        <v>0</v>
      </c>
      <c r="L120" s="67">
        <f t="shared" si="6"/>
        <v>20000.381799999999</v>
      </c>
      <c r="M120" s="23"/>
      <c r="N120" s="394">
        <f t="shared" si="1"/>
        <v>282857.89980000001</v>
      </c>
      <c r="O120" s="23"/>
      <c r="P120" s="213"/>
    </row>
    <row r="121" spans="1:20">
      <c r="A121" s="154">
        <v>118</v>
      </c>
      <c r="B121" s="282">
        <v>45682</v>
      </c>
      <c r="C121" s="162" t="s">
        <v>250</v>
      </c>
      <c r="D121" s="162" t="s">
        <v>251</v>
      </c>
      <c r="E121" s="284" t="s">
        <v>229</v>
      </c>
      <c r="F121" s="23">
        <v>200</v>
      </c>
      <c r="G121" s="23">
        <v>90.23</v>
      </c>
      <c r="H121" s="67">
        <f t="shared" si="2"/>
        <v>18046</v>
      </c>
      <c r="I121" s="23">
        <v>15</v>
      </c>
      <c r="J121" s="23">
        <v>104.13</v>
      </c>
      <c r="K121" s="67">
        <f t="shared" si="7"/>
        <v>1561.9499999999998</v>
      </c>
      <c r="L121" s="67">
        <f t="shared" si="6"/>
        <v>19607.95</v>
      </c>
      <c r="M121" s="23"/>
      <c r="N121" s="394">
        <f t="shared" si="1"/>
        <v>263249.9498</v>
      </c>
      <c r="O121" s="23"/>
      <c r="P121" s="23"/>
    </row>
    <row r="122" spans="1:20">
      <c r="A122" s="154">
        <v>119</v>
      </c>
      <c r="B122" s="282">
        <v>45682</v>
      </c>
      <c r="C122" s="162" t="s">
        <v>252</v>
      </c>
      <c r="D122" s="162" t="s">
        <v>253</v>
      </c>
      <c r="E122" s="284" t="s">
        <v>254</v>
      </c>
      <c r="F122" s="23">
        <v>22.36</v>
      </c>
      <c r="G122" s="23">
        <v>89.44</v>
      </c>
      <c r="H122" s="67">
        <f t="shared" si="2"/>
        <v>1999.8783999999998</v>
      </c>
      <c r="I122" s="23"/>
      <c r="J122" s="23"/>
      <c r="K122" s="67">
        <f t="shared" si="7"/>
        <v>0</v>
      </c>
      <c r="L122" s="67">
        <f t="shared" si="6"/>
        <v>1999.8783999999998</v>
      </c>
      <c r="M122" s="23"/>
      <c r="N122" s="394">
        <f t="shared" si="1"/>
        <v>261250.07140000002</v>
      </c>
      <c r="O122" s="23"/>
      <c r="P122" s="23"/>
    </row>
    <row r="123" spans="1:20">
      <c r="A123">
        <v>120</v>
      </c>
      <c r="B123" s="282">
        <v>45682</v>
      </c>
      <c r="C123" s="162" t="s">
        <v>244</v>
      </c>
      <c r="D123" s="162" t="s">
        <v>245</v>
      </c>
      <c r="E123" s="284" t="s">
        <v>246</v>
      </c>
      <c r="F123" s="23">
        <v>46.72</v>
      </c>
      <c r="G123" s="23">
        <v>90.02</v>
      </c>
      <c r="H123" s="67">
        <f t="shared" si="2"/>
        <v>4205.7343999999994</v>
      </c>
      <c r="I123" s="23"/>
      <c r="J123" s="23"/>
      <c r="K123" s="67">
        <f t="shared" si="7"/>
        <v>0</v>
      </c>
      <c r="L123" s="67">
        <f t="shared" ref="L123" si="8">H123+K123</f>
        <v>4205.7343999999994</v>
      </c>
      <c r="M123" s="23"/>
      <c r="N123" s="394">
        <f t="shared" si="1"/>
        <v>257044.33700000003</v>
      </c>
      <c r="O123" s="23"/>
      <c r="P123" s="23"/>
    </row>
    <row r="124" spans="1:20">
      <c r="A124" s="379">
        <v>121</v>
      </c>
      <c r="B124" s="361">
        <v>45683</v>
      </c>
      <c r="C124" s="337" t="s">
        <v>256</v>
      </c>
      <c r="D124" s="337" t="s">
        <v>33</v>
      </c>
      <c r="E124" s="363" t="s">
        <v>257</v>
      </c>
      <c r="F124" s="151">
        <v>101.16</v>
      </c>
      <c r="G124" s="151">
        <v>88.97</v>
      </c>
      <c r="H124" s="364">
        <f t="shared" si="2"/>
        <v>9000.2052000000003</v>
      </c>
      <c r="I124" s="151"/>
      <c r="J124" s="151"/>
      <c r="K124" s="67">
        <f t="shared" si="7"/>
        <v>0</v>
      </c>
      <c r="L124" s="364">
        <f t="shared" ref="L124:L148" si="9">H124+K124</f>
        <v>9000.2052000000003</v>
      </c>
      <c r="M124" s="151"/>
      <c r="N124" s="393">
        <f t="shared" si="1"/>
        <v>248044.13180000003</v>
      </c>
      <c r="O124" s="151" t="s">
        <v>215</v>
      </c>
      <c r="P124" s="151">
        <v>5040.4799999999996</v>
      </c>
    </row>
    <row r="125" spans="1:20">
      <c r="A125" s="23">
        <v>122</v>
      </c>
      <c r="B125" s="282">
        <v>45683</v>
      </c>
      <c r="C125" s="162" t="s">
        <v>244</v>
      </c>
      <c r="D125" s="162" t="s">
        <v>245</v>
      </c>
      <c r="E125" s="380" t="s">
        <v>246</v>
      </c>
      <c r="F125" s="151">
        <v>283.37</v>
      </c>
      <c r="G125" s="151">
        <v>90.02</v>
      </c>
      <c r="H125" s="364">
        <f t="shared" si="2"/>
        <v>25508.967399999998</v>
      </c>
      <c r="I125" s="151"/>
      <c r="J125" s="151"/>
      <c r="K125" s="364">
        <f t="shared" si="7"/>
        <v>0</v>
      </c>
      <c r="L125" s="364">
        <f t="shared" si="9"/>
        <v>25508.967399999998</v>
      </c>
      <c r="M125" s="151"/>
      <c r="N125" s="371">
        <f t="shared" si="1"/>
        <v>222535.16440000004</v>
      </c>
      <c r="O125" s="151"/>
      <c r="P125" s="151"/>
    </row>
    <row r="126" spans="1:20">
      <c r="A126" s="23">
        <v>123</v>
      </c>
      <c r="B126" s="282">
        <v>45684</v>
      </c>
      <c r="C126" s="162" t="s">
        <v>256</v>
      </c>
      <c r="D126" s="400" t="s">
        <v>33</v>
      </c>
      <c r="E126" s="328" t="s">
        <v>257</v>
      </c>
      <c r="F126" s="23">
        <v>56.2</v>
      </c>
      <c r="G126" s="23">
        <v>88.97</v>
      </c>
      <c r="H126" s="67">
        <f t="shared" si="2"/>
        <v>5000.1140000000005</v>
      </c>
      <c r="I126" s="23"/>
      <c r="J126" s="23"/>
      <c r="K126" s="67">
        <f t="shared" si="7"/>
        <v>0</v>
      </c>
      <c r="L126" s="67">
        <f t="shared" si="9"/>
        <v>5000.1140000000005</v>
      </c>
      <c r="M126" s="23"/>
      <c r="N126" s="210">
        <f t="shared" si="1"/>
        <v>217535.05040000004</v>
      </c>
      <c r="O126" s="23"/>
      <c r="P126" s="329"/>
    </row>
    <row r="127" spans="1:20">
      <c r="A127" s="379">
        <v>124</v>
      </c>
      <c r="B127" s="282">
        <v>45684</v>
      </c>
      <c r="C127" s="327" t="s">
        <v>247</v>
      </c>
      <c r="D127" s="327" t="s">
        <v>248</v>
      </c>
      <c r="E127" s="284" t="s">
        <v>249</v>
      </c>
      <c r="F127" s="23">
        <v>15.96</v>
      </c>
      <c r="G127" s="23">
        <v>91.47</v>
      </c>
      <c r="H127" s="67">
        <f t="shared" si="2"/>
        <v>1459.8612000000001</v>
      </c>
      <c r="I127" s="23"/>
      <c r="J127" s="23"/>
      <c r="K127" s="67">
        <f t="shared" si="7"/>
        <v>0</v>
      </c>
      <c r="L127" s="67">
        <f t="shared" si="9"/>
        <v>1459.8612000000001</v>
      </c>
      <c r="M127" s="23"/>
      <c r="N127" s="210">
        <f t="shared" si="1"/>
        <v>216075.18920000002</v>
      </c>
      <c r="O127" s="23"/>
      <c r="P127" s="329"/>
    </row>
    <row r="128" spans="1:20">
      <c r="A128" s="23">
        <v>125</v>
      </c>
      <c r="B128" s="361">
        <v>45684</v>
      </c>
      <c r="C128" s="337" t="s">
        <v>216</v>
      </c>
      <c r="D128" s="379" t="s">
        <v>217</v>
      </c>
      <c r="E128" s="328" t="s">
        <v>218</v>
      </c>
      <c r="F128" s="23">
        <v>162.54</v>
      </c>
      <c r="G128" s="162">
        <v>89.47</v>
      </c>
      <c r="H128" s="67">
        <f t="shared" si="2"/>
        <v>14542.453799999999</v>
      </c>
      <c r="I128" s="23"/>
      <c r="J128" s="23"/>
      <c r="K128" s="67">
        <f t="shared" si="7"/>
        <v>0</v>
      </c>
      <c r="L128" s="67">
        <f t="shared" si="9"/>
        <v>14542.453799999999</v>
      </c>
      <c r="M128" s="23"/>
      <c r="N128" s="210">
        <f t="shared" si="1"/>
        <v>201532.73540000003</v>
      </c>
      <c r="O128" s="23"/>
      <c r="P128" s="329"/>
    </row>
    <row r="129" spans="1:16">
      <c r="A129" s="154">
        <v>126</v>
      </c>
      <c r="B129" s="282">
        <v>45684</v>
      </c>
      <c r="C129" s="162" t="s">
        <v>224</v>
      </c>
      <c r="D129" s="400" t="s">
        <v>225</v>
      </c>
      <c r="E129" s="284" t="s">
        <v>226</v>
      </c>
      <c r="F129" s="23">
        <v>944.53</v>
      </c>
      <c r="G129" s="23">
        <v>89.78</v>
      </c>
      <c r="H129" s="67">
        <f t="shared" si="2"/>
        <v>84799.903399999996</v>
      </c>
      <c r="I129" s="23">
        <v>50</v>
      </c>
      <c r="J129" s="23">
        <v>104</v>
      </c>
      <c r="K129" s="67">
        <f t="shared" si="7"/>
        <v>5200</v>
      </c>
      <c r="L129" s="67">
        <f t="shared" si="9"/>
        <v>89999.903399999996</v>
      </c>
      <c r="M129" s="23"/>
      <c r="N129" s="210">
        <f t="shared" si="1"/>
        <v>111532.83200000004</v>
      </c>
      <c r="O129" s="23"/>
      <c r="P129" s="329"/>
    </row>
    <row r="130" spans="1:16">
      <c r="A130" s="379">
        <v>127</v>
      </c>
      <c r="B130" s="282">
        <v>45684</v>
      </c>
      <c r="C130" s="162" t="s">
        <v>252</v>
      </c>
      <c r="D130" s="400" t="s">
        <v>253</v>
      </c>
      <c r="E130" s="284" t="s">
        <v>254</v>
      </c>
      <c r="F130" s="23">
        <v>0</v>
      </c>
      <c r="G130" s="23">
        <v>89.78</v>
      </c>
      <c r="H130" s="67">
        <f t="shared" si="2"/>
        <v>0</v>
      </c>
      <c r="I130" s="23">
        <v>9.68</v>
      </c>
      <c r="J130" s="23">
        <v>103.39</v>
      </c>
      <c r="K130" s="67">
        <f t="shared" si="7"/>
        <v>1000.8152</v>
      </c>
      <c r="L130" s="67">
        <f t="shared" si="9"/>
        <v>1000.8152</v>
      </c>
      <c r="M130" s="23"/>
      <c r="N130" s="210">
        <f t="shared" si="1"/>
        <v>110532.01680000004</v>
      </c>
      <c r="O130" s="23"/>
      <c r="P130" s="401"/>
    </row>
    <row r="131" spans="1:16">
      <c r="A131" s="379">
        <v>128</v>
      </c>
      <c r="B131" s="361">
        <v>45684</v>
      </c>
      <c r="C131" s="337" t="s">
        <v>244</v>
      </c>
      <c r="D131" s="423" t="s">
        <v>245</v>
      </c>
      <c r="E131" s="380" t="s">
        <v>246</v>
      </c>
      <c r="F131" s="151">
        <v>0</v>
      </c>
      <c r="G131" s="151">
        <v>89.78</v>
      </c>
      <c r="H131" s="364">
        <f t="shared" si="2"/>
        <v>0</v>
      </c>
      <c r="I131" s="151">
        <v>6</v>
      </c>
      <c r="J131" s="151">
        <v>104.02</v>
      </c>
      <c r="K131" s="364">
        <f t="shared" si="7"/>
        <v>624.12</v>
      </c>
      <c r="L131" s="364">
        <f t="shared" si="9"/>
        <v>624.12</v>
      </c>
      <c r="M131" s="151"/>
      <c r="N131" s="371">
        <f t="shared" si="1"/>
        <v>109907.89680000005</v>
      </c>
      <c r="O131" s="151"/>
      <c r="P131" s="362"/>
    </row>
    <row r="132" spans="1:16">
      <c r="A132" s="23">
        <v>129</v>
      </c>
      <c r="B132" s="282">
        <v>45685</v>
      </c>
      <c r="C132" s="162" t="s">
        <v>233</v>
      </c>
      <c r="D132" s="162" t="s">
        <v>234</v>
      </c>
      <c r="E132" s="284" t="s">
        <v>235</v>
      </c>
      <c r="F132" s="23">
        <v>0</v>
      </c>
      <c r="G132" s="23"/>
      <c r="H132" s="67">
        <f t="shared" si="2"/>
        <v>0</v>
      </c>
      <c r="I132" s="23">
        <v>8.2799999999999994</v>
      </c>
      <c r="J132" s="23">
        <v>103.96</v>
      </c>
      <c r="K132" s="67">
        <f t="shared" si="7"/>
        <v>860.78879999999992</v>
      </c>
      <c r="L132" s="67">
        <f t="shared" si="9"/>
        <v>860.78879999999992</v>
      </c>
      <c r="M132" s="23"/>
      <c r="N132" s="210">
        <f t="shared" si="1"/>
        <v>109047.10800000005</v>
      </c>
      <c r="O132" s="23" t="s">
        <v>215</v>
      </c>
      <c r="P132" s="162">
        <v>9010.11</v>
      </c>
    </row>
    <row r="133" spans="1:16">
      <c r="A133" s="23">
        <v>130</v>
      </c>
      <c r="B133" s="282">
        <v>45685</v>
      </c>
      <c r="C133" s="162" t="s">
        <v>256</v>
      </c>
      <c r="D133" s="162" t="s">
        <v>33</v>
      </c>
      <c r="E133" s="328" t="s">
        <v>257</v>
      </c>
      <c r="F133" s="23">
        <v>112.4</v>
      </c>
      <c r="G133" s="23">
        <v>88.97</v>
      </c>
      <c r="H133" s="67">
        <f t="shared" si="2"/>
        <v>10000.228000000001</v>
      </c>
      <c r="I133" s="23">
        <v>0</v>
      </c>
      <c r="J133" s="23">
        <v>103.96</v>
      </c>
      <c r="K133" s="67">
        <f t="shared" si="7"/>
        <v>0</v>
      </c>
      <c r="L133" s="67">
        <f t="shared" si="9"/>
        <v>10000.228000000001</v>
      </c>
      <c r="M133" s="23"/>
      <c r="N133" s="210">
        <f t="shared" si="1"/>
        <v>99046.880000000048</v>
      </c>
      <c r="O133" s="23"/>
      <c r="P133" s="23"/>
    </row>
    <row r="134" spans="1:16">
      <c r="A134" s="23">
        <v>131</v>
      </c>
      <c r="B134" s="282">
        <v>45685</v>
      </c>
      <c r="C134" s="162" t="s">
        <v>230</v>
      </c>
      <c r="D134" s="162" t="s">
        <v>231</v>
      </c>
      <c r="E134" s="284" t="s">
        <v>232</v>
      </c>
      <c r="F134" s="23">
        <v>421.15</v>
      </c>
      <c r="G134" s="23">
        <v>90.23</v>
      </c>
      <c r="H134" s="67">
        <f t="shared" si="2"/>
        <v>38000.364499999996</v>
      </c>
      <c r="I134" s="23">
        <v>19.21</v>
      </c>
      <c r="J134" s="23">
        <v>104.14</v>
      </c>
      <c r="K134" s="67">
        <f t="shared" si="7"/>
        <v>2000.5294000000001</v>
      </c>
      <c r="L134" s="67">
        <f t="shared" si="9"/>
        <v>40000.893899999995</v>
      </c>
      <c r="M134" s="23"/>
      <c r="N134" s="210">
        <f t="shared" si="1"/>
        <v>59045.986100000053</v>
      </c>
      <c r="O134" s="23"/>
      <c r="P134" s="23"/>
    </row>
    <row r="135" spans="1:16">
      <c r="A135" s="151">
        <v>132</v>
      </c>
      <c r="B135" s="361">
        <v>45685</v>
      </c>
      <c r="C135" s="337" t="s">
        <v>237</v>
      </c>
      <c r="D135" s="151" t="s">
        <v>255</v>
      </c>
      <c r="E135" s="363" t="s">
        <v>238</v>
      </c>
      <c r="F135" s="151">
        <v>92.35</v>
      </c>
      <c r="G135" s="151">
        <v>89.49</v>
      </c>
      <c r="H135" s="364">
        <f t="shared" si="2"/>
        <v>8264.4014999999981</v>
      </c>
      <c r="I135" s="151"/>
      <c r="J135" s="151"/>
      <c r="K135" s="364">
        <f t="shared" si="7"/>
        <v>0</v>
      </c>
      <c r="L135" s="364">
        <f t="shared" si="9"/>
        <v>8264.4014999999981</v>
      </c>
      <c r="M135" s="151"/>
      <c r="N135" s="371">
        <f t="shared" si="1"/>
        <v>50781.584600000053</v>
      </c>
      <c r="O135" s="151"/>
      <c r="P135" s="151"/>
    </row>
    <row r="136" spans="1:16">
      <c r="A136" s="23">
        <v>133</v>
      </c>
      <c r="B136" s="282">
        <v>45686</v>
      </c>
      <c r="C136" s="162" t="s">
        <v>233</v>
      </c>
      <c r="D136" s="162" t="s">
        <v>234</v>
      </c>
      <c r="E136" s="284" t="s">
        <v>235</v>
      </c>
      <c r="F136" s="23">
        <v>60</v>
      </c>
      <c r="G136" s="23">
        <v>89.9</v>
      </c>
      <c r="H136" s="67">
        <f t="shared" si="2"/>
        <v>5394</v>
      </c>
      <c r="I136" s="23"/>
      <c r="J136" s="23"/>
      <c r="K136" s="67">
        <f t="shared" si="7"/>
        <v>0</v>
      </c>
      <c r="L136" s="67">
        <f t="shared" si="9"/>
        <v>5394</v>
      </c>
      <c r="M136" s="23"/>
      <c r="N136" s="210">
        <f t="shared" si="1"/>
        <v>45387.584600000053</v>
      </c>
      <c r="O136" s="23"/>
      <c r="P136" s="23"/>
    </row>
    <row r="137" spans="1:16">
      <c r="A137" s="23">
        <v>134</v>
      </c>
      <c r="B137" s="282">
        <v>45686</v>
      </c>
      <c r="C137" s="162" t="s">
        <v>219</v>
      </c>
      <c r="D137" s="162" t="s">
        <v>55</v>
      </c>
      <c r="E137" s="284" t="s">
        <v>220</v>
      </c>
      <c r="F137" s="23">
        <v>56.45</v>
      </c>
      <c r="G137" s="23">
        <v>88.58</v>
      </c>
      <c r="H137" s="67">
        <f t="shared" si="2"/>
        <v>5000.3410000000003</v>
      </c>
      <c r="I137" s="23"/>
      <c r="J137" s="23"/>
      <c r="K137" s="67">
        <f t="shared" si="7"/>
        <v>0</v>
      </c>
      <c r="L137" s="67">
        <f t="shared" si="9"/>
        <v>5000.3410000000003</v>
      </c>
      <c r="M137" s="162">
        <v>505000</v>
      </c>
      <c r="N137" s="210">
        <f t="shared" si="1"/>
        <v>545387.24360000005</v>
      </c>
      <c r="O137" s="23"/>
      <c r="P137" s="23"/>
    </row>
    <row r="138" spans="1:16">
      <c r="A138" s="23">
        <v>135</v>
      </c>
      <c r="B138" s="282">
        <v>45686</v>
      </c>
      <c r="C138" s="23" t="s">
        <v>221</v>
      </c>
      <c r="D138" s="23" t="s">
        <v>19</v>
      </c>
      <c r="E138" s="328" t="s">
        <v>223</v>
      </c>
      <c r="F138" s="23">
        <v>2600</v>
      </c>
      <c r="G138" s="23">
        <v>89.29</v>
      </c>
      <c r="H138" s="67">
        <f t="shared" si="2"/>
        <v>232154.00000000003</v>
      </c>
      <c r="I138" s="23">
        <v>175</v>
      </c>
      <c r="J138" s="23">
        <v>103.24</v>
      </c>
      <c r="K138" s="67">
        <f t="shared" si="7"/>
        <v>18067</v>
      </c>
      <c r="L138" s="67">
        <f t="shared" si="9"/>
        <v>250221.00000000003</v>
      </c>
      <c r="M138" s="23"/>
      <c r="N138" s="210">
        <f t="shared" si="1"/>
        <v>295166.24360000005</v>
      </c>
      <c r="O138" s="23" t="s">
        <v>215</v>
      </c>
      <c r="P138" s="162">
        <v>4730.01</v>
      </c>
    </row>
    <row r="139" spans="1:16">
      <c r="A139" s="23">
        <v>136</v>
      </c>
      <c r="B139" s="361">
        <v>45686</v>
      </c>
      <c r="C139" s="337" t="s">
        <v>237</v>
      </c>
      <c r="D139" s="151" t="s">
        <v>255</v>
      </c>
      <c r="E139" s="363" t="s">
        <v>238</v>
      </c>
      <c r="F139" s="151">
        <v>30</v>
      </c>
      <c r="G139" s="151">
        <v>89.49</v>
      </c>
      <c r="H139" s="364">
        <f t="shared" si="2"/>
        <v>2684.7</v>
      </c>
      <c r="I139" s="151"/>
      <c r="J139" s="151"/>
      <c r="K139" s="364">
        <f t="shared" si="7"/>
        <v>0</v>
      </c>
      <c r="L139" s="364">
        <f t="shared" si="9"/>
        <v>2684.7</v>
      </c>
      <c r="M139" s="151"/>
      <c r="N139" s="371">
        <f t="shared" si="1"/>
        <v>292481.54360000003</v>
      </c>
      <c r="O139" s="151"/>
      <c r="P139" s="151"/>
    </row>
    <row r="140" spans="1:16">
      <c r="A140" s="154">
        <v>137</v>
      </c>
      <c r="B140" s="282">
        <v>45687</v>
      </c>
      <c r="C140" s="162" t="s">
        <v>233</v>
      </c>
      <c r="D140" s="162" t="s">
        <v>234</v>
      </c>
      <c r="E140" s="284" t="s">
        <v>235</v>
      </c>
      <c r="F140" s="23">
        <v>60</v>
      </c>
      <c r="G140" s="23">
        <v>89.9</v>
      </c>
      <c r="H140" s="67">
        <f t="shared" si="2"/>
        <v>5394</v>
      </c>
      <c r="I140" s="23"/>
      <c r="J140" s="23"/>
      <c r="K140" s="67">
        <f t="shared" si="7"/>
        <v>0</v>
      </c>
      <c r="L140" s="67">
        <f t="shared" si="9"/>
        <v>5394</v>
      </c>
      <c r="M140" s="23"/>
      <c r="N140" s="210">
        <f t="shared" si="1"/>
        <v>287087.54360000003</v>
      </c>
      <c r="O140" s="23"/>
      <c r="P140" s="23"/>
    </row>
    <row r="141" spans="1:16">
      <c r="A141" s="154">
        <v>138</v>
      </c>
      <c r="B141" s="282">
        <v>45687</v>
      </c>
      <c r="C141" s="162" t="s">
        <v>216</v>
      </c>
      <c r="D141" s="23" t="s">
        <v>217</v>
      </c>
      <c r="E141" s="328" t="s">
        <v>218</v>
      </c>
      <c r="F141" s="23">
        <v>296.79000000000002</v>
      </c>
      <c r="G141" s="23">
        <v>89.47</v>
      </c>
      <c r="H141" s="67">
        <f t="shared" si="2"/>
        <v>26553.801300000003</v>
      </c>
      <c r="I141" s="23">
        <v>6</v>
      </c>
      <c r="J141" s="23">
        <v>103.4</v>
      </c>
      <c r="K141" s="67">
        <f t="shared" si="7"/>
        <v>620.40000000000009</v>
      </c>
      <c r="L141" s="67">
        <f t="shared" si="9"/>
        <v>27174.201300000004</v>
      </c>
      <c r="M141" s="23"/>
      <c r="N141" s="210">
        <f t="shared" si="1"/>
        <v>259913.34230000002</v>
      </c>
      <c r="O141" s="23"/>
      <c r="P141" s="23"/>
    </row>
    <row r="142" spans="1:16">
      <c r="A142" s="154">
        <v>139</v>
      </c>
      <c r="B142" s="282">
        <v>45687</v>
      </c>
      <c r="C142" s="162" t="s">
        <v>219</v>
      </c>
      <c r="D142" s="162" t="s">
        <v>55</v>
      </c>
      <c r="E142" s="284" t="s">
        <v>220</v>
      </c>
      <c r="F142" s="23">
        <v>0</v>
      </c>
      <c r="G142" s="23"/>
      <c r="H142" s="67">
        <f t="shared" si="2"/>
        <v>0</v>
      </c>
      <c r="I142" s="23">
        <v>9.27</v>
      </c>
      <c r="J142" s="23">
        <v>102.46</v>
      </c>
      <c r="K142" s="67">
        <f t="shared" si="7"/>
        <v>949.80419999999992</v>
      </c>
      <c r="L142" s="67">
        <f t="shared" si="9"/>
        <v>949.80419999999992</v>
      </c>
      <c r="M142" s="23"/>
      <c r="N142" s="210">
        <f t="shared" si="1"/>
        <v>258963.53810000001</v>
      </c>
      <c r="O142" s="23"/>
      <c r="P142" s="23"/>
    </row>
    <row r="143" spans="1:16">
      <c r="A143" s="154">
        <v>140</v>
      </c>
      <c r="B143" s="282">
        <v>45687</v>
      </c>
      <c r="C143" s="162" t="s">
        <v>230</v>
      </c>
      <c r="D143" s="162" t="s">
        <v>231</v>
      </c>
      <c r="E143" s="284" t="s">
        <v>232</v>
      </c>
      <c r="F143" s="23">
        <v>400</v>
      </c>
      <c r="G143" s="23">
        <v>90.23</v>
      </c>
      <c r="H143" s="67">
        <f t="shared" si="2"/>
        <v>36092</v>
      </c>
      <c r="I143" s="23">
        <v>35</v>
      </c>
      <c r="J143" s="23">
        <v>104.14</v>
      </c>
      <c r="K143" s="67">
        <f t="shared" si="7"/>
        <v>3644.9</v>
      </c>
      <c r="L143" s="67">
        <f t="shared" si="9"/>
        <v>39736.9</v>
      </c>
      <c r="M143" s="23"/>
      <c r="N143" s="210">
        <f t="shared" si="1"/>
        <v>219226.63810000001</v>
      </c>
      <c r="O143" s="23" t="s">
        <v>215</v>
      </c>
      <c r="P143" s="23">
        <v>21063.98</v>
      </c>
    </row>
    <row r="144" spans="1:16">
      <c r="A144" s="154">
        <v>141</v>
      </c>
      <c r="B144" s="282">
        <v>45687</v>
      </c>
      <c r="C144" s="162" t="s">
        <v>28</v>
      </c>
      <c r="D144" s="162" t="s">
        <v>242</v>
      </c>
      <c r="E144" s="284" t="s">
        <v>243</v>
      </c>
      <c r="F144" s="23">
        <v>302.41000000000003</v>
      </c>
      <c r="G144" s="23">
        <v>90.24</v>
      </c>
      <c r="H144" s="67">
        <f t="shared" si="2"/>
        <v>27289.4784</v>
      </c>
      <c r="I144" s="23"/>
      <c r="J144" s="23"/>
      <c r="K144" s="67">
        <f t="shared" si="7"/>
        <v>0</v>
      </c>
      <c r="L144" s="67">
        <f t="shared" si="9"/>
        <v>27289.4784</v>
      </c>
      <c r="M144" s="23"/>
      <c r="N144" s="210">
        <f t="shared" si="1"/>
        <v>191937.15970000002</v>
      </c>
      <c r="O144" s="23"/>
      <c r="P144" s="23"/>
    </row>
    <row r="145" spans="1:16">
      <c r="A145" s="154">
        <v>142</v>
      </c>
      <c r="B145" s="282">
        <v>45687</v>
      </c>
      <c r="C145" s="162" t="s">
        <v>224</v>
      </c>
      <c r="D145" s="162" t="s">
        <v>225</v>
      </c>
      <c r="E145" s="284" t="s">
        <v>226</v>
      </c>
      <c r="F145" s="23">
        <v>1113.8399999999999</v>
      </c>
      <c r="G145" s="23">
        <v>89.78</v>
      </c>
      <c r="H145" s="67">
        <f t="shared" si="2"/>
        <v>100000.55519999999</v>
      </c>
      <c r="I145" s="23"/>
      <c r="J145" s="23"/>
      <c r="K145" s="67">
        <f t="shared" si="7"/>
        <v>0</v>
      </c>
      <c r="L145" s="67">
        <f t="shared" si="9"/>
        <v>100000.55519999999</v>
      </c>
      <c r="M145" s="23"/>
      <c r="N145" s="210">
        <f t="shared" si="1"/>
        <v>91936.60450000003</v>
      </c>
      <c r="O145" s="23"/>
      <c r="P145" s="23"/>
    </row>
    <row r="146" spans="1:16">
      <c r="A146" s="154">
        <v>143</v>
      </c>
      <c r="B146" s="282">
        <v>45687</v>
      </c>
      <c r="C146" s="162" t="s">
        <v>244</v>
      </c>
      <c r="D146" s="162" t="s">
        <v>245</v>
      </c>
      <c r="E146" s="284" t="s">
        <v>246</v>
      </c>
      <c r="F146" s="23">
        <v>35</v>
      </c>
      <c r="G146" s="23">
        <v>90.02</v>
      </c>
      <c r="H146" s="67">
        <f t="shared" si="2"/>
        <v>3150.7</v>
      </c>
      <c r="I146" s="23">
        <v>6</v>
      </c>
      <c r="J146" s="23">
        <v>104.02</v>
      </c>
      <c r="K146" s="67">
        <f t="shared" si="7"/>
        <v>624.12</v>
      </c>
      <c r="L146" s="67">
        <f t="shared" si="9"/>
        <v>3774.8199999999997</v>
      </c>
      <c r="M146" s="23"/>
      <c r="N146" s="210">
        <f t="shared" si="1"/>
        <v>88161.784500000038</v>
      </c>
      <c r="O146" s="23"/>
      <c r="P146" s="23"/>
    </row>
    <row r="147" spans="1:16">
      <c r="A147" s="154">
        <v>144</v>
      </c>
      <c r="B147" s="282">
        <v>45688</v>
      </c>
      <c r="C147" s="162" t="s">
        <v>233</v>
      </c>
      <c r="D147" s="162" t="s">
        <v>234</v>
      </c>
      <c r="E147" s="284" t="s">
        <v>235</v>
      </c>
      <c r="F147" s="23">
        <v>100</v>
      </c>
      <c r="G147" s="23">
        <v>89.9</v>
      </c>
      <c r="H147" s="67">
        <f t="shared" si="2"/>
        <v>8990</v>
      </c>
      <c r="I147" s="23"/>
      <c r="J147" s="23"/>
      <c r="K147" s="67">
        <f t="shared" si="7"/>
        <v>0</v>
      </c>
      <c r="L147" s="67">
        <f t="shared" si="9"/>
        <v>8990</v>
      </c>
      <c r="M147" s="23"/>
      <c r="N147" s="210">
        <f t="shared" si="1"/>
        <v>79171.784500000038</v>
      </c>
      <c r="O147" s="23"/>
      <c r="P147" s="23"/>
    </row>
    <row r="148" spans="1:16">
      <c r="A148" s="154">
        <v>145</v>
      </c>
      <c r="B148" s="282">
        <v>45688</v>
      </c>
      <c r="C148" s="162" t="s">
        <v>237</v>
      </c>
      <c r="D148" s="23" t="s">
        <v>255</v>
      </c>
      <c r="E148" s="328" t="s">
        <v>238</v>
      </c>
      <c r="F148" s="23">
        <v>16.79</v>
      </c>
      <c r="G148" s="23">
        <v>89.49</v>
      </c>
      <c r="H148" s="67">
        <f t="shared" si="2"/>
        <v>1502.5370999999998</v>
      </c>
      <c r="I148" s="23">
        <v>9.66</v>
      </c>
      <c r="J148" s="23">
        <v>103.44</v>
      </c>
      <c r="K148" s="67">
        <f t="shared" si="7"/>
        <v>999.23040000000003</v>
      </c>
      <c r="L148" s="67">
        <f t="shared" si="9"/>
        <v>2501.7674999999999</v>
      </c>
      <c r="M148" s="23"/>
      <c r="N148" s="210">
        <f t="shared" si="1"/>
        <v>76670.017000000036</v>
      </c>
      <c r="O148" s="23"/>
      <c r="P148" s="23"/>
    </row>
    <row r="149" spans="1:16">
      <c r="C149" s="327"/>
      <c r="D149" s="327"/>
      <c r="E149" s="330"/>
      <c r="H149" s="28"/>
      <c r="K149" s="28"/>
      <c r="L149" s="28"/>
      <c r="N149" s="296"/>
    </row>
    <row r="150" spans="1:16">
      <c r="C150" s="327"/>
      <c r="D150" s="327"/>
      <c r="E150" s="330"/>
      <c r="H150" s="28"/>
      <c r="K150" s="28"/>
      <c r="L150" s="28"/>
      <c r="N150" s="296"/>
    </row>
    <row r="151" spans="1:16">
      <c r="C151" s="327"/>
      <c r="D151" s="327"/>
      <c r="E151" s="330"/>
      <c r="H151" s="28"/>
      <c r="K151" s="28"/>
      <c r="L151" s="28"/>
      <c r="N151" s="296"/>
    </row>
    <row r="152" spans="1:16">
      <c r="C152" s="327"/>
      <c r="D152" s="327"/>
      <c r="E152" s="330"/>
      <c r="H152" s="28"/>
      <c r="K152" s="28"/>
      <c r="L152" s="28"/>
      <c r="N152" s="296"/>
    </row>
    <row r="153" spans="1:16">
      <c r="C153" s="327"/>
      <c r="D153" s="327"/>
      <c r="E153" s="330"/>
      <c r="H153" s="28"/>
      <c r="K153" s="28"/>
      <c r="L153" s="28"/>
      <c r="N153" s="296"/>
    </row>
    <row r="154" spans="1:16">
      <c r="F154" s="28">
        <f>SUM(F4:F141)</f>
        <v>32678.76999999999</v>
      </c>
      <c r="H154" s="28">
        <f>SUM(H4:H141)</f>
        <v>2930965.4573000008</v>
      </c>
      <c r="I154" s="28">
        <f>SUM(I4:I141)</f>
        <v>1433.0000000000002</v>
      </c>
      <c r="J154" s="28"/>
      <c r="K154" s="28">
        <f>SUM(K4:K141)</f>
        <v>148364.96039999995</v>
      </c>
      <c r="L154" s="28">
        <f>SUM(L4:L141)</f>
        <v>3079330.4177000001</v>
      </c>
      <c r="M154" s="28">
        <f>SUM(M4:M141)</f>
        <v>3023000</v>
      </c>
    </row>
    <row r="156" spans="1:16">
      <c r="N156" s="296"/>
      <c r="O156" s="296"/>
    </row>
    <row r="157" spans="1:16">
      <c r="N157" s="296"/>
    </row>
  </sheetData>
  <mergeCells count="2">
    <mergeCell ref="A3:K3"/>
    <mergeCell ref="A1:P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775-471E-4146-8F7D-1D2F90FA3D32}">
  <sheetPr>
    <tabColor theme="7" tint="0.79998168889431442"/>
  </sheetPr>
  <dimension ref="A1:Q55"/>
  <sheetViews>
    <sheetView workbookViewId="0">
      <selection activeCell="C37" sqref="C37"/>
    </sheetView>
  </sheetViews>
  <sheetFormatPr defaultRowHeight="15"/>
  <cols>
    <col min="1" max="1" width="5.140625" bestFit="1" customWidth="1"/>
    <col min="2" max="2" width="9.5703125" bestFit="1" customWidth="1"/>
    <col min="3" max="3" width="38.85546875" bestFit="1" customWidth="1"/>
    <col min="4" max="4" width="14.28515625" bestFit="1" customWidth="1"/>
    <col min="5" max="5" width="10.7109375" bestFit="1" customWidth="1"/>
    <col min="6" max="6" width="7.28515625" customWidth="1"/>
    <col min="7" max="7" width="11.42578125" style="28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7" bestFit="1" customWidth="1"/>
    <col min="13" max="13" width="11.5703125" bestFit="1" customWidth="1"/>
    <col min="14" max="14" width="8.7109375" bestFit="1" customWidth="1"/>
    <col min="15" max="15" width="8.28515625" bestFit="1" customWidth="1"/>
  </cols>
  <sheetData>
    <row r="1" spans="1:17" ht="15.75">
      <c r="A1" s="475" t="s">
        <v>259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</row>
    <row r="2" spans="1:17">
      <c r="A2" s="110" t="s">
        <v>58</v>
      </c>
      <c r="B2" s="136" t="s">
        <v>59</v>
      </c>
      <c r="C2" s="136" t="s">
        <v>210</v>
      </c>
      <c r="D2" s="136" t="s">
        <v>212</v>
      </c>
      <c r="E2" s="136" t="s">
        <v>62</v>
      </c>
      <c r="F2" s="136" t="s">
        <v>63</v>
      </c>
      <c r="G2" s="145" t="s">
        <v>64</v>
      </c>
      <c r="H2" s="136" t="s">
        <v>65</v>
      </c>
      <c r="I2" s="136" t="s">
        <v>63</v>
      </c>
      <c r="J2" s="145" t="s">
        <v>64</v>
      </c>
      <c r="K2" s="110" t="s">
        <v>66</v>
      </c>
      <c r="L2" s="146" t="s">
        <v>213</v>
      </c>
      <c r="M2" s="138" t="s">
        <v>68</v>
      </c>
      <c r="N2" s="136" t="s">
        <v>69</v>
      </c>
      <c r="O2" s="136" t="s">
        <v>214</v>
      </c>
    </row>
    <row r="3" spans="1:17">
      <c r="A3" s="511" t="s">
        <v>70</v>
      </c>
      <c r="B3" s="511"/>
      <c r="C3" s="511"/>
      <c r="D3" s="511"/>
      <c r="E3" s="481"/>
      <c r="F3" s="481"/>
      <c r="G3" s="481"/>
      <c r="H3" s="481"/>
      <c r="I3" s="481"/>
      <c r="J3" s="481"/>
      <c r="K3" s="251">
        <v>21434.7</v>
      </c>
      <c r="L3" s="87"/>
      <c r="M3" s="23"/>
      <c r="N3" s="23"/>
      <c r="O3" s="23"/>
    </row>
    <row r="4" spans="1:17">
      <c r="A4" s="257">
        <v>1</v>
      </c>
      <c r="B4" s="258">
        <v>45659</v>
      </c>
      <c r="C4" s="259" t="s">
        <v>260</v>
      </c>
      <c r="D4" s="257" t="s">
        <v>261</v>
      </c>
      <c r="E4" s="260"/>
      <c r="F4" s="257"/>
      <c r="G4" s="261"/>
      <c r="H4" s="257">
        <v>3.91</v>
      </c>
      <c r="I4" s="257">
        <v>107.46</v>
      </c>
      <c r="J4" s="261">
        <f>H4*I4</f>
        <v>420.16859999999997</v>
      </c>
      <c r="K4" s="261">
        <f>G4+J4</f>
        <v>420.16859999999997</v>
      </c>
      <c r="L4" s="261"/>
      <c r="M4" s="261">
        <f>K3+L4-K4</f>
        <v>21014.5314</v>
      </c>
      <c r="N4" s="257"/>
      <c r="O4" s="257"/>
    </row>
    <row r="5" spans="1:17">
      <c r="A5" s="257">
        <v>2</v>
      </c>
      <c r="B5" s="258">
        <v>45663</v>
      </c>
      <c r="C5" s="259" t="s">
        <v>262</v>
      </c>
      <c r="D5" s="257" t="s">
        <v>261</v>
      </c>
      <c r="E5" s="260"/>
      <c r="F5" s="257"/>
      <c r="G5" s="261"/>
      <c r="H5" s="257">
        <v>3.71</v>
      </c>
      <c r="I5" s="257">
        <v>107.46</v>
      </c>
      <c r="J5" s="261">
        <f>H5*I5</f>
        <v>398.67659999999995</v>
      </c>
      <c r="K5" s="261">
        <f>G5+J5</f>
        <v>398.67659999999995</v>
      </c>
      <c r="L5" s="261"/>
      <c r="M5" s="261">
        <f>M4+L5-K5</f>
        <v>20615.854800000001</v>
      </c>
      <c r="N5" s="257"/>
      <c r="O5" s="257"/>
    </row>
    <row r="6" spans="1:17">
      <c r="A6" s="257">
        <v>3</v>
      </c>
      <c r="B6" s="258">
        <v>45666</v>
      </c>
      <c r="C6" s="262" t="s">
        <v>262</v>
      </c>
      <c r="D6" s="263" t="s">
        <v>261</v>
      </c>
      <c r="E6" s="264"/>
      <c r="F6" s="257"/>
      <c r="G6" s="261"/>
      <c r="H6" s="257">
        <v>4.12</v>
      </c>
      <c r="I6" s="257">
        <v>107.46</v>
      </c>
      <c r="J6" s="261">
        <f>H6*I6</f>
        <v>442.73519999999996</v>
      </c>
      <c r="K6" s="261">
        <f>G6+J6</f>
        <v>442.73519999999996</v>
      </c>
      <c r="L6" s="261"/>
      <c r="M6" s="261">
        <f t="shared" ref="M6:M32" si="0">M5+L6-K6</f>
        <v>20173.119600000002</v>
      </c>
      <c r="N6" s="257"/>
      <c r="O6" s="257"/>
    </row>
    <row r="7" spans="1:17">
      <c r="A7" s="285">
        <v>4</v>
      </c>
      <c r="B7" s="286">
        <v>45666</v>
      </c>
      <c r="C7" s="287"/>
      <c r="D7" s="287"/>
      <c r="E7" s="288"/>
      <c r="F7" s="289"/>
      <c r="G7" s="292"/>
      <c r="H7" s="288"/>
      <c r="I7" s="288"/>
      <c r="J7" s="290">
        <f>H7*I7</f>
        <v>0</v>
      </c>
      <c r="K7" s="290">
        <f>G7+J7</f>
        <v>0</v>
      </c>
      <c r="L7" s="291">
        <v>2700000</v>
      </c>
      <c r="M7" s="292">
        <f t="shared" si="0"/>
        <v>2720173.1195999999</v>
      </c>
      <c r="N7" s="285"/>
      <c r="O7" s="285"/>
      <c r="Q7" s="28">
        <f>K4+K5+K6+K16</f>
        <v>1626.9443999999999</v>
      </c>
    </row>
    <row r="8" spans="1:17">
      <c r="A8" s="266">
        <v>5</v>
      </c>
      <c r="B8" s="258">
        <v>45666</v>
      </c>
      <c r="C8" s="259" t="s">
        <v>263</v>
      </c>
      <c r="D8" s="259" t="s">
        <v>264</v>
      </c>
      <c r="E8" s="257">
        <v>10447.14</v>
      </c>
      <c r="F8" s="257">
        <v>95.72</v>
      </c>
      <c r="G8" s="261">
        <f>E8*F8</f>
        <v>1000000.2407999999</v>
      </c>
      <c r="H8" s="257"/>
      <c r="I8" s="257"/>
      <c r="J8" s="261">
        <f>H8*I8</f>
        <v>0</v>
      </c>
      <c r="K8" s="261">
        <f>G8+J8</f>
        <v>1000000.2407999999</v>
      </c>
      <c r="L8" s="261"/>
      <c r="M8" s="261">
        <f t="shared" si="0"/>
        <v>1720172.8788000001</v>
      </c>
      <c r="N8" s="260"/>
      <c r="O8" s="257"/>
    </row>
    <row r="9" spans="1:17">
      <c r="A9" s="266">
        <v>6</v>
      </c>
      <c r="B9" s="258">
        <v>45666</v>
      </c>
      <c r="C9" s="259" t="s">
        <v>265</v>
      </c>
      <c r="D9" s="259" t="s">
        <v>266</v>
      </c>
      <c r="E9" s="257">
        <v>10371.299999999999</v>
      </c>
      <c r="F9" s="259">
        <v>96.42</v>
      </c>
      <c r="G9" s="261">
        <f>E9*F9</f>
        <v>1000000.7459999999</v>
      </c>
      <c r="H9" s="257"/>
      <c r="I9" s="257"/>
      <c r="J9" s="261">
        <f>H9*I9</f>
        <v>0</v>
      </c>
      <c r="K9" s="261">
        <f>G9+J9</f>
        <v>1000000.7459999999</v>
      </c>
      <c r="L9" s="261"/>
      <c r="M9" s="261">
        <f t="shared" si="0"/>
        <v>720172.13280000014</v>
      </c>
      <c r="N9" s="260"/>
      <c r="O9" s="257"/>
    </row>
    <row r="10" spans="1:17">
      <c r="A10" s="266">
        <v>7</v>
      </c>
      <c r="B10" s="258">
        <v>45667</v>
      </c>
      <c r="C10" s="259" t="s">
        <v>267</v>
      </c>
      <c r="D10" s="267" t="s">
        <v>268</v>
      </c>
      <c r="E10" s="257">
        <v>7680.48</v>
      </c>
      <c r="F10" s="257">
        <v>91.14</v>
      </c>
      <c r="G10" s="261">
        <f>E10*F10</f>
        <v>699998.94719999994</v>
      </c>
      <c r="H10" s="257"/>
      <c r="I10" s="257"/>
      <c r="J10" s="261">
        <f>H10*I10</f>
        <v>0</v>
      </c>
      <c r="K10" s="261">
        <f>G10+J10</f>
        <v>699998.94719999994</v>
      </c>
      <c r="L10" s="261"/>
      <c r="M10" s="261">
        <f t="shared" si="0"/>
        <v>20173.185600000201</v>
      </c>
      <c r="N10" s="260"/>
      <c r="O10" s="257"/>
    </row>
    <row r="11" spans="1:17">
      <c r="A11" s="293">
        <v>8</v>
      </c>
      <c r="B11" s="294">
        <v>45668</v>
      </c>
      <c r="C11" s="288"/>
      <c r="D11" s="288"/>
      <c r="E11" s="288"/>
      <c r="F11" s="288"/>
      <c r="G11" s="290">
        <f>E11*F11</f>
        <v>0</v>
      </c>
      <c r="H11" s="288"/>
      <c r="I11" s="288"/>
      <c r="J11" s="290">
        <f>H11*I11</f>
        <v>0</v>
      </c>
      <c r="K11" s="290">
        <f>G11+J11</f>
        <v>0</v>
      </c>
      <c r="L11" s="292">
        <v>600000</v>
      </c>
      <c r="M11" s="292">
        <f t="shared" si="0"/>
        <v>620173.1856000002</v>
      </c>
      <c r="N11" s="295"/>
      <c r="O11" s="285"/>
    </row>
    <row r="12" spans="1:17">
      <c r="A12" s="266">
        <v>9</v>
      </c>
      <c r="B12" s="258">
        <v>45669</v>
      </c>
      <c r="C12" s="259" t="s">
        <v>265</v>
      </c>
      <c r="D12" s="259" t="s">
        <v>266</v>
      </c>
      <c r="E12" s="257">
        <v>5185.6499999999996</v>
      </c>
      <c r="F12" s="257">
        <v>96.42</v>
      </c>
      <c r="G12" s="261">
        <f>E12*F12</f>
        <v>500000.37299999996</v>
      </c>
      <c r="H12" s="257"/>
      <c r="I12" s="257"/>
      <c r="J12" s="261">
        <f>H12*I12</f>
        <v>0</v>
      </c>
      <c r="K12" s="261">
        <f>G12+J12</f>
        <v>500000.37299999996</v>
      </c>
      <c r="L12" s="257"/>
      <c r="M12" s="261">
        <f t="shared" si="0"/>
        <v>120172.81260000024</v>
      </c>
      <c r="N12" s="260"/>
      <c r="O12" s="257"/>
    </row>
    <row r="13" spans="1:17">
      <c r="A13" s="266">
        <v>10</v>
      </c>
      <c r="B13" s="258">
        <v>45669</v>
      </c>
      <c r="C13" s="259" t="s">
        <v>269</v>
      </c>
      <c r="D13" s="259" t="s">
        <v>270</v>
      </c>
      <c r="E13" s="257">
        <v>20</v>
      </c>
      <c r="F13" s="257">
        <v>89.26</v>
      </c>
      <c r="G13" s="261">
        <f>E13*F13</f>
        <v>1785.2</v>
      </c>
      <c r="H13" s="257"/>
      <c r="I13" s="257"/>
      <c r="J13" s="261">
        <f>H13*I13</f>
        <v>0</v>
      </c>
      <c r="K13" s="261">
        <f>G13+J13</f>
        <v>1785.2</v>
      </c>
      <c r="L13" s="257"/>
      <c r="M13" s="261">
        <f t="shared" si="0"/>
        <v>118387.61260000024</v>
      </c>
      <c r="N13" s="260"/>
      <c r="O13" s="257"/>
    </row>
    <row r="14" spans="1:17">
      <c r="A14" s="266">
        <v>11</v>
      </c>
      <c r="B14" s="258">
        <v>45671</v>
      </c>
      <c r="C14" s="259" t="s">
        <v>269</v>
      </c>
      <c r="D14" s="259" t="s">
        <v>270</v>
      </c>
      <c r="E14" s="257">
        <v>146.13999999999999</v>
      </c>
      <c r="F14" s="257">
        <v>89.26</v>
      </c>
      <c r="G14" s="261">
        <f>E14*F14</f>
        <v>13044.456399999999</v>
      </c>
      <c r="H14" s="257"/>
      <c r="I14" s="257"/>
      <c r="J14" s="261">
        <f>H14*I14</f>
        <v>0</v>
      </c>
      <c r="K14" s="261">
        <f>G14+J14</f>
        <v>13044.456399999999</v>
      </c>
      <c r="L14" s="257"/>
      <c r="M14" s="261">
        <f t="shared" si="0"/>
        <v>105343.15620000025</v>
      </c>
      <c r="N14" s="260"/>
      <c r="O14" s="257"/>
    </row>
    <row r="15" spans="1:17">
      <c r="A15" s="269">
        <v>12</v>
      </c>
      <c r="B15" s="268">
        <v>45672</v>
      </c>
      <c r="C15" s="262" t="s">
        <v>269</v>
      </c>
      <c r="D15" s="262" t="s">
        <v>270</v>
      </c>
      <c r="E15" s="263">
        <v>22.31</v>
      </c>
      <c r="F15" s="263">
        <v>89.26</v>
      </c>
      <c r="G15" s="261">
        <f>E15*F15</f>
        <v>1991.3905999999999</v>
      </c>
      <c r="H15" s="263"/>
      <c r="I15" s="263"/>
      <c r="J15" s="261">
        <f>H15*I15</f>
        <v>0</v>
      </c>
      <c r="K15" s="261">
        <f>G15+J15</f>
        <v>1991.3905999999999</v>
      </c>
      <c r="L15" s="263"/>
      <c r="M15" s="265">
        <f t="shared" si="0"/>
        <v>103351.76560000025</v>
      </c>
      <c r="N15" s="264"/>
      <c r="O15" s="263"/>
    </row>
    <row r="16" spans="1:17">
      <c r="A16" s="257">
        <v>13</v>
      </c>
      <c r="B16" s="258">
        <v>45672</v>
      </c>
      <c r="C16" s="259" t="s">
        <v>260</v>
      </c>
      <c r="D16" s="259" t="s">
        <v>261</v>
      </c>
      <c r="E16" s="257"/>
      <c r="F16" s="257"/>
      <c r="G16" s="261">
        <f>E16*F16</f>
        <v>0</v>
      </c>
      <c r="H16" s="257">
        <v>3.4</v>
      </c>
      <c r="I16" s="257">
        <v>107.46</v>
      </c>
      <c r="J16" s="261">
        <f>H16*I16</f>
        <v>365.36399999999998</v>
      </c>
      <c r="K16" s="261">
        <f>G16+J16</f>
        <v>365.36399999999998</v>
      </c>
      <c r="L16" s="257"/>
      <c r="M16" s="261">
        <f t="shared" si="0"/>
        <v>102986.40160000024</v>
      </c>
      <c r="N16" s="257"/>
      <c r="O16" s="257"/>
    </row>
    <row r="17" spans="1:15">
      <c r="A17" s="257">
        <v>14</v>
      </c>
      <c r="B17" s="258">
        <v>45673</v>
      </c>
      <c r="C17" s="259" t="s">
        <v>269</v>
      </c>
      <c r="D17" s="259" t="s">
        <v>270</v>
      </c>
      <c r="E17" s="257">
        <v>55</v>
      </c>
      <c r="F17" s="257">
        <v>89.26</v>
      </c>
      <c r="G17" s="261">
        <f>E17*F17</f>
        <v>4909.3</v>
      </c>
      <c r="H17" s="257"/>
      <c r="I17" s="257"/>
      <c r="J17" s="261">
        <f>H17*I17</f>
        <v>0</v>
      </c>
      <c r="K17" s="261">
        <f>G17+J17</f>
        <v>4909.3</v>
      </c>
      <c r="L17" s="257"/>
      <c r="M17" s="261">
        <f t="shared" si="0"/>
        <v>98077.101600000242</v>
      </c>
      <c r="N17" s="257"/>
      <c r="O17" s="257"/>
    </row>
    <row r="18" spans="1:15">
      <c r="A18" s="257">
        <v>15</v>
      </c>
      <c r="B18" s="258">
        <v>45674</v>
      </c>
      <c r="C18" s="259" t="s">
        <v>269</v>
      </c>
      <c r="D18" s="259" t="s">
        <v>270</v>
      </c>
      <c r="E18" s="257">
        <v>100</v>
      </c>
      <c r="F18" s="257">
        <v>89.26</v>
      </c>
      <c r="G18" s="261">
        <f>E18*F18</f>
        <v>8926</v>
      </c>
      <c r="H18" s="257">
        <v>11</v>
      </c>
      <c r="I18" s="257">
        <v>103.18</v>
      </c>
      <c r="J18" s="261">
        <f>H18*I18</f>
        <v>1134.98</v>
      </c>
      <c r="K18" s="261">
        <f>G18+J18</f>
        <v>10060.98</v>
      </c>
      <c r="L18" s="257"/>
      <c r="M18" s="261">
        <f t="shared" si="0"/>
        <v>88016.121600000246</v>
      </c>
      <c r="N18" s="257"/>
      <c r="O18" s="257"/>
    </row>
    <row r="19" spans="1:15">
      <c r="A19" s="257">
        <v>16</v>
      </c>
      <c r="B19" s="258">
        <v>45675</v>
      </c>
      <c r="C19" s="259" t="s">
        <v>269</v>
      </c>
      <c r="D19" s="259" t="s">
        <v>270</v>
      </c>
      <c r="E19" s="257">
        <v>35</v>
      </c>
      <c r="F19" s="257">
        <v>89.26</v>
      </c>
      <c r="G19" s="261">
        <f>E19*F19</f>
        <v>3124.1000000000004</v>
      </c>
      <c r="H19" s="257"/>
      <c r="I19" s="257"/>
      <c r="J19" s="261">
        <f>H19*I19</f>
        <v>0</v>
      </c>
      <c r="K19" s="261">
        <f>G19+J19</f>
        <v>3124.1000000000004</v>
      </c>
      <c r="L19" s="257"/>
      <c r="M19" s="261">
        <f t="shared" si="0"/>
        <v>84892.02160000024</v>
      </c>
      <c r="N19" s="257"/>
      <c r="O19" s="257"/>
    </row>
    <row r="20" spans="1:15">
      <c r="A20" s="333">
        <v>17</v>
      </c>
      <c r="B20" s="334">
        <v>45676</v>
      </c>
      <c r="C20" s="262" t="s">
        <v>269</v>
      </c>
      <c r="D20" s="327" t="s">
        <v>270</v>
      </c>
      <c r="E20" s="333">
        <v>75</v>
      </c>
      <c r="F20" s="263">
        <v>89.26</v>
      </c>
      <c r="G20" s="265">
        <f>E20*F20</f>
        <v>6694.5</v>
      </c>
      <c r="H20" s="333"/>
      <c r="I20" s="333"/>
      <c r="J20" s="265">
        <f>H20*I20</f>
        <v>0</v>
      </c>
      <c r="K20" s="265">
        <f>G20+J20</f>
        <v>6694.5</v>
      </c>
      <c r="L20" s="333"/>
      <c r="M20" s="265">
        <f t="shared" si="0"/>
        <v>78197.52160000024</v>
      </c>
      <c r="N20" s="333"/>
      <c r="O20" s="333"/>
    </row>
    <row r="21" spans="1:15">
      <c r="A21" s="23">
        <v>18</v>
      </c>
      <c r="B21" s="258">
        <v>45676</v>
      </c>
      <c r="C21" s="259" t="s">
        <v>260</v>
      </c>
      <c r="D21" s="259" t="s">
        <v>261</v>
      </c>
      <c r="E21" s="23">
        <v>0</v>
      </c>
      <c r="F21" s="257">
        <v>89.26</v>
      </c>
      <c r="G21" s="261">
        <f t="shared" ref="G21:G39" si="1">E21*F21</f>
        <v>0</v>
      </c>
      <c r="H21" s="23">
        <v>4.38</v>
      </c>
      <c r="I21" s="23">
        <v>107.46</v>
      </c>
      <c r="J21" s="261">
        <f>H21*I21</f>
        <v>470.67479999999995</v>
      </c>
      <c r="K21" s="261">
        <f>G21+J21</f>
        <v>470.67479999999995</v>
      </c>
      <c r="L21" s="23"/>
      <c r="M21" s="261">
        <f t="shared" si="0"/>
        <v>77726.846800000247</v>
      </c>
      <c r="N21" s="23"/>
      <c r="O21" s="23"/>
    </row>
    <row r="22" spans="1:15">
      <c r="A22" s="151">
        <v>19</v>
      </c>
      <c r="B22" s="336">
        <v>45677</v>
      </c>
      <c r="C22" s="262" t="s">
        <v>269</v>
      </c>
      <c r="D22" s="337" t="s">
        <v>270</v>
      </c>
      <c r="E22" s="151">
        <v>89.99</v>
      </c>
      <c r="F22" s="263">
        <v>89.26</v>
      </c>
      <c r="G22" s="265">
        <f t="shared" si="1"/>
        <v>8032.5074000000004</v>
      </c>
      <c r="H22" s="151">
        <v>6</v>
      </c>
      <c r="I22" s="151">
        <v>103.18</v>
      </c>
      <c r="J22" s="265">
        <f>H22*I22</f>
        <v>619.08000000000004</v>
      </c>
      <c r="K22" s="265">
        <f>G22+J22</f>
        <v>8651.5874000000003</v>
      </c>
      <c r="L22" s="151"/>
      <c r="M22" s="265">
        <f t="shared" si="0"/>
        <v>69075.259400000243</v>
      </c>
      <c r="N22" s="151"/>
      <c r="O22" s="151"/>
    </row>
    <row r="23" spans="1:15">
      <c r="A23" s="23">
        <v>20</v>
      </c>
      <c r="B23" s="335">
        <v>45678</v>
      </c>
      <c r="C23" s="259" t="s">
        <v>269</v>
      </c>
      <c r="D23" s="162" t="s">
        <v>270</v>
      </c>
      <c r="E23" s="23">
        <v>64.81</v>
      </c>
      <c r="F23" s="257">
        <v>89.26</v>
      </c>
      <c r="G23" s="261">
        <f t="shared" si="1"/>
        <v>5784.9406000000008</v>
      </c>
      <c r="H23" s="23">
        <v>6.01</v>
      </c>
      <c r="I23" s="23">
        <v>103.18</v>
      </c>
      <c r="J23" s="261">
        <f>H23*I23</f>
        <v>620.11180000000002</v>
      </c>
      <c r="K23" s="261">
        <f>G23+J23</f>
        <v>6405.0524000000005</v>
      </c>
      <c r="L23" s="23"/>
      <c r="M23" s="261">
        <f t="shared" si="0"/>
        <v>62670.207000000242</v>
      </c>
      <c r="N23" s="67"/>
      <c r="O23" s="23"/>
    </row>
    <row r="24" spans="1:15">
      <c r="A24" s="151">
        <v>21</v>
      </c>
      <c r="B24" s="336">
        <v>45678</v>
      </c>
      <c r="C24" s="262" t="s">
        <v>265</v>
      </c>
      <c r="D24" s="337" t="s">
        <v>266</v>
      </c>
      <c r="E24" s="151">
        <v>10371.33</v>
      </c>
      <c r="F24" s="151">
        <v>96.42</v>
      </c>
      <c r="G24" s="265">
        <f t="shared" si="1"/>
        <v>1000003.6386000001</v>
      </c>
      <c r="H24" s="151"/>
      <c r="I24" s="151"/>
      <c r="J24" s="261">
        <f t="shared" ref="J24:J37" si="2">H24*I24</f>
        <v>0</v>
      </c>
      <c r="K24" s="265">
        <f>G24+J24</f>
        <v>1000003.6386000001</v>
      </c>
      <c r="L24" s="151">
        <v>1000000</v>
      </c>
      <c r="M24" s="265">
        <f t="shared" si="0"/>
        <v>62666.568400000106</v>
      </c>
      <c r="N24" s="151"/>
      <c r="O24" s="151"/>
    </row>
    <row r="25" spans="1:15">
      <c r="A25" s="151">
        <v>22</v>
      </c>
      <c r="B25" s="336">
        <v>45679</v>
      </c>
      <c r="C25" s="262" t="s">
        <v>269</v>
      </c>
      <c r="D25" s="337" t="s">
        <v>270</v>
      </c>
      <c r="E25" s="151">
        <v>75</v>
      </c>
      <c r="F25" s="263">
        <v>89.26</v>
      </c>
      <c r="G25" s="265">
        <f t="shared" si="1"/>
        <v>6694.5</v>
      </c>
      <c r="H25" s="151"/>
      <c r="I25" s="151"/>
      <c r="J25" s="261">
        <f t="shared" si="2"/>
        <v>0</v>
      </c>
      <c r="K25" s="265">
        <f>G25+J25</f>
        <v>6694.5</v>
      </c>
      <c r="L25" s="151"/>
      <c r="M25" s="265">
        <f t="shared" si="0"/>
        <v>55972.068400000106</v>
      </c>
      <c r="N25" s="151"/>
      <c r="O25" s="362"/>
    </row>
    <row r="26" spans="1:15">
      <c r="A26" s="151">
        <v>23</v>
      </c>
      <c r="B26" s="336">
        <v>45680</v>
      </c>
      <c r="C26" s="262" t="s">
        <v>269</v>
      </c>
      <c r="D26" s="337" t="s">
        <v>270</v>
      </c>
      <c r="E26" s="151">
        <v>55</v>
      </c>
      <c r="F26" s="263">
        <v>89.26</v>
      </c>
      <c r="G26" s="265">
        <f>E26*F26</f>
        <v>4909.3</v>
      </c>
      <c r="H26" s="151"/>
      <c r="I26" s="151"/>
      <c r="J26" s="265">
        <f t="shared" si="2"/>
        <v>0</v>
      </c>
      <c r="K26" s="265">
        <f>G26+J26</f>
        <v>4909.3</v>
      </c>
      <c r="L26" s="151"/>
      <c r="M26" s="265">
        <f t="shared" si="0"/>
        <v>51062.768400000103</v>
      </c>
      <c r="N26" s="151"/>
      <c r="O26" s="151"/>
    </row>
    <row r="27" spans="1:15">
      <c r="A27" s="151">
        <v>24</v>
      </c>
      <c r="B27" s="336">
        <v>45681</v>
      </c>
      <c r="C27" s="262" t="s">
        <v>269</v>
      </c>
      <c r="D27" s="337" t="s">
        <v>270</v>
      </c>
      <c r="E27" s="151">
        <v>125</v>
      </c>
      <c r="F27" s="263">
        <v>89.26</v>
      </c>
      <c r="G27" s="265">
        <f t="shared" si="1"/>
        <v>11157.5</v>
      </c>
      <c r="H27" s="151">
        <v>3.85</v>
      </c>
      <c r="I27" s="151">
        <v>107.46</v>
      </c>
      <c r="J27" s="265">
        <f t="shared" si="2"/>
        <v>413.721</v>
      </c>
      <c r="K27" s="265">
        <f>G27+J27</f>
        <v>11571.221</v>
      </c>
      <c r="L27" s="151">
        <v>100000</v>
      </c>
      <c r="M27" s="265">
        <f t="shared" si="0"/>
        <v>139491.54740000013</v>
      </c>
      <c r="N27" s="151"/>
      <c r="O27" s="151"/>
    </row>
    <row r="28" spans="1:15">
      <c r="A28" s="151">
        <v>25</v>
      </c>
      <c r="B28" s="336">
        <v>45682</v>
      </c>
      <c r="C28" s="151"/>
      <c r="D28" s="151"/>
      <c r="E28" s="151"/>
      <c r="F28" s="151"/>
      <c r="G28" s="265">
        <f t="shared" si="1"/>
        <v>0</v>
      </c>
      <c r="H28" s="151"/>
      <c r="I28" s="151"/>
      <c r="J28" s="265">
        <f t="shared" si="2"/>
        <v>0</v>
      </c>
      <c r="K28" s="265">
        <f t="shared" ref="K28:K39" si="3">G28+J28</f>
        <v>0</v>
      </c>
      <c r="L28" s="151"/>
      <c r="M28" s="265">
        <f t="shared" si="0"/>
        <v>139491.54740000013</v>
      </c>
      <c r="N28" s="151"/>
      <c r="O28" s="151"/>
    </row>
    <row r="29" spans="1:15">
      <c r="A29" s="151">
        <v>26</v>
      </c>
      <c r="B29" s="336">
        <v>45683</v>
      </c>
      <c r="C29" s="262" t="s">
        <v>269</v>
      </c>
      <c r="D29" s="337" t="s">
        <v>270</v>
      </c>
      <c r="E29" s="151">
        <v>40</v>
      </c>
      <c r="F29" s="151">
        <v>89.26</v>
      </c>
      <c r="G29" s="265">
        <f t="shared" si="1"/>
        <v>3570.4</v>
      </c>
      <c r="H29" s="151"/>
      <c r="I29" s="151"/>
      <c r="J29" s="265">
        <f t="shared" si="2"/>
        <v>0</v>
      </c>
      <c r="K29" s="265">
        <f t="shared" si="3"/>
        <v>3570.4</v>
      </c>
      <c r="L29" s="151"/>
      <c r="M29" s="265">
        <f>M28+L29-K29</f>
        <v>135921.14740000013</v>
      </c>
      <c r="N29" s="151"/>
      <c r="O29" s="151"/>
    </row>
    <row r="30" spans="1:15">
      <c r="A30" s="23">
        <v>27</v>
      </c>
      <c r="B30" s="335">
        <v>45684</v>
      </c>
      <c r="C30" s="162" t="s">
        <v>269</v>
      </c>
      <c r="D30" s="162" t="s">
        <v>270</v>
      </c>
      <c r="E30" s="23">
        <v>98.08</v>
      </c>
      <c r="F30" s="23">
        <v>89.26</v>
      </c>
      <c r="G30" s="261">
        <f t="shared" si="1"/>
        <v>8754.6208000000006</v>
      </c>
      <c r="H30" s="23">
        <v>13</v>
      </c>
      <c r="I30" s="23">
        <v>103.18</v>
      </c>
      <c r="J30" s="261">
        <f t="shared" si="2"/>
        <v>1341.3400000000001</v>
      </c>
      <c r="K30" s="261">
        <f t="shared" si="3"/>
        <v>10095.960800000001</v>
      </c>
      <c r="L30" s="23"/>
      <c r="M30" s="265">
        <f t="shared" ref="M30:M39" si="4">M29+L30-K30</f>
        <v>125825.18660000013</v>
      </c>
      <c r="N30" s="23"/>
      <c r="O30" s="23"/>
    </row>
    <row r="31" spans="1:15">
      <c r="A31" s="151">
        <v>28</v>
      </c>
      <c r="B31" s="335">
        <v>45684</v>
      </c>
      <c r="C31" s="259" t="s">
        <v>263</v>
      </c>
      <c r="D31" s="259" t="s">
        <v>264</v>
      </c>
      <c r="E31" s="23">
        <v>10447.17</v>
      </c>
      <c r="F31" s="23">
        <v>95.72</v>
      </c>
      <c r="G31" s="261">
        <f t="shared" si="1"/>
        <v>1000003.1124</v>
      </c>
      <c r="H31" s="23"/>
      <c r="I31" s="23"/>
      <c r="J31" s="261">
        <f t="shared" si="2"/>
        <v>0</v>
      </c>
      <c r="K31" s="261">
        <f t="shared" si="3"/>
        <v>1000003.1124</v>
      </c>
      <c r="L31" s="151">
        <v>2000000</v>
      </c>
      <c r="M31" s="265">
        <f t="shared" si="4"/>
        <v>1125822.0742000001</v>
      </c>
      <c r="N31" s="23"/>
      <c r="O31" s="23"/>
    </row>
    <row r="32" spans="1:15">
      <c r="A32" s="151">
        <v>29</v>
      </c>
      <c r="B32" s="336">
        <v>45684</v>
      </c>
      <c r="C32" s="337" t="s">
        <v>271</v>
      </c>
      <c r="D32" s="337" t="s">
        <v>266</v>
      </c>
      <c r="E32" s="151">
        <v>10371.33</v>
      </c>
      <c r="F32" s="151">
        <v>96.42</v>
      </c>
      <c r="G32" s="265">
        <f t="shared" si="1"/>
        <v>1000003.6386000001</v>
      </c>
      <c r="H32" s="151"/>
      <c r="I32" s="151"/>
      <c r="J32" s="261">
        <f t="shared" si="2"/>
        <v>0</v>
      </c>
      <c r="K32" s="424">
        <f t="shared" si="3"/>
        <v>1000003.6386000001</v>
      </c>
      <c r="L32" s="151"/>
      <c r="M32" s="265">
        <f t="shared" si="4"/>
        <v>125818.43560000008</v>
      </c>
      <c r="N32" s="362"/>
      <c r="O32" s="151"/>
    </row>
    <row r="33" spans="1:15">
      <c r="A33" s="151">
        <v>30</v>
      </c>
      <c r="B33" s="336">
        <v>45685</v>
      </c>
      <c r="C33" s="262" t="s">
        <v>269</v>
      </c>
      <c r="D33" s="337" t="s">
        <v>270</v>
      </c>
      <c r="E33" s="151">
        <v>140</v>
      </c>
      <c r="F33" s="151">
        <v>89.26</v>
      </c>
      <c r="G33" s="265">
        <f t="shared" si="1"/>
        <v>12496.400000000001</v>
      </c>
      <c r="H33" s="151"/>
      <c r="I33" s="151"/>
      <c r="J33" s="265">
        <f t="shared" si="2"/>
        <v>0</v>
      </c>
      <c r="K33" s="265">
        <f t="shared" si="3"/>
        <v>12496.400000000001</v>
      </c>
      <c r="L33" s="151"/>
      <c r="M33" s="265">
        <f t="shared" si="4"/>
        <v>113322.03560000009</v>
      </c>
      <c r="N33" s="151"/>
      <c r="O33" s="151"/>
    </row>
    <row r="34" spans="1:15">
      <c r="A34" s="151">
        <v>31</v>
      </c>
      <c r="B34" s="336">
        <v>45685</v>
      </c>
      <c r="C34" s="262" t="s">
        <v>272</v>
      </c>
      <c r="D34" s="151" t="s">
        <v>261</v>
      </c>
      <c r="E34" s="151"/>
      <c r="F34" s="151">
        <v>89.26</v>
      </c>
      <c r="G34" s="265">
        <f t="shared" si="1"/>
        <v>0</v>
      </c>
      <c r="H34" s="151">
        <v>3.08</v>
      </c>
      <c r="I34" s="151">
        <v>107.46</v>
      </c>
      <c r="J34" s="265">
        <f t="shared" si="2"/>
        <v>330.97679999999997</v>
      </c>
      <c r="K34" s="265">
        <f t="shared" si="3"/>
        <v>330.97679999999997</v>
      </c>
      <c r="L34" s="151"/>
      <c r="M34" s="265">
        <f t="shared" si="4"/>
        <v>112991.05880000009</v>
      </c>
      <c r="N34" s="151"/>
      <c r="O34" s="151"/>
    </row>
    <row r="35" spans="1:15">
      <c r="A35" s="151">
        <v>32</v>
      </c>
      <c r="B35" s="336">
        <v>45686</v>
      </c>
      <c r="C35" s="262" t="s">
        <v>269</v>
      </c>
      <c r="D35" s="337" t="s">
        <v>270</v>
      </c>
      <c r="E35" s="151">
        <v>105</v>
      </c>
      <c r="F35" s="151">
        <v>89.26</v>
      </c>
      <c r="G35" s="265">
        <f t="shared" si="1"/>
        <v>9372.3000000000011</v>
      </c>
      <c r="H35" s="151"/>
      <c r="I35" s="151"/>
      <c r="J35" s="265">
        <f t="shared" si="2"/>
        <v>0</v>
      </c>
      <c r="K35" s="265">
        <f t="shared" si="3"/>
        <v>9372.3000000000011</v>
      </c>
      <c r="L35" s="151">
        <v>100000</v>
      </c>
      <c r="M35" s="265">
        <f t="shared" si="4"/>
        <v>203618.7588000001</v>
      </c>
      <c r="N35" s="151"/>
      <c r="O35" s="151"/>
    </row>
    <row r="36" spans="1:15">
      <c r="A36" s="151">
        <v>33</v>
      </c>
      <c r="B36" s="335">
        <v>45687</v>
      </c>
      <c r="C36" s="259" t="s">
        <v>269</v>
      </c>
      <c r="D36" s="162" t="s">
        <v>270</v>
      </c>
      <c r="E36" s="23">
        <v>70</v>
      </c>
      <c r="F36" s="23">
        <v>89.26</v>
      </c>
      <c r="G36" s="261">
        <f t="shared" si="1"/>
        <v>6248.2000000000007</v>
      </c>
      <c r="H36" s="23"/>
      <c r="I36" s="23"/>
      <c r="J36" s="261">
        <f t="shared" si="2"/>
        <v>0</v>
      </c>
      <c r="K36" s="261">
        <f t="shared" si="3"/>
        <v>6248.2000000000007</v>
      </c>
      <c r="L36" s="23"/>
      <c r="M36" s="261">
        <f t="shared" si="4"/>
        <v>197370.55880000009</v>
      </c>
      <c r="N36" s="23"/>
      <c r="O36" s="23"/>
    </row>
    <row r="37" spans="1:15">
      <c r="A37" s="151">
        <v>34</v>
      </c>
      <c r="B37" s="335">
        <v>45688</v>
      </c>
      <c r="C37" s="259" t="s">
        <v>260</v>
      </c>
      <c r="D37" s="259" t="s">
        <v>261</v>
      </c>
      <c r="E37" s="23"/>
      <c r="F37" s="23"/>
      <c r="G37" s="261">
        <f t="shared" si="1"/>
        <v>0</v>
      </c>
      <c r="H37" s="23">
        <v>4.01</v>
      </c>
      <c r="I37" s="23">
        <v>107.46</v>
      </c>
      <c r="J37" s="261">
        <f t="shared" si="2"/>
        <v>430.91459999999995</v>
      </c>
      <c r="K37" s="261">
        <f t="shared" si="3"/>
        <v>430.91459999999995</v>
      </c>
      <c r="L37" s="23"/>
      <c r="M37" s="261">
        <f t="shared" si="4"/>
        <v>196939.6442000001</v>
      </c>
      <c r="N37" s="23"/>
      <c r="O37" s="23"/>
    </row>
    <row r="38" spans="1:15">
      <c r="A38" s="151">
        <v>35</v>
      </c>
      <c r="B38" s="336">
        <v>45688</v>
      </c>
      <c r="C38" s="262" t="s">
        <v>269</v>
      </c>
      <c r="D38" s="337" t="s">
        <v>270</v>
      </c>
      <c r="E38" s="151">
        <v>94.99</v>
      </c>
      <c r="F38" s="151">
        <v>89.26</v>
      </c>
      <c r="G38" s="265">
        <f t="shared" si="1"/>
        <v>8478.8073999999997</v>
      </c>
      <c r="H38" s="151"/>
      <c r="I38" s="151"/>
      <c r="J38" s="151"/>
      <c r="K38" s="265">
        <f t="shared" si="3"/>
        <v>8478.8073999999997</v>
      </c>
      <c r="L38" s="151"/>
      <c r="M38" s="265">
        <f t="shared" si="4"/>
        <v>188460.83680000011</v>
      </c>
      <c r="N38" s="151"/>
      <c r="O38" s="151"/>
    </row>
    <row r="39" spans="1:15">
      <c r="A39" s="151">
        <v>36</v>
      </c>
      <c r="B39" s="335">
        <v>45688</v>
      </c>
      <c r="C39" s="162" t="s">
        <v>273</v>
      </c>
      <c r="D39" s="162" t="s">
        <v>274</v>
      </c>
      <c r="E39" s="23">
        <v>22.5</v>
      </c>
      <c r="F39" s="23">
        <v>88.89</v>
      </c>
      <c r="G39" s="261">
        <f t="shared" si="1"/>
        <v>2000.0250000000001</v>
      </c>
      <c r="H39" s="23"/>
      <c r="I39" s="23"/>
      <c r="J39" s="23"/>
      <c r="K39" s="261">
        <f t="shared" si="3"/>
        <v>2000.0250000000001</v>
      </c>
      <c r="L39" s="23"/>
      <c r="M39" s="261">
        <f t="shared" si="4"/>
        <v>186460.81180000011</v>
      </c>
      <c r="N39" s="23"/>
      <c r="O39" s="23"/>
    </row>
    <row r="40" spans="1:15">
      <c r="B40" s="250"/>
    </row>
    <row r="41" spans="1:15">
      <c r="B41" s="250"/>
    </row>
    <row r="42" spans="1:15">
      <c r="B42" s="250"/>
    </row>
    <row r="43" spans="1:15">
      <c r="B43" s="250"/>
    </row>
    <row r="44" spans="1:15">
      <c r="B44" s="250"/>
    </row>
    <row r="45" spans="1:15">
      <c r="B45" s="250"/>
    </row>
    <row r="46" spans="1:15">
      <c r="B46" s="250"/>
    </row>
    <row r="47" spans="1:15">
      <c r="B47" s="250"/>
    </row>
    <row r="48" spans="1:15">
      <c r="B48" s="250"/>
    </row>
    <row r="49" spans="2:2">
      <c r="B49" s="250"/>
    </row>
    <row r="50" spans="2:2">
      <c r="B50" s="250"/>
    </row>
    <row r="51" spans="2:2">
      <c r="B51" s="250"/>
    </row>
    <row r="52" spans="2:2">
      <c r="B52" s="250"/>
    </row>
    <row r="53" spans="2:2">
      <c r="B53" s="250"/>
    </row>
    <row r="54" spans="2:2">
      <c r="B54" s="250"/>
    </row>
    <row r="55" spans="2:2">
      <c r="B55" s="250"/>
    </row>
  </sheetData>
  <mergeCells count="2">
    <mergeCell ref="A3:J3"/>
    <mergeCell ref="A1:O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A01-D8B3-4AA7-B6CF-B1195EFA2C63}">
  <sheetPr>
    <tabColor theme="9" tint="0.79998168889431442"/>
  </sheetPr>
  <dimension ref="A1:I40"/>
  <sheetViews>
    <sheetView workbookViewId="0">
      <pane ySplit="2" topLeftCell="A3" activePane="bottomLeft" state="frozen"/>
      <selection pane="bottomLeft" activeCell="T10" sqref="T10"/>
    </sheetView>
  </sheetViews>
  <sheetFormatPr defaultRowHeight="15"/>
  <cols>
    <col min="1" max="1" width="12.140625" style="127" bestFit="1" customWidth="1"/>
    <col min="2" max="2" width="16" style="127" customWidth="1"/>
    <col min="3" max="3" width="9.28515625" style="127" bestFit="1" customWidth="1"/>
    <col min="4" max="4" width="10.28515625" style="127" bestFit="1" customWidth="1"/>
    <col min="5" max="5" width="50.7109375" style="127" bestFit="1" customWidth="1"/>
    <col min="6" max="6" width="20.140625" style="127" bestFit="1" customWidth="1"/>
    <col min="7" max="7" width="12.5703125" style="127" bestFit="1" customWidth="1"/>
    <col min="8" max="8" width="17.5703125" style="127" customWidth="1"/>
    <col min="9" max="16384" width="9.140625" style="127"/>
  </cols>
  <sheetData>
    <row r="1" spans="1:9" ht="15.75">
      <c r="A1" s="475" t="s">
        <v>275</v>
      </c>
      <c r="B1" s="475"/>
      <c r="C1" s="475"/>
      <c r="D1" s="475"/>
      <c r="E1" s="475"/>
      <c r="F1" s="475"/>
      <c r="G1" s="475"/>
      <c r="H1" s="475"/>
      <c r="I1" s="475"/>
    </row>
    <row r="2" spans="1:9">
      <c r="A2" s="110" t="s">
        <v>59</v>
      </c>
      <c r="B2" s="136" t="s">
        <v>70</v>
      </c>
      <c r="C2" s="136" t="s">
        <v>276</v>
      </c>
      <c r="D2" s="136" t="s">
        <v>277</v>
      </c>
      <c r="E2" s="136" t="s">
        <v>278</v>
      </c>
      <c r="F2" s="136" t="s">
        <v>211</v>
      </c>
      <c r="G2" s="145" t="s">
        <v>279</v>
      </c>
      <c r="H2" s="136" t="s">
        <v>280</v>
      </c>
      <c r="I2" s="136" t="s">
        <v>69</v>
      </c>
    </row>
    <row r="3" spans="1:9">
      <c r="A3" s="315" t="s">
        <v>281</v>
      </c>
      <c r="B3" s="316">
        <v>0</v>
      </c>
      <c r="C3" s="316">
        <v>1000</v>
      </c>
      <c r="D3" s="316">
        <v>0</v>
      </c>
      <c r="E3" s="316" t="s">
        <v>111</v>
      </c>
      <c r="F3" s="316" t="s">
        <v>111</v>
      </c>
      <c r="G3" s="316" t="s">
        <v>111</v>
      </c>
      <c r="H3" s="316">
        <v>1000</v>
      </c>
      <c r="I3" s="317" t="s">
        <v>111</v>
      </c>
    </row>
    <row r="4" spans="1:9">
      <c r="A4" s="315" t="s">
        <v>282</v>
      </c>
      <c r="B4" s="316">
        <v>1000</v>
      </c>
      <c r="C4" s="316">
        <v>799000</v>
      </c>
      <c r="D4" s="316">
        <v>800000</v>
      </c>
      <c r="E4" s="318" t="s">
        <v>283</v>
      </c>
      <c r="F4" s="316" t="s">
        <v>25</v>
      </c>
      <c r="G4" s="316" t="s">
        <v>111</v>
      </c>
      <c r="H4" s="316">
        <v>0</v>
      </c>
      <c r="I4" s="317" t="s">
        <v>111</v>
      </c>
    </row>
    <row r="5" spans="1:9">
      <c r="A5" s="315" t="s">
        <v>284</v>
      </c>
      <c r="B5" s="316">
        <v>0</v>
      </c>
      <c r="C5" s="316">
        <v>1000000</v>
      </c>
      <c r="D5" s="316">
        <v>0</v>
      </c>
      <c r="E5" s="316" t="s">
        <v>111</v>
      </c>
      <c r="F5" s="316" t="s">
        <v>111</v>
      </c>
      <c r="G5" s="316" t="s">
        <v>111</v>
      </c>
      <c r="H5" s="316">
        <v>1000000</v>
      </c>
      <c r="I5" s="317" t="s">
        <v>111</v>
      </c>
    </row>
    <row r="6" spans="1:9">
      <c r="A6" s="315" t="s">
        <v>285</v>
      </c>
      <c r="B6" s="316">
        <v>1000000</v>
      </c>
      <c r="C6" s="316">
        <v>0</v>
      </c>
      <c r="D6" s="316">
        <v>1000000</v>
      </c>
      <c r="E6" s="318" t="s">
        <v>283</v>
      </c>
      <c r="F6" s="316" t="s">
        <v>25</v>
      </c>
      <c r="G6" s="316" t="s">
        <v>111</v>
      </c>
      <c r="H6" s="316">
        <v>0</v>
      </c>
      <c r="I6" s="317" t="s">
        <v>111</v>
      </c>
    </row>
    <row r="7" spans="1:9">
      <c r="A7" s="315" t="s">
        <v>286</v>
      </c>
      <c r="B7" s="316">
        <v>0</v>
      </c>
      <c r="C7" s="316">
        <v>200000</v>
      </c>
      <c r="D7" s="316">
        <v>200000</v>
      </c>
      <c r="E7" s="318" t="s">
        <v>283</v>
      </c>
      <c r="F7" s="316" t="s">
        <v>25</v>
      </c>
      <c r="G7" s="316" t="s">
        <v>111</v>
      </c>
      <c r="H7" s="316">
        <v>0</v>
      </c>
      <c r="I7" s="317" t="s">
        <v>111</v>
      </c>
    </row>
    <row r="8" spans="1:9">
      <c r="A8" s="319">
        <v>45179</v>
      </c>
      <c r="B8" s="316">
        <v>0</v>
      </c>
      <c r="C8" s="316">
        <v>700000</v>
      </c>
      <c r="D8" s="316">
        <v>0</v>
      </c>
      <c r="E8" s="316" t="s">
        <v>111</v>
      </c>
      <c r="F8" s="316" t="s">
        <v>111</v>
      </c>
      <c r="G8" s="316" t="s">
        <v>111</v>
      </c>
      <c r="H8" s="316">
        <v>700000</v>
      </c>
      <c r="I8" s="317" t="s">
        <v>111</v>
      </c>
    </row>
    <row r="9" spans="1:9">
      <c r="A9" s="315" t="s">
        <v>287</v>
      </c>
      <c r="B9" s="316">
        <v>700000</v>
      </c>
      <c r="C9" s="316">
        <v>0</v>
      </c>
      <c r="D9" s="316">
        <v>700000</v>
      </c>
      <c r="E9" s="318" t="s">
        <v>283</v>
      </c>
      <c r="F9" s="316" t="s">
        <v>25</v>
      </c>
      <c r="G9" s="316" t="s">
        <v>111</v>
      </c>
      <c r="H9" s="316">
        <v>0</v>
      </c>
      <c r="I9" s="317" t="s">
        <v>111</v>
      </c>
    </row>
    <row r="10" spans="1:9">
      <c r="A10" s="315" t="s">
        <v>288</v>
      </c>
      <c r="B10" s="316">
        <v>0</v>
      </c>
      <c r="C10" s="316">
        <v>1000000</v>
      </c>
      <c r="D10" s="316">
        <v>1000000</v>
      </c>
      <c r="E10" s="318" t="s">
        <v>283</v>
      </c>
      <c r="F10" s="316" t="s">
        <v>25</v>
      </c>
      <c r="G10" s="316" t="s">
        <v>111</v>
      </c>
      <c r="H10" s="316">
        <v>0</v>
      </c>
      <c r="I10" s="317" t="s">
        <v>111</v>
      </c>
    </row>
    <row r="11" spans="1:9">
      <c r="A11" s="315" t="s">
        <v>289</v>
      </c>
      <c r="B11" s="316">
        <v>0</v>
      </c>
      <c r="C11" s="316">
        <v>700000</v>
      </c>
      <c r="D11" s="316">
        <v>700000</v>
      </c>
      <c r="E11" s="318" t="s">
        <v>283</v>
      </c>
      <c r="F11" s="316" t="s">
        <v>25</v>
      </c>
      <c r="G11" s="316" t="s">
        <v>111</v>
      </c>
      <c r="H11" s="316">
        <v>0</v>
      </c>
      <c r="I11" s="317" t="s">
        <v>111</v>
      </c>
    </row>
    <row r="12" spans="1:9">
      <c r="A12" s="315" t="s">
        <v>290</v>
      </c>
      <c r="B12" s="316">
        <v>0</v>
      </c>
      <c r="C12" s="316">
        <v>1200000</v>
      </c>
      <c r="D12" s="316">
        <v>0</v>
      </c>
      <c r="E12" s="316" t="s">
        <v>111</v>
      </c>
      <c r="F12" s="316" t="s">
        <v>111</v>
      </c>
      <c r="G12" s="316" t="s">
        <v>111</v>
      </c>
      <c r="H12" s="316">
        <v>1200000</v>
      </c>
      <c r="I12" s="317" t="s">
        <v>111</v>
      </c>
    </row>
    <row r="13" spans="1:9">
      <c r="A13" s="315" t="s">
        <v>291</v>
      </c>
      <c r="B13" s="316">
        <v>1200000</v>
      </c>
      <c r="C13" s="316">
        <v>0</v>
      </c>
      <c r="D13" s="316">
        <v>700000</v>
      </c>
      <c r="E13" s="318" t="s">
        <v>283</v>
      </c>
      <c r="F13" s="316" t="s">
        <v>25</v>
      </c>
      <c r="G13" s="316" t="s">
        <v>111</v>
      </c>
      <c r="H13" s="316">
        <v>500000</v>
      </c>
      <c r="I13" s="317" t="s">
        <v>111</v>
      </c>
    </row>
    <row r="14" spans="1:9">
      <c r="A14" s="319">
        <v>45292</v>
      </c>
      <c r="B14" s="316">
        <v>500000</v>
      </c>
      <c r="C14" s="316">
        <v>0</v>
      </c>
      <c r="D14" s="316">
        <v>500000</v>
      </c>
      <c r="E14" s="318" t="s">
        <v>283</v>
      </c>
      <c r="F14" s="316" t="s">
        <v>25</v>
      </c>
      <c r="G14" s="316" t="s">
        <v>111</v>
      </c>
      <c r="H14" s="316">
        <v>0</v>
      </c>
      <c r="I14" s="317" t="s">
        <v>111</v>
      </c>
    </row>
    <row r="15" spans="1:9">
      <c r="A15" s="319">
        <v>45505</v>
      </c>
      <c r="B15" s="316">
        <v>0</v>
      </c>
      <c r="C15" s="316">
        <v>1000000</v>
      </c>
      <c r="D15" s="316">
        <v>900000</v>
      </c>
      <c r="E15" s="318" t="s">
        <v>283</v>
      </c>
      <c r="F15" s="316" t="s">
        <v>25</v>
      </c>
      <c r="G15" s="316" t="s">
        <v>111</v>
      </c>
      <c r="H15" s="316">
        <v>100000</v>
      </c>
      <c r="I15" s="317" t="s">
        <v>111</v>
      </c>
    </row>
    <row r="16" spans="1:9">
      <c r="A16" s="315" t="s">
        <v>292</v>
      </c>
      <c r="B16" s="316">
        <v>100000</v>
      </c>
      <c r="C16" s="316">
        <v>500000</v>
      </c>
      <c r="D16" s="316">
        <v>0</v>
      </c>
      <c r="E16" s="316" t="s">
        <v>111</v>
      </c>
      <c r="F16" s="316" t="s">
        <v>111</v>
      </c>
      <c r="G16" s="316" t="s">
        <v>111</v>
      </c>
      <c r="H16" s="316">
        <v>600000</v>
      </c>
      <c r="I16" s="317" t="s">
        <v>111</v>
      </c>
    </row>
    <row r="17" spans="1:9">
      <c r="A17" s="315" t="s">
        <v>293</v>
      </c>
      <c r="B17" s="316">
        <v>600000</v>
      </c>
      <c r="C17" s="316">
        <v>0</v>
      </c>
      <c r="D17" s="316">
        <v>600000</v>
      </c>
      <c r="E17" s="318" t="s">
        <v>283</v>
      </c>
      <c r="F17" s="316" t="s">
        <v>25</v>
      </c>
      <c r="G17" s="316" t="s">
        <v>111</v>
      </c>
      <c r="H17" s="316">
        <v>0</v>
      </c>
      <c r="I17" s="317" t="s">
        <v>111</v>
      </c>
    </row>
    <row r="18" spans="1:9">
      <c r="A18" s="315" t="s">
        <v>294</v>
      </c>
      <c r="B18" s="316">
        <v>0</v>
      </c>
      <c r="C18" s="316">
        <v>1000000</v>
      </c>
      <c r="D18" s="316">
        <v>1000000</v>
      </c>
      <c r="E18" s="318" t="s">
        <v>283</v>
      </c>
      <c r="F18" s="316" t="s">
        <v>25</v>
      </c>
      <c r="G18" s="316" t="s">
        <v>111</v>
      </c>
      <c r="H18" s="316">
        <v>0</v>
      </c>
      <c r="I18" s="317" t="s">
        <v>111</v>
      </c>
    </row>
    <row r="19" spans="1:9">
      <c r="A19" s="315" t="s">
        <v>295</v>
      </c>
      <c r="B19" s="316">
        <v>0</v>
      </c>
      <c r="C19" s="316">
        <v>400000</v>
      </c>
      <c r="D19" s="316">
        <v>0</v>
      </c>
      <c r="E19" s="316" t="s">
        <v>111</v>
      </c>
      <c r="F19" s="316" t="s">
        <v>111</v>
      </c>
      <c r="G19" s="316" t="s">
        <v>111</v>
      </c>
      <c r="H19" s="316">
        <v>400000</v>
      </c>
      <c r="I19" s="317" t="s">
        <v>111</v>
      </c>
    </row>
    <row r="20" spans="1:9">
      <c r="A20" s="315" t="s">
        <v>296</v>
      </c>
      <c r="B20" s="316">
        <v>400000</v>
      </c>
      <c r="C20" s="316">
        <v>0</v>
      </c>
      <c r="D20" s="316">
        <v>400000</v>
      </c>
      <c r="E20" s="318" t="s">
        <v>283</v>
      </c>
      <c r="F20" s="316" t="s">
        <v>25</v>
      </c>
      <c r="G20" s="316" t="s">
        <v>111</v>
      </c>
      <c r="H20" s="316">
        <v>0</v>
      </c>
      <c r="I20" s="317" t="s">
        <v>111</v>
      </c>
    </row>
    <row r="21" spans="1:9">
      <c r="A21" s="315" t="s">
        <v>297</v>
      </c>
      <c r="B21" s="316">
        <v>0</v>
      </c>
      <c r="C21" s="316">
        <v>300000</v>
      </c>
      <c r="D21" s="316">
        <v>0</v>
      </c>
      <c r="E21" s="316" t="s">
        <v>111</v>
      </c>
      <c r="F21" s="316" t="s">
        <v>111</v>
      </c>
      <c r="G21" s="316" t="s">
        <v>111</v>
      </c>
      <c r="H21" s="316">
        <v>300000</v>
      </c>
      <c r="I21" s="317" t="s">
        <v>111</v>
      </c>
    </row>
    <row r="22" spans="1:9">
      <c r="A22" s="319">
        <v>45294</v>
      </c>
      <c r="B22" s="316">
        <v>300000</v>
      </c>
      <c r="C22" s="316">
        <v>0</v>
      </c>
      <c r="D22" s="316">
        <v>300000</v>
      </c>
      <c r="E22" s="318" t="s">
        <v>283</v>
      </c>
      <c r="F22" s="316" t="s">
        <v>25</v>
      </c>
      <c r="G22" s="316" t="s">
        <v>111</v>
      </c>
      <c r="H22" s="316">
        <v>0</v>
      </c>
      <c r="I22" s="317" t="s">
        <v>111</v>
      </c>
    </row>
    <row r="23" spans="1:9">
      <c r="A23" s="319">
        <v>45509</v>
      </c>
      <c r="B23" s="316">
        <v>0</v>
      </c>
      <c r="C23" s="316">
        <v>500000</v>
      </c>
      <c r="D23" s="316">
        <v>0</v>
      </c>
      <c r="E23" s="316" t="s">
        <v>111</v>
      </c>
      <c r="F23" s="316" t="s">
        <v>111</v>
      </c>
      <c r="G23" s="316" t="s">
        <v>111</v>
      </c>
      <c r="H23" s="316">
        <v>500000</v>
      </c>
      <c r="I23" s="317" t="s">
        <v>111</v>
      </c>
    </row>
    <row r="24" spans="1:9">
      <c r="A24" s="315" t="s">
        <v>298</v>
      </c>
      <c r="B24" s="316">
        <v>500000</v>
      </c>
      <c r="C24" s="316">
        <v>0</v>
      </c>
      <c r="D24" s="316">
        <v>5046</v>
      </c>
      <c r="E24" s="318" t="s">
        <v>299</v>
      </c>
      <c r="F24" s="318" t="s">
        <v>300</v>
      </c>
      <c r="G24" s="318" t="s">
        <v>111</v>
      </c>
      <c r="H24" s="316">
        <v>494954</v>
      </c>
      <c r="I24" s="317" t="s">
        <v>111</v>
      </c>
    </row>
    <row r="25" spans="1:9">
      <c r="A25" s="315" t="s">
        <v>298</v>
      </c>
      <c r="B25" s="316">
        <v>494954</v>
      </c>
      <c r="C25" s="316" t="s">
        <v>111</v>
      </c>
      <c r="D25" s="316">
        <v>200000</v>
      </c>
      <c r="E25" s="318" t="s">
        <v>299</v>
      </c>
      <c r="F25" s="318" t="s">
        <v>300</v>
      </c>
      <c r="G25" s="318" t="s">
        <v>111</v>
      </c>
      <c r="H25" s="316">
        <v>294954</v>
      </c>
      <c r="I25" s="317" t="s">
        <v>111</v>
      </c>
    </row>
    <row r="26" spans="1:9">
      <c r="A26" s="315" t="s">
        <v>301</v>
      </c>
      <c r="B26" s="316">
        <v>294954</v>
      </c>
      <c r="C26" s="316">
        <v>0</v>
      </c>
      <c r="D26" s="316">
        <v>203521.35</v>
      </c>
      <c r="E26" s="318" t="s">
        <v>302</v>
      </c>
      <c r="F26" s="318" t="s">
        <v>300</v>
      </c>
      <c r="G26" s="318" t="s">
        <v>111</v>
      </c>
      <c r="H26" s="316">
        <v>91432.65</v>
      </c>
      <c r="I26" s="317" t="s">
        <v>111</v>
      </c>
    </row>
    <row r="27" spans="1:9">
      <c r="A27" s="315" t="s">
        <v>301</v>
      </c>
      <c r="B27" s="316">
        <v>91432.65</v>
      </c>
      <c r="C27" s="316">
        <v>0</v>
      </c>
      <c r="D27" s="316">
        <v>22247</v>
      </c>
      <c r="E27" s="318" t="s">
        <v>303</v>
      </c>
      <c r="F27" s="318" t="s">
        <v>304</v>
      </c>
      <c r="G27" s="318" t="s">
        <v>111</v>
      </c>
      <c r="H27" s="316">
        <v>69185.649999999994</v>
      </c>
      <c r="I27" s="317" t="s">
        <v>111</v>
      </c>
    </row>
    <row r="28" spans="1:9">
      <c r="A28" s="315" t="s">
        <v>305</v>
      </c>
      <c r="B28" s="316">
        <v>69185.649999999994</v>
      </c>
      <c r="C28" s="316">
        <v>0</v>
      </c>
      <c r="D28" s="316">
        <v>5181</v>
      </c>
      <c r="E28" s="318" t="s">
        <v>303</v>
      </c>
      <c r="F28" s="318" t="s">
        <v>304</v>
      </c>
      <c r="G28" s="318" t="s">
        <v>111</v>
      </c>
      <c r="H28" s="316">
        <v>64004.65</v>
      </c>
      <c r="I28" s="317" t="s">
        <v>111</v>
      </c>
    </row>
    <row r="29" spans="1:9">
      <c r="A29" s="315" t="s">
        <v>306</v>
      </c>
      <c r="B29" s="316">
        <v>64004.65</v>
      </c>
      <c r="C29" s="316">
        <v>200000</v>
      </c>
      <c r="D29" s="316">
        <v>0</v>
      </c>
      <c r="E29" s="316" t="s">
        <v>111</v>
      </c>
      <c r="F29" s="316" t="s">
        <v>111</v>
      </c>
      <c r="G29" s="316" t="s">
        <v>111</v>
      </c>
      <c r="H29" s="316">
        <v>264004.65000000002</v>
      </c>
      <c r="I29" s="317" t="s">
        <v>111</v>
      </c>
    </row>
    <row r="30" spans="1:9">
      <c r="A30" s="315" t="s">
        <v>307</v>
      </c>
      <c r="B30" s="316">
        <v>264004.65000000002</v>
      </c>
      <c r="C30" s="316">
        <v>0</v>
      </c>
      <c r="D30" s="316">
        <v>100000</v>
      </c>
      <c r="E30" s="318" t="s">
        <v>308</v>
      </c>
      <c r="F30" s="318" t="s">
        <v>300</v>
      </c>
      <c r="G30" s="318" t="s">
        <v>111</v>
      </c>
      <c r="H30" s="316">
        <v>164004.65</v>
      </c>
      <c r="I30" s="317" t="s">
        <v>111</v>
      </c>
    </row>
    <row r="31" spans="1:9">
      <c r="A31" s="315" t="s">
        <v>309</v>
      </c>
      <c r="B31" s="316">
        <v>164004.65</v>
      </c>
      <c r="C31" s="316">
        <v>0</v>
      </c>
      <c r="D31" s="316">
        <v>50000</v>
      </c>
      <c r="E31" s="318" t="s">
        <v>308</v>
      </c>
      <c r="F31" s="318" t="s">
        <v>300</v>
      </c>
      <c r="G31" s="318" t="s">
        <v>111</v>
      </c>
      <c r="H31" s="316">
        <v>114004.65</v>
      </c>
      <c r="I31" s="317" t="s">
        <v>111</v>
      </c>
    </row>
    <row r="32" spans="1:9">
      <c r="A32" s="319">
        <v>45358</v>
      </c>
      <c r="B32" s="316">
        <v>114004.65</v>
      </c>
      <c r="C32" s="316">
        <v>0</v>
      </c>
      <c r="D32" s="316">
        <v>3616.8</v>
      </c>
      <c r="E32" s="318" t="s">
        <v>310</v>
      </c>
      <c r="F32" s="318" t="s">
        <v>300</v>
      </c>
      <c r="G32" s="318" t="s">
        <v>111</v>
      </c>
      <c r="H32" s="316">
        <v>110387.85</v>
      </c>
      <c r="I32" s="317" t="s">
        <v>111</v>
      </c>
    </row>
    <row r="33" spans="1:9">
      <c r="A33" s="319">
        <v>45450</v>
      </c>
      <c r="B33" s="316">
        <v>110387.85</v>
      </c>
      <c r="C33" s="316" t="s">
        <v>111</v>
      </c>
      <c r="D33" s="316">
        <v>3616</v>
      </c>
      <c r="E33" s="318" t="s">
        <v>311</v>
      </c>
      <c r="F33" s="318" t="s">
        <v>300</v>
      </c>
      <c r="G33" s="318" t="s">
        <v>111</v>
      </c>
      <c r="H33" s="316">
        <v>106771.85</v>
      </c>
      <c r="I33" s="317" t="s">
        <v>111</v>
      </c>
    </row>
    <row r="34" spans="1:9">
      <c r="A34" s="319">
        <v>45572</v>
      </c>
      <c r="B34" s="316">
        <v>106771.85</v>
      </c>
      <c r="C34" s="316" t="s">
        <v>111</v>
      </c>
      <c r="D34" s="316">
        <v>2260.5</v>
      </c>
      <c r="E34" s="318" t="s">
        <v>310</v>
      </c>
      <c r="F34" s="318" t="s">
        <v>300</v>
      </c>
      <c r="G34" s="318" t="s">
        <v>111</v>
      </c>
      <c r="H34" s="316">
        <v>104511.35</v>
      </c>
      <c r="I34" s="317" t="s">
        <v>111</v>
      </c>
    </row>
    <row r="35" spans="1:9">
      <c r="A35" s="319">
        <v>45633</v>
      </c>
      <c r="B35" s="316">
        <v>104511.35</v>
      </c>
      <c r="C35" s="316" t="s">
        <v>111</v>
      </c>
      <c r="D35" s="316">
        <v>2260.5</v>
      </c>
      <c r="E35" s="318" t="s">
        <v>310</v>
      </c>
      <c r="F35" s="318" t="s">
        <v>300</v>
      </c>
      <c r="G35" s="318" t="s">
        <v>111</v>
      </c>
      <c r="H35" s="316">
        <v>102250.85</v>
      </c>
      <c r="I35" s="317" t="s">
        <v>111</v>
      </c>
    </row>
    <row r="36" spans="1:9">
      <c r="A36" s="319">
        <v>45606</v>
      </c>
      <c r="B36" s="316">
        <v>102250.85</v>
      </c>
      <c r="C36" s="316">
        <v>10000</v>
      </c>
      <c r="D36" s="316">
        <v>0</v>
      </c>
      <c r="E36" s="316" t="s">
        <v>111</v>
      </c>
      <c r="F36" s="316" t="s">
        <v>111</v>
      </c>
      <c r="G36" s="316" t="s">
        <v>111</v>
      </c>
      <c r="H36" s="316">
        <v>112250.85</v>
      </c>
      <c r="I36" s="317" t="s">
        <v>111</v>
      </c>
    </row>
    <row r="37" spans="1:9">
      <c r="A37" s="315" t="s">
        <v>312</v>
      </c>
      <c r="B37" s="316">
        <v>112250.85</v>
      </c>
      <c r="C37" s="316">
        <v>10000</v>
      </c>
      <c r="D37" s="316">
        <v>0</v>
      </c>
      <c r="E37" s="316" t="s">
        <v>111</v>
      </c>
      <c r="F37" s="316" t="s">
        <v>111</v>
      </c>
      <c r="G37" s="316" t="s">
        <v>111</v>
      </c>
      <c r="H37" s="316">
        <v>122250.85</v>
      </c>
      <c r="I37" s="317" t="s">
        <v>111</v>
      </c>
    </row>
    <row r="38" spans="1:9">
      <c r="A38" s="403" t="s">
        <v>313</v>
      </c>
      <c r="B38" s="404">
        <v>122250.85</v>
      </c>
      <c r="C38" s="404">
        <v>1500000</v>
      </c>
      <c r="D38" s="404">
        <v>1500000</v>
      </c>
      <c r="E38" s="405" t="s">
        <v>314</v>
      </c>
      <c r="F38" s="405" t="s">
        <v>315</v>
      </c>
      <c r="G38" s="405" t="s">
        <v>111</v>
      </c>
      <c r="H38" s="404">
        <v>122250.85</v>
      </c>
      <c r="I38" s="406" t="s">
        <v>111</v>
      </c>
    </row>
    <row r="39" spans="1:9">
      <c r="A39" s="425" t="s">
        <v>316</v>
      </c>
      <c r="B39" s="270">
        <v>122250.85</v>
      </c>
      <c r="C39" s="425">
        <v>1000000</v>
      </c>
      <c r="D39" s="425">
        <v>1000000</v>
      </c>
      <c r="E39" s="426" t="s">
        <v>314</v>
      </c>
      <c r="F39" s="426" t="s">
        <v>315</v>
      </c>
      <c r="G39" s="425"/>
      <c r="H39" s="270">
        <v>122250.85</v>
      </c>
      <c r="I39" s="425"/>
    </row>
    <row r="40" spans="1:9">
      <c r="A40" s="398" t="s">
        <v>317</v>
      </c>
      <c r="B40" s="87">
        <v>122250.85</v>
      </c>
      <c r="C40" s="398">
        <v>1000000</v>
      </c>
      <c r="D40" s="398">
        <v>1000000</v>
      </c>
      <c r="E40" s="402" t="s">
        <v>314</v>
      </c>
      <c r="F40" s="402" t="s">
        <v>315</v>
      </c>
      <c r="G40" s="398"/>
      <c r="H40" s="87">
        <v>122250.85</v>
      </c>
      <c r="I40" s="398"/>
    </row>
  </sheetData>
  <mergeCells count="1">
    <mergeCell ref="A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AD0E-4F0F-49A3-9D4E-A9773ED3E73F}">
  <dimension ref="A7:M21"/>
  <sheetViews>
    <sheetView topLeftCell="A7" workbookViewId="0">
      <selection activeCell="S22" sqref="R22:S22"/>
    </sheetView>
  </sheetViews>
  <sheetFormatPr defaultRowHeight="15"/>
  <cols>
    <col min="1" max="1" width="13" bestFit="1" customWidth="1"/>
    <col min="2" max="2" width="10.42578125" bestFit="1" customWidth="1"/>
    <col min="3" max="4" width="9.28515625" bestFit="1" customWidth="1"/>
    <col min="6" max="6" width="10.42578125" bestFit="1" customWidth="1"/>
    <col min="8" max="8" width="9.28515625" bestFit="1" customWidth="1"/>
  </cols>
  <sheetData>
    <row r="7" spans="1:13">
      <c r="A7" s="513" t="s">
        <v>211</v>
      </c>
      <c r="B7" s="514" t="s">
        <v>318</v>
      </c>
      <c r="C7" s="515"/>
      <c r="D7" s="515"/>
      <c r="E7" s="516"/>
      <c r="F7" s="517" t="s">
        <v>319</v>
      </c>
      <c r="G7" s="518"/>
      <c r="H7" s="518"/>
      <c r="I7" s="519"/>
      <c r="J7" s="512" t="s">
        <v>320</v>
      </c>
      <c r="K7" s="512"/>
      <c r="L7" s="512" t="s">
        <v>321</v>
      </c>
      <c r="M7" s="512"/>
    </row>
    <row r="8" spans="1:13">
      <c r="A8" s="513"/>
      <c r="B8" s="446" t="s">
        <v>322</v>
      </c>
      <c r="C8" s="446" t="s">
        <v>323</v>
      </c>
      <c r="D8" s="446" t="s">
        <v>324</v>
      </c>
      <c r="E8" s="446" t="s">
        <v>323</v>
      </c>
      <c r="F8" s="445" t="s">
        <v>322</v>
      </c>
      <c r="G8" s="445" t="s">
        <v>323</v>
      </c>
      <c r="H8" s="445" t="s">
        <v>324</v>
      </c>
      <c r="I8" s="447" t="s">
        <v>323</v>
      </c>
      <c r="J8" s="448" t="s">
        <v>325</v>
      </c>
      <c r="K8" s="449" t="s">
        <v>323</v>
      </c>
      <c r="L8" s="450" t="s">
        <v>325</v>
      </c>
      <c r="M8" s="451" t="s">
        <v>323</v>
      </c>
    </row>
    <row r="9" spans="1:13">
      <c r="A9" s="23" t="s">
        <v>25</v>
      </c>
      <c r="B9" s="23">
        <v>455200</v>
      </c>
      <c r="C9" s="23">
        <v>5050.7</v>
      </c>
      <c r="D9" s="23">
        <v>29508.41</v>
      </c>
      <c r="E9" s="23">
        <v>283</v>
      </c>
      <c r="F9" s="23">
        <v>447144</v>
      </c>
      <c r="G9" s="23">
        <v>4960</v>
      </c>
      <c r="H9" s="23">
        <v>29508.41</v>
      </c>
      <c r="I9" s="154">
        <v>283</v>
      </c>
      <c r="J9" s="23">
        <f>B9-F9</f>
        <v>8056</v>
      </c>
      <c r="K9" s="154">
        <f>C9-G9</f>
        <v>90.699999999999818</v>
      </c>
      <c r="L9" s="23">
        <f>D9-H9</f>
        <v>0</v>
      </c>
      <c r="M9" s="23">
        <f>E9-I9</f>
        <v>0</v>
      </c>
    </row>
    <row r="10" spans="1:13">
      <c r="A10" s="23" t="s">
        <v>43</v>
      </c>
      <c r="B10" s="23">
        <v>2855943.68</v>
      </c>
      <c r="C10" s="23">
        <v>28953.26</v>
      </c>
      <c r="D10" s="23">
        <v>5230</v>
      </c>
      <c r="E10" s="23">
        <v>50</v>
      </c>
      <c r="F10" s="23">
        <v>1467354</v>
      </c>
      <c r="G10" s="23">
        <v>16100</v>
      </c>
      <c r="H10" s="23">
        <v>5230</v>
      </c>
      <c r="I10" s="154">
        <v>50</v>
      </c>
      <c r="J10" s="23">
        <f>B10-F10</f>
        <v>1388589.6800000002</v>
      </c>
      <c r="K10" s="154">
        <f>C10-G10</f>
        <v>12853.259999999998</v>
      </c>
      <c r="L10" s="23">
        <f>D10-H10</f>
        <v>0</v>
      </c>
      <c r="M10" s="23">
        <f>E10-I10</f>
        <v>0</v>
      </c>
    </row>
    <row r="11" spans="1:13">
      <c r="A11" s="23" t="s">
        <v>19</v>
      </c>
      <c r="B11" s="23">
        <v>1044693</v>
      </c>
      <c r="C11" s="23">
        <v>11700</v>
      </c>
      <c r="D11" s="23">
        <v>64008</v>
      </c>
      <c r="E11" s="23">
        <v>620</v>
      </c>
      <c r="F11" s="23">
        <v>1044693</v>
      </c>
      <c r="G11" s="23">
        <v>11700</v>
      </c>
      <c r="H11" s="23">
        <v>64008</v>
      </c>
      <c r="I11" s="154">
        <v>620</v>
      </c>
      <c r="J11" s="23">
        <f>B11-F11</f>
        <v>0</v>
      </c>
      <c r="K11" s="154">
        <f>C11-G11</f>
        <v>0</v>
      </c>
      <c r="L11" s="23">
        <f>D11-H11</f>
        <v>0</v>
      </c>
      <c r="M11" s="23">
        <f>E11-I11</f>
        <v>0</v>
      </c>
    </row>
    <row r="12" spans="1:13">
      <c r="A12" s="23" t="s">
        <v>326</v>
      </c>
      <c r="B12" s="23">
        <v>74890</v>
      </c>
      <c r="C12" s="23">
        <v>830</v>
      </c>
      <c r="D12" s="23">
        <v>3123</v>
      </c>
      <c r="E12" s="23">
        <v>30</v>
      </c>
      <c r="F12" s="23">
        <f>464687+132640.1</f>
        <v>597327.1</v>
      </c>
      <c r="G12" s="23">
        <f>5149+1470</f>
        <v>6619</v>
      </c>
      <c r="H12" s="23">
        <f>12934+142011.8</f>
        <v>154945.79999999999</v>
      </c>
      <c r="I12" s="154">
        <f>124+90</f>
        <v>214</v>
      </c>
      <c r="J12" s="23">
        <f>B12-F12</f>
        <v>-522437.1</v>
      </c>
      <c r="K12" s="154">
        <f>C12-G12</f>
        <v>-5789</v>
      </c>
      <c r="L12" s="23">
        <f>D12-H12</f>
        <v>-151822.79999999999</v>
      </c>
      <c r="M12" s="23">
        <f>E12-I12</f>
        <v>-184</v>
      </c>
    </row>
    <row r="13" spans="1:13">
      <c r="A13" s="23" t="s">
        <v>327</v>
      </c>
      <c r="B13" s="23">
        <v>225600</v>
      </c>
      <c r="C13" s="23">
        <v>2500</v>
      </c>
      <c r="D13" s="23">
        <v>21869</v>
      </c>
      <c r="E13" s="23">
        <v>210</v>
      </c>
      <c r="F13" s="23">
        <v>225600</v>
      </c>
      <c r="G13" s="23">
        <v>2500</v>
      </c>
      <c r="H13" s="23">
        <v>21869</v>
      </c>
      <c r="I13" s="154">
        <v>210</v>
      </c>
      <c r="J13" s="23">
        <f>B13-F13</f>
        <v>0</v>
      </c>
      <c r="K13" s="154">
        <f>C13-G13</f>
        <v>0</v>
      </c>
      <c r="L13" s="23">
        <f>D13-H13</f>
        <v>0</v>
      </c>
      <c r="M13" s="23">
        <f>E13-I13</f>
        <v>0</v>
      </c>
    </row>
    <row r="14" spans="1:13">
      <c r="A14" s="23" t="s">
        <v>21</v>
      </c>
      <c r="B14" s="23">
        <v>702559.03</v>
      </c>
      <c r="C14" s="23">
        <v>7825.34</v>
      </c>
      <c r="D14" s="23">
        <v>42432</v>
      </c>
      <c r="E14" s="23">
        <v>408</v>
      </c>
      <c r="F14" s="23">
        <v>702559.03</v>
      </c>
      <c r="G14" s="23">
        <v>7825.34</v>
      </c>
      <c r="H14" s="23">
        <v>42432</v>
      </c>
      <c r="I14" s="154">
        <v>408</v>
      </c>
      <c r="J14" s="23">
        <f>B14-F14</f>
        <v>0</v>
      </c>
      <c r="K14" s="154">
        <f>C14-G14</f>
        <v>0</v>
      </c>
      <c r="L14" s="23">
        <f>D14-H14</f>
        <v>0</v>
      </c>
      <c r="M14" s="23">
        <f>E14-I14</f>
        <v>0</v>
      </c>
    </row>
    <row r="15" spans="1:13">
      <c r="A15" s="23" t="s">
        <v>45</v>
      </c>
      <c r="B15" s="23">
        <v>188220.28</v>
      </c>
      <c r="C15" s="23">
        <v>2099.08</v>
      </c>
      <c r="D15" s="23">
        <v>20432.259999999998</v>
      </c>
      <c r="E15" s="23">
        <v>197.09</v>
      </c>
      <c r="F15" s="23">
        <v>251861.16</v>
      </c>
      <c r="G15" s="23">
        <v>2808.93</v>
      </c>
      <c r="H15" s="23">
        <v>18362.03</v>
      </c>
      <c r="I15" s="154">
        <v>177.09</v>
      </c>
      <c r="J15" s="23">
        <f>B15-F15</f>
        <v>-63640.880000000005</v>
      </c>
      <c r="K15" s="154">
        <f>C15-G15</f>
        <v>-709.84999999999991</v>
      </c>
      <c r="L15" s="23">
        <f>D15-H15</f>
        <v>2070.2299999999996</v>
      </c>
      <c r="M15" s="23">
        <f>E15-I15</f>
        <v>20</v>
      </c>
    </row>
    <row r="16" spans="1:13">
      <c r="A16" s="23" t="s">
        <v>328</v>
      </c>
      <c r="B16" s="23">
        <v>8014707.6100000003</v>
      </c>
      <c r="C16" s="23">
        <v>83753.929999999993</v>
      </c>
      <c r="D16" s="23">
        <v>53738.2</v>
      </c>
      <c r="E16" s="23">
        <v>500</v>
      </c>
      <c r="F16" s="23">
        <f>2852606.28+6049297.2</f>
        <v>8901903.4800000004</v>
      </c>
      <c r="G16" s="23">
        <f>29801.57+63224.26</f>
        <v>93025.83</v>
      </c>
      <c r="H16" s="23">
        <f>22037.5+6084221.7</f>
        <v>6106259.2000000002</v>
      </c>
      <c r="I16" s="154">
        <f>205+325</f>
        <v>530</v>
      </c>
      <c r="J16" s="23">
        <f>B16-F16</f>
        <v>-887195.87000000011</v>
      </c>
      <c r="K16" s="154">
        <f>C16-G16</f>
        <v>-9271.9000000000087</v>
      </c>
      <c r="L16" s="23">
        <f>D16-H16</f>
        <v>-6052521</v>
      </c>
      <c r="M16" s="23">
        <f>E16-I16</f>
        <v>-30</v>
      </c>
    </row>
    <row r="17" spans="1:13">
      <c r="A17" s="23" t="s">
        <v>329</v>
      </c>
      <c r="B17" s="23">
        <v>9628772.8699999992</v>
      </c>
      <c r="C17" s="23">
        <v>99916.29</v>
      </c>
      <c r="D17" s="23">
        <v>51507.58</v>
      </c>
      <c r="E17" s="23">
        <v>476</v>
      </c>
      <c r="F17" s="23">
        <f>5507901.87+4514146.97</f>
        <v>10022048.84</v>
      </c>
      <c r="G17" s="23">
        <f>57124.06+46871.01</f>
        <v>103995.07</v>
      </c>
      <c r="H17" s="23">
        <f>47187.23+9730.8</f>
        <v>56918.03</v>
      </c>
      <c r="I17" s="154">
        <f>436+90</f>
        <v>526</v>
      </c>
      <c r="J17" s="23">
        <f>B17-F17</f>
        <v>-393275.97000000067</v>
      </c>
      <c r="K17" s="154">
        <f>C17-G17</f>
        <v>-4078.7800000000134</v>
      </c>
      <c r="L17" s="23">
        <f>D17-H17</f>
        <v>-5410.4499999999971</v>
      </c>
      <c r="M17" s="23">
        <f>E17-I17</f>
        <v>-50</v>
      </c>
    </row>
    <row r="18" spans="1:13">
      <c r="A18" s="23" t="s">
        <v>330</v>
      </c>
      <c r="B18" s="23"/>
      <c r="C18" s="23"/>
      <c r="D18" s="23"/>
      <c r="E18" s="23"/>
      <c r="F18" s="23"/>
      <c r="G18" s="23"/>
      <c r="H18" s="23"/>
      <c r="I18" s="154"/>
      <c r="J18" s="23"/>
      <c r="K18" s="154"/>
      <c r="L18" s="23"/>
      <c r="M18" s="23"/>
    </row>
    <row r="19" spans="1:13">
      <c r="A19" s="23"/>
      <c r="B19" s="23"/>
      <c r="C19" s="23"/>
      <c r="D19" s="23"/>
      <c r="E19" s="23"/>
      <c r="F19" s="23"/>
      <c r="G19" s="23"/>
      <c r="H19" s="23"/>
      <c r="I19" s="154"/>
      <c r="J19" s="23"/>
      <c r="K19" s="154"/>
      <c r="L19" s="23"/>
      <c r="M19" s="23"/>
    </row>
    <row r="20" spans="1:13">
      <c r="A20" s="23"/>
      <c r="B20" s="23"/>
      <c r="C20" s="23"/>
      <c r="D20" s="23"/>
      <c r="E20" s="23"/>
      <c r="F20" s="23"/>
      <c r="G20" s="23"/>
      <c r="H20" s="23"/>
      <c r="I20" s="154"/>
      <c r="J20" s="23"/>
      <c r="K20" s="154"/>
      <c r="L20" s="23"/>
      <c r="M20" s="23"/>
    </row>
    <row r="21" spans="1:13">
      <c r="A21" s="23"/>
      <c r="B21" s="23"/>
      <c r="C21" s="23"/>
      <c r="D21" s="23"/>
      <c r="E21" s="23"/>
      <c r="F21" s="23"/>
      <c r="G21" s="23"/>
      <c r="H21" s="23"/>
      <c r="I21" s="154"/>
      <c r="J21" s="23"/>
      <c r="K21" s="154"/>
      <c r="L21" s="23"/>
      <c r="M21" s="23"/>
    </row>
  </sheetData>
  <mergeCells count="5">
    <mergeCell ref="L7:M7"/>
    <mergeCell ref="A7:A8"/>
    <mergeCell ref="B7:E7"/>
    <mergeCell ref="F7:I7"/>
    <mergeCell ref="J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2026-10-10T09:30:01Z</dcterms:modified>
  <cp:category/>
  <cp:contentStatus/>
</cp:coreProperties>
</file>