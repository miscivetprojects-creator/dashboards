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filterPrivacy="1"/>
  <xr:revisionPtr revIDLastSave="21989" documentId="13_ncr:1_{8AE36FE3-86F3-4CF6-9A97-12266062BE40}" xr6:coauthVersionLast="47" xr6:coauthVersionMax="47" xr10:uidLastSave="{E2E3F278-0A44-4A60-ABA7-7BED2B1492D4}"/>
  <bookViews>
    <workbookView xWindow="-120" yWindow="-120" windowWidth="24240" windowHeight="13020" firstSheet="24" xr2:uid="{00000000-000D-0000-FFFF-FFFF00000000}"/>
  </bookViews>
  <sheets>
    <sheet name="March-25" sheetId="51" r:id="rId1"/>
    <sheet name="Sheet2" sheetId="52" r:id="rId2"/>
    <sheet name="YG Gudda " sheetId="2" r:id="rId3"/>
    <sheet name="Khammam-1" sheetId="5" r:id="rId4"/>
    <sheet name="Khammam-2" sheetId="6" r:id="rId5"/>
    <sheet name="Khammam-3" sheetId="47" r:id="rId6"/>
    <sheet name="Khammam-4" sheetId="48" r:id="rId7"/>
    <sheet name="Khammam-5" sheetId="50" r:id="rId8"/>
    <sheet name="Jedcherla -1" sheetId="18" r:id="rId9"/>
    <sheet name="Jedcherla-2" sheetId="17" r:id="rId10"/>
    <sheet name="Jedcherla-3" sheetId="39" r:id="rId11"/>
    <sheet name="Jadcherla Cash Purchase" sheetId="49" r:id="rId12"/>
    <sheet name="Hosadurga" sheetId="1" r:id="rId13"/>
    <sheet name="Hiriyur(VJNL)" sheetId="3" r:id="rId14"/>
    <sheet name="Chellakere (KUWSDB)" sheetId="20" r:id="rId15"/>
    <sheet name="Kadur" sheetId="7" r:id="rId16"/>
    <sheet name="Malebenur(KUWSDB)" sheetId="16" r:id="rId17"/>
    <sheet name="Molakamuru(KUWSDB)" sheetId="21" r:id="rId18"/>
    <sheet name="Haveri" sheetId="15" r:id="rId19"/>
    <sheet name="Guttal" sheetId="36" r:id="rId20"/>
    <sheet name="Rattihali" sheetId="37" r:id="rId21"/>
    <sheet name="Gajendragada" sheetId="12" r:id="rId22"/>
    <sheet name="Sangareddy" sheetId="32" r:id="rId23"/>
    <sheet name="Jalgaon" sheetId="22" r:id="rId24"/>
    <sheet name="MKBD" sheetId="14" r:id="rId25"/>
    <sheet name="Srirangapatna" sheetId="19" r:id="rId26"/>
    <sheet name=" Talikote" sheetId="26" r:id="rId27"/>
    <sheet name="Chadchan" sheetId="9" r:id="rId28"/>
    <sheet name="Sindagi" sheetId="33" r:id="rId29"/>
    <sheet name="Muddebihal" sheetId="34" r:id="rId30"/>
    <sheet name="Alemela.sindigi" sheetId="35" r:id="rId31"/>
    <sheet name="Khanapur" sheetId="24" r:id="rId32"/>
    <sheet name="Munavalli(KUWSDB)" sheetId="23" r:id="rId33"/>
    <sheet name="Ghattaprabha" sheetId="8" r:id="rId34"/>
    <sheet name="Gokak Dharwad PKG 3" sheetId="41" r:id="rId35"/>
    <sheet name="Ankalgi" sheetId="38" r:id="rId36"/>
    <sheet name="Gokak-2" sheetId="46" r:id="rId37"/>
    <sheet name=" Ghattaprabha-2" sheetId="42" r:id="rId38"/>
    <sheet name="kumta" sheetId="25" r:id="rId39"/>
    <sheet name="Borgaon" sheetId="10" r:id="rId40"/>
    <sheet name="Ugar,Khagwad,Kudichi" sheetId="11" r:id="rId41"/>
    <sheet name="Kabbur" sheetId="40" r:id="rId42"/>
    <sheet name="IOCL MARCH 25" sheetId="43" r:id="rId43"/>
    <sheet name="BPCL March 25" sheetId="44" r:id="rId44"/>
    <sheet name=" HPCL March 2025" sheetId="45" r:id="rId45"/>
  </sheets>
  <definedNames>
    <definedName name="_xlnm._FilterDatabase" localSheetId="42" hidden="1">'IOCL MARCH 25'!$A$2:$P$2</definedName>
    <definedName name="_xlnm.Print_Area" localSheetId="12">Hosadurga!$A$2:$N$39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51" l="1"/>
  <c r="K35" i="7"/>
  <c r="E35" i="11"/>
  <c r="M33" i="1"/>
  <c r="L35" i="15"/>
  <c r="M34" i="15"/>
  <c r="E35" i="15"/>
  <c r="G35" i="36"/>
  <c r="H35" i="36"/>
  <c r="J35" i="36"/>
  <c r="K35" i="36"/>
  <c r="L35" i="36"/>
  <c r="R24" i="3"/>
  <c r="E35" i="7"/>
  <c r="M34" i="8"/>
  <c r="K35" i="8"/>
  <c r="E35" i="8"/>
  <c r="Q12" i="15"/>
  <c r="J32" i="15"/>
  <c r="K32" i="15"/>
  <c r="K31" i="15"/>
  <c r="H35" i="15"/>
  <c r="K41" i="51"/>
  <c r="J41" i="51"/>
  <c r="L35" i="5"/>
  <c r="E36" i="48"/>
  <c r="E35" i="18"/>
  <c r="E35" i="39"/>
  <c r="K12" i="49"/>
  <c r="E35" i="24"/>
  <c r="K4" i="50"/>
  <c r="M4" i="50"/>
  <c r="A1" i="52"/>
  <c r="E41" i="51"/>
  <c r="L45" i="51"/>
  <c r="L47" i="51" s="1"/>
  <c r="F41" i="51"/>
  <c r="G41" i="51"/>
  <c r="H41" i="51"/>
  <c r="J43" i="51"/>
  <c r="K43" i="51"/>
  <c r="I40" i="51"/>
  <c r="L40" i="51" s="1"/>
  <c r="L35" i="19"/>
  <c r="K35" i="19"/>
  <c r="J35" i="19"/>
  <c r="H35" i="19"/>
  <c r="I39" i="51"/>
  <c r="L39" i="51" s="1"/>
  <c r="K43" i="35"/>
  <c r="G43" i="35"/>
  <c r="E43" i="35"/>
  <c r="I38" i="51"/>
  <c r="L38" i="51" s="1"/>
  <c r="L46" i="34"/>
  <c r="K46" i="34"/>
  <c r="J46" i="34"/>
  <c r="H46" i="34"/>
  <c r="G46" i="34"/>
  <c r="E46" i="34"/>
  <c r="I37" i="51"/>
  <c r="L37" i="51" s="1"/>
  <c r="L44" i="33"/>
  <c r="K44" i="33"/>
  <c r="J44" i="33"/>
  <c r="H44" i="33"/>
  <c r="G44" i="33"/>
  <c r="E44" i="33"/>
  <c r="L35" i="9"/>
  <c r="I36" i="51"/>
  <c r="L36" i="51" s="1"/>
  <c r="K35" i="9"/>
  <c r="J35" i="9"/>
  <c r="H35" i="9"/>
  <c r="G35" i="9"/>
  <c r="E35" i="9"/>
  <c r="I35" i="51"/>
  <c r="L35" i="51" s="1"/>
  <c r="L44" i="26"/>
  <c r="K44" i="26"/>
  <c r="J44" i="26"/>
  <c r="H44" i="26"/>
  <c r="G44" i="26"/>
  <c r="E44" i="26"/>
  <c r="I34" i="51"/>
  <c r="L34" i="51" s="1"/>
  <c r="E35" i="38"/>
  <c r="L35" i="38"/>
  <c r="K35" i="38"/>
  <c r="J35" i="38"/>
  <c r="H35" i="38"/>
  <c r="G35" i="38"/>
  <c r="I33" i="51"/>
  <c r="L33" i="51" s="1"/>
  <c r="M35" i="46"/>
  <c r="L35" i="46"/>
  <c r="K35" i="46"/>
  <c r="I35" i="46"/>
  <c r="H35" i="46"/>
  <c r="F35" i="46"/>
  <c r="K35" i="41"/>
  <c r="L35" i="41"/>
  <c r="I32" i="51"/>
  <c r="L32" i="51" s="1"/>
  <c r="H35" i="41"/>
  <c r="G35" i="41"/>
  <c r="E35" i="41"/>
  <c r="K36" i="42"/>
  <c r="K5" i="42"/>
  <c r="K6" i="42"/>
  <c r="K7" i="42"/>
  <c r="K8" i="42"/>
  <c r="K9" i="42"/>
  <c r="K10" i="42"/>
  <c r="K11" i="42"/>
  <c r="K12" i="42"/>
  <c r="K13" i="42"/>
  <c r="K14" i="42"/>
  <c r="K15" i="42"/>
  <c r="K16" i="42"/>
  <c r="K17" i="42"/>
  <c r="K18" i="42"/>
  <c r="K19" i="42"/>
  <c r="K20" i="42"/>
  <c r="K21" i="42"/>
  <c r="K22" i="42"/>
  <c r="K23" i="42"/>
  <c r="K24" i="42"/>
  <c r="K25" i="42"/>
  <c r="K26" i="42"/>
  <c r="K27" i="42"/>
  <c r="K28" i="42"/>
  <c r="K29" i="42"/>
  <c r="K30" i="42"/>
  <c r="K31" i="42"/>
  <c r="K32" i="42"/>
  <c r="K4" i="42"/>
  <c r="H36" i="42"/>
  <c r="J36" i="42"/>
  <c r="I31" i="51"/>
  <c r="L31" i="51" s="1"/>
  <c r="G36" i="42"/>
  <c r="E36" i="42"/>
  <c r="J35" i="41"/>
  <c r="L35" i="8"/>
  <c r="I30" i="51"/>
  <c r="L30" i="51" s="1"/>
  <c r="G35" i="8"/>
  <c r="J35" i="8"/>
  <c r="H35" i="8"/>
  <c r="I29" i="51"/>
  <c r="L29" i="51" s="1"/>
  <c r="I28" i="51"/>
  <c r="K35" i="12"/>
  <c r="J35" i="12"/>
  <c r="L35" i="12"/>
  <c r="H35" i="12"/>
  <c r="G35" i="12"/>
  <c r="E35" i="12"/>
  <c r="L28" i="51"/>
  <c r="L35" i="37"/>
  <c r="K35" i="37"/>
  <c r="J35" i="37"/>
  <c r="H35" i="37"/>
  <c r="G35" i="37"/>
  <c r="E35" i="37"/>
  <c r="I27" i="51"/>
  <c r="L27" i="51" s="1"/>
  <c r="E35" i="36"/>
  <c r="I26" i="51"/>
  <c r="L26" i="51" s="1"/>
  <c r="I25" i="51"/>
  <c r="I24" i="51"/>
  <c r="J35" i="15"/>
  <c r="L25" i="51"/>
  <c r="L35" i="14"/>
  <c r="K35" i="14"/>
  <c r="J35" i="14"/>
  <c r="H35" i="14"/>
  <c r="G35" i="14"/>
  <c r="E35" i="14"/>
  <c r="L24" i="51"/>
  <c r="L36" i="22"/>
  <c r="J36" i="22"/>
  <c r="H36" i="22"/>
  <c r="E36" i="22"/>
  <c r="K36" i="22"/>
  <c r="G36" i="22"/>
  <c r="I23" i="51"/>
  <c r="L23" i="51" s="1"/>
  <c r="J35" i="25"/>
  <c r="H35" i="25"/>
  <c r="L35" i="25"/>
  <c r="K35" i="25"/>
  <c r="G35" i="25"/>
  <c r="E35" i="25"/>
  <c r="I22" i="51"/>
  <c r="L22" i="51" s="1"/>
  <c r="J35" i="40"/>
  <c r="H35" i="40"/>
  <c r="L35" i="40"/>
  <c r="K35" i="40"/>
  <c r="G35" i="40"/>
  <c r="E35" i="40"/>
  <c r="L35" i="11"/>
  <c r="L21" i="51"/>
  <c r="N21" i="51" s="1"/>
  <c r="J35" i="11"/>
  <c r="H35" i="11"/>
  <c r="L35" i="10"/>
  <c r="I20" i="51"/>
  <c r="L20" i="51" s="1"/>
  <c r="J35" i="10"/>
  <c r="H35" i="10"/>
  <c r="E35" i="10"/>
  <c r="L36" i="23"/>
  <c r="K36" i="23"/>
  <c r="I19" i="51"/>
  <c r="L19" i="51" s="1"/>
  <c r="H36" i="23"/>
  <c r="J36" i="23"/>
  <c r="G36" i="23"/>
  <c r="E36" i="23"/>
  <c r="I18" i="51"/>
  <c r="L18" i="51" s="1"/>
  <c r="M35" i="24"/>
  <c r="L35" i="24"/>
  <c r="K35" i="24"/>
  <c r="J35" i="24"/>
  <c r="H35" i="24"/>
  <c r="G35" i="24"/>
  <c r="I17" i="51"/>
  <c r="L17" i="51" s="1"/>
  <c r="L35" i="20"/>
  <c r="K35" i="20"/>
  <c r="J35" i="20"/>
  <c r="H35" i="20"/>
  <c r="G35" i="20"/>
  <c r="E35" i="20"/>
  <c r="L35" i="3"/>
  <c r="I16" i="51"/>
  <c r="L16" i="51" s="1"/>
  <c r="J35" i="3"/>
  <c r="H35" i="3"/>
  <c r="K35" i="3"/>
  <c r="G35" i="3"/>
  <c r="E35" i="3"/>
  <c r="L15" i="51"/>
  <c r="H35" i="7"/>
  <c r="H35" i="16"/>
  <c r="L35" i="7"/>
  <c r="J35" i="7"/>
  <c r="L35" i="16"/>
  <c r="I14" i="51"/>
  <c r="L14" i="51" s="1"/>
  <c r="K35" i="16"/>
  <c r="J35" i="16"/>
  <c r="G35" i="16"/>
  <c r="E35" i="16"/>
  <c r="L35" i="1"/>
  <c r="I13" i="51"/>
  <c r="L13" i="51" s="1"/>
  <c r="H35" i="1"/>
  <c r="E35" i="1"/>
  <c r="L35" i="2"/>
  <c r="I12" i="51"/>
  <c r="L12" i="51" s="1"/>
  <c r="J35" i="2"/>
  <c r="K35" i="2"/>
  <c r="H35" i="2"/>
  <c r="G35" i="2"/>
  <c r="E35" i="2"/>
  <c r="L35" i="32"/>
  <c r="I11" i="51"/>
  <c r="L11" i="51" s="1"/>
  <c r="J35" i="32"/>
  <c r="H35" i="32"/>
  <c r="G35" i="32"/>
  <c r="E35" i="32"/>
  <c r="I10" i="51"/>
  <c r="L10" i="51" s="1"/>
  <c r="G12" i="49"/>
  <c r="E12" i="49"/>
  <c r="I9" i="51"/>
  <c r="L9" i="51" s="1"/>
  <c r="I8" i="51"/>
  <c r="L8" i="51" s="1"/>
  <c r="L35" i="18"/>
  <c r="I7" i="51"/>
  <c r="L7" i="51" s="1"/>
  <c r="H35" i="18"/>
  <c r="I6" i="51"/>
  <c r="L6" i="51" s="1"/>
  <c r="I5" i="51"/>
  <c r="L36" i="48"/>
  <c r="G36" i="48"/>
  <c r="L35" i="47"/>
  <c r="I4" i="51"/>
  <c r="L4" i="51" s="1"/>
  <c r="J35" i="47"/>
  <c r="K35" i="47"/>
  <c r="H35" i="47"/>
  <c r="G35" i="47"/>
  <c r="E35" i="47"/>
  <c r="L36" i="6"/>
  <c r="K36" i="6"/>
  <c r="I3" i="51"/>
  <c r="L3" i="51" s="1"/>
  <c r="J36" i="6"/>
  <c r="H36" i="6"/>
  <c r="G36" i="6"/>
  <c r="E36" i="6"/>
  <c r="I2" i="51"/>
  <c r="K35" i="5"/>
  <c r="G35" i="5"/>
  <c r="E35" i="5"/>
  <c r="M30" i="12"/>
  <c r="M31" i="12"/>
  <c r="M32" i="12"/>
  <c r="M33" i="12"/>
  <c r="J30" i="12"/>
  <c r="K30" i="12"/>
  <c r="J31" i="12"/>
  <c r="K31" i="12"/>
  <c r="J32" i="12"/>
  <c r="K32" i="12"/>
  <c r="J33" i="12"/>
  <c r="K33" i="12"/>
  <c r="N5" i="43"/>
  <c r="M34" i="32"/>
  <c r="N209" i="43"/>
  <c r="L203" i="43"/>
  <c r="H203" i="43"/>
  <c r="L202" i="43"/>
  <c r="H202" i="43"/>
  <c r="H200" i="43"/>
  <c r="H201" i="43"/>
  <c r="L201" i="43" s="1"/>
  <c r="L200" i="43"/>
  <c r="K200" i="43"/>
  <c r="L199" i="43"/>
  <c r="K199" i="43"/>
  <c r="H199" i="43"/>
  <c r="J4" i="50"/>
  <c r="G4" i="50"/>
  <c r="M3" i="50"/>
  <c r="J33" i="7"/>
  <c r="K30" i="7"/>
  <c r="K31" i="7"/>
  <c r="K32" i="7"/>
  <c r="K33" i="7"/>
  <c r="G33" i="7"/>
  <c r="J31" i="38"/>
  <c r="K31" i="38"/>
  <c r="L31" i="38"/>
  <c r="J32" i="38"/>
  <c r="K32" i="38"/>
  <c r="L32" i="38"/>
  <c r="J33" i="38"/>
  <c r="K33" i="38"/>
  <c r="L33" i="38"/>
  <c r="J34" i="38"/>
  <c r="K34" i="38"/>
  <c r="L34" i="38"/>
  <c r="G31" i="38"/>
  <c r="G32" i="38"/>
  <c r="G33" i="38"/>
  <c r="K32" i="41"/>
  <c r="G32" i="41"/>
  <c r="G34" i="25"/>
  <c r="K79" i="44"/>
  <c r="G79" i="44"/>
  <c r="G77" i="44"/>
  <c r="G78" i="44"/>
  <c r="K78" i="44" s="1"/>
  <c r="J78" i="44"/>
  <c r="K69" i="44"/>
  <c r="K70" i="44"/>
  <c r="K71" i="44"/>
  <c r="K72" i="44"/>
  <c r="K73" i="44"/>
  <c r="K74" i="44"/>
  <c r="K75" i="44"/>
  <c r="K76" i="44"/>
  <c r="K77" i="44"/>
  <c r="J76" i="44"/>
  <c r="J77" i="44"/>
  <c r="G76" i="44"/>
  <c r="J69" i="44"/>
  <c r="J70" i="44"/>
  <c r="J71" i="44"/>
  <c r="J72" i="44"/>
  <c r="J73" i="44"/>
  <c r="J74" i="44"/>
  <c r="J75" i="44"/>
  <c r="G75" i="44"/>
  <c r="G73" i="44"/>
  <c r="G72" i="44"/>
  <c r="G71" i="44"/>
  <c r="G70" i="44"/>
  <c r="L198" i="43"/>
  <c r="K198" i="43"/>
  <c r="H198" i="43"/>
  <c r="K197" i="43"/>
  <c r="L197" i="43" s="1"/>
  <c r="H197" i="43"/>
  <c r="L196" i="43"/>
  <c r="K196" i="43"/>
  <c r="H196" i="43"/>
  <c r="L195" i="43"/>
  <c r="K195" i="43"/>
  <c r="H195" i="43"/>
  <c r="K194" i="43"/>
  <c r="L194" i="43"/>
  <c r="H193" i="43"/>
  <c r="H194" i="43"/>
  <c r="K182" i="43"/>
  <c r="L182" i="43"/>
  <c r="K183" i="43"/>
  <c r="L183" i="43"/>
  <c r="K184" i="43"/>
  <c r="L184" i="43"/>
  <c r="K185" i="43"/>
  <c r="L185" i="43"/>
  <c r="K186" i="43"/>
  <c r="L186" i="43"/>
  <c r="K187" i="43"/>
  <c r="L187" i="43"/>
  <c r="K188" i="43"/>
  <c r="L188" i="43"/>
  <c r="K189" i="43"/>
  <c r="L189" i="43"/>
  <c r="K190" i="43"/>
  <c r="L190" i="43"/>
  <c r="K191" i="43"/>
  <c r="L191" i="43"/>
  <c r="K192" i="43"/>
  <c r="L192" i="43"/>
  <c r="K193" i="43"/>
  <c r="L193" i="43"/>
  <c r="H192" i="43"/>
  <c r="H191" i="43"/>
  <c r="H190" i="43"/>
  <c r="H189" i="43"/>
  <c r="H188" i="43"/>
  <c r="H187" i="43"/>
  <c r="H186" i="43"/>
  <c r="H185" i="43"/>
  <c r="H184" i="43"/>
  <c r="H183" i="43"/>
  <c r="H181" i="43"/>
  <c r="H182" i="43"/>
  <c r="E41" i="2"/>
  <c r="K32" i="36"/>
  <c r="J29" i="36"/>
  <c r="J30" i="36"/>
  <c r="J31" i="36"/>
  <c r="J32" i="36"/>
  <c r="K29" i="2"/>
  <c r="K30" i="2"/>
  <c r="K31" i="2"/>
  <c r="K32" i="2"/>
  <c r="K33" i="2"/>
  <c r="J30" i="2"/>
  <c r="J31" i="2"/>
  <c r="J32" i="2"/>
  <c r="J33" i="2"/>
  <c r="G29" i="2"/>
  <c r="G30" i="2"/>
  <c r="G31" i="2"/>
  <c r="G32" i="2"/>
  <c r="G33" i="2"/>
  <c r="J33" i="47"/>
  <c r="K33" i="47"/>
  <c r="M33" i="47"/>
  <c r="G33" i="47"/>
  <c r="E41" i="6"/>
  <c r="M29" i="5"/>
  <c r="M30" i="5"/>
  <c r="M31" i="5"/>
  <c r="M32" i="5"/>
  <c r="M33" i="5"/>
  <c r="M34" i="5"/>
  <c r="M32" i="24"/>
  <c r="K32" i="24"/>
  <c r="L32" i="24"/>
  <c r="J32" i="24"/>
  <c r="Q33" i="15"/>
  <c r="J33" i="16"/>
  <c r="L42" i="2"/>
  <c r="L44" i="2"/>
  <c r="K31" i="16"/>
  <c r="K32" i="16"/>
  <c r="K33" i="16"/>
  <c r="G33" i="16"/>
  <c r="G33" i="11"/>
  <c r="K31" i="40"/>
  <c r="L31" i="40"/>
  <c r="K32" i="40"/>
  <c r="L32" i="40"/>
  <c r="K33" i="40"/>
  <c r="L33" i="40"/>
  <c r="G31" i="40"/>
  <c r="G32" i="40"/>
  <c r="G33" i="40"/>
  <c r="G33" i="25"/>
  <c r="G32" i="25"/>
  <c r="J32" i="47"/>
  <c r="G32" i="47"/>
  <c r="K32" i="47" s="1"/>
  <c r="G32" i="22"/>
  <c r="G30" i="25"/>
  <c r="G31" i="25"/>
  <c r="L32" i="23"/>
  <c r="L33" i="23"/>
  <c r="L31" i="23"/>
  <c r="K33" i="23"/>
  <c r="G33" i="23"/>
  <c r="L25" i="24"/>
  <c r="L26" i="24"/>
  <c r="L27" i="24"/>
  <c r="L28" i="24"/>
  <c r="L29" i="24"/>
  <c r="L30" i="24"/>
  <c r="L31" i="24"/>
  <c r="G68" i="44"/>
  <c r="G69" i="44"/>
  <c r="M69" i="44" s="1"/>
  <c r="M70" i="44" s="1"/>
  <c r="M71" i="44" s="1"/>
  <c r="M72" i="44" s="1"/>
  <c r="M73" i="44" s="1"/>
  <c r="M74" i="44" s="1"/>
  <c r="M75" i="44" s="1"/>
  <c r="M76" i="44" s="1"/>
  <c r="M77" i="44" s="1"/>
  <c r="M78" i="44" s="1"/>
  <c r="M79" i="44" s="1"/>
  <c r="L172" i="43"/>
  <c r="L173" i="43"/>
  <c r="L174" i="43"/>
  <c r="L175" i="43"/>
  <c r="L177" i="43"/>
  <c r="L178" i="43"/>
  <c r="L179" i="43"/>
  <c r="L180" i="43"/>
  <c r="L181" i="43"/>
  <c r="K172" i="43"/>
  <c r="K173" i="43"/>
  <c r="K174" i="43"/>
  <c r="K175" i="43"/>
  <c r="K176" i="43"/>
  <c r="L176" i="43" s="1"/>
  <c r="K177" i="43"/>
  <c r="K178" i="43"/>
  <c r="K179" i="43"/>
  <c r="K180" i="43"/>
  <c r="K181" i="43"/>
  <c r="H180" i="43"/>
  <c r="H179" i="43"/>
  <c r="H178" i="43"/>
  <c r="H177" i="43"/>
  <c r="H176" i="43"/>
  <c r="H175" i="43"/>
  <c r="H174" i="43"/>
  <c r="H173" i="43"/>
  <c r="H172" i="43"/>
  <c r="K170" i="43"/>
  <c r="L170" i="43"/>
  <c r="K171" i="43"/>
  <c r="L171" i="43"/>
  <c r="H171" i="43"/>
  <c r="H170" i="43"/>
  <c r="L169" i="43"/>
  <c r="K169" i="43"/>
  <c r="H169" i="43"/>
  <c r="J31" i="47"/>
  <c r="G31" i="47"/>
  <c r="K31" i="47" s="1"/>
  <c r="K29" i="47"/>
  <c r="J29" i="47"/>
  <c r="J30" i="47"/>
  <c r="K30" i="47" s="1"/>
  <c r="G29" i="47"/>
  <c r="G30" i="47"/>
  <c r="L11" i="49"/>
  <c r="K11" i="49"/>
  <c r="G11" i="49"/>
  <c r="L30" i="38"/>
  <c r="K30" i="38"/>
  <c r="J30" i="38"/>
  <c r="G30" i="38"/>
  <c r="K30" i="40"/>
  <c r="L30" i="40"/>
  <c r="G30" i="40"/>
  <c r="K8" i="45"/>
  <c r="G8" i="45"/>
  <c r="K168" i="43"/>
  <c r="L168" i="43"/>
  <c r="H168" i="43"/>
  <c r="K166" i="43"/>
  <c r="L166" i="43"/>
  <c r="K167" i="43"/>
  <c r="L167" i="43"/>
  <c r="H167" i="43"/>
  <c r="H166" i="43"/>
  <c r="K163" i="43"/>
  <c r="L163" i="43"/>
  <c r="K164" i="43"/>
  <c r="L164" i="43"/>
  <c r="K165" i="43"/>
  <c r="L165" i="43"/>
  <c r="H165" i="43"/>
  <c r="H164" i="43"/>
  <c r="H162" i="43"/>
  <c r="H163" i="43"/>
  <c r="L162" i="43"/>
  <c r="K162" i="43"/>
  <c r="L160" i="43"/>
  <c r="L161" i="43"/>
  <c r="K159" i="43"/>
  <c r="K160" i="43"/>
  <c r="K161" i="43"/>
  <c r="H161" i="43"/>
  <c r="H160" i="43"/>
  <c r="K68" i="44"/>
  <c r="M68" i="44" s="1"/>
  <c r="J68" i="44"/>
  <c r="M67" i="44"/>
  <c r="K67" i="44"/>
  <c r="J67" i="44"/>
  <c r="G67" i="44"/>
  <c r="T24" i="3"/>
  <c r="R25" i="3"/>
  <c r="R26" i="3"/>
  <c r="R28" i="3"/>
  <c r="M29" i="47"/>
  <c r="M30" i="47"/>
  <c r="M31" i="47" s="1"/>
  <c r="M32" i="47" s="1"/>
  <c r="K25" i="6"/>
  <c r="K26" i="6"/>
  <c r="K27" i="6"/>
  <c r="K28" i="6"/>
  <c r="K29" i="6"/>
  <c r="J29" i="6"/>
  <c r="M29" i="12"/>
  <c r="G29" i="25"/>
  <c r="L28" i="38"/>
  <c r="L29" i="38"/>
  <c r="J28" i="38"/>
  <c r="K28" i="38"/>
  <c r="J29" i="38"/>
  <c r="K29" i="38"/>
  <c r="G28" i="38"/>
  <c r="G29" i="38"/>
  <c r="G26" i="38"/>
  <c r="G27" i="38"/>
  <c r="M22" i="41"/>
  <c r="M23" i="41"/>
  <c r="M24" i="41"/>
  <c r="M25" i="41"/>
  <c r="M26" i="41"/>
  <c r="M27" i="41"/>
  <c r="M28" i="41"/>
  <c r="M29" i="41"/>
  <c r="M30" i="41"/>
  <c r="M31" i="41"/>
  <c r="M32" i="41"/>
  <c r="M33" i="41"/>
  <c r="M34" i="41"/>
  <c r="L29" i="40"/>
  <c r="K29" i="40"/>
  <c r="G29" i="40"/>
  <c r="J66" i="44"/>
  <c r="K66" i="44" s="1"/>
  <c r="M66" i="44" s="1"/>
  <c r="G66" i="44"/>
  <c r="L159" i="43"/>
  <c r="H159" i="43"/>
  <c r="K157" i="43"/>
  <c r="L157" i="43"/>
  <c r="K158" i="43"/>
  <c r="L158" i="43"/>
  <c r="H158" i="43"/>
  <c r="H157" i="43"/>
  <c r="L156" i="43"/>
  <c r="K154" i="43"/>
  <c r="K155" i="43"/>
  <c r="K156" i="43"/>
  <c r="H156" i="43"/>
  <c r="L155" i="43"/>
  <c r="H155" i="43"/>
  <c r="L154" i="43"/>
  <c r="H154" i="43"/>
  <c r="L153" i="43"/>
  <c r="K153" i="43"/>
  <c r="H153" i="43"/>
  <c r="K150" i="43"/>
  <c r="L150" i="43"/>
  <c r="K151" i="43"/>
  <c r="L151" i="43"/>
  <c r="K152" i="43"/>
  <c r="L152" i="43"/>
  <c r="H152" i="43"/>
  <c r="H150" i="43"/>
  <c r="H151" i="43"/>
  <c r="L149" i="43"/>
  <c r="K149" i="43"/>
  <c r="H149" i="43"/>
  <c r="K27" i="40"/>
  <c r="L27" i="40"/>
  <c r="K28" i="40"/>
  <c r="L28" i="40"/>
  <c r="G27" i="40"/>
  <c r="G28" i="40"/>
  <c r="M28" i="47"/>
  <c r="K28" i="47"/>
  <c r="J28" i="47"/>
  <c r="G28" i="47"/>
  <c r="L10" i="49"/>
  <c r="K10" i="49"/>
  <c r="K9" i="49"/>
  <c r="L9" i="49"/>
  <c r="G9" i="49"/>
  <c r="G10" i="49"/>
  <c r="L28" i="22"/>
  <c r="J29" i="22"/>
  <c r="G29" i="22"/>
  <c r="K29" i="22" s="1"/>
  <c r="L29" i="22" s="1"/>
  <c r="G27" i="25"/>
  <c r="G28" i="25"/>
  <c r="J25" i="9"/>
  <c r="J26" i="9"/>
  <c r="J27" i="9"/>
  <c r="J28" i="9"/>
  <c r="J29" i="9"/>
  <c r="J30" i="9"/>
  <c r="J31" i="9"/>
  <c r="J32" i="9"/>
  <c r="J33" i="9"/>
  <c r="J34" i="9"/>
  <c r="J24" i="9"/>
  <c r="G28" i="9"/>
  <c r="K28" i="9"/>
  <c r="M5" i="35"/>
  <c r="M6" i="35"/>
  <c r="M7" i="35"/>
  <c r="M8" i="35"/>
  <c r="M9" i="35"/>
  <c r="M10" i="35"/>
  <c r="M11" i="35"/>
  <c r="M12" i="35"/>
  <c r="M13" i="35"/>
  <c r="M14" i="35"/>
  <c r="M15" i="35"/>
  <c r="M16" i="35"/>
  <c r="M17" i="35"/>
  <c r="M18" i="35"/>
  <c r="M19" i="35"/>
  <c r="M20" i="35"/>
  <c r="M21" i="35"/>
  <c r="M22" i="35"/>
  <c r="M23" i="35"/>
  <c r="M24" i="35"/>
  <c r="M25" i="35"/>
  <c r="M26" i="35"/>
  <c r="M27" i="35"/>
  <c r="M4" i="35"/>
  <c r="M64" i="44"/>
  <c r="M65" i="44"/>
  <c r="J65" i="44"/>
  <c r="K65" i="44"/>
  <c r="K64" i="44"/>
  <c r="J59" i="44"/>
  <c r="J60" i="44"/>
  <c r="J61" i="44"/>
  <c r="J62" i="44"/>
  <c r="J63" i="44"/>
  <c r="J64" i="44"/>
  <c r="G64" i="44"/>
  <c r="G65" i="44"/>
  <c r="L148" i="43"/>
  <c r="K148" i="43"/>
  <c r="K144" i="43"/>
  <c r="L144" i="43"/>
  <c r="K145" i="43"/>
  <c r="L145" i="43"/>
  <c r="K146" i="43"/>
  <c r="L146" i="43"/>
  <c r="K147" i="43"/>
  <c r="L147" i="43"/>
  <c r="H148" i="43"/>
  <c r="H147" i="43"/>
  <c r="H146" i="43"/>
  <c r="H145" i="43"/>
  <c r="H144" i="43"/>
  <c r="K140" i="43"/>
  <c r="L140" i="43"/>
  <c r="K141" i="43"/>
  <c r="L141" i="43"/>
  <c r="K142" i="43"/>
  <c r="L142" i="43"/>
  <c r="K143" i="43"/>
  <c r="L143" i="43"/>
  <c r="H143" i="43"/>
  <c r="J26" i="48"/>
  <c r="M24" i="48"/>
  <c r="M25" i="48"/>
  <c r="K26" i="48"/>
  <c r="M26" i="48" s="1"/>
  <c r="M27" i="48" s="1"/>
  <c r="G26" i="48"/>
  <c r="G25" i="48"/>
  <c r="M27" i="47"/>
  <c r="K27" i="47"/>
  <c r="J27" i="47"/>
  <c r="G27" i="47"/>
  <c r="K8" i="49"/>
  <c r="J9" i="49"/>
  <c r="J26" i="38"/>
  <c r="K26" i="38"/>
  <c r="L26" i="38"/>
  <c r="J27" i="38"/>
  <c r="K27" i="38"/>
  <c r="L27" i="38"/>
  <c r="G29" i="34"/>
  <c r="J29" i="34"/>
  <c r="K29" i="34"/>
  <c r="L29" i="34"/>
  <c r="L25" i="36"/>
  <c r="L26" i="36"/>
  <c r="L27" i="36"/>
  <c r="L32" i="36"/>
  <c r="L33" i="36"/>
  <c r="L34" i="36"/>
  <c r="J11" i="15"/>
  <c r="J12" i="15"/>
  <c r="J13" i="15"/>
  <c r="K136" i="43"/>
  <c r="L133" i="43"/>
  <c r="L134" i="43"/>
  <c r="L135" i="43"/>
  <c r="L136" i="43"/>
  <c r="L137" i="43"/>
  <c r="L138" i="43"/>
  <c r="L139" i="43"/>
  <c r="H142" i="43"/>
  <c r="H141" i="43"/>
  <c r="H140" i="43"/>
  <c r="K139" i="43"/>
  <c r="H138" i="43"/>
  <c r="H139" i="43"/>
  <c r="K137" i="43"/>
  <c r="K138" i="43"/>
  <c r="H136" i="43"/>
  <c r="H137" i="43"/>
  <c r="K133" i="43"/>
  <c r="K134" i="43"/>
  <c r="K135" i="43"/>
  <c r="H135" i="43"/>
  <c r="H134" i="43"/>
  <c r="H133" i="43"/>
  <c r="K60" i="44"/>
  <c r="K61" i="44"/>
  <c r="G63" i="44"/>
  <c r="K63" i="44" s="1"/>
  <c r="G62" i="44"/>
  <c r="K62" i="44" s="1"/>
  <c r="G61" i="44"/>
  <c r="G60" i="44"/>
  <c r="G8" i="49"/>
  <c r="L8" i="49" s="1"/>
  <c r="G4" i="49"/>
  <c r="K4" i="49" s="1"/>
  <c r="L4" i="49" s="1"/>
  <c r="G5" i="49"/>
  <c r="K5" i="49" s="1"/>
  <c r="L5" i="49" s="1"/>
  <c r="G6" i="49"/>
  <c r="K6" i="49" s="1"/>
  <c r="L6" i="49" s="1"/>
  <c r="G7" i="49"/>
  <c r="K7" i="49" s="1"/>
  <c r="L7" i="49" s="1"/>
  <c r="G3" i="49"/>
  <c r="K3" i="49" s="1"/>
  <c r="L3" i="49" s="1"/>
  <c r="J26" i="47"/>
  <c r="K26" i="47"/>
  <c r="M26" i="47" s="1"/>
  <c r="G26" i="47"/>
  <c r="M25" i="47"/>
  <c r="J24" i="47"/>
  <c r="K24" i="47"/>
  <c r="J25" i="47"/>
  <c r="K25" i="47"/>
  <c r="G25" i="47"/>
  <c r="G26" i="25"/>
  <c r="G25" i="25"/>
  <c r="G24" i="38"/>
  <c r="G25" i="38"/>
  <c r="K25" i="38"/>
  <c r="L25" i="38" s="1"/>
  <c r="J25" i="38"/>
  <c r="K25" i="40"/>
  <c r="L25" i="40"/>
  <c r="K26" i="40"/>
  <c r="L26" i="40"/>
  <c r="G25" i="40"/>
  <c r="G26" i="40"/>
  <c r="L26" i="23"/>
  <c r="L27" i="23"/>
  <c r="K130" i="43"/>
  <c r="L130" i="43"/>
  <c r="K131" i="43"/>
  <c r="L131" i="43"/>
  <c r="K132" i="43"/>
  <c r="L132" i="43"/>
  <c r="H132" i="43"/>
  <c r="H131" i="43"/>
  <c r="H130" i="43"/>
  <c r="K128" i="43"/>
  <c r="L128" i="43"/>
  <c r="K129" i="43"/>
  <c r="L129" i="43"/>
  <c r="H127" i="43"/>
  <c r="H128" i="43"/>
  <c r="H129" i="43"/>
  <c r="L127" i="43"/>
  <c r="K127" i="43"/>
  <c r="K126" i="43"/>
  <c r="L126" i="43"/>
  <c r="H126" i="43"/>
  <c r="K59" i="44"/>
  <c r="M59" i="44" s="1"/>
  <c r="M60" i="44" s="1"/>
  <c r="M61" i="44" s="1"/>
  <c r="G58" i="44"/>
  <c r="G59" i="44"/>
  <c r="K58" i="44"/>
  <c r="M58" i="44" s="1"/>
  <c r="J57" i="44"/>
  <c r="J58" i="44"/>
  <c r="K57" i="44"/>
  <c r="M57" i="44" s="1"/>
  <c r="G56" i="44"/>
  <c r="G57" i="44"/>
  <c r="K55" i="44"/>
  <c r="M55" i="44"/>
  <c r="K56" i="44"/>
  <c r="M56" i="44"/>
  <c r="J54" i="44"/>
  <c r="J55" i="44"/>
  <c r="J56" i="44"/>
  <c r="G55" i="44"/>
  <c r="M24" i="47"/>
  <c r="G24" i="47"/>
  <c r="G26" i="18"/>
  <c r="K22" i="40"/>
  <c r="L22" i="40"/>
  <c r="K23" i="40"/>
  <c r="L23" i="40"/>
  <c r="K24" i="40"/>
  <c r="L24" i="40"/>
  <c r="G22" i="40"/>
  <c r="G23" i="40"/>
  <c r="G24" i="40"/>
  <c r="L22" i="42"/>
  <c r="L23" i="42"/>
  <c r="L24" i="42"/>
  <c r="L25" i="42"/>
  <c r="G22" i="42"/>
  <c r="G23" i="42"/>
  <c r="G24" i="42"/>
  <c r="G25" i="42"/>
  <c r="K24" i="38"/>
  <c r="L24" i="38" s="1"/>
  <c r="J22" i="38"/>
  <c r="J23" i="38"/>
  <c r="J24" i="38"/>
  <c r="L24" i="36"/>
  <c r="G24" i="25"/>
  <c r="K24" i="3"/>
  <c r="L25" i="23"/>
  <c r="L22" i="23"/>
  <c r="L22" i="24"/>
  <c r="L23" i="24"/>
  <c r="K54" i="44"/>
  <c r="M54" i="44" s="1"/>
  <c r="G52" i="44"/>
  <c r="G53" i="44"/>
  <c r="G54" i="44"/>
  <c r="K123" i="43"/>
  <c r="L123" i="43"/>
  <c r="K124" i="43"/>
  <c r="L124" i="43"/>
  <c r="K125" i="43"/>
  <c r="L125" i="43"/>
  <c r="H125" i="43"/>
  <c r="H124" i="43"/>
  <c r="H123" i="43"/>
  <c r="K121" i="43"/>
  <c r="L121" i="43"/>
  <c r="K122" i="43"/>
  <c r="L122" i="43"/>
  <c r="H122" i="43"/>
  <c r="M23" i="47"/>
  <c r="K23" i="47"/>
  <c r="J23" i="47"/>
  <c r="G23" i="47"/>
  <c r="G23" i="25"/>
  <c r="K22" i="38"/>
  <c r="L22" i="38"/>
  <c r="K23" i="38"/>
  <c r="L23" i="38"/>
  <c r="G22" i="38"/>
  <c r="G23" i="38"/>
  <c r="L23" i="36"/>
  <c r="K53" i="44"/>
  <c r="J53" i="44"/>
  <c r="H121" i="43"/>
  <c r="K120" i="43"/>
  <c r="L120" i="43"/>
  <c r="P17" i="2"/>
  <c r="H120" i="43"/>
  <c r="K118" i="43"/>
  <c r="K119" i="43"/>
  <c r="L119" i="43"/>
  <c r="H119" i="43"/>
  <c r="H118" i="43"/>
  <c r="L118" i="43" s="1"/>
  <c r="M22" i="47"/>
  <c r="K22" i="47"/>
  <c r="J22" i="47"/>
  <c r="G22" i="47"/>
  <c r="L22" i="36"/>
  <c r="G22" i="25"/>
  <c r="K15" i="23"/>
  <c r="L15" i="23"/>
  <c r="L117" i="43"/>
  <c r="K117" i="43"/>
  <c r="H117" i="43"/>
  <c r="H116" i="43"/>
  <c r="L116" i="43"/>
  <c r="K116" i="43"/>
  <c r="L115" i="43"/>
  <c r="K115" i="43"/>
  <c r="H114" i="43"/>
  <c r="H115" i="43"/>
  <c r="L114" i="43"/>
  <c r="K114" i="43"/>
  <c r="K113" i="43"/>
  <c r="K108" i="43"/>
  <c r="K109" i="43"/>
  <c r="K110" i="43"/>
  <c r="K111" i="43"/>
  <c r="K112" i="43"/>
  <c r="L112" i="43"/>
  <c r="L113" i="43"/>
  <c r="H113" i="43"/>
  <c r="H112" i="43"/>
  <c r="M51" i="44"/>
  <c r="K52" i="44"/>
  <c r="M52" i="44" s="1"/>
  <c r="M53" i="44" s="1"/>
  <c r="J45" i="44"/>
  <c r="J46" i="44"/>
  <c r="J47" i="44"/>
  <c r="J48" i="44"/>
  <c r="J49" i="44"/>
  <c r="J50" i="44"/>
  <c r="J51" i="44"/>
  <c r="J52" i="44"/>
  <c r="K51" i="44"/>
  <c r="G51" i="44"/>
  <c r="J21" i="38"/>
  <c r="K21" i="38"/>
  <c r="K20" i="38"/>
  <c r="L20" i="38"/>
  <c r="L21" i="38"/>
  <c r="G21" i="38"/>
  <c r="J18" i="38"/>
  <c r="J19" i="38"/>
  <c r="J20" i="38"/>
  <c r="G20" i="38"/>
  <c r="M21" i="47"/>
  <c r="K21" i="47"/>
  <c r="J21" i="47"/>
  <c r="G21" i="47"/>
  <c r="L21" i="40"/>
  <c r="K21" i="40"/>
  <c r="J21" i="40"/>
  <c r="G21" i="40"/>
  <c r="L19" i="24"/>
  <c r="L20" i="24"/>
  <c r="L21" i="24"/>
  <c r="G21" i="25"/>
  <c r="L21" i="36"/>
  <c r="P24" i="18"/>
  <c r="P30" i="39"/>
  <c r="K50" i="44"/>
  <c r="G50" i="44"/>
  <c r="L108" i="43"/>
  <c r="L109" i="43"/>
  <c r="L110" i="43"/>
  <c r="L111" i="43"/>
  <c r="H111" i="43"/>
  <c r="H110" i="43"/>
  <c r="H109" i="43"/>
  <c r="H108" i="43"/>
  <c r="L107" i="43"/>
  <c r="K107" i="43"/>
  <c r="H107" i="43"/>
  <c r="J17" i="47"/>
  <c r="J18" i="47"/>
  <c r="J19" i="47"/>
  <c r="J20" i="47"/>
  <c r="K20" i="47"/>
  <c r="G20" i="47"/>
  <c r="X16" i="1"/>
  <c r="L16" i="42"/>
  <c r="L17" i="42"/>
  <c r="L18" i="42"/>
  <c r="L19" i="42"/>
  <c r="L20" i="42"/>
  <c r="L21" i="42"/>
  <c r="J16" i="42"/>
  <c r="J17" i="42"/>
  <c r="J18" i="42"/>
  <c r="J19" i="42"/>
  <c r="J20" i="42"/>
  <c r="J21" i="42"/>
  <c r="G16" i="42"/>
  <c r="G17" i="42"/>
  <c r="G18" i="42"/>
  <c r="G19" i="42"/>
  <c r="G20" i="42"/>
  <c r="G21" i="42"/>
  <c r="G20" i="25"/>
  <c r="L19" i="36"/>
  <c r="L20" i="36"/>
  <c r="L21" i="23"/>
  <c r="L24" i="16"/>
  <c r="G18" i="40"/>
  <c r="J18" i="40"/>
  <c r="K18" i="40"/>
  <c r="L18" i="40"/>
  <c r="G19" i="40"/>
  <c r="J19" i="40"/>
  <c r="K19" i="40"/>
  <c r="L19" i="40"/>
  <c r="G20" i="40"/>
  <c r="J20" i="40"/>
  <c r="K20" i="40"/>
  <c r="L20" i="40"/>
  <c r="V21" i="16"/>
  <c r="V20" i="16"/>
  <c r="K49" i="44"/>
  <c r="G49" i="44"/>
  <c r="K48" i="44"/>
  <c r="G48" i="44"/>
  <c r="K47" i="44"/>
  <c r="G47" i="44"/>
  <c r="K46" i="44"/>
  <c r="G46" i="44"/>
  <c r="K104" i="43"/>
  <c r="L104" i="43"/>
  <c r="K105" i="43"/>
  <c r="K106" i="43"/>
  <c r="L106" i="43"/>
  <c r="H106" i="43"/>
  <c r="H105" i="43"/>
  <c r="L105" i="43" s="1"/>
  <c r="H103" i="43"/>
  <c r="H104" i="43"/>
  <c r="K102" i="43"/>
  <c r="K103" i="43"/>
  <c r="L103" i="43"/>
  <c r="H102" i="43"/>
  <c r="L102" i="43" s="1"/>
  <c r="K101" i="43"/>
  <c r="H101" i="43"/>
  <c r="L101" i="43" s="1"/>
  <c r="K100" i="43"/>
  <c r="H100" i="43"/>
  <c r="L100" i="43" s="1"/>
  <c r="G4" i="48"/>
  <c r="J4" i="48"/>
  <c r="J6" i="48"/>
  <c r="J7" i="48"/>
  <c r="J8" i="48"/>
  <c r="J9" i="48"/>
  <c r="J10" i="48"/>
  <c r="J11" i="48"/>
  <c r="J12" i="48"/>
  <c r="J13" i="48"/>
  <c r="J14" i="48"/>
  <c r="J15" i="48"/>
  <c r="J16" i="48"/>
  <c r="J17" i="48"/>
  <c r="J18" i="48"/>
  <c r="J19" i="48"/>
  <c r="J20" i="48"/>
  <c r="J21" i="48"/>
  <c r="J22" i="48"/>
  <c r="J23" i="48"/>
  <c r="J24" i="48"/>
  <c r="J25" i="48"/>
  <c r="J27" i="48"/>
  <c r="J28" i="48"/>
  <c r="J29" i="48"/>
  <c r="J30" i="48"/>
  <c r="J31" i="48"/>
  <c r="J32" i="48"/>
  <c r="J33" i="48"/>
  <c r="J34" i="48"/>
  <c r="J35" i="48"/>
  <c r="J5" i="48"/>
  <c r="G6" i="48"/>
  <c r="K6" i="48" s="1"/>
  <c r="G7" i="48"/>
  <c r="K7" i="48" s="1"/>
  <c r="G8" i="48"/>
  <c r="K8" i="48" s="1"/>
  <c r="G9" i="48"/>
  <c r="K9" i="48" s="1"/>
  <c r="G10" i="48"/>
  <c r="K10" i="48" s="1"/>
  <c r="G11" i="48"/>
  <c r="K11" i="48" s="1"/>
  <c r="G12" i="48"/>
  <c r="K12" i="48" s="1"/>
  <c r="G13" i="48"/>
  <c r="K13" i="48" s="1"/>
  <c r="G14" i="48"/>
  <c r="K14" i="48" s="1"/>
  <c r="G15" i="48"/>
  <c r="K15" i="48" s="1"/>
  <c r="G16" i="48"/>
  <c r="K16" i="48" s="1"/>
  <c r="G17" i="48"/>
  <c r="K17" i="48" s="1"/>
  <c r="G18" i="48"/>
  <c r="K18" i="48" s="1"/>
  <c r="G19" i="48"/>
  <c r="K19" i="48" s="1"/>
  <c r="G20" i="48"/>
  <c r="K20" i="48" s="1"/>
  <c r="G21" i="48"/>
  <c r="K21" i="48" s="1"/>
  <c r="G22" i="48"/>
  <c r="K22" i="48" s="1"/>
  <c r="G23" i="48"/>
  <c r="K23" i="48" s="1"/>
  <c r="G24" i="48"/>
  <c r="K24" i="48" s="1"/>
  <c r="K25" i="48"/>
  <c r="G27" i="48"/>
  <c r="K27" i="48" s="1"/>
  <c r="G28" i="48"/>
  <c r="K28" i="48" s="1"/>
  <c r="G29" i="48"/>
  <c r="K29" i="48" s="1"/>
  <c r="G30" i="48"/>
  <c r="K30" i="48" s="1"/>
  <c r="G31" i="48"/>
  <c r="K31" i="48" s="1"/>
  <c r="G32" i="48"/>
  <c r="K32" i="48" s="1"/>
  <c r="G33" i="48"/>
  <c r="K33" i="48" s="1"/>
  <c r="G34" i="48"/>
  <c r="K34" i="48" s="1"/>
  <c r="G35" i="48"/>
  <c r="K35" i="48" s="1"/>
  <c r="G5" i="48"/>
  <c r="K5" i="48" s="1"/>
  <c r="J36" i="48"/>
  <c r="H36" i="48"/>
  <c r="M3" i="48"/>
  <c r="K19" i="47"/>
  <c r="G19" i="47"/>
  <c r="K18" i="47"/>
  <c r="G18" i="47"/>
  <c r="K18" i="38"/>
  <c r="K19" i="38"/>
  <c r="L18" i="38"/>
  <c r="L19" i="38"/>
  <c r="G18" i="38"/>
  <c r="G19" i="38"/>
  <c r="G19" i="25"/>
  <c r="G18" i="25"/>
  <c r="J16" i="34"/>
  <c r="G16" i="34"/>
  <c r="L18" i="37"/>
  <c r="L19" i="37"/>
  <c r="L18" i="36"/>
  <c r="G18" i="11"/>
  <c r="L19" i="23"/>
  <c r="L20" i="23"/>
  <c r="L17" i="24"/>
  <c r="L18" i="24"/>
  <c r="K45" i="44"/>
  <c r="M45" i="44" s="1"/>
  <c r="M46" i="44" s="1"/>
  <c r="M47" i="44" s="1"/>
  <c r="M48" i="44" s="1"/>
  <c r="M49" i="44" s="1"/>
  <c r="M50" i="44" s="1"/>
  <c r="G43" i="44"/>
  <c r="G44" i="44"/>
  <c r="G45" i="44"/>
  <c r="K96" i="43"/>
  <c r="K97" i="43"/>
  <c r="K98" i="43"/>
  <c r="K99" i="43"/>
  <c r="H99" i="43"/>
  <c r="L99" i="43" s="1"/>
  <c r="H98" i="43"/>
  <c r="L98" i="43" s="1"/>
  <c r="H97" i="43"/>
  <c r="L97" i="43" s="1"/>
  <c r="H96" i="43"/>
  <c r="L96" i="43" s="1"/>
  <c r="K95" i="43"/>
  <c r="H95" i="43"/>
  <c r="L95" i="43" s="1"/>
  <c r="K92" i="43"/>
  <c r="K93" i="43"/>
  <c r="K94" i="43"/>
  <c r="H94" i="43"/>
  <c r="L94" i="43" s="1"/>
  <c r="G17" i="47"/>
  <c r="K17" i="47" s="1"/>
  <c r="M17" i="47" s="1"/>
  <c r="M18" i="47" s="1"/>
  <c r="M19" i="47" s="1"/>
  <c r="M20" i="47" s="1"/>
  <c r="L18" i="23"/>
  <c r="L16" i="36"/>
  <c r="L17" i="36"/>
  <c r="K15" i="15"/>
  <c r="K16" i="15"/>
  <c r="K17" i="15"/>
  <c r="K16" i="38"/>
  <c r="K17" i="38"/>
  <c r="L16" i="38"/>
  <c r="L17" i="38"/>
  <c r="J16" i="38"/>
  <c r="J17" i="38"/>
  <c r="G16" i="38"/>
  <c r="G17" i="38"/>
  <c r="L12" i="37"/>
  <c r="L13" i="37"/>
  <c r="L14" i="37"/>
  <c r="L15" i="37"/>
  <c r="L16" i="37"/>
  <c r="L17" i="37"/>
  <c r="L15" i="36"/>
  <c r="G15" i="25"/>
  <c r="G16" i="25"/>
  <c r="G17" i="25"/>
  <c r="J14" i="40"/>
  <c r="J15" i="40"/>
  <c r="J16" i="40"/>
  <c r="J17" i="40"/>
  <c r="K14" i="40"/>
  <c r="K15" i="40"/>
  <c r="K16" i="40"/>
  <c r="K17" i="40"/>
  <c r="L14" i="40"/>
  <c r="L15" i="40"/>
  <c r="L16" i="40"/>
  <c r="L17" i="40"/>
  <c r="G12" i="40"/>
  <c r="G13" i="40"/>
  <c r="G14" i="40"/>
  <c r="G15" i="40"/>
  <c r="G16" i="40"/>
  <c r="G17" i="40"/>
  <c r="K42" i="44"/>
  <c r="K43" i="44"/>
  <c r="K44" i="44"/>
  <c r="M42" i="44"/>
  <c r="M43" i="44"/>
  <c r="M44" i="44"/>
  <c r="J44" i="44"/>
  <c r="J42" i="44"/>
  <c r="J43" i="44"/>
  <c r="G41" i="44"/>
  <c r="G42" i="44"/>
  <c r="H93" i="43"/>
  <c r="L93" i="43" s="1"/>
  <c r="H91" i="43"/>
  <c r="H92" i="43"/>
  <c r="L92" i="43" s="1"/>
  <c r="K87" i="43"/>
  <c r="K88" i="43"/>
  <c r="K89" i="43"/>
  <c r="K90" i="43"/>
  <c r="K91" i="43"/>
  <c r="L91" i="43" s="1"/>
  <c r="H90" i="43"/>
  <c r="L90" i="43" s="1"/>
  <c r="H89" i="43"/>
  <c r="L89" i="43" s="1"/>
  <c r="J14" i="47"/>
  <c r="J15" i="47"/>
  <c r="J16" i="47"/>
  <c r="K16" i="47"/>
  <c r="G16" i="47"/>
  <c r="L17" i="23"/>
  <c r="L16" i="23"/>
  <c r="L16" i="24"/>
  <c r="M40" i="44"/>
  <c r="K41" i="44"/>
  <c r="M41" i="44" s="1"/>
  <c r="J40" i="44"/>
  <c r="J41" i="44"/>
  <c r="K40" i="44"/>
  <c r="G40" i="44"/>
  <c r="H88" i="43"/>
  <c r="L88" i="43" s="1"/>
  <c r="H87" i="43"/>
  <c r="L87" i="43" s="1"/>
  <c r="K84" i="43"/>
  <c r="K85" i="43"/>
  <c r="K86" i="43"/>
  <c r="H86" i="43"/>
  <c r="L86" i="43" s="1"/>
  <c r="H85" i="43"/>
  <c r="L85" i="43" s="1"/>
  <c r="H84" i="43"/>
  <c r="L84" i="43"/>
  <c r="K83" i="43"/>
  <c r="H83" i="43"/>
  <c r="L83" i="43" s="1"/>
  <c r="L15" i="24"/>
  <c r="M38" i="44"/>
  <c r="M39" i="44"/>
  <c r="K38" i="44"/>
  <c r="K39" i="44"/>
  <c r="J38" i="44"/>
  <c r="J39" i="44"/>
  <c r="G39" i="44"/>
  <c r="G38" i="44"/>
  <c r="M37" i="44"/>
  <c r="K37" i="44"/>
  <c r="J37" i="44"/>
  <c r="G36" i="44"/>
  <c r="G37" i="44"/>
  <c r="M35" i="44"/>
  <c r="K35" i="44"/>
  <c r="K36" i="44"/>
  <c r="M36" i="44" s="1"/>
  <c r="J34" i="44"/>
  <c r="J35" i="44"/>
  <c r="J36" i="44"/>
  <c r="G35" i="44"/>
  <c r="K82" i="43"/>
  <c r="K81" i="43"/>
  <c r="H82" i="43"/>
  <c r="L82" i="43" s="1"/>
  <c r="H81" i="43"/>
  <c r="L81" i="43" s="1"/>
  <c r="K80" i="43"/>
  <c r="H80" i="43"/>
  <c r="L80" i="43" s="1"/>
  <c r="K75" i="43"/>
  <c r="K76" i="43"/>
  <c r="K77" i="43"/>
  <c r="K78" i="43"/>
  <c r="K79" i="43"/>
  <c r="H79" i="43"/>
  <c r="L79" i="43" s="1"/>
  <c r="H78" i="43"/>
  <c r="L78" i="43" s="1"/>
  <c r="H77" i="43"/>
  <c r="L77" i="43" s="1"/>
  <c r="H76" i="43"/>
  <c r="L76" i="43" s="1"/>
  <c r="H75" i="43"/>
  <c r="L75" i="43" s="1"/>
  <c r="K74" i="43"/>
  <c r="H74" i="43"/>
  <c r="L74" i="43" s="1"/>
  <c r="G15" i="47"/>
  <c r="K15" i="47" s="1"/>
  <c r="L14" i="36"/>
  <c r="G14" i="25"/>
  <c r="L12" i="24"/>
  <c r="L13" i="24"/>
  <c r="L14" i="24"/>
  <c r="K34" i="44"/>
  <c r="G34" i="44"/>
  <c r="K32" i="44"/>
  <c r="K33" i="44"/>
  <c r="J32" i="44"/>
  <c r="J33" i="44"/>
  <c r="G33" i="44"/>
  <c r="G30" i="44"/>
  <c r="G31" i="44"/>
  <c r="G32" i="44"/>
  <c r="K31" i="44"/>
  <c r="J25" i="44"/>
  <c r="J26" i="44"/>
  <c r="J27" i="44"/>
  <c r="J28" i="44"/>
  <c r="J29" i="44"/>
  <c r="J30" i="44"/>
  <c r="J31" i="44"/>
  <c r="K73" i="43"/>
  <c r="H73" i="43"/>
  <c r="K72" i="43"/>
  <c r="H71" i="43"/>
  <c r="H72" i="43"/>
  <c r="L72" i="43" s="1"/>
  <c r="K71" i="43"/>
  <c r="L71" i="43" s="1"/>
  <c r="K68" i="43"/>
  <c r="K69" i="43"/>
  <c r="K70" i="43"/>
  <c r="H70" i="43"/>
  <c r="L70" i="43" s="1"/>
  <c r="H69" i="43"/>
  <c r="L69" i="43" s="1"/>
  <c r="H68" i="43"/>
  <c r="L68" i="43" s="1"/>
  <c r="K6" i="45"/>
  <c r="K7" i="45"/>
  <c r="G6" i="45"/>
  <c r="G7" i="45"/>
  <c r="M13" i="47"/>
  <c r="G13" i="47"/>
  <c r="G14" i="47"/>
  <c r="K14" i="47" s="1"/>
  <c r="M14" i="47" s="1"/>
  <c r="M15" i="47" s="1"/>
  <c r="M16" i="47" s="1"/>
  <c r="K13" i="47"/>
  <c r="J12" i="47"/>
  <c r="J13" i="47"/>
  <c r="K12" i="40"/>
  <c r="L12" i="40" s="1"/>
  <c r="K13" i="40"/>
  <c r="L13" i="40" s="1"/>
  <c r="J9" i="40"/>
  <c r="J10" i="40"/>
  <c r="J11" i="40"/>
  <c r="J12" i="40"/>
  <c r="J13" i="40"/>
  <c r="G12" i="25"/>
  <c r="G13" i="25"/>
  <c r="L13" i="36"/>
  <c r="L14" i="23"/>
  <c r="L14" i="42"/>
  <c r="G14" i="42"/>
  <c r="K25" i="44"/>
  <c r="K26" i="44"/>
  <c r="K27" i="44"/>
  <c r="K28" i="44"/>
  <c r="K29" i="44"/>
  <c r="K30" i="44"/>
  <c r="G25" i="44"/>
  <c r="G26" i="44"/>
  <c r="G27" i="44"/>
  <c r="G28" i="44"/>
  <c r="G29" i="44"/>
  <c r="K65" i="43"/>
  <c r="K66" i="43"/>
  <c r="K67" i="43"/>
  <c r="H67" i="43"/>
  <c r="L67" i="43" s="1"/>
  <c r="H66" i="43"/>
  <c r="L66" i="43" s="1"/>
  <c r="H65" i="43"/>
  <c r="L65" i="43" s="1"/>
  <c r="K63" i="43"/>
  <c r="K64" i="43"/>
  <c r="H64" i="43"/>
  <c r="L64" i="43" s="1"/>
  <c r="H63" i="43"/>
  <c r="L63" i="43" s="1"/>
  <c r="K62" i="43"/>
  <c r="H61" i="43"/>
  <c r="H62" i="43"/>
  <c r="L62" i="43" s="1"/>
  <c r="K59" i="43"/>
  <c r="K60" i="43"/>
  <c r="K61" i="43"/>
  <c r="L61" i="43"/>
  <c r="H60" i="43"/>
  <c r="L60" i="43" s="1"/>
  <c r="H59" i="43"/>
  <c r="L59" i="43" s="1"/>
  <c r="K58" i="43"/>
  <c r="H58" i="43"/>
  <c r="L58" i="43" s="1"/>
  <c r="G12" i="47"/>
  <c r="K12" i="47" s="1"/>
  <c r="J5" i="47"/>
  <c r="J6" i="47"/>
  <c r="J7" i="47"/>
  <c r="J8" i="47"/>
  <c r="J9" i="47"/>
  <c r="J10" i="47"/>
  <c r="J11" i="47"/>
  <c r="G11" i="47"/>
  <c r="K11" i="47" s="1"/>
  <c r="M11" i="47" s="1"/>
  <c r="M12" i="47" s="1"/>
  <c r="G12" i="7"/>
  <c r="L9" i="37"/>
  <c r="L10" i="37"/>
  <c r="L11" i="37"/>
  <c r="L11" i="36"/>
  <c r="L12" i="36"/>
  <c r="K11" i="40"/>
  <c r="L11" i="40" s="1"/>
  <c r="G11" i="40"/>
  <c r="G11" i="25"/>
  <c r="J10" i="38"/>
  <c r="K10" i="38"/>
  <c r="L10" i="38"/>
  <c r="M5" i="41"/>
  <c r="M6" i="41"/>
  <c r="M7" i="41"/>
  <c r="M8" i="41"/>
  <c r="M9" i="41"/>
  <c r="M10" i="41"/>
  <c r="M11" i="41"/>
  <c r="M12" i="41"/>
  <c r="M13" i="41"/>
  <c r="M14" i="41"/>
  <c r="M15" i="41"/>
  <c r="M16" i="41"/>
  <c r="M17" i="41"/>
  <c r="M18" i="41"/>
  <c r="M19" i="41"/>
  <c r="M20" i="41"/>
  <c r="M21" i="41"/>
  <c r="M4" i="41"/>
  <c r="K11" i="41"/>
  <c r="G11" i="41"/>
  <c r="L12" i="23"/>
  <c r="L13" i="23"/>
  <c r="L11" i="24"/>
  <c r="M22" i="44"/>
  <c r="M23" i="44"/>
  <c r="M24" i="44"/>
  <c r="M25" i="44" s="1"/>
  <c r="M26" i="44" s="1"/>
  <c r="M27" i="44" s="1"/>
  <c r="M28" i="44" s="1"/>
  <c r="M29" i="44" s="1"/>
  <c r="M30" i="44" s="1"/>
  <c r="M31" i="44" s="1"/>
  <c r="M32" i="44" s="1"/>
  <c r="M33" i="44" s="1"/>
  <c r="M34" i="44" s="1"/>
  <c r="K22" i="44"/>
  <c r="K23" i="44"/>
  <c r="K24" i="44"/>
  <c r="J22" i="44"/>
  <c r="J23" i="44"/>
  <c r="J24" i="44"/>
  <c r="G24" i="44"/>
  <c r="G23" i="44"/>
  <c r="G22" i="44"/>
  <c r="K57" i="43"/>
  <c r="H57" i="43"/>
  <c r="L57" i="43" s="1"/>
  <c r="K53" i="43"/>
  <c r="K54" i="43"/>
  <c r="K55" i="43"/>
  <c r="K56" i="43"/>
  <c r="H56" i="43"/>
  <c r="L56" i="43" s="1"/>
  <c r="H54" i="43"/>
  <c r="L54" i="43" s="1"/>
  <c r="H55" i="43"/>
  <c r="L55" i="43" s="1"/>
  <c r="H53" i="43"/>
  <c r="L53" i="43" s="1"/>
  <c r="K51" i="43"/>
  <c r="K52" i="43"/>
  <c r="H52" i="43"/>
  <c r="L52" i="43" s="1"/>
  <c r="H49" i="43"/>
  <c r="H50" i="43"/>
  <c r="H51" i="43"/>
  <c r="L51" i="43" s="1"/>
  <c r="K5" i="47"/>
  <c r="K6" i="47"/>
  <c r="K7" i="47"/>
  <c r="K8" i="47"/>
  <c r="K9" i="47"/>
  <c r="K10" i="47"/>
  <c r="G5" i="47"/>
  <c r="G6" i="47"/>
  <c r="G7" i="47"/>
  <c r="G8" i="47"/>
  <c r="G9" i="47"/>
  <c r="G10" i="47"/>
  <c r="J4" i="47"/>
  <c r="G4" i="47"/>
  <c r="K4" i="47" s="1"/>
  <c r="M4" i="47" s="1"/>
  <c r="M3" i="47"/>
  <c r="L8" i="36"/>
  <c r="L9" i="36"/>
  <c r="L10" i="36"/>
  <c r="G10" i="25"/>
  <c r="K10" i="40"/>
  <c r="L10" i="40" s="1"/>
  <c r="G10" i="40"/>
  <c r="L10" i="23"/>
  <c r="L11" i="23"/>
  <c r="K11" i="23"/>
  <c r="G11" i="23"/>
  <c r="L10" i="24"/>
  <c r="M21" i="44"/>
  <c r="K21" i="44"/>
  <c r="J21" i="44"/>
  <c r="G21" i="44"/>
  <c r="M19" i="44"/>
  <c r="M20" i="44"/>
  <c r="K19" i="44"/>
  <c r="K20" i="44"/>
  <c r="J18" i="44"/>
  <c r="J19" i="44"/>
  <c r="J20" i="44"/>
  <c r="G20" i="44"/>
  <c r="G19" i="44"/>
  <c r="K50" i="43"/>
  <c r="L50" i="43" s="1"/>
  <c r="K46" i="43"/>
  <c r="K47" i="43"/>
  <c r="K48" i="43"/>
  <c r="K49" i="43"/>
  <c r="L49" i="43"/>
  <c r="H48" i="43"/>
  <c r="L48" i="43" s="1"/>
  <c r="H47" i="43"/>
  <c r="L47" i="43" s="1"/>
  <c r="H45" i="43"/>
  <c r="H46" i="43"/>
  <c r="L46" i="43" s="1"/>
  <c r="K44" i="43"/>
  <c r="K45" i="43"/>
  <c r="L45" i="43" s="1"/>
  <c r="H44" i="43"/>
  <c r="L44" i="43" s="1"/>
  <c r="G9" i="25"/>
  <c r="K9" i="40"/>
  <c r="L9" i="40" s="1"/>
  <c r="G9" i="40"/>
  <c r="L8" i="24"/>
  <c r="K15" i="46"/>
  <c r="H15" i="46"/>
  <c r="L15" i="46" s="1"/>
  <c r="M15" i="46" s="1"/>
  <c r="K14" i="46"/>
  <c r="H14" i="46"/>
  <c r="L14" i="46" s="1"/>
  <c r="M14" i="46" s="1"/>
  <c r="K13" i="46"/>
  <c r="H13" i="46"/>
  <c r="L13" i="46" s="1"/>
  <c r="M13" i="46" s="1"/>
  <c r="K12" i="46"/>
  <c r="H12" i="46"/>
  <c r="L12" i="46" s="1"/>
  <c r="M12" i="46" s="1"/>
  <c r="K11" i="46"/>
  <c r="H11" i="46"/>
  <c r="L11" i="46" s="1"/>
  <c r="M11" i="46" s="1"/>
  <c r="K10" i="46"/>
  <c r="H10" i="46"/>
  <c r="L10" i="46" s="1"/>
  <c r="M10" i="46" s="1"/>
  <c r="K9" i="46"/>
  <c r="H9" i="46"/>
  <c r="L9" i="46" s="1"/>
  <c r="M9" i="46" s="1"/>
  <c r="K8" i="46"/>
  <c r="H8" i="46"/>
  <c r="L8" i="46" s="1"/>
  <c r="M8" i="46" s="1"/>
  <c r="K7" i="46"/>
  <c r="H7" i="46"/>
  <c r="L7" i="46" s="1"/>
  <c r="M7" i="46" s="1"/>
  <c r="K6" i="46"/>
  <c r="H6" i="46"/>
  <c r="L6" i="46" s="1"/>
  <c r="M6" i="46" s="1"/>
  <c r="K5" i="46"/>
  <c r="H5" i="46"/>
  <c r="L5" i="46" s="1"/>
  <c r="M5" i="46" s="1"/>
  <c r="K4" i="46"/>
  <c r="H4" i="46"/>
  <c r="K18" i="44"/>
  <c r="G17" i="44"/>
  <c r="G18" i="44"/>
  <c r="K17" i="44"/>
  <c r="J16" i="44"/>
  <c r="J17" i="44"/>
  <c r="K16" i="44"/>
  <c r="M16" i="44" s="1"/>
  <c r="G16" i="44"/>
  <c r="K43" i="43"/>
  <c r="H43" i="43"/>
  <c r="L43" i="43" s="1"/>
  <c r="K41" i="43"/>
  <c r="K42" i="43"/>
  <c r="H42" i="43"/>
  <c r="L42" i="43" s="1"/>
  <c r="H40" i="43"/>
  <c r="H41" i="43"/>
  <c r="L41" i="43" s="1"/>
  <c r="K40" i="43"/>
  <c r="L40" i="43" s="1"/>
  <c r="K39" i="43"/>
  <c r="H39" i="43"/>
  <c r="K38" i="43"/>
  <c r="H38" i="43"/>
  <c r="L38" i="43" s="1"/>
  <c r="K37" i="43"/>
  <c r="H36" i="43"/>
  <c r="H37" i="43"/>
  <c r="L37" i="43" s="1"/>
  <c r="K36" i="43"/>
  <c r="L36" i="43" s="1"/>
  <c r="K35" i="43"/>
  <c r="H34" i="43"/>
  <c r="H35" i="43"/>
  <c r="L35" i="43" s="1"/>
  <c r="K34" i="43"/>
  <c r="L34" i="43" s="1"/>
  <c r="K33" i="43"/>
  <c r="H33" i="43"/>
  <c r="L33" i="43" s="1"/>
  <c r="L7" i="37"/>
  <c r="L8" i="37"/>
  <c r="J8" i="19"/>
  <c r="K8" i="19"/>
  <c r="L8" i="19"/>
  <c r="G8" i="25"/>
  <c r="L6" i="40"/>
  <c r="L7" i="40"/>
  <c r="K6" i="40"/>
  <c r="K7" i="40"/>
  <c r="J6" i="40"/>
  <c r="J7" i="40"/>
  <c r="J8" i="40"/>
  <c r="G6" i="40"/>
  <c r="G7" i="40"/>
  <c r="G8" i="40"/>
  <c r="K8" i="40" s="1"/>
  <c r="L8" i="40" s="1"/>
  <c r="M15" i="44"/>
  <c r="K15" i="44"/>
  <c r="J15" i="44"/>
  <c r="G15" i="44"/>
  <c r="M14" i="44"/>
  <c r="K14" i="44"/>
  <c r="J14" i="44"/>
  <c r="G14" i="44"/>
  <c r="M13" i="44"/>
  <c r="K13" i="44"/>
  <c r="J11" i="44"/>
  <c r="J12" i="44"/>
  <c r="J13" i="44"/>
  <c r="G13" i="44"/>
  <c r="K32" i="43"/>
  <c r="H31" i="43"/>
  <c r="H32" i="43"/>
  <c r="L32" i="43" s="1"/>
  <c r="K25" i="43"/>
  <c r="K26" i="43"/>
  <c r="K27" i="43"/>
  <c r="K28" i="43"/>
  <c r="K29" i="43"/>
  <c r="K30" i="43"/>
  <c r="K31" i="43"/>
  <c r="L31" i="43" s="1"/>
  <c r="H30" i="43"/>
  <c r="L30" i="43" s="1"/>
  <c r="H29" i="43"/>
  <c r="L29" i="43" s="1"/>
  <c r="H26" i="43"/>
  <c r="L26" i="43" s="1"/>
  <c r="H27" i="43"/>
  <c r="L27" i="43" s="1"/>
  <c r="H28" i="43"/>
  <c r="L28" i="43" s="1"/>
  <c r="G7" i="12"/>
  <c r="L7" i="36"/>
  <c r="G7" i="25"/>
  <c r="L5" i="24"/>
  <c r="L6" i="24"/>
  <c r="L7" i="24"/>
  <c r="G31" i="22"/>
  <c r="J31" i="22"/>
  <c r="K31" i="22"/>
  <c r="J32" i="22"/>
  <c r="K32" i="22"/>
  <c r="G33" i="22"/>
  <c r="J33" i="22"/>
  <c r="K33" i="22"/>
  <c r="G34" i="22"/>
  <c r="J34" i="22"/>
  <c r="K34" i="22"/>
  <c r="G6" i="22"/>
  <c r="J6" i="22"/>
  <c r="K6" i="22"/>
  <c r="L6" i="22" s="1"/>
  <c r="G7" i="22"/>
  <c r="J7" i="22"/>
  <c r="K7" i="22"/>
  <c r="L7" i="22" s="1"/>
  <c r="G8" i="22"/>
  <c r="J8" i="22"/>
  <c r="K8" i="22"/>
  <c r="L8" i="22" s="1"/>
  <c r="G9" i="22"/>
  <c r="J9" i="22"/>
  <c r="K9" i="22"/>
  <c r="G10" i="22"/>
  <c r="J10" i="22"/>
  <c r="K10" i="22"/>
  <c r="G11" i="22"/>
  <c r="J11" i="22"/>
  <c r="K11" i="22"/>
  <c r="G12" i="22"/>
  <c r="J12" i="22"/>
  <c r="K12" i="22"/>
  <c r="G13" i="22"/>
  <c r="J13" i="22"/>
  <c r="K13" i="22"/>
  <c r="G14" i="22"/>
  <c r="J14" i="22"/>
  <c r="K14" i="22"/>
  <c r="L14" i="22" s="1"/>
  <c r="G15" i="22"/>
  <c r="J15" i="22"/>
  <c r="K15" i="22"/>
  <c r="G16" i="22"/>
  <c r="J16" i="22"/>
  <c r="K16" i="22"/>
  <c r="G17" i="22"/>
  <c r="J17" i="22"/>
  <c r="K17" i="22"/>
  <c r="G18" i="22"/>
  <c r="J18" i="22"/>
  <c r="K18" i="22"/>
  <c r="G19" i="22"/>
  <c r="J19" i="22"/>
  <c r="K19" i="22"/>
  <c r="G20" i="22"/>
  <c r="J20" i="22"/>
  <c r="K20" i="22"/>
  <c r="G21" i="22"/>
  <c r="J21" i="22"/>
  <c r="K21" i="22"/>
  <c r="G22" i="22"/>
  <c r="J22" i="22"/>
  <c r="K22" i="22"/>
  <c r="G23" i="22"/>
  <c r="J23" i="22"/>
  <c r="K23" i="22"/>
  <c r="G24" i="22"/>
  <c r="J24" i="22"/>
  <c r="K24" i="22" s="1"/>
  <c r="G25" i="22"/>
  <c r="J25" i="22"/>
  <c r="K25" i="22"/>
  <c r="G26" i="22"/>
  <c r="J26" i="22"/>
  <c r="K26" i="22"/>
  <c r="G27" i="22"/>
  <c r="J27" i="22"/>
  <c r="K27" i="22"/>
  <c r="G28" i="22"/>
  <c r="J28" i="22"/>
  <c r="K28" i="22"/>
  <c r="G30" i="22"/>
  <c r="J30" i="22"/>
  <c r="K30" i="22"/>
  <c r="K12" i="44"/>
  <c r="G12" i="44"/>
  <c r="K11" i="44"/>
  <c r="M11" i="44" s="1"/>
  <c r="M12" i="44" s="1"/>
  <c r="G11" i="44"/>
  <c r="H25" i="43"/>
  <c r="L25" i="43" s="1"/>
  <c r="K24" i="43"/>
  <c r="H24" i="43"/>
  <c r="L24" i="43" s="1"/>
  <c r="K23" i="43"/>
  <c r="H23" i="43"/>
  <c r="L23" i="43" s="1"/>
  <c r="K18" i="43"/>
  <c r="K19" i="43"/>
  <c r="K20" i="43"/>
  <c r="K21" i="43"/>
  <c r="K22" i="43"/>
  <c r="H22" i="43"/>
  <c r="L22" i="43" s="1"/>
  <c r="H21" i="43"/>
  <c r="L21" i="43" s="1"/>
  <c r="H20" i="43"/>
  <c r="L20" i="43" s="1"/>
  <c r="H19" i="43"/>
  <c r="L19" i="43" s="1"/>
  <c r="H18" i="43"/>
  <c r="L18" i="43" s="1"/>
  <c r="K14" i="43"/>
  <c r="K15" i="43"/>
  <c r="K16" i="43"/>
  <c r="K17" i="43"/>
  <c r="H17" i="43"/>
  <c r="L17" i="43" s="1"/>
  <c r="H16" i="43"/>
  <c r="L16" i="43" s="1"/>
  <c r="L6" i="37"/>
  <c r="G5" i="25"/>
  <c r="G6" i="25"/>
  <c r="K4" i="40"/>
  <c r="L4" i="40" s="1"/>
  <c r="G4" i="40"/>
  <c r="J5" i="45"/>
  <c r="G5" i="45"/>
  <c r="K5" i="45" s="1"/>
  <c r="J4" i="45"/>
  <c r="G4" i="45"/>
  <c r="K4" i="45" s="1"/>
  <c r="M4" i="45" s="1"/>
  <c r="M5" i="45" s="1"/>
  <c r="M6" i="45" s="1"/>
  <c r="M7" i="45" s="1"/>
  <c r="M8" i="45" s="1"/>
  <c r="M6" i="44"/>
  <c r="M7" i="44"/>
  <c r="M8" i="44"/>
  <c r="M9" i="44"/>
  <c r="M10" i="44"/>
  <c r="M5" i="44"/>
  <c r="J8" i="44"/>
  <c r="J9" i="44"/>
  <c r="J10" i="44"/>
  <c r="K9" i="44"/>
  <c r="K10" i="44"/>
  <c r="G10" i="44"/>
  <c r="G9" i="44"/>
  <c r="K8" i="44"/>
  <c r="G8" i="44"/>
  <c r="K7" i="44"/>
  <c r="J7" i="44"/>
  <c r="G6" i="44"/>
  <c r="G7" i="44"/>
  <c r="K6" i="44"/>
  <c r="J6" i="44"/>
  <c r="K5" i="44"/>
  <c r="J5" i="44"/>
  <c r="G5" i="44"/>
  <c r="M4" i="44"/>
  <c r="H10" i="43"/>
  <c r="L10" i="43" s="1"/>
  <c r="H15" i="43"/>
  <c r="L15" i="43" s="1"/>
  <c r="H14" i="43"/>
  <c r="L14" i="43" s="1"/>
  <c r="K12" i="43"/>
  <c r="K13" i="43"/>
  <c r="H13" i="43"/>
  <c r="L13" i="43" s="1"/>
  <c r="H12" i="43"/>
  <c r="K6" i="43"/>
  <c r="K7" i="43"/>
  <c r="K8" i="43"/>
  <c r="K9" i="43"/>
  <c r="K11" i="43"/>
  <c r="K5" i="43"/>
  <c r="H11" i="43"/>
  <c r="L11" i="43" s="1"/>
  <c r="H9" i="43"/>
  <c r="H8" i="43"/>
  <c r="H7" i="43"/>
  <c r="H6" i="43"/>
  <c r="H5" i="43"/>
  <c r="L5" i="43" s="1"/>
  <c r="G5" i="35"/>
  <c r="J5" i="35"/>
  <c r="K5" i="35"/>
  <c r="L5" i="35"/>
  <c r="G6" i="35"/>
  <c r="J6" i="35"/>
  <c r="K6" i="35"/>
  <c r="L6" i="35"/>
  <c r="G7" i="35"/>
  <c r="J7" i="35"/>
  <c r="K7" i="35"/>
  <c r="L7" i="35"/>
  <c r="G8" i="35"/>
  <c r="J8" i="35"/>
  <c r="K8" i="35"/>
  <c r="L8" i="35"/>
  <c r="G9" i="35"/>
  <c r="J9" i="35"/>
  <c r="K9" i="35"/>
  <c r="L9" i="35"/>
  <c r="G10" i="35"/>
  <c r="J10" i="35"/>
  <c r="K10" i="35"/>
  <c r="L10" i="35"/>
  <c r="G11" i="35"/>
  <c r="J11" i="35"/>
  <c r="K11" i="35"/>
  <c r="L11" i="35"/>
  <c r="G12" i="35"/>
  <c r="J12" i="35"/>
  <c r="K12" i="35"/>
  <c r="L12" i="35"/>
  <c r="G13" i="35"/>
  <c r="J13" i="35"/>
  <c r="K13" i="35"/>
  <c r="L13" i="35"/>
  <c r="G14" i="35"/>
  <c r="J14" i="35"/>
  <c r="K14" i="35"/>
  <c r="L14" i="35"/>
  <c r="G15" i="35"/>
  <c r="J15" i="35"/>
  <c r="K15" i="35"/>
  <c r="L15" i="35"/>
  <c r="G16" i="35"/>
  <c r="J16" i="35"/>
  <c r="K16" i="35"/>
  <c r="L16" i="35"/>
  <c r="G17" i="35"/>
  <c r="J17" i="35"/>
  <c r="K17" i="35"/>
  <c r="L17" i="35"/>
  <c r="G18" i="35"/>
  <c r="J18" i="35"/>
  <c r="K18" i="35"/>
  <c r="L18" i="35"/>
  <c r="G19" i="35"/>
  <c r="J19" i="35"/>
  <c r="K19" i="35"/>
  <c r="G20" i="35"/>
  <c r="J20" i="35"/>
  <c r="K20" i="35"/>
  <c r="G21" i="35"/>
  <c r="J21" i="35"/>
  <c r="K21" i="35"/>
  <c r="G22" i="35"/>
  <c r="J22" i="35"/>
  <c r="K22" i="35"/>
  <c r="G23" i="35"/>
  <c r="J23" i="35"/>
  <c r="K23" i="35"/>
  <c r="L23" i="35"/>
  <c r="G24" i="35"/>
  <c r="J24" i="35"/>
  <c r="K24" i="35"/>
  <c r="L24" i="35"/>
  <c r="G25" i="35"/>
  <c r="J25" i="35"/>
  <c r="K25" i="35"/>
  <c r="G5" i="34"/>
  <c r="J5" i="34"/>
  <c r="K5" i="34"/>
  <c r="L5" i="34"/>
  <c r="G6" i="34"/>
  <c r="J6" i="34"/>
  <c r="K6" i="34"/>
  <c r="L6" i="34"/>
  <c r="G7" i="34"/>
  <c r="J7" i="34"/>
  <c r="K7" i="34"/>
  <c r="L7" i="34"/>
  <c r="G8" i="34"/>
  <c r="J8" i="34"/>
  <c r="K8" i="34"/>
  <c r="L8" i="34"/>
  <c r="G9" i="34"/>
  <c r="J9" i="34"/>
  <c r="K9" i="34"/>
  <c r="L9" i="34"/>
  <c r="G10" i="34"/>
  <c r="J10" i="34"/>
  <c r="K10" i="34"/>
  <c r="L10" i="34"/>
  <c r="G11" i="34"/>
  <c r="J11" i="34"/>
  <c r="K11" i="34"/>
  <c r="L11" i="34"/>
  <c r="G12" i="34"/>
  <c r="J12" i="34"/>
  <c r="K12" i="34"/>
  <c r="L12" i="34"/>
  <c r="G13" i="34"/>
  <c r="J13" i="34"/>
  <c r="K13" i="34"/>
  <c r="L13" i="34" s="1"/>
  <c r="G14" i="34"/>
  <c r="J14" i="34"/>
  <c r="K14" i="34"/>
  <c r="L14" i="34"/>
  <c r="G15" i="34"/>
  <c r="J15" i="34"/>
  <c r="K15" i="34"/>
  <c r="L15" i="34" s="1"/>
  <c r="G17" i="34"/>
  <c r="J17" i="34"/>
  <c r="K17" i="34"/>
  <c r="L17" i="34"/>
  <c r="G18" i="34"/>
  <c r="J18" i="34"/>
  <c r="K18" i="34"/>
  <c r="L18" i="34"/>
  <c r="G19" i="34"/>
  <c r="J19" i="34"/>
  <c r="K19" i="34"/>
  <c r="L19" i="34"/>
  <c r="G20" i="34"/>
  <c r="J20" i="34"/>
  <c r="K20" i="34"/>
  <c r="L20" i="34"/>
  <c r="G21" i="34"/>
  <c r="J21" i="34"/>
  <c r="K21" i="34"/>
  <c r="L21" i="34"/>
  <c r="G22" i="34"/>
  <c r="J22" i="34"/>
  <c r="K22" i="34"/>
  <c r="L22" i="34"/>
  <c r="G23" i="34"/>
  <c r="J23" i="34"/>
  <c r="K23" i="34"/>
  <c r="L23" i="34"/>
  <c r="G24" i="34"/>
  <c r="J24" i="34"/>
  <c r="K24" i="34"/>
  <c r="L24" i="34"/>
  <c r="G25" i="34"/>
  <c r="J25" i="34"/>
  <c r="K25" i="34"/>
  <c r="L25" i="34"/>
  <c r="G26" i="34"/>
  <c r="J26" i="34"/>
  <c r="K26" i="34"/>
  <c r="L26" i="34"/>
  <c r="G27" i="34"/>
  <c r="J27" i="34"/>
  <c r="K27" i="34"/>
  <c r="L27" i="34"/>
  <c r="G28" i="34"/>
  <c r="J28" i="34"/>
  <c r="K28" i="34"/>
  <c r="L28" i="34"/>
  <c r="L5" i="37"/>
  <c r="M4" i="25"/>
  <c r="J4" i="25"/>
  <c r="G4" i="25"/>
  <c r="J5" i="40"/>
  <c r="G5" i="40"/>
  <c r="K5" i="40" s="1"/>
  <c r="L5" i="40" s="1"/>
  <c r="L4" i="24"/>
  <c r="J4" i="24"/>
  <c r="K4" i="24"/>
  <c r="G5" i="19"/>
  <c r="J5" i="19"/>
  <c r="K5" i="19"/>
  <c r="L5" i="19"/>
  <c r="G6" i="19"/>
  <c r="J6" i="19"/>
  <c r="K6" i="19"/>
  <c r="L6" i="19"/>
  <c r="G7" i="19"/>
  <c r="J7" i="19"/>
  <c r="K7" i="19"/>
  <c r="L7" i="19"/>
  <c r="G8" i="19"/>
  <c r="G9" i="19"/>
  <c r="J9" i="19"/>
  <c r="K9" i="19"/>
  <c r="L9" i="19"/>
  <c r="G10" i="19"/>
  <c r="J10" i="19"/>
  <c r="K10" i="19"/>
  <c r="L10" i="19"/>
  <c r="G11" i="19"/>
  <c r="J11" i="19"/>
  <c r="K11" i="19"/>
  <c r="L11" i="19"/>
  <c r="G12" i="19"/>
  <c r="J12" i="19"/>
  <c r="K12" i="19"/>
  <c r="L12" i="19"/>
  <c r="G13" i="19"/>
  <c r="J13" i="19"/>
  <c r="K13" i="19"/>
  <c r="L13" i="19"/>
  <c r="G14" i="19"/>
  <c r="J14" i="19"/>
  <c r="K14" i="19"/>
  <c r="L14" i="19"/>
  <c r="G15" i="19"/>
  <c r="J15" i="19"/>
  <c r="K15" i="19"/>
  <c r="L15" i="19"/>
  <c r="G16" i="19"/>
  <c r="J16" i="19"/>
  <c r="K16" i="19"/>
  <c r="L16" i="19"/>
  <c r="G17" i="19"/>
  <c r="J17" i="19"/>
  <c r="K17" i="19"/>
  <c r="L17" i="19"/>
  <c r="G18" i="19"/>
  <c r="J18" i="19"/>
  <c r="K18" i="19"/>
  <c r="L18" i="19"/>
  <c r="G19" i="19"/>
  <c r="J19" i="19"/>
  <c r="K19" i="19"/>
  <c r="L19" i="19"/>
  <c r="G20" i="19"/>
  <c r="J20" i="19"/>
  <c r="K20" i="19"/>
  <c r="L20" i="19"/>
  <c r="G21" i="19"/>
  <c r="J21" i="19"/>
  <c r="K21" i="19"/>
  <c r="L21" i="19"/>
  <c r="G22" i="19"/>
  <c r="J22" i="19"/>
  <c r="K22" i="19"/>
  <c r="L22" i="19"/>
  <c r="G23" i="19"/>
  <c r="J23" i="19"/>
  <c r="K23" i="19"/>
  <c r="L23" i="19"/>
  <c r="G24" i="19"/>
  <c r="J24" i="19"/>
  <c r="K24" i="19"/>
  <c r="L24" i="19"/>
  <c r="G25" i="19"/>
  <c r="J25" i="19"/>
  <c r="K25" i="19"/>
  <c r="L25" i="19"/>
  <c r="G26" i="19"/>
  <c r="J26" i="19"/>
  <c r="K26" i="19"/>
  <c r="L26" i="19"/>
  <c r="G27" i="19"/>
  <c r="J27" i="19"/>
  <c r="K27" i="19"/>
  <c r="L27" i="19"/>
  <c r="G28" i="19"/>
  <c r="J28" i="19"/>
  <c r="K28" i="19"/>
  <c r="L28" i="19"/>
  <c r="G29" i="19"/>
  <c r="J29" i="19"/>
  <c r="K29" i="19"/>
  <c r="L29" i="19"/>
  <c r="G30" i="19"/>
  <c r="J30" i="19"/>
  <c r="K30" i="19"/>
  <c r="L30" i="19"/>
  <c r="G31" i="19"/>
  <c r="J31" i="19"/>
  <c r="K31" i="19"/>
  <c r="L31" i="19"/>
  <c r="G32" i="19"/>
  <c r="J32" i="19"/>
  <c r="K32" i="19"/>
  <c r="L32" i="19"/>
  <c r="G33" i="19"/>
  <c r="J33" i="19"/>
  <c r="K33" i="19"/>
  <c r="L33" i="19"/>
  <c r="G34" i="19"/>
  <c r="J34" i="19"/>
  <c r="K34" i="19"/>
  <c r="L34" i="19"/>
  <c r="G5" i="33"/>
  <c r="J5" i="33"/>
  <c r="K5" i="33"/>
  <c r="L5" i="33"/>
  <c r="G6" i="33"/>
  <c r="J6" i="33"/>
  <c r="K6" i="33"/>
  <c r="L6" i="33"/>
  <c r="G7" i="33"/>
  <c r="J7" i="33"/>
  <c r="K7" i="33"/>
  <c r="L7" i="33"/>
  <c r="G8" i="33"/>
  <c r="J8" i="33"/>
  <c r="K8" i="33"/>
  <c r="L8" i="33"/>
  <c r="G9" i="33"/>
  <c r="J9" i="33"/>
  <c r="K9" i="33"/>
  <c r="L9" i="33"/>
  <c r="G10" i="33"/>
  <c r="J10" i="33"/>
  <c r="K10" i="33"/>
  <c r="L10" i="33"/>
  <c r="G11" i="33"/>
  <c r="J11" i="33"/>
  <c r="K11" i="33"/>
  <c r="L11" i="33"/>
  <c r="G12" i="33"/>
  <c r="J12" i="33"/>
  <c r="K12" i="33"/>
  <c r="L12" i="33"/>
  <c r="G13" i="33"/>
  <c r="J13" i="33"/>
  <c r="K13" i="33"/>
  <c r="L13" i="33"/>
  <c r="G14" i="33"/>
  <c r="J14" i="33"/>
  <c r="K14" i="33"/>
  <c r="L14" i="33"/>
  <c r="G15" i="33"/>
  <c r="J15" i="33"/>
  <c r="K15" i="33"/>
  <c r="L15" i="33"/>
  <c r="G16" i="33"/>
  <c r="J16" i="33"/>
  <c r="K16" i="33"/>
  <c r="L16" i="33"/>
  <c r="G17" i="33"/>
  <c r="J17" i="33"/>
  <c r="K17" i="33"/>
  <c r="L17" i="33"/>
  <c r="G18" i="33"/>
  <c r="J18" i="33"/>
  <c r="K18" i="33"/>
  <c r="L18" i="33"/>
  <c r="G19" i="33"/>
  <c r="J19" i="33"/>
  <c r="K19" i="33"/>
  <c r="L19" i="33"/>
  <c r="G20" i="33"/>
  <c r="J20" i="33"/>
  <c r="K20" i="33"/>
  <c r="L20" i="33"/>
  <c r="G21" i="33"/>
  <c r="J21" i="33"/>
  <c r="K21" i="33"/>
  <c r="L21" i="33"/>
  <c r="G22" i="33"/>
  <c r="J22" i="33"/>
  <c r="K22" i="33"/>
  <c r="L22" i="33"/>
  <c r="G23" i="33"/>
  <c r="J23" i="33"/>
  <c r="K23" i="33"/>
  <c r="L23" i="33"/>
  <c r="G24" i="33"/>
  <c r="J24" i="33"/>
  <c r="K24" i="33"/>
  <c r="L24" i="33"/>
  <c r="G25" i="33"/>
  <c r="J25" i="33"/>
  <c r="K25" i="33"/>
  <c r="L25" i="33"/>
  <c r="G26" i="33"/>
  <c r="J26" i="33"/>
  <c r="K26" i="33"/>
  <c r="L26" i="33"/>
  <c r="G27" i="33"/>
  <c r="J27" i="33"/>
  <c r="K27" i="33"/>
  <c r="L27" i="33"/>
  <c r="G28" i="33"/>
  <c r="J28" i="33"/>
  <c r="K28" i="33"/>
  <c r="L28" i="33"/>
  <c r="G29" i="33"/>
  <c r="J29" i="33"/>
  <c r="K29" i="33"/>
  <c r="L29" i="33"/>
  <c r="G30" i="33"/>
  <c r="J30" i="33"/>
  <c r="K30" i="33"/>
  <c r="L30" i="33"/>
  <c r="G31" i="33"/>
  <c r="J31" i="33"/>
  <c r="K31" i="33"/>
  <c r="L31" i="33"/>
  <c r="G32" i="33"/>
  <c r="J32" i="33"/>
  <c r="K32" i="33"/>
  <c r="L32" i="33"/>
  <c r="G33" i="33"/>
  <c r="J33" i="33"/>
  <c r="K33" i="33"/>
  <c r="L33" i="33"/>
  <c r="G34" i="33"/>
  <c r="J34" i="33"/>
  <c r="K34" i="33"/>
  <c r="L34" i="33"/>
  <c r="G35" i="33"/>
  <c r="J35" i="33"/>
  <c r="K35" i="33"/>
  <c r="L35" i="33"/>
  <c r="G31" i="9"/>
  <c r="K31" i="9"/>
  <c r="G32" i="9"/>
  <c r="K32" i="9"/>
  <c r="G33" i="9"/>
  <c r="K33" i="9"/>
  <c r="G34" i="9"/>
  <c r="K34" i="9"/>
  <c r="G5" i="9"/>
  <c r="J5" i="9"/>
  <c r="K5" i="9"/>
  <c r="G6" i="9"/>
  <c r="J6" i="9"/>
  <c r="K6" i="9"/>
  <c r="G7" i="9"/>
  <c r="J7" i="9"/>
  <c r="K7" i="9"/>
  <c r="G8" i="9"/>
  <c r="J8" i="9"/>
  <c r="K8" i="9"/>
  <c r="G9" i="9"/>
  <c r="J9" i="9"/>
  <c r="K9" i="9"/>
  <c r="G10" i="9"/>
  <c r="J10" i="9"/>
  <c r="K10" i="9"/>
  <c r="G11" i="9"/>
  <c r="J11" i="9"/>
  <c r="K11" i="9"/>
  <c r="G12" i="9"/>
  <c r="J12" i="9"/>
  <c r="K12" i="9"/>
  <c r="G13" i="9"/>
  <c r="J13" i="9"/>
  <c r="K13" i="9"/>
  <c r="G14" i="9"/>
  <c r="J14" i="9"/>
  <c r="K14" i="9"/>
  <c r="G15" i="9"/>
  <c r="J15" i="9"/>
  <c r="K15" i="9"/>
  <c r="G16" i="9"/>
  <c r="J16" i="9"/>
  <c r="K16" i="9"/>
  <c r="G17" i="9"/>
  <c r="J17" i="9"/>
  <c r="K17" i="9"/>
  <c r="G18" i="9"/>
  <c r="J18" i="9"/>
  <c r="K18" i="9"/>
  <c r="G19" i="9"/>
  <c r="J19" i="9"/>
  <c r="K19" i="9"/>
  <c r="G20" i="9"/>
  <c r="J20" i="9"/>
  <c r="K20" i="9"/>
  <c r="G21" i="9"/>
  <c r="J21" i="9"/>
  <c r="K21" i="9"/>
  <c r="G22" i="9"/>
  <c r="J22" i="9"/>
  <c r="K22" i="9"/>
  <c r="G23" i="9"/>
  <c r="J23" i="9"/>
  <c r="K23" i="9"/>
  <c r="G24" i="9"/>
  <c r="K24" i="9"/>
  <c r="G25" i="9"/>
  <c r="K25" i="9"/>
  <c r="G26" i="9"/>
  <c r="K26" i="9"/>
  <c r="G27" i="9"/>
  <c r="K27" i="9"/>
  <c r="G29" i="9"/>
  <c r="K29" i="9"/>
  <c r="G30" i="9"/>
  <c r="K30" i="9"/>
  <c r="G5" i="26"/>
  <c r="J5" i="26"/>
  <c r="K5" i="26"/>
  <c r="L5" i="26"/>
  <c r="G6" i="26"/>
  <c r="J6" i="26"/>
  <c r="K6" i="26"/>
  <c r="L6" i="26"/>
  <c r="G7" i="26"/>
  <c r="J7" i="26"/>
  <c r="K7" i="26"/>
  <c r="L7" i="26"/>
  <c r="G8" i="26"/>
  <c r="J8" i="26"/>
  <c r="K8" i="26"/>
  <c r="L8" i="26"/>
  <c r="G9" i="26"/>
  <c r="J9" i="26"/>
  <c r="K9" i="26"/>
  <c r="L9" i="26"/>
  <c r="G10" i="26"/>
  <c r="J10" i="26"/>
  <c r="K10" i="26"/>
  <c r="L10" i="26"/>
  <c r="G11" i="26"/>
  <c r="J11" i="26"/>
  <c r="K11" i="26"/>
  <c r="L11" i="26"/>
  <c r="G12" i="26"/>
  <c r="J12" i="26"/>
  <c r="K12" i="26"/>
  <c r="L12" i="26"/>
  <c r="G13" i="26"/>
  <c r="J13" i="26"/>
  <c r="K13" i="26"/>
  <c r="L13" i="26"/>
  <c r="G14" i="26"/>
  <c r="J14" i="26"/>
  <c r="K14" i="26"/>
  <c r="L14" i="26"/>
  <c r="G15" i="26"/>
  <c r="J15" i="26"/>
  <c r="K15" i="26"/>
  <c r="L15" i="26"/>
  <c r="G16" i="26"/>
  <c r="J16" i="26"/>
  <c r="K16" i="26"/>
  <c r="L16" i="26"/>
  <c r="G17" i="26"/>
  <c r="J17" i="26"/>
  <c r="K17" i="26"/>
  <c r="L17" i="26"/>
  <c r="G18" i="26"/>
  <c r="J18" i="26"/>
  <c r="K18" i="26"/>
  <c r="L18" i="26"/>
  <c r="G19" i="26"/>
  <c r="J19" i="26"/>
  <c r="K19" i="26"/>
  <c r="L19" i="26"/>
  <c r="G20" i="26"/>
  <c r="J20" i="26"/>
  <c r="K20" i="26"/>
  <c r="L20" i="26"/>
  <c r="G21" i="26"/>
  <c r="J21" i="26"/>
  <c r="K21" i="26"/>
  <c r="L21" i="26"/>
  <c r="G22" i="26"/>
  <c r="J22" i="26"/>
  <c r="K22" i="26"/>
  <c r="L22" i="26"/>
  <c r="G23" i="26"/>
  <c r="J23" i="26"/>
  <c r="K23" i="26"/>
  <c r="L23" i="26"/>
  <c r="G24" i="26"/>
  <c r="J24" i="26"/>
  <c r="K24" i="26"/>
  <c r="L24" i="26"/>
  <c r="G25" i="26"/>
  <c r="J25" i="26"/>
  <c r="K25" i="26"/>
  <c r="L25" i="26"/>
  <c r="G26" i="26"/>
  <c r="J26" i="26"/>
  <c r="K26" i="26"/>
  <c r="L26" i="26"/>
  <c r="G27" i="26"/>
  <c r="J27" i="26"/>
  <c r="K27" i="26"/>
  <c r="L27" i="26"/>
  <c r="G28" i="26"/>
  <c r="J28" i="26"/>
  <c r="K28" i="26"/>
  <c r="L28" i="26"/>
  <c r="G29" i="26"/>
  <c r="J29" i="26"/>
  <c r="K29" i="26"/>
  <c r="L29" i="26"/>
  <c r="G30" i="26"/>
  <c r="J30" i="26"/>
  <c r="K30" i="26"/>
  <c r="L30" i="26"/>
  <c r="G31" i="26"/>
  <c r="J31" i="26"/>
  <c r="K31" i="26"/>
  <c r="L31" i="26"/>
  <c r="G32" i="26"/>
  <c r="J32" i="26"/>
  <c r="K32" i="26"/>
  <c r="L32" i="26"/>
  <c r="G33" i="26"/>
  <c r="J33" i="26"/>
  <c r="K33" i="26"/>
  <c r="L33" i="26"/>
  <c r="G34" i="26"/>
  <c r="J34" i="26"/>
  <c r="K34" i="26"/>
  <c r="L34" i="26"/>
  <c r="G35" i="26"/>
  <c r="J35" i="26"/>
  <c r="K35" i="26"/>
  <c r="L35" i="26"/>
  <c r="G36" i="26"/>
  <c r="J36" i="26"/>
  <c r="K36" i="26"/>
  <c r="L36" i="26"/>
  <c r="G37" i="26"/>
  <c r="J37" i="26"/>
  <c r="K37" i="26"/>
  <c r="L37" i="26"/>
  <c r="G38" i="26"/>
  <c r="J38" i="26"/>
  <c r="K38" i="26"/>
  <c r="L38" i="26"/>
  <c r="G39" i="26"/>
  <c r="J39" i="26"/>
  <c r="K39" i="26"/>
  <c r="L39" i="26"/>
  <c r="G40" i="26"/>
  <c r="J40" i="26"/>
  <c r="K40" i="26"/>
  <c r="L40" i="26"/>
  <c r="G41" i="26"/>
  <c r="J41" i="26"/>
  <c r="K41" i="26"/>
  <c r="L41" i="26"/>
  <c r="G42" i="26"/>
  <c r="J42" i="26"/>
  <c r="K42" i="26"/>
  <c r="L42" i="26"/>
  <c r="G43" i="26"/>
  <c r="J43" i="26"/>
  <c r="K43" i="26"/>
  <c r="L43" i="26"/>
  <c r="G6" i="42"/>
  <c r="J6" i="42"/>
  <c r="L6" i="42"/>
  <c r="G7" i="42"/>
  <c r="J7" i="42"/>
  <c r="L7" i="42"/>
  <c r="G8" i="42"/>
  <c r="J8" i="42"/>
  <c r="L8" i="42"/>
  <c r="G9" i="42"/>
  <c r="J9" i="42"/>
  <c r="L9" i="42"/>
  <c r="G10" i="42"/>
  <c r="J10" i="42"/>
  <c r="L10" i="42"/>
  <c r="G11" i="42"/>
  <c r="J11" i="42"/>
  <c r="L11" i="42"/>
  <c r="G12" i="42"/>
  <c r="J12" i="42"/>
  <c r="L12" i="42"/>
  <c r="G13" i="42"/>
  <c r="J13" i="42"/>
  <c r="L13" i="42"/>
  <c r="G15" i="42"/>
  <c r="J15" i="42"/>
  <c r="L15" i="42"/>
  <c r="J5" i="42"/>
  <c r="G5" i="42"/>
  <c r="L5" i="42" s="1"/>
  <c r="J4" i="42"/>
  <c r="G4" i="42"/>
  <c r="G5" i="38"/>
  <c r="J5" i="38"/>
  <c r="K5" i="38"/>
  <c r="L5" i="38"/>
  <c r="G6" i="38"/>
  <c r="J6" i="38"/>
  <c r="K6" i="38"/>
  <c r="L6" i="38"/>
  <c r="G7" i="38"/>
  <c r="J7" i="38"/>
  <c r="K7" i="38"/>
  <c r="L7" i="38"/>
  <c r="G8" i="38"/>
  <c r="J8" i="38"/>
  <c r="K8" i="38"/>
  <c r="L8" i="38"/>
  <c r="G9" i="38"/>
  <c r="J9" i="38"/>
  <c r="K9" i="38"/>
  <c r="L9" i="38"/>
  <c r="G10" i="38"/>
  <c r="G11" i="38"/>
  <c r="J11" i="38"/>
  <c r="K11" i="38"/>
  <c r="L11" i="38"/>
  <c r="G12" i="38"/>
  <c r="J12" i="38"/>
  <c r="K12" i="38"/>
  <c r="L12" i="38"/>
  <c r="G13" i="38"/>
  <c r="J13" i="38"/>
  <c r="K13" i="38"/>
  <c r="L13" i="38"/>
  <c r="G14" i="38"/>
  <c r="J14" i="38"/>
  <c r="K14" i="38"/>
  <c r="L14" i="38"/>
  <c r="G15" i="38"/>
  <c r="J15" i="38"/>
  <c r="K15" i="38"/>
  <c r="L15" i="38"/>
  <c r="M3" i="41"/>
  <c r="G33" i="8"/>
  <c r="J33" i="8"/>
  <c r="K33" i="8"/>
  <c r="G34" i="8"/>
  <c r="J34" i="8"/>
  <c r="K34" i="8"/>
  <c r="G5" i="8"/>
  <c r="J5" i="8"/>
  <c r="K5" i="8"/>
  <c r="G6" i="8"/>
  <c r="J6" i="8"/>
  <c r="K6" i="8"/>
  <c r="G7" i="8"/>
  <c r="J7" i="8"/>
  <c r="K7" i="8"/>
  <c r="G8" i="8"/>
  <c r="J8" i="8"/>
  <c r="K8" i="8"/>
  <c r="G9" i="8"/>
  <c r="J9" i="8"/>
  <c r="K9" i="8"/>
  <c r="G10" i="8"/>
  <c r="J10" i="8"/>
  <c r="K10" i="8"/>
  <c r="G11" i="8"/>
  <c r="J11" i="8"/>
  <c r="K11" i="8"/>
  <c r="G12" i="8"/>
  <c r="J12" i="8"/>
  <c r="K12" i="8"/>
  <c r="G13" i="8"/>
  <c r="J13" i="8"/>
  <c r="K13" i="8"/>
  <c r="G14" i="8"/>
  <c r="J14" i="8"/>
  <c r="K14" i="8"/>
  <c r="G15" i="8"/>
  <c r="J15" i="8"/>
  <c r="K15" i="8"/>
  <c r="G16" i="8"/>
  <c r="J16" i="8"/>
  <c r="K16" i="8"/>
  <c r="G17" i="8"/>
  <c r="J17" i="8"/>
  <c r="K17" i="8"/>
  <c r="G18" i="8"/>
  <c r="J18" i="8"/>
  <c r="K18" i="8"/>
  <c r="G19" i="8"/>
  <c r="J19" i="8"/>
  <c r="K19" i="8"/>
  <c r="G20" i="8"/>
  <c r="J20" i="8"/>
  <c r="K20" i="8"/>
  <c r="G21" i="8"/>
  <c r="J21" i="8"/>
  <c r="K21" i="8"/>
  <c r="G22" i="8"/>
  <c r="J22" i="8"/>
  <c r="K22" i="8"/>
  <c r="G23" i="8"/>
  <c r="J23" i="8"/>
  <c r="K23" i="8"/>
  <c r="G24" i="8"/>
  <c r="J24" i="8"/>
  <c r="K24" i="8"/>
  <c r="G25" i="8"/>
  <c r="J25" i="8"/>
  <c r="K25" i="8"/>
  <c r="G26" i="8"/>
  <c r="J26" i="8"/>
  <c r="K26" i="8"/>
  <c r="G27" i="8"/>
  <c r="J27" i="8"/>
  <c r="K27" i="8"/>
  <c r="G28" i="8"/>
  <c r="J28" i="8"/>
  <c r="K28" i="8"/>
  <c r="G29" i="8"/>
  <c r="J29" i="8"/>
  <c r="K29" i="8"/>
  <c r="G30" i="8"/>
  <c r="J30" i="8"/>
  <c r="K30" i="8"/>
  <c r="G31" i="8"/>
  <c r="J31" i="8"/>
  <c r="K31" i="8"/>
  <c r="G32" i="8"/>
  <c r="J32" i="8"/>
  <c r="K32" i="8"/>
  <c r="G29" i="12"/>
  <c r="J29" i="12"/>
  <c r="K29" i="12"/>
  <c r="G5" i="12"/>
  <c r="J5" i="12"/>
  <c r="K5" i="12"/>
  <c r="G6" i="12"/>
  <c r="J6" i="12"/>
  <c r="K6" i="12"/>
  <c r="J7" i="12"/>
  <c r="K7" i="12"/>
  <c r="G8" i="12"/>
  <c r="J8" i="12"/>
  <c r="K8" i="12"/>
  <c r="G9" i="12"/>
  <c r="J9" i="12"/>
  <c r="K9" i="12"/>
  <c r="G10" i="12"/>
  <c r="J10" i="12"/>
  <c r="K10" i="12"/>
  <c r="G11" i="12"/>
  <c r="J11" i="12"/>
  <c r="K11" i="12"/>
  <c r="G12" i="12"/>
  <c r="J12" i="12"/>
  <c r="K12" i="12"/>
  <c r="G13" i="12"/>
  <c r="J13" i="12"/>
  <c r="K13" i="12"/>
  <c r="G14" i="12"/>
  <c r="J14" i="12"/>
  <c r="K14" i="12"/>
  <c r="G15" i="12"/>
  <c r="J15" i="12"/>
  <c r="K15" i="12"/>
  <c r="G16" i="12"/>
  <c r="J16" i="12"/>
  <c r="K16" i="12"/>
  <c r="G17" i="12"/>
  <c r="J17" i="12"/>
  <c r="K17" i="12"/>
  <c r="G18" i="12"/>
  <c r="J18" i="12"/>
  <c r="K18" i="12"/>
  <c r="G19" i="12"/>
  <c r="J19" i="12"/>
  <c r="K19" i="12"/>
  <c r="G20" i="12"/>
  <c r="J20" i="12"/>
  <c r="K20" i="12"/>
  <c r="G21" i="12"/>
  <c r="J21" i="12"/>
  <c r="K21" i="12"/>
  <c r="G22" i="12"/>
  <c r="J22" i="12"/>
  <c r="K22" i="12"/>
  <c r="G23" i="12"/>
  <c r="J23" i="12"/>
  <c r="K23" i="12"/>
  <c r="G24" i="12"/>
  <c r="J24" i="12"/>
  <c r="K24" i="12"/>
  <c r="G25" i="12"/>
  <c r="J25" i="12"/>
  <c r="K25" i="12"/>
  <c r="G26" i="12"/>
  <c r="J26" i="12"/>
  <c r="K26" i="12"/>
  <c r="G27" i="12"/>
  <c r="J27" i="12"/>
  <c r="K27" i="12"/>
  <c r="G28" i="12"/>
  <c r="J28" i="12"/>
  <c r="K28" i="12"/>
  <c r="G4" i="12"/>
  <c r="G6" i="37"/>
  <c r="J6" i="37"/>
  <c r="K6" i="37"/>
  <c r="G7" i="37"/>
  <c r="J7" i="37"/>
  <c r="K7" i="37"/>
  <c r="G8" i="37"/>
  <c r="J8" i="37"/>
  <c r="K8" i="37"/>
  <c r="G9" i="37"/>
  <c r="J9" i="37"/>
  <c r="K9" i="37"/>
  <c r="G10" i="37"/>
  <c r="J10" i="37"/>
  <c r="K10" i="37"/>
  <c r="G11" i="37"/>
  <c r="J11" i="37"/>
  <c r="K11" i="37"/>
  <c r="G12" i="37"/>
  <c r="J12" i="37"/>
  <c r="K12" i="37"/>
  <c r="G13" i="37"/>
  <c r="J13" i="37"/>
  <c r="K13" i="37"/>
  <c r="G14" i="37"/>
  <c r="J14" i="37"/>
  <c r="K14" i="37"/>
  <c r="G15" i="37"/>
  <c r="J15" i="37"/>
  <c r="K15" i="37"/>
  <c r="G16" i="37"/>
  <c r="J16" i="37"/>
  <c r="K16" i="37"/>
  <c r="G17" i="37"/>
  <c r="J17" i="37"/>
  <c r="K17" i="37"/>
  <c r="G18" i="37"/>
  <c r="J18" i="37"/>
  <c r="K18" i="37"/>
  <c r="G19" i="37"/>
  <c r="J19" i="37"/>
  <c r="K19" i="37"/>
  <c r="G20" i="37"/>
  <c r="J20" i="37"/>
  <c r="K20" i="37"/>
  <c r="G21" i="37"/>
  <c r="J21" i="37"/>
  <c r="K21" i="37"/>
  <c r="G22" i="37"/>
  <c r="J22" i="37"/>
  <c r="K22" i="37"/>
  <c r="G23" i="37"/>
  <c r="J23" i="37"/>
  <c r="K23" i="37"/>
  <c r="G24" i="37"/>
  <c r="J24" i="37"/>
  <c r="K24" i="37"/>
  <c r="G25" i="37"/>
  <c r="J25" i="37"/>
  <c r="K25" i="37"/>
  <c r="G26" i="37"/>
  <c r="J26" i="37"/>
  <c r="K26" i="37"/>
  <c r="G27" i="37"/>
  <c r="J27" i="37"/>
  <c r="K27" i="37"/>
  <c r="G28" i="37"/>
  <c r="J28" i="37"/>
  <c r="K28" i="37"/>
  <c r="G29" i="37"/>
  <c r="J29" i="37"/>
  <c r="K29" i="37"/>
  <c r="G30" i="37"/>
  <c r="J30" i="37"/>
  <c r="K30" i="37"/>
  <c r="G31" i="37"/>
  <c r="J31" i="37"/>
  <c r="K31" i="37"/>
  <c r="G9" i="36"/>
  <c r="J9" i="36"/>
  <c r="K9" i="36"/>
  <c r="G10" i="36"/>
  <c r="J10" i="36"/>
  <c r="K10" i="36"/>
  <c r="G11" i="36"/>
  <c r="J11" i="36"/>
  <c r="K11" i="36"/>
  <c r="G12" i="36"/>
  <c r="J12" i="36"/>
  <c r="K12" i="36"/>
  <c r="G13" i="36"/>
  <c r="J13" i="36"/>
  <c r="K13" i="36"/>
  <c r="G14" i="36"/>
  <c r="J14" i="36"/>
  <c r="K14" i="36"/>
  <c r="G15" i="36"/>
  <c r="J15" i="36"/>
  <c r="K15" i="36"/>
  <c r="G16" i="36"/>
  <c r="J16" i="36"/>
  <c r="K16" i="36"/>
  <c r="G17" i="36"/>
  <c r="J17" i="36"/>
  <c r="K17" i="36"/>
  <c r="G18" i="36"/>
  <c r="J18" i="36"/>
  <c r="K18" i="36"/>
  <c r="G19" i="36"/>
  <c r="J19" i="36"/>
  <c r="K19" i="36"/>
  <c r="G20" i="36"/>
  <c r="J20" i="36"/>
  <c r="K20" i="36"/>
  <c r="G21" i="36"/>
  <c r="J21" i="36"/>
  <c r="K21" i="36"/>
  <c r="G22" i="36"/>
  <c r="J22" i="36"/>
  <c r="K22" i="36"/>
  <c r="G23" i="36"/>
  <c r="J23" i="36"/>
  <c r="K23" i="36"/>
  <c r="G24" i="36"/>
  <c r="J24" i="36"/>
  <c r="K24" i="36"/>
  <c r="G25" i="36"/>
  <c r="J25" i="36"/>
  <c r="K25" i="36"/>
  <c r="G26" i="36"/>
  <c r="J26" i="36"/>
  <c r="K26" i="36"/>
  <c r="G27" i="36"/>
  <c r="J27" i="36"/>
  <c r="K27" i="36"/>
  <c r="G28" i="36"/>
  <c r="J28" i="36"/>
  <c r="K28" i="36"/>
  <c r="L28" i="36" s="1"/>
  <c r="G29" i="36"/>
  <c r="K29" i="36"/>
  <c r="L29" i="36" s="1"/>
  <c r="G30" i="36"/>
  <c r="K30" i="36"/>
  <c r="L30" i="36" s="1"/>
  <c r="G31" i="36"/>
  <c r="K31" i="36"/>
  <c r="L31" i="36" s="1"/>
  <c r="G5" i="15"/>
  <c r="J5" i="15"/>
  <c r="K5" i="15"/>
  <c r="G6" i="15"/>
  <c r="J6" i="15"/>
  <c r="K6" i="15"/>
  <c r="G7" i="15"/>
  <c r="J7" i="15"/>
  <c r="K7" i="15"/>
  <c r="G8" i="15"/>
  <c r="J8" i="15"/>
  <c r="K8" i="15"/>
  <c r="G9" i="15"/>
  <c r="J9" i="15"/>
  <c r="K9" i="15"/>
  <c r="G10" i="15"/>
  <c r="J10" i="15"/>
  <c r="K10" i="15"/>
  <c r="G11" i="15"/>
  <c r="K11" i="15"/>
  <c r="G12" i="15"/>
  <c r="K12" i="15"/>
  <c r="G13" i="15"/>
  <c r="K13" i="15"/>
  <c r="G14" i="15"/>
  <c r="J14" i="15"/>
  <c r="K14" i="15"/>
  <c r="G15" i="15"/>
  <c r="J15" i="15"/>
  <c r="G16" i="15"/>
  <c r="J16" i="15"/>
  <c r="G17" i="15"/>
  <c r="J17" i="15"/>
  <c r="G18" i="15"/>
  <c r="J18" i="15"/>
  <c r="K18" i="15"/>
  <c r="G19" i="15"/>
  <c r="J19" i="15"/>
  <c r="K19" i="15"/>
  <c r="G20" i="15"/>
  <c r="J20" i="15"/>
  <c r="K20" i="15"/>
  <c r="G21" i="15"/>
  <c r="J21" i="15"/>
  <c r="K21" i="15"/>
  <c r="G22" i="15"/>
  <c r="J22" i="15"/>
  <c r="K22" i="15"/>
  <c r="G23" i="15"/>
  <c r="J23" i="15"/>
  <c r="K23" i="15"/>
  <c r="G24" i="15"/>
  <c r="J24" i="15"/>
  <c r="K24" i="15"/>
  <c r="G25" i="15"/>
  <c r="J25" i="15"/>
  <c r="K25" i="15"/>
  <c r="G26" i="15"/>
  <c r="J26" i="15"/>
  <c r="K26" i="15"/>
  <c r="G27" i="15"/>
  <c r="J27" i="15"/>
  <c r="K27" i="15"/>
  <c r="G28" i="15"/>
  <c r="J28" i="15"/>
  <c r="K28" i="15"/>
  <c r="G29" i="15"/>
  <c r="J29" i="15"/>
  <c r="K29" i="15"/>
  <c r="G30" i="15"/>
  <c r="J30" i="15"/>
  <c r="K30" i="15"/>
  <c r="G31" i="15"/>
  <c r="J31" i="15"/>
  <c r="G5" i="14"/>
  <c r="J5" i="14"/>
  <c r="K5" i="14"/>
  <c r="G6" i="14"/>
  <c r="J6" i="14"/>
  <c r="K6" i="14"/>
  <c r="G7" i="14"/>
  <c r="J7" i="14"/>
  <c r="K7" i="14"/>
  <c r="G8" i="14"/>
  <c r="J8" i="14"/>
  <c r="K8" i="14"/>
  <c r="G9" i="14"/>
  <c r="J9" i="14"/>
  <c r="K9" i="14"/>
  <c r="G10" i="14"/>
  <c r="J10" i="14"/>
  <c r="K10" i="14"/>
  <c r="G11" i="14"/>
  <c r="J11" i="14"/>
  <c r="K11" i="14"/>
  <c r="G12" i="14"/>
  <c r="J12" i="14"/>
  <c r="K12" i="14"/>
  <c r="G13" i="14"/>
  <c r="J13" i="14"/>
  <c r="K13" i="14"/>
  <c r="G14" i="14"/>
  <c r="J14" i="14"/>
  <c r="K14" i="14"/>
  <c r="G15" i="14"/>
  <c r="J15" i="14"/>
  <c r="K15" i="14"/>
  <c r="G16" i="14"/>
  <c r="J16" i="14"/>
  <c r="K16" i="14"/>
  <c r="G17" i="14"/>
  <c r="J17" i="14"/>
  <c r="K17" i="14"/>
  <c r="G18" i="14"/>
  <c r="J18" i="14"/>
  <c r="K18" i="14"/>
  <c r="G19" i="14"/>
  <c r="J19" i="14"/>
  <c r="K19" i="14"/>
  <c r="G20" i="14"/>
  <c r="J20" i="14"/>
  <c r="K20" i="14"/>
  <c r="G21" i="14"/>
  <c r="J21" i="14"/>
  <c r="K21" i="14"/>
  <c r="G22" i="14"/>
  <c r="J22" i="14"/>
  <c r="K22" i="14"/>
  <c r="G23" i="14"/>
  <c r="J23" i="14"/>
  <c r="K23" i="14"/>
  <c r="G24" i="14"/>
  <c r="J24" i="14"/>
  <c r="K24" i="14"/>
  <c r="G25" i="14"/>
  <c r="J25" i="14"/>
  <c r="K25" i="14"/>
  <c r="G26" i="14"/>
  <c r="J26" i="14"/>
  <c r="K26" i="14"/>
  <c r="G27" i="14"/>
  <c r="J27" i="14"/>
  <c r="K27" i="14"/>
  <c r="G28" i="14"/>
  <c r="J28" i="14"/>
  <c r="K28" i="14"/>
  <c r="G29" i="14"/>
  <c r="J29" i="14"/>
  <c r="K29" i="14"/>
  <c r="G30" i="14"/>
  <c r="J30" i="14"/>
  <c r="K30" i="14"/>
  <c r="G31" i="14"/>
  <c r="J31" i="14"/>
  <c r="K31" i="14"/>
  <c r="G32" i="14"/>
  <c r="J32" i="14"/>
  <c r="K32" i="14"/>
  <c r="G33" i="14"/>
  <c r="J33" i="14"/>
  <c r="K33" i="14"/>
  <c r="G34" i="14"/>
  <c r="J34" i="14"/>
  <c r="K34" i="14"/>
  <c r="J32" i="25"/>
  <c r="K32" i="25"/>
  <c r="L32" i="25"/>
  <c r="J33" i="25"/>
  <c r="K33" i="25"/>
  <c r="L33" i="25"/>
  <c r="J34" i="25"/>
  <c r="K34" i="25"/>
  <c r="L34" i="25"/>
  <c r="J5" i="25"/>
  <c r="K5" i="25"/>
  <c r="L5" i="25"/>
  <c r="J6" i="25"/>
  <c r="K6" i="25"/>
  <c r="L6" i="25"/>
  <c r="J7" i="25"/>
  <c r="K7" i="25"/>
  <c r="L7" i="25"/>
  <c r="J8" i="25"/>
  <c r="K8" i="25"/>
  <c r="L8" i="25"/>
  <c r="J9" i="25"/>
  <c r="K9" i="25"/>
  <c r="L9" i="25"/>
  <c r="J10" i="25"/>
  <c r="K10" i="25"/>
  <c r="L10" i="25"/>
  <c r="J11" i="25"/>
  <c r="K11" i="25"/>
  <c r="L11" i="25"/>
  <c r="J12" i="25"/>
  <c r="K12" i="25"/>
  <c r="L12" i="25"/>
  <c r="J13" i="25"/>
  <c r="K13" i="25"/>
  <c r="L13" i="25"/>
  <c r="J14" i="25"/>
  <c r="K14" i="25"/>
  <c r="L14" i="25"/>
  <c r="J15" i="25"/>
  <c r="K15" i="25"/>
  <c r="L15" i="25"/>
  <c r="J16" i="25"/>
  <c r="K16" i="25"/>
  <c r="L16" i="25"/>
  <c r="J17" i="25"/>
  <c r="K17" i="25"/>
  <c r="L17" i="25"/>
  <c r="J18" i="25"/>
  <c r="K18" i="25"/>
  <c r="L18" i="25"/>
  <c r="J19" i="25"/>
  <c r="K19" i="25"/>
  <c r="L19" i="25"/>
  <c r="J20" i="25"/>
  <c r="K20" i="25"/>
  <c r="L20" i="25"/>
  <c r="J21" i="25"/>
  <c r="K21" i="25"/>
  <c r="L21" i="25"/>
  <c r="J22" i="25"/>
  <c r="K22" i="25"/>
  <c r="L22" i="25"/>
  <c r="J23" i="25"/>
  <c r="K23" i="25"/>
  <c r="L23" i="25"/>
  <c r="J24" i="25"/>
  <c r="K24" i="25"/>
  <c r="L24" i="25"/>
  <c r="J25" i="25"/>
  <c r="K25" i="25"/>
  <c r="L25" i="25"/>
  <c r="J26" i="25"/>
  <c r="K26" i="25"/>
  <c r="L26" i="25"/>
  <c r="J27" i="25"/>
  <c r="K27" i="25"/>
  <c r="L27" i="25"/>
  <c r="J28" i="25"/>
  <c r="K28" i="25"/>
  <c r="L28" i="25"/>
  <c r="J29" i="25"/>
  <c r="K29" i="25"/>
  <c r="L29" i="25"/>
  <c r="J30" i="25"/>
  <c r="K30" i="25"/>
  <c r="L30" i="25"/>
  <c r="J31" i="25"/>
  <c r="K31" i="25"/>
  <c r="L31" i="25"/>
  <c r="G5" i="10"/>
  <c r="J5" i="10"/>
  <c r="K5" i="10"/>
  <c r="G6" i="10"/>
  <c r="J6" i="10"/>
  <c r="K6" i="10"/>
  <c r="G7" i="10"/>
  <c r="J7" i="10"/>
  <c r="K7" i="10"/>
  <c r="G8" i="10"/>
  <c r="J8" i="10"/>
  <c r="K8" i="10"/>
  <c r="G9" i="10"/>
  <c r="J9" i="10"/>
  <c r="K9" i="10"/>
  <c r="G10" i="10"/>
  <c r="J10" i="10"/>
  <c r="K10" i="10"/>
  <c r="G11" i="10"/>
  <c r="J11" i="10"/>
  <c r="K11" i="10"/>
  <c r="G12" i="10"/>
  <c r="J12" i="10"/>
  <c r="K12" i="10"/>
  <c r="G13" i="10"/>
  <c r="J13" i="10"/>
  <c r="K13" i="10"/>
  <c r="G14" i="10"/>
  <c r="J14" i="10"/>
  <c r="K14" i="10"/>
  <c r="G15" i="10"/>
  <c r="J15" i="10"/>
  <c r="K15" i="10"/>
  <c r="G16" i="10"/>
  <c r="J16" i="10"/>
  <c r="K16" i="10"/>
  <c r="G17" i="10"/>
  <c r="J17" i="10"/>
  <c r="K17" i="10"/>
  <c r="G18" i="10"/>
  <c r="J18" i="10"/>
  <c r="K18" i="10"/>
  <c r="G19" i="10"/>
  <c r="J19" i="10"/>
  <c r="K19" i="10"/>
  <c r="G20" i="10"/>
  <c r="J20" i="10"/>
  <c r="K20" i="10"/>
  <c r="G21" i="10"/>
  <c r="J21" i="10"/>
  <c r="K21" i="10"/>
  <c r="G22" i="10"/>
  <c r="J22" i="10"/>
  <c r="K22" i="10"/>
  <c r="G23" i="10"/>
  <c r="J23" i="10"/>
  <c r="K23" i="10"/>
  <c r="G24" i="10"/>
  <c r="J24" i="10"/>
  <c r="K24" i="10"/>
  <c r="G25" i="10"/>
  <c r="G35" i="10" s="1"/>
  <c r="J25" i="10"/>
  <c r="K25" i="10"/>
  <c r="K35" i="10" s="1"/>
  <c r="G26" i="10"/>
  <c r="J26" i="10"/>
  <c r="K26" i="10"/>
  <c r="G27" i="10"/>
  <c r="J27" i="10"/>
  <c r="K27" i="10"/>
  <c r="G28" i="10"/>
  <c r="J28" i="10"/>
  <c r="K28" i="10"/>
  <c r="G29" i="10"/>
  <c r="J29" i="10"/>
  <c r="K29" i="10"/>
  <c r="G30" i="10"/>
  <c r="J30" i="10"/>
  <c r="K30" i="10"/>
  <c r="G31" i="10"/>
  <c r="J31" i="10"/>
  <c r="K31" i="10"/>
  <c r="G32" i="10"/>
  <c r="J32" i="10"/>
  <c r="K32" i="10"/>
  <c r="G33" i="10"/>
  <c r="J33" i="10"/>
  <c r="K33" i="10"/>
  <c r="G34" i="10"/>
  <c r="J34" i="10"/>
  <c r="K34" i="10"/>
  <c r="G5" i="11"/>
  <c r="J5" i="11"/>
  <c r="K5" i="11"/>
  <c r="G6" i="11"/>
  <c r="J6" i="11"/>
  <c r="K6" i="11"/>
  <c r="G7" i="11"/>
  <c r="J7" i="11"/>
  <c r="K7" i="11"/>
  <c r="G8" i="11"/>
  <c r="J8" i="11"/>
  <c r="K8" i="11"/>
  <c r="G9" i="11"/>
  <c r="J9" i="11"/>
  <c r="K9" i="11"/>
  <c r="G10" i="11"/>
  <c r="J10" i="11"/>
  <c r="K10" i="11"/>
  <c r="G11" i="11"/>
  <c r="J11" i="11"/>
  <c r="K11" i="11"/>
  <c r="G12" i="11"/>
  <c r="J12" i="11"/>
  <c r="K12" i="11"/>
  <c r="G13" i="11"/>
  <c r="J13" i="11"/>
  <c r="K13" i="11"/>
  <c r="G14" i="11"/>
  <c r="J14" i="11"/>
  <c r="K14" i="11"/>
  <c r="G15" i="11"/>
  <c r="J15" i="11"/>
  <c r="K15" i="11"/>
  <c r="G16" i="11"/>
  <c r="J16" i="11"/>
  <c r="K16" i="11"/>
  <c r="G17" i="11"/>
  <c r="J17" i="11"/>
  <c r="K17" i="11"/>
  <c r="J18" i="11"/>
  <c r="K18" i="11" s="1"/>
  <c r="G19" i="11"/>
  <c r="J19" i="11"/>
  <c r="K19" i="11"/>
  <c r="G20" i="11"/>
  <c r="J20" i="11"/>
  <c r="K20" i="11"/>
  <c r="G21" i="11"/>
  <c r="J21" i="11"/>
  <c r="K21" i="11"/>
  <c r="G22" i="11"/>
  <c r="J22" i="11"/>
  <c r="K22" i="11"/>
  <c r="G23" i="11"/>
  <c r="J23" i="11"/>
  <c r="K23" i="11"/>
  <c r="G24" i="11"/>
  <c r="J24" i="11"/>
  <c r="K24" i="11"/>
  <c r="G25" i="11"/>
  <c r="J25" i="11"/>
  <c r="K25" i="11"/>
  <c r="G26" i="11"/>
  <c r="J26" i="11"/>
  <c r="K26" i="11"/>
  <c r="G27" i="11"/>
  <c r="J27" i="11"/>
  <c r="K27" i="11"/>
  <c r="G28" i="11"/>
  <c r="J28" i="11"/>
  <c r="K28" i="11"/>
  <c r="G29" i="11"/>
  <c r="J29" i="11"/>
  <c r="K29" i="11"/>
  <c r="G30" i="11"/>
  <c r="J30" i="11"/>
  <c r="K30" i="11"/>
  <c r="G31" i="11"/>
  <c r="J31" i="11"/>
  <c r="K31" i="11"/>
  <c r="G32" i="11"/>
  <c r="J32" i="11"/>
  <c r="K32" i="11"/>
  <c r="G34" i="11"/>
  <c r="J34" i="11"/>
  <c r="K34" i="11"/>
  <c r="G5" i="24"/>
  <c r="J5" i="24"/>
  <c r="K5" i="24"/>
  <c r="G6" i="24"/>
  <c r="J6" i="24"/>
  <c r="K6" i="24"/>
  <c r="G7" i="24"/>
  <c r="J7" i="24"/>
  <c r="K7" i="24"/>
  <c r="G8" i="24"/>
  <c r="J8" i="24"/>
  <c r="K8" i="24"/>
  <c r="G9" i="24"/>
  <c r="J9" i="24"/>
  <c r="K9" i="24"/>
  <c r="L9" i="24" s="1"/>
  <c r="G10" i="24"/>
  <c r="J10" i="24"/>
  <c r="K10" i="24"/>
  <c r="G11" i="24"/>
  <c r="J11" i="24"/>
  <c r="K11" i="24"/>
  <c r="G12" i="24"/>
  <c r="J12" i="24"/>
  <c r="K12" i="24"/>
  <c r="G13" i="24"/>
  <c r="J13" i="24"/>
  <c r="K13" i="24"/>
  <c r="G14" i="24"/>
  <c r="J14" i="24"/>
  <c r="K14" i="24"/>
  <c r="G15" i="24"/>
  <c r="J15" i="24"/>
  <c r="K15" i="24"/>
  <c r="G16" i="24"/>
  <c r="J16" i="24"/>
  <c r="K16" i="24"/>
  <c r="G17" i="24"/>
  <c r="J17" i="24"/>
  <c r="K17" i="24"/>
  <c r="G18" i="24"/>
  <c r="J18" i="24"/>
  <c r="K18" i="24"/>
  <c r="G19" i="24"/>
  <c r="J19" i="24"/>
  <c r="K19" i="24"/>
  <c r="G20" i="24"/>
  <c r="J20" i="24"/>
  <c r="K20" i="24"/>
  <c r="G21" i="24"/>
  <c r="J21" i="24"/>
  <c r="K21" i="24"/>
  <c r="G22" i="24"/>
  <c r="J22" i="24"/>
  <c r="K22" i="24"/>
  <c r="G23" i="24"/>
  <c r="J23" i="24"/>
  <c r="K23" i="24"/>
  <c r="G24" i="24"/>
  <c r="J24" i="24"/>
  <c r="K24" i="24"/>
  <c r="L24" i="24" s="1"/>
  <c r="G25" i="24"/>
  <c r="J25" i="24"/>
  <c r="K25" i="24"/>
  <c r="G26" i="24"/>
  <c r="J26" i="24"/>
  <c r="K26" i="24"/>
  <c r="G27" i="24"/>
  <c r="J27" i="24"/>
  <c r="K27" i="24"/>
  <c r="G28" i="24"/>
  <c r="J28" i="24"/>
  <c r="K28" i="24"/>
  <c r="G29" i="24"/>
  <c r="J29" i="24"/>
  <c r="K29" i="24"/>
  <c r="G30" i="24"/>
  <c r="J30" i="24"/>
  <c r="K30" i="24"/>
  <c r="G31" i="24"/>
  <c r="J31" i="24"/>
  <c r="K31" i="24"/>
  <c r="G5" i="23"/>
  <c r="J5" i="23"/>
  <c r="K5" i="23"/>
  <c r="L5" i="23" s="1"/>
  <c r="G6" i="23"/>
  <c r="J6" i="23"/>
  <c r="K6" i="23"/>
  <c r="L6" i="23" s="1"/>
  <c r="G7" i="23"/>
  <c r="J7" i="23"/>
  <c r="K7" i="23"/>
  <c r="L7" i="23" s="1"/>
  <c r="G8" i="23"/>
  <c r="J8" i="23"/>
  <c r="K8" i="23"/>
  <c r="L8" i="23" s="1"/>
  <c r="G9" i="23"/>
  <c r="J9" i="23"/>
  <c r="K9" i="23"/>
  <c r="L9" i="23" s="1"/>
  <c r="G10" i="23"/>
  <c r="J10" i="23"/>
  <c r="K10" i="23"/>
  <c r="G12" i="23"/>
  <c r="J12" i="23"/>
  <c r="K12" i="23"/>
  <c r="G13" i="23"/>
  <c r="J13" i="23"/>
  <c r="K13" i="23"/>
  <c r="G14" i="23"/>
  <c r="J14" i="23"/>
  <c r="K14" i="23"/>
  <c r="G15" i="23"/>
  <c r="J15" i="23"/>
  <c r="G16" i="23"/>
  <c r="J16" i="23"/>
  <c r="K16" i="23"/>
  <c r="G17" i="23"/>
  <c r="J17" i="23"/>
  <c r="K17" i="23"/>
  <c r="G18" i="23"/>
  <c r="J18" i="23"/>
  <c r="K18" i="23"/>
  <c r="G19" i="23"/>
  <c r="J19" i="23"/>
  <c r="K19" i="23"/>
  <c r="G20" i="23"/>
  <c r="J20" i="23"/>
  <c r="K20" i="23"/>
  <c r="G21" i="23"/>
  <c r="J21" i="23"/>
  <c r="K21" i="23"/>
  <c r="G22" i="23"/>
  <c r="K22" i="23" s="1"/>
  <c r="J22" i="23"/>
  <c r="G23" i="23"/>
  <c r="J23" i="23"/>
  <c r="K23" i="23"/>
  <c r="G24" i="23"/>
  <c r="J24" i="23"/>
  <c r="K24" i="23"/>
  <c r="G25" i="23"/>
  <c r="J25" i="23"/>
  <c r="K25" i="23"/>
  <c r="G26" i="23"/>
  <c r="J26" i="23"/>
  <c r="K26" i="23"/>
  <c r="G27" i="23"/>
  <c r="J27" i="23"/>
  <c r="K27" i="23"/>
  <c r="G28" i="23"/>
  <c r="J28" i="23"/>
  <c r="K28" i="23"/>
  <c r="G29" i="23"/>
  <c r="J29" i="23"/>
  <c r="K29" i="23"/>
  <c r="G30" i="23"/>
  <c r="J30" i="23"/>
  <c r="K30" i="23"/>
  <c r="G31" i="23"/>
  <c r="J31" i="23"/>
  <c r="K31" i="23"/>
  <c r="G32" i="23"/>
  <c r="J32" i="23"/>
  <c r="K32" i="23"/>
  <c r="G5" i="20"/>
  <c r="J5" i="20"/>
  <c r="K5" i="20"/>
  <c r="L5" i="20"/>
  <c r="G6" i="20"/>
  <c r="J6" i="20"/>
  <c r="K6" i="20"/>
  <c r="L6" i="20"/>
  <c r="G7" i="20"/>
  <c r="J7" i="20"/>
  <c r="K7" i="20"/>
  <c r="L7" i="20"/>
  <c r="G8" i="20"/>
  <c r="J8" i="20"/>
  <c r="K8" i="20"/>
  <c r="L8" i="20"/>
  <c r="G9" i="20"/>
  <c r="J9" i="20"/>
  <c r="K9" i="20"/>
  <c r="L9" i="20"/>
  <c r="G10" i="20"/>
  <c r="J10" i="20"/>
  <c r="K10" i="20"/>
  <c r="L10" i="20"/>
  <c r="G11" i="20"/>
  <c r="J11" i="20"/>
  <c r="K11" i="20"/>
  <c r="L11" i="20"/>
  <c r="G12" i="20"/>
  <c r="J12" i="20"/>
  <c r="K12" i="20"/>
  <c r="L12" i="20"/>
  <c r="G13" i="20"/>
  <c r="J13" i="20"/>
  <c r="K13" i="20"/>
  <c r="L13" i="20"/>
  <c r="G14" i="20"/>
  <c r="J14" i="20"/>
  <c r="K14" i="20"/>
  <c r="L14" i="20"/>
  <c r="G15" i="20"/>
  <c r="J15" i="20"/>
  <c r="K15" i="20"/>
  <c r="L15" i="20"/>
  <c r="G16" i="20"/>
  <c r="J16" i="20"/>
  <c r="K16" i="20"/>
  <c r="L16" i="20"/>
  <c r="G17" i="20"/>
  <c r="J17" i="20"/>
  <c r="K17" i="20"/>
  <c r="L17" i="20"/>
  <c r="G18" i="20"/>
  <c r="J18" i="20"/>
  <c r="K18" i="20"/>
  <c r="L18" i="20"/>
  <c r="G19" i="20"/>
  <c r="J19" i="20"/>
  <c r="K19" i="20"/>
  <c r="L19" i="20"/>
  <c r="G20" i="20"/>
  <c r="J20" i="20"/>
  <c r="K20" i="20"/>
  <c r="L20" i="20"/>
  <c r="G21" i="20"/>
  <c r="J21" i="20"/>
  <c r="K21" i="20"/>
  <c r="L21" i="20"/>
  <c r="G22" i="20"/>
  <c r="J22" i="20"/>
  <c r="K22" i="20"/>
  <c r="L22" i="20"/>
  <c r="G23" i="20"/>
  <c r="J23" i="20"/>
  <c r="K23" i="20"/>
  <c r="L23" i="20"/>
  <c r="G24" i="20"/>
  <c r="J24" i="20"/>
  <c r="K24" i="20"/>
  <c r="L24" i="20"/>
  <c r="G25" i="20"/>
  <c r="J25" i="20"/>
  <c r="K25" i="20"/>
  <c r="L25" i="20"/>
  <c r="G26" i="20"/>
  <c r="J26" i="20"/>
  <c r="K26" i="20"/>
  <c r="L26" i="20"/>
  <c r="G27" i="20"/>
  <c r="J27" i="20"/>
  <c r="K27" i="20"/>
  <c r="L27" i="20"/>
  <c r="G28" i="20"/>
  <c r="J28" i="20"/>
  <c r="K28" i="20"/>
  <c r="L28" i="20"/>
  <c r="G29" i="20"/>
  <c r="J29" i="20"/>
  <c r="K29" i="20"/>
  <c r="L29" i="20"/>
  <c r="G30" i="20"/>
  <c r="J30" i="20"/>
  <c r="K30" i="20"/>
  <c r="L30" i="20"/>
  <c r="G31" i="20"/>
  <c r="J31" i="20"/>
  <c r="K31" i="20"/>
  <c r="L31" i="20"/>
  <c r="J32" i="3"/>
  <c r="K32" i="3"/>
  <c r="J33" i="3"/>
  <c r="K33" i="3"/>
  <c r="J34" i="3"/>
  <c r="K34" i="3"/>
  <c r="G32" i="3"/>
  <c r="G33" i="3"/>
  <c r="G34" i="3"/>
  <c r="G5" i="3"/>
  <c r="J5" i="3"/>
  <c r="K5" i="3"/>
  <c r="G6" i="3"/>
  <c r="J6" i="3"/>
  <c r="K6" i="3"/>
  <c r="G7" i="3"/>
  <c r="J7" i="3"/>
  <c r="K7" i="3"/>
  <c r="G8" i="3"/>
  <c r="J8" i="3"/>
  <c r="K8" i="3"/>
  <c r="G9" i="3"/>
  <c r="J9" i="3"/>
  <c r="K9" i="3"/>
  <c r="G10" i="3"/>
  <c r="J10" i="3"/>
  <c r="K10" i="3"/>
  <c r="G11" i="3"/>
  <c r="J11" i="3"/>
  <c r="K11" i="3"/>
  <c r="G12" i="3"/>
  <c r="J12" i="3"/>
  <c r="K12" i="3"/>
  <c r="G13" i="3"/>
  <c r="J13" i="3"/>
  <c r="K13" i="3"/>
  <c r="G14" i="3"/>
  <c r="J14" i="3"/>
  <c r="K14" i="3"/>
  <c r="G15" i="3"/>
  <c r="J15" i="3"/>
  <c r="K15" i="3"/>
  <c r="G16" i="3"/>
  <c r="J16" i="3"/>
  <c r="K16" i="3"/>
  <c r="G17" i="3"/>
  <c r="J17" i="3"/>
  <c r="K17" i="3"/>
  <c r="G18" i="3"/>
  <c r="J18" i="3"/>
  <c r="K18" i="3"/>
  <c r="G19" i="3"/>
  <c r="J19" i="3"/>
  <c r="K19" i="3"/>
  <c r="G20" i="3"/>
  <c r="J20" i="3"/>
  <c r="K20" i="3"/>
  <c r="G21" i="3"/>
  <c r="J21" i="3"/>
  <c r="K21" i="3"/>
  <c r="G22" i="3"/>
  <c r="J22" i="3"/>
  <c r="K22" i="3"/>
  <c r="G23" i="3"/>
  <c r="J23" i="3"/>
  <c r="K23" i="3"/>
  <c r="G24" i="3"/>
  <c r="J24" i="3"/>
  <c r="G25" i="3"/>
  <c r="J25" i="3"/>
  <c r="K25" i="3"/>
  <c r="G26" i="3"/>
  <c r="J26" i="3"/>
  <c r="K26" i="3"/>
  <c r="G27" i="3"/>
  <c r="J27" i="3"/>
  <c r="K27" i="3"/>
  <c r="G28" i="3"/>
  <c r="J28" i="3"/>
  <c r="K28" i="3"/>
  <c r="G29" i="3"/>
  <c r="J29" i="3"/>
  <c r="K29" i="3"/>
  <c r="G30" i="3"/>
  <c r="J30" i="3"/>
  <c r="K30" i="3"/>
  <c r="G31" i="3"/>
  <c r="J31" i="3"/>
  <c r="K31" i="3"/>
  <c r="G6" i="7"/>
  <c r="J6" i="7"/>
  <c r="K6" i="7"/>
  <c r="G7" i="7"/>
  <c r="J7" i="7"/>
  <c r="K7" i="7"/>
  <c r="G8" i="7"/>
  <c r="J8" i="7"/>
  <c r="K8" i="7"/>
  <c r="G9" i="7"/>
  <c r="J9" i="7"/>
  <c r="K9" i="7"/>
  <c r="G10" i="7"/>
  <c r="J10" i="7"/>
  <c r="K10" i="7"/>
  <c r="G11" i="7"/>
  <c r="J11" i="7"/>
  <c r="K11" i="7"/>
  <c r="J12" i="7"/>
  <c r="K12" i="7"/>
  <c r="G13" i="7"/>
  <c r="J13" i="7"/>
  <c r="K13" i="7"/>
  <c r="G14" i="7"/>
  <c r="J14" i="7"/>
  <c r="K14" i="7"/>
  <c r="G15" i="7"/>
  <c r="J15" i="7"/>
  <c r="K15" i="7"/>
  <c r="G16" i="7"/>
  <c r="J16" i="7"/>
  <c r="K16" i="7"/>
  <c r="G17" i="7"/>
  <c r="J17" i="7"/>
  <c r="K17" i="7"/>
  <c r="G18" i="7"/>
  <c r="J18" i="7"/>
  <c r="K18" i="7"/>
  <c r="G19" i="7"/>
  <c r="J19" i="7"/>
  <c r="K19" i="7"/>
  <c r="G20" i="7"/>
  <c r="J20" i="7"/>
  <c r="K20" i="7"/>
  <c r="G21" i="7"/>
  <c r="J21" i="7"/>
  <c r="K21" i="7"/>
  <c r="G22" i="7"/>
  <c r="G35" i="7" s="1"/>
  <c r="J22" i="7"/>
  <c r="K22" i="7"/>
  <c r="G23" i="7"/>
  <c r="J23" i="7"/>
  <c r="K23" i="7"/>
  <c r="G24" i="7"/>
  <c r="J24" i="7"/>
  <c r="K24" i="7"/>
  <c r="G25" i="7"/>
  <c r="J25" i="7"/>
  <c r="K25" i="7"/>
  <c r="G26" i="7"/>
  <c r="J26" i="7"/>
  <c r="K26" i="7"/>
  <c r="G27" i="7"/>
  <c r="J27" i="7"/>
  <c r="K27" i="7"/>
  <c r="G28" i="7"/>
  <c r="J28" i="7"/>
  <c r="K28" i="7"/>
  <c r="G29" i="7"/>
  <c r="J29" i="7"/>
  <c r="K29" i="7"/>
  <c r="G30" i="7"/>
  <c r="J30" i="7"/>
  <c r="G31" i="7"/>
  <c r="J31" i="7"/>
  <c r="G32" i="7"/>
  <c r="J32" i="7"/>
  <c r="M4" i="16"/>
  <c r="M5" i="16" s="1"/>
  <c r="M6" i="16" s="1"/>
  <c r="M3" i="16"/>
  <c r="G6" i="16"/>
  <c r="J6" i="16"/>
  <c r="K6" i="16"/>
  <c r="G7" i="16"/>
  <c r="J7" i="16"/>
  <c r="K7" i="16"/>
  <c r="G8" i="16"/>
  <c r="J8" i="16"/>
  <c r="K8" i="16"/>
  <c r="G9" i="16"/>
  <c r="J9" i="16"/>
  <c r="K9" i="16"/>
  <c r="G10" i="16"/>
  <c r="J10" i="16"/>
  <c r="K10" i="16"/>
  <c r="G11" i="16"/>
  <c r="J11" i="16"/>
  <c r="K11" i="16"/>
  <c r="L11" i="16"/>
  <c r="G12" i="16"/>
  <c r="J12" i="16"/>
  <c r="K12" i="16"/>
  <c r="L12" i="16"/>
  <c r="G13" i="16"/>
  <c r="J13" i="16"/>
  <c r="K13" i="16"/>
  <c r="L13" i="16"/>
  <c r="G14" i="16"/>
  <c r="J14" i="16"/>
  <c r="K14" i="16"/>
  <c r="G15" i="16"/>
  <c r="J15" i="16"/>
  <c r="K15" i="16"/>
  <c r="L15" i="16"/>
  <c r="G16" i="16"/>
  <c r="J16" i="16"/>
  <c r="K16" i="16"/>
  <c r="L16" i="16"/>
  <c r="G17" i="16"/>
  <c r="J17" i="16"/>
  <c r="K17" i="16"/>
  <c r="G18" i="16"/>
  <c r="J18" i="16"/>
  <c r="K18" i="16"/>
  <c r="L18" i="16"/>
  <c r="G19" i="16"/>
  <c r="J19" i="16"/>
  <c r="K19" i="16"/>
  <c r="L19" i="16"/>
  <c r="G20" i="16"/>
  <c r="J20" i="16"/>
  <c r="K20" i="16"/>
  <c r="G21" i="16"/>
  <c r="J21" i="16"/>
  <c r="K21" i="16"/>
  <c r="L21" i="16"/>
  <c r="G22" i="16"/>
  <c r="J22" i="16"/>
  <c r="K22" i="16"/>
  <c r="L22" i="16"/>
  <c r="G23" i="16"/>
  <c r="J23" i="16"/>
  <c r="K23" i="16"/>
  <c r="L23" i="16"/>
  <c r="G24" i="16"/>
  <c r="J24" i="16"/>
  <c r="K24" i="16"/>
  <c r="G25" i="16"/>
  <c r="J25" i="16"/>
  <c r="K25" i="16"/>
  <c r="L25" i="16"/>
  <c r="G26" i="16"/>
  <c r="J26" i="16"/>
  <c r="K26" i="16"/>
  <c r="L26" i="16"/>
  <c r="G27" i="16"/>
  <c r="J27" i="16"/>
  <c r="K27" i="16"/>
  <c r="G28" i="16"/>
  <c r="J28" i="16"/>
  <c r="K28" i="16"/>
  <c r="L28" i="16"/>
  <c r="G29" i="16"/>
  <c r="J29" i="16"/>
  <c r="K29" i="16"/>
  <c r="L29" i="16"/>
  <c r="G30" i="16"/>
  <c r="J30" i="16"/>
  <c r="K30" i="16"/>
  <c r="G31" i="16"/>
  <c r="J31" i="16"/>
  <c r="L31" i="16"/>
  <c r="G32" i="16"/>
  <c r="J32" i="16"/>
  <c r="G5" i="1"/>
  <c r="J5" i="1"/>
  <c r="K5" i="1"/>
  <c r="G6" i="1"/>
  <c r="J6" i="1"/>
  <c r="K6" i="1"/>
  <c r="G7" i="1"/>
  <c r="J7" i="1"/>
  <c r="K7" i="1"/>
  <c r="G8" i="1"/>
  <c r="J8" i="1"/>
  <c r="K8" i="1"/>
  <c r="G9" i="1"/>
  <c r="J9" i="1"/>
  <c r="K9" i="1"/>
  <c r="G10" i="1"/>
  <c r="J10" i="1"/>
  <c r="K10" i="1"/>
  <c r="G11" i="1"/>
  <c r="J11" i="1"/>
  <c r="K11" i="1"/>
  <c r="G12" i="1"/>
  <c r="J12" i="1"/>
  <c r="K12" i="1"/>
  <c r="G13" i="1"/>
  <c r="J13" i="1"/>
  <c r="K13" i="1"/>
  <c r="G14" i="1"/>
  <c r="J14" i="1"/>
  <c r="K14" i="1"/>
  <c r="G15" i="1"/>
  <c r="J15" i="1"/>
  <c r="K15" i="1"/>
  <c r="G16" i="1"/>
  <c r="J16" i="1"/>
  <c r="K16" i="1"/>
  <c r="G17" i="1"/>
  <c r="J17" i="1"/>
  <c r="K17" i="1"/>
  <c r="G18" i="1"/>
  <c r="J18" i="1"/>
  <c r="K18" i="1"/>
  <c r="G19" i="1"/>
  <c r="J19" i="1"/>
  <c r="K19" i="1"/>
  <c r="G20" i="1"/>
  <c r="J20" i="1"/>
  <c r="K20" i="1"/>
  <c r="G21" i="1"/>
  <c r="J21" i="1"/>
  <c r="K21" i="1"/>
  <c r="G22" i="1"/>
  <c r="J22" i="1"/>
  <c r="K22" i="1"/>
  <c r="G23" i="1"/>
  <c r="J23" i="1"/>
  <c r="K23" i="1"/>
  <c r="G24" i="1"/>
  <c r="J24" i="1"/>
  <c r="K24" i="1"/>
  <c r="G25" i="1"/>
  <c r="J25" i="1"/>
  <c r="K25" i="1"/>
  <c r="G26" i="1"/>
  <c r="J26" i="1"/>
  <c r="K26" i="1"/>
  <c r="G27" i="1"/>
  <c r="J27" i="1"/>
  <c r="K27" i="1"/>
  <c r="G28" i="1"/>
  <c r="J28" i="1"/>
  <c r="K28" i="1"/>
  <c r="G29" i="1"/>
  <c r="J29" i="1"/>
  <c r="K29" i="1"/>
  <c r="G30" i="1"/>
  <c r="J30" i="1"/>
  <c r="K30" i="1"/>
  <c r="G31" i="1"/>
  <c r="J31" i="1"/>
  <c r="K31" i="1"/>
  <c r="G5" i="2"/>
  <c r="J5" i="2"/>
  <c r="K5" i="2"/>
  <c r="G6" i="2"/>
  <c r="J6" i="2"/>
  <c r="K6" i="2"/>
  <c r="G7" i="2"/>
  <c r="J7" i="2"/>
  <c r="K7" i="2" s="1"/>
  <c r="G8" i="2"/>
  <c r="J8" i="2"/>
  <c r="K8" i="2" s="1"/>
  <c r="G9" i="2"/>
  <c r="J9" i="2"/>
  <c r="K9" i="2" s="1"/>
  <c r="G10" i="2"/>
  <c r="J10" i="2"/>
  <c r="K10" i="2"/>
  <c r="G11" i="2"/>
  <c r="J11" i="2"/>
  <c r="K11" i="2"/>
  <c r="G12" i="2"/>
  <c r="J12" i="2"/>
  <c r="K12" i="2"/>
  <c r="G13" i="2"/>
  <c r="J13" i="2"/>
  <c r="K13" i="2"/>
  <c r="G14" i="2"/>
  <c r="J14" i="2"/>
  <c r="K14" i="2"/>
  <c r="G15" i="2"/>
  <c r="J15" i="2"/>
  <c r="K15" i="2"/>
  <c r="G16" i="2"/>
  <c r="J16" i="2"/>
  <c r="K16" i="2"/>
  <c r="G17" i="2"/>
  <c r="J17" i="2"/>
  <c r="K17" i="2"/>
  <c r="G18" i="2"/>
  <c r="J18" i="2"/>
  <c r="K18" i="2"/>
  <c r="G19" i="2"/>
  <c r="J19" i="2"/>
  <c r="K19" i="2"/>
  <c r="G20" i="2"/>
  <c r="J20" i="2"/>
  <c r="K20" i="2"/>
  <c r="G21" i="2"/>
  <c r="J21" i="2"/>
  <c r="K21" i="2"/>
  <c r="G22" i="2"/>
  <c r="J22" i="2"/>
  <c r="K22" i="2"/>
  <c r="G23" i="2"/>
  <c r="J23" i="2"/>
  <c r="K23" i="2"/>
  <c r="G24" i="2"/>
  <c r="J24" i="2"/>
  <c r="K24" i="2"/>
  <c r="G25" i="2"/>
  <c r="J25" i="2"/>
  <c r="K25" i="2"/>
  <c r="G26" i="2"/>
  <c r="J26" i="2"/>
  <c r="K26" i="2"/>
  <c r="G27" i="2"/>
  <c r="J27" i="2"/>
  <c r="K27" i="2"/>
  <c r="G28" i="2"/>
  <c r="J28" i="2"/>
  <c r="K28" i="2"/>
  <c r="J29" i="2"/>
  <c r="J34" i="32"/>
  <c r="G34" i="32"/>
  <c r="K34" i="32" s="1"/>
  <c r="J33" i="32"/>
  <c r="G33" i="32"/>
  <c r="K33" i="32" s="1"/>
  <c r="J32" i="32"/>
  <c r="G32" i="32"/>
  <c r="K32" i="32" s="1"/>
  <c r="J31" i="32"/>
  <c r="G31" i="32"/>
  <c r="K31" i="32" s="1"/>
  <c r="J30" i="32"/>
  <c r="G30" i="32"/>
  <c r="K30" i="32" s="1"/>
  <c r="J29" i="32"/>
  <c r="G29" i="32"/>
  <c r="K29" i="32" s="1"/>
  <c r="J28" i="32"/>
  <c r="G28" i="32"/>
  <c r="K28" i="32" s="1"/>
  <c r="J27" i="32"/>
  <c r="G27" i="32"/>
  <c r="K27" i="32" s="1"/>
  <c r="J26" i="32"/>
  <c r="G26" i="32"/>
  <c r="K26" i="32" s="1"/>
  <c r="J25" i="32"/>
  <c r="G25" i="32"/>
  <c r="K25" i="32" s="1"/>
  <c r="J24" i="32"/>
  <c r="G24" i="32"/>
  <c r="K24" i="32" s="1"/>
  <c r="J23" i="32"/>
  <c r="G23" i="32"/>
  <c r="K23" i="32" s="1"/>
  <c r="J22" i="32"/>
  <c r="G22" i="32"/>
  <c r="K22" i="32" s="1"/>
  <c r="J21" i="32"/>
  <c r="G21" i="32"/>
  <c r="K21" i="32" s="1"/>
  <c r="J20" i="32"/>
  <c r="G20" i="32"/>
  <c r="K20" i="32" s="1"/>
  <c r="J19" i="32"/>
  <c r="G19" i="32"/>
  <c r="K19" i="32" s="1"/>
  <c r="J18" i="32"/>
  <c r="G18" i="32"/>
  <c r="K18" i="32" s="1"/>
  <c r="J17" i="32"/>
  <c r="G17" i="32"/>
  <c r="K17" i="32" s="1"/>
  <c r="J16" i="32"/>
  <c r="G16" i="32"/>
  <c r="K16" i="32" s="1"/>
  <c r="J15" i="32"/>
  <c r="G15" i="32"/>
  <c r="K15" i="32" s="1"/>
  <c r="J14" i="32"/>
  <c r="G14" i="32"/>
  <c r="K14" i="32" s="1"/>
  <c r="J13" i="32"/>
  <c r="G13" i="32"/>
  <c r="K13" i="32" s="1"/>
  <c r="J12" i="32"/>
  <c r="G12" i="32"/>
  <c r="K12" i="32" s="1"/>
  <c r="J11" i="32"/>
  <c r="G11" i="32"/>
  <c r="K11" i="32" s="1"/>
  <c r="J10" i="32"/>
  <c r="G10" i="32"/>
  <c r="K10" i="32" s="1"/>
  <c r="J9" i="32"/>
  <c r="G9" i="32"/>
  <c r="K9" i="32" s="1"/>
  <c r="J8" i="32"/>
  <c r="G8" i="32"/>
  <c r="K8" i="32" s="1"/>
  <c r="J7" i="32"/>
  <c r="G7" i="32"/>
  <c r="K7" i="32" s="1"/>
  <c r="J6" i="32"/>
  <c r="G6" i="32"/>
  <c r="K6" i="32" s="1"/>
  <c r="J5" i="32"/>
  <c r="G5" i="32"/>
  <c r="K5" i="32" s="1"/>
  <c r="J4" i="32"/>
  <c r="G4" i="32"/>
  <c r="M3" i="32"/>
  <c r="L35" i="39"/>
  <c r="H35" i="39"/>
  <c r="M3" i="39"/>
  <c r="G18" i="39"/>
  <c r="J18" i="39"/>
  <c r="K18" i="39"/>
  <c r="G19" i="39"/>
  <c r="J19" i="39"/>
  <c r="K19" i="39"/>
  <c r="G20" i="39"/>
  <c r="J20" i="39"/>
  <c r="K20" i="39"/>
  <c r="G21" i="39"/>
  <c r="J21" i="39"/>
  <c r="K21" i="39"/>
  <c r="G22" i="39"/>
  <c r="J22" i="39"/>
  <c r="K22" i="39"/>
  <c r="G23" i="39"/>
  <c r="J23" i="39"/>
  <c r="K23" i="39"/>
  <c r="G24" i="39"/>
  <c r="J24" i="39"/>
  <c r="K24" i="39"/>
  <c r="G25" i="39"/>
  <c r="J25" i="39"/>
  <c r="K25" i="39"/>
  <c r="G26" i="39"/>
  <c r="J26" i="39"/>
  <c r="K26" i="39"/>
  <c r="G27" i="39"/>
  <c r="J27" i="39"/>
  <c r="K27" i="39"/>
  <c r="G28" i="39"/>
  <c r="J28" i="39"/>
  <c r="K28" i="39"/>
  <c r="G29" i="39"/>
  <c r="J29" i="39"/>
  <c r="K29" i="39"/>
  <c r="G30" i="39"/>
  <c r="J30" i="39"/>
  <c r="K30" i="39"/>
  <c r="G31" i="39"/>
  <c r="J31" i="39"/>
  <c r="K31" i="39"/>
  <c r="G32" i="39"/>
  <c r="J32" i="39"/>
  <c r="K32" i="39"/>
  <c r="G33" i="39"/>
  <c r="J33" i="39"/>
  <c r="K33" i="39"/>
  <c r="G34" i="39"/>
  <c r="J34" i="39"/>
  <c r="K34" i="39"/>
  <c r="G5" i="17"/>
  <c r="J5" i="17"/>
  <c r="K5" i="17"/>
  <c r="G6" i="17"/>
  <c r="J6" i="17"/>
  <c r="K6" i="17"/>
  <c r="G7" i="17"/>
  <c r="J7" i="17"/>
  <c r="K7" i="17"/>
  <c r="G8" i="17"/>
  <c r="J8" i="17"/>
  <c r="K8" i="17"/>
  <c r="G9" i="17"/>
  <c r="J9" i="17"/>
  <c r="K9" i="17"/>
  <c r="G10" i="17"/>
  <c r="J10" i="17"/>
  <c r="K10" i="17"/>
  <c r="G11" i="17"/>
  <c r="J11" i="17"/>
  <c r="K11" i="17"/>
  <c r="G12" i="17"/>
  <c r="J12" i="17"/>
  <c r="K12" i="17"/>
  <c r="G13" i="17"/>
  <c r="J13" i="17"/>
  <c r="K13" i="17"/>
  <c r="G14" i="17"/>
  <c r="J14" i="17"/>
  <c r="K14" i="17"/>
  <c r="G15" i="17"/>
  <c r="J15" i="17"/>
  <c r="K15" i="17"/>
  <c r="G16" i="17"/>
  <c r="J16" i="17"/>
  <c r="K16" i="17"/>
  <c r="G17" i="17"/>
  <c r="J17" i="17"/>
  <c r="K17" i="17"/>
  <c r="G18" i="17"/>
  <c r="J18" i="17"/>
  <c r="K18" i="17"/>
  <c r="G19" i="17"/>
  <c r="J19" i="17"/>
  <c r="K19" i="17"/>
  <c r="G20" i="17"/>
  <c r="J20" i="17"/>
  <c r="K20" i="17"/>
  <c r="G21" i="17"/>
  <c r="J21" i="17"/>
  <c r="K21" i="17"/>
  <c r="G22" i="17"/>
  <c r="J22" i="17"/>
  <c r="K22" i="17"/>
  <c r="G23" i="17"/>
  <c r="J23" i="17"/>
  <c r="K23" i="17"/>
  <c r="G24" i="17"/>
  <c r="J24" i="17"/>
  <c r="K24" i="17"/>
  <c r="G25" i="17"/>
  <c r="J25" i="17"/>
  <c r="K25" i="17"/>
  <c r="G26" i="17"/>
  <c r="J26" i="17"/>
  <c r="K26" i="17"/>
  <c r="G27" i="17"/>
  <c r="J27" i="17"/>
  <c r="K27" i="17"/>
  <c r="G28" i="17"/>
  <c r="J28" i="17"/>
  <c r="K28" i="17"/>
  <c r="G29" i="17"/>
  <c r="J29" i="17"/>
  <c r="K29" i="17"/>
  <c r="G30" i="17"/>
  <c r="J30" i="17"/>
  <c r="K30" i="17"/>
  <c r="G31" i="17"/>
  <c r="J31" i="17"/>
  <c r="K31" i="17"/>
  <c r="G32" i="17"/>
  <c r="J32" i="17"/>
  <c r="K32" i="17"/>
  <c r="G33" i="17"/>
  <c r="J33" i="17"/>
  <c r="K33" i="17"/>
  <c r="G34" i="17"/>
  <c r="J34" i="17"/>
  <c r="K34" i="17"/>
  <c r="L35" i="17"/>
  <c r="H35" i="17"/>
  <c r="E35" i="17"/>
  <c r="G5" i="18"/>
  <c r="J5" i="18"/>
  <c r="K5" i="18"/>
  <c r="G6" i="18"/>
  <c r="J6" i="18"/>
  <c r="K6" i="18"/>
  <c r="G7" i="18"/>
  <c r="J7" i="18"/>
  <c r="K7" i="18"/>
  <c r="G8" i="18"/>
  <c r="J8" i="18"/>
  <c r="K8" i="18"/>
  <c r="G9" i="18"/>
  <c r="J9" i="18"/>
  <c r="K9" i="18"/>
  <c r="G10" i="18"/>
  <c r="J10" i="18"/>
  <c r="K10" i="18"/>
  <c r="G11" i="18"/>
  <c r="J11" i="18"/>
  <c r="K11" i="18"/>
  <c r="G12" i="18"/>
  <c r="J12" i="18"/>
  <c r="K12" i="18"/>
  <c r="G13" i="18"/>
  <c r="J13" i="18"/>
  <c r="K13" i="18"/>
  <c r="G14" i="18"/>
  <c r="J14" i="18"/>
  <c r="K14" i="18"/>
  <c r="G15" i="18"/>
  <c r="J15" i="18"/>
  <c r="K15" i="18"/>
  <c r="G16" i="18"/>
  <c r="J16" i="18"/>
  <c r="K16" i="18"/>
  <c r="G17" i="18"/>
  <c r="J17" i="18"/>
  <c r="K17" i="18"/>
  <c r="G18" i="18"/>
  <c r="J18" i="18"/>
  <c r="K18" i="18"/>
  <c r="G19" i="18"/>
  <c r="J19" i="18"/>
  <c r="K19" i="18"/>
  <c r="G20" i="18"/>
  <c r="J20" i="18"/>
  <c r="K20" i="18"/>
  <c r="G21" i="18"/>
  <c r="J21" i="18"/>
  <c r="K21" i="18"/>
  <c r="G22" i="18"/>
  <c r="J22" i="18"/>
  <c r="K22" i="18"/>
  <c r="G23" i="18"/>
  <c r="J23" i="18"/>
  <c r="K23" i="18"/>
  <c r="G24" i="18"/>
  <c r="J24" i="18"/>
  <c r="K24" i="18"/>
  <c r="G25" i="18"/>
  <c r="J25" i="18"/>
  <c r="K25" i="18"/>
  <c r="J26" i="18"/>
  <c r="K26" i="18"/>
  <c r="G27" i="18"/>
  <c r="J27" i="18"/>
  <c r="K27" i="18"/>
  <c r="G28" i="18"/>
  <c r="J28" i="18"/>
  <c r="K28" i="18"/>
  <c r="G29" i="18"/>
  <c r="J29" i="18"/>
  <c r="K29" i="18"/>
  <c r="G30" i="18"/>
  <c r="J30" i="18"/>
  <c r="K30" i="18"/>
  <c r="G31" i="18"/>
  <c r="J31" i="18"/>
  <c r="K31" i="18"/>
  <c r="G32" i="18"/>
  <c r="J32" i="18"/>
  <c r="K32" i="18"/>
  <c r="G33" i="18"/>
  <c r="J33" i="18"/>
  <c r="K33" i="18"/>
  <c r="G34" i="18"/>
  <c r="J34" i="18"/>
  <c r="K34" i="18"/>
  <c r="G5" i="6"/>
  <c r="J5" i="6"/>
  <c r="K5" i="6"/>
  <c r="G6" i="6"/>
  <c r="J6" i="6"/>
  <c r="K6" i="6"/>
  <c r="G7" i="6"/>
  <c r="J7" i="6"/>
  <c r="K7" i="6"/>
  <c r="G8" i="6"/>
  <c r="J8" i="6"/>
  <c r="K8" i="6"/>
  <c r="G9" i="6"/>
  <c r="J9" i="6"/>
  <c r="K9" i="6"/>
  <c r="G10" i="6"/>
  <c r="J10" i="6"/>
  <c r="K10" i="6"/>
  <c r="G11" i="6"/>
  <c r="J11" i="6"/>
  <c r="K11" i="6"/>
  <c r="G12" i="6"/>
  <c r="J12" i="6"/>
  <c r="K12" i="6"/>
  <c r="G13" i="6"/>
  <c r="J13" i="6"/>
  <c r="K13" i="6"/>
  <c r="G14" i="6"/>
  <c r="J14" i="6"/>
  <c r="K14" i="6"/>
  <c r="G15" i="6"/>
  <c r="J15" i="6"/>
  <c r="K15" i="6"/>
  <c r="G16" i="6"/>
  <c r="J16" i="6"/>
  <c r="K16" i="6"/>
  <c r="G17" i="6"/>
  <c r="J17" i="6"/>
  <c r="K17" i="6"/>
  <c r="G18" i="6"/>
  <c r="J18" i="6"/>
  <c r="K18" i="6"/>
  <c r="G19" i="6"/>
  <c r="J19" i="6"/>
  <c r="K19" i="6"/>
  <c r="G20" i="6"/>
  <c r="J20" i="6"/>
  <c r="K20" i="6"/>
  <c r="G21" i="6"/>
  <c r="J21" i="6"/>
  <c r="K21" i="6"/>
  <c r="G22" i="6"/>
  <c r="J22" i="6"/>
  <c r="K22" i="6"/>
  <c r="G23" i="6"/>
  <c r="J23" i="6"/>
  <c r="K23" i="6"/>
  <c r="G24" i="6"/>
  <c r="J24" i="6"/>
  <c r="K24" i="6"/>
  <c r="G25" i="6"/>
  <c r="J25" i="6"/>
  <c r="G26" i="6"/>
  <c r="J26" i="6"/>
  <c r="G27" i="6"/>
  <c r="J27" i="6"/>
  <c r="G28" i="6"/>
  <c r="J28" i="6"/>
  <c r="G29" i="6"/>
  <c r="G30" i="6"/>
  <c r="J30" i="6"/>
  <c r="K30" i="6"/>
  <c r="G31" i="6"/>
  <c r="J31" i="6"/>
  <c r="K31" i="6"/>
  <c r="G32" i="6"/>
  <c r="J32" i="6"/>
  <c r="K32" i="6"/>
  <c r="G33" i="6"/>
  <c r="J33" i="6"/>
  <c r="K33" i="6"/>
  <c r="G34" i="6"/>
  <c r="J34" i="6"/>
  <c r="K34" i="6"/>
  <c r="G5" i="5"/>
  <c r="J5" i="5"/>
  <c r="G6" i="5"/>
  <c r="J6" i="5"/>
  <c r="G7" i="5"/>
  <c r="J7" i="5"/>
  <c r="G8" i="5"/>
  <c r="J8" i="5"/>
  <c r="G9" i="5"/>
  <c r="J9" i="5"/>
  <c r="G10" i="5"/>
  <c r="J10" i="5"/>
  <c r="G11" i="5"/>
  <c r="J11" i="5"/>
  <c r="G12" i="5"/>
  <c r="J12" i="5"/>
  <c r="G13" i="5"/>
  <c r="J13" i="5"/>
  <c r="G14" i="5"/>
  <c r="J14" i="5"/>
  <c r="G15" i="5"/>
  <c r="J15" i="5"/>
  <c r="G16" i="5"/>
  <c r="J16" i="5"/>
  <c r="G17" i="5"/>
  <c r="J17" i="5"/>
  <c r="G18" i="5"/>
  <c r="J18" i="5"/>
  <c r="G19" i="5"/>
  <c r="J19" i="5"/>
  <c r="G20" i="5"/>
  <c r="J20" i="5"/>
  <c r="G21" i="5"/>
  <c r="J21" i="5"/>
  <c r="G22" i="5"/>
  <c r="J22" i="5"/>
  <c r="G23" i="5"/>
  <c r="J23" i="5"/>
  <c r="G24" i="5"/>
  <c r="J24" i="5"/>
  <c r="G25" i="5"/>
  <c r="J25" i="5"/>
  <c r="G26" i="5"/>
  <c r="J26" i="5"/>
  <c r="G27" i="5"/>
  <c r="J27" i="5"/>
  <c r="G28" i="5"/>
  <c r="J28" i="5"/>
  <c r="G29" i="5"/>
  <c r="J29" i="5"/>
  <c r="G30" i="5"/>
  <c r="J30" i="5"/>
  <c r="G31" i="5"/>
  <c r="J31" i="5"/>
  <c r="G32" i="5"/>
  <c r="J32" i="5"/>
  <c r="G33" i="5"/>
  <c r="J33" i="5"/>
  <c r="G34" i="5"/>
  <c r="J34" i="5"/>
  <c r="M3" i="40"/>
  <c r="J5" i="39"/>
  <c r="J6" i="39"/>
  <c r="J7" i="39"/>
  <c r="J8" i="39"/>
  <c r="J9" i="39"/>
  <c r="J10" i="39"/>
  <c r="J11" i="39"/>
  <c r="J12" i="39"/>
  <c r="J13" i="39"/>
  <c r="J14" i="39"/>
  <c r="J15" i="39"/>
  <c r="J16" i="39"/>
  <c r="J17" i="39"/>
  <c r="G5" i="39"/>
  <c r="K5" i="39" s="1"/>
  <c r="G6" i="39"/>
  <c r="K6" i="39" s="1"/>
  <c r="G7" i="39"/>
  <c r="K7" i="39" s="1"/>
  <c r="G8" i="39"/>
  <c r="K8" i="39" s="1"/>
  <c r="G9" i="39"/>
  <c r="K9" i="39" s="1"/>
  <c r="G10" i="39"/>
  <c r="K10" i="39" s="1"/>
  <c r="G11" i="39"/>
  <c r="K11" i="39" s="1"/>
  <c r="G12" i="39"/>
  <c r="K12" i="39" s="1"/>
  <c r="G13" i="39"/>
  <c r="K13" i="39" s="1"/>
  <c r="G14" i="39"/>
  <c r="K14" i="39" s="1"/>
  <c r="G15" i="39"/>
  <c r="K15" i="39" s="1"/>
  <c r="G16" i="39"/>
  <c r="K16" i="39" s="1"/>
  <c r="G17" i="39"/>
  <c r="K17" i="39" s="1"/>
  <c r="J4" i="39"/>
  <c r="J35" i="39" s="1"/>
  <c r="G4" i="39"/>
  <c r="J4" i="38"/>
  <c r="G4" i="38"/>
  <c r="M42" i="17"/>
  <c r="M3" i="12"/>
  <c r="G5" i="37"/>
  <c r="J5" i="37"/>
  <c r="I38" i="37"/>
  <c r="K5" i="37"/>
  <c r="J4" i="37"/>
  <c r="G4" i="37"/>
  <c r="M3" i="37"/>
  <c r="G5" i="36"/>
  <c r="J5" i="36"/>
  <c r="K5" i="36"/>
  <c r="G6" i="36"/>
  <c r="J6" i="36"/>
  <c r="K6" i="36"/>
  <c r="G7" i="36"/>
  <c r="J7" i="36"/>
  <c r="K7" i="36"/>
  <c r="G8" i="36"/>
  <c r="J8" i="36"/>
  <c r="K8" i="36"/>
  <c r="I38" i="36"/>
  <c r="J4" i="36"/>
  <c r="G4" i="36"/>
  <c r="M3" i="36"/>
  <c r="H43" i="35"/>
  <c r="J42" i="35"/>
  <c r="G42" i="35"/>
  <c r="K42" i="35" s="1"/>
  <c r="L42" i="35" s="1"/>
  <c r="J41" i="35"/>
  <c r="G41" i="35"/>
  <c r="K41" i="35" s="1"/>
  <c r="L41" i="35" s="1"/>
  <c r="J40" i="35"/>
  <c r="G40" i="35"/>
  <c r="K40" i="35" s="1"/>
  <c r="L40" i="35" s="1"/>
  <c r="J39" i="35"/>
  <c r="G39" i="35"/>
  <c r="K39" i="35" s="1"/>
  <c r="L39" i="35" s="1"/>
  <c r="J38" i="35"/>
  <c r="G38" i="35"/>
  <c r="K38" i="35" s="1"/>
  <c r="L38" i="35" s="1"/>
  <c r="J37" i="35"/>
  <c r="G37" i="35"/>
  <c r="K37" i="35" s="1"/>
  <c r="L37" i="35" s="1"/>
  <c r="J36" i="35"/>
  <c r="G36" i="35"/>
  <c r="K36" i="35" s="1"/>
  <c r="L36" i="35" s="1"/>
  <c r="J35" i="35"/>
  <c r="G35" i="35"/>
  <c r="K35" i="35" s="1"/>
  <c r="L35" i="35" s="1"/>
  <c r="J34" i="35"/>
  <c r="G34" i="35"/>
  <c r="K34" i="35" s="1"/>
  <c r="L34" i="35" s="1"/>
  <c r="J33" i="35"/>
  <c r="G33" i="35"/>
  <c r="K33" i="35" s="1"/>
  <c r="L33" i="35" s="1"/>
  <c r="J32" i="35"/>
  <c r="G32" i="35"/>
  <c r="K32" i="35" s="1"/>
  <c r="L32" i="35" s="1"/>
  <c r="J31" i="35"/>
  <c r="G31" i="35"/>
  <c r="K31" i="35" s="1"/>
  <c r="L31" i="35" s="1"/>
  <c r="J30" i="35"/>
  <c r="G30" i="35"/>
  <c r="K30" i="35" s="1"/>
  <c r="J29" i="35"/>
  <c r="G29" i="35"/>
  <c r="K29" i="35" s="1"/>
  <c r="J28" i="35"/>
  <c r="G28" i="35"/>
  <c r="K28" i="35" s="1"/>
  <c r="J27" i="35"/>
  <c r="G27" i="35"/>
  <c r="K27" i="35" s="1"/>
  <c r="J26" i="35"/>
  <c r="G26" i="35"/>
  <c r="K26" i="35" s="1"/>
  <c r="J4" i="35"/>
  <c r="J43" i="35" s="1"/>
  <c r="G4" i="35"/>
  <c r="J45" i="34"/>
  <c r="G45" i="34"/>
  <c r="K45" i="34" s="1"/>
  <c r="L45" i="34" s="1"/>
  <c r="J44" i="34"/>
  <c r="G44" i="34"/>
  <c r="K44" i="34" s="1"/>
  <c r="L44" i="34" s="1"/>
  <c r="J43" i="34"/>
  <c r="G43" i="34"/>
  <c r="K43" i="34" s="1"/>
  <c r="L43" i="34" s="1"/>
  <c r="J42" i="34"/>
  <c r="G42" i="34"/>
  <c r="K42" i="34" s="1"/>
  <c r="L42" i="34" s="1"/>
  <c r="J41" i="34"/>
  <c r="G41" i="34"/>
  <c r="K41" i="34" s="1"/>
  <c r="L41" i="34" s="1"/>
  <c r="J40" i="34"/>
  <c r="G40" i="34"/>
  <c r="K40" i="34" s="1"/>
  <c r="L40" i="34" s="1"/>
  <c r="J39" i="34"/>
  <c r="G39" i="34"/>
  <c r="K39" i="34" s="1"/>
  <c r="L39" i="34" s="1"/>
  <c r="J38" i="34"/>
  <c r="G38" i="34"/>
  <c r="K38" i="34" s="1"/>
  <c r="L38" i="34" s="1"/>
  <c r="J37" i="34"/>
  <c r="G37" i="34"/>
  <c r="K37" i="34" s="1"/>
  <c r="L37" i="34" s="1"/>
  <c r="J36" i="34"/>
  <c r="G36" i="34"/>
  <c r="K36" i="34" s="1"/>
  <c r="L36" i="34" s="1"/>
  <c r="J35" i="34"/>
  <c r="G35" i="34"/>
  <c r="K35" i="34" s="1"/>
  <c r="L35" i="34" s="1"/>
  <c r="J34" i="34"/>
  <c r="G34" i="34"/>
  <c r="K34" i="34" s="1"/>
  <c r="L34" i="34" s="1"/>
  <c r="J33" i="34"/>
  <c r="G33" i="34"/>
  <c r="K33" i="34" s="1"/>
  <c r="L33" i="34" s="1"/>
  <c r="J32" i="34"/>
  <c r="G32" i="34"/>
  <c r="K32" i="34" s="1"/>
  <c r="L32" i="34" s="1"/>
  <c r="J31" i="34"/>
  <c r="G31" i="34"/>
  <c r="K31" i="34" s="1"/>
  <c r="L31" i="34" s="1"/>
  <c r="J30" i="34"/>
  <c r="G30" i="34"/>
  <c r="K30" i="34" s="1"/>
  <c r="L30" i="34" s="1"/>
  <c r="J4" i="34"/>
  <c r="G4" i="34"/>
  <c r="J43" i="33"/>
  <c r="G43" i="33"/>
  <c r="K43" i="33" s="1"/>
  <c r="L43" i="33" s="1"/>
  <c r="J42" i="33"/>
  <c r="G42" i="33"/>
  <c r="K42" i="33" s="1"/>
  <c r="L42" i="33" s="1"/>
  <c r="J41" i="33"/>
  <c r="G41" i="33"/>
  <c r="K41" i="33" s="1"/>
  <c r="L41" i="33" s="1"/>
  <c r="J40" i="33"/>
  <c r="G40" i="33"/>
  <c r="K40" i="33" s="1"/>
  <c r="L40" i="33" s="1"/>
  <c r="J39" i="33"/>
  <c r="G39" i="33"/>
  <c r="K39" i="33" s="1"/>
  <c r="L39" i="33" s="1"/>
  <c r="J38" i="33"/>
  <c r="G38" i="33"/>
  <c r="K38" i="33" s="1"/>
  <c r="L38" i="33" s="1"/>
  <c r="J37" i="33"/>
  <c r="G37" i="33"/>
  <c r="K37" i="33" s="1"/>
  <c r="L37" i="33" s="1"/>
  <c r="J36" i="33"/>
  <c r="G36" i="33"/>
  <c r="K36" i="33" s="1"/>
  <c r="L36" i="33" s="1"/>
  <c r="J4" i="33"/>
  <c r="G4" i="33"/>
  <c r="P12" i="24"/>
  <c r="K8" i="5"/>
  <c r="J4" i="10"/>
  <c r="M3" i="9"/>
  <c r="M3" i="14"/>
  <c r="J5" i="22"/>
  <c r="G5" i="22"/>
  <c r="K5" i="22"/>
  <c r="L5" i="22" s="1"/>
  <c r="J4" i="22"/>
  <c r="G4" i="22"/>
  <c r="K4" i="22" s="1"/>
  <c r="L4" i="22" s="1"/>
  <c r="M3" i="10"/>
  <c r="G5" i="16"/>
  <c r="M3" i="1"/>
  <c r="J4" i="17"/>
  <c r="J35" i="17" s="1"/>
  <c r="G4" i="17"/>
  <c r="M3" i="18"/>
  <c r="J4" i="18"/>
  <c r="J35" i="18" s="1"/>
  <c r="G4" i="18"/>
  <c r="H35" i="5"/>
  <c r="M3" i="6"/>
  <c r="J4" i="6"/>
  <c r="G4" i="6"/>
  <c r="K28" i="5"/>
  <c r="K27" i="5"/>
  <c r="K25" i="5"/>
  <c r="K26" i="5"/>
  <c r="K24" i="5"/>
  <c r="E35" i="19"/>
  <c r="K23" i="5"/>
  <c r="K21" i="5"/>
  <c r="K22" i="5"/>
  <c r="K20" i="5"/>
  <c r="K18" i="5"/>
  <c r="K19" i="5"/>
  <c r="K17" i="5"/>
  <c r="I38" i="15"/>
  <c r="K16" i="5"/>
  <c r="K15" i="5"/>
  <c r="M3" i="24"/>
  <c r="K14" i="5"/>
  <c r="M3" i="15"/>
  <c r="K13" i="5"/>
  <c r="J4" i="26"/>
  <c r="G4" i="26"/>
  <c r="J4" i="9"/>
  <c r="J4" i="15"/>
  <c r="G4" i="15"/>
  <c r="M3" i="11"/>
  <c r="M3" i="8"/>
  <c r="M3" i="20"/>
  <c r="M3" i="22"/>
  <c r="M3" i="25"/>
  <c r="G4" i="7"/>
  <c r="M3" i="7"/>
  <c r="M3" i="23"/>
  <c r="M3" i="3"/>
  <c r="M3" i="2"/>
  <c r="M3" i="17"/>
  <c r="K4" i="6"/>
  <c r="M3" i="5"/>
  <c r="G4" i="5"/>
  <c r="J4" i="5"/>
  <c r="K4" i="5"/>
  <c r="G4" i="24"/>
  <c r="G4" i="23"/>
  <c r="J4" i="23"/>
  <c r="J4" i="20"/>
  <c r="G4" i="20"/>
  <c r="G4" i="19"/>
  <c r="J4" i="19"/>
  <c r="K4" i="19"/>
  <c r="J5" i="16"/>
  <c r="J4" i="16"/>
  <c r="K5" i="16"/>
  <c r="G4" i="16"/>
  <c r="J4" i="14"/>
  <c r="G4" i="14"/>
  <c r="K4" i="14"/>
  <c r="G5" i="7"/>
  <c r="J5" i="7"/>
  <c r="K5" i="7"/>
  <c r="J4" i="7"/>
  <c r="J4" i="12"/>
  <c r="K4" i="12" s="1"/>
  <c r="G4" i="11"/>
  <c r="J4" i="11"/>
  <c r="K4" i="11"/>
  <c r="G4" i="10"/>
  <c r="G4" i="9"/>
  <c r="J4" i="3"/>
  <c r="G4" i="3"/>
  <c r="J4" i="8"/>
  <c r="K6" i="5"/>
  <c r="K9" i="5"/>
  <c r="K10" i="5"/>
  <c r="K11" i="5"/>
  <c r="K12" i="5"/>
  <c r="G4" i="8"/>
  <c r="J4" i="2"/>
  <c r="G4" i="2"/>
  <c r="J4" i="1"/>
  <c r="J35" i="1" s="1"/>
  <c r="G4" i="1"/>
  <c r="G35" i="1" s="1"/>
  <c r="K4" i="1"/>
  <c r="K35" i="1" s="1"/>
  <c r="G35" i="11" l="1"/>
  <c r="K33" i="11"/>
  <c r="K35" i="11" s="1"/>
  <c r="G35" i="18"/>
  <c r="K35" i="15"/>
  <c r="G35" i="15"/>
  <c r="L2" i="51"/>
  <c r="I41" i="51"/>
  <c r="L41" i="51" s="1"/>
  <c r="I43" i="51"/>
  <c r="L5" i="51"/>
  <c r="M28" i="48"/>
  <c r="M29" i="48"/>
  <c r="M30" i="48" s="1"/>
  <c r="M31" i="48" s="1"/>
  <c r="M32" i="48" s="1"/>
  <c r="M33" i="48" s="1"/>
  <c r="M34" i="48" s="1"/>
  <c r="M35" i="48" s="1"/>
  <c r="M28" i="35"/>
  <c r="M29" i="35" s="1"/>
  <c r="M30" i="35" s="1"/>
  <c r="M31" i="35" s="1"/>
  <c r="M62" i="44"/>
  <c r="K4" i="48"/>
  <c r="K16" i="34"/>
  <c r="L16" i="34" s="1"/>
  <c r="M63" i="44"/>
  <c r="F42" i="23"/>
  <c r="L39" i="43"/>
  <c r="L73" i="43"/>
  <c r="M5" i="47"/>
  <c r="M6" i="47" s="1"/>
  <c r="M7" i="47" s="1"/>
  <c r="M8" i="47" s="1"/>
  <c r="M9" i="47" s="1"/>
  <c r="M10" i="47" s="1"/>
  <c r="L4" i="46"/>
  <c r="M17" i="44"/>
  <c r="M18" i="44" s="1"/>
  <c r="L9" i="43"/>
  <c r="L8" i="43"/>
  <c r="L7" i="43"/>
  <c r="L6" i="43"/>
  <c r="N6" i="43" s="1"/>
  <c r="N7" i="43" s="1"/>
  <c r="N8" i="43" s="1"/>
  <c r="N9" i="43" s="1"/>
  <c r="N10" i="43" s="1"/>
  <c r="N11" i="43" s="1"/>
  <c r="L12" i="43"/>
  <c r="K4" i="38"/>
  <c r="L4" i="38" s="1"/>
  <c r="M4" i="12"/>
  <c r="K4" i="18"/>
  <c r="K35" i="18" s="1"/>
  <c r="K4" i="32"/>
  <c r="K4" i="39"/>
  <c r="G35" i="39"/>
  <c r="K4" i="17"/>
  <c r="K35" i="17" s="1"/>
  <c r="G35" i="17"/>
  <c r="M4" i="18"/>
  <c r="M4" i="6"/>
  <c r="K4" i="37"/>
  <c r="L4" i="37" s="1"/>
  <c r="K4" i="36"/>
  <c r="K4" i="35"/>
  <c r="K4" i="34"/>
  <c r="K4" i="33"/>
  <c r="J35" i="5"/>
  <c r="K7" i="5"/>
  <c r="L4" i="19"/>
  <c r="G35" i="19"/>
  <c r="M5" i="18"/>
  <c r="M6" i="18" s="1"/>
  <c r="M7" i="18" s="1"/>
  <c r="M8" i="18" s="1"/>
  <c r="K4" i="7"/>
  <c r="M4" i="11"/>
  <c r="M4" i="14"/>
  <c r="M5" i="14" s="1"/>
  <c r="M6" i="14" s="1"/>
  <c r="M7" i="14" s="1"/>
  <c r="M8" i="14" s="1"/>
  <c r="M9" i="14" s="1"/>
  <c r="M10" i="14" s="1"/>
  <c r="K4" i="16"/>
  <c r="K4" i="9"/>
  <c r="K4" i="10"/>
  <c r="K4" i="8"/>
  <c r="K4" i="2"/>
  <c r="K4" i="26"/>
  <c r="K5" i="5"/>
  <c r="M11" i="14"/>
  <c r="M12" i="14" s="1"/>
  <c r="M13" i="14" s="1"/>
  <c r="M14" i="14" s="1"/>
  <c r="M15" i="14" s="1"/>
  <c r="M16" i="14" s="1"/>
  <c r="M17" i="14" s="1"/>
  <c r="M18" i="14" s="1"/>
  <c r="M19" i="14" s="1"/>
  <c r="M20" i="14" s="1"/>
  <c r="M21" i="14" s="1"/>
  <c r="M22" i="14" s="1"/>
  <c r="M23" i="14" s="1"/>
  <c r="M24" i="14" s="1"/>
  <c r="M25" i="14" s="1"/>
  <c r="M26" i="14" s="1"/>
  <c r="M27" i="14" s="1"/>
  <c r="M28" i="14" s="1"/>
  <c r="M29" i="14" s="1"/>
  <c r="M30" i="14" s="1"/>
  <c r="M31" i="14" s="1"/>
  <c r="M32" i="14" s="1"/>
  <c r="M33" i="14" s="1"/>
  <c r="M34" i="14" s="1"/>
  <c r="M4" i="8"/>
  <c r="M5" i="8" s="1"/>
  <c r="M6" i="8" s="1"/>
  <c r="M7" i="8" s="1"/>
  <c r="M8" i="8" s="1"/>
  <c r="M9" i="8" s="1"/>
  <c r="M10" i="8" s="1"/>
  <c r="M11" i="8" s="1"/>
  <c r="M12" i="8" s="1"/>
  <c r="M13" i="8" s="1"/>
  <c r="M14" i="8" s="1"/>
  <c r="M15" i="8" s="1"/>
  <c r="M16" i="8" s="1"/>
  <c r="M17" i="8" s="1"/>
  <c r="M18" i="8" s="1"/>
  <c r="M19" i="8" s="1"/>
  <c r="M20" i="8" s="1"/>
  <c r="M21" i="8" s="1"/>
  <c r="M22" i="8" s="1"/>
  <c r="M23" i="8" s="1"/>
  <c r="M24" i="8" s="1"/>
  <c r="M25" i="8" s="1"/>
  <c r="M26" i="8" s="1"/>
  <c r="M27" i="8" s="1"/>
  <c r="M28" i="8" s="1"/>
  <c r="M5" i="11"/>
  <c r="M6" i="11" s="1"/>
  <c r="M7" i="11" s="1"/>
  <c r="M8" i="11" s="1"/>
  <c r="M9" i="11" s="1"/>
  <c r="M5" i="12"/>
  <c r="M6" i="12" s="1"/>
  <c r="M7" i="12" s="1"/>
  <c r="M8" i="12" s="1"/>
  <c r="M9" i="12" s="1"/>
  <c r="M10" i="12" s="1"/>
  <c r="M11" i="12" s="1"/>
  <c r="M12" i="12" s="1"/>
  <c r="M13" i="12" s="1"/>
  <c r="M14" i="12" s="1"/>
  <c r="M15" i="12" s="1"/>
  <c r="M16" i="12" s="1"/>
  <c r="M17" i="12" s="1"/>
  <c r="M18" i="12" s="1"/>
  <c r="M19" i="12" s="1"/>
  <c r="M20" i="12" s="1"/>
  <c r="M21" i="12" s="1"/>
  <c r="M22" i="12" s="1"/>
  <c r="M23" i="12" s="1"/>
  <c r="M24" i="12" s="1"/>
  <c r="M25" i="12" s="1"/>
  <c r="M26" i="12" s="1"/>
  <c r="M27" i="12" s="1"/>
  <c r="M28" i="12" s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4" i="2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K4" i="20"/>
  <c r="K4" i="25"/>
  <c r="L4" i="25" s="1"/>
  <c r="M5" i="6"/>
  <c r="M6" i="6" s="1"/>
  <c r="M7" i="6" s="1"/>
  <c r="M8" i="6" s="1"/>
  <c r="K4" i="23"/>
  <c r="M4" i="17"/>
  <c r="M5" i="17" s="1"/>
  <c r="M6" i="17" s="1"/>
  <c r="M7" i="17" s="1"/>
  <c r="M8" i="17" s="1"/>
  <c r="M9" i="17" s="1"/>
  <c r="M10" i="17" s="1"/>
  <c r="M11" i="17" s="1"/>
  <c r="M12" i="17" s="1"/>
  <c r="M13" i="17" s="1"/>
  <c r="M14" i="17" s="1"/>
  <c r="M15" i="17" s="1"/>
  <c r="M16" i="17" s="1"/>
  <c r="M17" i="17" s="1"/>
  <c r="M18" i="17" s="1"/>
  <c r="M19" i="17" s="1"/>
  <c r="M20" i="17" s="1"/>
  <c r="M21" i="17" s="1"/>
  <c r="M22" i="17" s="1"/>
  <c r="M23" i="17" s="1"/>
  <c r="M24" i="17" s="1"/>
  <c r="M25" i="17" s="1"/>
  <c r="M26" i="17" s="1"/>
  <c r="M27" i="17" s="1"/>
  <c r="M28" i="17" s="1"/>
  <c r="M4" i="5"/>
  <c r="M5" i="5" s="1"/>
  <c r="M6" i="5" s="1"/>
  <c r="M7" i="5" s="1"/>
  <c r="M8" i="5" s="1"/>
  <c r="M9" i="5" s="1"/>
  <c r="M10" i="5" s="1"/>
  <c r="M11" i="5" s="1"/>
  <c r="M12" i="5" s="1"/>
  <c r="M13" i="5" s="1"/>
  <c r="M14" i="5" s="1"/>
  <c r="M15" i="5" s="1"/>
  <c r="M16" i="5" s="1"/>
  <c r="M17" i="5" s="1"/>
  <c r="M18" i="5" s="1"/>
  <c r="M19" i="5" s="1"/>
  <c r="M20" i="5" s="1"/>
  <c r="M21" i="5" s="1"/>
  <c r="M22" i="5" s="1"/>
  <c r="M23" i="5" s="1"/>
  <c r="M24" i="5" s="1"/>
  <c r="K4" i="15"/>
  <c r="K4" i="3"/>
  <c r="L43" i="51" l="1"/>
  <c r="K36" i="48"/>
  <c r="M4" i="48"/>
  <c r="M5" i="48" s="1"/>
  <c r="M6" i="48" s="1"/>
  <c r="M7" i="48" s="1"/>
  <c r="M8" i="48" s="1"/>
  <c r="M9" i="48" s="1"/>
  <c r="M10" i="48" s="1"/>
  <c r="M11" i="48" s="1"/>
  <c r="M12" i="48" s="1"/>
  <c r="M13" i="48" s="1"/>
  <c r="M14" i="48" s="1"/>
  <c r="M15" i="48" s="1"/>
  <c r="M16" i="48" s="1"/>
  <c r="M17" i="48" s="1"/>
  <c r="M18" i="48" s="1"/>
  <c r="M19" i="48" s="1"/>
  <c r="M20" i="48" s="1"/>
  <c r="M21" i="48" s="1"/>
  <c r="M22" i="48" s="1"/>
  <c r="M23" i="48" s="1"/>
  <c r="N12" i="43"/>
  <c r="N13" i="43" s="1"/>
  <c r="N14" i="43" s="1"/>
  <c r="N15" i="43" s="1"/>
  <c r="N16" i="43" s="1"/>
  <c r="N17" i="43" s="1"/>
  <c r="N18" i="43" s="1"/>
  <c r="N19" i="43" s="1"/>
  <c r="N20" i="43" s="1"/>
  <c r="N21" i="43" s="1"/>
  <c r="N22" i="43" s="1"/>
  <c r="N23" i="43" s="1"/>
  <c r="N24" i="43" s="1"/>
  <c r="N25" i="43" s="1"/>
  <c r="N26" i="43" s="1"/>
  <c r="N27" i="43" s="1"/>
  <c r="N28" i="43" s="1"/>
  <c r="N29" i="43" s="1"/>
  <c r="N30" i="43" s="1"/>
  <c r="N31" i="43" s="1"/>
  <c r="N32" i="43" s="1"/>
  <c r="N33" i="43" s="1"/>
  <c r="N34" i="43" s="1"/>
  <c r="N35" i="43" s="1"/>
  <c r="N36" i="43" s="1"/>
  <c r="N37" i="43" s="1"/>
  <c r="N38" i="43" s="1"/>
  <c r="N39" i="43"/>
  <c r="N40" i="43" s="1"/>
  <c r="N41" i="43" s="1"/>
  <c r="N42" i="43" s="1"/>
  <c r="N43" i="43" s="1"/>
  <c r="N44" i="43" s="1"/>
  <c r="N45" i="43" s="1"/>
  <c r="N46" i="43" s="1"/>
  <c r="N47" i="43" s="1"/>
  <c r="N48" i="43" s="1"/>
  <c r="N49" i="43" s="1"/>
  <c r="N50" i="43" s="1"/>
  <c r="N51" i="43" s="1"/>
  <c r="N52" i="43" s="1"/>
  <c r="N53" i="43" s="1"/>
  <c r="N54" i="43" s="1"/>
  <c r="N55" i="43" s="1"/>
  <c r="N56" i="43" s="1"/>
  <c r="N57" i="43" s="1"/>
  <c r="N58" i="43" s="1"/>
  <c r="N59" i="43" s="1"/>
  <c r="N60" i="43" s="1"/>
  <c r="N61" i="43" s="1"/>
  <c r="N62" i="43" s="1"/>
  <c r="N63" i="43" s="1"/>
  <c r="N64" i="43" s="1"/>
  <c r="N65" i="43" s="1"/>
  <c r="N66" i="43" s="1"/>
  <c r="N67" i="43" s="1"/>
  <c r="N68" i="43" s="1"/>
  <c r="N69" i="43" s="1"/>
  <c r="N70" i="43" s="1"/>
  <c r="N71" i="43" s="1"/>
  <c r="N72" i="43" s="1"/>
  <c r="N73" i="43" s="1"/>
  <c r="N74" i="43" s="1"/>
  <c r="N75" i="43" s="1"/>
  <c r="N76" i="43" s="1"/>
  <c r="N77" i="43" s="1"/>
  <c r="N78" i="43" s="1"/>
  <c r="N79" i="43" s="1"/>
  <c r="N80" i="43" s="1"/>
  <c r="N81" i="43" s="1"/>
  <c r="N82" i="43" s="1"/>
  <c r="N83" i="43" s="1"/>
  <c r="N84" i="43" s="1"/>
  <c r="N85" i="43" s="1"/>
  <c r="N86" i="43" s="1"/>
  <c r="N87" i="43" s="1"/>
  <c r="N88" i="43" s="1"/>
  <c r="N89" i="43" s="1"/>
  <c r="N90" i="43" s="1"/>
  <c r="N91" i="43" s="1"/>
  <c r="N92" i="43" s="1"/>
  <c r="N93" i="43" s="1"/>
  <c r="N94" i="43" s="1"/>
  <c r="N95" i="43" s="1"/>
  <c r="N96" i="43" s="1"/>
  <c r="N97" i="43" s="1"/>
  <c r="N98" i="43" s="1"/>
  <c r="N99" i="43" s="1"/>
  <c r="N100" i="43" s="1"/>
  <c r="N101" i="43" s="1"/>
  <c r="N102" i="43" s="1"/>
  <c r="N103" i="43" s="1"/>
  <c r="N104" i="43" s="1"/>
  <c r="N105" i="43" s="1"/>
  <c r="N106" i="43" s="1"/>
  <c r="N107" i="43" s="1"/>
  <c r="N108" i="43" s="1"/>
  <c r="N109" i="43" s="1"/>
  <c r="N110" i="43" s="1"/>
  <c r="N111" i="43" s="1"/>
  <c r="N112" i="43" s="1"/>
  <c r="N113" i="43" s="1"/>
  <c r="N114" i="43" s="1"/>
  <c r="N115" i="43" s="1"/>
  <c r="N116" i="43" s="1"/>
  <c r="N117" i="43" s="1"/>
  <c r="N118" i="43" s="1"/>
  <c r="N119" i="43" s="1"/>
  <c r="N120" i="43" s="1"/>
  <c r="N121" i="43" s="1"/>
  <c r="N122" i="43" s="1"/>
  <c r="N123" i="43" s="1"/>
  <c r="N124" i="43" s="1"/>
  <c r="N125" i="43" s="1"/>
  <c r="N126" i="43" s="1"/>
  <c r="N127" i="43" s="1"/>
  <c r="N128" i="43" s="1"/>
  <c r="N129" i="43" s="1"/>
  <c r="N130" i="43" s="1"/>
  <c r="N131" i="43" s="1"/>
  <c r="N132" i="43" s="1"/>
  <c r="N133" i="43" s="1"/>
  <c r="N134" i="43" s="1"/>
  <c r="N135" i="43" s="1"/>
  <c r="N136" i="43" s="1"/>
  <c r="N137" i="43" s="1"/>
  <c r="N138" i="43" s="1"/>
  <c r="N139" i="43" s="1"/>
  <c r="N140" i="43" s="1"/>
  <c r="N141" i="43" s="1"/>
  <c r="N142" i="43" s="1"/>
  <c r="N143" i="43" s="1"/>
  <c r="N144" i="43" s="1"/>
  <c r="N145" i="43" s="1"/>
  <c r="N146" i="43" s="1"/>
  <c r="N147" i="43" s="1"/>
  <c r="N148" i="43" s="1"/>
  <c r="N149" i="43" s="1"/>
  <c r="N150" i="43" s="1"/>
  <c r="N151" i="43" s="1"/>
  <c r="N152" i="43" s="1"/>
  <c r="N153" i="43" s="1"/>
  <c r="N154" i="43" s="1"/>
  <c r="N155" i="43" s="1"/>
  <c r="N156" i="43" s="1"/>
  <c r="N157" i="43" s="1"/>
  <c r="N158" i="43" s="1"/>
  <c r="N159" i="43" s="1"/>
  <c r="N160" i="43" s="1"/>
  <c r="N161" i="43" s="1"/>
  <c r="N162" i="43" s="1"/>
  <c r="N163" i="43" s="1"/>
  <c r="N164" i="43" s="1"/>
  <c r="N165" i="43" s="1"/>
  <c r="N166" i="43" s="1"/>
  <c r="N167" i="43" s="1"/>
  <c r="N168" i="43" s="1"/>
  <c r="N169" i="43" s="1"/>
  <c r="N170" i="43" s="1"/>
  <c r="N171" i="43" s="1"/>
  <c r="N172" i="43" s="1"/>
  <c r="N173" i="43" s="1"/>
  <c r="N174" i="43" s="1"/>
  <c r="N175" i="43" s="1"/>
  <c r="N176" i="43" s="1"/>
  <c r="N177" i="43" s="1"/>
  <c r="N178" i="43" s="1"/>
  <c r="N179" i="43" s="1"/>
  <c r="N180" i="43" s="1"/>
  <c r="N181" i="43" s="1"/>
  <c r="N182" i="43" s="1"/>
  <c r="N183" i="43" s="1"/>
  <c r="N184" i="43" s="1"/>
  <c r="N185" i="43" s="1"/>
  <c r="N186" i="43" s="1"/>
  <c r="N187" i="43" s="1"/>
  <c r="N188" i="43" s="1"/>
  <c r="N189" i="43" s="1"/>
  <c r="N190" i="43" s="1"/>
  <c r="N191" i="43" s="1"/>
  <c r="N192" i="43" s="1"/>
  <c r="N193" i="43" s="1"/>
  <c r="N194" i="43" s="1"/>
  <c r="N195" i="43" s="1"/>
  <c r="N196" i="43" s="1"/>
  <c r="N197" i="43" s="1"/>
  <c r="N198" i="43" s="1"/>
  <c r="N199" i="43" s="1"/>
  <c r="N200" i="43" s="1"/>
  <c r="N201" i="43" s="1"/>
  <c r="N202" i="43" s="1"/>
  <c r="N203" i="43" s="1"/>
  <c r="M4" i="46"/>
  <c r="M7" i="16"/>
  <c r="M8" i="16" s="1"/>
  <c r="M9" i="16" s="1"/>
  <c r="M10" i="16" s="1"/>
  <c r="M11" i="16" s="1"/>
  <c r="M12" i="16" s="1"/>
  <c r="M13" i="16" s="1"/>
  <c r="M14" i="16" s="1"/>
  <c r="M15" i="16" s="1"/>
  <c r="M16" i="16" s="1"/>
  <c r="M17" i="16" s="1"/>
  <c r="M18" i="16" s="1"/>
  <c r="M19" i="16" s="1"/>
  <c r="M20" i="16" s="1"/>
  <c r="M21" i="16" s="1"/>
  <c r="M22" i="16" s="1"/>
  <c r="M23" i="16" s="1"/>
  <c r="M24" i="16" s="1"/>
  <c r="M25" i="16" s="1"/>
  <c r="M26" i="16" s="1"/>
  <c r="M27" i="16" s="1"/>
  <c r="M28" i="16" s="1"/>
  <c r="M29" i="16" s="1"/>
  <c r="M30" i="16" s="1"/>
  <c r="M31" i="16" s="1"/>
  <c r="M32" i="16" s="1"/>
  <c r="M33" i="16" s="1"/>
  <c r="M34" i="16" s="1"/>
  <c r="L4" i="23"/>
  <c r="F43" i="23" s="1"/>
  <c r="L4" i="42"/>
  <c r="L36" i="42" s="1"/>
  <c r="K35" i="32"/>
  <c r="M4" i="32"/>
  <c r="M5" i="32" s="1"/>
  <c r="M6" i="32" s="1"/>
  <c r="M7" i="32" s="1"/>
  <c r="M8" i="32" s="1"/>
  <c r="M9" i="32" s="1"/>
  <c r="M10" i="32" s="1"/>
  <c r="M11" i="32" s="1"/>
  <c r="M12" i="32" s="1"/>
  <c r="M13" i="32" s="1"/>
  <c r="M14" i="32" s="1"/>
  <c r="M15" i="32" s="1"/>
  <c r="M16" i="32" s="1"/>
  <c r="M17" i="32" s="1"/>
  <c r="M18" i="32" s="1"/>
  <c r="M19" i="32" s="1"/>
  <c r="M20" i="32" s="1"/>
  <c r="M21" i="32" s="1"/>
  <c r="M22" i="32" s="1"/>
  <c r="M23" i="32" s="1"/>
  <c r="M24" i="32" s="1"/>
  <c r="M25" i="32" s="1"/>
  <c r="M26" i="32" s="1"/>
  <c r="M27" i="32" s="1"/>
  <c r="M28" i="32" s="1"/>
  <c r="M29" i="32" s="1"/>
  <c r="M30" i="32" s="1"/>
  <c r="M31" i="32" s="1"/>
  <c r="M32" i="32" s="1"/>
  <c r="M33" i="32" s="1"/>
  <c r="K35" i="39"/>
  <c r="M4" i="39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M16" i="39" s="1"/>
  <c r="M17" i="39" s="1"/>
  <c r="M18" i="39" s="1"/>
  <c r="M19" i="39" s="1"/>
  <c r="M20" i="39" s="1"/>
  <c r="M21" i="39" s="1"/>
  <c r="M22" i="39" s="1"/>
  <c r="M23" i="39" s="1"/>
  <c r="M24" i="39" s="1"/>
  <c r="M25" i="39" s="1"/>
  <c r="M26" i="39" s="1"/>
  <c r="M27" i="39" s="1"/>
  <c r="M28" i="39" s="1"/>
  <c r="M29" i="39" s="1"/>
  <c r="M30" i="39" s="1"/>
  <c r="M31" i="39" s="1"/>
  <c r="M29" i="17"/>
  <c r="M30" i="17" s="1"/>
  <c r="M31" i="17" s="1"/>
  <c r="M32" i="17" s="1"/>
  <c r="M33" i="17" s="1"/>
  <c r="M34" i="17" s="1"/>
  <c r="M29" i="8"/>
  <c r="M30" i="8" s="1"/>
  <c r="M31" i="8" s="1"/>
  <c r="M32" i="8" s="1"/>
  <c r="M33" i="8" s="1"/>
  <c r="M25" i="5"/>
  <c r="M26" i="5" s="1"/>
  <c r="M27" i="5" s="1"/>
  <c r="M28" i="5" s="1"/>
  <c r="M4" i="37"/>
  <c r="M5" i="37" s="1"/>
  <c r="M6" i="37" s="1"/>
  <c r="M7" i="37" s="1"/>
  <c r="M8" i="37" s="1"/>
  <c r="M9" i="37" s="1"/>
  <c r="M10" i="37" s="1"/>
  <c r="M11" i="37" s="1"/>
  <c r="M12" i="37" s="1"/>
  <c r="M13" i="37" s="1"/>
  <c r="M14" i="37" s="1"/>
  <c r="M15" i="37" s="1"/>
  <c r="M16" i="37" s="1"/>
  <c r="M17" i="37" s="1"/>
  <c r="M18" i="37" s="1"/>
  <c r="M19" i="37" s="1"/>
  <c r="M20" i="37" s="1"/>
  <c r="M21" i="37" s="1"/>
  <c r="M22" i="37" s="1"/>
  <c r="M23" i="37" s="1"/>
  <c r="M24" i="37" s="1"/>
  <c r="M25" i="37" s="1"/>
  <c r="M26" i="37" s="1"/>
  <c r="M27" i="37" s="1"/>
  <c r="M28" i="37" s="1"/>
  <c r="M29" i="37" s="1"/>
  <c r="M30" i="37" s="1"/>
  <c r="M31" i="37" s="1"/>
  <c r="M4" i="36"/>
  <c r="M5" i="36" s="1"/>
  <c r="M6" i="36" s="1"/>
  <c r="M7" i="36" s="1"/>
  <c r="M8" i="36" s="1"/>
  <c r="M9" i="36" s="1"/>
  <c r="M10" i="36" s="1"/>
  <c r="M11" i="36" s="1"/>
  <c r="M12" i="36" s="1"/>
  <c r="M13" i="36" s="1"/>
  <c r="M14" i="36" s="1"/>
  <c r="M15" i="36" s="1"/>
  <c r="M16" i="36" s="1"/>
  <c r="M17" i="36" s="1"/>
  <c r="M18" i="36" s="1"/>
  <c r="M19" i="36" s="1"/>
  <c r="M20" i="36" s="1"/>
  <c r="M21" i="36" s="1"/>
  <c r="M22" i="36" s="1"/>
  <c r="M23" i="36" s="1"/>
  <c r="M24" i="36" s="1"/>
  <c r="M25" i="36" s="1"/>
  <c r="M26" i="36" s="1"/>
  <c r="M27" i="36" s="1"/>
  <c r="M28" i="36" s="1"/>
  <c r="M29" i="36" s="1"/>
  <c r="M30" i="36" s="1"/>
  <c r="M31" i="36" s="1"/>
  <c r="L4" i="35"/>
  <c r="L43" i="35" s="1"/>
  <c r="L47" i="35" s="1"/>
  <c r="L4" i="34"/>
  <c r="L4" i="33"/>
  <c r="M9" i="18"/>
  <c r="M10" i="18" s="1"/>
  <c r="M11" i="18" s="1"/>
  <c r="M12" i="18" s="1"/>
  <c r="M13" i="18" s="1"/>
  <c r="M14" i="18" s="1"/>
  <c r="M15" i="18" s="1"/>
  <c r="M16" i="18" s="1"/>
  <c r="M17" i="18" s="1"/>
  <c r="M18" i="18" s="1"/>
  <c r="M4" i="24"/>
  <c r="M5" i="24" s="1"/>
  <c r="M6" i="24" s="1"/>
  <c r="M7" i="24" s="1"/>
  <c r="M8" i="24" s="1"/>
  <c r="M9" i="24" s="1"/>
  <c r="M10" i="24" s="1"/>
  <c r="M11" i="24" s="1"/>
  <c r="M12" i="24" s="1"/>
  <c r="M13" i="24" s="1"/>
  <c r="M14" i="24" s="1"/>
  <c r="M15" i="24" s="1"/>
  <c r="M16" i="24" s="1"/>
  <c r="M17" i="24" s="1"/>
  <c r="M18" i="24" s="1"/>
  <c r="M19" i="24" s="1"/>
  <c r="M20" i="24" s="1"/>
  <c r="M21" i="24" s="1"/>
  <c r="M22" i="24" s="1"/>
  <c r="M23" i="24" s="1"/>
  <c r="M24" i="24" s="1"/>
  <c r="M25" i="24" s="1"/>
  <c r="M26" i="24" s="1"/>
  <c r="M27" i="24" s="1"/>
  <c r="M28" i="24" s="1"/>
  <c r="M29" i="24" s="1"/>
  <c r="M30" i="24" s="1"/>
  <c r="M31" i="24" s="1"/>
  <c r="M19" i="18"/>
  <c r="M20" i="18" s="1"/>
  <c r="M21" i="18" s="1"/>
  <c r="M22" i="18" s="1"/>
  <c r="M23" i="18" s="1"/>
  <c r="M24" i="18" s="1"/>
  <c r="M25" i="18" s="1"/>
  <c r="M26" i="18" s="1"/>
  <c r="M27" i="18" s="1"/>
  <c r="M28" i="18" s="1"/>
  <c r="M29" i="18" s="1"/>
  <c r="M30" i="18" s="1"/>
  <c r="M31" i="18" s="1"/>
  <c r="M32" i="18" s="1"/>
  <c r="M33" i="18" s="1"/>
  <c r="M34" i="18" s="1"/>
  <c r="M9" i="6"/>
  <c r="M4" i="7"/>
  <c r="M5" i="7" s="1"/>
  <c r="M6" i="7" s="1"/>
  <c r="M7" i="7" s="1"/>
  <c r="M8" i="7" s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M19" i="7" s="1"/>
  <c r="M20" i="7" s="1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4" i="23"/>
  <c r="M10" i="11"/>
  <c r="M11" i="11" s="1"/>
  <c r="M12" i="11" s="1"/>
  <c r="M13" i="11" s="1"/>
  <c r="M14" i="11" s="1"/>
  <c r="M15" i="11" s="1"/>
  <c r="M16" i="11" s="1"/>
  <c r="M17" i="11" s="1"/>
  <c r="M18" i="11" s="1"/>
  <c r="M19" i="11" s="1"/>
  <c r="M20" i="11" s="1"/>
  <c r="M21" i="11" s="1"/>
  <c r="M22" i="11" s="1"/>
  <c r="M23" i="11" s="1"/>
  <c r="M24" i="11" s="1"/>
  <c r="M25" i="11" s="1"/>
  <c r="M26" i="11" s="1"/>
  <c r="M27" i="11" s="1"/>
  <c r="M28" i="11" s="1"/>
  <c r="M29" i="11" s="1"/>
  <c r="M30" i="11" s="1"/>
  <c r="M31" i="11" s="1"/>
  <c r="M32" i="11" s="1"/>
  <c r="M33" i="11" s="1"/>
  <c r="M34" i="11" s="1"/>
  <c r="M5" i="25"/>
  <c r="M6" i="25" s="1"/>
  <c r="M7" i="25" s="1"/>
  <c r="M8" i="25" s="1"/>
  <c r="M9" i="25" s="1"/>
  <c r="M10" i="25" s="1"/>
  <c r="M11" i="25" s="1"/>
  <c r="M12" i="25" s="1"/>
  <c r="M13" i="25" s="1"/>
  <c r="M14" i="25" s="1"/>
  <c r="M15" i="25" s="1"/>
  <c r="M16" i="25" s="1"/>
  <c r="M17" i="25" s="1"/>
  <c r="M18" i="25" s="1"/>
  <c r="M19" i="25" s="1"/>
  <c r="M20" i="25" s="1"/>
  <c r="M21" i="25" s="1"/>
  <c r="M22" i="25" s="1"/>
  <c r="M23" i="25" s="1"/>
  <c r="M24" i="25" s="1"/>
  <c r="M25" i="25" s="1"/>
  <c r="M26" i="25" s="1"/>
  <c r="M27" i="25" s="1"/>
  <c r="M28" i="25" s="1"/>
  <c r="M29" i="25" s="1"/>
  <c r="M30" i="25" s="1"/>
  <c r="M31" i="25" s="1"/>
  <c r="M32" i="25" s="1"/>
  <c r="M33" i="25" s="1"/>
  <c r="M34" i="25" s="1"/>
  <c r="M4" i="9"/>
  <c r="M5" i="9" s="1"/>
  <c r="M6" i="9" s="1"/>
  <c r="M7" i="9" s="1"/>
  <c r="M8" i="9" s="1"/>
  <c r="M9" i="9" s="1"/>
  <c r="M10" i="9" s="1"/>
  <c r="M11" i="9" s="1"/>
  <c r="M12" i="9" s="1"/>
  <c r="M13" i="9" s="1"/>
  <c r="M14" i="9" s="1"/>
  <c r="M15" i="9" s="1"/>
  <c r="M16" i="9" s="1"/>
  <c r="M17" i="9" s="1"/>
  <c r="M18" i="9" s="1"/>
  <c r="M19" i="9" s="1"/>
  <c r="M4" i="10"/>
  <c r="M5" i="10" s="1"/>
  <c r="M6" i="10" s="1"/>
  <c r="M7" i="10" s="1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18" i="10" s="1"/>
  <c r="M19" i="10" s="1"/>
  <c r="M20" i="10" s="1"/>
  <c r="M21" i="10" s="1"/>
  <c r="M22" i="10" s="1"/>
  <c r="M23" i="10" s="1"/>
  <c r="M24" i="10" s="1"/>
  <c r="M25" i="10" s="1"/>
  <c r="M26" i="10" s="1"/>
  <c r="M27" i="10" s="1"/>
  <c r="M28" i="10" s="1"/>
  <c r="M29" i="10" s="1"/>
  <c r="M30" i="10" s="1"/>
  <c r="M31" i="10" s="1"/>
  <c r="M32" i="10" s="1"/>
  <c r="M33" i="10" s="1"/>
  <c r="M34" i="10" s="1"/>
  <c r="M20" i="9"/>
  <c r="M21" i="9" s="1"/>
  <c r="M22" i="9" s="1"/>
  <c r="M23" i="9" s="1"/>
  <c r="M24" i="9" s="1"/>
  <c r="M25" i="9" s="1"/>
  <c r="M26" i="9" s="1"/>
  <c r="M27" i="9" s="1"/>
  <c r="M28" i="9" s="1"/>
  <c r="M29" i="9" s="1"/>
  <c r="M30" i="9" s="1"/>
  <c r="M31" i="9" s="1"/>
  <c r="M32" i="9" s="1"/>
  <c r="M33" i="9" s="1"/>
  <c r="M34" i="9" s="1"/>
  <c r="L4" i="26"/>
  <c r="M4" i="15"/>
  <c r="M5" i="15" s="1"/>
  <c r="M6" i="15" s="1"/>
  <c r="M7" i="15" s="1"/>
  <c r="M8" i="15" s="1"/>
  <c r="M9" i="15" s="1"/>
  <c r="M10" i="15" s="1"/>
  <c r="M11" i="15" s="1"/>
  <c r="M12" i="15" s="1"/>
  <c r="M13" i="15" s="1"/>
  <c r="M14" i="15" s="1"/>
  <c r="M15" i="15" s="1"/>
  <c r="M4" i="22"/>
  <c r="M5" i="22" s="1"/>
  <c r="M6" i="22" s="1"/>
  <c r="M7" i="22" s="1"/>
  <c r="M8" i="22" s="1"/>
  <c r="M9" i="22" s="1"/>
  <c r="M10" i="22" s="1"/>
  <c r="M11" i="22" s="1"/>
  <c r="M12" i="22" s="1"/>
  <c r="M13" i="22" s="1"/>
  <c r="M14" i="22" s="1"/>
  <c r="M5" i="23"/>
  <c r="M6" i="23" s="1"/>
  <c r="M7" i="23" s="1"/>
  <c r="M8" i="23" s="1"/>
  <c r="M9" i="23" s="1"/>
  <c r="M10" i="23" s="1"/>
  <c r="M4" i="3"/>
  <c r="M5" i="3" s="1"/>
  <c r="M6" i="3" s="1"/>
  <c r="M7" i="3" s="1"/>
  <c r="M8" i="3" s="1"/>
  <c r="M9" i="3" s="1"/>
  <c r="M10" i="3" s="1"/>
  <c r="M11" i="3" s="1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L4" i="20"/>
  <c r="K42" i="48" l="1"/>
  <c r="M16" i="15"/>
  <c r="M17" i="15" s="1"/>
  <c r="M18" i="15" s="1"/>
  <c r="M19" i="15" s="1"/>
  <c r="M20" i="15" s="1"/>
  <c r="M21" i="15"/>
  <c r="M22" i="15" s="1"/>
  <c r="M23" i="15" s="1"/>
  <c r="M24" i="15" s="1"/>
  <c r="M25" i="15" s="1"/>
  <c r="M26" i="15" s="1"/>
  <c r="M27" i="15" s="1"/>
  <c r="M28" i="15" s="1"/>
  <c r="M29" i="15" s="1"/>
  <c r="M30" i="15" s="1"/>
  <c r="M31" i="15" s="1"/>
  <c r="M32" i="15" s="1"/>
  <c r="M33" i="15" s="1"/>
  <c r="M10" i="6"/>
  <c r="M11" i="6" s="1"/>
  <c r="M12" i="6" s="1"/>
  <c r="M13" i="6" s="1"/>
  <c r="M14" i="6" s="1"/>
  <c r="M15" i="6" s="1"/>
  <c r="M16" i="6" s="1"/>
  <c r="M17" i="6" s="1"/>
  <c r="M18" i="6" s="1"/>
  <c r="M19" i="6" s="1"/>
  <c r="M20" i="6" s="1"/>
  <c r="M21" i="6" s="1"/>
  <c r="M22" i="6" s="1"/>
  <c r="M23" i="6" s="1"/>
  <c r="M24" i="6" s="1"/>
  <c r="M25" i="6" s="1"/>
  <c r="M26" i="6" s="1"/>
  <c r="M27" i="6" s="1"/>
  <c r="M28" i="6" s="1"/>
  <c r="M29" i="6" s="1"/>
  <c r="M30" i="6" s="1"/>
  <c r="M31" i="6" s="1"/>
  <c r="M32" i="6" s="1"/>
  <c r="M33" i="6" s="1"/>
  <c r="M34" i="6" s="1"/>
  <c r="M12" i="23"/>
  <c r="M13" i="23" s="1"/>
  <c r="M14" i="23" s="1"/>
  <c r="M15" i="23" s="1"/>
  <c r="M16" i="23" s="1"/>
  <c r="M17" i="23" s="1"/>
  <c r="M18" i="23" s="1"/>
  <c r="M19" i="23" s="1"/>
  <c r="M20" i="23" s="1"/>
  <c r="M21" i="23" s="1"/>
  <c r="M22" i="23" s="1"/>
  <c r="M23" i="23" s="1"/>
  <c r="M24" i="23" s="1"/>
  <c r="M11" i="23"/>
  <c r="M15" i="22"/>
  <c r="M16" i="22" s="1"/>
  <c r="M17" i="22" s="1"/>
  <c r="M18" i="22" s="1"/>
  <c r="M19" i="22" s="1"/>
  <c r="M20" i="22" s="1"/>
  <c r="M21" i="22" s="1"/>
  <c r="M22" i="22" s="1"/>
  <c r="M23" i="22" s="1"/>
  <c r="M24" i="22" s="1"/>
  <c r="M25" i="22" s="1"/>
  <c r="M26" i="22" s="1"/>
  <c r="M27" i="22" s="1"/>
  <c r="M28" i="22" s="1"/>
  <c r="M29" i="22" s="1"/>
  <c r="M30" i="22" s="1"/>
  <c r="M31" i="22" s="1"/>
  <c r="M32" i="22" s="1"/>
  <c r="M33" i="22" s="1"/>
  <c r="M34" i="22" s="1"/>
  <c r="M35" i="22" s="1"/>
  <c r="M25" i="23"/>
  <c r="F44" i="23"/>
  <c r="M4" i="20"/>
  <c r="M26" i="23" l="1"/>
  <c r="M27" i="23" s="1"/>
  <c r="M28" i="23" s="1"/>
  <c r="M29" i="23" s="1"/>
  <c r="M30" i="23" s="1"/>
  <c r="M31" i="23" s="1"/>
  <c r="M32" i="23" s="1"/>
  <c r="M33" i="23" s="1"/>
  <c r="M34" i="23" s="1"/>
  <c r="M35" i="23" s="1"/>
  <c r="M5" i="20"/>
  <c r="M6" i="20" s="1"/>
  <c r="M7" i="20" s="1"/>
  <c r="M8" i="20" s="1"/>
  <c r="M9" i="20" s="1"/>
  <c r="M10" i="20" s="1"/>
  <c r="M11" i="20" s="1"/>
  <c r="M12" i="20" s="1"/>
  <c r="M13" i="20" s="1"/>
  <c r="M14" i="20" s="1"/>
  <c r="M15" i="20" s="1"/>
  <c r="M16" i="20" s="1"/>
  <c r="M17" i="20" s="1"/>
  <c r="M18" i="20" s="1"/>
  <c r="M19" i="20" s="1"/>
  <c r="M20" i="20" s="1"/>
  <c r="M21" i="20" s="1"/>
  <c r="M22" i="20" s="1"/>
  <c r="M23" i="20" s="1"/>
  <c r="M24" i="20" s="1"/>
  <c r="M25" i="20" s="1"/>
  <c r="M26" i="20" s="1"/>
  <c r="M27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MIS</author>
  </authors>
  <commentList>
    <comment ref="L33" authorId="0" shapeId="0" xr:uid="{10E6B911-63B5-4DC7-973A-C23A5E05ACDD}">
      <text>
        <r>
          <rPr>
            <sz val="11"/>
            <color theme="1"/>
            <rFont val="Calibri"/>
            <family val="2"/>
            <scheme val="minor"/>
          </rPr>
          <t xml:space="preserve">MIS:
Discount Amount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tc={DDFF1128-3E11-4B89-825A-C4B55E1F70FD}</author>
  </authors>
  <commentList>
    <comment ref="E9" authorId="0" shapeId="0" xr:uid="{DDFF1128-3E11-4B89-825A-C4B55E1F70FD}">
      <text>
        <t>[Threaded comment]
Your version of Excel allows you to read this threaded comment; however, any edits to it will get removed if the file is opened in a newer version of Excel. Learn more: https://go.microsoft.com/fwlink/?linkid=870924
Comment:
    Hosadurga Site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tc={005B654B-14DD-4E5F-B907-C5F0EF585D51}</author>
  </authors>
  <commentList>
    <comment ref="L6" authorId="0" shapeId="0" xr:uid="{005B654B-14DD-4E5F-B907-C5F0EF585D51}">
      <text>
        <t>[Threaded comment]
Your version of Excel allows you to read this threaded comment; however, any edits to it will get removed if the file is opened in a newer version of Excel. Learn more: https://go.microsoft.com/fwlink/?linkid=870924
Comment:
    Redemption Amount</t>
      </text>
    </comment>
  </commentList>
</comments>
</file>

<file path=xl/sharedStrings.xml><?xml version="1.0" encoding="utf-8"?>
<sst xmlns="http://schemas.openxmlformats.org/spreadsheetml/2006/main" count="2074" uniqueCount="322">
  <si>
    <t>S.no</t>
  </si>
  <si>
    <t>Site Name</t>
  </si>
  <si>
    <t>Bunk Name</t>
  </si>
  <si>
    <t>Diesel(Liters)</t>
  </si>
  <si>
    <t>Diesel Amount</t>
  </si>
  <si>
    <t>Petrol(Liters)</t>
  </si>
  <si>
    <t>Petrol Amount</t>
  </si>
  <si>
    <t>Total Amount</t>
  </si>
  <si>
    <t>Opening Blance</t>
  </si>
  <si>
    <t>Amount Paid</t>
  </si>
  <si>
    <t>Closing Balances</t>
  </si>
  <si>
    <t>Khammam-1</t>
  </si>
  <si>
    <t>Lakshmi Manikanta Filling Station</t>
  </si>
  <si>
    <t>Khammam-2</t>
  </si>
  <si>
    <t>Sri Ramakotaiah Fuel Point</t>
  </si>
  <si>
    <t>Khammam-3</t>
  </si>
  <si>
    <t>Jayasai union bunk</t>
  </si>
  <si>
    <t>Khammam-4</t>
  </si>
  <si>
    <t xml:space="preserve">Balaji Service Station </t>
  </si>
  <si>
    <t>Khammam-5</t>
  </si>
  <si>
    <t>Divya laxmi ganapathi</t>
  </si>
  <si>
    <t>Jadcherla-1</t>
  </si>
  <si>
    <t>Sai Baba Fuel Station</t>
  </si>
  <si>
    <t>Jadcherla-2</t>
  </si>
  <si>
    <t>Bhavani Filling Station</t>
  </si>
  <si>
    <t>Jadcherla-3</t>
  </si>
  <si>
    <t xml:space="preserve">Uttara Enterprises </t>
  </si>
  <si>
    <t>Jadcherla-4</t>
  </si>
  <si>
    <t>Cash Purchase</t>
  </si>
  <si>
    <t>Sangareddy</t>
  </si>
  <si>
    <t>Shree lakshmi ganapathi F/S</t>
  </si>
  <si>
    <t>YG Gudda</t>
  </si>
  <si>
    <t>Pallavi Petrolium</t>
  </si>
  <si>
    <t>Hosadurga</t>
  </si>
  <si>
    <t>Merchant Petroliums</t>
  </si>
  <si>
    <t>Malebennuru(KUWSDB)</t>
  </si>
  <si>
    <t>Sri Ramanjuneya Service Station</t>
  </si>
  <si>
    <t>kadur</t>
  </si>
  <si>
    <t>Vishal Service Station</t>
  </si>
  <si>
    <t>Hiriyur(VJNL)</t>
  </si>
  <si>
    <t>Sri Balaji Agencies</t>
  </si>
  <si>
    <t>Fuel statement for the month of February 2025</t>
  </si>
  <si>
    <t>Chellakere(KUWSDB)</t>
  </si>
  <si>
    <t>Sri Vishnu Baba Petroleum</t>
  </si>
  <si>
    <t>Khanapur</t>
  </si>
  <si>
    <t>J K Makavi</t>
  </si>
  <si>
    <t>Munavalli</t>
  </si>
  <si>
    <t>Shahapur Petroleum</t>
  </si>
  <si>
    <t>Borgaon</t>
  </si>
  <si>
    <t>Aadisagar Petrolium</t>
  </si>
  <si>
    <t>Ugar,Kudichi</t>
  </si>
  <si>
    <t>Shiri Bhrhmanath Petrolium</t>
  </si>
  <si>
    <t>Kabbur</t>
  </si>
  <si>
    <t>Shri Jai Hanuman Petrolium</t>
  </si>
  <si>
    <t xml:space="preserve">Kumta </t>
  </si>
  <si>
    <t>Krishma fuel station</t>
  </si>
  <si>
    <t>Jalgaon</t>
  </si>
  <si>
    <t>Sri Sai Petrol Pump</t>
  </si>
  <si>
    <t>MKBD</t>
  </si>
  <si>
    <t>Shree Sai Samarth Petroleum</t>
  </si>
  <si>
    <t>Haveri</t>
  </si>
  <si>
    <t>Shivalingeshwar Petroleum</t>
  </si>
  <si>
    <t>Guttal</t>
  </si>
  <si>
    <t>Taware filling station</t>
  </si>
  <si>
    <t>Rattihali</t>
  </si>
  <si>
    <t xml:space="preserve">  Shree Siri Gowari petroliam</t>
  </si>
  <si>
    <t>Gajendragada</t>
  </si>
  <si>
    <t>Vanasri Petrol Pump</t>
  </si>
  <si>
    <t>Ghattaprabha</t>
  </si>
  <si>
    <t>Vivek Petrol Pump</t>
  </si>
  <si>
    <t>Ghattaprabha-2</t>
  </si>
  <si>
    <t>Shri Deshpande Petrolum</t>
  </si>
  <si>
    <t>Gokak-1</t>
  </si>
  <si>
    <t>AJ Petrolinks</t>
  </si>
  <si>
    <t>Gokak-2</t>
  </si>
  <si>
    <t>Manikeri Petroleums</t>
  </si>
  <si>
    <t>Ankalgi</t>
  </si>
  <si>
    <t>Nirwani Petroleums</t>
  </si>
  <si>
    <t>Talikote</t>
  </si>
  <si>
    <t>Raykar Oil Agencies</t>
  </si>
  <si>
    <t>Chadchan</t>
  </si>
  <si>
    <t>Khavekar Petrolium</t>
  </si>
  <si>
    <t>Sindagi</t>
  </si>
  <si>
    <t>G.P.PORWAL</t>
  </si>
  <si>
    <t>Muddebihal</t>
  </si>
  <si>
    <t xml:space="preserve"> Bhosle Service Station</t>
  </si>
  <si>
    <t>Almela</t>
  </si>
  <si>
    <t>Shiddeshwar Petroleums</t>
  </si>
  <si>
    <t>Srirangapatna</t>
  </si>
  <si>
    <t>Sri Chakra Fuel Station</t>
  </si>
  <si>
    <t>Total</t>
  </si>
  <si>
    <t>S.No</t>
  </si>
  <si>
    <t>Date</t>
  </si>
  <si>
    <t>GRN No</t>
  </si>
  <si>
    <t>Ind No/Bill No</t>
  </si>
  <si>
    <t>Diesel (Lts)</t>
  </si>
  <si>
    <t>Price</t>
  </si>
  <si>
    <t xml:space="preserve">Amount </t>
  </si>
  <si>
    <t>Petrol (Lts)</t>
  </si>
  <si>
    <t xml:space="preserve">Total amount </t>
  </si>
  <si>
    <t>Amount paid</t>
  </si>
  <si>
    <t>As on Date</t>
  </si>
  <si>
    <t>Remarks</t>
  </si>
  <si>
    <t>Opening Balance</t>
  </si>
  <si>
    <t> </t>
  </si>
  <si>
    <t>As 0n Date</t>
  </si>
  <si>
    <t>200/201/202</t>
  </si>
  <si>
    <t>203/204</t>
  </si>
  <si>
    <t>205/206/207</t>
  </si>
  <si>
    <t>208/209/210/211</t>
  </si>
  <si>
    <t>212/213/214</t>
  </si>
  <si>
    <t>215/216</t>
  </si>
  <si>
    <t>218/219</t>
  </si>
  <si>
    <t>.</t>
  </si>
  <si>
    <t>2101/2102/2103</t>
  </si>
  <si>
    <t>2105/2106/2107/2108</t>
  </si>
  <si>
    <t>2109/2110</t>
  </si>
  <si>
    <t>2111/2112/2113/2114</t>
  </si>
  <si>
    <t>2115/2216/2117</t>
  </si>
  <si>
    <t>2118/2119</t>
  </si>
  <si>
    <t>2120/2121/2122</t>
  </si>
  <si>
    <t>2123/2124/2125</t>
  </si>
  <si>
    <t>2128/2129/2130/2131</t>
  </si>
  <si>
    <t>2132/2133</t>
  </si>
  <si>
    <t>2134/2135/2136</t>
  </si>
  <si>
    <t>2137/2138/2139/2140</t>
  </si>
  <si>
    <t>2142/2143/2144/2145</t>
  </si>
  <si>
    <t>2146/2147</t>
  </si>
  <si>
    <t>2148/2149</t>
  </si>
  <si>
    <t>2150/2151/2152/2153</t>
  </si>
  <si>
    <t>717/719/724</t>
  </si>
  <si>
    <t>721/722/723/725</t>
  </si>
  <si>
    <t>744/746/747/750/754/</t>
  </si>
  <si>
    <t>764/767/769/770/772/773</t>
  </si>
  <si>
    <t>785/790/788/791/</t>
  </si>
  <si>
    <t>789/793/794/795</t>
  </si>
  <si>
    <t>798/805/806/799/802</t>
  </si>
  <si>
    <t>811/815</t>
  </si>
  <si>
    <t>818/827/836</t>
  </si>
  <si>
    <t>829/830/831/834</t>
  </si>
  <si>
    <t>838/839</t>
  </si>
  <si>
    <t>842/845/846/848</t>
  </si>
  <si>
    <t>850/851</t>
  </si>
  <si>
    <t>849/860/861/863/864</t>
  </si>
  <si>
    <t>865/867/868/871/872/897</t>
  </si>
  <si>
    <t>900/901</t>
  </si>
  <si>
    <t xml:space="preserve">Divya laxmi ganapathi </t>
  </si>
  <si>
    <t>31.03.2025</t>
  </si>
  <si>
    <t>101/102</t>
  </si>
  <si>
    <t>As on date</t>
  </si>
  <si>
    <t>Name of the bunk</t>
  </si>
  <si>
    <t>17.03.2025</t>
  </si>
  <si>
    <t>Sri Laxmi Venkateshwara</t>
  </si>
  <si>
    <t>Cash purchase</t>
  </si>
  <si>
    <t>19.03.2025</t>
  </si>
  <si>
    <t>Sri Chennakesava Filling Station</t>
  </si>
  <si>
    <t>BPCL</t>
  </si>
  <si>
    <t>22.03.2025</t>
  </si>
  <si>
    <t>IOCL</t>
  </si>
  <si>
    <t>24.03.2025</t>
  </si>
  <si>
    <t>25.03.2025</t>
  </si>
  <si>
    <t>27.03.2025</t>
  </si>
  <si>
    <t xml:space="preserve"> IOCL - Card Swipe </t>
  </si>
  <si>
    <t>Sreenithya Petroleum</t>
  </si>
  <si>
    <t>Date of payment</t>
  </si>
  <si>
    <t>Ind no/Bill No</t>
  </si>
  <si>
    <t>Shree Lakshmi Ganapathi Filling Station</t>
  </si>
  <si>
    <t>95/96</t>
  </si>
  <si>
    <t>NA</t>
  </si>
  <si>
    <t>1.03.2025</t>
  </si>
  <si>
    <t>IOCL Card</t>
  </si>
  <si>
    <t>04.03.2025</t>
  </si>
  <si>
    <t>05.03.2025</t>
  </si>
  <si>
    <t>06.03.2025</t>
  </si>
  <si>
    <t>07.03.2025</t>
  </si>
  <si>
    <t>08.03.2025</t>
  </si>
  <si>
    <t>09.03.2025</t>
  </si>
  <si>
    <t>12.03.2025</t>
  </si>
  <si>
    <t>16.03.2025</t>
  </si>
  <si>
    <t>18.03.2025</t>
  </si>
  <si>
    <t>21.03.2025</t>
  </si>
  <si>
    <t>26.03.2025</t>
  </si>
  <si>
    <t>28.03.2025</t>
  </si>
  <si>
    <t>29.03.2025</t>
  </si>
  <si>
    <t>30.03.2025</t>
  </si>
  <si>
    <t>As On Date</t>
  </si>
  <si>
    <t>Payable Amount</t>
  </si>
  <si>
    <t xml:space="preserve"> Opening Balance </t>
  </si>
  <si>
    <t>Balance Amount</t>
  </si>
  <si>
    <t>BPCL/HO</t>
  </si>
  <si>
    <t>Cash Transfer</t>
  </si>
  <si>
    <t>IOCL Card Ledger</t>
  </si>
  <si>
    <t>Petrol Bunk Name</t>
  </si>
  <si>
    <t>Location</t>
  </si>
  <si>
    <t>Card No</t>
  </si>
  <si>
    <t>Recharge Amount</t>
  </si>
  <si>
    <t>Redeem</t>
  </si>
  <si>
    <t>01.03.2025</t>
  </si>
  <si>
    <t>KRISHNA FUEL STATION</t>
  </si>
  <si>
    <t>KUMTA</t>
  </si>
  <si>
    <t>7126022478060039</t>
  </si>
  <si>
    <t>SHRI SAI PETROL PUMP</t>
  </si>
  <si>
    <t>MALKAPUR CITY</t>
  </si>
  <si>
    <t>7126022478060062</t>
  </si>
  <si>
    <t>F</t>
  </si>
  <si>
    <t>SARAVANA AGENCIES</t>
  </si>
  <si>
    <t>Vedal Village</t>
  </si>
  <si>
    <t>7126022478060179</t>
  </si>
  <si>
    <t>MERCHANT PETROLEUMS</t>
  </si>
  <si>
    <t>HOSADURGA</t>
  </si>
  <si>
    <t>7126022478060187</t>
  </si>
  <si>
    <t>SHRI JAI HANUMAN PETROLEUMS</t>
  </si>
  <si>
    <t>KABBUR</t>
  </si>
  <si>
    <t>7126022478060195</t>
  </si>
  <si>
    <t>7126022478060237</t>
  </si>
  <si>
    <t>BHOSLE SERVICE STATION</t>
  </si>
  <si>
    <t>7126022478060245</t>
  </si>
  <si>
    <t>RAYKAR OIL AGENCIES</t>
  </si>
  <si>
    <t>7126022478060252</t>
  </si>
  <si>
    <t>SHREE SIRI GOWRI PETROLEUM</t>
  </si>
  <si>
    <t>MASUR</t>
  </si>
  <si>
    <t>7126022478060286</t>
  </si>
  <si>
    <t>2.03.2025</t>
  </si>
  <si>
    <t>03.03.2025</t>
  </si>
  <si>
    <t>PALLAVI PETROLEUM</t>
  </si>
  <si>
    <t>Ramanagaram</t>
  </si>
  <si>
    <t>7126022478060138</t>
  </si>
  <si>
    <t>SREE VISHNUBABA PETROLEUM</t>
  </si>
  <si>
    <t>NAGAREMGERE</t>
  </si>
  <si>
    <t>7126022478060146</t>
  </si>
  <si>
    <t>MANNIKERI PETROLEUMS</t>
  </si>
  <si>
    <t>GOKAK</t>
  </si>
  <si>
    <t>7126022478060153</t>
  </si>
  <si>
    <t>PRIYADARSHINI SERVICE STATION</t>
  </si>
  <si>
    <t>Bommsandra Industrial Area</t>
  </si>
  <si>
    <t>SIDDESWARA PETROLEUMS</t>
  </si>
  <si>
    <t>SINDGI</t>
  </si>
  <si>
    <t>SHREE LAKSHMI GANAPATHI FILLING STATION</t>
  </si>
  <si>
    <t>Pulkal Mandal</t>
  </si>
  <si>
    <t>7161000000114868</t>
  </si>
  <si>
    <t>SHRI SHIVABHODHARANG KSK</t>
  </si>
  <si>
    <t>TAWARE FILLING STATION</t>
  </si>
  <si>
    <t>Guital</t>
  </si>
  <si>
    <t>7126022478060278</t>
  </si>
  <si>
    <t>NIRWANI PETROLEUMS</t>
  </si>
  <si>
    <t>7126022478060047</t>
  </si>
  <si>
    <t>SRI CHAKRA FUEL STATION</t>
  </si>
  <si>
    <t>7126022478060104</t>
  </si>
  <si>
    <t>AWATI PETROLEUMS</t>
  </si>
  <si>
    <t>Bandal</t>
  </si>
  <si>
    <t>10.03.2025</t>
  </si>
  <si>
    <t>11.03.2025</t>
  </si>
  <si>
    <t>SRI RAMANJANEYA SERVICE STN</t>
  </si>
  <si>
    <t xml:space="preserve">NITTUR CROSS   </t>
  </si>
  <si>
    <t>7126022478060120</t>
  </si>
  <si>
    <t>Hiriyur</t>
  </si>
  <si>
    <t>7126022478060161</t>
  </si>
  <si>
    <t xml:space="preserve">SHRI PAWAD BASAWESHWAR  </t>
  </si>
  <si>
    <t>NALATWAD</t>
  </si>
  <si>
    <t>SHIVALINGESHWAR PETROLEUM</t>
  </si>
  <si>
    <t>Guttal Road</t>
  </si>
  <si>
    <t>7126022478060096</t>
  </si>
  <si>
    <t>13.02.2025</t>
  </si>
  <si>
    <t>SHRI PAWAD BASAWESHWAR PETROLEUMS</t>
  </si>
  <si>
    <t>14.03.2025</t>
  </si>
  <si>
    <t>NITTUR CROSS      -DAVANGERE</t>
  </si>
  <si>
    <t>15.03.2025</t>
  </si>
  <si>
    <t>20.03.2025</t>
  </si>
  <si>
    <t xml:space="preserve">SRI LAXMI VENKATESHWARA  </t>
  </si>
  <si>
    <t>JADCHERLA</t>
  </si>
  <si>
    <t>7126022478060211</t>
  </si>
  <si>
    <t>23.03.2025</t>
  </si>
  <si>
    <t xml:space="preserve">NITTUR CROSS    </t>
  </si>
  <si>
    <t>PREMA FUEL STATION</t>
  </si>
  <si>
    <t>Mysore</t>
  </si>
  <si>
    <t xml:space="preserve">NITTUR CROSS     </t>
  </si>
  <si>
    <t>NATIONAL AUTO SERVICE CENTRE</t>
  </si>
  <si>
    <t>Shivni</t>
  </si>
  <si>
    <t xml:space="preserve">SRI LAXMI VENKATESHWARA FILLING </t>
  </si>
  <si>
    <t>JAYA SAI UNION BUNK</t>
  </si>
  <si>
    <t>BURHANPURAM</t>
  </si>
  <si>
    <t>7161000000114835</t>
  </si>
  <si>
    <t>BABA FUEL STATION</t>
  </si>
  <si>
    <t>BOHARDI KHURD</t>
  </si>
  <si>
    <t>SRI LAXMI VENKATESHWARA FILLING STATION</t>
  </si>
  <si>
    <t>7161000000114843</t>
  </si>
  <si>
    <t>BPCL Card Ledger</t>
  </si>
  <si>
    <t xml:space="preserve">SHAHAPUR PETROLEUM  </t>
  </si>
  <si>
    <t>FC8000207648</t>
  </si>
  <si>
    <t xml:space="preserve">V.V.VARDE BHARAT PETROLEUM  </t>
  </si>
  <si>
    <t>FC8000207649</t>
  </si>
  <si>
    <t xml:space="preserve">SHRI DESHPANDE PETROLEUM  </t>
  </si>
  <si>
    <t>FC8000207650</t>
  </si>
  <si>
    <t>02.03.2025</t>
  </si>
  <si>
    <t xml:space="preserve">LAKSHMI MANIKANTA FILLING STAT  </t>
  </si>
  <si>
    <t>FC3450563997</t>
  </si>
  <si>
    <t>JUBILEE HILLS FILL. STN.</t>
  </si>
  <si>
    <t>FC3450563999</t>
  </si>
  <si>
    <t xml:space="preserve">R.T.PATIL PETROLEUM BHARAT </t>
  </si>
  <si>
    <t>AL MEHBOOB PETROLEUM</t>
  </si>
  <si>
    <t xml:space="preserve">MAHMOOD FILLING STATION </t>
  </si>
  <si>
    <t xml:space="preserve">SHREE SAI SAMARTH PETROLEUM </t>
  </si>
  <si>
    <t>FC0323247261</t>
  </si>
  <si>
    <t xml:space="preserve">IRAM FILLING STATION </t>
  </si>
  <si>
    <t>13.03.2025</t>
  </si>
  <si>
    <t>SANDHYA FUEL STATION </t>
  </si>
  <si>
    <t>FC3450676134</t>
  </si>
  <si>
    <t>PREMIUM FUELS BHARAT PETROLEUM</t>
  </si>
  <si>
    <t>R.T.PATIL PETROLEUM</t>
  </si>
  <si>
    <t>RAJ SERVICE STATION</t>
  </si>
  <si>
    <t xml:space="preserve">CHENNAKESHAVA FILLING STATION </t>
  </si>
  <si>
    <t>FC3450563998</t>
  </si>
  <si>
    <t>SANDHYA FUEL STATION</t>
  </si>
  <si>
    <t>BP-KESHAWAPUR BHARAT</t>
  </si>
  <si>
    <t>CHENNAKESHAVA FILLING STATION</t>
  </si>
  <si>
    <t>BHASKAR ENTERPRISES</t>
  </si>
  <si>
    <t>SAI BABA FILLING STATION</t>
  </si>
  <si>
    <t xml:space="preserve">DWARAKA SER. STN.  </t>
  </si>
  <si>
    <t xml:space="preserve">SAI PRIYA FILLING STATION  </t>
  </si>
  <si>
    <t>FC8000207658</t>
  </si>
  <si>
    <t>HPCL Card Ledger</t>
  </si>
  <si>
    <t>M/s. Sri Rama Kotaiah Fuel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</si>
</sst>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.00_ ;_ * \-#,##0.00_ ;_ * &quot;-&quot;??_ ;_ @_ "/>
    <numFmt numFmtId="165" formatCode="[$-409]d\-mmm\-yy;@"/>
    <numFmt numFmtId="166" formatCode="0.00_ "/>
  </numFmts>
  <fonts count="2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2"/>
      <color rgb="FF000000"/>
      <name val="Book Antiqua"/>
      <family val="1"/>
    </font>
    <font>
      <sz val="11"/>
      <color rgb="FF000000"/>
      <name val="Cambria"/>
      <family val="1"/>
    </font>
    <font>
      <b/>
      <sz val="10"/>
      <color theme="1"/>
      <name val="Calibri"/>
    </font>
    <font>
      <sz val="10"/>
      <color theme="1"/>
      <name val="Calibri"/>
    </font>
    <font>
      <sz val="10"/>
      <color theme="0"/>
      <name val="Calibri"/>
    </font>
    <font>
      <sz val="12"/>
      <color theme="1"/>
      <name val="Calibri"/>
      <family val="2"/>
      <scheme val="minor"/>
    </font>
    <font>
      <sz val="12"/>
      <color rgb="FF000000"/>
      <name val="Calibri"/>
    </font>
    <font>
      <sz val="11"/>
      <color theme="0"/>
      <name val="Calibri"/>
    </font>
    <font>
      <sz val="12"/>
      <color theme="0"/>
      <name val="Calibri"/>
    </font>
    <font>
      <sz val="12"/>
      <color theme="0"/>
      <name val="Calibri"/>
      <family val="2"/>
      <scheme val="minor"/>
    </font>
    <font>
      <sz val="10"/>
      <color rgb="FF000000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charset val="134"/>
    </font>
    <font>
      <b/>
      <sz val="11"/>
      <color rgb="FF000000"/>
      <name val="Calibri"/>
    </font>
    <font>
      <sz val="11"/>
      <color theme="1"/>
      <name val="Calibri"/>
      <family val="2"/>
    </font>
    <font>
      <sz val="11"/>
      <color rgb="FF242424"/>
      <name val="Aptos Narrow"/>
      <charset val="1"/>
    </font>
    <font>
      <sz val="8"/>
      <color rgb="FF212529"/>
      <name val="Roboto"/>
      <charset val="1"/>
    </font>
    <font>
      <b/>
      <sz val="11"/>
      <color theme="0"/>
      <name val="Calibri"/>
      <scheme val="minor"/>
    </font>
    <font>
      <b/>
      <sz val="11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426">
    <xf numFmtId="0" fontId="0" fillId="0" borderId="0" xfId="0"/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1" applyFont="1" applyAlignment="1">
      <alignment horizontal="center" vertical="center"/>
    </xf>
    <xf numFmtId="0" fontId="4" fillId="0" borderId="0" xfId="0" applyFont="1"/>
    <xf numFmtId="0" fontId="4" fillId="0" borderId="7" xfId="0" applyFont="1" applyBorder="1"/>
    <xf numFmtId="164" fontId="4" fillId="0" borderId="2" xfId="1" applyFont="1" applyBorder="1" applyAlignment="1">
      <alignment horizontal="center" vertical="center"/>
    </xf>
    <xf numFmtId="164" fontId="4" fillId="0" borderId="7" xfId="1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164" fontId="4" fillId="0" borderId="2" xfId="1" applyFont="1" applyBorder="1" applyAlignment="1">
      <alignment vertical="center"/>
    </xf>
    <xf numFmtId="164" fontId="4" fillId="0" borderId="8" xfId="1" applyFont="1" applyBorder="1" applyAlignment="1">
      <alignment vertical="center"/>
    </xf>
    <xf numFmtId="0" fontId="6" fillId="0" borderId="9" xfId="0" applyFont="1" applyBorder="1" applyAlignment="1">
      <alignment horizontal="center"/>
    </xf>
    <xf numFmtId="164" fontId="4" fillId="0" borderId="2" xfId="1" applyFont="1" applyBorder="1" applyAlignment="1">
      <alignment horizontal="center" vertical="top"/>
    </xf>
    <xf numFmtId="164" fontId="4" fillId="0" borderId="8" xfId="1" applyFont="1" applyBorder="1" applyAlignment="1">
      <alignment horizontal="center" vertical="top"/>
    </xf>
    <xf numFmtId="164" fontId="4" fillId="0" borderId="6" xfId="1" applyFont="1" applyBorder="1" applyAlignment="1">
      <alignment horizontal="center" vertical="center"/>
    </xf>
    <xf numFmtId="0" fontId="0" fillId="0" borderId="7" xfId="0" applyBorder="1"/>
    <xf numFmtId="0" fontId="4" fillId="0" borderId="7" xfId="0" applyFont="1" applyBorder="1" applyAlignment="1">
      <alignment horizontal="center" vertical="center" wrapText="1"/>
    </xf>
    <xf numFmtId="164" fontId="4" fillId="0" borderId="16" xfId="1" applyFont="1" applyBorder="1" applyAlignment="1">
      <alignment horizontal="center" vertical="center"/>
    </xf>
    <xf numFmtId="164" fontId="4" fillId="0" borderId="9" xfId="1" applyFont="1" applyBorder="1" applyAlignment="1">
      <alignment horizontal="center" vertical="center"/>
    </xf>
    <xf numFmtId="164" fontId="4" fillId="0" borderId="5" xfId="1" applyFont="1" applyBorder="1" applyAlignment="1">
      <alignment horizontal="center" vertical="center"/>
    </xf>
    <xf numFmtId="2" fontId="0" fillId="0" borderId="0" xfId="0" applyNumberFormat="1"/>
    <xf numFmtId="0" fontId="8" fillId="0" borderId="2" xfId="3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0" fillId="0" borderId="2" xfId="1" applyFont="1" applyBorder="1" applyAlignment="1">
      <alignment horizontal="center" vertical="center"/>
    </xf>
    <xf numFmtId="164" fontId="10" fillId="0" borderId="7" xfId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1" fillId="0" borderId="2" xfId="1" applyFont="1" applyBorder="1" applyAlignment="1">
      <alignment horizontal="center" vertical="center"/>
    </xf>
    <xf numFmtId="164" fontId="11" fillId="0" borderId="8" xfId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164" fontId="11" fillId="0" borderId="7" xfId="1" applyFont="1" applyFill="1" applyBorder="1" applyAlignment="1">
      <alignment horizontal="center" vertical="center"/>
    </xf>
    <xf numFmtId="164" fontId="11" fillId="0" borderId="7" xfId="1" applyFont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64" fontId="11" fillId="0" borderId="0" xfId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11" fillId="0" borderId="0" xfId="1" applyFont="1" applyAlignment="1">
      <alignment horizontal="center" vertical="center"/>
    </xf>
    <xf numFmtId="2" fontId="4" fillId="0" borderId="7" xfId="1" applyNumberFormat="1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 wrapText="1"/>
    </xf>
    <xf numFmtId="1" fontId="4" fillId="0" borderId="7" xfId="0" applyNumberFormat="1" applyFont="1" applyBorder="1" applyAlignment="1">
      <alignment horizontal="center" vertical="center" wrapText="1"/>
    </xf>
    <xf numFmtId="2" fontId="13" fillId="0" borderId="7" xfId="0" applyNumberFormat="1" applyFont="1" applyBorder="1" applyAlignment="1">
      <alignment horizontal="right" vertical="center"/>
    </xf>
    <xf numFmtId="2" fontId="0" fillId="0" borderId="7" xfId="0" applyNumberFormat="1" applyBorder="1"/>
    <xf numFmtId="164" fontId="4" fillId="0" borderId="7" xfId="1" applyFont="1" applyBorder="1" applyAlignment="1">
      <alignment horizontal="left" vertical="top"/>
    </xf>
    <xf numFmtId="164" fontId="4" fillId="0" borderId="7" xfId="1" applyFont="1" applyBorder="1" applyAlignment="1">
      <alignment vertical="center"/>
    </xf>
    <xf numFmtId="2" fontId="4" fillId="0" borderId="7" xfId="0" applyNumberFormat="1" applyFont="1" applyBorder="1" applyAlignment="1">
      <alignment horizontal="right" vertical="center" wrapText="1"/>
    </xf>
    <xf numFmtId="164" fontId="10" fillId="4" borderId="10" xfId="1" applyFont="1" applyFill="1" applyBorder="1" applyAlignment="1">
      <alignment horizontal="center" vertical="center"/>
    </xf>
    <xf numFmtId="164" fontId="10" fillId="4" borderId="11" xfId="1" applyFont="1" applyFill="1" applyBorder="1" applyAlignment="1">
      <alignment horizontal="center" vertical="center"/>
    </xf>
    <xf numFmtId="2" fontId="10" fillId="2" borderId="0" xfId="0" applyNumberFormat="1" applyFont="1" applyFill="1" applyAlignment="1">
      <alignment horizontal="center" vertical="center"/>
    </xf>
    <xf numFmtId="164" fontId="10" fillId="2" borderId="0" xfId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2" fontId="10" fillId="4" borderId="7" xfId="0" applyNumberFormat="1" applyFont="1" applyFill="1" applyBorder="1" applyAlignment="1">
      <alignment horizontal="center" vertical="center"/>
    </xf>
    <xf numFmtId="164" fontId="10" fillId="4" borderId="7" xfId="1" applyFont="1" applyFill="1" applyBorder="1" applyAlignment="1">
      <alignment horizontal="center" vertical="center"/>
    </xf>
    <xf numFmtId="0" fontId="6" fillId="0" borderId="7" xfId="0" applyFont="1" applyBorder="1"/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 wrapText="1"/>
    </xf>
    <xf numFmtId="43" fontId="4" fillId="0" borderId="7" xfId="0" applyNumberFormat="1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43" fontId="4" fillId="0" borderId="0" xfId="0" applyNumberFormat="1" applyFont="1" applyAlignment="1">
      <alignment horizontal="center"/>
    </xf>
    <xf numFmtId="0" fontId="7" fillId="0" borderId="7" xfId="0" applyFont="1" applyBorder="1" applyAlignment="1">
      <alignment horizontal="center"/>
    </xf>
    <xf numFmtId="43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4" fontId="14" fillId="0" borderId="7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wrapText="1"/>
    </xf>
    <xf numFmtId="43" fontId="15" fillId="3" borderId="2" xfId="0" applyNumberFormat="1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/>
    </xf>
    <xf numFmtId="43" fontId="15" fillId="3" borderId="2" xfId="0" applyNumberFormat="1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1" fillId="0" borderId="0" xfId="0" applyFont="1"/>
    <xf numFmtId="2" fontId="5" fillId="4" borderId="7" xfId="0" applyNumberFormat="1" applyFont="1" applyFill="1" applyBorder="1" applyAlignment="1">
      <alignment horizontal="center" vertical="center"/>
    </xf>
    <xf numFmtId="164" fontId="5" fillId="4" borderId="7" xfId="1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166" fontId="4" fillId="0" borderId="7" xfId="0" applyNumberFormat="1" applyFont="1" applyBorder="1" applyAlignment="1">
      <alignment horizontal="center"/>
    </xf>
    <xf numFmtId="2" fontId="4" fillId="0" borderId="7" xfId="0" applyNumberFormat="1" applyFont="1" applyBorder="1"/>
    <xf numFmtId="0" fontId="4" fillId="0" borderId="7" xfId="0" applyFont="1" applyBorder="1" applyAlignment="1">
      <alignment vertical="center"/>
    </xf>
    <xf numFmtId="164" fontId="4" fillId="0" borderId="7" xfId="1" applyFont="1" applyBorder="1" applyAlignment="1">
      <alignment horizontal="center" vertical="top"/>
    </xf>
    <xf numFmtId="164" fontId="11" fillId="0" borderId="9" xfId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 wrapText="1"/>
    </xf>
    <xf numFmtId="164" fontId="4" fillId="4" borderId="7" xfId="1" applyFont="1" applyFill="1" applyBorder="1" applyAlignment="1">
      <alignment horizontal="center" vertical="center"/>
    </xf>
    <xf numFmtId="2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horizontal="center" vertical="center"/>
    </xf>
    <xf numFmtId="164" fontId="4" fillId="0" borderId="0" xfId="1" applyFont="1" applyAlignment="1">
      <alignment vertical="center"/>
    </xf>
    <xf numFmtId="164" fontId="4" fillId="0" borderId="0" xfId="1" applyFont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14" fontId="4" fillId="0" borderId="7" xfId="0" applyNumberFormat="1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164" fontId="4" fillId="0" borderId="7" xfId="1" applyFont="1" applyBorder="1" applyAlignment="1">
      <alignment horizontal="center" indent="1"/>
    </xf>
    <xf numFmtId="164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3" borderId="7" xfId="0" applyFont="1" applyFill="1" applyBorder="1" applyAlignment="1">
      <alignment horizontal="center" vertical="center" wrapText="1"/>
    </xf>
    <xf numFmtId="43" fontId="15" fillId="3" borderId="7" xfId="0" applyNumberFormat="1" applyFont="1" applyFill="1" applyBorder="1" applyAlignment="1">
      <alignment horizontal="center" vertical="center" wrapText="1"/>
    </xf>
    <xf numFmtId="43" fontId="15" fillId="3" borderId="7" xfId="0" applyNumberFormat="1" applyFont="1" applyFill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2" fontId="15" fillId="3" borderId="7" xfId="0" applyNumberFormat="1" applyFont="1" applyFill="1" applyBorder="1" applyAlignment="1">
      <alignment horizontal="center" vertical="center" wrapText="1"/>
    </xf>
    <xf numFmtId="2" fontId="15" fillId="3" borderId="7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6" fillId="0" borderId="16" xfId="0" applyFont="1" applyBorder="1"/>
    <xf numFmtId="0" fontId="0" fillId="0" borderId="17" xfId="0" applyBorder="1"/>
    <xf numFmtId="0" fontId="19" fillId="0" borderId="7" xfId="0" applyFont="1" applyBorder="1"/>
    <xf numFmtId="2" fontId="19" fillId="0" borderId="7" xfId="0" applyNumberFormat="1" applyFont="1" applyBorder="1"/>
    <xf numFmtId="0" fontId="0" fillId="0" borderId="14" xfId="0" applyBorder="1"/>
    <xf numFmtId="0" fontId="15" fillId="3" borderId="1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12" fillId="3" borderId="7" xfId="0" applyFont="1" applyFill="1" applyBorder="1" applyAlignment="1">
      <alignment horizontal="center" vertical="center"/>
    </xf>
    <xf numFmtId="43" fontId="4" fillId="0" borderId="7" xfId="0" applyNumberFormat="1" applyFont="1" applyBorder="1" applyAlignment="1">
      <alignment horizontal="center" vertical="center" wrapText="1"/>
    </xf>
    <xf numFmtId="0" fontId="20" fillId="0" borderId="7" xfId="0" applyFont="1" applyBorder="1"/>
    <xf numFmtId="164" fontId="10" fillId="4" borderId="22" xfId="1" applyFont="1" applyFill="1" applyBorder="1" applyAlignment="1">
      <alignment horizontal="center" vertical="center"/>
    </xf>
    <xf numFmtId="164" fontId="0" fillId="0" borderId="7" xfId="0" applyNumberFormat="1" applyBorder="1"/>
    <xf numFmtId="0" fontId="12" fillId="3" borderId="7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43" fontId="4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164" fontId="4" fillId="0" borderId="23" xfId="1" applyFont="1" applyFill="1" applyBorder="1" applyAlignment="1">
      <alignment horizontal="center" vertical="center"/>
    </xf>
    <xf numFmtId="43" fontId="12" fillId="3" borderId="21" xfId="0" applyNumberFormat="1" applyFont="1" applyFill="1" applyBorder="1" applyAlignment="1">
      <alignment horizontal="center" vertical="center" wrapText="1"/>
    </xf>
    <xf numFmtId="43" fontId="12" fillId="3" borderId="8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/>
    </xf>
    <xf numFmtId="0" fontId="12" fillId="3" borderId="8" xfId="0" applyFont="1" applyFill="1" applyBorder="1" applyAlignment="1">
      <alignment horizontal="center" vertical="center"/>
    </xf>
    <xf numFmtId="43" fontId="12" fillId="3" borderId="8" xfId="0" applyNumberFormat="1" applyFont="1" applyFill="1" applyBorder="1" applyAlignment="1">
      <alignment horizontal="center" vertical="center"/>
    </xf>
    <xf numFmtId="43" fontId="12" fillId="3" borderId="21" xfId="0" applyNumberFormat="1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/>
    </xf>
    <xf numFmtId="0" fontId="14" fillId="0" borderId="9" xfId="3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4" fontId="7" fillId="0" borderId="7" xfId="0" applyNumberFormat="1" applyFont="1" applyBorder="1" applyAlignment="1">
      <alignment horizontal="center"/>
    </xf>
    <xf numFmtId="1" fontId="11" fillId="0" borderId="7" xfId="0" applyNumberFormat="1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/>
    </xf>
    <xf numFmtId="4" fontId="7" fillId="0" borderId="16" xfId="0" applyNumberFormat="1" applyFont="1" applyBorder="1" applyAlignment="1">
      <alignment horizontal="center"/>
    </xf>
    <xf numFmtId="0" fontId="15" fillId="3" borderId="17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 wrapText="1"/>
    </xf>
    <xf numFmtId="43" fontId="15" fillId="3" borderId="17" xfId="0" applyNumberFormat="1" applyFont="1" applyFill="1" applyBorder="1" applyAlignment="1">
      <alignment horizontal="center" vertical="center" wrapText="1"/>
    </xf>
    <xf numFmtId="43" fontId="15" fillId="3" borderId="17" xfId="0" applyNumberFormat="1" applyFont="1" applyFill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164" fontId="4" fillId="0" borderId="16" xfId="0" applyNumberFormat="1" applyFont="1" applyBorder="1" applyAlignment="1">
      <alignment vertical="center"/>
    </xf>
    <xf numFmtId="164" fontId="4" fillId="0" borderId="16" xfId="1" applyFont="1" applyBorder="1" applyAlignment="1">
      <alignment horizontal="center" vertical="top"/>
    </xf>
    <xf numFmtId="4" fontId="4" fillId="0" borderId="7" xfId="0" applyNumberFormat="1" applyFont="1" applyBorder="1" applyAlignment="1">
      <alignment horizontal="right"/>
    </xf>
    <xf numFmtId="164" fontId="4" fillId="0" borderId="7" xfId="1" applyFont="1" applyBorder="1" applyAlignment="1">
      <alignment horizontal="right" vertical="top"/>
    </xf>
    <xf numFmtId="164" fontId="10" fillId="0" borderId="7" xfId="1" applyFont="1" applyBorder="1" applyAlignment="1">
      <alignment vertical="center"/>
    </xf>
    <xf numFmtId="0" fontId="19" fillId="0" borderId="24" xfId="0" applyFont="1" applyBorder="1" applyAlignment="1">
      <alignment vertical="center"/>
    </xf>
    <xf numFmtId="0" fontId="19" fillId="0" borderId="25" xfId="0" applyFont="1" applyBorder="1" applyAlignment="1">
      <alignment vertical="center"/>
    </xf>
    <xf numFmtId="0" fontId="19" fillId="0" borderId="23" xfId="0" applyFont="1" applyBorder="1" applyAlignment="1">
      <alignment vertical="center"/>
    </xf>
    <xf numFmtId="164" fontId="0" fillId="0" borderId="0" xfId="0" applyNumberFormat="1"/>
    <xf numFmtId="43" fontId="0" fillId="0" borderId="7" xfId="0" applyNumberFormat="1" applyBorder="1"/>
    <xf numFmtId="164" fontId="22" fillId="0" borderId="27" xfId="1" applyFont="1" applyBorder="1" applyAlignment="1">
      <alignment horizontal="center"/>
    </xf>
    <xf numFmtId="0" fontId="0" fillId="0" borderId="16" xfId="0" applyBorder="1"/>
    <xf numFmtId="43" fontId="15" fillId="3" borderId="8" xfId="0" applyNumberFormat="1" applyFont="1" applyFill="1" applyBorder="1" applyAlignment="1">
      <alignment horizontal="center" vertical="center" wrapText="1"/>
    </xf>
    <xf numFmtId="43" fontId="15" fillId="3" borderId="8" xfId="0" applyNumberFormat="1" applyFont="1" applyFill="1" applyBorder="1" applyAlignment="1">
      <alignment horizontal="center" vertical="center"/>
    </xf>
    <xf numFmtId="164" fontId="4" fillId="0" borderId="12" xfId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4" fontId="4" fillId="0" borderId="9" xfId="1" applyFont="1" applyBorder="1" applyAlignment="1">
      <alignment horizontal="center" vertical="top"/>
    </xf>
    <xf numFmtId="164" fontId="4" fillId="0" borderId="9" xfId="1" applyFont="1" applyBorder="1" applyAlignment="1">
      <alignment vertical="center"/>
    </xf>
    <xf numFmtId="43" fontId="15" fillId="3" borderId="21" xfId="0" applyNumberFormat="1" applyFont="1" applyFill="1" applyBorder="1" applyAlignment="1">
      <alignment horizontal="center" vertical="center"/>
    </xf>
    <xf numFmtId="4" fontId="21" fillId="0" borderId="7" xfId="0" applyNumberFormat="1" applyFont="1" applyBorder="1"/>
    <xf numFmtId="43" fontId="4" fillId="0" borderId="16" xfId="0" applyNumberFormat="1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43" fontId="4" fillId="0" borderId="16" xfId="0" applyNumberFormat="1" applyFont="1" applyBorder="1" applyAlignment="1">
      <alignment horizontal="center" vertical="center" wrapText="1"/>
    </xf>
    <xf numFmtId="164" fontId="0" fillId="0" borderId="15" xfId="0" applyNumberFormat="1" applyBorder="1"/>
    <xf numFmtId="0" fontId="12" fillId="3" borderId="1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43" fontId="4" fillId="2" borderId="7" xfId="0" applyNumberFormat="1" applyFont="1" applyFill="1" applyBorder="1" applyAlignment="1">
      <alignment horizontal="center" vertical="center" wrapText="1"/>
    </xf>
    <xf numFmtId="43" fontId="4" fillId="2" borderId="7" xfId="0" applyNumberFormat="1" applyFont="1" applyFill="1" applyBorder="1" applyAlignment="1">
      <alignment horizontal="center" vertical="center"/>
    </xf>
    <xf numFmtId="43" fontId="6" fillId="2" borderId="7" xfId="0" applyNumberFormat="1" applyFont="1" applyFill="1" applyBorder="1" applyAlignment="1">
      <alignment horizontal="center" vertical="center"/>
    </xf>
    <xf numFmtId="2" fontId="11" fillId="0" borderId="7" xfId="0" applyNumberFormat="1" applyFont="1" applyBorder="1" applyAlignment="1">
      <alignment horizontal="center" vertical="center"/>
    </xf>
    <xf numFmtId="2" fontId="10" fillId="0" borderId="7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164" fontId="4" fillId="0" borderId="9" xfId="0" applyNumberFormat="1" applyFont="1" applyBorder="1" applyAlignment="1">
      <alignment vertical="center"/>
    </xf>
    <xf numFmtId="166" fontId="4" fillId="0" borderId="16" xfId="0" applyNumberFormat="1" applyFont="1" applyBorder="1" applyAlignment="1">
      <alignment horizontal="center"/>
    </xf>
    <xf numFmtId="2" fontId="4" fillId="0" borderId="16" xfId="0" applyNumberFormat="1" applyFont="1" applyBorder="1"/>
    <xf numFmtId="0" fontId="15" fillId="2" borderId="7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43" fontId="15" fillId="2" borderId="7" xfId="0" applyNumberFormat="1" applyFont="1" applyFill="1" applyBorder="1" applyAlignment="1">
      <alignment horizontal="center" vertical="center" wrapText="1"/>
    </xf>
    <xf numFmtId="43" fontId="15" fillId="2" borderId="7" xfId="0" applyNumberFormat="1" applyFont="1" applyFill="1" applyBorder="1" applyAlignment="1">
      <alignment horizontal="center" vertical="center"/>
    </xf>
    <xf numFmtId="164" fontId="4" fillId="0" borderId="7" xfId="0" applyNumberFormat="1" applyFont="1" applyBorder="1" applyAlignment="1">
      <alignment vertical="center"/>
    </xf>
    <xf numFmtId="2" fontId="5" fillId="4" borderId="16" xfId="0" applyNumberFormat="1" applyFont="1" applyFill="1" applyBorder="1" applyAlignment="1">
      <alignment horizontal="center" vertical="center"/>
    </xf>
    <xf numFmtId="164" fontId="5" fillId="4" borderId="16" xfId="1" applyFont="1" applyFill="1" applyBorder="1" applyAlignment="1">
      <alignment horizontal="center" vertical="center"/>
    </xf>
    <xf numFmtId="2" fontId="4" fillId="0" borderId="7" xfId="0" applyNumberFormat="1" applyFont="1" applyBorder="1" applyAlignment="1">
      <alignment horizontal="right"/>
    </xf>
    <xf numFmtId="164" fontId="5" fillId="0" borderId="7" xfId="1" applyFont="1" applyBorder="1" applyAlignment="1">
      <alignment horizontal="center" vertical="center" indent="1"/>
    </xf>
    <xf numFmtId="0" fontId="6" fillId="0" borderId="7" xfId="0" applyFont="1" applyBorder="1" applyAlignment="1">
      <alignment vertical="center"/>
    </xf>
    <xf numFmtId="164" fontId="4" fillId="0" borderId="7" xfId="0" applyNumberFormat="1" applyFont="1" applyBorder="1" applyAlignment="1">
      <alignment horizontal="center" vertical="center"/>
    </xf>
    <xf numFmtId="43" fontId="12" fillId="3" borderId="7" xfId="0" applyNumberFormat="1" applyFont="1" applyFill="1" applyBorder="1" applyAlignment="1">
      <alignment horizontal="center" vertical="center"/>
    </xf>
    <xf numFmtId="0" fontId="0" fillId="2" borderId="7" xfId="0" applyFill="1" applyBorder="1"/>
    <xf numFmtId="0" fontId="20" fillId="2" borderId="7" xfId="0" applyFont="1" applyFill="1" applyBorder="1"/>
    <xf numFmtId="2" fontId="0" fillId="2" borderId="7" xfId="0" applyNumberFormat="1" applyFill="1" applyBorder="1"/>
    <xf numFmtId="0" fontId="6" fillId="0" borderId="17" xfId="0" applyFont="1" applyBorder="1" applyAlignment="1">
      <alignment horizontal="center"/>
    </xf>
    <xf numFmtId="0" fontId="11" fillId="0" borderId="21" xfId="0" applyFont="1" applyBorder="1" applyAlignment="1">
      <alignment horizontal="center" vertical="center"/>
    </xf>
    <xf numFmtId="164" fontId="11" fillId="0" borderId="17" xfId="1" applyFont="1" applyBorder="1" applyAlignment="1">
      <alignment horizontal="center" vertical="center"/>
    </xf>
    <xf numFmtId="0" fontId="4" fillId="0" borderId="17" xfId="0" applyFont="1" applyBorder="1"/>
    <xf numFmtId="14" fontId="4" fillId="0" borderId="17" xfId="0" applyNumberFormat="1" applyFont="1" applyBorder="1" applyAlignment="1">
      <alignment horizontal="center"/>
    </xf>
    <xf numFmtId="2" fontId="4" fillId="0" borderId="17" xfId="0" applyNumberFormat="1" applyFont="1" applyBorder="1"/>
    <xf numFmtId="2" fontId="4" fillId="0" borderId="17" xfId="0" applyNumberFormat="1" applyFont="1" applyBorder="1" applyAlignment="1">
      <alignment horizontal="right"/>
    </xf>
    <xf numFmtId="43" fontId="6" fillId="2" borderId="17" xfId="0" applyNumberFormat="1" applyFont="1" applyFill="1" applyBorder="1" applyAlignment="1">
      <alignment horizontal="center" vertical="center"/>
    </xf>
    <xf numFmtId="43" fontId="0" fillId="0" borderId="0" xfId="0" applyNumberFormat="1"/>
    <xf numFmtId="0" fontId="4" fillId="0" borderId="16" xfId="0" applyFont="1" applyBorder="1" applyAlignment="1">
      <alignment horizontal="center" vertical="center"/>
    </xf>
    <xf numFmtId="2" fontId="15" fillId="3" borderId="17" xfId="0" applyNumberFormat="1" applyFont="1" applyFill="1" applyBorder="1" applyAlignment="1">
      <alignment horizontal="center" vertical="center"/>
    </xf>
    <xf numFmtId="0" fontId="4" fillId="0" borderId="7" xfId="1" applyNumberFormat="1" applyFont="1" applyBorder="1" applyAlignment="1">
      <alignment vertical="center"/>
    </xf>
    <xf numFmtId="0" fontId="4" fillId="0" borderId="15" xfId="0" applyFont="1" applyBorder="1"/>
    <xf numFmtId="2" fontId="5" fillId="0" borderId="0" xfId="0" applyNumberFormat="1" applyFont="1"/>
    <xf numFmtId="0" fontId="11" fillId="0" borderId="17" xfId="0" applyFont="1" applyBorder="1" applyAlignment="1">
      <alignment horizontal="center" vertical="center" wrapText="1"/>
    </xf>
    <xf numFmtId="2" fontId="10" fillId="4" borderId="10" xfId="0" applyNumberFormat="1" applyFont="1" applyFill="1" applyBorder="1" applyAlignment="1">
      <alignment horizontal="center" vertical="center"/>
    </xf>
    <xf numFmtId="2" fontId="10" fillId="4" borderId="0" xfId="0" applyNumberFormat="1" applyFont="1" applyFill="1" applyAlignment="1">
      <alignment horizontal="center" vertical="center"/>
    </xf>
    <xf numFmtId="164" fontId="10" fillId="4" borderId="0" xfId="1" applyFont="1" applyFill="1" applyBorder="1" applyAlignment="1">
      <alignment horizontal="center" vertical="center"/>
    </xf>
    <xf numFmtId="2" fontId="0" fillId="0" borderId="16" xfId="0" applyNumberFormat="1" applyBorder="1"/>
    <xf numFmtId="0" fontId="11" fillId="0" borderId="17" xfId="0" applyFont="1" applyBorder="1" applyAlignment="1">
      <alignment horizontal="center" vertical="center"/>
    </xf>
    <xf numFmtId="2" fontId="10" fillId="4" borderId="32" xfId="0" applyNumberFormat="1" applyFont="1" applyFill="1" applyBorder="1" applyAlignment="1">
      <alignment horizontal="center" vertical="center"/>
    </xf>
    <xf numFmtId="164" fontId="4" fillId="0" borderId="15" xfId="1" applyFont="1" applyBorder="1" applyAlignment="1">
      <alignment vertical="center"/>
    </xf>
    <xf numFmtId="164" fontId="4" fillId="0" borderId="17" xfId="1" applyFont="1" applyBorder="1" applyAlignment="1">
      <alignment horizontal="center" vertical="center"/>
    </xf>
    <xf numFmtId="164" fontId="4" fillId="0" borderId="20" xfId="1" applyFont="1" applyBorder="1" applyAlignment="1">
      <alignment horizontal="center" vertical="top"/>
    </xf>
    <xf numFmtId="164" fontId="4" fillId="4" borderId="16" xfId="1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right" vertical="center" wrapText="1"/>
    </xf>
    <xf numFmtId="0" fontId="0" fillId="0" borderId="7" xfId="0" applyBorder="1" applyAlignment="1">
      <alignment horizontal="right"/>
    </xf>
    <xf numFmtId="164" fontId="4" fillId="0" borderId="12" xfId="1" applyFont="1" applyBorder="1" applyAlignment="1">
      <alignment horizontal="right" vertical="center"/>
    </xf>
    <xf numFmtId="164" fontId="4" fillId="0" borderId="0" xfId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43" fontId="15" fillId="3" borderId="8" xfId="0" applyNumberFormat="1" applyFont="1" applyFill="1" applyBorder="1" applyAlignment="1">
      <alignment horizontal="right" vertical="center" wrapText="1"/>
    </xf>
    <xf numFmtId="164" fontId="4" fillId="0" borderId="9" xfId="1" applyFont="1" applyBorder="1" applyAlignment="1">
      <alignment horizontal="right" vertical="center"/>
    </xf>
    <xf numFmtId="0" fontId="4" fillId="0" borderId="7" xfId="3" applyNumberFormat="1" applyFont="1" applyBorder="1" applyAlignment="1">
      <alignment vertical="center"/>
    </xf>
    <xf numFmtId="3" fontId="4" fillId="0" borderId="7" xfId="3" applyNumberFormat="1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4" fillId="0" borderId="21" xfId="0" applyFont="1" applyBorder="1" applyAlignment="1">
      <alignment vertical="center"/>
    </xf>
    <xf numFmtId="0" fontId="4" fillId="0" borderId="17" xfId="0" applyFont="1" applyBorder="1" applyAlignment="1">
      <alignment vertical="center" wrapText="1"/>
    </xf>
    <xf numFmtId="2" fontId="4" fillId="4" borderId="16" xfId="0" applyNumberFormat="1" applyFont="1" applyFill="1" applyBorder="1" applyAlignment="1">
      <alignment horizontal="center" vertical="center"/>
    </xf>
    <xf numFmtId="164" fontId="4" fillId="0" borderId="17" xfId="1" applyFont="1" applyBorder="1" applyAlignment="1">
      <alignment vertical="center"/>
    </xf>
    <xf numFmtId="164" fontId="4" fillId="0" borderId="15" xfId="1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12" fillId="3" borderId="7" xfId="0" applyFont="1" applyFill="1" applyBorder="1" applyAlignment="1">
      <alignment horizontal="right" vertical="center" wrapText="1"/>
    </xf>
    <xf numFmtId="164" fontId="11" fillId="0" borderId="7" xfId="1" applyFont="1" applyBorder="1" applyAlignment="1">
      <alignment horizontal="right" vertical="center"/>
    </xf>
    <xf numFmtId="164" fontId="10" fillId="4" borderId="7" xfId="1" applyFont="1" applyFill="1" applyBorder="1" applyAlignment="1">
      <alignment horizontal="right" vertical="center"/>
    </xf>
    <xf numFmtId="164" fontId="10" fillId="4" borderId="0" xfId="1" applyFont="1" applyFill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4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0" fontId="4" fillId="0" borderId="16" xfId="0" applyFont="1" applyBorder="1" applyAlignment="1">
      <alignment horizontal="center"/>
    </xf>
    <xf numFmtId="1" fontId="4" fillId="0" borderId="16" xfId="0" applyNumberFormat="1" applyFont="1" applyBorder="1" applyAlignment="1">
      <alignment horizontal="center" vertical="center" wrapText="1"/>
    </xf>
    <xf numFmtId="165" fontId="4" fillId="0" borderId="17" xfId="0" applyNumberFormat="1" applyFont="1" applyBorder="1" applyAlignment="1">
      <alignment horizontal="center" vertical="center" wrapText="1"/>
    </xf>
    <xf numFmtId="2" fontId="19" fillId="0" borderId="7" xfId="0" applyNumberFormat="1" applyFont="1" applyBorder="1" applyAlignment="1">
      <alignment horizontal="center"/>
    </xf>
    <xf numFmtId="165" fontId="4" fillId="0" borderId="14" xfId="0" applyNumberFormat="1" applyFont="1" applyBorder="1" applyAlignment="1">
      <alignment horizontal="center" vertical="center"/>
    </xf>
    <xf numFmtId="164" fontId="11" fillId="0" borderId="14" xfId="1" applyFont="1" applyBorder="1" applyAlignment="1">
      <alignment horizontal="center" vertical="center"/>
    </xf>
    <xf numFmtId="164" fontId="11" fillId="0" borderId="15" xfId="1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right" vertical="center"/>
    </xf>
    <xf numFmtId="164" fontId="11" fillId="0" borderId="7" xfId="1" applyFont="1" applyBorder="1" applyAlignment="1">
      <alignment horizontal="left" vertical="top"/>
    </xf>
    <xf numFmtId="164" fontId="11" fillId="0" borderId="7" xfId="1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/>
    </xf>
    <xf numFmtId="164" fontId="10" fillId="0" borderId="17" xfId="1" applyFont="1" applyBorder="1" applyAlignment="1">
      <alignment horizontal="center" vertical="center"/>
    </xf>
    <xf numFmtId="0" fontId="11" fillId="0" borderId="17" xfId="0" applyFont="1" applyBorder="1"/>
    <xf numFmtId="164" fontId="11" fillId="0" borderId="17" xfId="0" applyNumberFormat="1" applyFont="1" applyBorder="1"/>
    <xf numFmtId="2" fontId="10" fillId="4" borderId="16" xfId="0" applyNumberFormat="1" applyFont="1" applyFill="1" applyBorder="1" applyAlignment="1">
      <alignment horizontal="center" vertical="center"/>
    </xf>
    <xf numFmtId="164" fontId="10" fillId="4" borderId="16" xfId="1" applyFont="1" applyFill="1" applyBorder="1" applyAlignment="1">
      <alignment horizontal="center" vertical="center"/>
    </xf>
    <xf numFmtId="0" fontId="14" fillId="0" borderId="7" xfId="3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4" fillId="0" borderId="21" xfId="3" applyNumberFormat="1" applyFont="1" applyBorder="1" applyAlignment="1">
      <alignment horizontal="center" vertical="center"/>
    </xf>
    <xf numFmtId="2" fontId="0" fillId="0" borderId="7" xfId="0" applyNumberFormat="1" applyBorder="1" applyAlignment="1">
      <alignment horizontal="center"/>
    </xf>
    <xf numFmtId="0" fontId="4" fillId="0" borderId="16" xfId="1" applyNumberFormat="1" applyFont="1" applyBorder="1" applyAlignment="1">
      <alignment vertical="center"/>
    </xf>
    <xf numFmtId="164" fontId="4" fillId="0" borderId="16" xfId="1" applyFont="1" applyBorder="1" applyAlignment="1">
      <alignment vertical="center"/>
    </xf>
    <xf numFmtId="2" fontId="6" fillId="2" borderId="7" xfId="0" applyNumberFormat="1" applyFont="1" applyFill="1" applyBorder="1" applyAlignment="1">
      <alignment horizontal="center" vertical="center"/>
    </xf>
    <xf numFmtId="166" fontId="24" fillId="0" borderId="7" xfId="0" applyNumberFormat="1" applyFont="1" applyBorder="1" applyAlignment="1">
      <alignment horizontal="center"/>
    </xf>
    <xf numFmtId="164" fontId="4" fillId="0" borderId="34" xfId="1" applyFont="1" applyBorder="1" applyAlignment="1">
      <alignment horizontal="center" vertical="center"/>
    </xf>
    <xf numFmtId="164" fontId="4" fillId="0" borderId="12" xfId="1" applyFont="1" applyBorder="1" applyAlignment="1">
      <alignment horizontal="center" vertical="top"/>
    </xf>
    <xf numFmtId="164" fontId="4" fillId="0" borderId="13" xfId="1" applyFont="1" applyBorder="1" applyAlignment="1">
      <alignment horizontal="center" vertical="top"/>
    </xf>
    <xf numFmtId="0" fontId="4" fillId="0" borderId="8" xfId="0" applyFont="1" applyBorder="1" applyAlignment="1">
      <alignment vertical="center"/>
    </xf>
    <xf numFmtId="0" fontId="4" fillId="0" borderId="34" xfId="0" applyFont="1" applyBorder="1" applyAlignment="1">
      <alignment vertical="center"/>
    </xf>
    <xf numFmtId="0" fontId="4" fillId="0" borderId="16" xfId="0" applyFont="1" applyBorder="1" applyAlignment="1">
      <alignment vertical="center" wrapText="1"/>
    </xf>
    <xf numFmtId="2" fontId="0" fillId="0" borderId="17" xfId="0" applyNumberFormat="1" applyBorder="1"/>
    <xf numFmtId="0" fontId="20" fillId="0" borderId="7" xfId="0" quotePrefix="1" applyFont="1" applyBorder="1"/>
    <xf numFmtId="0" fontId="15" fillId="2" borderId="4" xfId="0" applyFont="1" applyFill="1" applyBorder="1" applyAlignment="1">
      <alignment horizontal="center" vertical="center"/>
    </xf>
    <xf numFmtId="2" fontId="15" fillId="3" borderId="17" xfId="0" applyNumberFormat="1" applyFont="1" applyFill="1" applyBorder="1" applyAlignment="1">
      <alignment horizontal="center" vertical="center" wrapText="1"/>
    </xf>
    <xf numFmtId="2" fontId="0" fillId="0" borderId="17" xfId="0" applyNumberFormat="1" applyBorder="1" applyAlignment="1">
      <alignment horizontal="center"/>
    </xf>
    <xf numFmtId="0" fontId="15" fillId="2" borderId="17" xfId="0" applyFont="1" applyFill="1" applyBorder="1" applyAlignment="1">
      <alignment horizontal="center" vertical="center" wrapText="1"/>
    </xf>
    <xf numFmtId="164" fontId="11" fillId="0" borderId="20" xfId="1" applyFont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 vertical="center" wrapText="1"/>
    </xf>
    <xf numFmtId="164" fontId="10" fillId="0" borderId="17" xfId="1" applyFont="1" applyBorder="1" applyAlignment="1">
      <alignment vertical="center"/>
    </xf>
    <xf numFmtId="164" fontId="0" fillId="0" borderId="17" xfId="0" applyNumberFormat="1" applyBorder="1"/>
    <xf numFmtId="0" fontId="19" fillId="0" borderId="7" xfId="0" applyFont="1" applyBorder="1" applyAlignment="1">
      <alignment horizontal="center"/>
    </xf>
    <xf numFmtId="0" fontId="11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164" fontId="11" fillId="0" borderId="16" xfId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1" fontId="4" fillId="0" borderId="17" xfId="0" applyNumberFormat="1" applyFont="1" applyBorder="1" applyAlignment="1">
      <alignment horizontal="center" vertical="center"/>
    </xf>
    <xf numFmtId="165" fontId="4" fillId="0" borderId="29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/>
    </xf>
    <xf numFmtId="165" fontId="4" fillId="0" borderId="29" xfId="0" applyNumberFormat="1" applyFont="1" applyBorder="1" applyAlignment="1">
      <alignment horizontal="center"/>
    </xf>
    <xf numFmtId="166" fontId="4" fillId="0" borderId="35" xfId="0" applyNumberFormat="1" applyFont="1" applyBorder="1" applyAlignment="1">
      <alignment horizontal="center"/>
    </xf>
    <xf numFmtId="166" fontId="24" fillId="0" borderId="17" xfId="0" applyNumberFormat="1" applyFont="1" applyBorder="1" applyAlignment="1">
      <alignment horizontal="center"/>
    </xf>
    <xf numFmtId="164" fontId="4" fillId="0" borderId="33" xfId="1" applyFont="1" applyBorder="1" applyAlignment="1">
      <alignment horizontal="center" vertical="center"/>
    </xf>
    <xf numFmtId="2" fontId="4" fillId="0" borderId="35" xfId="0" applyNumberFormat="1" applyFont="1" applyBorder="1"/>
    <xf numFmtId="164" fontId="4" fillId="0" borderId="20" xfId="1" applyFont="1" applyBorder="1" applyAlignment="1">
      <alignment horizontal="center" vertical="center"/>
    </xf>
    <xf numFmtId="164" fontId="4" fillId="0" borderId="5" xfId="1" applyFont="1" applyBorder="1" applyAlignment="1">
      <alignment vertical="center"/>
    </xf>
    <xf numFmtId="165" fontId="4" fillId="0" borderId="36" xfId="0" applyNumberFormat="1" applyFont="1" applyBorder="1" applyAlignment="1">
      <alignment horizontal="center"/>
    </xf>
    <xf numFmtId="0" fontId="0" fillId="0" borderId="26" xfId="0" applyBorder="1"/>
    <xf numFmtId="0" fontId="4" fillId="0" borderId="14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43" fontId="23" fillId="0" borderId="7" xfId="0" applyNumberFormat="1" applyFont="1" applyBorder="1"/>
    <xf numFmtId="165" fontId="15" fillId="3" borderId="17" xfId="0" applyNumberFormat="1" applyFont="1" applyFill="1" applyBorder="1" applyAlignment="1">
      <alignment horizontal="center" vertical="center" wrapText="1"/>
    </xf>
    <xf numFmtId="0" fontId="20" fillId="0" borderId="16" xfId="0" applyFont="1" applyBorder="1"/>
    <xf numFmtId="0" fontId="20" fillId="0" borderId="16" xfId="0" quotePrefix="1" applyFont="1" applyBorder="1"/>
    <xf numFmtId="15" fontId="20" fillId="2" borderId="7" xfId="0" applyNumberFormat="1" applyFont="1" applyFill="1" applyBorder="1"/>
    <xf numFmtId="2" fontId="20" fillId="0" borderId="17" xfId="0" applyNumberFormat="1" applyFont="1" applyBorder="1"/>
    <xf numFmtId="1" fontId="0" fillId="0" borderId="7" xfId="0" applyNumberFormat="1" applyBorder="1"/>
    <xf numFmtId="0" fontId="20" fillId="0" borderId="17" xfId="0" applyFont="1" applyBorder="1"/>
    <xf numFmtId="0" fontId="20" fillId="0" borderId="17" xfId="0" quotePrefix="1" applyFont="1" applyBorder="1"/>
    <xf numFmtId="0" fontId="6" fillId="0" borderId="17" xfId="0" applyFont="1" applyBorder="1"/>
    <xf numFmtId="0" fontId="0" fillId="0" borderId="7" xfId="0" quotePrefix="1" applyBorder="1"/>
    <xf numFmtId="0" fontId="0" fillId="5" borderId="0" xfId="0" applyFill="1"/>
    <xf numFmtId="0" fontId="25" fillId="0" borderId="0" xfId="0" applyFont="1"/>
    <xf numFmtId="2" fontId="12" fillId="3" borderId="7" xfId="0" applyNumberFormat="1" applyFont="1" applyFill="1" applyBorder="1" applyAlignment="1">
      <alignment horizontal="center" vertical="center" wrapText="1"/>
    </xf>
    <xf numFmtId="2" fontId="10" fillId="0" borderId="17" xfId="1" applyNumberFormat="1" applyFont="1" applyBorder="1" applyAlignment="1">
      <alignment vertical="center"/>
    </xf>
    <xf numFmtId="2" fontId="10" fillId="4" borderId="7" xfId="1" applyNumberFormat="1" applyFont="1" applyFill="1" applyBorder="1" applyAlignment="1">
      <alignment horizontal="right" vertical="center"/>
    </xf>
    <xf numFmtId="0" fontId="0" fillId="0" borderId="17" xfId="0" quotePrefix="1" applyBorder="1"/>
    <xf numFmtId="0" fontId="0" fillId="0" borderId="16" xfId="0" quotePrefix="1" applyBorder="1"/>
    <xf numFmtId="2" fontId="15" fillId="3" borderId="8" xfId="0" applyNumberFormat="1" applyFont="1" applyFill="1" applyBorder="1" applyAlignment="1">
      <alignment horizontal="center" vertical="center" wrapText="1"/>
    </xf>
    <xf numFmtId="2" fontId="15" fillId="3" borderId="8" xfId="0" applyNumberFormat="1" applyFont="1" applyFill="1" applyBorder="1" applyAlignment="1">
      <alignment horizontal="center" vertical="center"/>
    </xf>
    <xf numFmtId="2" fontId="19" fillId="0" borderId="17" xfId="0" applyNumberFormat="1" applyFont="1" applyBorder="1" applyAlignment="1">
      <alignment horizontal="center"/>
    </xf>
    <xf numFmtId="0" fontId="19" fillId="0" borderId="17" xfId="0" applyFont="1" applyBorder="1"/>
    <xf numFmtId="0" fontId="26" fillId="0" borderId="0" xfId="0" applyFont="1"/>
    <xf numFmtId="2" fontId="4" fillId="0" borderId="7" xfId="0" applyNumberFormat="1" applyFont="1" applyBorder="1" applyAlignment="1">
      <alignment horizontal="center" vertical="center"/>
    </xf>
    <xf numFmtId="0" fontId="0" fillId="0" borderId="30" xfId="0" applyBorder="1"/>
    <xf numFmtId="2" fontId="12" fillId="3" borderId="7" xfId="0" applyNumberFormat="1" applyFont="1" applyFill="1" applyBorder="1" applyAlignment="1">
      <alignment horizontal="right" vertical="center" wrapText="1"/>
    </xf>
    <xf numFmtId="2" fontId="10" fillId="4" borderId="7" xfId="1" applyNumberFormat="1" applyFont="1" applyFill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/>
    </xf>
    <xf numFmtId="0" fontId="12" fillId="3" borderId="17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right" vertical="center" wrapText="1"/>
    </xf>
    <xf numFmtId="0" fontId="0" fillId="0" borderId="29" xfId="0" applyBorder="1"/>
    <xf numFmtId="0" fontId="7" fillId="0" borderId="17" xfId="0" applyFont="1" applyBorder="1" applyAlignment="1">
      <alignment horizontal="center"/>
    </xf>
    <xf numFmtId="0" fontId="0" fillId="0" borderId="7" xfId="0" applyBorder="1" applyAlignment="1">
      <alignment wrapText="1"/>
    </xf>
    <xf numFmtId="0" fontId="20" fillId="0" borderId="7" xfId="0" applyFont="1" applyBorder="1" applyAlignment="1">
      <alignment wrapText="1"/>
    </xf>
    <xf numFmtId="164" fontId="11" fillId="6" borderId="7" xfId="1" applyFont="1" applyFill="1" applyBorder="1" applyAlignment="1">
      <alignment horizontal="left" vertical="top"/>
    </xf>
    <xf numFmtId="0" fontId="0" fillId="0" borderId="17" xfId="0" applyBorder="1" applyAlignment="1">
      <alignment wrapText="1"/>
    </xf>
    <xf numFmtId="1" fontId="0" fillId="0" borderId="17" xfId="0" applyNumberFormat="1" applyBorder="1"/>
    <xf numFmtId="2" fontId="4" fillId="2" borderId="7" xfId="0" applyNumberFormat="1" applyFont="1" applyFill="1" applyBorder="1"/>
    <xf numFmtId="1" fontId="4" fillId="0" borderId="7" xfId="0" applyNumberFormat="1" applyFont="1" applyBorder="1" applyAlignment="1">
      <alignment horizontal="right"/>
    </xf>
    <xf numFmtId="164" fontId="4" fillId="6" borderId="7" xfId="1" applyFont="1" applyFill="1" applyBorder="1" applyAlignment="1">
      <alignment horizontal="center" vertical="center"/>
    </xf>
    <xf numFmtId="2" fontId="4" fillId="0" borderId="16" xfId="0" applyNumberFormat="1" applyFont="1" applyBorder="1" applyAlignment="1">
      <alignment vertical="center" wrapText="1"/>
    </xf>
    <xf numFmtId="164" fontId="4" fillId="2" borderId="7" xfId="1" applyFont="1" applyFill="1" applyBorder="1" applyAlignment="1">
      <alignment horizontal="center" vertical="center"/>
    </xf>
    <xf numFmtId="2" fontId="0" fillId="0" borderId="29" xfId="0" applyNumberFormat="1" applyBorder="1"/>
    <xf numFmtId="0" fontId="27" fillId="7" borderId="37" xfId="0" applyFont="1" applyFill="1" applyBorder="1"/>
    <xf numFmtId="0" fontId="27" fillId="7" borderId="38" xfId="0" applyFont="1" applyFill="1" applyBorder="1"/>
    <xf numFmtId="2" fontId="27" fillId="7" borderId="38" xfId="0" applyNumberFormat="1" applyFont="1" applyFill="1" applyBorder="1"/>
    <xf numFmtId="2" fontId="27" fillId="7" borderId="39" xfId="0" applyNumberFormat="1" applyFont="1" applyFill="1" applyBorder="1"/>
    <xf numFmtId="2" fontId="0" fillId="0" borderId="0" xfId="0" applyNumberFormat="1" applyAlignment="1">
      <alignment wrapText="1"/>
    </xf>
    <xf numFmtId="164" fontId="11" fillId="6" borderId="7" xfId="1" applyFont="1" applyFill="1" applyBorder="1" applyAlignment="1">
      <alignment horizontal="center" vertical="center"/>
    </xf>
    <xf numFmtId="43" fontId="11" fillId="0" borderId="0" xfId="0" applyNumberFormat="1" applyFont="1" applyAlignment="1">
      <alignment horizontal="center" vertical="center"/>
    </xf>
    <xf numFmtId="0" fontId="28" fillId="8" borderId="7" xfId="0" applyFont="1" applyFill="1" applyBorder="1"/>
    <xf numFmtId="2" fontId="28" fillId="8" borderId="7" xfId="0" applyNumberFormat="1" applyFont="1" applyFill="1" applyBorder="1"/>
    <xf numFmtId="2" fontId="19" fillId="8" borderId="7" xfId="0" applyNumberFormat="1" applyFont="1" applyFill="1" applyBorder="1"/>
    <xf numFmtId="0" fontId="5" fillId="0" borderId="0" xfId="0" applyFont="1" applyAlignment="1">
      <alignment horizontal="center" vertical="center"/>
    </xf>
    <xf numFmtId="0" fontId="16" fillId="5" borderId="13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9" fillId="0" borderId="14" xfId="0" applyFont="1" applyBorder="1" applyAlignment="1">
      <alignment horizontal="center"/>
    </xf>
    <xf numFmtId="0" fontId="19" fillId="0" borderId="26" xfId="0" applyFont="1" applyBorder="1" applyAlignment="1">
      <alignment horizontal="center"/>
    </xf>
    <xf numFmtId="0" fontId="19" fillId="0" borderId="31" xfId="0" applyFont="1" applyBorder="1" applyAlignment="1">
      <alignment horizontal="center"/>
    </xf>
    <xf numFmtId="0" fontId="19" fillId="0" borderId="30" xfId="0" applyFont="1" applyBorder="1" applyAlignment="1">
      <alignment horizontal="center"/>
    </xf>
    <xf numFmtId="0" fontId="15" fillId="5" borderId="1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16" fillId="5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6" fillId="5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6" fillId="5" borderId="7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/>
    </xf>
    <xf numFmtId="0" fontId="17" fillId="5" borderId="13" xfId="0" applyFont="1" applyFill="1" applyBorder="1" applyAlignment="1">
      <alignment horizontal="center"/>
    </xf>
    <xf numFmtId="0" fontId="15" fillId="5" borderId="7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5" fillId="5" borderId="17" xfId="0" applyFont="1" applyFill="1" applyBorder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/>
    </xf>
    <xf numFmtId="0" fontId="5" fillId="2" borderId="14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43" fontId="5" fillId="2" borderId="14" xfId="0" applyNumberFormat="1" applyFont="1" applyFill="1" applyBorder="1" applyAlignment="1">
      <alignment horizontal="center" vertical="center"/>
    </xf>
    <xf numFmtId="43" fontId="5" fillId="2" borderId="15" xfId="0" applyNumberFormat="1" applyFont="1" applyFill="1" applyBorder="1" applyAlignment="1">
      <alignment horizontal="center" vertical="center"/>
    </xf>
    <xf numFmtId="0" fontId="16" fillId="5" borderId="7" xfId="0" applyFont="1" applyFill="1" applyBorder="1" applyAlignment="1">
      <alignment horizontal="center" wrapText="1"/>
    </xf>
    <xf numFmtId="0" fontId="10" fillId="0" borderId="7" xfId="0" applyFont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1" fillId="4" borderId="26" xfId="0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2" fontId="16" fillId="5" borderId="7" xfId="0" applyNumberFormat="1" applyFont="1" applyFill="1" applyBorder="1" applyAlignment="1">
      <alignment horizontal="center" vertical="center"/>
    </xf>
    <xf numFmtId="2" fontId="5" fillId="2" borderId="7" xfId="0" applyNumberFormat="1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wrapText="1"/>
    </xf>
    <xf numFmtId="0" fontId="5" fillId="0" borderId="26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0" xfId="0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" fillId="0" borderId="7" xfId="0" applyFont="1" applyBorder="1"/>
    <xf numFmtId="2" fontId="1" fillId="0" borderId="7" xfId="0" applyNumberFormat="1" applyFont="1" applyBorder="1"/>
    <xf numFmtId="2" fontId="1" fillId="2" borderId="7" xfId="0" applyNumberFormat="1" applyFont="1" applyFill="1" applyBorder="1"/>
    <xf numFmtId="0" fontId="1" fillId="0" borderId="7" xfId="0" applyFont="1" applyBorder="1" applyAlignment="1">
      <alignment wrapText="1"/>
    </xf>
    <xf numFmtId="2" fontId="1" fillId="9" borderId="7" xfId="0" applyNumberFormat="1" applyFont="1" applyFill="1" applyBorder="1"/>
  </cellXfs>
  <cellStyles count="4">
    <cellStyle name="Comma" xfId="1" builtinId="3"/>
    <cellStyle name="Comma 3" xfId="2" xr:uid="{00000000-0005-0000-0000-000001000000}"/>
    <cellStyle name="Comma 4" xfId="3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S" id="{E9E36FE2-C816-4F37-A6AF-71C6FC4EDE34}" userId="S::mis@civetprojects.com::385d0a88-2879-4baf-a915-f9a0490de5d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0T06:29:26.01" personId="{E9E36FE2-C816-4F37-A6AF-71C6FC4EDE34}" id="{DDFF1128-3E11-4B89-825A-C4B55E1F70FD}">
    <text>Hosadurga Site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6" dT="2025-03-03T11:39:16.70" personId="{E9E36FE2-C816-4F37-A6AF-71C6FC4EDE34}" id="{005B654B-14DD-4E5F-B907-C5F0EF585D51}">
    <text>Redemption Amount</text>
  </threadedComment>
</ThreadedComment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47DD2-34E3-44B6-A6D9-FC6E07BE9F3B}">
  <dimension ref="B1:AQ53"/>
  <sheetViews>
    <sheetView tabSelected="1" workbookViewId="0">
      <pane ySplit="1" topLeftCell="A23" activePane="bottomLeft" state="frozen"/>
      <selection pane="bottomLeft" activeCell="F30" sqref="F30"/>
    </sheetView>
  </sheetViews>
  <sheetFormatPr defaultRowHeight="15"/>
  <cols>
    <col min="2" max="2" width="5.7109375" customWidth="1"/>
    <col min="3" max="3" width="24.140625" customWidth="1"/>
    <col min="4" max="4" width="31" bestFit="1" customWidth="1"/>
    <col min="5" max="5" width="20.7109375" customWidth="1"/>
    <col min="6" max="6" width="15.28515625" customWidth="1"/>
    <col min="7" max="7" width="14" customWidth="1"/>
    <col min="8" max="8" width="14.140625" customWidth="1"/>
    <col min="9" max="9" width="14.42578125" customWidth="1"/>
    <col min="10" max="10" width="15.140625" customWidth="1"/>
    <col min="11" max="11" width="16.7109375" customWidth="1"/>
    <col min="12" max="12" width="15.42578125" customWidth="1"/>
    <col min="14" max="14" width="11.85546875" customWidth="1"/>
    <col min="43" max="43" width="36.5703125" bestFit="1" customWidth="1"/>
  </cols>
  <sheetData>
    <row r="1" spans="2:43" ht="21" customHeight="1">
      <c r="B1" s="361" t="s">
        <v>0</v>
      </c>
      <c r="C1" s="362" t="s">
        <v>1</v>
      </c>
      <c r="D1" s="362" t="s">
        <v>2</v>
      </c>
      <c r="E1" s="363" t="s">
        <v>3</v>
      </c>
      <c r="F1" s="363" t="s">
        <v>4</v>
      </c>
      <c r="G1" s="363" t="s">
        <v>5</v>
      </c>
      <c r="H1" s="363" t="s">
        <v>6</v>
      </c>
      <c r="I1" s="363" t="s">
        <v>7</v>
      </c>
      <c r="J1" s="363" t="s">
        <v>8</v>
      </c>
      <c r="K1" s="363" t="s">
        <v>9</v>
      </c>
      <c r="L1" s="364" t="s">
        <v>10</v>
      </c>
    </row>
    <row r="2" spans="2:43" ht="15" customHeight="1">
      <c r="B2" s="421">
        <v>1</v>
      </c>
      <c r="C2" s="421" t="s">
        <v>11</v>
      </c>
      <c r="D2" s="421" t="s">
        <v>12</v>
      </c>
      <c r="E2" s="422">
        <v>12220.080000000002</v>
      </c>
      <c r="F2" s="422">
        <v>1169706.0575999999</v>
      </c>
      <c r="G2" s="422">
        <v>0</v>
      </c>
      <c r="H2" s="422">
        <v>0</v>
      </c>
      <c r="I2" s="422">
        <f>F2+H2</f>
        <v>1169706.0575999999</v>
      </c>
      <c r="J2" s="422">
        <v>3313230.76</v>
      </c>
      <c r="K2" s="422">
        <v>4483000</v>
      </c>
      <c r="L2" s="422">
        <f>J2+I2-K2</f>
        <v>-63.182400000281632</v>
      </c>
    </row>
    <row r="3" spans="2:43" ht="15" customHeight="1">
      <c r="B3" s="421">
        <v>2</v>
      </c>
      <c r="C3" s="421" t="s">
        <v>13</v>
      </c>
      <c r="D3" s="421" t="s">
        <v>14</v>
      </c>
      <c r="E3" s="422">
        <v>42729.96</v>
      </c>
      <c r="F3" s="422">
        <v>4088402.5728000002</v>
      </c>
      <c r="G3" s="422">
        <v>405</v>
      </c>
      <c r="H3" s="422">
        <v>43521.299999999988</v>
      </c>
      <c r="I3" s="422">
        <f>F3+H3</f>
        <v>4131923.8728</v>
      </c>
      <c r="J3" s="422">
        <v>5180732.49</v>
      </c>
      <c r="K3" s="422">
        <v>9092357.3000000007</v>
      </c>
      <c r="L3" s="422">
        <f>J3+I3-K3</f>
        <v>220299.06279999949</v>
      </c>
    </row>
    <row r="4" spans="2:43" ht="15" customHeight="1">
      <c r="B4" s="421">
        <v>3</v>
      </c>
      <c r="C4" s="421" t="s">
        <v>15</v>
      </c>
      <c r="D4" s="421" t="s">
        <v>16</v>
      </c>
      <c r="E4" s="422">
        <v>110106.57</v>
      </c>
      <c r="F4" s="422">
        <v>10537198.749</v>
      </c>
      <c r="G4" s="422">
        <v>625</v>
      </c>
      <c r="H4" s="422">
        <v>67427.7</v>
      </c>
      <c r="I4" s="422">
        <f>F4+H4</f>
        <v>10604626.448999999</v>
      </c>
      <c r="J4" s="422">
        <v>0</v>
      </c>
      <c r="K4" s="422">
        <v>10122365</v>
      </c>
      <c r="L4" s="423">
        <f>J4+I4-K4</f>
        <v>482261.44899999909</v>
      </c>
    </row>
    <row r="5" spans="2:43" ht="15" customHeight="1">
      <c r="B5" s="421">
        <v>4</v>
      </c>
      <c r="C5" s="421" t="s">
        <v>17</v>
      </c>
      <c r="D5" s="421" t="s">
        <v>18</v>
      </c>
      <c r="E5" s="422">
        <v>26892.789999999997</v>
      </c>
      <c r="F5" s="422">
        <v>2575146.4998000003</v>
      </c>
      <c r="G5" s="422">
        <v>0</v>
      </c>
      <c r="H5" s="422">
        <v>0</v>
      </c>
      <c r="I5" s="422">
        <f>F5+H5</f>
        <v>2575146.4998000003</v>
      </c>
      <c r="J5" s="422">
        <v>0</v>
      </c>
      <c r="K5" s="422">
        <v>2575146.5</v>
      </c>
      <c r="L5" s="422">
        <f>J5+I5-K5</f>
        <v>-1.9999966025352478E-4</v>
      </c>
    </row>
    <row r="6" spans="2:43" ht="15" customHeight="1">
      <c r="B6" s="421">
        <v>5</v>
      </c>
      <c r="C6" s="421" t="s">
        <v>19</v>
      </c>
      <c r="D6" s="330" t="s">
        <v>20</v>
      </c>
      <c r="E6" s="422">
        <v>2360</v>
      </c>
      <c r="F6" s="422">
        <v>225804.79999999999</v>
      </c>
      <c r="G6" s="422">
        <v>55</v>
      </c>
      <c r="H6" s="422">
        <v>5910.2999999999993</v>
      </c>
      <c r="I6" s="422">
        <f>F6+H6</f>
        <v>231715.09999999998</v>
      </c>
      <c r="J6" s="422">
        <v>0</v>
      </c>
      <c r="K6" s="422">
        <v>0</v>
      </c>
      <c r="L6" s="422">
        <f>J6+I6-K6</f>
        <v>231715.09999999998</v>
      </c>
    </row>
    <row r="7" spans="2:43" ht="15" customHeight="1">
      <c r="B7" s="421">
        <v>6</v>
      </c>
      <c r="C7" s="421" t="s">
        <v>21</v>
      </c>
      <c r="D7" s="421" t="s">
        <v>22</v>
      </c>
      <c r="E7" s="422">
        <v>3575.81</v>
      </c>
      <c r="F7" s="422">
        <v>344779.60019999999</v>
      </c>
      <c r="G7" s="422">
        <v>233.81</v>
      </c>
      <c r="H7" s="422">
        <v>25305.256300000001</v>
      </c>
      <c r="I7" s="422">
        <f>F7+H7</f>
        <v>370084.85649999999</v>
      </c>
      <c r="J7" s="422">
        <v>2258771.7116000005</v>
      </c>
      <c r="K7" s="422">
        <v>2600000</v>
      </c>
      <c r="L7" s="422">
        <f>J7+I7-K7</f>
        <v>28856.568100000732</v>
      </c>
    </row>
    <row r="8" spans="2:43" ht="15" customHeight="1">
      <c r="B8" s="421">
        <v>7</v>
      </c>
      <c r="C8" s="421" t="s">
        <v>23</v>
      </c>
      <c r="D8" s="421" t="s">
        <v>24</v>
      </c>
      <c r="E8" s="422">
        <v>500</v>
      </c>
      <c r="F8" s="422">
        <v>48155</v>
      </c>
      <c r="G8" s="422">
        <v>0</v>
      </c>
      <c r="H8" s="422">
        <v>0</v>
      </c>
      <c r="I8" s="422">
        <f>F8+H8</f>
        <v>48155</v>
      </c>
      <c r="J8" s="422">
        <v>2288095.9975999994</v>
      </c>
      <c r="K8" s="422">
        <v>2336254</v>
      </c>
      <c r="L8" s="422">
        <f>J8+I8-K8</f>
        <v>-3.0024000005796552</v>
      </c>
      <c r="Q8" t="s">
        <v>16</v>
      </c>
    </row>
    <row r="9" spans="2:43" ht="15" customHeight="1">
      <c r="B9" s="421">
        <v>8</v>
      </c>
      <c r="C9" s="421" t="s">
        <v>25</v>
      </c>
      <c r="D9" s="421" t="s">
        <v>26</v>
      </c>
      <c r="E9" s="422">
        <v>2400</v>
      </c>
      <c r="F9" s="422">
        <v>230712</v>
      </c>
      <c r="G9" s="422">
        <v>0</v>
      </c>
      <c r="H9" s="422">
        <v>0</v>
      </c>
      <c r="I9" s="422">
        <f>F9+H9</f>
        <v>230712</v>
      </c>
      <c r="J9" s="422">
        <v>2708358.93</v>
      </c>
      <c r="K9" s="422">
        <v>2939071</v>
      </c>
      <c r="L9" s="422">
        <f>J9+I9-K9</f>
        <v>-6.9999999832361937E-2</v>
      </c>
      <c r="N9" s="24"/>
    </row>
    <row r="10" spans="2:43" ht="15" customHeight="1">
      <c r="B10" s="421">
        <v>9</v>
      </c>
      <c r="C10" s="421" t="s">
        <v>27</v>
      </c>
      <c r="D10" s="421" t="s">
        <v>28</v>
      </c>
      <c r="E10" s="422">
        <v>4629.3600000000006</v>
      </c>
      <c r="F10" s="422">
        <v>446390.05560000002</v>
      </c>
      <c r="G10" s="422">
        <v>10</v>
      </c>
      <c r="H10" s="422">
        <v>1081.2</v>
      </c>
      <c r="I10" s="422">
        <f>F10+H10</f>
        <v>447471.25560000003</v>
      </c>
      <c r="J10" s="422">
        <v>0</v>
      </c>
      <c r="K10" s="422">
        <v>447471.25560000003</v>
      </c>
      <c r="L10" s="422">
        <f>J10+I10-K10</f>
        <v>0</v>
      </c>
    </row>
    <row r="11" spans="2:43" ht="15" customHeight="1">
      <c r="B11" s="421">
        <v>10</v>
      </c>
      <c r="C11" s="421" t="s">
        <v>29</v>
      </c>
      <c r="D11" s="421" t="s">
        <v>30</v>
      </c>
      <c r="E11" s="422">
        <v>18335.530000000006</v>
      </c>
      <c r="F11" s="422">
        <v>1766811.6707999997</v>
      </c>
      <c r="G11" s="422">
        <v>154.62</v>
      </c>
      <c r="H11" s="422">
        <v>16725.245400000003</v>
      </c>
      <c r="I11" s="422">
        <f>F11+H11</f>
        <v>1783536.9161999996</v>
      </c>
      <c r="J11" s="422">
        <v>666085.35</v>
      </c>
      <c r="K11" s="422">
        <v>2349240.2675999999</v>
      </c>
      <c r="L11" s="422">
        <f>J11+I11-K11</f>
        <v>100381.99859999958</v>
      </c>
    </row>
    <row r="12" spans="2:43" ht="15" customHeight="1">
      <c r="B12" s="421">
        <v>11</v>
      </c>
      <c r="C12" s="421" t="s">
        <v>31</v>
      </c>
      <c r="D12" s="421" t="s">
        <v>32</v>
      </c>
      <c r="E12" s="422">
        <v>9500</v>
      </c>
      <c r="F12" s="422">
        <v>848255</v>
      </c>
      <c r="G12" s="422">
        <v>560</v>
      </c>
      <c r="H12" s="422">
        <v>57814.399999999994</v>
      </c>
      <c r="I12" s="422">
        <f>F12+H12</f>
        <v>906069.4</v>
      </c>
      <c r="J12" s="422">
        <v>392848.31</v>
      </c>
      <c r="K12" s="422">
        <v>1136281.0300000003</v>
      </c>
      <c r="L12" s="422">
        <f>J12+I12-K12</f>
        <v>162636.6799999997</v>
      </c>
    </row>
    <row r="13" spans="2:43" ht="15" customHeight="1">
      <c r="B13" s="421">
        <v>12</v>
      </c>
      <c r="C13" s="421" t="s">
        <v>33</v>
      </c>
      <c r="D13" s="421" t="s">
        <v>34</v>
      </c>
      <c r="E13" s="422">
        <v>4941.5</v>
      </c>
      <c r="F13" s="422">
        <v>443647.87</v>
      </c>
      <c r="G13" s="422">
        <v>408.08</v>
      </c>
      <c r="H13" s="422">
        <v>42440.32</v>
      </c>
      <c r="I13" s="422">
        <f>F13+H13</f>
        <v>486088.19</v>
      </c>
      <c r="J13" s="422">
        <v>351855.22039999999</v>
      </c>
      <c r="K13" s="422">
        <v>837943.41</v>
      </c>
      <c r="L13" s="423">
        <f>J13+I13-K13</f>
        <v>3.999999025836587E-4</v>
      </c>
    </row>
    <row r="14" spans="2:43" ht="15" customHeight="1">
      <c r="B14" s="421">
        <v>13</v>
      </c>
      <c r="C14" s="424" t="s">
        <v>35</v>
      </c>
      <c r="D14" s="421" t="s">
        <v>36</v>
      </c>
      <c r="E14" s="422">
        <v>3253.69</v>
      </c>
      <c r="F14" s="422">
        <v>293580.44870000001</v>
      </c>
      <c r="G14" s="422">
        <v>210</v>
      </c>
      <c r="H14" s="422">
        <v>21869.4</v>
      </c>
      <c r="I14" s="422">
        <f>F14+H14</f>
        <v>315449.84870000003</v>
      </c>
      <c r="J14" s="422">
        <v>110810.51139999999</v>
      </c>
      <c r="K14" s="422">
        <v>405456.24920000008</v>
      </c>
      <c r="L14" s="422">
        <f>J14+I14-K14</f>
        <v>20804.110899999971</v>
      </c>
    </row>
    <row r="15" spans="2:43" ht="15" customHeight="1">
      <c r="B15" s="421">
        <v>14</v>
      </c>
      <c r="C15" s="421" t="s">
        <v>37</v>
      </c>
      <c r="D15" s="421" t="s">
        <v>38</v>
      </c>
      <c r="E15" s="422">
        <v>11345</v>
      </c>
      <c r="F15" s="422">
        <v>1022751.75</v>
      </c>
      <c r="G15" s="422">
        <v>210</v>
      </c>
      <c r="H15" s="422">
        <v>21896.7</v>
      </c>
      <c r="I15" s="422">
        <f>F15+H15</f>
        <v>1044648.45</v>
      </c>
      <c r="J15" s="422">
        <v>1142944.1100000001</v>
      </c>
      <c r="K15" s="422">
        <v>1810271.3599999999</v>
      </c>
      <c r="L15" s="422">
        <f>J15+I15-K15</f>
        <v>377321.20000000019</v>
      </c>
    </row>
    <row r="16" spans="2:43" ht="15" customHeight="1">
      <c r="B16" s="421">
        <v>15</v>
      </c>
      <c r="C16" s="421" t="s">
        <v>39</v>
      </c>
      <c r="D16" s="421" t="s">
        <v>40</v>
      </c>
      <c r="E16" s="422">
        <v>3521.63</v>
      </c>
      <c r="F16" s="422">
        <v>317791.89120000001</v>
      </c>
      <c r="G16" s="422">
        <v>272.07</v>
      </c>
      <c r="H16" s="422">
        <v>28333.3698</v>
      </c>
      <c r="I16" s="422">
        <f>F16+H16</f>
        <v>346125.261</v>
      </c>
      <c r="J16" s="422">
        <v>139004.19999999995</v>
      </c>
      <c r="K16" s="422">
        <v>485129.46</v>
      </c>
      <c r="L16" s="422">
        <f>J16+I16-K16</f>
        <v>9.9999993108212948E-4</v>
      </c>
      <c r="AQ16" s="117" t="s">
        <v>41</v>
      </c>
    </row>
    <row r="17" spans="2:14" ht="15" customHeight="1">
      <c r="B17" s="421">
        <v>16</v>
      </c>
      <c r="C17" s="421" t="s">
        <v>42</v>
      </c>
      <c r="D17" s="421" t="s">
        <v>43</v>
      </c>
      <c r="E17" s="422">
        <v>1280</v>
      </c>
      <c r="F17" s="422">
        <v>115494.39999999999</v>
      </c>
      <c r="G17" s="422">
        <v>35</v>
      </c>
      <c r="H17" s="422">
        <v>3644.9</v>
      </c>
      <c r="I17" s="422">
        <f>F17+H17</f>
        <v>119139.29999999999</v>
      </c>
      <c r="J17" s="422">
        <v>0</v>
      </c>
      <c r="K17" s="422">
        <v>119139.3</v>
      </c>
      <c r="L17" s="422">
        <f>J17+I17-K17</f>
        <v>0</v>
      </c>
    </row>
    <row r="18" spans="2:14" ht="15" customHeight="1">
      <c r="B18" s="421">
        <v>17</v>
      </c>
      <c r="C18" s="421" t="s">
        <v>44</v>
      </c>
      <c r="D18" s="421" t="s">
        <v>45</v>
      </c>
      <c r="E18" s="422">
        <v>458.67</v>
      </c>
      <c r="F18" s="422">
        <v>40817.076300000008</v>
      </c>
      <c r="G18" s="422">
        <v>59.2</v>
      </c>
      <c r="H18" s="422">
        <v>6086.2267000000002</v>
      </c>
      <c r="I18" s="422">
        <f>F18+H18</f>
        <v>46903.303000000007</v>
      </c>
      <c r="J18" s="422">
        <v>0</v>
      </c>
      <c r="K18" s="422">
        <v>46903.3</v>
      </c>
      <c r="L18" s="422">
        <f>J18+I18-K18</f>
        <v>3.0000000042491592E-3</v>
      </c>
    </row>
    <row r="19" spans="2:14" ht="15" customHeight="1">
      <c r="B19" s="421">
        <v>18</v>
      </c>
      <c r="C19" s="421" t="s">
        <v>46</v>
      </c>
      <c r="D19" s="421" t="s">
        <v>47</v>
      </c>
      <c r="E19" s="422">
        <v>3243.44</v>
      </c>
      <c r="F19" s="422">
        <v>289524.1544</v>
      </c>
      <c r="G19" s="422">
        <v>77.47</v>
      </c>
      <c r="H19" s="422">
        <v>7993.3545999999997</v>
      </c>
      <c r="I19" s="422">
        <f>F19+H19</f>
        <v>297517.50900000002</v>
      </c>
      <c r="J19" s="422">
        <v>56200.690600000016</v>
      </c>
      <c r="K19" s="422">
        <v>353718.19900000008</v>
      </c>
      <c r="L19" s="422">
        <f>J19+I19-K19</f>
        <v>5.9999997029080987E-4</v>
      </c>
    </row>
    <row r="20" spans="2:14" ht="15" customHeight="1">
      <c r="B20" s="421">
        <v>19</v>
      </c>
      <c r="C20" s="421" t="s">
        <v>48</v>
      </c>
      <c r="D20" s="421" t="s">
        <v>49</v>
      </c>
      <c r="E20" s="422">
        <v>2022.7</v>
      </c>
      <c r="F20" s="422">
        <v>181537.32499999998</v>
      </c>
      <c r="G20" s="422">
        <v>35</v>
      </c>
      <c r="H20" s="422">
        <v>3630.55</v>
      </c>
      <c r="I20" s="422">
        <f>F20+H20</f>
        <v>185167.87499999997</v>
      </c>
      <c r="J20" s="422">
        <v>33436.269999999997</v>
      </c>
      <c r="K20" s="422">
        <v>209109.5975</v>
      </c>
      <c r="L20" s="423">
        <f>J20+I20-K20</f>
        <v>9494.5474999999569</v>
      </c>
    </row>
    <row r="21" spans="2:14" ht="15" customHeight="1">
      <c r="B21" s="421">
        <v>20</v>
      </c>
      <c r="C21" s="421" t="s">
        <v>50</v>
      </c>
      <c r="D21" s="421" t="s">
        <v>51</v>
      </c>
      <c r="E21" s="422">
        <v>3332.32</v>
      </c>
      <c r="F21" s="422">
        <v>299608.89119999995</v>
      </c>
      <c r="G21" s="422">
        <v>151.56</v>
      </c>
      <c r="H21" s="422">
        <v>15745.568400000002</v>
      </c>
      <c r="I21" s="422">
        <v>315354.4596</v>
      </c>
      <c r="J21" s="422">
        <v>239480.43340000015</v>
      </c>
      <c r="K21" s="422">
        <v>522626.79690000007</v>
      </c>
      <c r="L21" s="425">
        <f>J21+I21-K21</f>
        <v>32208.096100000083</v>
      </c>
      <c r="M21">
        <v>32202</v>
      </c>
      <c r="N21" s="24">
        <f>M21-L21</f>
        <v>-6.0961000000825152</v>
      </c>
    </row>
    <row r="22" spans="2:14" ht="15" customHeight="1">
      <c r="B22" s="421">
        <v>21</v>
      </c>
      <c r="C22" s="421" t="s">
        <v>52</v>
      </c>
      <c r="D22" s="421" t="s">
        <v>53</v>
      </c>
      <c r="E22" s="422">
        <v>562.16</v>
      </c>
      <c r="F22" s="422">
        <v>50359.492800000007</v>
      </c>
      <c r="G22" s="422">
        <v>18.73</v>
      </c>
      <c r="H22" s="422">
        <v>1939.1169</v>
      </c>
      <c r="I22" s="422">
        <f>F22+H22</f>
        <v>52298.609700000008</v>
      </c>
      <c r="J22" s="422">
        <v>0</v>
      </c>
      <c r="K22" s="422">
        <v>52298.61</v>
      </c>
      <c r="L22" s="422">
        <f>J22+I22-K22</f>
        <v>-2.9999999242136255E-4</v>
      </c>
    </row>
    <row r="23" spans="2:14" ht="15" customHeight="1">
      <c r="B23" s="421">
        <v>22</v>
      </c>
      <c r="C23" s="421" t="s">
        <v>54</v>
      </c>
      <c r="D23" s="421" t="s">
        <v>55</v>
      </c>
      <c r="E23" s="422">
        <v>1686.44</v>
      </c>
      <c r="F23" s="422">
        <v>151610.95600000001</v>
      </c>
      <c r="G23" s="422">
        <v>67.53</v>
      </c>
      <c r="H23" s="422">
        <v>7020.4188000000004</v>
      </c>
      <c r="I23" s="422">
        <f>F23+H23</f>
        <v>158631.37480000002</v>
      </c>
      <c r="J23" s="422">
        <v>0</v>
      </c>
      <c r="K23" s="422">
        <v>158631.37</v>
      </c>
      <c r="L23" s="422">
        <f>J23+I23-K23</f>
        <v>4.8000000242609531E-3</v>
      </c>
    </row>
    <row r="24" spans="2:14" ht="15" customHeight="1">
      <c r="B24" s="421">
        <v>23</v>
      </c>
      <c r="C24" s="421" t="s">
        <v>56</v>
      </c>
      <c r="D24" s="421" t="s">
        <v>57</v>
      </c>
      <c r="E24" s="422">
        <v>747.56</v>
      </c>
      <c r="F24" s="422">
        <v>68237.033099999986</v>
      </c>
      <c r="G24" s="422">
        <v>24.439999999999998</v>
      </c>
      <c r="H24" s="422">
        <v>2564.8160000000003</v>
      </c>
      <c r="I24" s="422">
        <f>F24+H24</f>
        <v>70801.849099999992</v>
      </c>
      <c r="J24" s="422">
        <v>6304.1610999999994</v>
      </c>
      <c r="K24" s="422">
        <v>76319.223700000002</v>
      </c>
      <c r="L24" s="422">
        <f>J24+I24-K24</f>
        <v>786.78649999998743</v>
      </c>
    </row>
    <row r="25" spans="2:14" ht="15" customHeight="1">
      <c r="B25" s="421">
        <v>24</v>
      </c>
      <c r="C25" s="421" t="s">
        <v>58</v>
      </c>
      <c r="D25" s="421" t="s">
        <v>59</v>
      </c>
      <c r="E25" s="422">
        <v>13000</v>
      </c>
      <c r="F25" s="422">
        <v>1184820</v>
      </c>
      <c r="G25" s="422">
        <v>110</v>
      </c>
      <c r="H25" s="422">
        <v>11506</v>
      </c>
      <c r="I25" s="422">
        <f>F25+H25</f>
        <v>1196326</v>
      </c>
      <c r="J25" s="422">
        <v>2207102.67</v>
      </c>
      <c r="K25" s="422">
        <v>3035205</v>
      </c>
      <c r="L25" s="422">
        <f>J25+I25-K25</f>
        <v>368223.66999999993</v>
      </c>
      <c r="N25" s="24"/>
    </row>
    <row r="26" spans="2:14" ht="15" customHeight="1">
      <c r="B26" s="421">
        <v>25</v>
      </c>
      <c r="C26" s="421" t="s">
        <v>60</v>
      </c>
      <c r="D26" s="421" t="s">
        <v>61</v>
      </c>
      <c r="E26" s="422">
        <v>1684.2499999999998</v>
      </c>
      <c r="F26" s="422">
        <v>150689.8475</v>
      </c>
      <c r="G26" s="422">
        <v>55</v>
      </c>
      <c r="H26" s="422">
        <v>5687</v>
      </c>
      <c r="I26" s="422">
        <f>F26+H26</f>
        <v>156376.8475</v>
      </c>
      <c r="J26" s="422"/>
      <c r="K26" s="422">
        <v>156376.85</v>
      </c>
      <c r="L26" s="422">
        <f>J26+I26-K26</f>
        <v>-2.5000000023283064E-3</v>
      </c>
    </row>
    <row r="27" spans="2:14" ht="15" customHeight="1">
      <c r="B27" s="421">
        <v>26</v>
      </c>
      <c r="C27" s="421" t="s">
        <v>62</v>
      </c>
      <c r="D27" s="421" t="s">
        <v>63</v>
      </c>
      <c r="E27" s="422">
        <v>1090</v>
      </c>
      <c r="F27" s="422">
        <v>97860.199999999983</v>
      </c>
      <c r="G27" s="422">
        <v>40</v>
      </c>
      <c r="H27" s="422">
        <v>4150.4000000000005</v>
      </c>
      <c r="I27" s="422">
        <f>F27+H27</f>
        <v>102010.59999999998</v>
      </c>
      <c r="J27" s="422"/>
      <c r="K27" s="422">
        <v>102010.6</v>
      </c>
      <c r="L27" s="422">
        <f>J27+I27-K27</f>
        <v>0</v>
      </c>
    </row>
    <row r="28" spans="2:14" ht="15" customHeight="1">
      <c r="B28" s="421">
        <v>27</v>
      </c>
      <c r="C28" s="421" t="s">
        <v>64</v>
      </c>
      <c r="D28" s="421" t="s">
        <v>65</v>
      </c>
      <c r="E28" s="422">
        <v>699.21</v>
      </c>
      <c r="F28" s="422">
        <v>62976.126599999996</v>
      </c>
      <c r="G28" s="422">
        <v>50</v>
      </c>
      <c r="H28" s="422">
        <v>5201</v>
      </c>
      <c r="I28" s="422">
        <f>F28+H28</f>
        <v>68177.126599999989</v>
      </c>
      <c r="J28" s="422"/>
      <c r="K28" s="422">
        <v>68177.13</v>
      </c>
      <c r="L28" s="422">
        <f>J28+I28-K28</f>
        <v>-3.4000000159721822E-3</v>
      </c>
    </row>
    <row r="29" spans="2:14" ht="15" customHeight="1">
      <c r="B29" s="421">
        <v>28</v>
      </c>
      <c r="C29" s="421" t="s">
        <v>66</v>
      </c>
      <c r="D29" s="421" t="s">
        <v>67</v>
      </c>
      <c r="E29" s="422">
        <v>254.85</v>
      </c>
      <c r="F29" s="422">
        <v>22888.078500000003</v>
      </c>
      <c r="G29" s="422">
        <v>70</v>
      </c>
      <c r="H29" s="422">
        <v>7266</v>
      </c>
      <c r="I29" s="422">
        <f>F29+H29</f>
        <v>30154.078500000003</v>
      </c>
      <c r="J29" s="422">
        <v>145754.91899999999</v>
      </c>
      <c r="K29" s="422">
        <v>174352</v>
      </c>
      <c r="L29" s="422">
        <f>J29+I29-K29</f>
        <v>1556.9974999999977</v>
      </c>
    </row>
    <row r="30" spans="2:14" ht="15" customHeight="1">
      <c r="B30" s="421">
        <v>29</v>
      </c>
      <c r="C30" s="422" t="s">
        <v>68</v>
      </c>
      <c r="D30" s="422" t="s">
        <v>69</v>
      </c>
      <c r="E30" s="422">
        <v>7444.42</v>
      </c>
      <c r="F30" s="422">
        <v>666201.14579999994</v>
      </c>
      <c r="G30" s="422">
        <v>201</v>
      </c>
      <c r="H30" s="422">
        <v>20787.419999999998</v>
      </c>
      <c r="I30" s="422">
        <f>F30+H30</f>
        <v>686988.56579999998</v>
      </c>
      <c r="J30" s="422">
        <v>893165.41</v>
      </c>
      <c r="K30" s="422">
        <v>1504799.2300000002</v>
      </c>
      <c r="L30" s="422">
        <f>J30+I30-K30</f>
        <v>75354.745799999917</v>
      </c>
    </row>
    <row r="31" spans="2:14" ht="15" customHeight="1">
      <c r="B31" s="421">
        <v>30</v>
      </c>
      <c r="C31" s="422" t="s">
        <v>70</v>
      </c>
      <c r="D31" s="422" t="s">
        <v>71</v>
      </c>
      <c r="E31" s="422">
        <v>2889.4500000000003</v>
      </c>
      <c r="F31" s="422">
        <v>258760.47870000001</v>
      </c>
      <c r="G31" s="422">
        <v>49.07</v>
      </c>
      <c r="H31" s="422">
        <v>5078.2542999999987</v>
      </c>
      <c r="I31" s="422">
        <f>F31+H31</f>
        <v>263838.73300000001</v>
      </c>
      <c r="J31" s="422"/>
      <c r="K31" s="422">
        <v>263838.73</v>
      </c>
      <c r="L31" s="422">
        <f>J31+I31-K31</f>
        <v>3.0000000260770321E-3</v>
      </c>
    </row>
    <row r="32" spans="2:14" ht="15" customHeight="1">
      <c r="B32" s="421">
        <v>31</v>
      </c>
      <c r="C32" s="422" t="s">
        <v>72</v>
      </c>
      <c r="D32" s="422" t="s">
        <v>73</v>
      </c>
      <c r="E32" s="422">
        <v>1210.08</v>
      </c>
      <c r="F32" s="422">
        <v>108265.8576</v>
      </c>
      <c r="G32" s="422">
        <v>0</v>
      </c>
      <c r="H32" s="422">
        <v>0</v>
      </c>
      <c r="I32" s="422">
        <f>F32+H32</f>
        <v>108265.8576</v>
      </c>
      <c r="J32" s="422">
        <v>187662.92</v>
      </c>
      <c r="K32" s="422">
        <v>278362</v>
      </c>
      <c r="L32" s="422">
        <f>J32+I32-K32</f>
        <v>17566.77760000003</v>
      </c>
    </row>
    <row r="33" spans="2:12" ht="15" customHeight="1">
      <c r="B33" s="421">
        <v>32</v>
      </c>
      <c r="C33" s="422" t="s">
        <v>74</v>
      </c>
      <c r="D33" s="422" t="s">
        <v>75</v>
      </c>
      <c r="E33" s="422">
        <v>273.78999999999996</v>
      </c>
      <c r="F33" s="422">
        <v>24567.1767</v>
      </c>
      <c r="G33" s="422">
        <v>0</v>
      </c>
      <c r="H33" s="422">
        <v>0</v>
      </c>
      <c r="I33" s="422">
        <f>F33+H33</f>
        <v>24567.1767</v>
      </c>
      <c r="J33" s="422">
        <v>0</v>
      </c>
      <c r="K33" s="422">
        <v>24567.18</v>
      </c>
      <c r="L33" s="422">
        <f>J33+I33-K33</f>
        <v>-3.3000000003085006E-3</v>
      </c>
    </row>
    <row r="34" spans="2:12" ht="15" customHeight="1">
      <c r="B34" s="421">
        <v>33</v>
      </c>
      <c r="C34" s="422" t="s">
        <v>76</v>
      </c>
      <c r="D34" s="422" t="s">
        <v>77</v>
      </c>
      <c r="E34" s="422">
        <v>488.45000000000005</v>
      </c>
      <c r="F34" s="422">
        <v>43540.432999999997</v>
      </c>
      <c r="G34" s="422">
        <v>64.849999999999994</v>
      </c>
      <c r="H34" s="422">
        <v>6698.5424999999996</v>
      </c>
      <c r="I34" s="422">
        <f>F34+H34</f>
        <v>50238.9755</v>
      </c>
      <c r="J34" s="422">
        <v>0</v>
      </c>
      <c r="K34" s="422">
        <v>50238.98</v>
      </c>
      <c r="L34" s="422">
        <f>J34+I34-K34</f>
        <v>-4.5000000027357601E-3</v>
      </c>
    </row>
    <row r="35" spans="2:12" ht="15" customHeight="1">
      <c r="B35" s="421">
        <v>34</v>
      </c>
      <c r="C35" s="422" t="s">
        <v>78</v>
      </c>
      <c r="D35" s="422" t="s">
        <v>79</v>
      </c>
      <c r="E35" s="422">
        <v>690.19999999999993</v>
      </c>
      <c r="F35" s="422">
        <v>61774.397999999994</v>
      </c>
      <c r="G35" s="422">
        <v>47.53</v>
      </c>
      <c r="H35" s="422">
        <v>4416.6220000000003</v>
      </c>
      <c r="I35" s="422">
        <f>F35+H35</f>
        <v>66191.01999999999</v>
      </c>
      <c r="J35" s="422">
        <v>0</v>
      </c>
      <c r="K35" s="422">
        <v>66191.02</v>
      </c>
      <c r="L35" s="422">
        <f>J35+I35-K35</f>
        <v>0</v>
      </c>
    </row>
    <row r="36" spans="2:12" ht="15" customHeight="1">
      <c r="B36" s="421">
        <v>35</v>
      </c>
      <c r="C36" s="422" t="s">
        <v>80</v>
      </c>
      <c r="D36" s="422" t="s">
        <v>81</v>
      </c>
      <c r="E36" s="422">
        <v>2498.9700000000003</v>
      </c>
      <c r="F36" s="422">
        <v>222983.09309999994</v>
      </c>
      <c r="G36" s="422">
        <v>68.2</v>
      </c>
      <c r="H36" s="422">
        <v>7034.1889999999994</v>
      </c>
      <c r="I36" s="422">
        <f>F36+H36</f>
        <v>230017.28209999995</v>
      </c>
      <c r="J36" s="422">
        <v>238166.78909999994</v>
      </c>
      <c r="K36" s="422">
        <v>457679.15680000011</v>
      </c>
      <c r="L36" s="422">
        <f>J36+I36-K36</f>
        <v>10504.914399999776</v>
      </c>
    </row>
    <row r="37" spans="2:12" ht="15" customHeight="1">
      <c r="B37" s="421">
        <v>36</v>
      </c>
      <c r="C37" s="422" t="s">
        <v>82</v>
      </c>
      <c r="D37" s="422" t="s">
        <v>83</v>
      </c>
      <c r="E37" s="422">
        <v>466.2</v>
      </c>
      <c r="F37" s="422">
        <v>41594.363999999994</v>
      </c>
      <c r="G37" s="422">
        <v>4.8499999999999996</v>
      </c>
      <c r="H37" s="422">
        <v>500.27749999999997</v>
      </c>
      <c r="I37" s="422">
        <f>F37+H37</f>
        <v>42094.641499999991</v>
      </c>
      <c r="J37" s="422">
        <v>0</v>
      </c>
      <c r="K37" s="422">
        <v>42094.64</v>
      </c>
      <c r="L37" s="422">
        <f>J37+I37-K37</f>
        <v>1.4999999912106432E-3</v>
      </c>
    </row>
    <row r="38" spans="2:12" ht="15" customHeight="1">
      <c r="B38" s="421">
        <v>37</v>
      </c>
      <c r="C38" s="422" t="s">
        <v>84</v>
      </c>
      <c r="D38" s="422" t="s">
        <v>85</v>
      </c>
      <c r="E38" s="422">
        <v>1344.34</v>
      </c>
      <c r="F38" s="422">
        <v>120336.36960000001</v>
      </c>
      <c r="G38" s="422">
        <v>63.13</v>
      </c>
      <c r="H38" s="422">
        <v>6529.7807000000003</v>
      </c>
      <c r="I38" s="422">
        <f>F38+H38</f>
        <v>126866.15030000001</v>
      </c>
      <c r="J38" s="422">
        <v>0</v>
      </c>
      <c r="K38" s="422">
        <v>126866.15</v>
      </c>
      <c r="L38" s="422">
        <f>J38+I38-K38</f>
        <v>3.0000001424923539E-4</v>
      </c>
    </row>
    <row r="39" spans="2:12" ht="15" customHeight="1">
      <c r="B39" s="421">
        <v>38</v>
      </c>
      <c r="C39" s="422" t="s">
        <v>86</v>
      </c>
      <c r="D39" s="422" t="s">
        <v>87</v>
      </c>
      <c r="E39" s="422">
        <v>978.68000000000006</v>
      </c>
      <c r="F39" s="422">
        <v>87467.484399999987</v>
      </c>
      <c r="G39" s="422">
        <v>39.040000000000006</v>
      </c>
      <c r="H39" s="422">
        <v>3531.4920000000006</v>
      </c>
      <c r="I39" s="422">
        <f>F39+H39</f>
        <v>90998.976399999985</v>
      </c>
      <c r="J39" s="422">
        <v>0</v>
      </c>
      <c r="K39" s="422">
        <v>90998.98</v>
      </c>
      <c r="L39" s="422">
        <f>J39+I39-K39</f>
        <v>-3.6000000109197572E-3</v>
      </c>
    </row>
    <row r="40" spans="2:12" ht="15" customHeight="1">
      <c r="B40" s="421">
        <v>39</v>
      </c>
      <c r="C40" s="422" t="s">
        <v>88</v>
      </c>
      <c r="D40" s="422" t="s">
        <v>89</v>
      </c>
      <c r="E40" s="422">
        <v>0</v>
      </c>
      <c r="F40" s="422">
        <v>0</v>
      </c>
      <c r="G40" s="422">
        <v>17.759999999999998</v>
      </c>
      <c r="H40" s="422">
        <v>1819.6895999999999</v>
      </c>
      <c r="I40" s="422">
        <f>F40+H40</f>
        <v>1819.6895999999999</v>
      </c>
      <c r="J40" s="422">
        <v>0</v>
      </c>
      <c r="K40" s="422">
        <v>1819.69</v>
      </c>
      <c r="L40" s="422">
        <f>J40+I40-K40</f>
        <v>-4.0000000012696546E-4</v>
      </c>
    </row>
    <row r="41" spans="2:12" ht="15" customHeight="1">
      <c r="B41" s="368"/>
      <c r="C41" s="368" t="s">
        <v>90</v>
      </c>
      <c r="D41" s="368"/>
      <c r="E41" s="369">
        <f>SUM(E2:E40)</f>
        <v>304658.10000000003</v>
      </c>
      <c r="F41" s="369">
        <f>SUM(F2:F40)</f>
        <v>28711048.347999994</v>
      </c>
      <c r="G41" s="369">
        <f t="shared" ref="G41:H41" si="0">SUM(G2:G40)</f>
        <v>4492.9400000000005</v>
      </c>
      <c r="H41" s="369">
        <f t="shared" si="0"/>
        <v>471156.81050000002</v>
      </c>
      <c r="I41" s="369">
        <f>SUM(I2:I40)</f>
        <v>29182205.158500005</v>
      </c>
      <c r="J41" s="369">
        <f>SUM(J2:J40)</f>
        <v>22560011.854199994</v>
      </c>
      <c r="K41" s="369">
        <f>SUM(K2:K40)</f>
        <v>49602310.566299975</v>
      </c>
      <c r="L41" s="370">
        <f>I41+J41-K41</f>
        <v>2139906.446400024</v>
      </c>
    </row>
    <row r="43" spans="2:12">
      <c r="I43" s="121">
        <f>SUM(I5:I42)</f>
        <v>42458153.937600002</v>
      </c>
      <c r="J43" s="121">
        <f>SUM(J5:J42)</f>
        <v>36626060.458399996</v>
      </c>
      <c r="K43" s="121">
        <f>SUM(K5:K42)</f>
        <v>75506898.832599983</v>
      </c>
      <c r="L43" s="24">
        <f>I43+J43-K43</f>
        <v>3577315.5634000152</v>
      </c>
    </row>
    <row r="45" spans="2:12">
      <c r="I45">
        <v>28974894.763900001</v>
      </c>
      <c r="J45">
        <v>22555613.170399994</v>
      </c>
      <c r="K45">
        <v>49600471.156299978</v>
      </c>
      <c r="L45">
        <f>I45+J45-K45</f>
        <v>1930036.778000012</v>
      </c>
    </row>
    <row r="46" spans="2:12">
      <c r="L46">
        <v>1917159.3844999978</v>
      </c>
    </row>
    <row r="47" spans="2:12">
      <c r="L47">
        <f>L45-L46</f>
        <v>12877.393500014208</v>
      </c>
    </row>
    <row r="48" spans="2:12">
      <c r="I48" s="365"/>
    </row>
    <row r="50" spans="9:9">
      <c r="I50" s="24"/>
    </row>
    <row r="53" spans="9:9">
      <c r="I53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3D3CE-8BB6-47EA-925B-E14889CAF485}">
  <dimension ref="A1"/>
  <sheetViews>
    <sheetView workbookViewId="0">
      <selection activeCell="G24" sqref="G24"/>
    </sheetView>
  </sheetViews>
  <sheetFormatPr defaultRowHeight="15"/>
  <cols>
    <col min="1" max="1" width="10.42578125" bestFit="1" customWidth="1"/>
  </cols>
  <sheetData>
    <row r="1" spans="1:1">
      <c r="A1" s="24">
        <f>'Khammam-1'!E35+'Khammam-2'!E36+'Khammam-3'!E35+'Khammam-4'!E36+'Khammam-5'!E4+'Jedcherla -1'!E35+'Jedcherla-2'!E35+'Jedcherla-3'!E35</f>
        <v>200785.21000000002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79681-750A-402D-B1B7-693CAD315F78}">
  <dimension ref="A1:P44"/>
  <sheetViews>
    <sheetView workbookViewId="0">
      <pane ySplit="2" topLeftCell="A22" activePane="bottomLeft" state="frozen"/>
      <selection pane="bottomLeft" activeCell="Q24" sqref="Q24"/>
    </sheetView>
  </sheetViews>
  <sheetFormatPr defaultRowHeight="15"/>
  <cols>
    <col min="1" max="1" width="4.7109375" style="63" bestFit="1" customWidth="1"/>
    <col min="2" max="2" width="10.42578125" style="63" bestFit="1" customWidth="1"/>
    <col min="3" max="3" width="7.140625" style="63" bestFit="1" customWidth="1"/>
    <col min="4" max="4" width="16" style="63" bestFit="1" customWidth="1"/>
    <col min="5" max="5" width="9.7109375" style="63" bestFit="1" customWidth="1"/>
    <col min="6" max="6" width="11.5703125" style="63" bestFit="1" customWidth="1"/>
    <col min="7" max="7" width="11.85546875" style="63" bestFit="1" customWidth="1"/>
    <col min="8" max="8" width="10.42578125" style="63" bestFit="1" customWidth="1"/>
    <col min="9" max="9" width="7.140625" style="63" bestFit="1" customWidth="1"/>
    <col min="10" max="10" width="10.85546875" style="69" bestFit="1" customWidth="1"/>
    <col min="11" max="11" width="11.85546875" style="63" bestFit="1" customWidth="1"/>
    <col min="12" max="12" width="12.42578125" style="69" bestFit="1" customWidth="1"/>
    <col min="13" max="13" width="12.42578125" style="69" customWidth="1"/>
    <col min="14" max="14" width="17.7109375" style="63" bestFit="1" customWidth="1"/>
    <col min="15" max="15" width="9.140625" style="63"/>
    <col min="16" max="16" width="11.85546875" style="63" bestFit="1" customWidth="1"/>
    <col min="17" max="16384" width="9.140625" style="63"/>
  </cols>
  <sheetData>
    <row r="1" spans="1:16">
      <c r="A1" s="378" t="s">
        <v>32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</row>
    <row r="2" spans="1:16">
      <c r="A2" s="112" t="s">
        <v>91</v>
      </c>
      <c r="B2" s="113" t="s">
        <v>92</v>
      </c>
      <c r="C2" s="113" t="s">
        <v>93</v>
      </c>
      <c r="D2" s="113" t="s">
        <v>94</v>
      </c>
      <c r="E2" s="113" t="s">
        <v>95</v>
      </c>
      <c r="F2" s="113" t="s">
        <v>96</v>
      </c>
      <c r="G2" s="113" t="s">
        <v>97</v>
      </c>
      <c r="H2" s="113" t="s">
        <v>98</v>
      </c>
      <c r="I2" s="113" t="s">
        <v>96</v>
      </c>
      <c r="J2" s="139" t="s">
        <v>97</v>
      </c>
      <c r="K2" s="113" t="s">
        <v>99</v>
      </c>
      <c r="L2" s="139" t="s">
        <v>100</v>
      </c>
      <c r="M2" s="138" t="s">
        <v>101</v>
      </c>
      <c r="N2" s="114" t="s">
        <v>102</v>
      </c>
      <c r="O2" s="36"/>
    </row>
    <row r="3" spans="1:16">
      <c r="A3" s="374" t="s">
        <v>103</v>
      </c>
      <c r="B3" s="375"/>
      <c r="C3" s="375"/>
      <c r="D3" s="375"/>
      <c r="E3" s="375"/>
      <c r="F3" s="375"/>
      <c r="G3" s="375"/>
      <c r="H3" s="375"/>
      <c r="I3" s="375"/>
      <c r="J3" s="379"/>
      <c r="K3" s="31">
        <v>392848.31</v>
      </c>
      <c r="L3" s="64"/>
      <c r="M3" s="140">
        <f>+K3</f>
        <v>392848.31</v>
      </c>
      <c r="N3" s="64"/>
      <c r="O3" s="36"/>
      <c r="P3" s="67">
        <v>392848.31000000006</v>
      </c>
    </row>
    <row r="4" spans="1:16">
      <c r="A4" s="28">
        <v>1</v>
      </c>
      <c r="B4" s="29">
        <v>45717</v>
      </c>
      <c r="C4" s="65" t="s">
        <v>104</v>
      </c>
      <c r="D4" s="66" t="s">
        <v>104</v>
      </c>
      <c r="E4" s="65">
        <v>0</v>
      </c>
      <c r="F4" s="65"/>
      <c r="G4" s="64">
        <f t="shared" ref="G4:G18" si="0">E4*F4</f>
        <v>0</v>
      </c>
      <c r="H4" s="65">
        <v>0</v>
      </c>
      <c r="I4" s="65"/>
      <c r="J4" s="67">
        <f t="shared" ref="J4:J18" si="1">H4*I4</f>
        <v>0</v>
      </c>
      <c r="K4" s="64">
        <f t="shared" ref="K4:K18" si="2">G4+J4</f>
        <v>0</v>
      </c>
      <c r="L4" s="135"/>
      <c r="M4" s="67">
        <f>M3+K4-L4</f>
        <v>392848.31</v>
      </c>
      <c r="N4" s="130"/>
    </row>
    <row r="5" spans="1:16">
      <c r="A5" s="28">
        <v>2</v>
      </c>
      <c r="B5" s="294">
        <v>45718</v>
      </c>
      <c r="C5" s="65" t="s">
        <v>104</v>
      </c>
      <c r="D5" s="66" t="s">
        <v>104</v>
      </c>
      <c r="E5" s="65">
        <v>0</v>
      </c>
      <c r="F5" s="65"/>
      <c r="G5" s="64">
        <f t="shared" ref="G5:G33" si="3">E5*F5</f>
        <v>0</v>
      </c>
      <c r="H5" s="65">
        <v>0</v>
      </c>
      <c r="I5" s="65"/>
      <c r="J5" s="67">
        <f t="shared" ref="J5:J33" si="4">H5*I5</f>
        <v>0</v>
      </c>
      <c r="K5" s="64">
        <f t="shared" ref="K5:K33" si="5">G5+J5</f>
        <v>0</v>
      </c>
      <c r="L5" s="135"/>
      <c r="M5" s="67">
        <f t="shared" ref="M5:M34" si="6">M4+K5-L5</f>
        <v>392848.31</v>
      </c>
      <c r="N5" s="130"/>
    </row>
    <row r="6" spans="1:16">
      <c r="A6" s="28">
        <v>3</v>
      </c>
      <c r="B6" s="29">
        <v>45719</v>
      </c>
      <c r="C6" s="65" t="s">
        <v>104</v>
      </c>
      <c r="D6" s="66" t="s">
        <v>104</v>
      </c>
      <c r="E6" s="65">
        <v>1000</v>
      </c>
      <c r="F6" s="65">
        <v>89.29</v>
      </c>
      <c r="G6" s="64">
        <f t="shared" si="3"/>
        <v>89290</v>
      </c>
      <c r="H6" s="65">
        <v>80</v>
      </c>
      <c r="I6" s="65">
        <v>103.24</v>
      </c>
      <c r="J6" s="67">
        <f t="shared" si="4"/>
        <v>8259.1999999999989</v>
      </c>
      <c r="K6" s="64">
        <f t="shared" si="5"/>
        <v>97549.2</v>
      </c>
      <c r="L6" s="135">
        <v>199981.4</v>
      </c>
      <c r="M6" s="67">
        <f t="shared" si="6"/>
        <v>290416.11</v>
      </c>
      <c r="N6" s="137"/>
    </row>
    <row r="7" spans="1:16">
      <c r="A7" s="28">
        <v>4</v>
      </c>
      <c r="B7" s="294">
        <v>45720</v>
      </c>
      <c r="C7" s="65" t="s">
        <v>104</v>
      </c>
      <c r="D7" s="66" t="s">
        <v>104</v>
      </c>
      <c r="E7" s="65">
        <v>0</v>
      </c>
      <c r="F7" s="65"/>
      <c r="G7" s="64">
        <f t="shared" si="3"/>
        <v>0</v>
      </c>
      <c r="H7" s="65">
        <v>0</v>
      </c>
      <c r="I7" s="65">
        <v>103.24</v>
      </c>
      <c r="J7" s="67">
        <f t="shared" si="4"/>
        <v>0</v>
      </c>
      <c r="K7" s="64">
        <f t="shared" si="5"/>
        <v>0</v>
      </c>
      <c r="L7" s="135"/>
      <c r="M7" s="67">
        <f t="shared" si="6"/>
        <v>290416.11</v>
      </c>
      <c r="N7" s="137"/>
    </row>
    <row r="8" spans="1:16">
      <c r="A8" s="28">
        <v>5</v>
      </c>
      <c r="B8" s="29">
        <v>45721</v>
      </c>
      <c r="C8" s="65" t="s">
        <v>104</v>
      </c>
      <c r="D8" s="66" t="s">
        <v>104</v>
      </c>
      <c r="E8" s="65">
        <v>0</v>
      </c>
      <c r="F8" s="65"/>
      <c r="G8" s="64">
        <f t="shared" si="3"/>
        <v>0</v>
      </c>
      <c r="H8" s="65">
        <v>0</v>
      </c>
      <c r="I8" s="65">
        <v>103.24</v>
      </c>
      <c r="J8" s="67">
        <f t="shared" si="4"/>
        <v>0</v>
      </c>
      <c r="K8" s="64">
        <f t="shared" si="5"/>
        <v>0</v>
      </c>
      <c r="L8" s="135"/>
      <c r="M8" s="67">
        <f t="shared" si="6"/>
        <v>290416.11</v>
      </c>
      <c r="N8" s="130"/>
    </row>
    <row r="9" spans="1:16">
      <c r="A9" s="28">
        <v>6</v>
      </c>
      <c r="B9" s="294">
        <v>45722</v>
      </c>
      <c r="C9" s="65" t="s">
        <v>104</v>
      </c>
      <c r="D9" s="66" t="s">
        <v>104</v>
      </c>
      <c r="E9" s="65">
        <v>1600</v>
      </c>
      <c r="F9" s="65">
        <v>89.29</v>
      </c>
      <c r="G9" s="64">
        <f t="shared" si="3"/>
        <v>142864</v>
      </c>
      <c r="H9" s="65">
        <v>70</v>
      </c>
      <c r="I9" s="65">
        <v>103.24</v>
      </c>
      <c r="J9" s="67">
        <f t="shared" si="4"/>
        <v>7226.7999999999993</v>
      </c>
      <c r="K9" s="64">
        <f t="shared" si="5"/>
        <v>150090.79999999999</v>
      </c>
      <c r="L9" s="135"/>
      <c r="M9" s="67">
        <f t="shared" si="6"/>
        <v>440506.91</v>
      </c>
      <c r="N9" s="137"/>
    </row>
    <row r="10" spans="1:16">
      <c r="A10" s="28">
        <v>7</v>
      </c>
      <c r="B10" s="29">
        <v>45723</v>
      </c>
      <c r="C10" s="65" t="s">
        <v>104</v>
      </c>
      <c r="D10" s="66" t="s">
        <v>104</v>
      </c>
      <c r="E10" s="65">
        <v>0</v>
      </c>
      <c r="F10" s="65"/>
      <c r="G10" s="64">
        <f t="shared" si="3"/>
        <v>0</v>
      </c>
      <c r="H10" s="65">
        <v>0</v>
      </c>
      <c r="I10" s="65"/>
      <c r="J10" s="67">
        <f t="shared" si="4"/>
        <v>0</v>
      </c>
      <c r="K10" s="64">
        <f t="shared" si="5"/>
        <v>0</v>
      </c>
      <c r="L10" s="135"/>
      <c r="M10" s="67">
        <f t="shared" si="6"/>
        <v>440506.91</v>
      </c>
      <c r="N10" s="130"/>
    </row>
    <row r="11" spans="1:16">
      <c r="A11" s="28">
        <v>8</v>
      </c>
      <c r="B11" s="294">
        <v>45724</v>
      </c>
      <c r="C11" s="65" t="s">
        <v>104</v>
      </c>
      <c r="D11" s="66" t="s">
        <v>104</v>
      </c>
      <c r="E11" s="65">
        <v>0</v>
      </c>
      <c r="F11" s="65"/>
      <c r="G11" s="64">
        <f t="shared" si="3"/>
        <v>0</v>
      </c>
      <c r="H11" s="65">
        <v>0</v>
      </c>
      <c r="I11" s="65"/>
      <c r="J11" s="67">
        <f t="shared" si="4"/>
        <v>0</v>
      </c>
      <c r="K11" s="64">
        <f t="shared" si="5"/>
        <v>0</v>
      </c>
      <c r="L11" s="135"/>
      <c r="M11" s="67">
        <f t="shared" si="6"/>
        <v>440506.91</v>
      </c>
      <c r="N11" s="136"/>
    </row>
    <row r="12" spans="1:16">
      <c r="A12" s="28">
        <v>9</v>
      </c>
      <c r="B12" s="29">
        <v>45725</v>
      </c>
      <c r="C12" s="65" t="s">
        <v>104</v>
      </c>
      <c r="D12" s="66" t="s">
        <v>104</v>
      </c>
      <c r="E12" s="65">
        <v>0</v>
      </c>
      <c r="F12" s="65"/>
      <c r="G12" s="64">
        <f t="shared" si="3"/>
        <v>0</v>
      </c>
      <c r="H12" s="65">
        <v>0</v>
      </c>
      <c r="I12" s="65"/>
      <c r="J12" s="67">
        <f t="shared" si="4"/>
        <v>0</v>
      </c>
      <c r="K12" s="64">
        <f t="shared" si="5"/>
        <v>0</v>
      </c>
      <c r="L12" s="135"/>
      <c r="M12" s="67">
        <f t="shared" si="6"/>
        <v>440506.91</v>
      </c>
      <c r="N12" s="130"/>
    </row>
    <row r="13" spans="1:16">
      <c r="A13" s="28">
        <v>10</v>
      </c>
      <c r="B13" s="294">
        <v>45726</v>
      </c>
      <c r="C13" s="65" t="s">
        <v>104</v>
      </c>
      <c r="D13" s="66" t="s">
        <v>104</v>
      </c>
      <c r="E13" s="65">
        <v>0</v>
      </c>
      <c r="F13" s="65"/>
      <c r="G13" s="64">
        <f t="shared" si="3"/>
        <v>0</v>
      </c>
      <c r="H13" s="65">
        <v>0</v>
      </c>
      <c r="I13" s="65"/>
      <c r="J13" s="67">
        <f t="shared" si="4"/>
        <v>0</v>
      </c>
      <c r="K13" s="64">
        <f t="shared" si="5"/>
        <v>0</v>
      </c>
      <c r="L13" s="135">
        <v>349977.52</v>
      </c>
      <c r="M13" s="67">
        <f t="shared" si="6"/>
        <v>90529.389999999956</v>
      </c>
      <c r="N13" s="130"/>
    </row>
    <row r="14" spans="1:16">
      <c r="A14" s="28">
        <v>11</v>
      </c>
      <c r="B14" s="29">
        <v>45727</v>
      </c>
      <c r="C14" s="65" t="s">
        <v>104</v>
      </c>
      <c r="D14" s="66" t="s">
        <v>104</v>
      </c>
      <c r="E14" s="65">
        <v>2000</v>
      </c>
      <c r="F14" s="65">
        <v>89.29</v>
      </c>
      <c r="G14" s="64">
        <f t="shared" si="3"/>
        <v>178580</v>
      </c>
      <c r="H14" s="65">
        <v>70</v>
      </c>
      <c r="I14" s="65">
        <v>103.24</v>
      </c>
      <c r="J14" s="67">
        <f t="shared" si="4"/>
        <v>7226.7999999999993</v>
      </c>
      <c r="K14" s="64">
        <f t="shared" si="5"/>
        <v>185806.8</v>
      </c>
      <c r="L14" s="135"/>
      <c r="M14" s="67">
        <f t="shared" si="6"/>
        <v>276336.18999999994</v>
      </c>
      <c r="N14" s="130"/>
    </row>
    <row r="15" spans="1:16">
      <c r="A15" s="28">
        <v>12</v>
      </c>
      <c r="B15" s="294">
        <v>45728</v>
      </c>
      <c r="C15" s="65" t="s">
        <v>104</v>
      </c>
      <c r="D15" s="66" t="s">
        <v>104</v>
      </c>
      <c r="E15" s="65">
        <v>0</v>
      </c>
      <c r="F15" s="65"/>
      <c r="G15" s="64">
        <f t="shared" si="3"/>
        <v>0</v>
      </c>
      <c r="H15" s="65">
        <v>0</v>
      </c>
      <c r="I15" s="65"/>
      <c r="J15" s="67">
        <f t="shared" si="4"/>
        <v>0</v>
      </c>
      <c r="K15" s="64">
        <f t="shared" si="5"/>
        <v>0</v>
      </c>
      <c r="L15" s="135"/>
      <c r="M15" s="67">
        <f t="shared" si="6"/>
        <v>276336.18999999994</v>
      </c>
      <c r="N15" s="130"/>
    </row>
    <row r="16" spans="1:16">
      <c r="A16" s="28">
        <v>13</v>
      </c>
      <c r="B16" s="29">
        <v>45729</v>
      </c>
      <c r="C16" s="65" t="s">
        <v>104</v>
      </c>
      <c r="D16" s="66" t="s">
        <v>104</v>
      </c>
      <c r="E16" s="65">
        <v>0</v>
      </c>
      <c r="F16" s="65"/>
      <c r="G16" s="64">
        <f t="shared" si="3"/>
        <v>0</v>
      </c>
      <c r="H16" s="65">
        <v>0</v>
      </c>
      <c r="I16" s="65"/>
      <c r="J16" s="67">
        <f t="shared" si="4"/>
        <v>0</v>
      </c>
      <c r="K16" s="64">
        <f t="shared" si="5"/>
        <v>0</v>
      </c>
      <c r="L16" s="135"/>
      <c r="M16" s="67">
        <f t="shared" si="6"/>
        <v>276336.18999999994</v>
      </c>
      <c r="N16" s="130"/>
    </row>
    <row r="17" spans="1:16">
      <c r="A17" s="28">
        <v>14</v>
      </c>
      <c r="B17" s="294">
        <v>45730</v>
      </c>
      <c r="C17" s="65" t="s">
        <v>104</v>
      </c>
      <c r="D17" s="66" t="s">
        <v>104</v>
      </c>
      <c r="E17" s="65">
        <v>0</v>
      </c>
      <c r="F17" s="65"/>
      <c r="G17" s="64">
        <f t="shared" si="3"/>
        <v>0</v>
      </c>
      <c r="H17" s="65">
        <v>0</v>
      </c>
      <c r="I17" s="65"/>
      <c r="J17" s="67">
        <f t="shared" si="4"/>
        <v>0</v>
      </c>
      <c r="K17" s="64">
        <f t="shared" si="5"/>
        <v>0</v>
      </c>
      <c r="L17" s="135"/>
      <c r="M17" s="67">
        <f t="shared" si="6"/>
        <v>276336.18999999994</v>
      </c>
      <c r="N17" s="130"/>
      <c r="P17" s="63">
        <f>89.29*800</f>
        <v>71432</v>
      </c>
    </row>
    <row r="18" spans="1:16">
      <c r="A18" s="28">
        <v>15</v>
      </c>
      <c r="B18" s="29">
        <v>45731</v>
      </c>
      <c r="C18" s="65" t="s">
        <v>104</v>
      </c>
      <c r="D18" s="66" t="s">
        <v>104</v>
      </c>
      <c r="E18" s="65">
        <v>0</v>
      </c>
      <c r="F18" s="65"/>
      <c r="G18" s="64">
        <f t="shared" si="3"/>
        <v>0</v>
      </c>
      <c r="H18" s="65">
        <v>0</v>
      </c>
      <c r="I18" s="65"/>
      <c r="J18" s="67">
        <f t="shared" si="4"/>
        <v>0</v>
      </c>
      <c r="K18" s="64">
        <f t="shared" si="5"/>
        <v>0</v>
      </c>
      <c r="L18" s="135">
        <v>119988.89</v>
      </c>
      <c r="M18" s="67">
        <f t="shared" si="6"/>
        <v>156347.29999999993</v>
      </c>
      <c r="N18" s="130"/>
    </row>
    <row r="19" spans="1:16">
      <c r="A19" s="28">
        <v>16</v>
      </c>
      <c r="B19" s="294">
        <v>45732</v>
      </c>
      <c r="C19" s="65" t="s">
        <v>104</v>
      </c>
      <c r="D19" s="66" t="s">
        <v>104</v>
      </c>
      <c r="E19" s="65">
        <v>0</v>
      </c>
      <c r="F19" s="65"/>
      <c r="G19" s="64">
        <f t="shared" si="3"/>
        <v>0</v>
      </c>
      <c r="H19" s="65">
        <v>0</v>
      </c>
      <c r="I19" s="65"/>
      <c r="J19" s="67">
        <f t="shared" si="4"/>
        <v>0</v>
      </c>
      <c r="K19" s="64">
        <f t="shared" si="5"/>
        <v>0</v>
      </c>
      <c r="L19" s="135"/>
      <c r="M19" s="67">
        <f t="shared" si="6"/>
        <v>156347.29999999993</v>
      </c>
      <c r="N19" s="130"/>
    </row>
    <row r="20" spans="1:16">
      <c r="A20" s="28">
        <v>17</v>
      </c>
      <c r="B20" s="29">
        <v>45733</v>
      </c>
      <c r="C20" s="65" t="s">
        <v>104</v>
      </c>
      <c r="D20" s="66" t="s">
        <v>104</v>
      </c>
      <c r="E20" s="65">
        <v>0</v>
      </c>
      <c r="F20" s="65"/>
      <c r="G20" s="64">
        <f t="shared" si="3"/>
        <v>0</v>
      </c>
      <c r="H20" s="65">
        <v>0</v>
      </c>
      <c r="I20" s="65"/>
      <c r="J20" s="67">
        <f t="shared" si="4"/>
        <v>0</v>
      </c>
      <c r="K20" s="64">
        <f t="shared" si="5"/>
        <v>0</v>
      </c>
      <c r="L20" s="135"/>
      <c r="M20" s="67">
        <f t="shared" si="6"/>
        <v>156347.29999999993</v>
      </c>
      <c r="N20" s="130"/>
    </row>
    <row r="21" spans="1:16">
      <c r="A21" s="28">
        <v>18</v>
      </c>
      <c r="B21" s="294">
        <v>45734</v>
      </c>
      <c r="C21" s="65" t="s">
        <v>104</v>
      </c>
      <c r="D21" s="66" t="s">
        <v>104</v>
      </c>
      <c r="E21" s="65">
        <v>0</v>
      </c>
      <c r="F21" s="65"/>
      <c r="G21" s="64">
        <f t="shared" si="3"/>
        <v>0</v>
      </c>
      <c r="H21" s="65">
        <v>120</v>
      </c>
      <c r="I21" s="65">
        <v>103.24</v>
      </c>
      <c r="J21" s="67">
        <f t="shared" si="4"/>
        <v>12388.8</v>
      </c>
      <c r="K21" s="64">
        <f t="shared" si="5"/>
        <v>12388.8</v>
      </c>
      <c r="L21" s="135"/>
      <c r="M21" s="67">
        <f t="shared" si="6"/>
        <v>168736.09999999992</v>
      </c>
      <c r="N21" s="130"/>
    </row>
    <row r="22" spans="1:16">
      <c r="A22" s="28">
        <v>19</v>
      </c>
      <c r="B22" s="29">
        <v>45735</v>
      </c>
      <c r="C22" s="65" t="s">
        <v>104</v>
      </c>
      <c r="D22" s="66" t="s">
        <v>104</v>
      </c>
      <c r="E22" s="65">
        <v>0</v>
      </c>
      <c r="F22" s="65"/>
      <c r="G22" s="64">
        <f t="shared" si="3"/>
        <v>0</v>
      </c>
      <c r="H22" s="65">
        <v>0</v>
      </c>
      <c r="I22" s="65"/>
      <c r="J22" s="67">
        <f t="shared" si="4"/>
        <v>0</v>
      </c>
      <c r="K22" s="64">
        <f t="shared" si="5"/>
        <v>0</v>
      </c>
      <c r="L22" s="135"/>
      <c r="M22" s="67">
        <f t="shared" si="6"/>
        <v>168736.09999999992</v>
      </c>
      <c r="N22" s="130"/>
    </row>
    <row r="23" spans="1:16">
      <c r="A23" s="28">
        <v>20</v>
      </c>
      <c r="B23" s="294">
        <v>45736</v>
      </c>
      <c r="C23" s="65" t="s">
        <v>104</v>
      </c>
      <c r="D23" s="66" t="s">
        <v>104</v>
      </c>
      <c r="E23" s="65">
        <v>800</v>
      </c>
      <c r="F23" s="65">
        <v>89.29</v>
      </c>
      <c r="G23" s="64">
        <f t="shared" si="3"/>
        <v>71432</v>
      </c>
      <c r="H23" s="65">
        <v>35</v>
      </c>
      <c r="I23" s="65">
        <v>103.24</v>
      </c>
      <c r="J23" s="67">
        <f t="shared" si="4"/>
        <v>3613.3999999999996</v>
      </c>
      <c r="K23" s="64">
        <f t="shared" si="5"/>
        <v>75045.399999999994</v>
      </c>
      <c r="L23" s="135">
        <v>109935.28</v>
      </c>
      <c r="M23" s="67">
        <f t="shared" si="6"/>
        <v>133846.21999999991</v>
      </c>
      <c r="N23" s="130"/>
    </row>
    <row r="24" spans="1:16">
      <c r="A24" s="28">
        <v>21</v>
      </c>
      <c r="B24" s="29">
        <v>45737</v>
      </c>
      <c r="C24" s="65" t="s">
        <v>104</v>
      </c>
      <c r="D24" s="66" t="s">
        <v>104</v>
      </c>
      <c r="E24" s="65">
        <v>0</v>
      </c>
      <c r="F24" s="65"/>
      <c r="G24" s="64">
        <f t="shared" si="3"/>
        <v>0</v>
      </c>
      <c r="H24" s="65">
        <v>0</v>
      </c>
      <c r="I24" s="65"/>
      <c r="J24" s="67">
        <f t="shared" si="4"/>
        <v>0</v>
      </c>
      <c r="K24" s="64">
        <f t="shared" si="5"/>
        <v>0</v>
      </c>
      <c r="L24" s="135"/>
      <c r="M24" s="67">
        <f t="shared" si="6"/>
        <v>133846.21999999991</v>
      </c>
      <c r="N24" s="130"/>
    </row>
    <row r="25" spans="1:16">
      <c r="A25" s="28">
        <v>22</v>
      </c>
      <c r="B25" s="294">
        <v>45738</v>
      </c>
      <c r="C25" s="65" t="s">
        <v>104</v>
      </c>
      <c r="D25" s="66" t="s">
        <v>104</v>
      </c>
      <c r="E25" s="65">
        <v>800</v>
      </c>
      <c r="F25" s="65">
        <v>89.29</v>
      </c>
      <c r="G25" s="64">
        <f t="shared" si="3"/>
        <v>71432</v>
      </c>
      <c r="H25" s="65">
        <v>35</v>
      </c>
      <c r="I25" s="65">
        <v>103.24</v>
      </c>
      <c r="J25" s="67">
        <f t="shared" si="4"/>
        <v>3613.3999999999996</v>
      </c>
      <c r="K25" s="64">
        <f t="shared" si="5"/>
        <v>75045.399999999994</v>
      </c>
      <c r="L25" s="135"/>
      <c r="M25" s="67">
        <f t="shared" si="6"/>
        <v>208891.61999999991</v>
      </c>
      <c r="N25" s="130"/>
    </row>
    <row r="26" spans="1:16">
      <c r="A26" s="28">
        <v>23</v>
      </c>
      <c r="B26" s="29">
        <v>45739</v>
      </c>
      <c r="C26" s="65" t="s">
        <v>104</v>
      </c>
      <c r="D26" s="66" t="s">
        <v>104</v>
      </c>
      <c r="E26" s="65">
        <v>0</v>
      </c>
      <c r="F26" s="65"/>
      <c r="G26" s="64">
        <f t="shared" si="3"/>
        <v>0</v>
      </c>
      <c r="H26" s="65">
        <v>0</v>
      </c>
      <c r="I26" s="65"/>
      <c r="J26" s="67">
        <f t="shared" si="4"/>
        <v>0</v>
      </c>
      <c r="K26" s="64">
        <f t="shared" si="5"/>
        <v>0</v>
      </c>
      <c r="L26" s="135"/>
      <c r="M26" s="67">
        <f t="shared" si="6"/>
        <v>208891.61999999991</v>
      </c>
      <c r="N26" s="130"/>
    </row>
    <row r="27" spans="1:16">
      <c r="A27" s="28">
        <v>24</v>
      </c>
      <c r="B27" s="294">
        <v>45740</v>
      </c>
      <c r="C27" s="65" t="s">
        <v>104</v>
      </c>
      <c r="D27" s="66" t="s">
        <v>104</v>
      </c>
      <c r="E27" s="65">
        <v>0</v>
      </c>
      <c r="F27" s="65"/>
      <c r="G27" s="64">
        <f t="shared" si="3"/>
        <v>0</v>
      </c>
      <c r="H27" s="65">
        <v>0</v>
      </c>
      <c r="I27" s="65"/>
      <c r="J27" s="67">
        <f t="shared" si="4"/>
        <v>0</v>
      </c>
      <c r="K27" s="64">
        <f t="shared" si="5"/>
        <v>0</v>
      </c>
      <c r="L27" s="135"/>
      <c r="M27" s="67">
        <f t="shared" si="6"/>
        <v>208891.61999999991</v>
      </c>
      <c r="N27" s="130"/>
    </row>
    <row r="28" spans="1:16">
      <c r="A28" s="28">
        <v>25</v>
      </c>
      <c r="B28" s="29">
        <v>45741</v>
      </c>
      <c r="C28" s="65" t="s">
        <v>104</v>
      </c>
      <c r="D28" s="66" t="s">
        <v>104</v>
      </c>
      <c r="E28" s="65">
        <v>1500</v>
      </c>
      <c r="F28" s="65">
        <v>89.29</v>
      </c>
      <c r="G28" s="64">
        <f t="shared" si="3"/>
        <v>133935</v>
      </c>
      <c r="H28" s="65">
        <v>70</v>
      </c>
      <c r="I28" s="65">
        <v>103.24</v>
      </c>
      <c r="J28" s="67">
        <f t="shared" si="4"/>
        <v>7226.7999999999993</v>
      </c>
      <c r="K28" s="64">
        <f t="shared" si="5"/>
        <v>141161.79999999999</v>
      </c>
      <c r="L28" s="135">
        <v>99912.54</v>
      </c>
      <c r="M28" s="67">
        <f t="shared" si="6"/>
        <v>250140.87999999995</v>
      </c>
      <c r="N28" s="130"/>
    </row>
    <row r="29" spans="1:16">
      <c r="A29" s="28">
        <v>26</v>
      </c>
      <c r="B29" s="294">
        <v>45742</v>
      </c>
      <c r="C29" s="65" t="s">
        <v>104</v>
      </c>
      <c r="D29" s="66" t="s">
        <v>104</v>
      </c>
      <c r="E29" s="65">
        <v>0</v>
      </c>
      <c r="F29" s="65"/>
      <c r="G29" s="64">
        <f t="shared" si="3"/>
        <v>0</v>
      </c>
      <c r="H29" s="65">
        <v>0</v>
      </c>
      <c r="I29" s="65"/>
      <c r="J29" s="67">
        <f t="shared" si="4"/>
        <v>0</v>
      </c>
      <c r="K29" s="64">
        <f t="shared" si="5"/>
        <v>0</v>
      </c>
      <c r="L29" s="135"/>
      <c r="M29" s="67">
        <f t="shared" si="6"/>
        <v>250140.87999999995</v>
      </c>
      <c r="N29" s="130"/>
    </row>
    <row r="30" spans="1:16">
      <c r="A30" s="28">
        <v>27</v>
      </c>
      <c r="B30" s="29">
        <v>45743</v>
      </c>
      <c r="C30" s="65" t="s">
        <v>104</v>
      </c>
      <c r="D30" s="66" t="s">
        <v>104</v>
      </c>
      <c r="E30" s="65">
        <v>0</v>
      </c>
      <c r="F30" s="65">
        <v>89.29</v>
      </c>
      <c r="G30" s="64">
        <f t="shared" si="3"/>
        <v>0</v>
      </c>
      <c r="H30" s="65">
        <v>0</v>
      </c>
      <c r="I30" s="65">
        <v>103.24</v>
      </c>
      <c r="J30" s="67">
        <f t="shared" si="4"/>
        <v>0</v>
      </c>
      <c r="K30" s="64">
        <f t="shared" si="5"/>
        <v>0</v>
      </c>
      <c r="L30" s="135">
        <v>149337.4</v>
      </c>
      <c r="M30" s="67">
        <f t="shared" si="6"/>
        <v>100803.47999999995</v>
      </c>
      <c r="N30" s="130"/>
    </row>
    <row r="31" spans="1:16">
      <c r="A31" s="28">
        <v>28</v>
      </c>
      <c r="B31" s="294">
        <v>45744</v>
      </c>
      <c r="C31" s="64"/>
      <c r="D31" s="64"/>
      <c r="E31" s="64"/>
      <c r="F31" s="65"/>
      <c r="G31" s="64">
        <f t="shared" si="3"/>
        <v>0</v>
      </c>
      <c r="H31" s="64"/>
      <c r="I31" s="65"/>
      <c r="J31" s="67">
        <f t="shared" si="4"/>
        <v>0</v>
      </c>
      <c r="K31" s="64">
        <f t="shared" si="5"/>
        <v>0</v>
      </c>
      <c r="L31" s="88"/>
      <c r="M31" s="67">
        <f t="shared" si="6"/>
        <v>100803.47999999995</v>
      </c>
      <c r="N31" s="130"/>
    </row>
    <row r="32" spans="1:16">
      <c r="A32" s="28">
        <v>29</v>
      </c>
      <c r="B32" s="29">
        <v>45745</v>
      </c>
      <c r="C32" s="64"/>
      <c r="D32" s="64"/>
      <c r="E32" s="64"/>
      <c r="F32" s="65"/>
      <c r="G32" s="64">
        <f t="shared" si="3"/>
        <v>0</v>
      </c>
      <c r="H32" s="64"/>
      <c r="I32" s="65"/>
      <c r="J32" s="67">
        <f t="shared" si="4"/>
        <v>0</v>
      </c>
      <c r="K32" s="64">
        <f t="shared" si="5"/>
        <v>0</v>
      </c>
      <c r="L32" s="88">
        <v>107148</v>
      </c>
      <c r="M32" s="67">
        <f t="shared" si="6"/>
        <v>-6344.5200000000477</v>
      </c>
      <c r="N32" s="130"/>
    </row>
    <row r="33" spans="1:15">
      <c r="A33" s="28">
        <v>30</v>
      </c>
      <c r="B33" s="294">
        <v>45746</v>
      </c>
      <c r="C33" s="64"/>
      <c r="D33" s="64"/>
      <c r="E33" s="64">
        <v>1800</v>
      </c>
      <c r="F33" s="65">
        <v>89.29</v>
      </c>
      <c r="G33" s="64">
        <f t="shared" si="3"/>
        <v>160722</v>
      </c>
      <c r="H33" s="64">
        <v>80</v>
      </c>
      <c r="I33" s="65">
        <v>103.24</v>
      </c>
      <c r="J33" s="67">
        <f t="shared" si="4"/>
        <v>8259.1999999999989</v>
      </c>
      <c r="K33" s="64">
        <f t="shared" si="5"/>
        <v>168981.2</v>
      </c>
      <c r="L33" s="88"/>
      <c r="M33" s="67">
        <f t="shared" si="6"/>
        <v>162636.67999999996</v>
      </c>
      <c r="N33" s="130"/>
    </row>
    <row r="34" spans="1:15">
      <c r="A34" s="28">
        <v>31</v>
      </c>
      <c r="B34" s="29">
        <v>45747</v>
      </c>
      <c r="C34" s="64"/>
      <c r="D34" s="64"/>
      <c r="E34" s="64"/>
      <c r="F34" s="65"/>
      <c r="G34" s="64"/>
      <c r="H34" s="64"/>
      <c r="I34" s="65"/>
      <c r="J34" s="67"/>
      <c r="K34" s="64"/>
      <c r="L34" s="88"/>
      <c r="M34" s="67">
        <f t="shared" si="6"/>
        <v>162636.67999999996</v>
      </c>
      <c r="N34" s="130"/>
    </row>
    <row r="35" spans="1:15">
      <c r="A35" s="60"/>
      <c r="B35" s="60"/>
      <c r="C35" s="60"/>
      <c r="D35" s="60"/>
      <c r="E35" s="61">
        <f>SUM(E4:E34)</f>
        <v>9500</v>
      </c>
      <c r="F35" s="61"/>
      <c r="G35" s="61">
        <f>SUM(G4:G34)</f>
        <v>848255</v>
      </c>
      <c r="H35" s="61">
        <f>SUM(H4:H34)</f>
        <v>560</v>
      </c>
      <c r="I35" s="61"/>
      <c r="J35" s="61">
        <f>SUM(J4:J34)</f>
        <v>57814.399999999994</v>
      </c>
      <c r="K35" s="61">
        <f>SUM(K4:K34)</f>
        <v>906069.39999999991</v>
      </c>
      <c r="L35" s="61">
        <f>SUM(L4:L34)</f>
        <v>1136281.0300000003</v>
      </c>
      <c r="M35" s="61"/>
      <c r="N35" s="61"/>
      <c r="O35" s="36"/>
    </row>
    <row r="36" spans="1:15" s="68" customFormat="1">
      <c r="A36" s="57"/>
      <c r="B36" s="57"/>
      <c r="C36" s="57"/>
      <c r="D36" s="57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9"/>
    </row>
    <row r="37" spans="1:15">
      <c r="L37" s="69">
        <v>925975.6</v>
      </c>
    </row>
    <row r="39" spans="1:15">
      <c r="E39" s="63">
        <v>11660</v>
      </c>
    </row>
    <row r="40" spans="1:15">
      <c r="E40" s="63">
        <v>9500</v>
      </c>
      <c r="L40" s="69">
        <v>89290</v>
      </c>
    </row>
    <row r="41" spans="1:15">
      <c r="E41" s="63">
        <f>E39-E40</f>
        <v>2160</v>
      </c>
      <c r="L41" s="69">
        <v>17858</v>
      </c>
    </row>
    <row r="42" spans="1:15">
      <c r="L42" s="69">
        <f>SUM(L40:L41)</f>
        <v>107148</v>
      </c>
    </row>
    <row r="43" spans="1:15">
      <c r="L43" s="69">
        <v>100803.48</v>
      </c>
    </row>
    <row r="44" spans="1:15">
      <c r="L44" s="69">
        <f>L42-L43</f>
        <v>6344.5200000000041</v>
      </c>
    </row>
  </sheetData>
  <mergeCells count="2">
    <mergeCell ref="A1:N1"/>
    <mergeCell ref="A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E8D09-8842-4F6A-8828-1D1304B346C4}">
  <sheetPr>
    <tabColor rgb="FF00B050"/>
  </sheetPr>
  <dimension ref="A1:P38"/>
  <sheetViews>
    <sheetView workbookViewId="0">
      <pane ySplit="2" topLeftCell="A3" activePane="bottomLeft" state="frozen"/>
      <selection pane="bottomLeft" activeCell="L13" sqref="L13"/>
    </sheetView>
  </sheetViews>
  <sheetFormatPr defaultColWidth="11" defaultRowHeight="15"/>
  <cols>
    <col min="1" max="1" width="9.42578125" style="5" customWidth="1"/>
    <col min="2" max="3" width="11" style="5"/>
    <col min="4" max="4" width="16" style="5" bestFit="1" customWidth="1"/>
    <col min="5" max="5" width="11" style="5"/>
    <col min="6" max="6" width="15.5703125" style="5" customWidth="1"/>
    <col min="7" max="7" width="13.28515625" style="5" customWidth="1"/>
    <col min="8" max="9" width="11" style="5"/>
    <col min="10" max="10" width="11.5703125" style="5" customWidth="1"/>
    <col min="11" max="11" width="16.140625" style="5" customWidth="1"/>
    <col min="12" max="13" width="13.140625" style="5" customWidth="1"/>
    <col min="14" max="14" width="17.85546875" style="5" customWidth="1"/>
    <col min="15" max="16384" width="11" style="5"/>
  </cols>
  <sheetData>
    <row r="1" spans="1:15" ht="15.75" customHeight="1">
      <c r="A1" s="380" t="s">
        <v>12</v>
      </c>
      <c r="B1" s="380"/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  <c r="N1" s="380"/>
      <c r="O1" s="74"/>
    </row>
    <row r="2" spans="1:15" ht="16.5" customHeight="1">
      <c r="A2" s="86" t="s">
        <v>91</v>
      </c>
      <c r="B2" s="107" t="s">
        <v>92</v>
      </c>
      <c r="C2" s="107" t="s">
        <v>93</v>
      </c>
      <c r="D2" s="107" t="s">
        <v>94</v>
      </c>
      <c r="E2" s="107" t="s">
        <v>95</v>
      </c>
      <c r="F2" s="107" t="s">
        <v>96</v>
      </c>
      <c r="G2" s="107" t="s">
        <v>97</v>
      </c>
      <c r="H2" s="107" t="s">
        <v>98</v>
      </c>
      <c r="I2" s="107" t="s">
        <v>96</v>
      </c>
      <c r="J2" s="108" t="s">
        <v>97</v>
      </c>
      <c r="K2" s="86" t="s">
        <v>99</v>
      </c>
      <c r="L2" s="109" t="s">
        <v>100</v>
      </c>
      <c r="M2" s="109" t="s">
        <v>101</v>
      </c>
      <c r="N2" s="107" t="s">
        <v>102</v>
      </c>
      <c r="O2" s="81"/>
    </row>
    <row r="3" spans="1:15">
      <c r="A3" s="381" t="s">
        <v>103</v>
      </c>
      <c r="B3" s="381"/>
      <c r="C3" s="381"/>
      <c r="D3" s="381"/>
      <c r="E3" s="381"/>
      <c r="F3" s="381"/>
      <c r="G3" s="381"/>
      <c r="H3" s="381"/>
      <c r="I3" s="381"/>
      <c r="J3" s="381"/>
      <c r="K3" s="127">
        <v>3313230.76</v>
      </c>
      <c r="L3" s="175"/>
      <c r="M3" s="158">
        <f>K3</f>
        <v>3313230.76</v>
      </c>
      <c r="N3" s="6"/>
      <c r="O3" s="1"/>
    </row>
    <row r="4" spans="1:15">
      <c r="A4" s="28">
        <v>1</v>
      </c>
      <c r="B4" s="29">
        <v>45717</v>
      </c>
      <c r="C4" s="27"/>
      <c r="D4" s="27"/>
      <c r="E4" s="8">
        <v>0</v>
      </c>
      <c r="F4" s="8">
        <v>0</v>
      </c>
      <c r="G4" s="8">
        <f>E4*F4</f>
        <v>0</v>
      </c>
      <c r="H4" s="9">
        <v>0</v>
      </c>
      <c r="I4" s="9">
        <v>0</v>
      </c>
      <c r="J4" s="8">
        <f>H4*I4</f>
        <v>0</v>
      </c>
      <c r="K4" s="8">
        <f>G4+J4</f>
        <v>0</v>
      </c>
      <c r="L4" s="52">
        <v>0</v>
      </c>
      <c r="M4" s="159">
        <f>M3+K4-L4</f>
        <v>3313230.76</v>
      </c>
      <c r="N4" s="8"/>
      <c r="O4" s="1"/>
    </row>
    <row r="5" spans="1:15">
      <c r="A5" s="28">
        <v>2</v>
      </c>
      <c r="B5" s="259">
        <v>45718</v>
      </c>
      <c r="C5" s="27"/>
      <c r="D5" s="27">
        <v>1184</v>
      </c>
      <c r="E5" s="8">
        <v>2445</v>
      </c>
      <c r="F5" s="8">
        <v>95.72</v>
      </c>
      <c r="G5" s="8">
        <f t="shared" ref="G5:G34" si="0">E5*F5</f>
        <v>234035.4</v>
      </c>
      <c r="H5" s="9">
        <v>0</v>
      </c>
      <c r="I5" s="9">
        <v>0</v>
      </c>
      <c r="J5" s="8">
        <f t="shared" ref="J5:J34" si="1">H5*I5</f>
        <v>0</v>
      </c>
      <c r="K5" s="8">
        <f t="shared" ref="K5:K28" si="2">G5+J5</f>
        <v>234035.4</v>
      </c>
      <c r="L5" s="52">
        <v>1500000</v>
      </c>
      <c r="M5" s="159">
        <f t="shared" ref="M5:M34" si="3">M4+K5-L5</f>
        <v>2047266.1599999997</v>
      </c>
      <c r="N5" s="8"/>
      <c r="O5" s="1"/>
    </row>
    <row r="6" spans="1:15">
      <c r="A6" s="28">
        <v>3</v>
      </c>
      <c r="B6" s="29">
        <v>45719</v>
      </c>
      <c r="C6" s="27"/>
      <c r="D6" s="27">
        <v>1185</v>
      </c>
      <c r="E6" s="8">
        <v>2332.0100000000002</v>
      </c>
      <c r="F6" s="8">
        <v>95.72</v>
      </c>
      <c r="G6" s="8">
        <f t="shared" si="0"/>
        <v>223219.99720000001</v>
      </c>
      <c r="H6" s="9">
        <v>0</v>
      </c>
      <c r="I6" s="9">
        <v>0</v>
      </c>
      <c r="J6" s="8">
        <f t="shared" si="1"/>
        <v>0</v>
      </c>
      <c r="K6" s="8">
        <f t="shared" si="2"/>
        <v>223219.99720000001</v>
      </c>
      <c r="L6" s="52">
        <v>0</v>
      </c>
      <c r="M6" s="159">
        <f t="shared" si="3"/>
        <v>2270486.1571999998</v>
      </c>
      <c r="N6" s="8"/>
      <c r="O6" s="1"/>
    </row>
    <row r="7" spans="1:15">
      <c r="A7" s="28">
        <v>4</v>
      </c>
      <c r="B7" s="259">
        <v>45720</v>
      </c>
      <c r="C7" s="27"/>
      <c r="D7" s="27">
        <v>1186</v>
      </c>
      <c r="E7" s="8">
        <v>3575.94</v>
      </c>
      <c r="F7" s="8">
        <v>95.72</v>
      </c>
      <c r="G7" s="8">
        <f t="shared" si="0"/>
        <v>342288.9768</v>
      </c>
      <c r="H7" s="9">
        <v>0</v>
      </c>
      <c r="I7" s="9">
        <v>0</v>
      </c>
      <c r="J7" s="8">
        <f t="shared" si="1"/>
        <v>0</v>
      </c>
      <c r="K7" s="8">
        <f t="shared" si="2"/>
        <v>342288.9768</v>
      </c>
      <c r="L7" s="52">
        <v>0</v>
      </c>
      <c r="M7" s="159">
        <f t="shared" si="3"/>
        <v>2612775.1339999996</v>
      </c>
      <c r="N7" s="8"/>
      <c r="O7" s="1"/>
    </row>
    <row r="8" spans="1:15">
      <c r="A8" s="28">
        <v>5</v>
      </c>
      <c r="B8" s="29">
        <v>45721</v>
      </c>
      <c r="C8" s="27"/>
      <c r="D8" s="27">
        <v>1187</v>
      </c>
      <c r="E8" s="8">
        <v>1867.13</v>
      </c>
      <c r="F8" s="8">
        <v>95.72</v>
      </c>
      <c r="G8" s="8">
        <f t="shared" si="0"/>
        <v>178721.68360000002</v>
      </c>
      <c r="H8" s="9">
        <v>0</v>
      </c>
      <c r="I8" s="9">
        <v>0</v>
      </c>
      <c r="J8" s="8">
        <f t="shared" si="1"/>
        <v>0</v>
      </c>
      <c r="K8" s="8">
        <f t="shared" si="2"/>
        <v>178721.68360000002</v>
      </c>
      <c r="L8" s="52">
        <v>0</v>
      </c>
      <c r="M8" s="159">
        <f t="shared" si="3"/>
        <v>2791496.8175999997</v>
      </c>
      <c r="N8" s="130"/>
      <c r="O8" s="1"/>
    </row>
    <row r="9" spans="1:15">
      <c r="A9" s="28">
        <v>6</v>
      </c>
      <c r="B9" s="259">
        <v>45722</v>
      </c>
      <c r="C9" s="27"/>
      <c r="D9" s="27">
        <v>1189</v>
      </c>
      <c r="E9" s="8">
        <v>2000</v>
      </c>
      <c r="F9" s="8">
        <v>95.72</v>
      </c>
      <c r="G9" s="8">
        <f t="shared" si="0"/>
        <v>191440</v>
      </c>
      <c r="H9" s="9">
        <v>0</v>
      </c>
      <c r="I9" s="9">
        <v>0</v>
      </c>
      <c r="J9" s="8">
        <f t="shared" si="1"/>
        <v>0</v>
      </c>
      <c r="K9" s="8">
        <f t="shared" si="2"/>
        <v>191440</v>
      </c>
      <c r="L9" s="52">
        <v>0</v>
      </c>
      <c r="M9" s="159">
        <f t="shared" si="3"/>
        <v>2982936.8175999997</v>
      </c>
      <c r="N9" s="8"/>
      <c r="O9" s="1"/>
    </row>
    <row r="10" spans="1:15">
      <c r="A10" s="28">
        <v>7</v>
      </c>
      <c r="B10" s="29">
        <v>45723</v>
      </c>
      <c r="C10" s="27"/>
      <c r="D10" s="27"/>
      <c r="E10" s="8">
        <v>0</v>
      </c>
      <c r="F10" s="8">
        <v>0</v>
      </c>
      <c r="G10" s="8">
        <f t="shared" si="0"/>
        <v>0</v>
      </c>
      <c r="H10" s="9">
        <v>0</v>
      </c>
      <c r="I10" s="9">
        <v>0</v>
      </c>
      <c r="J10" s="8">
        <f t="shared" si="1"/>
        <v>0</v>
      </c>
      <c r="K10" s="8">
        <f t="shared" si="2"/>
        <v>0</v>
      </c>
      <c r="L10" s="52">
        <v>0</v>
      </c>
      <c r="M10" s="159">
        <f t="shared" si="3"/>
        <v>2982936.8175999997</v>
      </c>
      <c r="N10" s="8"/>
      <c r="O10" s="1"/>
    </row>
    <row r="11" spans="1:15">
      <c r="A11" s="28">
        <v>8</v>
      </c>
      <c r="B11" s="259">
        <v>45724</v>
      </c>
      <c r="C11" s="27"/>
      <c r="D11" s="27"/>
      <c r="E11" s="8">
        <v>0</v>
      </c>
      <c r="F11" s="8">
        <v>0</v>
      </c>
      <c r="G11" s="8">
        <f t="shared" si="0"/>
        <v>0</v>
      </c>
      <c r="H11" s="9">
        <v>0</v>
      </c>
      <c r="I11" s="9">
        <v>0</v>
      </c>
      <c r="J11" s="8">
        <f t="shared" si="1"/>
        <v>0</v>
      </c>
      <c r="K11" s="8">
        <f t="shared" si="2"/>
        <v>0</v>
      </c>
      <c r="L11" s="52">
        <v>0</v>
      </c>
      <c r="M11" s="159">
        <f t="shared" si="3"/>
        <v>2982936.8175999997</v>
      </c>
      <c r="N11" s="8"/>
      <c r="O11" s="1"/>
    </row>
    <row r="12" spans="1:15">
      <c r="A12" s="28">
        <v>9</v>
      </c>
      <c r="B12" s="29">
        <v>45725</v>
      </c>
      <c r="C12" s="27"/>
      <c r="D12" s="27"/>
      <c r="E12" s="8">
        <v>0</v>
      </c>
      <c r="F12" s="8">
        <v>0</v>
      </c>
      <c r="G12" s="8">
        <f t="shared" si="0"/>
        <v>0</v>
      </c>
      <c r="H12" s="9">
        <v>0</v>
      </c>
      <c r="I12" s="9">
        <v>0</v>
      </c>
      <c r="J12" s="8">
        <f t="shared" si="1"/>
        <v>0</v>
      </c>
      <c r="K12" s="8">
        <f t="shared" si="2"/>
        <v>0</v>
      </c>
      <c r="L12" s="52">
        <v>0</v>
      </c>
      <c r="M12" s="159">
        <f t="shared" si="3"/>
        <v>2982936.8175999997</v>
      </c>
      <c r="N12" s="8"/>
      <c r="O12" s="1"/>
    </row>
    <row r="13" spans="1:15">
      <c r="A13" s="28">
        <v>10</v>
      </c>
      <c r="B13" s="259">
        <v>45726</v>
      </c>
      <c r="C13" s="27"/>
      <c r="D13" s="27"/>
      <c r="E13" s="8">
        <v>0</v>
      </c>
      <c r="F13" s="8">
        <v>0</v>
      </c>
      <c r="G13" s="8">
        <f t="shared" si="0"/>
        <v>0</v>
      </c>
      <c r="H13" s="9">
        <v>0</v>
      </c>
      <c r="I13" s="9">
        <v>0</v>
      </c>
      <c r="J13" s="8">
        <f t="shared" si="1"/>
        <v>0</v>
      </c>
      <c r="K13" s="8">
        <f t="shared" si="2"/>
        <v>0</v>
      </c>
      <c r="L13" s="52">
        <v>0</v>
      </c>
      <c r="M13" s="159">
        <f t="shared" si="3"/>
        <v>2982936.8175999997</v>
      </c>
      <c r="N13" s="8"/>
      <c r="O13" s="1"/>
    </row>
    <row r="14" spans="1:15">
      <c r="A14" s="28">
        <v>11</v>
      </c>
      <c r="B14" s="29">
        <v>45727</v>
      </c>
      <c r="C14" s="27"/>
      <c r="D14" s="27"/>
      <c r="E14" s="8">
        <v>0</v>
      </c>
      <c r="F14" s="8">
        <v>0</v>
      </c>
      <c r="G14" s="8">
        <f t="shared" si="0"/>
        <v>0</v>
      </c>
      <c r="H14" s="9">
        <v>0</v>
      </c>
      <c r="I14" s="9">
        <v>0</v>
      </c>
      <c r="J14" s="8">
        <f t="shared" si="1"/>
        <v>0</v>
      </c>
      <c r="K14" s="8">
        <f t="shared" si="2"/>
        <v>0</v>
      </c>
      <c r="L14" s="52">
        <v>0</v>
      </c>
      <c r="M14" s="159">
        <f t="shared" si="3"/>
        <v>2982936.8175999997</v>
      </c>
      <c r="N14" s="8"/>
      <c r="O14" s="1"/>
    </row>
    <row r="15" spans="1:15">
      <c r="A15" s="28">
        <v>12</v>
      </c>
      <c r="B15" s="259">
        <v>45728</v>
      </c>
      <c r="C15" s="27"/>
      <c r="D15" s="27"/>
      <c r="E15" s="8">
        <v>0</v>
      </c>
      <c r="F15" s="8">
        <v>0</v>
      </c>
      <c r="G15" s="8">
        <f t="shared" si="0"/>
        <v>0</v>
      </c>
      <c r="H15" s="9">
        <v>0</v>
      </c>
      <c r="I15" s="9">
        <v>0</v>
      </c>
      <c r="J15" s="8">
        <f t="shared" si="1"/>
        <v>0</v>
      </c>
      <c r="K15" s="8">
        <f t="shared" si="2"/>
        <v>0</v>
      </c>
      <c r="L15" s="52">
        <v>0</v>
      </c>
      <c r="M15" s="159">
        <f t="shared" si="3"/>
        <v>2982936.8175999997</v>
      </c>
      <c r="N15" s="8"/>
      <c r="O15" s="1"/>
    </row>
    <row r="16" spans="1:15">
      <c r="A16" s="28">
        <v>13</v>
      </c>
      <c r="B16" s="29">
        <v>45729</v>
      </c>
      <c r="C16" s="27"/>
      <c r="D16" s="27"/>
      <c r="E16" s="8">
        <v>0</v>
      </c>
      <c r="F16" s="8">
        <v>0</v>
      </c>
      <c r="G16" s="8">
        <f t="shared" si="0"/>
        <v>0</v>
      </c>
      <c r="H16" s="9">
        <v>0</v>
      </c>
      <c r="I16" s="9">
        <v>0</v>
      </c>
      <c r="J16" s="8">
        <f t="shared" si="1"/>
        <v>0</v>
      </c>
      <c r="K16" s="8">
        <f t="shared" si="2"/>
        <v>0</v>
      </c>
      <c r="L16" s="52">
        <v>0</v>
      </c>
      <c r="M16" s="159">
        <f t="shared" si="3"/>
        <v>2982936.8175999997</v>
      </c>
      <c r="N16" s="8"/>
      <c r="O16" s="1"/>
    </row>
    <row r="17" spans="1:16">
      <c r="A17" s="28">
        <v>14</v>
      </c>
      <c r="B17" s="259">
        <v>45730</v>
      </c>
      <c r="C17" s="27"/>
      <c r="D17" s="27"/>
      <c r="E17" s="8">
        <v>0</v>
      </c>
      <c r="F17" s="8">
        <v>0</v>
      </c>
      <c r="G17" s="8">
        <f t="shared" si="0"/>
        <v>0</v>
      </c>
      <c r="H17" s="9">
        <v>0</v>
      </c>
      <c r="I17" s="9">
        <v>0</v>
      </c>
      <c r="J17" s="8">
        <f t="shared" si="1"/>
        <v>0</v>
      </c>
      <c r="K17" s="8">
        <f t="shared" si="2"/>
        <v>0</v>
      </c>
      <c r="L17" s="52">
        <v>0</v>
      </c>
      <c r="M17" s="159">
        <f t="shared" si="3"/>
        <v>2982936.8175999997</v>
      </c>
      <c r="N17" s="8"/>
      <c r="O17" s="1"/>
    </row>
    <row r="18" spans="1:16">
      <c r="A18" s="28">
        <v>15</v>
      </c>
      <c r="B18" s="29">
        <v>45731</v>
      </c>
      <c r="C18" s="27"/>
      <c r="D18" s="27"/>
      <c r="E18" s="8">
        <v>0</v>
      </c>
      <c r="F18" s="8">
        <v>0</v>
      </c>
      <c r="G18" s="8">
        <f t="shared" si="0"/>
        <v>0</v>
      </c>
      <c r="H18" s="9">
        <v>0</v>
      </c>
      <c r="I18" s="9">
        <v>0</v>
      </c>
      <c r="J18" s="8">
        <f t="shared" si="1"/>
        <v>0</v>
      </c>
      <c r="K18" s="8">
        <f t="shared" si="2"/>
        <v>0</v>
      </c>
      <c r="L18" s="52">
        <v>0</v>
      </c>
      <c r="M18" s="159">
        <f t="shared" si="3"/>
        <v>2982936.8175999997</v>
      </c>
      <c r="N18" s="8"/>
      <c r="O18" s="1"/>
    </row>
    <row r="19" spans="1:16">
      <c r="A19" s="28">
        <v>16</v>
      </c>
      <c r="B19" s="259">
        <v>45732</v>
      </c>
      <c r="C19" s="27"/>
      <c r="D19" s="27"/>
      <c r="E19" s="8">
        <v>0</v>
      </c>
      <c r="F19" s="8">
        <v>0</v>
      </c>
      <c r="G19" s="8">
        <f t="shared" si="0"/>
        <v>0</v>
      </c>
      <c r="H19" s="9">
        <v>0</v>
      </c>
      <c r="I19" s="9">
        <v>0</v>
      </c>
      <c r="J19" s="8">
        <f t="shared" si="1"/>
        <v>0</v>
      </c>
      <c r="K19" s="8">
        <f t="shared" si="2"/>
        <v>0</v>
      </c>
      <c r="L19" s="52">
        <v>0</v>
      </c>
      <c r="M19" s="159">
        <f t="shared" si="3"/>
        <v>2982936.8175999997</v>
      </c>
      <c r="N19" s="8"/>
      <c r="O19" s="1"/>
    </row>
    <row r="20" spans="1:16">
      <c r="A20" s="28">
        <v>17</v>
      </c>
      <c r="B20" s="29">
        <v>45733</v>
      </c>
      <c r="C20" s="27"/>
      <c r="D20" s="27"/>
      <c r="E20" s="8">
        <v>0</v>
      </c>
      <c r="F20" s="8">
        <v>0</v>
      </c>
      <c r="G20" s="8">
        <f t="shared" si="0"/>
        <v>0</v>
      </c>
      <c r="H20" s="9">
        <v>0</v>
      </c>
      <c r="I20" s="9">
        <v>0</v>
      </c>
      <c r="J20" s="8">
        <f t="shared" si="1"/>
        <v>0</v>
      </c>
      <c r="K20" s="8">
        <f t="shared" si="2"/>
        <v>0</v>
      </c>
      <c r="L20" s="52">
        <v>0</v>
      </c>
      <c r="M20" s="159">
        <f t="shared" si="3"/>
        <v>2982936.8175999997</v>
      </c>
      <c r="N20" s="8"/>
      <c r="O20" s="1"/>
    </row>
    <row r="21" spans="1:16">
      <c r="A21" s="28">
        <v>18</v>
      </c>
      <c r="B21" s="259">
        <v>45734</v>
      </c>
      <c r="C21" s="27"/>
      <c r="D21" s="27"/>
      <c r="E21" s="8">
        <v>0</v>
      </c>
      <c r="F21" s="8">
        <v>0</v>
      </c>
      <c r="G21" s="8">
        <f t="shared" si="0"/>
        <v>0</v>
      </c>
      <c r="H21" s="9">
        <v>0</v>
      </c>
      <c r="I21" s="9">
        <v>0</v>
      </c>
      <c r="J21" s="8">
        <f t="shared" si="1"/>
        <v>0</v>
      </c>
      <c r="K21" s="8">
        <f t="shared" si="2"/>
        <v>0</v>
      </c>
      <c r="L21" s="52">
        <v>0</v>
      </c>
      <c r="M21" s="159">
        <f t="shared" si="3"/>
        <v>2982936.8175999997</v>
      </c>
      <c r="N21" s="8"/>
      <c r="O21" s="1"/>
    </row>
    <row r="22" spans="1:16">
      <c r="A22" s="28">
        <v>19</v>
      </c>
      <c r="B22" s="29">
        <v>45735</v>
      </c>
      <c r="C22" s="27"/>
      <c r="D22" s="27"/>
      <c r="E22" s="8">
        <v>0</v>
      </c>
      <c r="F22" s="8">
        <v>0</v>
      </c>
      <c r="G22" s="8">
        <f t="shared" si="0"/>
        <v>0</v>
      </c>
      <c r="H22" s="9">
        <v>0</v>
      </c>
      <c r="I22" s="9">
        <v>0</v>
      </c>
      <c r="J22" s="8">
        <f t="shared" si="1"/>
        <v>0</v>
      </c>
      <c r="K22" s="8">
        <f t="shared" si="2"/>
        <v>0</v>
      </c>
      <c r="L22" s="52">
        <v>0</v>
      </c>
      <c r="M22" s="159">
        <f t="shared" si="3"/>
        <v>2982936.8175999997</v>
      </c>
      <c r="N22" s="8"/>
      <c r="O22" s="1"/>
    </row>
    <row r="23" spans="1:16">
      <c r="A23" s="28">
        <v>20</v>
      </c>
      <c r="B23" s="259">
        <v>45736</v>
      </c>
      <c r="C23" s="27"/>
      <c r="D23" s="27"/>
      <c r="E23" s="8">
        <v>0</v>
      </c>
      <c r="F23" s="8">
        <v>0</v>
      </c>
      <c r="G23" s="8">
        <f t="shared" si="0"/>
        <v>0</v>
      </c>
      <c r="H23" s="9">
        <v>0</v>
      </c>
      <c r="I23" s="9">
        <v>0</v>
      </c>
      <c r="J23" s="8">
        <f t="shared" si="1"/>
        <v>0</v>
      </c>
      <c r="K23" s="8">
        <f t="shared" si="2"/>
        <v>0</v>
      </c>
      <c r="L23" s="52">
        <v>0</v>
      </c>
      <c r="M23" s="159">
        <f t="shared" si="3"/>
        <v>2982936.8175999997</v>
      </c>
      <c r="N23" s="8"/>
      <c r="O23" s="1"/>
      <c r="P23" s="127"/>
    </row>
    <row r="24" spans="1:16">
      <c r="A24" s="28">
        <v>21</v>
      </c>
      <c r="B24" s="29">
        <v>45737</v>
      </c>
      <c r="C24" s="27"/>
      <c r="D24" s="27"/>
      <c r="E24" s="8">
        <v>0</v>
      </c>
      <c r="F24" s="8">
        <v>0</v>
      </c>
      <c r="G24" s="8">
        <f t="shared" si="0"/>
        <v>0</v>
      </c>
      <c r="H24" s="9">
        <v>0</v>
      </c>
      <c r="I24" s="9">
        <v>0</v>
      </c>
      <c r="J24" s="8">
        <f t="shared" si="1"/>
        <v>0</v>
      </c>
      <c r="K24" s="8">
        <f t="shared" si="2"/>
        <v>0</v>
      </c>
      <c r="L24" s="52">
        <v>0</v>
      </c>
      <c r="M24" s="159">
        <f t="shared" si="3"/>
        <v>2982936.8175999997</v>
      </c>
      <c r="N24" s="8"/>
      <c r="O24" s="1"/>
    </row>
    <row r="25" spans="1:16">
      <c r="A25" s="28">
        <v>22</v>
      </c>
      <c r="B25" s="259">
        <v>45738</v>
      </c>
      <c r="C25" s="27"/>
      <c r="D25" s="27"/>
      <c r="E25" s="8">
        <v>0</v>
      </c>
      <c r="F25" s="8">
        <v>0</v>
      </c>
      <c r="G25" s="8">
        <f t="shared" si="0"/>
        <v>0</v>
      </c>
      <c r="H25" s="9">
        <v>0</v>
      </c>
      <c r="I25" s="9">
        <v>0</v>
      </c>
      <c r="J25" s="8">
        <f t="shared" si="1"/>
        <v>0</v>
      </c>
      <c r="K25" s="8">
        <f t="shared" si="2"/>
        <v>0</v>
      </c>
      <c r="L25" s="52">
        <v>0</v>
      </c>
      <c r="M25" s="159">
        <f>M24+K25-L25</f>
        <v>2982936.8175999997</v>
      </c>
      <c r="N25" s="8"/>
      <c r="O25" s="1"/>
    </row>
    <row r="26" spans="1:16">
      <c r="A26" s="28">
        <v>23</v>
      </c>
      <c r="B26" s="29">
        <v>45739</v>
      </c>
      <c r="C26" s="27"/>
      <c r="D26" s="27"/>
      <c r="E26" s="8">
        <v>0</v>
      </c>
      <c r="F26" s="8">
        <v>0</v>
      </c>
      <c r="G26" s="8">
        <f t="shared" si="0"/>
        <v>0</v>
      </c>
      <c r="H26" s="9">
        <v>0</v>
      </c>
      <c r="I26" s="9">
        <v>0</v>
      </c>
      <c r="J26" s="8">
        <f t="shared" si="1"/>
        <v>0</v>
      </c>
      <c r="K26" s="8">
        <f t="shared" si="2"/>
        <v>0</v>
      </c>
      <c r="L26" s="52">
        <v>0</v>
      </c>
      <c r="M26" s="159">
        <f>M25+K26-L26</f>
        <v>2982936.8175999997</v>
      </c>
      <c r="N26" s="8"/>
      <c r="O26" s="1"/>
    </row>
    <row r="27" spans="1:16">
      <c r="A27" s="28">
        <v>24</v>
      </c>
      <c r="B27" s="259">
        <v>45740</v>
      </c>
      <c r="C27" s="27"/>
      <c r="D27" s="27"/>
      <c r="E27" s="8">
        <v>0</v>
      </c>
      <c r="F27" s="8">
        <v>0</v>
      </c>
      <c r="G27" s="8">
        <f t="shared" si="0"/>
        <v>0</v>
      </c>
      <c r="H27" s="9">
        <v>0</v>
      </c>
      <c r="I27" s="9">
        <v>0</v>
      </c>
      <c r="J27" s="8">
        <f t="shared" si="1"/>
        <v>0</v>
      </c>
      <c r="K27" s="8">
        <f t="shared" si="2"/>
        <v>0</v>
      </c>
      <c r="L27" s="52">
        <v>0</v>
      </c>
      <c r="M27" s="159">
        <f t="shared" si="3"/>
        <v>2982936.8175999997</v>
      </c>
      <c r="N27" s="8"/>
      <c r="O27" s="1"/>
    </row>
    <row r="28" spans="1:16">
      <c r="A28" s="28">
        <v>25</v>
      </c>
      <c r="B28" s="29">
        <v>45741</v>
      </c>
      <c r="C28" s="27"/>
      <c r="D28" s="27"/>
      <c r="E28" s="8">
        <v>0</v>
      </c>
      <c r="F28" s="8">
        <v>0</v>
      </c>
      <c r="G28" s="8">
        <f t="shared" si="0"/>
        <v>0</v>
      </c>
      <c r="H28" s="9">
        <v>0</v>
      </c>
      <c r="I28" s="9">
        <v>0</v>
      </c>
      <c r="J28" s="8">
        <f t="shared" si="1"/>
        <v>0</v>
      </c>
      <c r="K28" s="8">
        <f t="shared" si="2"/>
        <v>0</v>
      </c>
      <c r="L28" s="52">
        <v>0</v>
      </c>
      <c r="M28" s="159">
        <f t="shared" si="3"/>
        <v>2982936.8175999997</v>
      </c>
      <c r="N28" s="8"/>
      <c r="O28" s="1"/>
    </row>
    <row r="29" spans="1:16">
      <c r="A29" s="28">
        <v>26</v>
      </c>
      <c r="B29" s="259">
        <v>45742</v>
      </c>
      <c r="C29" s="27"/>
      <c r="D29" s="27"/>
      <c r="E29" s="8">
        <v>0</v>
      </c>
      <c r="F29" s="8">
        <v>0</v>
      </c>
      <c r="G29" s="8">
        <f t="shared" si="0"/>
        <v>0</v>
      </c>
      <c r="H29" s="9">
        <v>0</v>
      </c>
      <c r="I29" s="9">
        <v>0</v>
      </c>
      <c r="J29" s="8">
        <f t="shared" si="1"/>
        <v>0</v>
      </c>
      <c r="K29" s="8"/>
      <c r="L29" s="52">
        <v>0</v>
      </c>
      <c r="M29" s="159">
        <f t="shared" si="3"/>
        <v>2982936.8175999997</v>
      </c>
      <c r="N29" s="8"/>
      <c r="O29" s="1"/>
    </row>
    <row r="30" spans="1:16">
      <c r="A30" s="28">
        <v>27</v>
      </c>
      <c r="B30" s="29">
        <v>45743</v>
      </c>
      <c r="C30" s="27"/>
      <c r="D30" s="27"/>
      <c r="E30" s="8">
        <v>0</v>
      </c>
      <c r="F30" s="8">
        <v>0</v>
      </c>
      <c r="G30" s="8">
        <f t="shared" si="0"/>
        <v>0</v>
      </c>
      <c r="H30" s="9">
        <v>0</v>
      </c>
      <c r="I30" s="9">
        <v>0</v>
      </c>
      <c r="J30" s="8">
        <f t="shared" si="1"/>
        <v>0</v>
      </c>
      <c r="K30" s="8"/>
      <c r="L30" s="52">
        <v>0</v>
      </c>
      <c r="M30" s="159">
        <f t="shared" si="3"/>
        <v>2982936.8175999997</v>
      </c>
      <c r="N30" s="8"/>
      <c r="O30" s="1"/>
    </row>
    <row r="31" spans="1:16">
      <c r="A31" s="28">
        <v>28</v>
      </c>
      <c r="B31" s="259">
        <v>45744</v>
      </c>
      <c r="C31" s="27"/>
      <c r="D31" s="27"/>
      <c r="E31" s="8">
        <v>0</v>
      </c>
      <c r="F31" s="8">
        <v>0</v>
      </c>
      <c r="G31" s="8">
        <f t="shared" si="0"/>
        <v>0</v>
      </c>
      <c r="H31" s="9">
        <v>0</v>
      </c>
      <c r="I31" s="9">
        <v>0</v>
      </c>
      <c r="J31" s="8">
        <f t="shared" si="1"/>
        <v>0</v>
      </c>
      <c r="K31" s="8"/>
      <c r="L31" s="52">
        <v>0</v>
      </c>
      <c r="M31" s="159">
        <f t="shared" si="3"/>
        <v>2982936.8175999997</v>
      </c>
      <c r="N31" s="8"/>
      <c r="O31" s="1"/>
    </row>
    <row r="32" spans="1:16">
      <c r="A32" s="28">
        <v>29</v>
      </c>
      <c r="B32" s="29">
        <v>45745</v>
      </c>
      <c r="C32" s="27"/>
      <c r="D32" s="27"/>
      <c r="E32" s="8">
        <v>0</v>
      </c>
      <c r="F32" s="8">
        <v>0</v>
      </c>
      <c r="G32" s="8">
        <f t="shared" si="0"/>
        <v>0</v>
      </c>
      <c r="H32" s="9">
        <v>0</v>
      </c>
      <c r="I32" s="9">
        <v>0</v>
      </c>
      <c r="J32" s="8">
        <f t="shared" si="1"/>
        <v>0</v>
      </c>
      <c r="K32" s="8"/>
      <c r="L32" s="52">
        <v>2983000</v>
      </c>
      <c r="M32" s="159">
        <f t="shared" si="3"/>
        <v>-63.182400000281632</v>
      </c>
      <c r="N32" s="8"/>
      <c r="O32" s="1"/>
    </row>
    <row r="33" spans="1:15">
      <c r="A33" s="28">
        <v>30</v>
      </c>
      <c r="B33" s="259">
        <v>45746</v>
      </c>
      <c r="C33" s="27"/>
      <c r="D33" s="27"/>
      <c r="E33" s="8">
        <v>0</v>
      </c>
      <c r="F33" s="8">
        <v>0</v>
      </c>
      <c r="G33" s="8">
        <f t="shared" si="0"/>
        <v>0</v>
      </c>
      <c r="H33" s="9">
        <v>0</v>
      </c>
      <c r="I33" s="9">
        <v>0</v>
      </c>
      <c r="J33" s="8">
        <f t="shared" si="1"/>
        <v>0</v>
      </c>
      <c r="K33" s="8"/>
      <c r="L33" s="52">
        <v>0</v>
      </c>
      <c r="M33" s="159">
        <f t="shared" si="3"/>
        <v>-63.182400000281632</v>
      </c>
      <c r="N33" s="8"/>
      <c r="O33" s="1"/>
    </row>
    <row r="34" spans="1:15">
      <c r="A34" s="28">
        <v>31</v>
      </c>
      <c r="B34" s="29">
        <v>45747</v>
      </c>
      <c r="C34" s="27"/>
      <c r="D34" s="27"/>
      <c r="E34" s="8">
        <v>0</v>
      </c>
      <c r="F34" s="8">
        <v>0</v>
      </c>
      <c r="G34" s="8">
        <f t="shared" si="0"/>
        <v>0</v>
      </c>
      <c r="H34" s="9">
        <v>0</v>
      </c>
      <c r="I34" s="9">
        <v>0</v>
      </c>
      <c r="J34" s="8">
        <f t="shared" si="1"/>
        <v>0</v>
      </c>
      <c r="K34" s="8"/>
      <c r="L34" s="8"/>
      <c r="M34" s="159">
        <f t="shared" si="3"/>
        <v>-63.182400000281632</v>
      </c>
      <c r="N34" s="8"/>
      <c r="O34" s="1"/>
    </row>
    <row r="35" spans="1:15">
      <c r="A35" s="60"/>
      <c r="B35" s="60"/>
      <c r="C35" s="60"/>
      <c r="D35" s="60"/>
      <c r="E35" s="61">
        <f>SUM(E3:E31)</f>
        <v>12220.080000000002</v>
      </c>
      <c r="F35" s="61"/>
      <c r="G35" s="61">
        <f>SUM(G3:G31)</f>
        <v>1169706.0575999999</v>
      </c>
      <c r="H35" s="61">
        <f>SUM(H3:H31)</f>
        <v>0</v>
      </c>
      <c r="I35" s="61"/>
      <c r="J35" s="61">
        <f>SUM(J3:J31)</f>
        <v>0</v>
      </c>
      <c r="K35" s="61">
        <f>SUM(K3:K31)</f>
        <v>4482936.8175999997</v>
      </c>
      <c r="L35" s="61">
        <f>SUM(L3:L34)</f>
        <v>4483000</v>
      </c>
      <c r="M35" s="61"/>
      <c r="N35" s="61"/>
      <c r="O35" s="36"/>
    </row>
    <row r="36" spans="1:15">
      <c r="A36" s="1"/>
      <c r="B36" s="1"/>
      <c r="C36" s="1"/>
      <c r="D36" s="1"/>
      <c r="E36" s="1"/>
      <c r="F36" s="1"/>
      <c r="G36" s="3"/>
      <c r="H36" s="1"/>
      <c r="I36" s="1"/>
      <c r="J36" s="1"/>
      <c r="K36" s="1"/>
      <c r="L36" s="1"/>
      <c r="M36" s="1"/>
      <c r="N36" s="1"/>
    </row>
    <row r="37" spans="1:15">
      <c r="A37" s="1"/>
      <c r="B37" s="371"/>
      <c r="C37" s="371"/>
      <c r="D37" s="371"/>
      <c r="E37" s="371"/>
      <c r="F37" s="1"/>
      <c r="G37" s="1"/>
      <c r="H37" s="1"/>
      <c r="I37" s="371"/>
      <c r="J37" s="371"/>
      <c r="K37" s="371"/>
      <c r="L37" s="371"/>
      <c r="M37" s="371"/>
      <c r="N37" s="371"/>
      <c r="O37" s="4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4"/>
    </row>
  </sheetData>
  <mergeCells count="4">
    <mergeCell ref="B37:E37"/>
    <mergeCell ref="I37:N37"/>
    <mergeCell ref="A1:N1"/>
    <mergeCell ref="A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65961-9A19-4008-9D9A-8602856AE5E6}">
  <sheetPr>
    <tabColor rgb="FF00B050"/>
  </sheetPr>
  <dimension ref="A1:R41"/>
  <sheetViews>
    <sheetView workbookViewId="0">
      <pane ySplit="2" topLeftCell="A3" activePane="bottomLeft" state="frozen"/>
      <selection pane="bottomLeft" activeCell="L36" sqref="L36"/>
    </sheetView>
  </sheetViews>
  <sheetFormatPr defaultRowHeight="15"/>
  <cols>
    <col min="1" max="1" width="5.140625" bestFit="1" customWidth="1"/>
    <col min="2" max="2" width="13" customWidth="1"/>
    <col min="3" max="3" width="16.85546875" bestFit="1" customWidth="1"/>
    <col min="4" max="4" width="16" bestFit="1" customWidth="1"/>
    <col min="5" max="5" width="10.7109375" customWidth="1"/>
    <col min="6" max="6" width="15.140625" customWidth="1"/>
    <col min="7" max="7" width="13.7109375" customWidth="1"/>
    <col min="8" max="8" width="10.5703125" customWidth="1"/>
    <col min="9" max="9" width="9.140625" style="24"/>
    <col min="11" max="11" width="15.28515625" customWidth="1"/>
    <col min="12" max="13" width="14.28515625" customWidth="1"/>
    <col min="14" max="14" width="18.28515625" bestFit="1" customWidth="1"/>
    <col min="16" max="16" width="11.42578125" bestFit="1" customWidth="1"/>
  </cols>
  <sheetData>
    <row r="1" spans="1:16" ht="15.75" customHeight="1">
      <c r="A1" s="380" t="s">
        <v>14</v>
      </c>
      <c r="B1" s="380"/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  <c r="N1" s="380"/>
      <c r="O1" s="74"/>
    </row>
    <row r="2" spans="1:16">
      <c r="A2" s="86" t="s">
        <v>91</v>
      </c>
      <c r="B2" s="107" t="s">
        <v>92</v>
      </c>
      <c r="C2" s="107" t="s">
        <v>93</v>
      </c>
      <c r="D2" s="107" t="s">
        <v>94</v>
      </c>
      <c r="E2" s="107" t="s">
        <v>95</v>
      </c>
      <c r="F2" s="107" t="s">
        <v>96</v>
      </c>
      <c r="G2" s="107" t="s">
        <v>97</v>
      </c>
      <c r="H2" s="107" t="s">
        <v>98</v>
      </c>
      <c r="I2" s="107" t="s">
        <v>96</v>
      </c>
      <c r="J2" s="108" t="s">
        <v>97</v>
      </c>
      <c r="K2" s="151" t="s">
        <v>99</v>
      </c>
      <c r="L2" s="154" t="s">
        <v>100</v>
      </c>
      <c r="M2" s="154" t="s">
        <v>105</v>
      </c>
      <c r="N2" s="152" t="s">
        <v>102</v>
      </c>
      <c r="O2" s="81"/>
    </row>
    <row r="3" spans="1:16">
      <c r="A3" s="374" t="s">
        <v>103</v>
      </c>
      <c r="B3" s="375"/>
      <c r="C3" s="375"/>
      <c r="D3" s="375"/>
      <c r="E3" s="375"/>
      <c r="F3" s="375"/>
      <c r="G3" s="375"/>
      <c r="H3" s="375"/>
      <c r="I3" s="375"/>
      <c r="J3" s="375"/>
      <c r="K3" s="260">
        <v>5180732.49</v>
      </c>
      <c r="L3" s="120"/>
      <c r="M3" s="51">
        <f>+K3</f>
        <v>5180732.49</v>
      </c>
      <c r="N3" s="19"/>
      <c r="O3" s="1"/>
      <c r="P3" s="24">
        <v>5180732.4905999992</v>
      </c>
    </row>
    <row r="4" spans="1:16" ht="15.75">
      <c r="A4" s="28">
        <v>1</v>
      </c>
      <c r="B4" s="29">
        <v>45717</v>
      </c>
      <c r="C4" s="20"/>
      <c r="D4" s="20" t="s">
        <v>106</v>
      </c>
      <c r="E4" s="54">
        <v>5000</v>
      </c>
      <c r="F4" s="50">
        <v>95.68</v>
      </c>
      <c r="G4" s="54">
        <f>E4*F4</f>
        <v>478400.00000000006</v>
      </c>
      <c r="H4" s="20">
        <v>20</v>
      </c>
      <c r="I4" s="48">
        <v>107.46</v>
      </c>
      <c r="J4" s="20">
        <f>H4*I4</f>
        <v>2149.1999999999998</v>
      </c>
      <c r="K4" s="176">
        <f>G4+J4</f>
        <v>480549.20000000007</v>
      </c>
      <c r="L4" s="177">
        <v>1600000</v>
      </c>
      <c r="M4" s="178">
        <f>M3+K4-L4</f>
        <v>4061281.6900000004</v>
      </c>
      <c r="N4" s="177"/>
      <c r="O4" s="1"/>
    </row>
    <row r="5" spans="1:16" ht="15.75">
      <c r="A5" s="28">
        <v>2</v>
      </c>
      <c r="B5" s="259">
        <v>45718</v>
      </c>
      <c r="C5" s="20"/>
      <c r="D5" s="20" t="s">
        <v>107</v>
      </c>
      <c r="E5" s="54">
        <v>2000</v>
      </c>
      <c r="F5" s="50">
        <v>95.68</v>
      </c>
      <c r="G5" s="54">
        <f t="shared" ref="G5:G34" si="0">E5*F5</f>
        <v>191360</v>
      </c>
      <c r="H5" s="20">
        <v>55</v>
      </c>
      <c r="I5" s="48">
        <v>107.46</v>
      </c>
      <c r="J5" s="20">
        <f t="shared" ref="J5:J34" si="1">H5*I5</f>
        <v>5910.2999999999993</v>
      </c>
      <c r="K5" s="176">
        <f t="shared" ref="K5:K34" si="2">G5+J5</f>
        <v>197270.3</v>
      </c>
      <c r="L5" s="177">
        <v>1000000</v>
      </c>
      <c r="M5" s="129">
        <f>M4+K5-L5</f>
        <v>3258551.99</v>
      </c>
      <c r="N5" s="20"/>
      <c r="O5" s="1"/>
    </row>
    <row r="6" spans="1:16" ht="15.75">
      <c r="A6" s="28">
        <v>3</v>
      </c>
      <c r="B6" s="29">
        <v>45719</v>
      </c>
      <c r="C6" s="20"/>
      <c r="D6" s="20" t="s">
        <v>108</v>
      </c>
      <c r="E6" s="54">
        <v>4360</v>
      </c>
      <c r="F6" s="50">
        <v>95.68</v>
      </c>
      <c r="G6" s="54">
        <f t="shared" si="0"/>
        <v>417164.80000000005</v>
      </c>
      <c r="H6" s="20">
        <v>35</v>
      </c>
      <c r="I6" s="48">
        <v>107.46</v>
      </c>
      <c r="J6" s="20">
        <f t="shared" si="1"/>
        <v>3761.1</v>
      </c>
      <c r="K6" s="176">
        <f t="shared" si="2"/>
        <v>420925.9</v>
      </c>
      <c r="L6" s="177">
        <v>0</v>
      </c>
      <c r="M6" s="129">
        <f t="shared" ref="M6:M34" si="3">M5+K6-L6</f>
        <v>3679477.89</v>
      </c>
      <c r="N6" s="20"/>
      <c r="O6" s="1"/>
    </row>
    <row r="7" spans="1:16" ht="15.75">
      <c r="A7" s="28">
        <v>4</v>
      </c>
      <c r="B7" s="259">
        <v>45720</v>
      </c>
      <c r="C7" s="27"/>
      <c r="D7" s="27" t="s">
        <v>109</v>
      </c>
      <c r="E7" s="54">
        <v>4754.96</v>
      </c>
      <c r="F7" s="50">
        <v>95.68</v>
      </c>
      <c r="G7" s="54">
        <f t="shared" si="0"/>
        <v>454954.57280000002</v>
      </c>
      <c r="H7" s="20">
        <v>55</v>
      </c>
      <c r="I7" s="48">
        <v>107.46</v>
      </c>
      <c r="J7" s="20">
        <f t="shared" si="1"/>
        <v>5910.2999999999993</v>
      </c>
      <c r="K7" s="176">
        <f t="shared" si="2"/>
        <v>460864.87280000001</v>
      </c>
      <c r="L7" s="177">
        <v>0</v>
      </c>
      <c r="M7" s="129">
        <f t="shared" si="3"/>
        <v>4140342.7628000001</v>
      </c>
      <c r="N7" s="8"/>
      <c r="O7" s="1"/>
    </row>
    <row r="8" spans="1:16" ht="15.75">
      <c r="A8" s="28">
        <v>5</v>
      </c>
      <c r="B8" s="29">
        <v>45721</v>
      </c>
      <c r="C8" s="27"/>
      <c r="D8" s="27" t="s">
        <v>110</v>
      </c>
      <c r="E8" s="54">
        <v>4770</v>
      </c>
      <c r="F8" s="50">
        <v>95.68</v>
      </c>
      <c r="G8" s="54">
        <f t="shared" si="0"/>
        <v>456393.60000000003</v>
      </c>
      <c r="H8" s="20">
        <v>20</v>
      </c>
      <c r="I8" s="48">
        <v>107.46</v>
      </c>
      <c r="J8" s="20">
        <f t="shared" si="1"/>
        <v>2149.1999999999998</v>
      </c>
      <c r="K8" s="176">
        <f t="shared" si="2"/>
        <v>458542.80000000005</v>
      </c>
      <c r="L8" s="177">
        <v>0</v>
      </c>
      <c r="M8" s="129">
        <f t="shared" si="3"/>
        <v>4598885.5628000004</v>
      </c>
      <c r="N8" s="8"/>
      <c r="O8" s="1"/>
    </row>
    <row r="9" spans="1:16" ht="15.75">
      <c r="A9" s="28">
        <v>6</v>
      </c>
      <c r="B9" s="259">
        <v>45722</v>
      </c>
      <c r="C9" s="27"/>
      <c r="D9" s="27"/>
      <c r="E9" s="54">
        <v>0</v>
      </c>
      <c r="F9" s="50">
        <v>0</v>
      </c>
      <c r="G9" s="54">
        <f t="shared" si="0"/>
        <v>0</v>
      </c>
      <c r="H9" s="20">
        <v>0</v>
      </c>
      <c r="I9" s="48">
        <v>0</v>
      </c>
      <c r="J9" s="20">
        <f t="shared" si="1"/>
        <v>0</v>
      </c>
      <c r="K9" s="176">
        <f t="shared" si="2"/>
        <v>0</v>
      </c>
      <c r="L9" s="177">
        <v>0</v>
      </c>
      <c r="M9" s="129">
        <f t="shared" si="3"/>
        <v>4598885.5628000004</v>
      </c>
      <c r="N9" s="8"/>
      <c r="O9" s="1"/>
    </row>
    <row r="10" spans="1:16" ht="15.75">
      <c r="A10" s="28">
        <v>7</v>
      </c>
      <c r="B10" s="29">
        <v>45723</v>
      </c>
      <c r="C10" s="27"/>
      <c r="D10" s="27" t="s">
        <v>111</v>
      </c>
      <c r="E10" s="54">
        <v>2200</v>
      </c>
      <c r="F10" s="50">
        <v>95.68</v>
      </c>
      <c r="G10" s="54">
        <f t="shared" si="0"/>
        <v>210496.00000000003</v>
      </c>
      <c r="H10" s="20">
        <v>20</v>
      </c>
      <c r="I10" s="48">
        <v>107.46</v>
      </c>
      <c r="J10" s="20">
        <f t="shared" si="1"/>
        <v>2149.1999999999998</v>
      </c>
      <c r="K10" s="176">
        <f t="shared" si="2"/>
        <v>212645.20000000004</v>
      </c>
      <c r="L10" s="177">
        <v>0</v>
      </c>
      <c r="M10" s="129">
        <f>M9+K10-L10</f>
        <v>4811530.7628000006</v>
      </c>
      <c r="N10" s="8"/>
      <c r="O10" s="1"/>
    </row>
    <row r="11" spans="1:16" ht="15.75">
      <c r="A11" s="28">
        <v>8</v>
      </c>
      <c r="B11" s="259">
        <v>45724</v>
      </c>
      <c r="C11" s="255"/>
      <c r="D11" s="255">
        <v>217</v>
      </c>
      <c r="E11" s="54">
        <v>2200</v>
      </c>
      <c r="F11" s="50">
        <v>95.68</v>
      </c>
      <c r="G11" s="54">
        <f t="shared" si="0"/>
        <v>210496.00000000003</v>
      </c>
      <c r="H11" s="20">
        <v>0</v>
      </c>
      <c r="I11" s="48">
        <v>107.46</v>
      </c>
      <c r="J11" s="20">
        <f t="shared" si="1"/>
        <v>0</v>
      </c>
      <c r="K11" s="176">
        <f t="shared" si="2"/>
        <v>210496.00000000003</v>
      </c>
      <c r="L11" s="177">
        <v>0</v>
      </c>
      <c r="M11" s="129">
        <f t="shared" si="3"/>
        <v>5022026.7628000006</v>
      </c>
      <c r="N11" s="8"/>
      <c r="O11" s="1"/>
    </row>
    <row r="12" spans="1:16" ht="15.75">
      <c r="A12" s="28">
        <v>9</v>
      </c>
      <c r="B12" s="29">
        <v>45725</v>
      </c>
      <c r="C12" s="27"/>
      <c r="D12" s="27" t="s">
        <v>112</v>
      </c>
      <c r="E12" s="54">
        <v>2200</v>
      </c>
      <c r="F12" s="50">
        <v>95.68</v>
      </c>
      <c r="G12" s="54">
        <f t="shared" si="0"/>
        <v>210496.00000000003</v>
      </c>
      <c r="H12" s="20">
        <v>35</v>
      </c>
      <c r="I12" s="48">
        <v>107.46</v>
      </c>
      <c r="J12" s="20">
        <f t="shared" si="1"/>
        <v>3761.1</v>
      </c>
      <c r="K12" s="176">
        <f t="shared" si="2"/>
        <v>214257.10000000003</v>
      </c>
      <c r="L12" s="177">
        <v>0</v>
      </c>
      <c r="M12" s="129">
        <f t="shared" si="3"/>
        <v>5236283.8628000002</v>
      </c>
      <c r="N12" s="8"/>
      <c r="O12" s="1"/>
    </row>
    <row r="13" spans="1:16" ht="15.75">
      <c r="A13" s="28">
        <v>10</v>
      </c>
      <c r="B13" s="259">
        <v>45726</v>
      </c>
      <c r="C13" s="27"/>
      <c r="D13" s="27"/>
      <c r="E13" s="54">
        <v>0</v>
      </c>
      <c r="F13" s="50">
        <v>0</v>
      </c>
      <c r="G13" s="54">
        <f t="shared" si="0"/>
        <v>0</v>
      </c>
      <c r="H13" s="20">
        <v>0</v>
      </c>
      <c r="I13" s="48">
        <v>0</v>
      </c>
      <c r="J13" s="20">
        <f t="shared" si="1"/>
        <v>0</v>
      </c>
      <c r="K13" s="176">
        <f t="shared" si="2"/>
        <v>0</v>
      </c>
      <c r="L13" s="177">
        <v>1500000</v>
      </c>
      <c r="M13" s="129">
        <f t="shared" si="3"/>
        <v>3736283.8628000002</v>
      </c>
      <c r="N13" s="8"/>
      <c r="O13" s="1"/>
    </row>
    <row r="14" spans="1:16" ht="15.75">
      <c r="A14" s="28">
        <v>11</v>
      </c>
      <c r="B14" s="29">
        <v>45727</v>
      </c>
      <c r="C14" s="27"/>
      <c r="D14" s="341"/>
      <c r="E14" s="54">
        <v>2120</v>
      </c>
      <c r="F14" s="50">
        <v>95.68</v>
      </c>
      <c r="G14" s="54">
        <f t="shared" si="0"/>
        <v>202841.60000000001</v>
      </c>
      <c r="H14" s="20">
        <v>35</v>
      </c>
      <c r="I14" s="48">
        <v>107.46</v>
      </c>
      <c r="J14" s="20">
        <f t="shared" si="1"/>
        <v>3761.1</v>
      </c>
      <c r="K14" s="176">
        <f t="shared" si="2"/>
        <v>206602.7</v>
      </c>
      <c r="L14" s="177">
        <v>0</v>
      </c>
      <c r="M14" s="129">
        <f t="shared" si="3"/>
        <v>3942886.5628000004</v>
      </c>
      <c r="N14" s="8"/>
      <c r="O14" s="1"/>
    </row>
    <row r="15" spans="1:16" ht="15.75">
      <c r="A15" s="28">
        <v>12</v>
      </c>
      <c r="B15" s="259">
        <v>45728</v>
      </c>
      <c r="C15" s="27"/>
      <c r="D15" s="49"/>
      <c r="E15" s="54">
        <v>2000</v>
      </c>
      <c r="F15" s="50">
        <v>95.68</v>
      </c>
      <c r="G15" s="54">
        <f t="shared" si="0"/>
        <v>191360</v>
      </c>
      <c r="H15" s="20">
        <v>35</v>
      </c>
      <c r="I15" s="48">
        <v>107.46</v>
      </c>
      <c r="J15" s="20">
        <f t="shared" si="1"/>
        <v>3761.1</v>
      </c>
      <c r="K15" s="176">
        <f t="shared" si="2"/>
        <v>195121.1</v>
      </c>
      <c r="L15" s="177">
        <v>0</v>
      </c>
      <c r="M15" s="129">
        <f t="shared" si="3"/>
        <v>4138007.6628000005</v>
      </c>
      <c r="N15" s="8"/>
      <c r="O15" s="1"/>
    </row>
    <row r="16" spans="1:16" ht="15.75">
      <c r="A16" s="28">
        <v>13</v>
      </c>
      <c r="B16" s="29">
        <v>45729</v>
      </c>
      <c r="D16" s="258"/>
      <c r="E16" s="54">
        <v>0</v>
      </c>
      <c r="F16" s="50">
        <v>0</v>
      </c>
      <c r="G16" s="54">
        <f t="shared" si="0"/>
        <v>0</v>
      </c>
      <c r="H16" s="20">
        <v>0</v>
      </c>
      <c r="I16" s="48">
        <v>0</v>
      </c>
      <c r="J16" s="20">
        <f t="shared" si="1"/>
        <v>0</v>
      </c>
      <c r="K16" s="176">
        <f t="shared" si="2"/>
        <v>0</v>
      </c>
      <c r="L16" s="177">
        <v>0</v>
      </c>
      <c r="M16" s="129">
        <f t="shared" si="3"/>
        <v>4138007.6628000005</v>
      </c>
      <c r="N16" s="8"/>
      <c r="O16" s="1"/>
    </row>
    <row r="17" spans="1:15" ht="15.75">
      <c r="A17" s="28">
        <v>14</v>
      </c>
      <c r="B17" s="259">
        <v>45730</v>
      </c>
      <c r="C17" s="27"/>
      <c r="D17" s="49"/>
      <c r="E17" s="54">
        <v>0</v>
      </c>
      <c r="F17" s="50">
        <v>0</v>
      </c>
      <c r="G17" s="54">
        <f t="shared" si="0"/>
        <v>0</v>
      </c>
      <c r="H17" s="20">
        <v>0</v>
      </c>
      <c r="I17" s="48">
        <v>0</v>
      </c>
      <c r="J17" s="20">
        <f t="shared" si="1"/>
        <v>0</v>
      </c>
      <c r="K17" s="176">
        <f t="shared" si="2"/>
        <v>0</v>
      </c>
      <c r="L17" s="177">
        <v>0</v>
      </c>
      <c r="M17" s="129">
        <f t="shared" si="3"/>
        <v>4138007.6628000005</v>
      </c>
      <c r="N17" s="130"/>
      <c r="O17" s="1"/>
    </row>
    <row r="18" spans="1:15" ht="15.75">
      <c r="A18" s="28">
        <v>15</v>
      </c>
      <c r="B18" s="29">
        <v>45731</v>
      </c>
      <c r="C18" s="216"/>
      <c r="D18" s="49"/>
      <c r="E18" s="54">
        <v>4845</v>
      </c>
      <c r="F18" s="50">
        <v>95.68</v>
      </c>
      <c r="G18" s="54">
        <f t="shared" si="0"/>
        <v>463569.60000000003</v>
      </c>
      <c r="H18" s="20">
        <v>20</v>
      </c>
      <c r="I18" s="48">
        <v>107.46</v>
      </c>
      <c r="J18" s="20">
        <f t="shared" si="1"/>
        <v>2149.1999999999998</v>
      </c>
      <c r="K18" s="176">
        <f t="shared" si="2"/>
        <v>465718.80000000005</v>
      </c>
      <c r="L18" s="177">
        <v>0</v>
      </c>
      <c r="M18" s="129">
        <f t="shared" si="3"/>
        <v>4603726.4628000008</v>
      </c>
      <c r="N18" s="8"/>
      <c r="O18" s="1"/>
    </row>
    <row r="19" spans="1:15" ht="15.75">
      <c r="A19" s="28">
        <v>16</v>
      </c>
      <c r="B19" s="259">
        <v>45732</v>
      </c>
      <c r="C19" s="27"/>
      <c r="D19" s="49"/>
      <c r="E19" s="54">
        <v>0</v>
      </c>
      <c r="F19" s="50">
        <v>0</v>
      </c>
      <c r="G19" s="54">
        <f t="shared" si="0"/>
        <v>0</v>
      </c>
      <c r="H19" s="20">
        <v>0</v>
      </c>
      <c r="I19" s="48">
        <v>0</v>
      </c>
      <c r="J19" s="20">
        <f t="shared" si="1"/>
        <v>0</v>
      </c>
      <c r="K19" s="176">
        <f t="shared" si="2"/>
        <v>0</v>
      </c>
      <c r="L19" s="177">
        <v>0</v>
      </c>
      <c r="M19" s="129">
        <f t="shared" si="3"/>
        <v>4603726.4628000008</v>
      </c>
      <c r="N19" s="8"/>
      <c r="O19" s="1" t="s">
        <v>113</v>
      </c>
    </row>
    <row r="20" spans="1:15" ht="15.75">
      <c r="A20" s="28">
        <v>17</v>
      </c>
      <c r="B20" s="29">
        <v>45733</v>
      </c>
      <c r="C20" s="27"/>
      <c r="D20" s="49"/>
      <c r="E20" s="54">
        <v>0</v>
      </c>
      <c r="F20" s="50">
        <v>0</v>
      </c>
      <c r="G20" s="54">
        <f t="shared" si="0"/>
        <v>0</v>
      </c>
      <c r="H20" s="20">
        <v>0</v>
      </c>
      <c r="I20" s="48">
        <v>0</v>
      </c>
      <c r="J20" s="20">
        <f t="shared" si="1"/>
        <v>0</v>
      </c>
      <c r="K20" s="176">
        <f t="shared" si="2"/>
        <v>0</v>
      </c>
      <c r="L20" s="177">
        <v>0</v>
      </c>
      <c r="M20" s="129">
        <f t="shared" si="3"/>
        <v>4603726.4628000008</v>
      </c>
      <c r="N20" s="8"/>
      <c r="O20" s="1"/>
    </row>
    <row r="21" spans="1:15" ht="15.75">
      <c r="A21" s="28">
        <v>18</v>
      </c>
      <c r="B21" s="259">
        <v>45734</v>
      </c>
      <c r="C21" s="27"/>
      <c r="D21" s="49"/>
      <c r="E21" s="54">
        <v>0</v>
      </c>
      <c r="F21" s="50">
        <v>0</v>
      </c>
      <c r="G21" s="54">
        <f t="shared" si="0"/>
        <v>0</v>
      </c>
      <c r="H21" s="20">
        <v>0</v>
      </c>
      <c r="I21" s="48">
        <v>0</v>
      </c>
      <c r="J21" s="20">
        <f t="shared" si="1"/>
        <v>0</v>
      </c>
      <c r="K21" s="176">
        <f t="shared" si="2"/>
        <v>0</v>
      </c>
      <c r="L21" s="177">
        <v>0</v>
      </c>
      <c r="M21" s="129">
        <f t="shared" si="3"/>
        <v>4603726.4628000008</v>
      </c>
      <c r="N21" s="8"/>
      <c r="O21" s="1"/>
    </row>
    <row r="22" spans="1:15" ht="15.75">
      <c r="A22" s="28">
        <v>19</v>
      </c>
      <c r="B22" s="29">
        <v>45735</v>
      </c>
      <c r="C22" s="27"/>
      <c r="D22" s="49"/>
      <c r="E22" s="54">
        <v>0</v>
      </c>
      <c r="F22" s="50">
        <v>0</v>
      </c>
      <c r="G22" s="54">
        <f t="shared" si="0"/>
        <v>0</v>
      </c>
      <c r="H22" s="20">
        <v>0</v>
      </c>
      <c r="I22" s="48">
        <v>0</v>
      </c>
      <c r="J22" s="20">
        <f t="shared" si="1"/>
        <v>0</v>
      </c>
      <c r="K22" s="176">
        <f t="shared" si="2"/>
        <v>0</v>
      </c>
      <c r="L22" s="177">
        <v>0</v>
      </c>
      <c r="M22" s="129">
        <f t="shared" si="3"/>
        <v>4603726.4628000008</v>
      </c>
      <c r="N22" s="8"/>
      <c r="O22" s="1"/>
    </row>
    <row r="23" spans="1:15" ht="15.75">
      <c r="A23" s="28">
        <v>20</v>
      </c>
      <c r="B23" s="259">
        <v>45736</v>
      </c>
      <c r="C23" s="27"/>
      <c r="D23" s="49"/>
      <c r="E23" s="54">
        <v>0</v>
      </c>
      <c r="F23" s="50">
        <v>0</v>
      </c>
      <c r="G23" s="54">
        <f t="shared" si="0"/>
        <v>0</v>
      </c>
      <c r="H23" s="20">
        <v>0</v>
      </c>
      <c r="I23" s="48">
        <v>0</v>
      </c>
      <c r="J23" s="20">
        <f t="shared" si="1"/>
        <v>0</v>
      </c>
      <c r="K23" s="176">
        <f t="shared" si="2"/>
        <v>0</v>
      </c>
      <c r="L23" s="177">
        <v>0</v>
      </c>
      <c r="M23" s="129">
        <f t="shared" si="3"/>
        <v>4603726.4628000008</v>
      </c>
      <c r="N23" s="8"/>
      <c r="O23" s="1"/>
    </row>
    <row r="24" spans="1:15" ht="15.75">
      <c r="A24" s="28">
        <v>21</v>
      </c>
      <c r="B24" s="29">
        <v>45737</v>
      </c>
      <c r="C24" s="27"/>
      <c r="D24" s="49"/>
      <c r="E24" s="54">
        <v>2000</v>
      </c>
      <c r="F24" s="50">
        <v>95.68</v>
      </c>
      <c r="G24" s="54">
        <f t="shared" si="0"/>
        <v>191360</v>
      </c>
      <c r="H24" s="20">
        <v>20</v>
      </c>
      <c r="I24" s="48">
        <v>107.46</v>
      </c>
      <c r="J24" s="20">
        <f t="shared" si="1"/>
        <v>2149.1999999999998</v>
      </c>
      <c r="K24" s="176">
        <f t="shared" si="2"/>
        <v>193509.2</v>
      </c>
      <c r="L24" s="177">
        <v>0</v>
      </c>
      <c r="M24" s="129">
        <f t="shared" si="3"/>
        <v>4797235.662800001</v>
      </c>
      <c r="N24" s="8"/>
      <c r="O24" s="1"/>
    </row>
    <row r="25" spans="1:15" ht="15.75">
      <c r="A25" s="28">
        <v>22</v>
      </c>
      <c r="B25" s="259">
        <v>45738</v>
      </c>
      <c r="C25" s="27"/>
      <c r="D25" s="49"/>
      <c r="E25" s="54">
        <v>0</v>
      </c>
      <c r="F25" s="50">
        <v>0</v>
      </c>
      <c r="G25" s="54">
        <f t="shared" si="0"/>
        <v>0</v>
      </c>
      <c r="H25" s="20">
        <v>0</v>
      </c>
      <c r="I25" s="48">
        <v>0</v>
      </c>
      <c r="J25" s="20">
        <f t="shared" si="1"/>
        <v>0</v>
      </c>
      <c r="K25" s="176">
        <f t="shared" si="2"/>
        <v>0</v>
      </c>
      <c r="L25" s="177">
        <v>0</v>
      </c>
      <c r="M25" s="129">
        <f t="shared" si="3"/>
        <v>4797235.662800001</v>
      </c>
      <c r="N25" s="8"/>
      <c r="O25" s="1"/>
    </row>
    <row r="26" spans="1:15" ht="15.75">
      <c r="A26" s="28">
        <v>23</v>
      </c>
      <c r="B26" s="29">
        <v>45739</v>
      </c>
      <c r="C26" s="27"/>
      <c r="D26" s="49"/>
      <c r="E26" s="54">
        <v>0</v>
      </c>
      <c r="F26" s="50">
        <v>0</v>
      </c>
      <c r="G26" s="54">
        <f t="shared" si="0"/>
        <v>0</v>
      </c>
      <c r="H26" s="20">
        <v>0</v>
      </c>
      <c r="I26" s="48">
        <v>0</v>
      </c>
      <c r="J26" s="20">
        <f t="shared" si="1"/>
        <v>0</v>
      </c>
      <c r="K26" s="176">
        <f t="shared" si="2"/>
        <v>0</v>
      </c>
      <c r="L26" s="177">
        <v>0</v>
      </c>
      <c r="M26" s="129">
        <f t="shared" si="3"/>
        <v>4797235.662800001</v>
      </c>
      <c r="N26" s="8"/>
      <c r="O26" s="1"/>
    </row>
    <row r="27" spans="1:15" ht="15.75">
      <c r="A27" s="28">
        <v>24</v>
      </c>
      <c r="B27" s="259">
        <v>45740</v>
      </c>
      <c r="C27" s="27"/>
      <c r="D27" s="49"/>
      <c r="E27" s="54">
        <v>0</v>
      </c>
      <c r="F27" s="50">
        <v>0</v>
      </c>
      <c r="G27" s="54">
        <f t="shared" si="0"/>
        <v>0</v>
      </c>
      <c r="H27" s="20">
        <v>0</v>
      </c>
      <c r="I27" s="48">
        <v>0</v>
      </c>
      <c r="J27" s="20">
        <f t="shared" si="1"/>
        <v>0</v>
      </c>
      <c r="K27" s="176">
        <f t="shared" si="2"/>
        <v>0</v>
      </c>
      <c r="L27" s="177">
        <v>0</v>
      </c>
      <c r="M27" s="129">
        <f t="shared" si="3"/>
        <v>4797235.662800001</v>
      </c>
      <c r="N27" s="8"/>
      <c r="O27" s="1"/>
    </row>
    <row r="28" spans="1:15" ht="15.75">
      <c r="A28" s="28">
        <v>25</v>
      </c>
      <c r="B28" s="29">
        <v>45741</v>
      </c>
      <c r="C28" s="27"/>
      <c r="D28" s="49"/>
      <c r="E28" s="54">
        <v>0</v>
      </c>
      <c r="F28" s="50">
        <v>0</v>
      </c>
      <c r="G28" s="54">
        <f t="shared" si="0"/>
        <v>0</v>
      </c>
      <c r="H28" s="20">
        <v>0</v>
      </c>
      <c r="I28" s="48">
        <v>0</v>
      </c>
      <c r="J28" s="20">
        <f t="shared" si="1"/>
        <v>0</v>
      </c>
      <c r="K28" s="176">
        <f t="shared" si="2"/>
        <v>0</v>
      </c>
      <c r="L28" s="177">
        <v>0</v>
      </c>
      <c r="M28" s="129">
        <f t="shared" si="3"/>
        <v>4797235.662800001</v>
      </c>
      <c r="N28" s="8"/>
      <c r="O28" s="1"/>
    </row>
    <row r="29" spans="1:15" ht="15.75">
      <c r="A29" s="28">
        <v>26</v>
      </c>
      <c r="B29" s="259">
        <v>45742</v>
      </c>
      <c r="C29" s="27"/>
      <c r="D29" s="49"/>
      <c r="E29" s="54">
        <v>2000</v>
      </c>
      <c r="F29" s="50">
        <v>95.68</v>
      </c>
      <c r="G29" s="54">
        <f t="shared" si="0"/>
        <v>191360</v>
      </c>
      <c r="H29" s="20">
        <v>35</v>
      </c>
      <c r="I29" s="48">
        <v>107.46</v>
      </c>
      <c r="J29" s="20">
        <f>H29*I29</f>
        <v>3761.1</v>
      </c>
      <c r="K29" s="176">
        <f t="shared" si="2"/>
        <v>195121.1</v>
      </c>
      <c r="L29" s="358">
        <v>900000</v>
      </c>
      <c r="M29" s="129">
        <f t="shared" si="3"/>
        <v>4092356.7628000006</v>
      </c>
      <c r="N29" s="8"/>
      <c r="O29" s="1"/>
    </row>
    <row r="30" spans="1:15" ht="15.75">
      <c r="A30" s="28">
        <v>27</v>
      </c>
      <c r="B30" s="29">
        <v>45743</v>
      </c>
      <c r="C30" s="27"/>
      <c r="D30" s="49"/>
      <c r="E30" s="54">
        <v>0</v>
      </c>
      <c r="F30" s="50">
        <v>0</v>
      </c>
      <c r="G30" s="54">
        <f t="shared" si="0"/>
        <v>0</v>
      </c>
      <c r="H30" s="20">
        <v>0</v>
      </c>
      <c r="I30" s="48">
        <v>0</v>
      </c>
      <c r="J30" s="20">
        <f t="shared" si="1"/>
        <v>0</v>
      </c>
      <c r="K30" s="176">
        <f t="shared" si="2"/>
        <v>0</v>
      </c>
      <c r="L30" s="177">
        <v>0</v>
      </c>
      <c r="M30" s="129">
        <f t="shared" si="3"/>
        <v>4092356.7628000006</v>
      </c>
      <c r="N30" s="8"/>
      <c r="O30" s="1"/>
    </row>
    <row r="31" spans="1:15" ht="15.75">
      <c r="A31" s="28">
        <v>28</v>
      </c>
      <c r="B31" s="259">
        <v>45744</v>
      </c>
      <c r="C31" s="27"/>
      <c r="D31" s="49"/>
      <c r="E31" s="54">
        <v>0</v>
      </c>
      <c r="F31" s="50">
        <v>0</v>
      </c>
      <c r="G31" s="54">
        <f t="shared" si="0"/>
        <v>0</v>
      </c>
      <c r="H31" s="20">
        <v>0</v>
      </c>
      <c r="I31" s="48">
        <v>0</v>
      </c>
      <c r="J31" s="20">
        <f t="shared" si="1"/>
        <v>0</v>
      </c>
      <c r="K31" s="176">
        <f t="shared" si="2"/>
        <v>0</v>
      </c>
      <c r="L31" s="177">
        <v>0</v>
      </c>
      <c r="M31" s="129">
        <f t="shared" si="3"/>
        <v>4092356.7628000006</v>
      </c>
      <c r="N31" s="8"/>
      <c r="O31" s="1"/>
    </row>
    <row r="32" spans="1:15" ht="15.75">
      <c r="A32" s="28">
        <v>29</v>
      </c>
      <c r="B32" s="29">
        <v>45745</v>
      </c>
      <c r="C32" s="27"/>
      <c r="D32" s="49"/>
      <c r="E32" s="54">
        <v>2280</v>
      </c>
      <c r="F32" s="50">
        <v>95.68</v>
      </c>
      <c r="G32" s="54">
        <f t="shared" si="0"/>
        <v>218150.40000000002</v>
      </c>
      <c r="H32" s="20">
        <v>20</v>
      </c>
      <c r="I32" s="48">
        <v>107.46</v>
      </c>
      <c r="J32" s="20">
        <f t="shared" si="1"/>
        <v>2149.1999999999998</v>
      </c>
      <c r="K32" s="176">
        <f t="shared" si="2"/>
        <v>220299.60000000003</v>
      </c>
      <c r="L32" s="177">
        <v>4092357.3</v>
      </c>
      <c r="M32" s="129">
        <f t="shared" si="3"/>
        <v>220299.06280000042</v>
      </c>
      <c r="N32" s="8"/>
      <c r="O32" s="1"/>
    </row>
    <row r="33" spans="1:18" ht="15.75">
      <c r="A33" s="28">
        <v>30</v>
      </c>
      <c r="B33" s="259">
        <v>45746</v>
      </c>
      <c r="C33" s="27"/>
      <c r="D33" s="49"/>
      <c r="E33" s="54">
        <v>0</v>
      </c>
      <c r="F33" s="50">
        <v>0</v>
      </c>
      <c r="G33" s="54">
        <f t="shared" si="0"/>
        <v>0</v>
      </c>
      <c r="H33" s="20">
        <v>0</v>
      </c>
      <c r="I33" s="48">
        <v>0</v>
      </c>
      <c r="J33" s="20">
        <f t="shared" si="1"/>
        <v>0</v>
      </c>
      <c r="K33" s="176">
        <f t="shared" si="2"/>
        <v>0</v>
      </c>
      <c r="L33" s="177">
        <v>0</v>
      </c>
      <c r="M33" s="129">
        <f t="shared" si="3"/>
        <v>220299.06280000042</v>
      </c>
      <c r="N33" s="8"/>
      <c r="O33" s="1"/>
      <c r="R33">
        <v>2584221.6967999996</v>
      </c>
    </row>
    <row r="34" spans="1:18" ht="15.75">
      <c r="A34" s="28">
        <v>31</v>
      </c>
      <c r="B34" s="29">
        <v>45747</v>
      </c>
      <c r="C34" s="27"/>
      <c r="D34" s="49"/>
      <c r="E34" s="54">
        <v>0</v>
      </c>
      <c r="F34" s="50">
        <v>0</v>
      </c>
      <c r="G34" s="54">
        <f t="shared" si="0"/>
        <v>0</v>
      </c>
      <c r="H34" s="20">
        <v>0</v>
      </c>
      <c r="I34" s="48">
        <v>0</v>
      </c>
      <c r="J34" s="20">
        <f t="shared" si="1"/>
        <v>0</v>
      </c>
      <c r="K34" s="176">
        <f t="shared" si="2"/>
        <v>0</v>
      </c>
      <c r="L34" s="177">
        <v>0</v>
      </c>
      <c r="M34" s="129">
        <f t="shared" si="3"/>
        <v>220299.06280000042</v>
      </c>
      <c r="N34" s="8"/>
      <c r="O34" s="1"/>
    </row>
    <row r="35" spans="1:18">
      <c r="A35" s="27"/>
      <c r="B35" s="29"/>
      <c r="C35" s="27"/>
      <c r="D35" s="20"/>
      <c r="E35" s="8"/>
      <c r="F35" s="8"/>
      <c r="G35" s="8"/>
      <c r="H35" s="8"/>
      <c r="I35" s="47"/>
      <c r="J35" s="20"/>
      <c r="K35" s="8"/>
      <c r="L35" s="8"/>
      <c r="M35" s="129"/>
      <c r="N35" s="8"/>
      <c r="O35" s="1"/>
    </row>
    <row r="36" spans="1:18">
      <c r="A36" s="60"/>
      <c r="B36" s="60"/>
      <c r="C36" s="60"/>
      <c r="D36" s="60"/>
      <c r="E36" s="61">
        <f>SUM(E4:E35)</f>
        <v>42729.96</v>
      </c>
      <c r="F36" s="61"/>
      <c r="G36" s="61">
        <f>SUM(G4:G35)</f>
        <v>4088402.5728000002</v>
      </c>
      <c r="H36" s="61">
        <f>SUM(H4:H35)</f>
        <v>405</v>
      </c>
      <c r="I36" s="61"/>
      <c r="J36" s="61">
        <f>SUM(J3:J35)</f>
        <v>43521.299999999988</v>
      </c>
      <c r="K36" s="61">
        <f>SUM(K4:K35)</f>
        <v>4131923.8728000009</v>
      </c>
      <c r="L36" s="61">
        <f>SUM(L4:L35)</f>
        <v>9092357.3000000007</v>
      </c>
      <c r="M36" s="61"/>
      <c r="N36" s="61"/>
      <c r="O36" s="36"/>
    </row>
    <row r="37" spans="1:18">
      <c r="A37" s="1"/>
      <c r="B37" s="1"/>
      <c r="C37" s="1"/>
      <c r="D37" s="1"/>
      <c r="E37" s="1"/>
      <c r="F37" s="1"/>
      <c r="G37" s="3"/>
      <c r="H37" s="1"/>
      <c r="I37" s="2"/>
      <c r="J37" s="1"/>
      <c r="K37" s="1"/>
      <c r="L37" s="1"/>
      <c r="M37" s="1"/>
      <c r="N37" s="1"/>
      <c r="O37" s="4"/>
    </row>
    <row r="38" spans="1:18">
      <c r="A38" s="1"/>
      <c r="B38" s="371"/>
      <c r="C38" s="371"/>
      <c r="D38" s="371"/>
      <c r="E38" s="371"/>
      <c r="F38" s="71"/>
      <c r="G38" s="1"/>
      <c r="H38" s="1"/>
      <c r="I38" s="371"/>
      <c r="J38" s="371"/>
      <c r="K38" s="371"/>
      <c r="L38" s="371"/>
      <c r="M38" s="371"/>
      <c r="N38" s="371"/>
      <c r="O38" s="4"/>
    </row>
    <row r="39" spans="1:18">
      <c r="A39" s="1"/>
      <c r="B39" s="1"/>
      <c r="C39" s="1"/>
      <c r="D39" s="1"/>
      <c r="E39" s="1"/>
      <c r="F39" s="1"/>
      <c r="G39" s="1"/>
      <c r="H39" s="1"/>
      <c r="I39" s="2"/>
      <c r="J39" s="1"/>
      <c r="K39" s="1"/>
      <c r="L39" s="1"/>
      <c r="M39" s="1"/>
      <c r="N39" s="1"/>
      <c r="O39" s="4"/>
    </row>
    <row r="41" spans="1:18">
      <c r="E41" s="215">
        <f>E36+H36</f>
        <v>43134.96</v>
      </c>
    </row>
  </sheetData>
  <mergeCells count="4">
    <mergeCell ref="A1:N1"/>
    <mergeCell ref="B38:E38"/>
    <mergeCell ref="I38:N38"/>
    <mergeCell ref="A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0FDB-C841-4265-A23A-57FCCE1432F4}">
  <sheetPr>
    <tabColor rgb="FF00B050"/>
  </sheetPr>
  <dimension ref="A1:N35"/>
  <sheetViews>
    <sheetView topLeftCell="A24" workbookViewId="0">
      <selection activeCell="M33" sqref="M33"/>
    </sheetView>
  </sheetViews>
  <sheetFormatPr defaultRowHeight="15"/>
  <cols>
    <col min="2" max="2" width="12.140625" customWidth="1"/>
    <col min="4" max="4" width="20.85546875" customWidth="1"/>
    <col min="5" max="5" width="23.42578125" customWidth="1"/>
    <col min="7" max="7" width="14.42578125" customWidth="1"/>
    <col min="11" max="11" width="15.5703125" customWidth="1"/>
    <col min="12" max="12" width="16.7109375" customWidth="1"/>
    <col min="13" max="13" width="16" customWidth="1"/>
    <col min="14" max="14" width="17.42578125" customWidth="1"/>
  </cols>
  <sheetData>
    <row r="1" spans="1:14" ht="15.75">
      <c r="A1" s="380" t="s">
        <v>16</v>
      </c>
      <c r="B1" s="380"/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  <c r="N1" s="380"/>
    </row>
    <row r="2" spans="1:14" ht="30.75">
      <c r="A2" s="86" t="s">
        <v>91</v>
      </c>
      <c r="B2" s="107" t="s">
        <v>92</v>
      </c>
      <c r="C2" s="107" t="s">
        <v>93</v>
      </c>
      <c r="D2" s="107" t="s">
        <v>94</v>
      </c>
      <c r="E2" s="107" t="s">
        <v>95</v>
      </c>
      <c r="F2" s="107" t="s">
        <v>96</v>
      </c>
      <c r="G2" s="107" t="s">
        <v>97</v>
      </c>
      <c r="H2" s="107" t="s">
        <v>98</v>
      </c>
      <c r="I2" s="107" t="s">
        <v>96</v>
      </c>
      <c r="J2" s="108" t="s">
        <v>97</v>
      </c>
      <c r="K2" s="151" t="s">
        <v>99</v>
      </c>
      <c r="L2" s="154" t="s">
        <v>100</v>
      </c>
      <c r="M2" s="154" t="s">
        <v>105</v>
      </c>
      <c r="N2" s="152" t="s">
        <v>102</v>
      </c>
    </row>
    <row r="3" spans="1:14">
      <c r="A3" s="382" t="s">
        <v>103</v>
      </c>
      <c r="B3" s="376"/>
      <c r="C3" s="376"/>
      <c r="D3" s="376"/>
      <c r="E3" s="376"/>
      <c r="F3" s="376"/>
      <c r="G3" s="376"/>
      <c r="H3" s="376"/>
      <c r="I3" s="376"/>
      <c r="J3" s="376"/>
      <c r="K3" s="338">
        <v>0</v>
      </c>
      <c r="L3" s="339"/>
      <c r="M3" s="287">
        <f>+K3</f>
        <v>0</v>
      </c>
      <c r="N3" s="119"/>
    </row>
    <row r="4" spans="1:14">
      <c r="A4" s="28">
        <v>1</v>
      </c>
      <c r="B4" s="29">
        <v>45717</v>
      </c>
      <c r="C4" s="19"/>
      <c r="D4" s="19" t="s">
        <v>114</v>
      </c>
      <c r="E4" s="19">
        <v>5000</v>
      </c>
      <c r="F4" s="19">
        <v>95.7</v>
      </c>
      <c r="G4" s="19">
        <f>E4*F4</f>
        <v>478500</v>
      </c>
      <c r="H4" s="19">
        <v>35</v>
      </c>
      <c r="I4" s="19">
        <v>107.48</v>
      </c>
      <c r="J4" s="19">
        <f>H4*I4</f>
        <v>3761.8</v>
      </c>
      <c r="K4" s="19">
        <f>G4+J4</f>
        <v>482261.8</v>
      </c>
      <c r="L4" s="19"/>
      <c r="M4" s="51">
        <f>M3+K4-L4</f>
        <v>482261.8</v>
      </c>
      <c r="N4" s="19"/>
    </row>
    <row r="5" spans="1:14">
      <c r="A5" s="28">
        <v>2</v>
      </c>
      <c r="B5" s="294">
        <v>45718</v>
      </c>
      <c r="C5" s="19"/>
      <c r="D5" s="19"/>
      <c r="E5" s="19"/>
      <c r="F5" s="19"/>
      <c r="G5" s="19">
        <f t="shared" ref="G5:G33" si="0">E5*F5</f>
        <v>0</v>
      </c>
      <c r="H5" s="19"/>
      <c r="I5" s="19"/>
      <c r="J5" s="19">
        <f t="shared" ref="J5:J23" si="1">H5*I5</f>
        <v>0</v>
      </c>
      <c r="K5" s="19">
        <f t="shared" ref="K5:K24" si="2">G5+J5</f>
        <v>0</v>
      </c>
      <c r="L5" s="19"/>
      <c r="M5" s="51">
        <f t="shared" ref="M5:M17" si="3">M4+K5-L5</f>
        <v>482261.8</v>
      </c>
      <c r="N5" s="19"/>
    </row>
    <row r="6" spans="1:14">
      <c r="A6" s="28">
        <v>3</v>
      </c>
      <c r="B6" s="29">
        <v>45719</v>
      </c>
      <c r="C6" s="19"/>
      <c r="D6" s="19"/>
      <c r="E6" s="19"/>
      <c r="F6" s="19"/>
      <c r="G6" s="19">
        <f t="shared" si="0"/>
        <v>0</v>
      </c>
      <c r="H6" s="19"/>
      <c r="I6" s="19"/>
      <c r="J6" s="19">
        <f t="shared" si="1"/>
        <v>0</v>
      </c>
      <c r="K6" s="19">
        <f t="shared" si="2"/>
        <v>0</v>
      </c>
      <c r="L6" s="19"/>
      <c r="M6" s="51">
        <f t="shared" si="3"/>
        <v>482261.8</v>
      </c>
      <c r="N6" s="19"/>
    </row>
    <row r="7" spans="1:14">
      <c r="A7" s="28">
        <v>4</v>
      </c>
      <c r="B7" s="294">
        <v>45720</v>
      </c>
      <c r="C7" s="19"/>
      <c r="D7" s="19"/>
      <c r="E7" s="19"/>
      <c r="F7" s="19"/>
      <c r="G7" s="19">
        <f t="shared" si="0"/>
        <v>0</v>
      </c>
      <c r="H7" s="19"/>
      <c r="I7" s="19"/>
      <c r="J7" s="19">
        <f t="shared" si="1"/>
        <v>0</v>
      </c>
      <c r="K7" s="19">
        <f t="shared" si="2"/>
        <v>0</v>
      </c>
      <c r="L7" s="19"/>
      <c r="M7" s="51">
        <f t="shared" si="3"/>
        <v>482261.8</v>
      </c>
      <c r="N7" s="19"/>
    </row>
    <row r="8" spans="1:14">
      <c r="A8" s="28">
        <v>5</v>
      </c>
      <c r="B8" s="29">
        <v>45721</v>
      </c>
      <c r="C8" s="19"/>
      <c r="D8" s="19"/>
      <c r="E8" s="19"/>
      <c r="F8" s="19"/>
      <c r="G8" s="19">
        <f t="shared" si="0"/>
        <v>0</v>
      </c>
      <c r="H8" s="19"/>
      <c r="I8" s="19"/>
      <c r="J8" s="19">
        <f t="shared" si="1"/>
        <v>0</v>
      </c>
      <c r="K8" s="19">
        <f t="shared" si="2"/>
        <v>0</v>
      </c>
      <c r="L8" s="19"/>
      <c r="M8" s="51">
        <f t="shared" si="3"/>
        <v>482261.8</v>
      </c>
      <c r="N8" s="19"/>
    </row>
    <row r="9" spans="1:14">
      <c r="A9" s="28">
        <v>6</v>
      </c>
      <c r="B9" s="294">
        <v>45722</v>
      </c>
      <c r="C9" s="19"/>
      <c r="D9" s="19"/>
      <c r="E9" s="19"/>
      <c r="F9" s="19"/>
      <c r="G9" s="19">
        <f t="shared" si="0"/>
        <v>0</v>
      </c>
      <c r="H9" s="19"/>
      <c r="I9" s="19"/>
      <c r="J9" s="19">
        <f t="shared" si="1"/>
        <v>0</v>
      </c>
      <c r="K9" s="19">
        <f t="shared" si="2"/>
        <v>0</v>
      </c>
      <c r="L9" s="19"/>
      <c r="M9" s="51">
        <f t="shared" si="3"/>
        <v>482261.8</v>
      </c>
      <c r="N9" s="19"/>
    </row>
    <row r="10" spans="1:14">
      <c r="A10" s="28">
        <v>7</v>
      </c>
      <c r="B10" s="29">
        <v>45723</v>
      </c>
      <c r="C10" s="19"/>
      <c r="D10" s="19">
        <v>2104</v>
      </c>
      <c r="E10" s="19">
        <v>4618.8599999999997</v>
      </c>
      <c r="F10" s="19">
        <v>95.7</v>
      </c>
      <c r="G10" s="19">
        <f t="shared" si="0"/>
        <v>442024.902</v>
      </c>
      <c r="H10" s="19"/>
      <c r="I10" s="19"/>
      <c r="J10" s="19">
        <f t="shared" si="1"/>
        <v>0</v>
      </c>
      <c r="K10" s="19">
        <f t="shared" si="2"/>
        <v>442024.902</v>
      </c>
      <c r="L10" s="19"/>
      <c r="M10" s="51">
        <f t="shared" si="3"/>
        <v>924286.70200000005</v>
      </c>
      <c r="N10" s="19"/>
    </row>
    <row r="11" spans="1:14">
      <c r="A11" s="28">
        <v>8</v>
      </c>
      <c r="B11" s="294">
        <v>45724</v>
      </c>
      <c r="C11" s="19"/>
      <c r="D11" s="19" t="s">
        <v>115</v>
      </c>
      <c r="E11" s="19">
        <v>4320.0200000000004</v>
      </c>
      <c r="F11" s="19">
        <v>95.7</v>
      </c>
      <c r="G11" s="19">
        <f t="shared" si="0"/>
        <v>413425.91400000005</v>
      </c>
      <c r="H11" s="19">
        <v>35</v>
      </c>
      <c r="I11" s="19">
        <v>114.7</v>
      </c>
      <c r="J11" s="19">
        <f t="shared" si="1"/>
        <v>4014.5</v>
      </c>
      <c r="K11" s="19">
        <f t="shared" si="2"/>
        <v>417440.41400000005</v>
      </c>
      <c r="L11" s="19"/>
      <c r="M11" s="51">
        <f t="shared" si="3"/>
        <v>1341727.1160000002</v>
      </c>
      <c r="N11" s="19"/>
    </row>
    <row r="12" spans="1:14">
      <c r="A12" s="28">
        <v>9</v>
      </c>
      <c r="B12" s="29">
        <v>45725</v>
      </c>
      <c r="C12" s="19"/>
      <c r="D12" s="19" t="s">
        <v>116</v>
      </c>
      <c r="E12" s="19">
        <v>5182.3999999999996</v>
      </c>
      <c r="F12" s="19">
        <v>95.7</v>
      </c>
      <c r="G12" s="19">
        <f t="shared" si="0"/>
        <v>495955.68</v>
      </c>
      <c r="H12" s="19"/>
      <c r="I12" s="19"/>
      <c r="J12" s="19">
        <f t="shared" si="1"/>
        <v>0</v>
      </c>
      <c r="K12" s="19">
        <f t="shared" si="2"/>
        <v>495955.68</v>
      </c>
      <c r="L12" s="19"/>
      <c r="M12" s="51">
        <f t="shared" si="3"/>
        <v>1837682.7960000001</v>
      </c>
      <c r="N12" s="19"/>
    </row>
    <row r="13" spans="1:14">
      <c r="A13" s="28">
        <v>10</v>
      </c>
      <c r="B13" s="294">
        <v>45726</v>
      </c>
      <c r="C13" s="19"/>
      <c r="D13" s="19" t="s">
        <v>117</v>
      </c>
      <c r="E13" s="19">
        <v>7150</v>
      </c>
      <c r="F13" s="19">
        <v>95.7</v>
      </c>
      <c r="G13" s="19">
        <f t="shared" si="0"/>
        <v>684255</v>
      </c>
      <c r="H13" s="19">
        <v>55</v>
      </c>
      <c r="I13" s="19">
        <v>107.48</v>
      </c>
      <c r="J13" s="19">
        <f t="shared" si="1"/>
        <v>5911.4000000000005</v>
      </c>
      <c r="K13" s="19">
        <f t="shared" si="2"/>
        <v>690166.4</v>
      </c>
      <c r="L13" s="19"/>
      <c r="M13" s="51">
        <f t="shared" si="3"/>
        <v>2527849.196</v>
      </c>
      <c r="N13" s="19"/>
    </row>
    <row r="14" spans="1:14">
      <c r="A14" s="28">
        <v>11</v>
      </c>
      <c r="B14" s="29">
        <v>45727</v>
      </c>
      <c r="C14" s="19"/>
      <c r="D14" s="19" t="s">
        <v>118</v>
      </c>
      <c r="E14" s="19">
        <v>6457</v>
      </c>
      <c r="F14" s="19">
        <v>95.7</v>
      </c>
      <c r="G14" s="19">
        <f t="shared" si="0"/>
        <v>617934.9</v>
      </c>
      <c r="H14" s="19"/>
      <c r="I14" s="19"/>
      <c r="J14" s="19">
        <f t="shared" si="1"/>
        <v>0</v>
      </c>
      <c r="K14" s="19">
        <f t="shared" si="2"/>
        <v>617934.9</v>
      </c>
      <c r="L14" s="19"/>
      <c r="M14" s="51">
        <f t="shared" si="3"/>
        <v>3145784.0959999999</v>
      </c>
      <c r="N14" s="19"/>
    </row>
    <row r="15" spans="1:14">
      <c r="A15" s="28">
        <v>12</v>
      </c>
      <c r="B15" s="294">
        <v>45728</v>
      </c>
      <c r="C15" s="19"/>
      <c r="D15" s="19" t="s">
        <v>119</v>
      </c>
      <c r="E15" s="19">
        <v>5853.15</v>
      </c>
      <c r="F15" s="19">
        <v>95.7</v>
      </c>
      <c r="G15" s="19">
        <f t="shared" si="0"/>
        <v>560146.45499999996</v>
      </c>
      <c r="H15" s="19"/>
      <c r="I15" s="19"/>
      <c r="J15" s="19">
        <f t="shared" si="1"/>
        <v>0</v>
      </c>
      <c r="K15" s="19">
        <f t="shared" si="2"/>
        <v>560146.45499999996</v>
      </c>
      <c r="L15" s="19"/>
      <c r="M15" s="51">
        <f t="shared" si="3"/>
        <v>3705930.551</v>
      </c>
      <c r="N15" s="19"/>
    </row>
    <row r="16" spans="1:14">
      <c r="A16" s="28">
        <v>13</v>
      </c>
      <c r="B16" s="29">
        <v>45729</v>
      </c>
      <c r="C16" s="19"/>
      <c r="D16" s="19" t="s">
        <v>120</v>
      </c>
      <c r="E16" s="19">
        <v>5764.12</v>
      </c>
      <c r="F16" s="19">
        <v>95.7</v>
      </c>
      <c r="G16" s="19">
        <f t="shared" si="0"/>
        <v>551626.28399999999</v>
      </c>
      <c r="H16" s="19">
        <v>50</v>
      </c>
      <c r="I16" s="19">
        <v>107.48</v>
      </c>
      <c r="J16" s="19">
        <f t="shared" si="1"/>
        <v>5374</v>
      </c>
      <c r="K16" s="19">
        <f t="shared" si="2"/>
        <v>557000.28399999999</v>
      </c>
      <c r="L16" s="19"/>
      <c r="M16" s="51">
        <f t="shared" si="3"/>
        <v>4262930.835</v>
      </c>
      <c r="N16" s="19"/>
    </row>
    <row r="17" spans="1:14">
      <c r="A17" s="28">
        <v>14</v>
      </c>
      <c r="B17" s="294">
        <v>45730</v>
      </c>
      <c r="C17" s="19"/>
      <c r="D17" s="19" t="s">
        <v>121</v>
      </c>
      <c r="E17" s="19">
        <v>4440.6499999999996</v>
      </c>
      <c r="F17" s="19">
        <v>95.7</v>
      </c>
      <c r="G17" s="19">
        <f t="shared" si="0"/>
        <v>424970.20499999996</v>
      </c>
      <c r="H17" s="19"/>
      <c r="I17" s="19"/>
      <c r="J17" s="19">
        <f t="shared" si="1"/>
        <v>0</v>
      </c>
      <c r="K17" s="19">
        <f t="shared" si="2"/>
        <v>424970.20499999996</v>
      </c>
      <c r="L17" s="19"/>
      <c r="M17" s="51">
        <f>M16+K17-L17</f>
        <v>4687901.04</v>
      </c>
      <c r="N17" s="19"/>
    </row>
    <row r="18" spans="1:14">
      <c r="A18" s="28">
        <v>15</v>
      </c>
      <c r="B18" s="29">
        <v>45731</v>
      </c>
      <c r="C18" s="19"/>
      <c r="D18" s="19">
        <v>2126</v>
      </c>
      <c r="E18" s="19">
        <v>3226.17</v>
      </c>
      <c r="F18" s="19">
        <v>95.7</v>
      </c>
      <c r="G18" s="19">
        <f t="shared" si="0"/>
        <v>308744.46900000004</v>
      </c>
      <c r="H18" s="19"/>
      <c r="I18" s="19"/>
      <c r="J18" s="19">
        <f t="shared" si="1"/>
        <v>0</v>
      </c>
      <c r="K18" s="19">
        <f t="shared" si="2"/>
        <v>308744.46900000004</v>
      </c>
      <c r="L18" s="19"/>
      <c r="M18" s="51">
        <f>M17+K18-L18</f>
        <v>4996645.5089999996</v>
      </c>
      <c r="N18" s="19"/>
    </row>
    <row r="19" spans="1:14">
      <c r="A19" s="28">
        <v>16</v>
      </c>
      <c r="B19" s="294">
        <v>45732</v>
      </c>
      <c r="C19" s="19"/>
      <c r="D19" s="19">
        <v>2127</v>
      </c>
      <c r="E19" s="19">
        <v>3059.03</v>
      </c>
      <c r="F19" s="19">
        <v>95.7</v>
      </c>
      <c r="G19" s="19">
        <f t="shared" si="0"/>
        <v>292749.17100000003</v>
      </c>
      <c r="H19" s="19"/>
      <c r="I19" s="19"/>
      <c r="J19" s="19">
        <f t="shared" si="1"/>
        <v>0</v>
      </c>
      <c r="K19" s="19">
        <f t="shared" si="2"/>
        <v>292749.17100000003</v>
      </c>
      <c r="L19" s="19"/>
      <c r="M19" s="51">
        <f>M18+K19-L19</f>
        <v>5289394.68</v>
      </c>
      <c r="N19" s="19"/>
    </row>
    <row r="20" spans="1:14">
      <c r="A20" s="28">
        <v>17</v>
      </c>
      <c r="B20" s="29">
        <v>45733</v>
      </c>
      <c r="C20" s="19"/>
      <c r="D20" s="19" t="s">
        <v>122</v>
      </c>
      <c r="E20" s="19">
        <v>5976.4</v>
      </c>
      <c r="F20" s="19">
        <v>95.7</v>
      </c>
      <c r="G20" s="19">
        <f t="shared" si="0"/>
        <v>571941.48</v>
      </c>
      <c r="H20" s="19">
        <v>55</v>
      </c>
      <c r="I20" s="19">
        <v>107.48</v>
      </c>
      <c r="J20" s="19">
        <f t="shared" si="1"/>
        <v>5911.4000000000005</v>
      </c>
      <c r="K20" s="19">
        <f t="shared" si="2"/>
        <v>577852.88</v>
      </c>
      <c r="L20" s="19"/>
      <c r="M20" s="51">
        <f>M19+K20-L20</f>
        <v>5867247.5599999996</v>
      </c>
      <c r="N20" s="19"/>
    </row>
    <row r="21" spans="1:14">
      <c r="A21" s="28">
        <v>18</v>
      </c>
      <c r="B21" s="294">
        <v>45734</v>
      </c>
      <c r="C21" s="19"/>
      <c r="D21" s="19" t="s">
        <v>123</v>
      </c>
      <c r="E21" s="19">
        <v>2499.9899999999998</v>
      </c>
      <c r="F21" s="19">
        <v>95.7</v>
      </c>
      <c r="G21" s="19">
        <f t="shared" si="0"/>
        <v>239249.04299999998</v>
      </c>
      <c r="H21" s="19">
        <v>35</v>
      </c>
      <c r="I21" s="19">
        <v>107.48</v>
      </c>
      <c r="J21" s="19">
        <f t="shared" si="1"/>
        <v>3761.8</v>
      </c>
      <c r="K21" s="19">
        <f t="shared" si="2"/>
        <v>243010.84299999996</v>
      </c>
      <c r="L21" s="19"/>
      <c r="M21" s="51">
        <f>M20+K21-L21</f>
        <v>6110258.4029999999</v>
      </c>
      <c r="N21" s="19"/>
    </row>
    <row r="22" spans="1:14">
      <c r="A22" s="28">
        <v>19</v>
      </c>
      <c r="B22" s="29">
        <v>45735</v>
      </c>
      <c r="C22" s="19"/>
      <c r="D22" s="19" t="s">
        <v>124</v>
      </c>
      <c r="E22" s="19">
        <v>4800</v>
      </c>
      <c r="F22" s="19">
        <v>95.7</v>
      </c>
      <c r="G22" s="19">
        <f t="shared" si="0"/>
        <v>459360</v>
      </c>
      <c r="H22" s="19">
        <v>35</v>
      </c>
      <c r="I22" s="19">
        <v>107.48</v>
      </c>
      <c r="J22" s="19">
        <f t="shared" si="1"/>
        <v>3761.8</v>
      </c>
      <c r="K22" s="19">
        <f t="shared" si="2"/>
        <v>463121.8</v>
      </c>
      <c r="L22" s="19"/>
      <c r="M22" s="51">
        <f>M21+K22-L22</f>
        <v>6573380.2029999997</v>
      </c>
      <c r="N22" s="19"/>
    </row>
    <row r="23" spans="1:14">
      <c r="A23" s="28">
        <v>20</v>
      </c>
      <c r="B23" s="294">
        <v>45736</v>
      </c>
      <c r="C23" s="19"/>
      <c r="D23" s="19" t="s">
        <v>125</v>
      </c>
      <c r="E23" s="19">
        <v>7500</v>
      </c>
      <c r="F23" s="19">
        <v>95.7</v>
      </c>
      <c r="G23" s="19">
        <f t="shared" si="0"/>
        <v>717750</v>
      </c>
      <c r="H23" s="19">
        <v>55</v>
      </c>
      <c r="I23" s="19">
        <v>107.48</v>
      </c>
      <c r="J23" s="19">
        <f t="shared" si="1"/>
        <v>5911.4000000000005</v>
      </c>
      <c r="K23" s="19">
        <f t="shared" si="2"/>
        <v>723661.4</v>
      </c>
      <c r="L23" s="19"/>
      <c r="M23" s="51">
        <f>M22+K23-L23</f>
        <v>7297041.6030000001</v>
      </c>
      <c r="N23" s="19"/>
    </row>
    <row r="24" spans="1:14">
      <c r="A24" s="28">
        <v>21</v>
      </c>
      <c r="B24" s="29">
        <v>45737</v>
      </c>
      <c r="C24" s="19"/>
      <c r="D24" s="19">
        <v>2141</v>
      </c>
      <c r="E24" s="19">
        <v>2500</v>
      </c>
      <c r="F24" s="19">
        <v>95.7</v>
      </c>
      <c r="G24" s="19">
        <f t="shared" si="0"/>
        <v>239250</v>
      </c>
      <c r="H24" s="19"/>
      <c r="I24" s="19"/>
      <c r="J24" s="19">
        <f t="shared" ref="J24:J33" si="4">H24*I24</f>
        <v>0</v>
      </c>
      <c r="K24" s="19">
        <f t="shared" ref="K24:K33" si="5">G24+J24</f>
        <v>239250</v>
      </c>
      <c r="L24" s="19"/>
      <c r="M24" s="51">
        <f>M23+K24-L24</f>
        <v>7536291.6030000001</v>
      </c>
      <c r="N24" s="19"/>
    </row>
    <row r="25" spans="1:14">
      <c r="A25" s="28">
        <v>22</v>
      </c>
      <c r="B25" s="294">
        <v>45738</v>
      </c>
      <c r="C25" s="19"/>
      <c r="D25" s="19" t="s">
        <v>126</v>
      </c>
      <c r="E25" s="19">
        <v>5000</v>
      </c>
      <c r="F25" s="19">
        <v>95.7</v>
      </c>
      <c r="G25" s="19">
        <f t="shared" si="0"/>
        <v>478500</v>
      </c>
      <c r="H25" s="19">
        <v>70</v>
      </c>
      <c r="I25" s="19">
        <v>107.48</v>
      </c>
      <c r="J25" s="19">
        <f t="shared" si="4"/>
        <v>7523.6</v>
      </c>
      <c r="K25" s="19">
        <f t="shared" si="5"/>
        <v>486023.6</v>
      </c>
      <c r="L25" s="19"/>
      <c r="M25" s="51">
        <f>M24+K25-L25</f>
        <v>8022315.2029999997</v>
      </c>
      <c r="N25" s="19"/>
    </row>
    <row r="26" spans="1:14">
      <c r="A26" s="28">
        <v>23</v>
      </c>
      <c r="B26" s="29">
        <v>45739</v>
      </c>
      <c r="C26" s="19"/>
      <c r="D26" s="19" t="s">
        <v>127</v>
      </c>
      <c r="E26" s="19">
        <v>2500</v>
      </c>
      <c r="F26" s="19">
        <v>95.7</v>
      </c>
      <c r="G26" s="19">
        <f t="shared" si="0"/>
        <v>239250</v>
      </c>
      <c r="H26" s="19">
        <v>20</v>
      </c>
      <c r="I26" s="19">
        <v>107.48</v>
      </c>
      <c r="J26" s="19">
        <f t="shared" si="4"/>
        <v>2149.6</v>
      </c>
      <c r="K26" s="19">
        <f t="shared" si="5"/>
        <v>241399.6</v>
      </c>
      <c r="L26" s="19"/>
      <c r="M26" s="51">
        <f>M25+K26-L26</f>
        <v>8263714.8029999994</v>
      </c>
      <c r="N26" s="19"/>
    </row>
    <row r="27" spans="1:14">
      <c r="A27" s="28">
        <v>24</v>
      </c>
      <c r="B27" s="294">
        <v>45740</v>
      </c>
      <c r="C27" s="19"/>
      <c r="D27" s="19" t="s">
        <v>128</v>
      </c>
      <c r="E27" s="19">
        <v>2500</v>
      </c>
      <c r="F27" s="19">
        <v>95.7</v>
      </c>
      <c r="G27" s="19">
        <f t="shared" si="0"/>
        <v>239250</v>
      </c>
      <c r="H27" s="19">
        <v>35</v>
      </c>
      <c r="I27" s="19">
        <v>107.48</v>
      </c>
      <c r="J27" s="19">
        <f t="shared" si="4"/>
        <v>3761.8</v>
      </c>
      <c r="K27" s="19">
        <f t="shared" si="5"/>
        <v>243011.8</v>
      </c>
      <c r="L27" s="19"/>
      <c r="M27" s="51">
        <f>M26+K27-L27</f>
        <v>8506726.6030000001</v>
      </c>
      <c r="N27" s="19"/>
    </row>
    <row r="28" spans="1:14">
      <c r="A28" s="28">
        <v>25</v>
      </c>
      <c r="B28" s="29">
        <v>45741</v>
      </c>
      <c r="C28" s="19"/>
      <c r="D28" s="19" t="s">
        <v>129</v>
      </c>
      <c r="E28" s="19">
        <v>6801.25</v>
      </c>
      <c r="F28" s="19">
        <v>95.7</v>
      </c>
      <c r="G28" s="19">
        <f t="shared" si="0"/>
        <v>650879.625</v>
      </c>
      <c r="H28" s="19">
        <v>55</v>
      </c>
      <c r="I28" s="19">
        <v>107.48</v>
      </c>
      <c r="J28" s="19">
        <f t="shared" si="4"/>
        <v>5911.4000000000005</v>
      </c>
      <c r="K28" s="19">
        <f t="shared" si="5"/>
        <v>656791.02500000002</v>
      </c>
      <c r="L28" s="19"/>
      <c r="M28" s="51">
        <f>M27+K28-L28</f>
        <v>9163517.6280000005</v>
      </c>
      <c r="N28" s="19"/>
    </row>
    <row r="29" spans="1:14">
      <c r="A29" s="28">
        <v>26</v>
      </c>
      <c r="B29" s="294">
        <v>45742</v>
      </c>
      <c r="C29" s="19"/>
      <c r="D29" s="19"/>
      <c r="E29" s="19"/>
      <c r="F29" s="19"/>
      <c r="G29" s="19">
        <f t="shared" si="0"/>
        <v>0</v>
      </c>
      <c r="H29" s="19"/>
      <c r="I29" s="19"/>
      <c r="J29" s="19">
        <f t="shared" si="4"/>
        <v>0</v>
      </c>
      <c r="K29" s="19">
        <f t="shared" si="5"/>
        <v>0</v>
      </c>
      <c r="L29" s="19">
        <v>1000000</v>
      </c>
      <c r="M29" s="51">
        <f t="shared" ref="M29:M33" si="6">M28+K29-L29</f>
        <v>8163517.6280000005</v>
      </c>
      <c r="N29" s="19"/>
    </row>
    <row r="30" spans="1:14">
      <c r="A30" s="28">
        <v>27</v>
      </c>
      <c r="B30" s="29">
        <v>45743</v>
      </c>
      <c r="C30" s="19"/>
      <c r="D30" s="19"/>
      <c r="E30" s="19">
        <v>5000</v>
      </c>
      <c r="F30" s="19">
        <v>95.7</v>
      </c>
      <c r="G30" s="19">
        <f t="shared" si="0"/>
        <v>478500</v>
      </c>
      <c r="H30" s="19">
        <v>35</v>
      </c>
      <c r="I30" s="19">
        <v>107.48</v>
      </c>
      <c r="J30" s="19">
        <f t="shared" si="4"/>
        <v>3761.8</v>
      </c>
      <c r="K30" s="19">
        <f t="shared" si="5"/>
        <v>482261.8</v>
      </c>
      <c r="L30" s="19">
        <v>1000000</v>
      </c>
      <c r="M30" s="51">
        <f t="shared" si="6"/>
        <v>7645779.4280000012</v>
      </c>
      <c r="N30" s="19"/>
    </row>
    <row r="31" spans="1:14">
      <c r="A31" s="28">
        <v>28</v>
      </c>
      <c r="B31" s="294">
        <v>45744</v>
      </c>
      <c r="C31" s="19"/>
      <c r="D31" s="19"/>
      <c r="E31" s="19">
        <v>4957.53</v>
      </c>
      <c r="F31" s="19">
        <v>95.7</v>
      </c>
      <c r="G31" s="19">
        <f t="shared" si="0"/>
        <v>474435.62099999998</v>
      </c>
      <c r="H31" s="19">
        <v>20</v>
      </c>
      <c r="I31" s="19">
        <v>107.48</v>
      </c>
      <c r="J31" s="19">
        <f t="shared" si="4"/>
        <v>2149.6</v>
      </c>
      <c r="K31" s="19">
        <f t="shared" si="5"/>
        <v>476585.22099999996</v>
      </c>
      <c r="L31" s="19">
        <v>1000000</v>
      </c>
      <c r="M31" s="51">
        <f t="shared" si="6"/>
        <v>7122364.6490000011</v>
      </c>
      <c r="N31" s="19"/>
    </row>
    <row r="32" spans="1:14">
      <c r="A32" s="28">
        <v>29</v>
      </c>
      <c r="B32" s="29">
        <v>45745</v>
      </c>
      <c r="C32" s="19"/>
      <c r="D32" s="19"/>
      <c r="E32" s="19">
        <v>2500</v>
      </c>
      <c r="F32" s="19">
        <v>95.7</v>
      </c>
      <c r="G32" s="19">
        <f t="shared" si="0"/>
        <v>239250</v>
      </c>
      <c r="H32" s="19">
        <v>35</v>
      </c>
      <c r="I32" s="19">
        <v>107.48</v>
      </c>
      <c r="J32" s="19">
        <f t="shared" si="4"/>
        <v>3761.8</v>
      </c>
      <c r="K32" s="19">
        <f t="shared" si="5"/>
        <v>243011.8</v>
      </c>
      <c r="L32" s="19">
        <v>1000000</v>
      </c>
      <c r="M32" s="51">
        <f t="shared" si="6"/>
        <v>6365376.449000001</v>
      </c>
      <c r="N32" s="19"/>
    </row>
    <row r="33" spans="1:14">
      <c r="A33" s="28">
        <v>30</v>
      </c>
      <c r="B33" s="294">
        <v>45746</v>
      </c>
      <c r="C33" s="19"/>
      <c r="D33" s="19"/>
      <c r="E33" s="19">
        <v>2500</v>
      </c>
      <c r="F33" s="19">
        <v>95.7</v>
      </c>
      <c r="G33" s="19">
        <f t="shared" si="0"/>
        <v>239250</v>
      </c>
      <c r="H33" s="19"/>
      <c r="I33" s="19"/>
      <c r="J33" s="19">
        <f t="shared" si="4"/>
        <v>0</v>
      </c>
      <c r="K33" s="19">
        <f t="shared" si="5"/>
        <v>239250</v>
      </c>
      <c r="L33" s="19">
        <v>6122365</v>
      </c>
      <c r="M33" s="51">
        <f t="shared" si="6"/>
        <v>482261.44900000095</v>
      </c>
      <c r="N33" s="19"/>
    </row>
    <row r="34" spans="1:14">
      <c r="A34" s="28">
        <v>31</v>
      </c>
      <c r="B34" s="29">
        <v>45747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1:14">
      <c r="A35" s="60"/>
      <c r="B35" s="60"/>
      <c r="C35" s="60"/>
      <c r="D35" s="60"/>
      <c r="E35" s="61">
        <f>SUM(E3:E34)</f>
        <v>110106.57</v>
      </c>
      <c r="F35" s="61"/>
      <c r="G35" s="61">
        <f>SUM(G3:G34)</f>
        <v>10537198.749</v>
      </c>
      <c r="H35" s="61">
        <f>SUM(H3:H34)</f>
        <v>625</v>
      </c>
      <c r="I35" s="61"/>
      <c r="J35" s="61">
        <f>SUM(J2:J34)</f>
        <v>67427.7</v>
      </c>
      <c r="K35" s="61">
        <f>SUM(K3:K34)</f>
        <v>10604626.449000003</v>
      </c>
      <c r="L35" s="61">
        <f>SUM(L3:L34)</f>
        <v>10122365</v>
      </c>
      <c r="M35" s="61"/>
      <c r="N35" s="61"/>
    </row>
  </sheetData>
  <mergeCells count="2">
    <mergeCell ref="A1:N1"/>
    <mergeCell ref="A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FCA35-1BE9-438E-8185-D1566BB4E034}">
  <sheetPr>
    <tabColor rgb="FF00B050"/>
  </sheetPr>
  <dimension ref="A1:N42"/>
  <sheetViews>
    <sheetView topLeftCell="A6" workbookViewId="0">
      <selection activeCell="Q29" sqref="Q29"/>
    </sheetView>
  </sheetViews>
  <sheetFormatPr defaultRowHeight="15"/>
  <cols>
    <col min="2" max="2" width="13.140625" customWidth="1"/>
    <col min="4" max="4" width="22.7109375" customWidth="1"/>
    <col min="5" max="5" width="16.140625" customWidth="1"/>
    <col min="7" max="7" width="13.85546875" customWidth="1"/>
    <col min="11" max="11" width="14" customWidth="1"/>
    <col min="12" max="12" width="23" customWidth="1"/>
    <col min="13" max="13" width="15.7109375" customWidth="1"/>
    <col min="14" max="14" width="17.5703125" customWidth="1"/>
  </cols>
  <sheetData>
    <row r="1" spans="1:14" ht="15.75">
      <c r="A1" s="380" t="s">
        <v>18</v>
      </c>
      <c r="B1" s="380"/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  <c r="N1" s="380"/>
    </row>
    <row r="2" spans="1:14" ht="30.75">
      <c r="A2" s="151" t="s">
        <v>91</v>
      </c>
      <c r="B2" s="152" t="s">
        <v>92</v>
      </c>
      <c r="C2" s="152" t="s">
        <v>93</v>
      </c>
      <c r="D2" s="152" t="s">
        <v>94</v>
      </c>
      <c r="E2" s="152" t="s">
        <v>95</v>
      </c>
      <c r="F2" s="152" t="s">
        <v>96</v>
      </c>
      <c r="G2" s="152" t="s">
        <v>97</v>
      </c>
      <c r="H2" s="152" t="s">
        <v>98</v>
      </c>
      <c r="I2" s="152" t="s">
        <v>96</v>
      </c>
      <c r="J2" s="153" t="s">
        <v>97</v>
      </c>
      <c r="K2" s="151" t="s">
        <v>99</v>
      </c>
      <c r="L2" s="154" t="s">
        <v>100</v>
      </c>
      <c r="M2" s="154" t="s">
        <v>105</v>
      </c>
      <c r="N2" s="152" t="s">
        <v>102</v>
      </c>
    </row>
    <row r="3" spans="1:14">
      <c r="A3" s="383" t="s">
        <v>103</v>
      </c>
      <c r="B3" s="383"/>
      <c r="C3" s="383"/>
      <c r="D3" s="383"/>
      <c r="E3" s="383"/>
      <c r="F3" s="383"/>
      <c r="G3" s="383"/>
      <c r="H3" s="383"/>
      <c r="I3" s="383"/>
      <c r="J3" s="383"/>
      <c r="K3" s="260">
        <v>0</v>
      </c>
      <c r="L3" s="120"/>
      <c r="M3" s="51">
        <f>+K3</f>
        <v>0</v>
      </c>
      <c r="N3" s="19"/>
    </row>
    <row r="4" spans="1:14">
      <c r="A4" s="28">
        <v>1</v>
      </c>
      <c r="B4" s="29">
        <v>45717</v>
      </c>
      <c r="C4" s="19"/>
      <c r="D4" s="19"/>
      <c r="E4" s="51"/>
      <c r="F4" s="51"/>
      <c r="G4" s="51">
        <f>E4*F4</f>
        <v>0</v>
      </c>
      <c r="H4" s="51"/>
      <c r="I4" s="51"/>
      <c r="J4" s="51">
        <f>H4*I4</f>
        <v>0</v>
      </c>
      <c r="K4" s="51">
        <f>G4+J4</f>
        <v>0</v>
      </c>
      <c r="L4" s="51"/>
      <c r="M4" s="51">
        <f>M3+K4-L4</f>
        <v>0</v>
      </c>
      <c r="N4" s="51"/>
    </row>
    <row r="5" spans="1:14">
      <c r="A5" s="28">
        <v>2</v>
      </c>
      <c r="B5" s="294">
        <v>45718</v>
      </c>
      <c r="C5" s="19"/>
      <c r="D5" s="19">
        <v>673</v>
      </c>
      <c r="E5" s="51">
        <v>216.17</v>
      </c>
      <c r="F5" s="51">
        <v>95.76</v>
      </c>
      <c r="G5" s="51">
        <f>E5*F5</f>
        <v>20700.439200000001</v>
      </c>
      <c r="H5" s="51"/>
      <c r="I5" s="51"/>
      <c r="J5" s="51">
        <f>H5*I5</f>
        <v>0</v>
      </c>
      <c r="K5" s="51">
        <f t="shared" ref="K5:K35" si="0">G5+J5</f>
        <v>20700.439200000001</v>
      </c>
      <c r="L5" s="51"/>
      <c r="M5" s="51">
        <f t="shared" ref="M5:M35" si="1">M4+K5-L5</f>
        <v>20700.439200000001</v>
      </c>
      <c r="N5" s="51"/>
    </row>
    <row r="6" spans="1:14">
      <c r="A6" s="28">
        <v>3</v>
      </c>
      <c r="B6" s="29">
        <v>45719</v>
      </c>
      <c r="C6" s="19"/>
      <c r="D6" s="19"/>
      <c r="E6" s="51"/>
      <c r="F6" s="51"/>
      <c r="G6" s="51">
        <f t="shared" ref="G6:G35" si="2">E6*F6</f>
        <v>0</v>
      </c>
      <c r="H6" s="51"/>
      <c r="I6" s="51"/>
      <c r="J6" s="51">
        <f t="shared" ref="J6:J35" si="3">H6*I6</f>
        <v>0</v>
      </c>
      <c r="K6" s="51">
        <f t="shared" si="0"/>
        <v>0</v>
      </c>
      <c r="L6" s="51"/>
      <c r="M6" s="51">
        <f t="shared" si="1"/>
        <v>20700.439200000001</v>
      </c>
      <c r="N6" s="51"/>
    </row>
    <row r="7" spans="1:14">
      <c r="A7" s="28">
        <v>4</v>
      </c>
      <c r="B7" s="294">
        <v>45720</v>
      </c>
      <c r="C7" s="19"/>
      <c r="D7" s="19"/>
      <c r="E7" s="51"/>
      <c r="F7" s="51"/>
      <c r="G7" s="51">
        <f t="shared" si="2"/>
        <v>0</v>
      </c>
      <c r="H7" s="51"/>
      <c r="I7" s="51"/>
      <c r="J7" s="51">
        <f t="shared" si="3"/>
        <v>0</v>
      </c>
      <c r="K7" s="51">
        <f t="shared" si="0"/>
        <v>0</v>
      </c>
      <c r="L7" s="51"/>
      <c r="M7" s="51">
        <f t="shared" si="1"/>
        <v>20700.439200000001</v>
      </c>
      <c r="N7" s="51"/>
    </row>
    <row r="8" spans="1:14">
      <c r="A8" s="28">
        <v>5</v>
      </c>
      <c r="B8" s="29">
        <v>45721</v>
      </c>
      <c r="C8" s="19"/>
      <c r="D8" s="19"/>
      <c r="E8" s="51"/>
      <c r="F8" s="51"/>
      <c r="G8" s="51">
        <f t="shared" si="2"/>
        <v>0</v>
      </c>
      <c r="H8" s="51"/>
      <c r="I8" s="51"/>
      <c r="J8" s="51">
        <f t="shared" si="3"/>
        <v>0</v>
      </c>
      <c r="K8" s="51">
        <f t="shared" si="0"/>
        <v>0</v>
      </c>
      <c r="L8" s="51"/>
      <c r="M8" s="51">
        <f t="shared" si="1"/>
        <v>20700.439200000001</v>
      </c>
      <c r="N8" s="51"/>
    </row>
    <row r="9" spans="1:14">
      <c r="A9" s="28">
        <v>6</v>
      </c>
      <c r="B9" s="294">
        <v>45722</v>
      </c>
      <c r="C9" s="19"/>
      <c r="D9" s="19"/>
      <c r="E9" s="51"/>
      <c r="F9" s="51"/>
      <c r="G9" s="51">
        <f t="shared" si="2"/>
        <v>0</v>
      </c>
      <c r="H9" s="51"/>
      <c r="I9" s="51"/>
      <c r="J9" s="51">
        <f t="shared" si="3"/>
        <v>0</v>
      </c>
      <c r="K9" s="51">
        <f t="shared" si="0"/>
        <v>0</v>
      </c>
      <c r="L9" s="51"/>
      <c r="M9" s="51">
        <f t="shared" si="1"/>
        <v>20700.439200000001</v>
      </c>
      <c r="N9" s="51"/>
    </row>
    <row r="10" spans="1:14">
      <c r="A10" s="28">
        <v>7</v>
      </c>
      <c r="B10" s="29">
        <v>45723</v>
      </c>
      <c r="C10" s="19"/>
      <c r="D10">
        <v>712</v>
      </c>
      <c r="E10" s="51">
        <v>227</v>
      </c>
      <c r="F10" s="51">
        <v>95.76</v>
      </c>
      <c r="G10" s="51">
        <f t="shared" si="2"/>
        <v>21737.52</v>
      </c>
      <c r="H10" s="51"/>
      <c r="I10" s="51"/>
      <c r="J10" s="51">
        <f t="shared" si="3"/>
        <v>0</v>
      </c>
      <c r="K10" s="51">
        <f t="shared" si="0"/>
        <v>21737.52</v>
      </c>
      <c r="L10" s="51"/>
      <c r="M10" s="51">
        <f t="shared" si="1"/>
        <v>42437.959199999998</v>
      </c>
      <c r="N10" s="51"/>
    </row>
    <row r="11" spans="1:14">
      <c r="A11" s="28">
        <v>8</v>
      </c>
      <c r="B11" s="294">
        <v>45724</v>
      </c>
      <c r="C11" s="19"/>
      <c r="D11" s="19" t="s">
        <v>130</v>
      </c>
      <c r="E11" s="51">
        <v>539.66999999999996</v>
      </c>
      <c r="F11" s="51">
        <v>95.76</v>
      </c>
      <c r="G11" s="51">
        <f t="shared" si="2"/>
        <v>51678.799200000001</v>
      </c>
      <c r="H11" s="51"/>
      <c r="I11" s="51"/>
      <c r="J11" s="51">
        <f t="shared" si="3"/>
        <v>0</v>
      </c>
      <c r="K11" s="51">
        <f t="shared" si="0"/>
        <v>51678.799200000001</v>
      </c>
      <c r="L11" s="51"/>
      <c r="M11" s="51">
        <f t="shared" si="1"/>
        <v>94116.758399999992</v>
      </c>
      <c r="N11" s="51"/>
    </row>
    <row r="12" spans="1:14">
      <c r="A12" s="28">
        <v>9</v>
      </c>
      <c r="B12" s="29">
        <v>45725</v>
      </c>
      <c r="C12" s="19"/>
      <c r="D12" s="19" t="s">
        <v>131</v>
      </c>
      <c r="E12" s="51">
        <v>2202</v>
      </c>
      <c r="F12" s="51">
        <v>95.76</v>
      </c>
      <c r="G12" s="51">
        <f t="shared" si="2"/>
        <v>210863.52000000002</v>
      </c>
      <c r="H12" s="51"/>
      <c r="I12" s="51"/>
      <c r="J12" s="51">
        <f t="shared" si="3"/>
        <v>0</v>
      </c>
      <c r="K12" s="51">
        <f t="shared" si="0"/>
        <v>210863.52000000002</v>
      </c>
      <c r="L12" s="51"/>
      <c r="M12" s="51">
        <f t="shared" si="1"/>
        <v>304980.27840000001</v>
      </c>
      <c r="N12" s="51"/>
    </row>
    <row r="13" spans="1:14">
      <c r="A13" s="28">
        <v>10</v>
      </c>
      <c r="B13" s="294">
        <v>45726</v>
      </c>
      <c r="C13" s="19"/>
      <c r="D13" s="19"/>
      <c r="E13" s="51"/>
      <c r="F13" s="51"/>
      <c r="G13" s="51">
        <f t="shared" si="2"/>
        <v>0</v>
      </c>
      <c r="H13" s="51"/>
      <c r="I13" s="51"/>
      <c r="J13" s="51">
        <f t="shared" si="3"/>
        <v>0</v>
      </c>
      <c r="K13" s="51">
        <f t="shared" si="0"/>
        <v>0</v>
      </c>
      <c r="L13" s="51"/>
      <c r="M13" s="51">
        <f t="shared" si="1"/>
        <v>304980.27840000001</v>
      </c>
      <c r="N13" s="51"/>
    </row>
    <row r="14" spans="1:14">
      <c r="A14" s="28">
        <v>11</v>
      </c>
      <c r="B14" s="29">
        <v>45727</v>
      </c>
      <c r="C14" s="19"/>
      <c r="D14" s="19" t="s">
        <v>132</v>
      </c>
      <c r="E14" s="51">
        <v>1043.6400000000001</v>
      </c>
      <c r="F14" s="51">
        <v>95.76</v>
      </c>
      <c r="G14" s="51">
        <f t="shared" si="2"/>
        <v>99938.966400000019</v>
      </c>
      <c r="H14" s="51"/>
      <c r="I14" s="51"/>
      <c r="J14" s="51">
        <f t="shared" si="3"/>
        <v>0</v>
      </c>
      <c r="K14" s="51">
        <f t="shared" si="0"/>
        <v>99938.966400000019</v>
      </c>
      <c r="L14" s="51"/>
      <c r="M14" s="51">
        <f t="shared" si="1"/>
        <v>404919.24480000004</v>
      </c>
      <c r="N14" s="51"/>
    </row>
    <row r="15" spans="1:14">
      <c r="A15" s="28">
        <v>12</v>
      </c>
      <c r="B15" s="294">
        <v>45728</v>
      </c>
      <c r="C15" s="19"/>
      <c r="D15" s="19"/>
      <c r="E15" s="51"/>
      <c r="F15" s="51"/>
      <c r="G15" s="51">
        <f t="shared" si="2"/>
        <v>0</v>
      </c>
      <c r="H15" s="51"/>
      <c r="I15" s="51"/>
      <c r="J15" s="51">
        <f t="shared" si="3"/>
        <v>0</v>
      </c>
      <c r="K15" s="51">
        <f t="shared" si="0"/>
        <v>0</v>
      </c>
      <c r="L15" s="51"/>
      <c r="M15" s="51">
        <f t="shared" si="1"/>
        <v>404919.24480000004</v>
      </c>
      <c r="N15" s="51"/>
    </row>
    <row r="16" spans="1:14">
      <c r="A16" s="28">
        <v>13</v>
      </c>
      <c r="B16" s="29">
        <v>45729</v>
      </c>
      <c r="C16" s="19"/>
      <c r="D16" s="19" t="s">
        <v>133</v>
      </c>
      <c r="E16" s="51">
        <v>3040.17</v>
      </c>
      <c r="F16" s="51">
        <v>95.76</v>
      </c>
      <c r="G16" s="51">
        <f t="shared" si="2"/>
        <v>291126.67920000001</v>
      </c>
      <c r="H16" s="51"/>
      <c r="I16" s="51"/>
      <c r="J16" s="51">
        <f t="shared" si="3"/>
        <v>0</v>
      </c>
      <c r="K16" s="51">
        <f t="shared" si="0"/>
        <v>291126.67920000001</v>
      </c>
      <c r="L16" s="51"/>
      <c r="M16" s="51">
        <f t="shared" si="1"/>
        <v>696045.92400000012</v>
      </c>
      <c r="N16" s="51"/>
    </row>
    <row r="17" spans="1:14">
      <c r="A17" s="28">
        <v>14</v>
      </c>
      <c r="B17" s="294">
        <v>45730</v>
      </c>
      <c r="C17" s="19"/>
      <c r="D17" s="19"/>
      <c r="E17" s="51"/>
      <c r="F17" s="51"/>
      <c r="G17" s="51">
        <f t="shared" si="2"/>
        <v>0</v>
      </c>
      <c r="H17" s="51"/>
      <c r="I17" s="51"/>
      <c r="J17" s="51">
        <f t="shared" si="3"/>
        <v>0</v>
      </c>
      <c r="K17" s="51">
        <f t="shared" si="0"/>
        <v>0</v>
      </c>
      <c r="L17" s="51"/>
      <c r="M17" s="51">
        <f t="shared" si="1"/>
        <v>696045.92400000012</v>
      </c>
      <c r="N17" s="51"/>
    </row>
    <row r="18" spans="1:14">
      <c r="A18" s="28">
        <v>15</v>
      </c>
      <c r="B18" s="29">
        <v>45731</v>
      </c>
      <c r="C18" s="19"/>
      <c r="D18" s="19" t="s">
        <v>134</v>
      </c>
      <c r="E18" s="51">
        <v>864.99</v>
      </c>
      <c r="F18" s="51">
        <v>95.76</v>
      </c>
      <c r="G18" s="51">
        <f t="shared" si="2"/>
        <v>82831.4424</v>
      </c>
      <c r="H18" s="51"/>
      <c r="I18" s="51"/>
      <c r="J18" s="51">
        <f t="shared" si="3"/>
        <v>0</v>
      </c>
      <c r="K18" s="51">
        <f t="shared" si="0"/>
        <v>82831.4424</v>
      </c>
      <c r="L18" s="51"/>
      <c r="M18" s="51">
        <f t="shared" si="1"/>
        <v>778877.36640000017</v>
      </c>
      <c r="N18" s="51"/>
    </row>
    <row r="19" spans="1:14">
      <c r="A19" s="28">
        <v>16</v>
      </c>
      <c r="B19" s="294">
        <v>45732</v>
      </c>
      <c r="C19" s="19"/>
      <c r="D19" s="19" t="s">
        <v>135</v>
      </c>
      <c r="E19" s="51">
        <v>1831.39</v>
      </c>
      <c r="F19" s="51">
        <v>95.76</v>
      </c>
      <c r="G19" s="51">
        <f t="shared" si="2"/>
        <v>175373.90640000001</v>
      </c>
      <c r="H19" s="51"/>
      <c r="I19" s="51"/>
      <c r="J19" s="51">
        <f t="shared" si="3"/>
        <v>0</v>
      </c>
      <c r="K19" s="51">
        <f t="shared" si="0"/>
        <v>175373.90640000001</v>
      </c>
      <c r="L19" s="51"/>
      <c r="M19" s="51">
        <f t="shared" si="1"/>
        <v>954251.27280000015</v>
      </c>
      <c r="N19" s="51"/>
    </row>
    <row r="20" spans="1:14">
      <c r="A20" s="28">
        <v>17</v>
      </c>
      <c r="B20" s="29">
        <v>45733</v>
      </c>
      <c r="C20" s="19"/>
      <c r="D20" s="19" t="s">
        <v>136</v>
      </c>
      <c r="E20" s="51">
        <v>1885.74</v>
      </c>
      <c r="F20" s="51">
        <v>95.76</v>
      </c>
      <c r="G20" s="51">
        <f t="shared" si="2"/>
        <v>180578.46240000002</v>
      </c>
      <c r="H20" s="51"/>
      <c r="I20" s="51"/>
      <c r="J20" s="51">
        <f t="shared" si="3"/>
        <v>0</v>
      </c>
      <c r="K20" s="51">
        <f t="shared" si="0"/>
        <v>180578.46240000002</v>
      </c>
      <c r="L20" s="51"/>
      <c r="M20" s="51">
        <f t="shared" si="1"/>
        <v>1134829.7352000002</v>
      </c>
      <c r="N20" s="51"/>
    </row>
    <row r="21" spans="1:14">
      <c r="A21" s="28">
        <v>18</v>
      </c>
      <c r="B21" s="294">
        <v>45734</v>
      </c>
      <c r="C21" s="19"/>
      <c r="D21" s="19" t="s">
        <v>137</v>
      </c>
      <c r="E21" s="51">
        <v>1777</v>
      </c>
      <c r="F21" s="51">
        <v>95.76</v>
      </c>
      <c r="G21" s="51">
        <f t="shared" si="2"/>
        <v>170165.52000000002</v>
      </c>
      <c r="H21" s="51"/>
      <c r="I21" s="51"/>
      <c r="J21" s="51">
        <f t="shared" si="3"/>
        <v>0</v>
      </c>
      <c r="K21" s="51">
        <f t="shared" si="0"/>
        <v>170165.52000000002</v>
      </c>
      <c r="L21" s="51"/>
      <c r="M21" s="51">
        <f t="shared" si="1"/>
        <v>1304995.2552000002</v>
      </c>
      <c r="N21" s="51"/>
    </row>
    <row r="22" spans="1:14">
      <c r="A22" s="28">
        <v>19</v>
      </c>
      <c r="B22" s="29">
        <v>45735</v>
      </c>
      <c r="C22" s="19"/>
      <c r="D22" s="19" t="s">
        <v>138</v>
      </c>
      <c r="E22" s="51">
        <v>629.13</v>
      </c>
      <c r="F22" s="51">
        <v>95.76</v>
      </c>
      <c r="G22" s="51">
        <f t="shared" si="2"/>
        <v>60245.488799999999</v>
      </c>
      <c r="H22" s="51"/>
      <c r="I22" s="51"/>
      <c r="J22" s="51">
        <f t="shared" si="3"/>
        <v>0</v>
      </c>
      <c r="K22" s="51">
        <f t="shared" si="0"/>
        <v>60245.488799999999</v>
      </c>
      <c r="L22" s="51"/>
      <c r="M22" s="51">
        <f t="shared" si="1"/>
        <v>1365240.7440000002</v>
      </c>
      <c r="N22" s="51"/>
    </row>
    <row r="23" spans="1:14">
      <c r="A23" s="28">
        <v>20</v>
      </c>
      <c r="B23" s="294">
        <v>45736</v>
      </c>
      <c r="C23" s="19"/>
      <c r="D23" s="330" t="s">
        <v>139</v>
      </c>
      <c r="E23" s="51">
        <v>1827.29</v>
      </c>
      <c r="F23" s="51">
        <v>95.76</v>
      </c>
      <c r="G23" s="51">
        <f t="shared" si="2"/>
        <v>174981.2904</v>
      </c>
      <c r="H23" s="51"/>
      <c r="I23" s="51"/>
      <c r="J23" s="51">
        <f t="shared" si="3"/>
        <v>0</v>
      </c>
      <c r="K23" s="51">
        <f t="shared" si="0"/>
        <v>174981.2904</v>
      </c>
      <c r="L23" s="51"/>
      <c r="M23" s="51">
        <f t="shared" si="1"/>
        <v>1540222.0344000002</v>
      </c>
      <c r="N23" s="51"/>
    </row>
    <row r="24" spans="1:14">
      <c r="A24" s="28">
        <v>21</v>
      </c>
      <c r="B24" s="29">
        <v>45737</v>
      </c>
      <c r="C24" s="19"/>
      <c r="D24" s="19" t="s">
        <v>140</v>
      </c>
      <c r="E24" s="51">
        <v>388</v>
      </c>
      <c r="F24" s="51">
        <v>95.76</v>
      </c>
      <c r="G24" s="51">
        <f t="shared" si="2"/>
        <v>37154.880000000005</v>
      </c>
      <c r="H24" s="51"/>
      <c r="I24" s="51"/>
      <c r="J24" s="51">
        <f t="shared" si="3"/>
        <v>0</v>
      </c>
      <c r="K24" s="51">
        <f t="shared" si="0"/>
        <v>37154.880000000005</v>
      </c>
      <c r="L24" s="51"/>
      <c r="M24" s="51">
        <f t="shared" si="1"/>
        <v>1577376.9144000001</v>
      </c>
      <c r="N24" s="51"/>
    </row>
    <row r="25" spans="1:14">
      <c r="A25" s="28">
        <v>22</v>
      </c>
      <c r="B25" s="294">
        <v>45738</v>
      </c>
      <c r="C25" s="19"/>
      <c r="D25" s="19" t="s">
        <v>141</v>
      </c>
      <c r="E25" s="19">
        <v>929.51</v>
      </c>
      <c r="F25" s="19">
        <v>95.76</v>
      </c>
      <c r="G25" s="19">
        <f>E25*F25</f>
        <v>89009.877600000007</v>
      </c>
      <c r="H25" s="51"/>
      <c r="I25" s="51"/>
      <c r="J25" s="51">
        <f t="shared" si="3"/>
        <v>0</v>
      </c>
      <c r="K25" s="51">
        <f t="shared" si="0"/>
        <v>89009.877600000007</v>
      </c>
      <c r="L25" s="51"/>
      <c r="M25" s="51">
        <f t="shared" si="1"/>
        <v>1666386.7920000001</v>
      </c>
      <c r="N25" s="51"/>
    </row>
    <row r="26" spans="1:14">
      <c r="A26" s="28">
        <v>23</v>
      </c>
      <c r="B26" s="294">
        <v>45738</v>
      </c>
      <c r="C26" s="19"/>
      <c r="D26" s="330" t="s">
        <v>142</v>
      </c>
      <c r="E26" s="19">
        <v>411.81</v>
      </c>
      <c r="F26" s="19">
        <v>95.5</v>
      </c>
      <c r="G26" s="19">
        <f>E26*F26</f>
        <v>39327.855000000003</v>
      </c>
      <c r="H26" s="51"/>
      <c r="I26" s="51"/>
      <c r="J26" s="51">
        <f t="shared" si="3"/>
        <v>0</v>
      </c>
      <c r="K26" s="51">
        <f t="shared" si="0"/>
        <v>39327.855000000003</v>
      </c>
      <c r="L26" s="51"/>
      <c r="M26" s="51">
        <f t="shared" si="1"/>
        <v>1705714.6470000001</v>
      </c>
      <c r="N26" s="51"/>
    </row>
    <row r="27" spans="1:14">
      <c r="A27" s="28">
        <v>24</v>
      </c>
      <c r="B27" s="29">
        <v>45739</v>
      </c>
      <c r="C27" s="19"/>
      <c r="D27" s="19" t="s">
        <v>143</v>
      </c>
      <c r="E27" s="51">
        <v>2072.33</v>
      </c>
      <c r="F27" s="51">
        <v>95.76</v>
      </c>
      <c r="G27" s="51">
        <f t="shared" si="2"/>
        <v>198446.32080000002</v>
      </c>
      <c r="H27" s="51"/>
      <c r="I27" s="51"/>
      <c r="J27" s="51">
        <f t="shared" si="3"/>
        <v>0</v>
      </c>
      <c r="K27" s="51">
        <f t="shared" si="0"/>
        <v>198446.32080000002</v>
      </c>
      <c r="L27" s="51"/>
      <c r="M27" s="51">
        <f t="shared" si="1"/>
        <v>1904160.9678000002</v>
      </c>
      <c r="N27" s="51"/>
    </row>
    <row r="28" spans="1:14" ht="16.5" customHeight="1">
      <c r="A28" s="28">
        <v>25</v>
      </c>
      <c r="B28" s="294">
        <v>45740</v>
      </c>
      <c r="C28" s="19"/>
      <c r="D28" s="249" t="s">
        <v>144</v>
      </c>
      <c r="E28" s="51">
        <v>2432.98</v>
      </c>
      <c r="F28" s="51">
        <v>95.76</v>
      </c>
      <c r="G28" s="51">
        <f t="shared" si="2"/>
        <v>232982.16480000003</v>
      </c>
      <c r="H28" s="51"/>
      <c r="I28" s="51"/>
      <c r="J28" s="51">
        <f t="shared" si="3"/>
        <v>0</v>
      </c>
      <c r="K28" s="51">
        <f t="shared" si="0"/>
        <v>232982.16480000003</v>
      </c>
      <c r="L28" s="51"/>
      <c r="M28" s="51">
        <f t="shared" si="1"/>
        <v>2137143.1326000001</v>
      </c>
      <c r="N28" s="51"/>
    </row>
    <row r="29" spans="1:14">
      <c r="A29" s="28">
        <v>26</v>
      </c>
      <c r="B29" s="29">
        <v>45741</v>
      </c>
      <c r="C29" s="19"/>
      <c r="D29" s="19"/>
      <c r="E29" s="51"/>
      <c r="F29" s="51">
        <v>95.76</v>
      </c>
      <c r="G29" s="51">
        <f t="shared" si="2"/>
        <v>0</v>
      </c>
      <c r="H29" s="51"/>
      <c r="I29" s="51"/>
      <c r="J29" s="51">
        <f t="shared" si="3"/>
        <v>0</v>
      </c>
      <c r="K29" s="51">
        <f t="shared" si="0"/>
        <v>0</v>
      </c>
      <c r="L29" s="51"/>
      <c r="M29" s="51">
        <f t="shared" si="1"/>
        <v>2137143.1326000001</v>
      </c>
      <c r="N29" s="51"/>
    </row>
    <row r="30" spans="1:14">
      <c r="A30" s="28">
        <v>27</v>
      </c>
      <c r="B30" s="294">
        <v>45742</v>
      </c>
      <c r="C30" s="19"/>
      <c r="D30" s="19" t="s">
        <v>145</v>
      </c>
      <c r="E30" s="51">
        <v>660.68</v>
      </c>
      <c r="F30" s="51">
        <v>95.76</v>
      </c>
      <c r="G30" s="51">
        <f t="shared" si="2"/>
        <v>63266.716800000002</v>
      </c>
      <c r="H30" s="51"/>
      <c r="I30" s="51"/>
      <c r="J30" s="51">
        <f t="shared" si="3"/>
        <v>0</v>
      </c>
      <c r="K30" s="51">
        <f t="shared" si="0"/>
        <v>63266.716800000002</v>
      </c>
      <c r="L30" s="51"/>
      <c r="M30" s="51">
        <f t="shared" si="1"/>
        <v>2200409.8494000002</v>
      </c>
      <c r="N30" s="51"/>
    </row>
    <row r="31" spans="1:14">
      <c r="A31" s="28">
        <v>28</v>
      </c>
      <c r="B31" s="29">
        <v>45743</v>
      </c>
      <c r="C31" s="19"/>
      <c r="D31" s="19"/>
      <c r="E31" s="51">
        <v>1000</v>
      </c>
      <c r="F31" s="51">
        <v>95.76</v>
      </c>
      <c r="G31" s="51">
        <f t="shared" si="2"/>
        <v>95760</v>
      </c>
      <c r="H31" s="51"/>
      <c r="I31" s="51"/>
      <c r="J31" s="51">
        <f t="shared" si="3"/>
        <v>0</v>
      </c>
      <c r="K31" s="51">
        <f t="shared" si="0"/>
        <v>95760</v>
      </c>
      <c r="L31" s="51"/>
      <c r="M31" s="51">
        <f t="shared" si="1"/>
        <v>2296169.8494000002</v>
      </c>
      <c r="N31" s="51"/>
    </row>
    <row r="32" spans="1:14">
      <c r="A32" s="28">
        <v>29</v>
      </c>
      <c r="B32" s="294">
        <v>45744</v>
      </c>
      <c r="C32" s="19"/>
      <c r="D32" s="19"/>
      <c r="E32" s="51">
        <v>2913.29</v>
      </c>
      <c r="F32" s="51">
        <v>95.76</v>
      </c>
      <c r="G32" s="51">
        <f t="shared" si="2"/>
        <v>278976.65039999998</v>
      </c>
      <c r="H32" s="51"/>
      <c r="I32" s="51"/>
      <c r="J32" s="51">
        <f t="shared" si="3"/>
        <v>0</v>
      </c>
      <c r="K32" s="51">
        <f t="shared" si="0"/>
        <v>278976.65039999998</v>
      </c>
      <c r="L32" s="51"/>
      <c r="M32" s="51">
        <f t="shared" si="1"/>
        <v>2575146.4998000003</v>
      </c>
      <c r="N32" s="51"/>
    </row>
    <row r="33" spans="1:14">
      <c r="A33" s="28">
        <v>30</v>
      </c>
      <c r="B33" s="29">
        <v>45745</v>
      </c>
      <c r="C33" s="19"/>
      <c r="D33" s="19"/>
      <c r="E33" s="51"/>
      <c r="F33" s="51"/>
      <c r="G33" s="51">
        <f t="shared" si="2"/>
        <v>0</v>
      </c>
      <c r="H33" s="51"/>
      <c r="I33" s="51"/>
      <c r="J33" s="51">
        <f t="shared" si="3"/>
        <v>0</v>
      </c>
      <c r="K33" s="51">
        <f t="shared" si="0"/>
        <v>0</v>
      </c>
      <c r="L33" s="51">
        <v>2575146.5</v>
      </c>
      <c r="M33" s="51">
        <f t="shared" si="1"/>
        <v>-1.9999966025352478E-4</v>
      </c>
      <c r="N33" s="51"/>
    </row>
    <row r="34" spans="1:14">
      <c r="A34" s="28">
        <v>31</v>
      </c>
      <c r="B34" s="294">
        <v>45746</v>
      </c>
      <c r="C34" s="19"/>
      <c r="D34" s="19"/>
      <c r="E34" s="51"/>
      <c r="F34" s="51"/>
      <c r="G34" s="51">
        <f t="shared" si="2"/>
        <v>0</v>
      </c>
      <c r="H34" s="51"/>
      <c r="I34" s="51"/>
      <c r="J34" s="51">
        <f t="shared" si="3"/>
        <v>0</v>
      </c>
      <c r="K34" s="51">
        <f t="shared" si="0"/>
        <v>0</v>
      </c>
      <c r="L34" s="51"/>
      <c r="M34" s="51">
        <f t="shared" si="1"/>
        <v>-1.9999966025352478E-4</v>
      </c>
      <c r="N34" s="51"/>
    </row>
    <row r="35" spans="1:14">
      <c r="A35" s="28">
        <v>32</v>
      </c>
      <c r="B35" s="29">
        <v>45747</v>
      </c>
      <c r="C35" s="19"/>
      <c r="D35" s="19"/>
      <c r="E35" s="51"/>
      <c r="F35" s="51"/>
      <c r="G35" s="51">
        <f t="shared" si="2"/>
        <v>0</v>
      </c>
      <c r="H35" s="51"/>
      <c r="I35" s="51"/>
      <c r="J35" s="51">
        <f t="shared" si="3"/>
        <v>0</v>
      </c>
      <c r="K35" s="51">
        <f t="shared" si="0"/>
        <v>0</v>
      </c>
      <c r="L35" s="51"/>
      <c r="M35" s="51">
        <f t="shared" si="1"/>
        <v>-1.9999966025352478E-4</v>
      </c>
      <c r="N35" s="51"/>
    </row>
    <row r="36" spans="1:14">
      <c r="A36" s="60"/>
      <c r="B36" s="60"/>
      <c r="C36" s="60"/>
      <c r="D36" s="60"/>
      <c r="E36" s="344">
        <f>SUM(E3:E35)</f>
        <v>26892.789999999997</v>
      </c>
      <c r="F36" s="344"/>
      <c r="G36" s="344">
        <f>SUM(G3:G35)</f>
        <v>2575146.4998000003</v>
      </c>
      <c r="H36" s="344">
        <f>SUM(H3:H35)</f>
        <v>0</v>
      </c>
      <c r="I36" s="344"/>
      <c r="J36" s="344">
        <f>SUM(J2:J35)</f>
        <v>0</v>
      </c>
      <c r="K36" s="344">
        <f>SUM(K3:K35)</f>
        <v>2575146.4998000003</v>
      </c>
      <c r="L36" s="344">
        <f>SUM(L3:L35)</f>
        <v>2575146.5</v>
      </c>
      <c r="M36" s="344"/>
      <c r="N36" s="344"/>
    </row>
    <row r="41" spans="1:14">
      <c r="K41">
        <v>1958465.1350000005</v>
      </c>
    </row>
    <row r="42" spans="1:14">
      <c r="K42" s="24">
        <f>M35-K41</f>
        <v>-1958465.1352000001</v>
      </c>
    </row>
  </sheetData>
  <mergeCells count="2">
    <mergeCell ref="A1:N1"/>
    <mergeCell ref="A3: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5461-B56A-421B-8409-CCEF1CCB2111}">
  <sheetPr>
    <tabColor rgb="FF00B050"/>
  </sheetPr>
  <dimension ref="A1:N4"/>
  <sheetViews>
    <sheetView workbookViewId="0">
      <selection activeCell="M18" sqref="M18"/>
    </sheetView>
  </sheetViews>
  <sheetFormatPr defaultRowHeight="15"/>
  <cols>
    <col min="2" max="2" width="10.5703125" bestFit="1" customWidth="1"/>
    <col min="4" max="4" width="16.7109375" customWidth="1"/>
    <col min="5" max="5" width="16.85546875" customWidth="1"/>
    <col min="11" max="11" width="13" customWidth="1"/>
    <col min="12" max="12" width="16.42578125" customWidth="1"/>
    <col min="13" max="13" width="11.140625" bestFit="1" customWidth="1"/>
  </cols>
  <sheetData>
    <row r="1" spans="1:14" ht="15.75">
      <c r="A1" s="380" t="s">
        <v>146</v>
      </c>
      <c r="B1" s="380"/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  <c r="N1" s="380"/>
    </row>
    <row r="2" spans="1:14" ht="30.75">
      <c r="A2" s="151" t="s">
        <v>91</v>
      </c>
      <c r="B2" s="152" t="s">
        <v>92</v>
      </c>
      <c r="C2" s="152" t="s">
        <v>93</v>
      </c>
      <c r="D2" s="152" t="s">
        <v>94</v>
      </c>
      <c r="E2" s="152" t="s">
        <v>95</v>
      </c>
      <c r="F2" s="152" t="s">
        <v>96</v>
      </c>
      <c r="G2" s="152" t="s">
        <v>97</v>
      </c>
      <c r="H2" s="152" t="s">
        <v>98</v>
      </c>
      <c r="I2" s="152" t="s">
        <v>96</v>
      </c>
      <c r="J2" s="153" t="s">
        <v>97</v>
      </c>
      <c r="K2" s="151" t="s">
        <v>99</v>
      </c>
      <c r="L2" s="154" t="s">
        <v>100</v>
      </c>
      <c r="M2" s="154" t="s">
        <v>105</v>
      </c>
      <c r="N2" s="152" t="s">
        <v>102</v>
      </c>
    </row>
    <row r="3" spans="1:14">
      <c r="A3" s="383" t="s">
        <v>103</v>
      </c>
      <c r="B3" s="383"/>
      <c r="C3" s="383"/>
      <c r="D3" s="383"/>
      <c r="E3" s="383"/>
      <c r="F3" s="383"/>
      <c r="G3" s="383"/>
      <c r="H3" s="383"/>
      <c r="I3" s="383"/>
      <c r="J3" s="383"/>
      <c r="K3" s="260">
        <v>0</v>
      </c>
      <c r="L3" s="120"/>
      <c r="M3" s="51">
        <f>+K3</f>
        <v>0</v>
      </c>
      <c r="N3" s="19"/>
    </row>
    <row r="4" spans="1:14">
      <c r="A4">
        <v>1</v>
      </c>
      <c r="B4" t="s">
        <v>147</v>
      </c>
      <c r="D4" t="s">
        <v>148</v>
      </c>
      <c r="E4">
        <v>2360</v>
      </c>
      <c r="F4">
        <v>95.68</v>
      </c>
      <c r="G4">
        <f>E4*F4</f>
        <v>225804.80000000002</v>
      </c>
      <c r="H4">
        <v>55</v>
      </c>
      <c r="I4">
        <v>107.46</v>
      </c>
      <c r="J4">
        <f>H4*I4</f>
        <v>5910.2999999999993</v>
      </c>
      <c r="K4">
        <f>G4+J4</f>
        <v>231715.1</v>
      </c>
      <c r="M4" s="24">
        <f>M3+K4-L4</f>
        <v>231715.1</v>
      </c>
    </row>
  </sheetData>
  <mergeCells count="2">
    <mergeCell ref="A1:N1"/>
    <mergeCell ref="A3:J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3A1F-96EA-4DAE-B7A1-3DBAC484D0C4}">
  <dimension ref="A1:P42"/>
  <sheetViews>
    <sheetView topLeftCell="A7" workbookViewId="0">
      <selection activeCell="V22" sqref="V22"/>
    </sheetView>
  </sheetViews>
  <sheetFormatPr defaultRowHeight="15"/>
  <cols>
    <col min="2" max="2" width="13.42578125" customWidth="1"/>
    <col min="3" max="3" width="11.85546875" customWidth="1"/>
    <col min="4" max="4" width="13.85546875" customWidth="1"/>
    <col min="5" max="5" width="12" customWidth="1"/>
    <col min="6" max="6" width="14.140625" customWidth="1"/>
    <col min="7" max="7" width="12" customWidth="1"/>
    <col min="10" max="10" width="11.85546875" customWidth="1"/>
    <col min="11" max="11" width="12.140625" customWidth="1"/>
    <col min="12" max="13" width="14.42578125" customWidth="1"/>
    <col min="14" max="14" width="16.28515625" customWidth="1"/>
    <col min="16" max="16" width="11.42578125" bestFit="1" customWidth="1"/>
  </cols>
  <sheetData>
    <row r="1" spans="1:16" ht="15.75" customHeight="1">
      <c r="A1" s="384" t="s">
        <v>22</v>
      </c>
      <c r="B1" s="384"/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384"/>
    </row>
    <row r="2" spans="1:16">
      <c r="A2" s="128" t="s">
        <v>91</v>
      </c>
      <c r="B2" s="133" t="s">
        <v>92</v>
      </c>
      <c r="C2" s="133" t="s">
        <v>93</v>
      </c>
      <c r="D2" s="133" t="s">
        <v>94</v>
      </c>
      <c r="E2" s="133" t="s">
        <v>95</v>
      </c>
      <c r="F2" s="133" t="s">
        <v>96</v>
      </c>
      <c r="G2" s="133" t="s">
        <v>97</v>
      </c>
      <c r="H2" s="133" t="s">
        <v>98</v>
      </c>
      <c r="I2" s="133" t="s">
        <v>96</v>
      </c>
      <c r="J2" s="133" t="s">
        <v>97</v>
      </c>
      <c r="K2" s="180" t="s">
        <v>99</v>
      </c>
      <c r="L2" s="180" t="s">
        <v>100</v>
      </c>
      <c r="M2" s="133" t="s">
        <v>149</v>
      </c>
      <c r="N2" s="133" t="s">
        <v>102</v>
      </c>
    </row>
    <row r="3" spans="1:16">
      <c r="A3" s="374" t="s">
        <v>103</v>
      </c>
      <c r="B3" s="375"/>
      <c r="C3" s="375"/>
      <c r="D3" s="375"/>
      <c r="E3" s="375"/>
      <c r="F3" s="375"/>
      <c r="G3" s="375"/>
      <c r="H3" s="375"/>
      <c r="I3" s="375"/>
      <c r="J3" s="375"/>
      <c r="K3" s="160">
        <v>2258771.7116000005</v>
      </c>
      <c r="L3" s="160"/>
      <c r="M3" s="179">
        <f>+K3</f>
        <v>2258771.7116000005</v>
      </c>
      <c r="N3" s="19"/>
    </row>
    <row r="4" spans="1:16">
      <c r="A4" s="28">
        <v>1</v>
      </c>
      <c r="B4" s="29">
        <v>45717</v>
      </c>
      <c r="C4" s="134"/>
      <c r="D4" s="40"/>
      <c r="E4" s="42">
        <v>0</v>
      </c>
      <c r="F4" s="42">
        <v>0</v>
      </c>
      <c r="G4" s="42">
        <f t="shared" ref="G4:G7" si="0">E4*F4</f>
        <v>0</v>
      </c>
      <c r="H4" s="42">
        <v>10</v>
      </c>
      <c r="I4" s="42">
        <v>108.23</v>
      </c>
      <c r="J4" s="42">
        <f t="shared" ref="J4:J7" si="1">H4*I4</f>
        <v>1082.3</v>
      </c>
      <c r="K4" s="42">
        <f t="shared" ref="K4:K7" si="2">G4+J4</f>
        <v>1082.3</v>
      </c>
      <c r="L4" s="42">
        <v>0</v>
      </c>
      <c r="M4" s="91">
        <f>M3+K4-L4</f>
        <v>2259854.0116000003</v>
      </c>
      <c r="N4" s="91"/>
      <c r="P4" s="24">
        <v>2259050.0095000006</v>
      </c>
    </row>
    <row r="5" spans="1:16">
      <c r="A5" s="28">
        <v>2</v>
      </c>
      <c r="B5" s="259">
        <v>45718</v>
      </c>
      <c r="C5" s="134"/>
      <c r="D5" s="40"/>
      <c r="E5" s="42">
        <v>39.51</v>
      </c>
      <c r="F5" s="42">
        <v>96.42</v>
      </c>
      <c r="G5" s="42">
        <f t="shared" ref="G5:G34" si="3">E5*F5</f>
        <v>3809.5542</v>
      </c>
      <c r="H5" s="42">
        <v>18</v>
      </c>
      <c r="I5" s="42">
        <v>108.23</v>
      </c>
      <c r="J5" s="42">
        <f t="shared" ref="J5:J34" si="4">H5*I5</f>
        <v>1948.14</v>
      </c>
      <c r="K5" s="42">
        <f t="shared" ref="K5:K34" si="5">G5+J5</f>
        <v>5757.6941999999999</v>
      </c>
      <c r="L5" s="42">
        <v>0</v>
      </c>
      <c r="M5" s="91">
        <f t="shared" ref="M5:M18" si="6">M4+K5-L5</f>
        <v>2265611.7058000001</v>
      </c>
      <c r="N5" s="37"/>
    </row>
    <row r="6" spans="1:16">
      <c r="A6" s="28">
        <v>3</v>
      </c>
      <c r="B6" s="29">
        <v>45719</v>
      </c>
      <c r="C6" s="134"/>
      <c r="D6" s="40"/>
      <c r="E6" s="42">
        <v>0</v>
      </c>
      <c r="F6" s="42">
        <v>0</v>
      </c>
      <c r="G6" s="42">
        <f t="shared" si="3"/>
        <v>0</v>
      </c>
      <c r="H6" s="42">
        <v>40</v>
      </c>
      <c r="I6" s="42">
        <v>108.23</v>
      </c>
      <c r="J6" s="42">
        <f t="shared" si="4"/>
        <v>4329.2</v>
      </c>
      <c r="K6" s="42">
        <f t="shared" si="5"/>
        <v>4329.2</v>
      </c>
      <c r="L6" s="42">
        <v>0</v>
      </c>
      <c r="M6" s="91">
        <f t="shared" si="6"/>
        <v>2269940.9058000003</v>
      </c>
      <c r="N6" s="38"/>
    </row>
    <row r="7" spans="1:16">
      <c r="A7" s="28">
        <v>4</v>
      </c>
      <c r="B7" s="259">
        <v>45720</v>
      </c>
      <c r="C7" s="134"/>
      <c r="D7" s="40"/>
      <c r="E7" s="42">
        <v>0</v>
      </c>
      <c r="F7" s="42">
        <v>0</v>
      </c>
      <c r="G7" s="42">
        <f t="shared" si="3"/>
        <v>0</v>
      </c>
      <c r="H7" s="42">
        <v>0</v>
      </c>
      <c r="I7" s="42">
        <v>0</v>
      </c>
      <c r="J7" s="42">
        <f t="shared" si="4"/>
        <v>0</v>
      </c>
      <c r="K7" s="42">
        <f t="shared" si="5"/>
        <v>0</v>
      </c>
      <c r="L7" s="42">
        <v>0</v>
      </c>
      <c r="M7" s="91">
        <f>M6+K7-L7</f>
        <v>2269940.9058000003</v>
      </c>
      <c r="N7" s="263"/>
    </row>
    <row r="8" spans="1:16">
      <c r="A8" s="28">
        <v>5</v>
      </c>
      <c r="B8" s="29">
        <v>45721</v>
      </c>
      <c r="C8" s="39"/>
      <c r="D8" s="40"/>
      <c r="E8" s="42">
        <v>0</v>
      </c>
      <c r="F8" s="42">
        <v>0</v>
      </c>
      <c r="G8" s="42">
        <f t="shared" si="3"/>
        <v>0</v>
      </c>
      <c r="H8" s="42">
        <v>0</v>
      </c>
      <c r="I8" s="42">
        <v>0</v>
      </c>
      <c r="J8" s="42">
        <f t="shared" si="4"/>
        <v>0</v>
      </c>
      <c r="K8" s="42">
        <f t="shared" si="5"/>
        <v>0</v>
      </c>
      <c r="L8" s="42">
        <v>0</v>
      </c>
      <c r="M8" s="91">
        <f>M7+K8-L8</f>
        <v>2269940.9058000003</v>
      </c>
      <c r="N8" s="263"/>
    </row>
    <row r="9" spans="1:16">
      <c r="A9" s="28">
        <v>6</v>
      </c>
      <c r="B9" s="259">
        <v>45722</v>
      </c>
      <c r="C9" s="39"/>
      <c r="D9" s="40"/>
      <c r="E9" s="42">
        <v>0</v>
      </c>
      <c r="F9" s="42">
        <v>0</v>
      </c>
      <c r="G9" s="42">
        <f t="shared" si="3"/>
        <v>0</v>
      </c>
      <c r="H9" s="42">
        <v>9</v>
      </c>
      <c r="I9" s="42">
        <v>108.23</v>
      </c>
      <c r="J9" s="42">
        <f t="shared" si="4"/>
        <v>974.07</v>
      </c>
      <c r="K9" s="42">
        <f t="shared" si="5"/>
        <v>974.07</v>
      </c>
      <c r="L9" s="42">
        <v>0</v>
      </c>
      <c r="M9" s="91">
        <f t="shared" si="6"/>
        <v>2270914.9758000001</v>
      </c>
      <c r="N9" s="42"/>
    </row>
    <row r="10" spans="1:16">
      <c r="A10" s="28">
        <v>7</v>
      </c>
      <c r="B10" s="29">
        <v>45723</v>
      </c>
      <c r="C10" s="39"/>
      <c r="D10" s="40"/>
      <c r="E10" s="42">
        <v>0</v>
      </c>
      <c r="F10" s="42">
        <v>0</v>
      </c>
      <c r="G10" s="42">
        <f t="shared" si="3"/>
        <v>0</v>
      </c>
      <c r="H10" s="42">
        <v>0</v>
      </c>
      <c r="I10" s="42">
        <v>0</v>
      </c>
      <c r="J10" s="42">
        <f t="shared" si="4"/>
        <v>0</v>
      </c>
      <c r="K10" s="42">
        <f t="shared" si="5"/>
        <v>0</v>
      </c>
      <c r="L10" s="42">
        <v>0</v>
      </c>
      <c r="M10" s="91">
        <f t="shared" si="6"/>
        <v>2270914.9758000001</v>
      </c>
      <c r="N10" s="42"/>
    </row>
    <row r="11" spans="1:16">
      <c r="A11" s="28">
        <v>8</v>
      </c>
      <c r="B11" s="259">
        <v>45724</v>
      </c>
      <c r="C11" s="39"/>
      <c r="D11" s="40"/>
      <c r="E11" s="42">
        <v>0</v>
      </c>
      <c r="F11" s="42">
        <v>0</v>
      </c>
      <c r="G11" s="42">
        <f t="shared" si="3"/>
        <v>0</v>
      </c>
      <c r="H11" s="42">
        <v>4</v>
      </c>
      <c r="I11" s="42">
        <v>108.23</v>
      </c>
      <c r="J11" s="42">
        <f t="shared" si="4"/>
        <v>432.92</v>
      </c>
      <c r="K11" s="42">
        <f t="shared" si="5"/>
        <v>432.92</v>
      </c>
      <c r="L11" s="42">
        <v>0</v>
      </c>
      <c r="M11" s="91">
        <f t="shared" si="6"/>
        <v>2271347.8958000001</v>
      </c>
      <c r="N11" s="42"/>
    </row>
    <row r="12" spans="1:16">
      <c r="A12" s="28">
        <v>9</v>
      </c>
      <c r="B12" s="29">
        <v>45725</v>
      </c>
      <c r="C12" s="39"/>
      <c r="D12" s="40"/>
      <c r="E12" s="42">
        <v>0</v>
      </c>
      <c r="F12" s="42">
        <v>0</v>
      </c>
      <c r="G12" s="42">
        <f t="shared" si="3"/>
        <v>0</v>
      </c>
      <c r="H12" s="42">
        <v>4</v>
      </c>
      <c r="I12" s="42">
        <v>108.23</v>
      </c>
      <c r="J12" s="42">
        <f t="shared" si="4"/>
        <v>432.92</v>
      </c>
      <c r="K12" s="42">
        <f t="shared" si="5"/>
        <v>432.92</v>
      </c>
      <c r="L12" s="42">
        <v>0</v>
      </c>
      <c r="M12" s="91">
        <f t="shared" si="6"/>
        <v>2271780.8158</v>
      </c>
      <c r="N12" s="42"/>
    </row>
    <row r="13" spans="1:16">
      <c r="A13" s="28">
        <v>10</v>
      </c>
      <c r="B13" s="259">
        <v>45726</v>
      </c>
      <c r="C13" s="39"/>
      <c r="D13" s="40"/>
      <c r="E13" s="42">
        <v>0</v>
      </c>
      <c r="F13" s="42">
        <v>0</v>
      </c>
      <c r="G13" s="42">
        <f t="shared" si="3"/>
        <v>0</v>
      </c>
      <c r="H13" s="42">
        <v>9</v>
      </c>
      <c r="I13" s="42">
        <v>108.23</v>
      </c>
      <c r="J13" s="42">
        <f t="shared" si="4"/>
        <v>974.07</v>
      </c>
      <c r="K13" s="42">
        <f t="shared" si="5"/>
        <v>974.07</v>
      </c>
      <c r="L13" s="42">
        <v>0</v>
      </c>
      <c r="M13" s="91">
        <f t="shared" si="6"/>
        <v>2272754.8857999998</v>
      </c>
      <c r="N13" s="42"/>
    </row>
    <row r="14" spans="1:16">
      <c r="A14" s="28">
        <v>11</v>
      </c>
      <c r="B14" s="29">
        <v>45727</v>
      </c>
      <c r="C14" s="39"/>
      <c r="D14" s="40"/>
      <c r="E14" s="42">
        <v>1000</v>
      </c>
      <c r="F14" s="42">
        <v>96.42</v>
      </c>
      <c r="G14" s="42">
        <f t="shared" si="3"/>
        <v>96420</v>
      </c>
      <c r="H14" s="42">
        <v>8</v>
      </c>
      <c r="I14" s="42">
        <v>108.23</v>
      </c>
      <c r="J14" s="42">
        <f t="shared" si="4"/>
        <v>865.84</v>
      </c>
      <c r="K14" s="42">
        <f t="shared" si="5"/>
        <v>97285.84</v>
      </c>
      <c r="L14" s="42">
        <v>0</v>
      </c>
      <c r="M14" s="91">
        <f>M13+K14-L14</f>
        <v>2370040.7257999997</v>
      </c>
      <c r="N14" s="42"/>
    </row>
    <row r="15" spans="1:16">
      <c r="A15" s="28">
        <v>12</v>
      </c>
      <c r="B15" s="259">
        <v>45728</v>
      </c>
      <c r="C15" s="39"/>
      <c r="D15" s="40"/>
      <c r="E15" s="42">
        <v>0</v>
      </c>
      <c r="F15" s="42">
        <v>0</v>
      </c>
      <c r="G15" s="42">
        <f t="shared" si="3"/>
        <v>0</v>
      </c>
      <c r="H15" s="42">
        <v>7</v>
      </c>
      <c r="I15" s="42">
        <v>108.23</v>
      </c>
      <c r="J15" s="42">
        <f t="shared" si="4"/>
        <v>757.61</v>
      </c>
      <c r="K15" s="42">
        <f t="shared" si="5"/>
        <v>757.61</v>
      </c>
      <c r="L15" s="42">
        <v>0</v>
      </c>
      <c r="M15" s="91">
        <f t="shared" si="6"/>
        <v>2370798.3357999995</v>
      </c>
      <c r="N15" s="42"/>
    </row>
    <row r="16" spans="1:16">
      <c r="A16" s="28">
        <v>13</v>
      </c>
      <c r="B16" s="29">
        <v>45729</v>
      </c>
      <c r="C16" s="39"/>
      <c r="D16" s="40"/>
      <c r="E16" s="42">
        <v>0</v>
      </c>
      <c r="F16" s="42">
        <v>0</v>
      </c>
      <c r="G16" s="42">
        <f t="shared" si="3"/>
        <v>0</v>
      </c>
      <c r="H16" s="42">
        <v>10</v>
      </c>
      <c r="I16" s="42">
        <v>108.23</v>
      </c>
      <c r="J16" s="42">
        <f t="shared" si="4"/>
        <v>1082.3</v>
      </c>
      <c r="K16" s="42">
        <f t="shared" si="5"/>
        <v>1082.3</v>
      </c>
      <c r="L16" s="42">
        <v>0</v>
      </c>
      <c r="M16" s="91">
        <f t="shared" si="6"/>
        <v>2371880.6357999993</v>
      </c>
      <c r="N16" s="42"/>
    </row>
    <row r="17" spans="1:16">
      <c r="A17" s="28">
        <v>14</v>
      </c>
      <c r="B17" s="259">
        <v>45730</v>
      </c>
      <c r="C17" s="39"/>
      <c r="D17" s="40"/>
      <c r="E17" s="42">
        <v>0</v>
      </c>
      <c r="F17" s="42">
        <v>0</v>
      </c>
      <c r="G17" s="42">
        <f t="shared" si="3"/>
        <v>0</v>
      </c>
      <c r="H17" s="42">
        <v>0</v>
      </c>
      <c r="I17" s="42">
        <v>0</v>
      </c>
      <c r="J17" s="42">
        <f t="shared" si="4"/>
        <v>0</v>
      </c>
      <c r="K17" s="42">
        <f t="shared" si="5"/>
        <v>0</v>
      </c>
      <c r="L17" s="42">
        <v>0</v>
      </c>
      <c r="M17" s="91">
        <f t="shared" si="6"/>
        <v>2371880.6357999993</v>
      </c>
      <c r="N17" s="42"/>
    </row>
    <row r="18" spans="1:16">
      <c r="A18" s="28">
        <v>15</v>
      </c>
      <c r="B18" s="29">
        <v>45731</v>
      </c>
      <c r="C18" s="208"/>
      <c r="D18" s="221"/>
      <c r="E18" s="42">
        <v>0</v>
      </c>
      <c r="F18" s="42">
        <v>0</v>
      </c>
      <c r="G18" s="42">
        <f t="shared" si="3"/>
        <v>0</v>
      </c>
      <c r="H18" s="42">
        <v>0</v>
      </c>
      <c r="I18" s="42">
        <v>0</v>
      </c>
      <c r="J18" s="42">
        <f t="shared" si="4"/>
        <v>0</v>
      </c>
      <c r="K18" s="42">
        <f t="shared" si="5"/>
        <v>0</v>
      </c>
      <c r="L18" s="42">
        <v>0</v>
      </c>
      <c r="M18" s="91">
        <f t="shared" si="6"/>
        <v>2371880.6357999993</v>
      </c>
      <c r="N18" s="209"/>
    </row>
    <row r="19" spans="1:16">
      <c r="A19" s="28">
        <v>16</v>
      </c>
      <c r="B19" s="259">
        <v>45732</v>
      </c>
      <c r="C19" s="134"/>
      <c r="D19" s="40"/>
      <c r="E19" s="42">
        <v>0</v>
      </c>
      <c r="F19" s="42">
        <v>0</v>
      </c>
      <c r="G19" s="42">
        <f t="shared" si="3"/>
        <v>0</v>
      </c>
      <c r="H19" s="42">
        <v>10</v>
      </c>
      <c r="I19" s="42">
        <v>108.23</v>
      </c>
      <c r="J19" s="42">
        <f t="shared" si="4"/>
        <v>1082.3</v>
      </c>
      <c r="K19" s="42">
        <f t="shared" si="5"/>
        <v>1082.3</v>
      </c>
      <c r="L19" s="42">
        <v>0</v>
      </c>
      <c r="M19" s="91">
        <f t="shared" ref="M19:M33" si="7">M18+K19-L19</f>
        <v>2372962.9357999992</v>
      </c>
      <c r="N19" s="209"/>
    </row>
    <row r="20" spans="1:16">
      <c r="A20" s="28">
        <v>17</v>
      </c>
      <c r="B20" s="29">
        <v>45733</v>
      </c>
      <c r="C20" s="226"/>
      <c r="D20" s="221"/>
      <c r="E20" s="42">
        <v>500</v>
      </c>
      <c r="F20" s="42">
        <v>96.42</v>
      </c>
      <c r="G20" s="42">
        <f t="shared" si="3"/>
        <v>48210</v>
      </c>
      <c r="H20" s="42">
        <v>15</v>
      </c>
      <c r="I20" s="42">
        <v>108.23</v>
      </c>
      <c r="J20" s="42">
        <f t="shared" si="4"/>
        <v>1623.45</v>
      </c>
      <c r="K20" s="42">
        <f t="shared" si="5"/>
        <v>49833.45</v>
      </c>
      <c r="L20" s="42">
        <v>0</v>
      </c>
      <c r="M20" s="91">
        <f t="shared" si="7"/>
        <v>2422796.3857999993</v>
      </c>
      <c r="N20" s="209"/>
    </row>
    <row r="21" spans="1:16">
      <c r="A21" s="28">
        <v>18</v>
      </c>
      <c r="B21" s="259">
        <v>45734</v>
      </c>
      <c r="C21" s="226"/>
      <c r="D21" s="221"/>
      <c r="E21" s="42">
        <v>0</v>
      </c>
      <c r="F21" s="42">
        <v>0</v>
      </c>
      <c r="G21" s="42">
        <f t="shared" si="3"/>
        <v>0</v>
      </c>
      <c r="H21" s="42">
        <v>0</v>
      </c>
      <c r="I21" s="42">
        <v>0</v>
      </c>
      <c r="J21" s="42">
        <f t="shared" si="4"/>
        <v>0</v>
      </c>
      <c r="K21" s="42">
        <f t="shared" si="5"/>
        <v>0</v>
      </c>
      <c r="L21" s="42">
        <v>0</v>
      </c>
      <c r="M21" s="91">
        <f t="shared" si="7"/>
        <v>2422796.3857999993</v>
      </c>
      <c r="N21" s="209"/>
    </row>
    <row r="22" spans="1:16">
      <c r="A22" s="28">
        <v>19</v>
      </c>
      <c r="B22" s="29">
        <v>45735</v>
      </c>
      <c r="C22" s="134"/>
      <c r="D22" s="40"/>
      <c r="E22" s="42">
        <v>0</v>
      </c>
      <c r="F22" s="42">
        <v>0</v>
      </c>
      <c r="G22" s="42">
        <f t="shared" si="3"/>
        <v>0</v>
      </c>
      <c r="H22" s="42">
        <v>4</v>
      </c>
      <c r="I22" s="42">
        <v>108.23</v>
      </c>
      <c r="J22" s="42">
        <f t="shared" si="4"/>
        <v>432.92</v>
      </c>
      <c r="K22" s="42">
        <f t="shared" si="5"/>
        <v>432.92</v>
      </c>
      <c r="L22" s="42">
        <v>0</v>
      </c>
      <c r="M22" s="91">
        <f t="shared" si="7"/>
        <v>2423229.3057999993</v>
      </c>
      <c r="N22" s="42"/>
      <c r="P22">
        <v>2422641</v>
      </c>
    </row>
    <row r="23" spans="1:16">
      <c r="A23" s="28">
        <v>20</v>
      </c>
      <c r="B23" s="259">
        <v>45736</v>
      </c>
      <c r="C23" s="134"/>
      <c r="D23" s="40"/>
      <c r="E23" s="42">
        <v>0</v>
      </c>
      <c r="F23" s="42">
        <v>0</v>
      </c>
      <c r="G23" s="42">
        <f t="shared" si="3"/>
        <v>0</v>
      </c>
      <c r="H23" s="42">
        <v>15</v>
      </c>
      <c r="I23" s="42">
        <v>108.23</v>
      </c>
      <c r="J23" s="42">
        <f t="shared" si="4"/>
        <v>1623.45</v>
      </c>
      <c r="K23" s="42">
        <f t="shared" si="5"/>
        <v>1623.45</v>
      </c>
      <c r="L23" s="42">
        <v>0</v>
      </c>
      <c r="M23" s="91">
        <f t="shared" si="7"/>
        <v>2424852.7557999995</v>
      </c>
      <c r="N23" s="42"/>
      <c r="P23">
        <v>2419549</v>
      </c>
    </row>
    <row r="24" spans="1:16">
      <c r="A24" s="28">
        <v>21</v>
      </c>
      <c r="B24" s="29">
        <v>45737</v>
      </c>
      <c r="C24" s="134"/>
      <c r="D24" s="40"/>
      <c r="E24" s="42">
        <v>0</v>
      </c>
      <c r="F24" s="42">
        <v>0</v>
      </c>
      <c r="G24" s="42">
        <f t="shared" si="3"/>
        <v>0</v>
      </c>
      <c r="H24" s="42">
        <v>5</v>
      </c>
      <c r="I24" s="42">
        <v>108.23</v>
      </c>
      <c r="J24" s="42">
        <f t="shared" si="4"/>
        <v>541.15</v>
      </c>
      <c r="K24" s="42">
        <f t="shared" si="5"/>
        <v>541.15</v>
      </c>
      <c r="L24" s="42">
        <v>0</v>
      </c>
      <c r="M24" s="91">
        <f t="shared" si="7"/>
        <v>2425393.9057999994</v>
      </c>
      <c r="N24" s="42"/>
      <c r="P24">
        <f>P23-P22</f>
        <v>-3092</v>
      </c>
    </row>
    <row r="25" spans="1:16">
      <c r="A25" s="28">
        <v>22</v>
      </c>
      <c r="B25" s="259">
        <v>45738</v>
      </c>
      <c r="C25" s="134"/>
      <c r="D25" s="40"/>
      <c r="E25" s="42">
        <v>0</v>
      </c>
      <c r="F25" s="42">
        <v>0</v>
      </c>
      <c r="G25" s="42">
        <f t="shared" si="3"/>
        <v>0</v>
      </c>
      <c r="H25" s="42">
        <v>8</v>
      </c>
      <c r="I25" s="42">
        <v>108.23</v>
      </c>
      <c r="J25" s="42">
        <f t="shared" si="4"/>
        <v>865.84</v>
      </c>
      <c r="K25" s="42">
        <f t="shared" si="5"/>
        <v>865.84</v>
      </c>
      <c r="L25" s="42">
        <v>0</v>
      </c>
      <c r="M25" s="91">
        <f t="shared" si="7"/>
        <v>2426259.7457999992</v>
      </c>
      <c r="N25" s="42"/>
    </row>
    <row r="26" spans="1:16">
      <c r="A26" s="28">
        <v>23</v>
      </c>
      <c r="B26" s="29">
        <v>45739</v>
      </c>
      <c r="C26" s="134"/>
      <c r="D26" s="40"/>
      <c r="E26" s="42">
        <v>0</v>
      </c>
      <c r="F26" s="42">
        <v>0</v>
      </c>
      <c r="G26" s="42">
        <f>E26*F26</f>
        <v>0</v>
      </c>
      <c r="H26" s="42">
        <v>5</v>
      </c>
      <c r="I26" s="42">
        <v>108.23</v>
      </c>
      <c r="J26" s="42">
        <f t="shared" si="4"/>
        <v>541.15</v>
      </c>
      <c r="K26" s="42">
        <f t="shared" si="5"/>
        <v>541.15</v>
      </c>
      <c r="L26" s="42">
        <v>0</v>
      </c>
      <c r="M26" s="91">
        <f t="shared" si="7"/>
        <v>2426800.8957999991</v>
      </c>
      <c r="N26" s="42"/>
    </row>
    <row r="27" spans="1:16">
      <c r="A27" s="28">
        <v>24</v>
      </c>
      <c r="B27" s="259">
        <v>45740</v>
      </c>
      <c r="C27" s="134"/>
      <c r="D27" s="40"/>
      <c r="E27" s="42">
        <v>0</v>
      </c>
      <c r="F27" s="42">
        <v>0</v>
      </c>
      <c r="G27" s="42">
        <f t="shared" si="3"/>
        <v>0</v>
      </c>
      <c r="H27" s="42">
        <v>10</v>
      </c>
      <c r="I27" s="42">
        <v>108.23</v>
      </c>
      <c r="J27" s="42">
        <f t="shared" si="4"/>
        <v>1082.3</v>
      </c>
      <c r="K27" s="42">
        <f t="shared" si="5"/>
        <v>1082.3</v>
      </c>
      <c r="L27" s="42">
        <v>0</v>
      </c>
      <c r="M27" s="91">
        <f t="shared" si="7"/>
        <v>2427883.1957999989</v>
      </c>
      <c r="N27" s="42"/>
    </row>
    <row r="28" spans="1:16">
      <c r="A28" s="28">
        <v>25</v>
      </c>
      <c r="B28" s="29">
        <v>45741</v>
      </c>
      <c r="C28" s="134"/>
      <c r="D28" s="40"/>
      <c r="E28" s="42">
        <v>0</v>
      </c>
      <c r="F28" s="42">
        <v>0</v>
      </c>
      <c r="G28" s="42">
        <f t="shared" si="3"/>
        <v>0</v>
      </c>
      <c r="H28" s="42">
        <v>2</v>
      </c>
      <c r="I28" s="42">
        <v>108.23</v>
      </c>
      <c r="J28" s="42">
        <f t="shared" si="4"/>
        <v>216.46</v>
      </c>
      <c r="K28" s="42">
        <f t="shared" si="5"/>
        <v>216.46</v>
      </c>
      <c r="L28" s="42">
        <v>0</v>
      </c>
      <c r="M28" s="91">
        <f t="shared" si="7"/>
        <v>2428099.6557999989</v>
      </c>
      <c r="N28" s="42"/>
    </row>
    <row r="29" spans="1:16">
      <c r="A29" s="28">
        <v>26</v>
      </c>
      <c r="B29" s="259">
        <v>45742</v>
      </c>
      <c r="C29" s="134"/>
      <c r="D29" s="40"/>
      <c r="E29" s="42">
        <v>0</v>
      </c>
      <c r="F29" s="42">
        <v>0</v>
      </c>
      <c r="G29" s="42">
        <f t="shared" si="3"/>
        <v>0</v>
      </c>
      <c r="H29" s="42">
        <v>13.01</v>
      </c>
      <c r="I29" s="42">
        <v>108.23</v>
      </c>
      <c r="J29" s="42">
        <f t="shared" si="4"/>
        <v>1408.0723</v>
      </c>
      <c r="K29" s="42">
        <f t="shared" si="5"/>
        <v>1408.0723</v>
      </c>
      <c r="L29" s="209">
        <v>0</v>
      </c>
      <c r="M29" s="293">
        <f t="shared" si="7"/>
        <v>2429507.728099999</v>
      </c>
      <c r="N29" s="42"/>
    </row>
    <row r="30" spans="1:16">
      <c r="A30" s="28">
        <v>27</v>
      </c>
      <c r="B30" s="29">
        <v>45743</v>
      </c>
      <c r="C30" s="134"/>
      <c r="D30" s="40"/>
      <c r="E30" s="42">
        <v>0</v>
      </c>
      <c r="F30" s="42">
        <v>0</v>
      </c>
      <c r="G30" s="42">
        <f t="shared" si="3"/>
        <v>0</v>
      </c>
      <c r="H30" s="42">
        <v>15</v>
      </c>
      <c r="I30" s="42">
        <v>108.23</v>
      </c>
      <c r="J30" s="42">
        <f t="shared" si="4"/>
        <v>1623.45</v>
      </c>
      <c r="K30" s="262">
        <f t="shared" si="5"/>
        <v>1623.45</v>
      </c>
      <c r="L30" s="42">
        <v>0</v>
      </c>
      <c r="M30" s="42">
        <f t="shared" si="7"/>
        <v>2431131.1780999992</v>
      </c>
      <c r="N30" s="263"/>
    </row>
    <row r="31" spans="1:16">
      <c r="A31" s="28">
        <v>28</v>
      </c>
      <c r="B31" s="259">
        <v>45744</v>
      </c>
      <c r="C31" s="134"/>
      <c r="D31" s="40"/>
      <c r="E31" s="42">
        <v>2036.3</v>
      </c>
      <c r="F31" s="42">
        <v>96.42</v>
      </c>
      <c r="G31" s="42">
        <f t="shared" si="3"/>
        <v>196340.046</v>
      </c>
      <c r="H31" s="42">
        <v>6.8</v>
      </c>
      <c r="I31" s="42">
        <v>108.23</v>
      </c>
      <c r="J31" s="42">
        <f t="shared" si="4"/>
        <v>735.96400000000006</v>
      </c>
      <c r="K31" s="262">
        <f t="shared" si="5"/>
        <v>197076.01</v>
      </c>
      <c r="L31" s="42">
        <v>0</v>
      </c>
      <c r="M31" s="42">
        <f t="shared" si="7"/>
        <v>2628207.188099999</v>
      </c>
      <c r="N31" s="263"/>
    </row>
    <row r="32" spans="1:16">
      <c r="A32" s="28">
        <v>29</v>
      </c>
      <c r="B32" s="29">
        <v>45745</v>
      </c>
      <c r="C32" s="134"/>
      <c r="D32" s="40"/>
      <c r="E32" s="42">
        <v>0</v>
      </c>
      <c r="F32" s="42">
        <v>0</v>
      </c>
      <c r="G32" s="42">
        <f t="shared" si="3"/>
        <v>0</v>
      </c>
      <c r="H32" s="42">
        <v>0</v>
      </c>
      <c r="I32" s="42">
        <v>0</v>
      </c>
      <c r="J32" s="42">
        <f t="shared" si="4"/>
        <v>0</v>
      </c>
      <c r="K32" s="262">
        <f t="shared" si="5"/>
        <v>0</v>
      </c>
      <c r="L32" s="42">
        <v>2600000</v>
      </c>
      <c r="M32" s="42">
        <f t="shared" si="7"/>
        <v>28207.188099998981</v>
      </c>
      <c r="N32" s="263"/>
    </row>
    <row r="33" spans="1:14">
      <c r="A33" s="28">
        <v>30</v>
      </c>
      <c r="B33" s="259">
        <v>45746</v>
      </c>
      <c r="C33" s="134"/>
      <c r="D33" s="40"/>
      <c r="E33" s="42">
        <v>0</v>
      </c>
      <c r="F33" s="42">
        <v>0</v>
      </c>
      <c r="G33" s="42">
        <f t="shared" si="3"/>
        <v>0</v>
      </c>
      <c r="H33" s="42">
        <v>0</v>
      </c>
      <c r="I33" s="42">
        <v>0</v>
      </c>
      <c r="J33" s="42">
        <f t="shared" si="4"/>
        <v>0</v>
      </c>
      <c r="K33" s="262">
        <f t="shared" si="5"/>
        <v>0</v>
      </c>
      <c r="L33" s="42">
        <v>0</v>
      </c>
      <c r="M33" s="42">
        <f t="shared" si="7"/>
        <v>28207.188099998981</v>
      </c>
      <c r="N33" s="263"/>
    </row>
    <row r="34" spans="1:14">
      <c r="A34" s="28">
        <v>31</v>
      </c>
      <c r="B34" s="29">
        <v>45747</v>
      </c>
      <c r="C34" s="134"/>
      <c r="D34" s="40"/>
      <c r="E34" s="42">
        <v>0</v>
      </c>
      <c r="F34" s="42">
        <v>0</v>
      </c>
      <c r="G34" s="42">
        <f t="shared" si="3"/>
        <v>0</v>
      </c>
      <c r="H34" s="42">
        <v>6</v>
      </c>
      <c r="I34" s="42">
        <v>108.23</v>
      </c>
      <c r="J34" s="42">
        <f t="shared" si="4"/>
        <v>649.38</v>
      </c>
      <c r="K34" s="262">
        <f t="shared" si="5"/>
        <v>649.38</v>
      </c>
      <c r="L34" s="42">
        <v>0</v>
      </c>
      <c r="M34" s="42">
        <f>M33+K34-L34</f>
        <v>28856.568099998982</v>
      </c>
      <c r="N34" s="263"/>
    </row>
    <row r="35" spans="1:14">
      <c r="A35" s="227"/>
      <c r="B35" s="222"/>
      <c r="C35" s="222"/>
      <c r="D35" s="222"/>
      <c r="E35" s="55">
        <f>SUM(E4:E34)</f>
        <v>3575.81</v>
      </c>
      <c r="F35" s="55"/>
      <c r="G35" s="55">
        <f>SUM(G4:G34)</f>
        <v>344779.60019999999</v>
      </c>
      <c r="H35" s="55">
        <f>SUM(H4:H34)</f>
        <v>233.81</v>
      </c>
      <c r="I35" s="55"/>
      <c r="J35" s="55">
        <f>SUM(J4:J34)</f>
        <v>25305.256300000001</v>
      </c>
      <c r="K35" s="55">
        <f>SUM(K4:K34)</f>
        <v>370084.85649999999</v>
      </c>
      <c r="L35" s="55">
        <f>SUM(L4:L34)</f>
        <v>2600000</v>
      </c>
      <c r="M35" s="131"/>
      <c r="N35" s="56"/>
    </row>
    <row r="36" spans="1:14">
      <c r="A36" s="43"/>
      <c r="B36" s="43"/>
      <c r="C36" s="43"/>
      <c r="D36" s="43"/>
      <c r="E36" s="46"/>
      <c r="F36" s="46"/>
      <c r="G36" s="46"/>
      <c r="H36" s="46"/>
      <c r="I36" s="46"/>
      <c r="J36" s="46"/>
      <c r="K36" s="46"/>
      <c r="L36" s="46"/>
      <c r="M36" s="46"/>
      <c r="N36" s="46"/>
    </row>
    <row r="37" spans="1:14">
      <c r="A37" s="36"/>
      <c r="B37" s="36"/>
      <c r="C37" s="36"/>
      <c r="D37" s="36"/>
      <c r="E37" s="36"/>
      <c r="F37" s="36"/>
      <c r="G37" s="45"/>
      <c r="H37" s="36"/>
      <c r="I37" s="36"/>
      <c r="J37" s="36"/>
      <c r="K37" s="36"/>
      <c r="L37" s="36"/>
      <c r="M37" s="36"/>
      <c r="N37" s="36"/>
    </row>
    <row r="38" spans="1:14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</row>
    <row r="42" spans="1:14">
      <c r="E42" s="215"/>
    </row>
  </sheetData>
  <mergeCells count="2">
    <mergeCell ref="A1:N1"/>
    <mergeCell ref="A3:J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5810D-6702-454D-B4DA-2BB38ADF2BE1}">
  <dimension ref="A1:P44"/>
  <sheetViews>
    <sheetView workbookViewId="0">
      <selection activeCell="P17" sqref="P17"/>
    </sheetView>
  </sheetViews>
  <sheetFormatPr defaultColWidth="13.42578125" defaultRowHeight="15"/>
  <cols>
    <col min="1" max="1" width="7.28515625" customWidth="1"/>
    <col min="2" max="2" width="12.42578125" customWidth="1"/>
    <col min="4" max="4" width="17.5703125" customWidth="1"/>
    <col min="5" max="5" width="13.42578125" style="238"/>
    <col min="6" max="6" width="17.140625" customWidth="1"/>
    <col min="12" max="13" width="15.7109375" customWidth="1"/>
  </cols>
  <sheetData>
    <row r="1" spans="1:15" ht="15.75" customHeight="1">
      <c r="A1" s="386" t="s">
        <v>24</v>
      </c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  <c r="M1" s="386"/>
      <c r="N1" s="386"/>
      <c r="O1" s="36"/>
    </row>
    <row r="2" spans="1:15">
      <c r="A2" s="128" t="s">
        <v>91</v>
      </c>
      <c r="B2" s="133" t="s">
        <v>92</v>
      </c>
      <c r="C2" s="133" t="s">
        <v>93</v>
      </c>
      <c r="D2" s="133" t="s">
        <v>94</v>
      </c>
      <c r="E2" s="250" t="s">
        <v>95</v>
      </c>
      <c r="F2" s="133" t="s">
        <v>96</v>
      </c>
      <c r="G2" s="133" t="s">
        <v>97</v>
      </c>
      <c r="H2" s="133" t="s">
        <v>98</v>
      </c>
      <c r="I2" s="133" t="s">
        <v>96</v>
      </c>
      <c r="J2" s="133" t="s">
        <v>97</v>
      </c>
      <c r="K2" s="133" t="s">
        <v>99</v>
      </c>
      <c r="L2" s="133" t="s">
        <v>100</v>
      </c>
      <c r="M2" s="133" t="s">
        <v>101</v>
      </c>
      <c r="N2" s="133" t="s">
        <v>102</v>
      </c>
      <c r="O2" s="36"/>
    </row>
    <row r="3" spans="1:15">
      <c r="A3" s="387" t="s">
        <v>103</v>
      </c>
      <c r="B3" s="387"/>
      <c r="C3" s="387"/>
      <c r="D3" s="387"/>
      <c r="E3" s="387"/>
      <c r="F3" s="387"/>
      <c r="G3" s="387"/>
      <c r="H3" s="387"/>
      <c r="I3" s="387"/>
      <c r="J3" s="387"/>
      <c r="K3" s="160">
        <v>2288095.9975999994</v>
      </c>
      <c r="L3" s="160"/>
      <c r="M3" s="132">
        <f>+K3</f>
        <v>2288095.9975999994</v>
      </c>
      <c r="N3" s="19"/>
      <c r="O3" s="24">
        <v>2291280.7674999996</v>
      </c>
    </row>
    <row r="4" spans="1:15">
      <c r="A4" s="28">
        <v>1</v>
      </c>
      <c r="B4" s="29">
        <v>45717</v>
      </c>
      <c r="C4" s="134"/>
      <c r="D4" s="40"/>
      <c r="E4" s="251">
        <v>0</v>
      </c>
      <c r="F4" s="42">
        <v>0</v>
      </c>
      <c r="G4" s="42">
        <f t="shared" ref="G4" si="0">E4*F4</f>
        <v>0</v>
      </c>
      <c r="H4" s="42"/>
      <c r="I4" s="42">
        <v>0</v>
      </c>
      <c r="J4" s="42">
        <f t="shared" ref="J4" si="1">H4*I4</f>
        <v>0</v>
      </c>
      <c r="K4" s="42">
        <f>G4+J4</f>
        <v>0</v>
      </c>
      <c r="L4" s="42"/>
      <c r="M4" s="42">
        <f>M3+K4-L4</f>
        <v>2288095.9975999994</v>
      </c>
      <c r="N4" s="42"/>
      <c r="O4" s="36"/>
    </row>
    <row r="5" spans="1:15">
      <c r="A5" s="28">
        <v>2</v>
      </c>
      <c r="B5" s="259">
        <v>45718</v>
      </c>
      <c r="C5" s="134"/>
      <c r="D5" s="40"/>
      <c r="E5" s="251">
        <v>0</v>
      </c>
      <c r="F5" s="42">
        <v>0</v>
      </c>
      <c r="G5" s="42">
        <f t="shared" ref="G5:G34" si="2">E5*F5</f>
        <v>0</v>
      </c>
      <c r="H5" s="42"/>
      <c r="I5" s="42">
        <v>0</v>
      </c>
      <c r="J5" s="42">
        <f t="shared" ref="J5:J34" si="3">H5*I5</f>
        <v>0</v>
      </c>
      <c r="K5" s="42">
        <f t="shared" ref="K5:K34" si="4">G5+J5</f>
        <v>0</v>
      </c>
      <c r="L5" s="42"/>
      <c r="M5" s="42">
        <f t="shared" ref="M5:M13" si="5">M4+K5-L5</f>
        <v>2288095.9975999994</v>
      </c>
      <c r="N5" s="42"/>
      <c r="O5" s="36"/>
    </row>
    <row r="6" spans="1:15">
      <c r="A6" s="28">
        <v>3</v>
      </c>
      <c r="B6" s="29">
        <v>45719</v>
      </c>
      <c r="C6" s="134"/>
      <c r="D6" s="40"/>
      <c r="E6" s="251">
        <v>0</v>
      </c>
      <c r="F6" s="42">
        <v>0</v>
      </c>
      <c r="G6" s="42">
        <f t="shared" si="2"/>
        <v>0</v>
      </c>
      <c r="H6" s="42"/>
      <c r="I6" s="42">
        <v>0</v>
      </c>
      <c r="J6" s="42">
        <f t="shared" si="3"/>
        <v>0</v>
      </c>
      <c r="K6" s="42">
        <f t="shared" si="4"/>
        <v>0</v>
      </c>
      <c r="L6" s="42"/>
      <c r="M6" s="42">
        <f t="shared" si="5"/>
        <v>2288095.9975999994</v>
      </c>
      <c r="N6" s="42"/>
      <c r="O6" s="36"/>
    </row>
    <row r="7" spans="1:15">
      <c r="A7" s="28">
        <v>4</v>
      </c>
      <c r="B7" s="259">
        <v>45720</v>
      </c>
      <c r="C7" s="134"/>
      <c r="D7" s="40"/>
      <c r="E7" s="251">
        <v>0</v>
      </c>
      <c r="F7" s="42">
        <v>0</v>
      </c>
      <c r="G7" s="42">
        <f t="shared" si="2"/>
        <v>0</v>
      </c>
      <c r="H7" s="42"/>
      <c r="I7" s="42">
        <v>0</v>
      </c>
      <c r="J7" s="42">
        <f t="shared" si="3"/>
        <v>0</v>
      </c>
      <c r="K7" s="42">
        <f t="shared" si="4"/>
        <v>0</v>
      </c>
      <c r="L7" s="42"/>
      <c r="M7" s="42">
        <f t="shared" si="5"/>
        <v>2288095.9975999994</v>
      </c>
      <c r="N7" s="42"/>
      <c r="O7" s="36"/>
    </row>
    <row r="8" spans="1:15">
      <c r="A8" s="28">
        <v>5</v>
      </c>
      <c r="B8" s="29">
        <v>45721</v>
      </c>
      <c r="C8" s="134"/>
      <c r="D8" s="40"/>
      <c r="E8" s="251">
        <v>0</v>
      </c>
      <c r="F8" s="42">
        <v>0</v>
      </c>
      <c r="G8" s="42">
        <f t="shared" si="2"/>
        <v>0</v>
      </c>
      <c r="H8" s="42"/>
      <c r="I8" s="42">
        <v>0</v>
      </c>
      <c r="J8" s="42">
        <f t="shared" si="3"/>
        <v>0</v>
      </c>
      <c r="K8" s="42">
        <f t="shared" si="4"/>
        <v>0</v>
      </c>
      <c r="L8" s="42"/>
      <c r="M8" s="42">
        <f t="shared" si="5"/>
        <v>2288095.9975999994</v>
      </c>
      <c r="N8" s="42"/>
      <c r="O8" s="36"/>
    </row>
    <row r="9" spans="1:15">
      <c r="A9" s="28">
        <v>6</v>
      </c>
      <c r="B9" s="259">
        <v>45722</v>
      </c>
      <c r="C9" s="134"/>
      <c r="D9" s="40"/>
      <c r="E9" s="251">
        <v>0</v>
      </c>
      <c r="F9" s="42">
        <v>0</v>
      </c>
      <c r="G9" s="42">
        <f t="shared" si="2"/>
        <v>0</v>
      </c>
      <c r="H9" s="42"/>
      <c r="I9" s="42">
        <v>0</v>
      </c>
      <c r="J9" s="42">
        <f t="shared" si="3"/>
        <v>0</v>
      </c>
      <c r="K9" s="42">
        <f t="shared" si="4"/>
        <v>0</v>
      </c>
      <c r="L9" s="42"/>
      <c r="M9" s="42">
        <f t="shared" si="5"/>
        <v>2288095.9975999994</v>
      </c>
      <c r="N9" s="42"/>
      <c r="O9" s="36"/>
    </row>
    <row r="10" spans="1:15">
      <c r="A10" s="28">
        <v>7</v>
      </c>
      <c r="B10" s="29">
        <v>45723</v>
      </c>
      <c r="C10" s="134"/>
      <c r="D10" s="40"/>
      <c r="E10" s="251">
        <v>0</v>
      </c>
      <c r="F10" s="42">
        <v>0</v>
      </c>
      <c r="G10" s="42">
        <f t="shared" si="2"/>
        <v>0</v>
      </c>
      <c r="H10" s="42"/>
      <c r="I10" s="42">
        <v>0</v>
      </c>
      <c r="J10" s="42">
        <f t="shared" si="3"/>
        <v>0</v>
      </c>
      <c r="K10" s="42">
        <f t="shared" si="4"/>
        <v>0</v>
      </c>
      <c r="L10" s="42"/>
      <c r="M10" s="42">
        <f t="shared" si="5"/>
        <v>2288095.9975999994</v>
      </c>
      <c r="N10" s="42"/>
      <c r="O10" s="36"/>
    </row>
    <row r="11" spans="1:15">
      <c r="A11" s="28">
        <v>8</v>
      </c>
      <c r="B11" s="259">
        <v>45724</v>
      </c>
      <c r="C11" s="134"/>
      <c r="D11" s="40"/>
      <c r="E11" s="251">
        <v>0</v>
      </c>
      <c r="F11" s="42">
        <v>0</v>
      </c>
      <c r="G11" s="42">
        <f t="shared" si="2"/>
        <v>0</v>
      </c>
      <c r="H11" s="42"/>
      <c r="I11" s="42">
        <v>0</v>
      </c>
      <c r="J11" s="42">
        <f t="shared" si="3"/>
        <v>0</v>
      </c>
      <c r="K11" s="42">
        <f t="shared" si="4"/>
        <v>0</v>
      </c>
      <c r="L11" s="42"/>
      <c r="M11" s="42">
        <f t="shared" si="5"/>
        <v>2288095.9975999994</v>
      </c>
      <c r="N11" s="42"/>
      <c r="O11" s="36"/>
    </row>
    <row r="12" spans="1:15">
      <c r="A12" s="28">
        <v>9</v>
      </c>
      <c r="B12" s="29">
        <v>45725</v>
      </c>
      <c r="C12" s="134"/>
      <c r="D12" s="40"/>
      <c r="E12" s="251">
        <v>0</v>
      </c>
      <c r="F12" s="42">
        <v>0</v>
      </c>
      <c r="G12" s="42">
        <f t="shared" si="2"/>
        <v>0</v>
      </c>
      <c r="H12" s="42"/>
      <c r="I12" s="42">
        <v>0</v>
      </c>
      <c r="J12" s="42">
        <f t="shared" si="3"/>
        <v>0</v>
      </c>
      <c r="K12" s="42">
        <f t="shared" si="4"/>
        <v>0</v>
      </c>
      <c r="L12" s="42"/>
      <c r="M12" s="42">
        <f t="shared" si="5"/>
        <v>2288095.9975999994</v>
      </c>
      <c r="N12" s="42"/>
      <c r="O12" s="36"/>
    </row>
    <row r="13" spans="1:15">
      <c r="A13" s="28">
        <v>10</v>
      </c>
      <c r="B13" s="259">
        <v>45726</v>
      </c>
      <c r="C13" s="134"/>
      <c r="D13" s="40"/>
      <c r="E13" s="251">
        <v>0</v>
      </c>
      <c r="F13" s="42">
        <v>0</v>
      </c>
      <c r="G13" s="42">
        <f t="shared" si="2"/>
        <v>0</v>
      </c>
      <c r="H13" s="42"/>
      <c r="I13" s="42">
        <v>0</v>
      </c>
      <c r="J13" s="42">
        <f t="shared" si="3"/>
        <v>0</v>
      </c>
      <c r="K13" s="42">
        <f t="shared" si="4"/>
        <v>0</v>
      </c>
      <c r="L13" s="42"/>
      <c r="M13" s="42">
        <f>M12+K13-L13</f>
        <v>2288095.9975999994</v>
      </c>
      <c r="N13" s="42"/>
      <c r="O13" s="36"/>
    </row>
    <row r="14" spans="1:15">
      <c r="A14" s="28">
        <v>11</v>
      </c>
      <c r="B14" s="29">
        <v>45727</v>
      </c>
      <c r="C14" s="134"/>
      <c r="D14" s="40"/>
      <c r="E14" s="251">
        <v>0</v>
      </c>
      <c r="F14" s="42">
        <v>0</v>
      </c>
      <c r="G14" s="42">
        <f t="shared" si="2"/>
        <v>0</v>
      </c>
      <c r="H14" s="42"/>
      <c r="I14" s="42">
        <v>0</v>
      </c>
      <c r="J14" s="42">
        <f t="shared" si="3"/>
        <v>0</v>
      </c>
      <c r="K14" s="42">
        <f t="shared" si="4"/>
        <v>0</v>
      </c>
      <c r="L14" s="42"/>
      <c r="M14" s="42">
        <f>M13+K14-L14</f>
        <v>2288095.9975999994</v>
      </c>
      <c r="N14" s="42"/>
      <c r="O14" s="36"/>
    </row>
    <row r="15" spans="1:15">
      <c r="A15" s="28">
        <v>12</v>
      </c>
      <c r="B15" s="259">
        <v>45728</v>
      </c>
      <c r="C15" s="134"/>
      <c r="D15" s="40"/>
      <c r="E15" s="251">
        <v>0</v>
      </c>
      <c r="F15" s="42">
        <v>0</v>
      </c>
      <c r="G15" s="42">
        <f t="shared" si="2"/>
        <v>0</v>
      </c>
      <c r="H15" s="42"/>
      <c r="I15" s="42">
        <v>0</v>
      </c>
      <c r="J15" s="42">
        <f t="shared" si="3"/>
        <v>0</v>
      </c>
      <c r="K15" s="42">
        <f t="shared" si="4"/>
        <v>0</v>
      </c>
      <c r="L15" s="42"/>
      <c r="M15" s="42">
        <f>M14+K15-L15</f>
        <v>2288095.9975999994</v>
      </c>
      <c r="N15" s="42"/>
      <c r="O15" s="36"/>
    </row>
    <row r="16" spans="1:15">
      <c r="A16" s="28">
        <v>13</v>
      </c>
      <c r="B16" s="29">
        <v>45729</v>
      </c>
      <c r="C16" s="134"/>
      <c r="D16" s="40"/>
      <c r="E16" s="251">
        <v>0</v>
      </c>
      <c r="F16" s="42">
        <v>0</v>
      </c>
      <c r="G16" s="42">
        <f t="shared" si="2"/>
        <v>0</v>
      </c>
      <c r="H16" s="42"/>
      <c r="I16" s="42">
        <v>0</v>
      </c>
      <c r="J16" s="42">
        <f t="shared" si="3"/>
        <v>0</v>
      </c>
      <c r="K16" s="42">
        <f t="shared" si="4"/>
        <v>0</v>
      </c>
      <c r="L16" s="42"/>
      <c r="M16" s="42">
        <f t="shared" ref="M16:M30" si="6">M15+K16-L16</f>
        <v>2288095.9975999994</v>
      </c>
      <c r="N16" s="42"/>
      <c r="O16" s="36"/>
    </row>
    <row r="17" spans="1:16">
      <c r="A17" s="28">
        <v>14</v>
      </c>
      <c r="B17" s="259">
        <v>45730</v>
      </c>
      <c r="C17" s="134"/>
      <c r="D17" s="40"/>
      <c r="E17" s="251">
        <v>0</v>
      </c>
      <c r="F17" s="42">
        <v>0</v>
      </c>
      <c r="G17" s="42">
        <f t="shared" si="2"/>
        <v>0</v>
      </c>
      <c r="H17" s="42"/>
      <c r="I17" s="42">
        <v>0</v>
      </c>
      <c r="J17" s="42">
        <f t="shared" si="3"/>
        <v>0</v>
      </c>
      <c r="K17" s="42">
        <f t="shared" si="4"/>
        <v>0</v>
      </c>
      <c r="L17" s="42"/>
      <c r="M17" s="42">
        <f t="shared" si="6"/>
        <v>2288095.9975999994</v>
      </c>
      <c r="N17" s="42"/>
      <c r="O17" s="36"/>
    </row>
    <row r="18" spans="1:16">
      <c r="A18" s="28">
        <v>15</v>
      </c>
      <c r="B18" s="29">
        <v>45731</v>
      </c>
      <c r="C18" s="134"/>
      <c r="D18" s="40"/>
      <c r="E18" s="251">
        <v>500</v>
      </c>
      <c r="F18" s="42">
        <v>96.31</v>
      </c>
      <c r="G18" s="42">
        <f t="shared" si="2"/>
        <v>48155</v>
      </c>
      <c r="H18" s="42"/>
      <c r="I18" s="42">
        <v>0</v>
      </c>
      <c r="J18" s="42">
        <f t="shared" si="3"/>
        <v>0</v>
      </c>
      <c r="K18" s="42">
        <f t="shared" si="4"/>
        <v>48155</v>
      </c>
      <c r="L18" s="42"/>
      <c r="M18" s="42">
        <f t="shared" si="6"/>
        <v>2336250.9975999994</v>
      </c>
      <c r="N18" s="42"/>
      <c r="O18" s="36"/>
      <c r="P18" s="24"/>
    </row>
    <row r="19" spans="1:16">
      <c r="A19" s="28">
        <v>16</v>
      </c>
      <c r="B19" s="259">
        <v>45732</v>
      </c>
      <c r="C19" s="134"/>
      <c r="D19" s="40"/>
      <c r="E19" s="251">
        <v>0</v>
      </c>
      <c r="F19" s="42">
        <v>0</v>
      </c>
      <c r="G19" s="42">
        <f t="shared" si="2"/>
        <v>0</v>
      </c>
      <c r="H19" s="42"/>
      <c r="I19" s="42">
        <v>0</v>
      </c>
      <c r="J19" s="42">
        <f t="shared" si="3"/>
        <v>0</v>
      </c>
      <c r="K19" s="42">
        <f t="shared" si="4"/>
        <v>0</v>
      </c>
      <c r="L19" s="42"/>
      <c r="M19" s="42">
        <f t="shared" si="6"/>
        <v>2336250.9975999994</v>
      </c>
      <c r="N19" s="42"/>
      <c r="O19" s="36"/>
      <c r="P19" s="44"/>
    </row>
    <row r="20" spans="1:16">
      <c r="A20" s="28">
        <v>17</v>
      </c>
      <c r="B20" s="29">
        <v>45733</v>
      </c>
      <c r="C20" s="134"/>
      <c r="D20" s="40"/>
      <c r="E20" s="251">
        <v>0</v>
      </c>
      <c r="F20" s="42">
        <v>0</v>
      </c>
      <c r="G20" s="42">
        <f t="shared" si="2"/>
        <v>0</v>
      </c>
      <c r="H20" s="42"/>
      <c r="I20" s="42">
        <v>0</v>
      </c>
      <c r="J20" s="42">
        <f t="shared" si="3"/>
        <v>0</v>
      </c>
      <c r="K20" s="42">
        <f t="shared" si="4"/>
        <v>0</v>
      </c>
      <c r="L20" s="42"/>
      <c r="M20" s="42">
        <f t="shared" si="6"/>
        <v>2336250.9975999994</v>
      </c>
      <c r="N20" s="42"/>
      <c r="O20" s="36"/>
      <c r="P20" s="24"/>
    </row>
    <row r="21" spans="1:16">
      <c r="A21" s="28">
        <v>18</v>
      </c>
      <c r="B21" s="259">
        <v>45734</v>
      </c>
      <c r="C21" s="134"/>
      <c r="D21" s="40"/>
      <c r="E21" s="251">
        <v>0</v>
      </c>
      <c r="F21" s="42">
        <v>0</v>
      </c>
      <c r="G21" s="42">
        <f t="shared" si="2"/>
        <v>0</v>
      </c>
      <c r="H21" s="42"/>
      <c r="I21" s="42">
        <v>0</v>
      </c>
      <c r="J21" s="42">
        <f t="shared" si="3"/>
        <v>0</v>
      </c>
      <c r="K21" s="42">
        <f t="shared" si="4"/>
        <v>0</v>
      </c>
      <c r="L21" s="42"/>
      <c r="M21" s="42">
        <f t="shared" si="6"/>
        <v>2336250.9975999994</v>
      </c>
      <c r="N21" s="42"/>
      <c r="O21" s="36"/>
    </row>
    <row r="22" spans="1:16">
      <c r="A22" s="28">
        <v>19</v>
      </c>
      <c r="B22" s="29">
        <v>45735</v>
      </c>
      <c r="C22" s="134"/>
      <c r="D22" s="40"/>
      <c r="E22" s="251">
        <v>0</v>
      </c>
      <c r="F22" s="42">
        <v>0</v>
      </c>
      <c r="G22" s="42">
        <f t="shared" si="2"/>
        <v>0</v>
      </c>
      <c r="H22" s="42"/>
      <c r="I22" s="42">
        <v>0</v>
      </c>
      <c r="J22" s="42">
        <f t="shared" si="3"/>
        <v>0</v>
      </c>
      <c r="K22" s="42">
        <f t="shared" si="4"/>
        <v>0</v>
      </c>
      <c r="L22" s="42"/>
      <c r="M22" s="42">
        <f t="shared" si="6"/>
        <v>2336250.9975999994</v>
      </c>
      <c r="N22" s="42"/>
      <c r="O22" s="36"/>
    </row>
    <row r="23" spans="1:16">
      <c r="A23" s="28">
        <v>20</v>
      </c>
      <c r="B23" s="259">
        <v>45736</v>
      </c>
      <c r="C23" s="134"/>
      <c r="D23" s="40"/>
      <c r="E23" s="251">
        <v>0</v>
      </c>
      <c r="F23" s="42">
        <v>0</v>
      </c>
      <c r="G23" s="42">
        <f t="shared" si="2"/>
        <v>0</v>
      </c>
      <c r="H23" s="42"/>
      <c r="I23" s="42">
        <v>0</v>
      </c>
      <c r="J23" s="42">
        <f t="shared" si="3"/>
        <v>0</v>
      </c>
      <c r="K23" s="42">
        <f t="shared" si="4"/>
        <v>0</v>
      </c>
      <c r="L23" s="42"/>
      <c r="M23" s="42">
        <f t="shared" si="6"/>
        <v>2336250.9975999994</v>
      </c>
      <c r="N23" s="42"/>
      <c r="O23" s="36"/>
    </row>
    <row r="24" spans="1:16">
      <c r="A24" s="28">
        <v>21</v>
      </c>
      <c r="B24" s="29">
        <v>45737</v>
      </c>
      <c r="C24" s="134"/>
      <c r="D24" s="40"/>
      <c r="E24" s="251">
        <v>0</v>
      </c>
      <c r="F24" s="42">
        <v>0</v>
      </c>
      <c r="G24" s="42">
        <f t="shared" si="2"/>
        <v>0</v>
      </c>
      <c r="H24" s="42"/>
      <c r="I24" s="42">
        <v>0</v>
      </c>
      <c r="J24" s="42">
        <f t="shared" si="3"/>
        <v>0</v>
      </c>
      <c r="K24" s="42">
        <f t="shared" si="4"/>
        <v>0</v>
      </c>
      <c r="L24" s="42"/>
      <c r="M24" s="42">
        <f t="shared" si="6"/>
        <v>2336250.9975999994</v>
      </c>
      <c r="N24" s="42"/>
      <c r="O24" s="36"/>
    </row>
    <row r="25" spans="1:16">
      <c r="A25" s="28">
        <v>22</v>
      </c>
      <c r="B25" s="259">
        <v>45738</v>
      </c>
      <c r="C25" s="134"/>
      <c r="D25" s="40"/>
      <c r="E25" s="251">
        <v>0</v>
      </c>
      <c r="F25" s="42">
        <v>0</v>
      </c>
      <c r="G25" s="42">
        <f t="shared" si="2"/>
        <v>0</v>
      </c>
      <c r="H25" s="42"/>
      <c r="I25" s="42">
        <v>0</v>
      </c>
      <c r="J25" s="42">
        <f t="shared" si="3"/>
        <v>0</v>
      </c>
      <c r="K25" s="42">
        <f t="shared" si="4"/>
        <v>0</v>
      </c>
      <c r="L25" s="42"/>
      <c r="M25" s="42">
        <f t="shared" si="6"/>
        <v>2336250.9975999994</v>
      </c>
      <c r="N25" s="42"/>
      <c r="O25" s="36"/>
    </row>
    <row r="26" spans="1:16">
      <c r="A26" s="28">
        <v>23</v>
      </c>
      <c r="B26" s="29">
        <v>45739</v>
      </c>
      <c r="C26" s="134"/>
      <c r="D26" s="40"/>
      <c r="E26" s="251">
        <v>0</v>
      </c>
      <c r="F26" s="42">
        <v>0</v>
      </c>
      <c r="G26" s="42">
        <f t="shared" si="2"/>
        <v>0</v>
      </c>
      <c r="H26" s="42"/>
      <c r="I26" s="42">
        <v>0</v>
      </c>
      <c r="J26" s="42">
        <f t="shared" si="3"/>
        <v>0</v>
      </c>
      <c r="K26" s="42">
        <f t="shared" si="4"/>
        <v>0</v>
      </c>
      <c r="L26" s="42"/>
      <c r="M26" s="42">
        <f t="shared" si="6"/>
        <v>2336250.9975999994</v>
      </c>
      <c r="N26" s="42"/>
      <c r="O26" s="36"/>
    </row>
    <row r="27" spans="1:16">
      <c r="A27" s="28">
        <v>24</v>
      </c>
      <c r="B27" s="259">
        <v>45740</v>
      </c>
      <c r="C27" s="134"/>
      <c r="D27" s="40"/>
      <c r="E27" s="251">
        <v>0</v>
      </c>
      <c r="F27" s="42">
        <v>0</v>
      </c>
      <c r="G27" s="42">
        <f t="shared" si="2"/>
        <v>0</v>
      </c>
      <c r="H27" s="42"/>
      <c r="I27" s="42">
        <v>0</v>
      </c>
      <c r="J27" s="42">
        <f t="shared" si="3"/>
        <v>0</v>
      </c>
      <c r="K27" s="42">
        <f t="shared" si="4"/>
        <v>0</v>
      </c>
      <c r="L27" s="42"/>
      <c r="M27" s="42">
        <f t="shared" si="6"/>
        <v>2336250.9975999994</v>
      </c>
      <c r="N27" s="42"/>
      <c r="O27" s="36"/>
    </row>
    <row r="28" spans="1:16">
      <c r="A28" s="28">
        <v>25</v>
      </c>
      <c r="B28" s="29">
        <v>45741</v>
      </c>
      <c r="C28" s="134"/>
      <c r="D28" s="40"/>
      <c r="E28" s="251">
        <v>0</v>
      </c>
      <c r="F28" s="42">
        <v>0</v>
      </c>
      <c r="G28" s="42">
        <f t="shared" si="2"/>
        <v>0</v>
      </c>
      <c r="H28" s="42"/>
      <c r="I28" s="42">
        <v>0</v>
      </c>
      <c r="J28" s="42">
        <f t="shared" si="3"/>
        <v>0</v>
      </c>
      <c r="K28" s="42">
        <f t="shared" si="4"/>
        <v>0</v>
      </c>
      <c r="L28" s="42"/>
      <c r="M28" s="42">
        <f t="shared" si="6"/>
        <v>2336250.9975999994</v>
      </c>
      <c r="N28" s="42"/>
      <c r="O28" s="36"/>
    </row>
    <row r="29" spans="1:16">
      <c r="A29" s="28">
        <v>26</v>
      </c>
      <c r="B29" s="259">
        <v>45742</v>
      </c>
      <c r="C29" s="134"/>
      <c r="D29" s="40"/>
      <c r="E29" s="251">
        <v>0</v>
      </c>
      <c r="F29" s="42">
        <v>0</v>
      </c>
      <c r="G29" s="42">
        <f t="shared" si="2"/>
        <v>0</v>
      </c>
      <c r="H29" s="42"/>
      <c r="I29" s="42">
        <v>0</v>
      </c>
      <c r="J29" s="42">
        <f t="shared" si="3"/>
        <v>0</v>
      </c>
      <c r="K29" s="42">
        <f t="shared" si="4"/>
        <v>0</v>
      </c>
      <c r="L29" s="42"/>
      <c r="M29" s="42">
        <f>M28+K29-L29</f>
        <v>2336250.9975999994</v>
      </c>
      <c r="N29" s="42"/>
      <c r="O29" s="36"/>
    </row>
    <row r="30" spans="1:16">
      <c r="A30" s="28">
        <v>27</v>
      </c>
      <c r="B30" s="29">
        <v>45743</v>
      </c>
      <c r="C30" s="134"/>
      <c r="D30" s="40"/>
      <c r="E30" s="251">
        <v>0</v>
      </c>
      <c r="F30" s="42">
        <v>0</v>
      </c>
      <c r="G30" s="42">
        <f t="shared" si="2"/>
        <v>0</v>
      </c>
      <c r="H30" s="42"/>
      <c r="I30" s="42">
        <v>0</v>
      </c>
      <c r="J30" s="42">
        <f t="shared" si="3"/>
        <v>0</v>
      </c>
      <c r="K30" s="42">
        <f t="shared" si="4"/>
        <v>0</v>
      </c>
      <c r="L30" s="42"/>
      <c r="M30" s="42">
        <f t="shared" si="6"/>
        <v>2336250.9975999994</v>
      </c>
      <c r="N30" s="42"/>
      <c r="O30" s="36"/>
    </row>
    <row r="31" spans="1:16">
      <c r="A31" s="28">
        <v>28</v>
      </c>
      <c r="B31" s="259">
        <v>45744</v>
      </c>
      <c r="C31" s="134"/>
      <c r="D31" s="40"/>
      <c r="E31" s="251">
        <v>0</v>
      </c>
      <c r="F31" s="42">
        <v>0</v>
      </c>
      <c r="G31" s="42">
        <f t="shared" si="2"/>
        <v>0</v>
      </c>
      <c r="H31" s="42"/>
      <c r="I31" s="42">
        <v>0</v>
      </c>
      <c r="J31" s="42">
        <f t="shared" si="3"/>
        <v>0</v>
      </c>
      <c r="K31" s="42">
        <f t="shared" si="4"/>
        <v>0</v>
      </c>
      <c r="L31" s="42">
        <v>1000000</v>
      </c>
      <c r="M31" s="42">
        <f>M30+K31-L31</f>
        <v>1336250.9975999994</v>
      </c>
      <c r="N31" s="42"/>
      <c r="O31" s="36"/>
    </row>
    <row r="32" spans="1:16">
      <c r="A32" s="28">
        <v>29</v>
      </c>
      <c r="B32" s="29">
        <v>45745</v>
      </c>
      <c r="C32" s="134"/>
      <c r="D32" s="40"/>
      <c r="E32" s="251">
        <v>0</v>
      </c>
      <c r="F32" s="42">
        <v>0</v>
      </c>
      <c r="G32" s="42">
        <f t="shared" si="2"/>
        <v>0</v>
      </c>
      <c r="H32" s="42"/>
      <c r="I32" s="42">
        <v>0</v>
      </c>
      <c r="J32" s="42">
        <f t="shared" si="3"/>
        <v>0</v>
      </c>
      <c r="K32" s="42">
        <f t="shared" si="4"/>
        <v>0</v>
      </c>
      <c r="L32" s="42">
        <v>1336254</v>
      </c>
      <c r="M32" s="42">
        <f>M31+K32-L32</f>
        <v>-3.0024000005796552</v>
      </c>
      <c r="N32" s="42"/>
      <c r="O32" s="36"/>
    </row>
    <row r="33" spans="1:15">
      <c r="A33" s="28">
        <v>30</v>
      </c>
      <c r="B33" s="259">
        <v>45746</v>
      </c>
      <c r="C33" s="134"/>
      <c r="D33" s="40"/>
      <c r="E33" s="251">
        <v>0</v>
      </c>
      <c r="F33" s="42">
        <v>0</v>
      </c>
      <c r="G33" s="42">
        <f t="shared" si="2"/>
        <v>0</v>
      </c>
      <c r="H33" s="42"/>
      <c r="I33" s="42">
        <v>0</v>
      </c>
      <c r="J33" s="42">
        <f t="shared" si="3"/>
        <v>0</v>
      </c>
      <c r="K33" s="42">
        <f t="shared" si="4"/>
        <v>0</v>
      </c>
      <c r="L33" s="42"/>
      <c r="M33" s="42">
        <f>M32+K33-L33</f>
        <v>-3.0024000005796552</v>
      </c>
      <c r="N33" s="42"/>
      <c r="O33" s="36"/>
    </row>
    <row r="34" spans="1:15">
      <c r="A34" s="28">
        <v>31</v>
      </c>
      <c r="B34" s="29">
        <v>45747</v>
      </c>
      <c r="C34" s="134"/>
      <c r="D34" s="40"/>
      <c r="E34" s="251">
        <v>0</v>
      </c>
      <c r="F34" s="42">
        <v>0</v>
      </c>
      <c r="G34" s="42">
        <f t="shared" si="2"/>
        <v>0</v>
      </c>
      <c r="H34" s="42"/>
      <c r="I34" s="42">
        <v>0</v>
      </c>
      <c r="J34" s="42">
        <f t="shared" si="3"/>
        <v>0</v>
      </c>
      <c r="K34" s="42">
        <f t="shared" si="4"/>
        <v>0</v>
      </c>
      <c r="L34" s="42"/>
      <c r="M34" s="42">
        <f>M33+K34-L34</f>
        <v>-3.0024000005796552</v>
      </c>
      <c r="N34" s="42"/>
      <c r="O34" s="36"/>
    </row>
    <row r="35" spans="1:15">
      <c r="A35" s="60"/>
      <c r="B35" s="60"/>
      <c r="C35" s="60"/>
      <c r="D35" s="60"/>
      <c r="E35" s="252">
        <f>SUM(E4:E34)</f>
        <v>500</v>
      </c>
      <c r="F35" s="61"/>
      <c r="G35" s="252">
        <f>SUM(G4:G34)</f>
        <v>48155</v>
      </c>
      <c r="H35" s="252">
        <f>SUM(H4:H34)</f>
        <v>0</v>
      </c>
      <c r="I35" s="61"/>
      <c r="J35" s="252">
        <f>SUM(J4:J34)</f>
        <v>0</v>
      </c>
      <c r="K35" s="252">
        <f>SUM(K4:K34)</f>
        <v>48155</v>
      </c>
      <c r="L35" s="252">
        <f>SUM(L4:L34)</f>
        <v>2336254</v>
      </c>
      <c r="M35" s="61"/>
      <c r="N35" s="61"/>
      <c r="O35" s="36"/>
    </row>
    <row r="36" spans="1:15">
      <c r="A36" s="223"/>
      <c r="B36" s="223"/>
      <c r="C36" s="223"/>
      <c r="D36" s="223"/>
      <c r="E36" s="253"/>
      <c r="F36" s="224"/>
      <c r="G36" s="224"/>
      <c r="H36" s="224"/>
      <c r="I36" s="224"/>
      <c r="J36" s="224"/>
      <c r="K36" s="224"/>
      <c r="L36" s="224"/>
      <c r="M36" s="224"/>
      <c r="N36" s="224"/>
      <c r="O36" s="36"/>
    </row>
    <row r="37" spans="1:15">
      <c r="A37" s="36"/>
      <c r="B37" s="36"/>
      <c r="C37" s="36"/>
      <c r="D37" s="36"/>
      <c r="E37" s="254"/>
      <c r="F37" s="36"/>
      <c r="G37" s="45"/>
      <c r="H37" s="36"/>
      <c r="I37" s="36"/>
      <c r="J37" s="36"/>
      <c r="K37" s="36"/>
      <c r="L37" s="36"/>
      <c r="M37" s="36"/>
      <c r="N37" s="36"/>
      <c r="O37" s="46"/>
    </row>
    <row r="38" spans="1:15">
      <c r="A38" s="36"/>
      <c r="B38" s="385"/>
      <c r="C38" s="385"/>
      <c r="D38" s="385"/>
      <c r="E38" s="385"/>
      <c r="F38" s="36"/>
      <c r="G38" s="36"/>
      <c r="H38" s="36"/>
      <c r="I38" s="385"/>
      <c r="J38" s="385"/>
      <c r="K38" s="385"/>
      <c r="L38" s="385"/>
      <c r="M38" s="385"/>
      <c r="N38" s="385"/>
      <c r="O38" s="46"/>
    </row>
    <row r="39" spans="1:15">
      <c r="A39" s="36"/>
      <c r="B39" s="36"/>
      <c r="C39" s="36"/>
      <c r="D39" s="36"/>
      <c r="E39" s="254"/>
      <c r="F39" s="36"/>
      <c r="G39" s="36"/>
      <c r="H39" s="36"/>
      <c r="I39" s="36"/>
      <c r="J39" s="36"/>
      <c r="K39" s="36"/>
      <c r="L39" s="36"/>
      <c r="M39" s="36"/>
      <c r="N39" s="36"/>
      <c r="O39" s="46"/>
    </row>
    <row r="42" spans="1:15">
      <c r="M42">
        <f>2225506.64-2221066.35</f>
        <v>4440.2900000000373</v>
      </c>
    </row>
    <row r="44" spans="1:15">
      <c r="J44">
        <v>4333.95</v>
      </c>
    </row>
  </sheetData>
  <mergeCells count="4">
    <mergeCell ref="B38:E38"/>
    <mergeCell ref="I38:N38"/>
    <mergeCell ref="A1:N1"/>
    <mergeCell ref="A3:J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BAF7B-DC01-4BAF-BE8E-0B06339E3045}">
  <dimension ref="A1:P35"/>
  <sheetViews>
    <sheetView workbookViewId="0">
      <pane ySplit="2" topLeftCell="A3" activePane="bottomLeft" state="frozen"/>
      <selection pane="bottomLeft" activeCell="R28" sqref="R28"/>
    </sheetView>
  </sheetViews>
  <sheetFormatPr defaultRowHeight="15"/>
  <cols>
    <col min="1" max="1" width="6.28515625" customWidth="1"/>
    <col min="2" max="2" width="10" bestFit="1" customWidth="1"/>
    <col min="3" max="3" width="11.140625" customWidth="1"/>
    <col min="4" max="4" width="14.140625" customWidth="1"/>
    <col min="5" max="5" width="14.5703125" customWidth="1"/>
    <col min="6" max="6" width="9.85546875" customWidth="1"/>
    <col min="7" max="7" width="12.42578125" customWidth="1"/>
    <col min="9" max="9" width="9.7109375" customWidth="1"/>
    <col min="10" max="10" width="11.5703125" customWidth="1"/>
    <col min="11" max="11" width="11.85546875" bestFit="1" customWidth="1"/>
    <col min="12" max="12" width="12.5703125" customWidth="1"/>
    <col min="13" max="13" width="17.42578125" customWidth="1"/>
    <col min="14" max="14" width="13.42578125" customWidth="1"/>
    <col min="15" max="15" width="11.42578125" bestFit="1" customWidth="1"/>
  </cols>
  <sheetData>
    <row r="1" spans="1:15" ht="15.75">
      <c r="A1" s="386" t="s">
        <v>26</v>
      </c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  <c r="M1" s="386"/>
      <c r="N1" s="386"/>
    </row>
    <row r="2" spans="1:15" ht="27">
      <c r="A2" s="128" t="s">
        <v>91</v>
      </c>
      <c r="B2" s="133" t="s">
        <v>92</v>
      </c>
      <c r="C2" s="133" t="s">
        <v>93</v>
      </c>
      <c r="D2" s="133" t="s">
        <v>94</v>
      </c>
      <c r="E2" s="250" t="s">
        <v>95</v>
      </c>
      <c r="F2" s="133" t="s">
        <v>96</v>
      </c>
      <c r="G2" s="133" t="s">
        <v>97</v>
      </c>
      <c r="H2" s="133" t="s">
        <v>98</v>
      </c>
      <c r="I2" s="133" t="s">
        <v>96</v>
      </c>
      <c r="J2" s="133" t="s">
        <v>97</v>
      </c>
      <c r="K2" s="133" t="s">
        <v>99</v>
      </c>
      <c r="L2" s="133" t="s">
        <v>100</v>
      </c>
      <c r="M2" s="133" t="s">
        <v>101</v>
      </c>
      <c r="N2" s="133" t="s">
        <v>102</v>
      </c>
    </row>
    <row r="3" spans="1:15">
      <c r="A3" s="388" t="s">
        <v>103</v>
      </c>
      <c r="B3" s="388"/>
      <c r="C3" s="388"/>
      <c r="D3" s="388"/>
      <c r="E3" s="388"/>
      <c r="F3" s="388"/>
      <c r="G3" s="388"/>
      <c r="H3" s="388"/>
      <c r="I3" s="388"/>
      <c r="J3" s="388"/>
      <c r="K3" s="295">
        <v>2708358.9295999999</v>
      </c>
      <c r="L3" s="295"/>
      <c r="M3" s="296">
        <f>+K3</f>
        <v>2708358.9295999999</v>
      </c>
      <c r="N3" s="119"/>
    </row>
    <row r="4" spans="1:15">
      <c r="A4" s="28">
        <v>1</v>
      </c>
      <c r="B4" s="29">
        <v>45717</v>
      </c>
      <c r="C4" s="19"/>
      <c r="D4" s="19"/>
      <c r="E4" s="19">
        <v>2400</v>
      </c>
      <c r="F4" s="19">
        <v>96.13</v>
      </c>
      <c r="G4" s="19">
        <f>E4*F4</f>
        <v>230712</v>
      </c>
      <c r="H4" s="19"/>
      <c r="I4" s="19"/>
      <c r="J4" s="19">
        <f>H4*I4</f>
        <v>0</v>
      </c>
      <c r="K4" s="19">
        <f>G4+J4</f>
        <v>230712</v>
      </c>
      <c r="L4" s="19"/>
      <c r="M4" s="165">
        <f>M3+K4-L4</f>
        <v>2939070.9295999999</v>
      </c>
      <c r="N4" s="19"/>
      <c r="O4" s="24">
        <v>2708900.0795999998</v>
      </c>
    </row>
    <row r="5" spans="1:15">
      <c r="A5" s="28">
        <v>2</v>
      </c>
      <c r="B5" s="294">
        <v>45718</v>
      </c>
      <c r="C5" s="19"/>
      <c r="D5" s="19"/>
      <c r="E5" s="19"/>
      <c r="F5" s="19"/>
      <c r="G5" s="19">
        <f t="shared" ref="G5:G17" si="0">E5*F5</f>
        <v>0</v>
      </c>
      <c r="H5" s="19"/>
      <c r="I5" s="19"/>
      <c r="J5" s="19">
        <f t="shared" ref="J5:J17" si="1">H5*I5</f>
        <v>0</v>
      </c>
      <c r="K5" s="19">
        <f t="shared" ref="K5:K17" si="2">G5+J5</f>
        <v>0</v>
      </c>
      <c r="L5" s="19"/>
      <c r="M5" s="165">
        <f t="shared" ref="M4:O31" si="3">M4+K5-L5</f>
        <v>2939070.9295999999</v>
      </c>
      <c r="N5" s="19"/>
    </row>
    <row r="6" spans="1:15">
      <c r="A6" s="28">
        <v>3</v>
      </c>
      <c r="B6" s="29">
        <v>45719</v>
      </c>
      <c r="C6" s="19"/>
      <c r="D6" s="19"/>
      <c r="E6" s="19">
        <v>0</v>
      </c>
      <c r="F6" s="19">
        <v>96.13</v>
      </c>
      <c r="G6" s="19">
        <f t="shared" si="0"/>
        <v>0</v>
      </c>
      <c r="H6" s="19"/>
      <c r="I6" s="19"/>
      <c r="J6" s="19">
        <f t="shared" si="1"/>
        <v>0</v>
      </c>
      <c r="K6" s="19">
        <f t="shared" si="2"/>
        <v>0</v>
      </c>
      <c r="L6" s="19"/>
      <c r="M6" s="165">
        <f t="shared" si="3"/>
        <v>2939070.9295999999</v>
      </c>
      <c r="N6" s="19"/>
    </row>
    <row r="7" spans="1:15">
      <c r="A7" s="28">
        <v>4</v>
      </c>
      <c r="B7" s="294">
        <v>45720</v>
      </c>
      <c r="C7" s="19"/>
      <c r="D7" s="19"/>
      <c r="E7" s="19"/>
      <c r="F7" s="19"/>
      <c r="G7" s="19">
        <f t="shared" si="0"/>
        <v>0</v>
      </c>
      <c r="H7" s="19"/>
      <c r="I7" s="19"/>
      <c r="J7" s="19">
        <f t="shared" si="1"/>
        <v>0</v>
      </c>
      <c r="K7" s="19">
        <f t="shared" si="2"/>
        <v>0</v>
      </c>
      <c r="L7" s="19"/>
      <c r="M7" s="165">
        <f t="shared" si="3"/>
        <v>2939070.9295999999</v>
      </c>
      <c r="N7" s="19"/>
    </row>
    <row r="8" spans="1:15">
      <c r="A8" s="28">
        <v>5</v>
      </c>
      <c r="B8" s="29">
        <v>45721</v>
      </c>
      <c r="C8" s="19"/>
      <c r="D8" s="19"/>
      <c r="E8" s="19"/>
      <c r="F8" s="19"/>
      <c r="G8" s="19">
        <f t="shared" si="0"/>
        <v>0</v>
      </c>
      <c r="H8" s="19"/>
      <c r="I8" s="19"/>
      <c r="J8" s="19">
        <f t="shared" si="1"/>
        <v>0</v>
      </c>
      <c r="K8" s="19">
        <f t="shared" si="2"/>
        <v>0</v>
      </c>
      <c r="L8" s="19"/>
      <c r="M8" s="165">
        <f t="shared" si="3"/>
        <v>2939070.9295999999</v>
      </c>
      <c r="N8" s="19"/>
    </row>
    <row r="9" spans="1:15">
      <c r="A9" s="28">
        <v>6</v>
      </c>
      <c r="B9" s="294">
        <v>45722</v>
      </c>
      <c r="C9" s="19"/>
      <c r="D9" s="19"/>
      <c r="E9" s="19"/>
      <c r="F9" s="19"/>
      <c r="G9" s="19">
        <f t="shared" si="0"/>
        <v>0</v>
      </c>
      <c r="H9" s="19"/>
      <c r="I9" s="19"/>
      <c r="J9" s="19">
        <f t="shared" si="1"/>
        <v>0</v>
      </c>
      <c r="K9" s="19">
        <f t="shared" si="2"/>
        <v>0</v>
      </c>
      <c r="L9" s="19"/>
      <c r="M9" s="165">
        <f t="shared" si="3"/>
        <v>2939070.9295999999</v>
      </c>
      <c r="N9" s="19"/>
    </row>
    <row r="10" spans="1:15">
      <c r="A10" s="28">
        <v>7</v>
      </c>
      <c r="B10" s="29">
        <v>45723</v>
      </c>
      <c r="C10" s="19"/>
      <c r="D10" s="19"/>
      <c r="E10" s="19"/>
      <c r="F10" s="19"/>
      <c r="G10" s="19">
        <f t="shared" si="0"/>
        <v>0</v>
      </c>
      <c r="H10" s="19"/>
      <c r="I10" s="19"/>
      <c r="J10" s="19">
        <f t="shared" si="1"/>
        <v>0</v>
      </c>
      <c r="K10" s="19">
        <f t="shared" si="2"/>
        <v>0</v>
      </c>
      <c r="L10" s="19"/>
      <c r="M10" s="165">
        <f t="shared" si="3"/>
        <v>2939070.9295999999</v>
      </c>
      <c r="N10" s="19"/>
    </row>
    <row r="11" spans="1:15">
      <c r="A11" s="28">
        <v>8</v>
      </c>
      <c r="B11" s="294">
        <v>45724</v>
      </c>
      <c r="C11" s="19"/>
      <c r="D11" s="19"/>
      <c r="E11" s="19"/>
      <c r="F11" s="19"/>
      <c r="G11" s="19">
        <f t="shared" si="0"/>
        <v>0</v>
      </c>
      <c r="H11" s="19"/>
      <c r="I11" s="19"/>
      <c r="J11" s="19">
        <f t="shared" si="1"/>
        <v>0</v>
      </c>
      <c r="K11" s="19">
        <f t="shared" si="2"/>
        <v>0</v>
      </c>
      <c r="L11" s="19"/>
      <c r="M11" s="165">
        <f t="shared" si="3"/>
        <v>2939070.9295999999</v>
      </c>
      <c r="N11" s="19"/>
    </row>
    <row r="12" spans="1:15">
      <c r="A12" s="28">
        <v>9</v>
      </c>
      <c r="B12" s="29">
        <v>45725</v>
      </c>
      <c r="C12" s="19"/>
      <c r="D12" s="19"/>
      <c r="E12" s="19"/>
      <c r="F12" s="19"/>
      <c r="G12" s="19">
        <f t="shared" si="0"/>
        <v>0</v>
      </c>
      <c r="H12" s="19"/>
      <c r="I12" s="19"/>
      <c r="J12" s="19">
        <f t="shared" si="1"/>
        <v>0</v>
      </c>
      <c r="K12" s="19">
        <f t="shared" si="2"/>
        <v>0</v>
      </c>
      <c r="L12" s="19"/>
      <c r="M12" s="165">
        <f t="shared" si="3"/>
        <v>2939070.9295999999</v>
      </c>
      <c r="N12" s="19"/>
    </row>
    <row r="13" spans="1:15">
      <c r="A13" s="28">
        <v>10</v>
      </c>
      <c r="B13" s="294">
        <v>45726</v>
      </c>
      <c r="C13" s="19"/>
      <c r="D13" s="19"/>
      <c r="E13" s="19"/>
      <c r="F13" s="19"/>
      <c r="G13" s="19">
        <f t="shared" si="0"/>
        <v>0</v>
      </c>
      <c r="H13" s="19"/>
      <c r="I13" s="19"/>
      <c r="J13" s="19">
        <f t="shared" si="1"/>
        <v>0</v>
      </c>
      <c r="K13" s="19">
        <f t="shared" si="2"/>
        <v>0</v>
      </c>
      <c r="L13" s="19"/>
      <c r="M13" s="165">
        <f t="shared" si="3"/>
        <v>2939070.9295999999</v>
      </c>
      <c r="N13" s="19"/>
    </row>
    <row r="14" spans="1:15">
      <c r="A14" s="28">
        <v>11</v>
      </c>
      <c r="B14" s="29">
        <v>45727</v>
      </c>
      <c r="C14" s="19"/>
      <c r="D14" s="19"/>
      <c r="E14" s="19"/>
      <c r="F14" s="19"/>
      <c r="G14" s="19">
        <f t="shared" si="0"/>
        <v>0</v>
      </c>
      <c r="H14" s="19"/>
      <c r="I14" s="19"/>
      <c r="J14" s="19">
        <f t="shared" si="1"/>
        <v>0</v>
      </c>
      <c r="K14" s="19">
        <f t="shared" si="2"/>
        <v>0</v>
      </c>
      <c r="L14" s="19"/>
      <c r="M14" s="165">
        <f t="shared" si="3"/>
        <v>2939070.9295999999</v>
      </c>
      <c r="N14" s="19"/>
    </row>
    <row r="15" spans="1:15">
      <c r="A15" s="28">
        <v>12</v>
      </c>
      <c r="B15" s="294">
        <v>45728</v>
      </c>
      <c r="C15" s="19"/>
      <c r="D15" s="19"/>
      <c r="E15" s="19"/>
      <c r="F15" s="19"/>
      <c r="G15" s="19">
        <f t="shared" si="0"/>
        <v>0</v>
      </c>
      <c r="H15" s="19"/>
      <c r="I15" s="19"/>
      <c r="J15" s="19">
        <f t="shared" si="1"/>
        <v>0</v>
      </c>
      <c r="K15" s="19">
        <f t="shared" si="2"/>
        <v>0</v>
      </c>
      <c r="L15" s="19"/>
      <c r="M15" s="165">
        <f t="shared" si="3"/>
        <v>2939070.9295999999</v>
      </c>
      <c r="N15" s="19"/>
    </row>
    <row r="16" spans="1:15">
      <c r="A16" s="28">
        <v>13</v>
      </c>
      <c r="B16" s="29">
        <v>45729</v>
      </c>
      <c r="C16" s="19"/>
      <c r="D16" s="19"/>
      <c r="E16" s="19"/>
      <c r="F16" s="19"/>
      <c r="G16" s="19">
        <f t="shared" si="0"/>
        <v>0</v>
      </c>
      <c r="H16" s="19"/>
      <c r="I16" s="19"/>
      <c r="J16" s="19">
        <f t="shared" si="1"/>
        <v>0</v>
      </c>
      <c r="K16" s="19">
        <f t="shared" si="2"/>
        <v>0</v>
      </c>
      <c r="L16" s="19"/>
      <c r="M16" s="165">
        <f t="shared" si="3"/>
        <v>2939070.9295999999</v>
      </c>
      <c r="N16" s="19"/>
    </row>
    <row r="17" spans="1:16">
      <c r="A17" s="28">
        <v>14</v>
      </c>
      <c r="B17" s="294">
        <v>45730</v>
      </c>
      <c r="C17" s="19"/>
      <c r="D17" s="19"/>
      <c r="E17" s="19"/>
      <c r="F17" s="19"/>
      <c r="G17" s="19">
        <f t="shared" si="0"/>
        <v>0</v>
      </c>
      <c r="H17" s="19"/>
      <c r="I17" s="19"/>
      <c r="J17" s="19">
        <f t="shared" si="1"/>
        <v>0</v>
      </c>
      <c r="K17" s="19">
        <f t="shared" si="2"/>
        <v>0</v>
      </c>
      <c r="L17" s="19"/>
      <c r="M17" s="165">
        <f t="shared" si="3"/>
        <v>2939070.9295999999</v>
      </c>
      <c r="N17" s="19"/>
    </row>
    <row r="18" spans="1:16">
      <c r="A18" s="28">
        <v>15</v>
      </c>
      <c r="B18" s="29">
        <v>45731</v>
      </c>
      <c r="C18" s="19"/>
      <c r="D18" s="19"/>
      <c r="E18" s="19"/>
      <c r="F18" s="19"/>
      <c r="G18" s="19">
        <f t="shared" ref="G18:G34" si="4">E18*F18</f>
        <v>0</v>
      </c>
      <c r="H18" s="19"/>
      <c r="I18" s="19"/>
      <c r="J18" s="19">
        <f t="shared" ref="J18:J34" si="5">H18*I18</f>
        <v>0</v>
      </c>
      <c r="K18" s="19">
        <f t="shared" ref="K18:K34" si="6">G18+J18</f>
        <v>0</v>
      </c>
      <c r="L18" s="19"/>
      <c r="M18" s="165">
        <f t="shared" si="3"/>
        <v>2939070.9295999999</v>
      </c>
      <c r="N18" s="19"/>
    </row>
    <row r="19" spans="1:16">
      <c r="A19" s="28">
        <v>16</v>
      </c>
      <c r="B19" s="294">
        <v>45732</v>
      </c>
      <c r="C19" s="19"/>
      <c r="D19" s="19"/>
      <c r="E19" s="19"/>
      <c r="F19" s="19"/>
      <c r="G19" s="19">
        <f t="shared" si="4"/>
        <v>0</v>
      </c>
      <c r="H19" s="19"/>
      <c r="I19" s="19"/>
      <c r="J19" s="19">
        <f t="shared" si="5"/>
        <v>0</v>
      </c>
      <c r="K19" s="19">
        <f t="shared" si="6"/>
        <v>0</v>
      </c>
      <c r="L19" s="19"/>
      <c r="M19" s="165">
        <f t="shared" si="3"/>
        <v>2939070.9295999999</v>
      </c>
      <c r="N19" s="19"/>
    </row>
    <row r="20" spans="1:16">
      <c r="A20" s="28">
        <v>17</v>
      </c>
      <c r="B20" s="29">
        <v>45733</v>
      </c>
      <c r="C20" s="19"/>
      <c r="D20" s="19"/>
      <c r="E20" s="19"/>
      <c r="F20" s="19"/>
      <c r="G20" s="19">
        <f t="shared" si="4"/>
        <v>0</v>
      </c>
      <c r="H20" s="19"/>
      <c r="I20" s="19"/>
      <c r="J20" s="19">
        <f t="shared" si="5"/>
        <v>0</v>
      </c>
      <c r="K20" s="19">
        <f t="shared" si="6"/>
        <v>0</v>
      </c>
      <c r="L20" s="19"/>
      <c r="M20" s="165">
        <f t="shared" si="3"/>
        <v>2939070.9295999999</v>
      </c>
      <c r="N20" s="19"/>
    </row>
    <row r="21" spans="1:16">
      <c r="A21" s="28">
        <v>18</v>
      </c>
      <c r="B21" s="294">
        <v>45734</v>
      </c>
      <c r="C21" s="19"/>
      <c r="D21" s="19"/>
      <c r="E21" s="19"/>
      <c r="F21" s="19"/>
      <c r="G21" s="19">
        <f t="shared" si="4"/>
        <v>0</v>
      </c>
      <c r="H21" s="19"/>
      <c r="I21" s="19"/>
      <c r="J21" s="19">
        <f t="shared" si="5"/>
        <v>0</v>
      </c>
      <c r="K21" s="19">
        <f t="shared" si="6"/>
        <v>0</v>
      </c>
      <c r="L21" s="19"/>
      <c r="M21" s="165">
        <f t="shared" si="3"/>
        <v>2939070.9295999999</v>
      </c>
      <c r="N21" s="19"/>
    </row>
    <row r="22" spans="1:16">
      <c r="A22" s="28">
        <v>19</v>
      </c>
      <c r="B22" s="29">
        <v>45735</v>
      </c>
      <c r="C22" s="19"/>
      <c r="D22" s="19"/>
      <c r="E22" s="19"/>
      <c r="F22" s="19"/>
      <c r="G22" s="19">
        <f t="shared" si="4"/>
        <v>0</v>
      </c>
      <c r="H22" s="19"/>
      <c r="I22" s="19"/>
      <c r="J22" s="19">
        <f t="shared" si="5"/>
        <v>0</v>
      </c>
      <c r="K22" s="19">
        <f t="shared" si="6"/>
        <v>0</v>
      </c>
      <c r="L22" s="19"/>
      <c r="M22" s="165">
        <f t="shared" si="3"/>
        <v>2939070.9295999999</v>
      </c>
      <c r="N22" s="19"/>
    </row>
    <row r="23" spans="1:16">
      <c r="A23" s="28">
        <v>20</v>
      </c>
      <c r="B23" s="294">
        <v>45736</v>
      </c>
      <c r="C23" s="19"/>
      <c r="D23" s="19"/>
      <c r="E23" s="19"/>
      <c r="F23" s="19"/>
      <c r="G23" s="19">
        <f t="shared" si="4"/>
        <v>0</v>
      </c>
      <c r="H23" s="19"/>
      <c r="I23" s="19"/>
      <c r="J23" s="19">
        <f t="shared" si="5"/>
        <v>0</v>
      </c>
      <c r="K23" s="19">
        <f t="shared" si="6"/>
        <v>0</v>
      </c>
      <c r="L23" s="19"/>
      <c r="M23" s="165">
        <f t="shared" si="3"/>
        <v>2939070.9295999999</v>
      </c>
      <c r="N23" s="19"/>
    </row>
    <row r="24" spans="1:16">
      <c r="A24" s="28">
        <v>21</v>
      </c>
      <c r="B24" s="29">
        <v>45737</v>
      </c>
      <c r="C24" s="19"/>
      <c r="D24" s="19"/>
      <c r="E24" s="19"/>
      <c r="F24" s="19"/>
      <c r="G24" s="19">
        <f t="shared" si="4"/>
        <v>0</v>
      </c>
      <c r="H24" s="19"/>
      <c r="I24" s="19"/>
      <c r="J24" s="19">
        <f t="shared" si="5"/>
        <v>0</v>
      </c>
      <c r="K24" s="19">
        <f t="shared" si="6"/>
        <v>0</v>
      </c>
      <c r="L24" s="19"/>
      <c r="M24" s="165">
        <f t="shared" si="3"/>
        <v>2939070.9295999999</v>
      </c>
      <c r="N24" s="19"/>
    </row>
    <row r="25" spans="1:16">
      <c r="A25" s="28">
        <v>22</v>
      </c>
      <c r="B25" s="294">
        <v>45738</v>
      </c>
      <c r="C25" s="19"/>
      <c r="D25" s="19"/>
      <c r="E25" s="19"/>
      <c r="F25" s="19"/>
      <c r="G25" s="19">
        <f t="shared" si="4"/>
        <v>0</v>
      </c>
      <c r="H25" s="19"/>
      <c r="I25" s="19"/>
      <c r="J25" s="19">
        <f t="shared" si="5"/>
        <v>0</v>
      </c>
      <c r="K25" s="19">
        <f t="shared" si="6"/>
        <v>0</v>
      </c>
      <c r="L25" s="19"/>
      <c r="M25" s="165">
        <f t="shared" si="3"/>
        <v>2939070.9295999999</v>
      </c>
      <c r="N25" s="19"/>
    </row>
    <row r="26" spans="1:16">
      <c r="A26" s="28">
        <v>23</v>
      </c>
      <c r="B26" s="29">
        <v>45739</v>
      </c>
      <c r="C26" s="19"/>
      <c r="D26" s="19"/>
      <c r="E26" s="19"/>
      <c r="F26" s="19"/>
      <c r="G26" s="19">
        <f t="shared" si="4"/>
        <v>0</v>
      </c>
      <c r="H26" s="19"/>
      <c r="I26" s="19"/>
      <c r="J26" s="19">
        <f t="shared" si="5"/>
        <v>0</v>
      </c>
      <c r="K26" s="19">
        <f t="shared" si="6"/>
        <v>0</v>
      </c>
      <c r="L26" s="19"/>
      <c r="M26" s="165">
        <f t="shared" si="3"/>
        <v>2939070.9295999999</v>
      </c>
      <c r="N26" s="19"/>
    </row>
    <row r="27" spans="1:16">
      <c r="A27" s="28">
        <v>24</v>
      </c>
      <c r="B27" s="294">
        <v>45740</v>
      </c>
      <c r="C27" s="19"/>
      <c r="D27" s="19"/>
      <c r="E27" s="19"/>
      <c r="F27" s="19"/>
      <c r="G27" s="19">
        <f t="shared" si="4"/>
        <v>0</v>
      </c>
      <c r="H27" s="19"/>
      <c r="I27" s="19"/>
      <c r="J27" s="19">
        <f t="shared" si="5"/>
        <v>0</v>
      </c>
      <c r="K27" s="19">
        <f t="shared" si="6"/>
        <v>0</v>
      </c>
      <c r="L27" s="19"/>
      <c r="M27" s="165">
        <f t="shared" si="3"/>
        <v>2939070.9295999999</v>
      </c>
      <c r="N27" s="19"/>
    </row>
    <row r="28" spans="1:16">
      <c r="A28" s="28">
        <v>25</v>
      </c>
      <c r="B28" s="29">
        <v>45741</v>
      </c>
      <c r="C28" s="19"/>
      <c r="D28" s="19"/>
      <c r="E28" s="19"/>
      <c r="F28" s="19"/>
      <c r="G28" s="19">
        <f t="shared" si="4"/>
        <v>0</v>
      </c>
      <c r="H28" s="19"/>
      <c r="I28" s="19"/>
      <c r="J28" s="19">
        <f t="shared" si="5"/>
        <v>0</v>
      </c>
      <c r="K28" s="19">
        <f t="shared" si="6"/>
        <v>0</v>
      </c>
      <c r="L28" s="19"/>
      <c r="M28" s="165">
        <f t="shared" si="3"/>
        <v>2939070.9295999999</v>
      </c>
      <c r="N28" s="19"/>
    </row>
    <row r="29" spans="1:16">
      <c r="A29" s="28">
        <v>26</v>
      </c>
      <c r="B29" s="294">
        <v>45742</v>
      </c>
      <c r="C29" s="19"/>
      <c r="D29" s="19"/>
      <c r="E29" s="19"/>
      <c r="F29" s="19"/>
      <c r="G29" s="19">
        <f t="shared" si="4"/>
        <v>0</v>
      </c>
      <c r="H29" s="19"/>
      <c r="I29" s="19"/>
      <c r="J29" s="19">
        <f t="shared" si="5"/>
        <v>0</v>
      </c>
      <c r="K29" s="19">
        <f t="shared" si="6"/>
        <v>0</v>
      </c>
      <c r="L29" s="19"/>
      <c r="M29" s="165">
        <f t="shared" si="3"/>
        <v>2939070.9295999999</v>
      </c>
      <c r="N29" s="19"/>
    </row>
    <row r="30" spans="1:16">
      <c r="A30" s="28">
        <v>27</v>
      </c>
      <c r="B30" s="29">
        <v>45743</v>
      </c>
      <c r="C30" s="19"/>
      <c r="D30" s="19"/>
      <c r="E30" s="19"/>
      <c r="F30" s="19"/>
      <c r="G30" s="19">
        <f t="shared" si="4"/>
        <v>0</v>
      </c>
      <c r="H30" s="19"/>
      <c r="I30" s="19"/>
      <c r="J30" s="19">
        <f t="shared" si="5"/>
        <v>0</v>
      </c>
      <c r="K30" s="19">
        <f t="shared" si="6"/>
        <v>0</v>
      </c>
      <c r="L30" s="19"/>
      <c r="M30" s="165">
        <f t="shared" si="3"/>
        <v>2939070.9295999999</v>
      </c>
      <c r="N30" s="19"/>
      <c r="P30">
        <f>2939612.08-2939070.93</f>
        <v>541.14999999990687</v>
      </c>
    </row>
    <row r="31" spans="1:16">
      <c r="A31" s="28">
        <v>28</v>
      </c>
      <c r="B31" s="294">
        <v>45744</v>
      </c>
      <c r="C31" s="19"/>
      <c r="D31" s="19"/>
      <c r="E31" s="19"/>
      <c r="F31" s="19"/>
      <c r="G31" s="19">
        <f t="shared" si="4"/>
        <v>0</v>
      </c>
      <c r="H31" s="19"/>
      <c r="I31" s="19"/>
      <c r="J31" s="19">
        <f t="shared" si="5"/>
        <v>0</v>
      </c>
      <c r="K31" s="19">
        <f t="shared" si="6"/>
        <v>0</v>
      </c>
      <c r="L31" s="19">
        <v>2939071</v>
      </c>
      <c r="M31" s="165">
        <f t="shared" si="3"/>
        <v>-7.0400000084191561E-2</v>
      </c>
      <c r="N31" s="19"/>
    </row>
    <row r="32" spans="1:16">
      <c r="A32" s="28">
        <v>29</v>
      </c>
      <c r="B32" s="29">
        <v>45745</v>
      </c>
      <c r="C32" s="19"/>
      <c r="D32" s="19"/>
      <c r="E32" s="19"/>
      <c r="F32" s="19"/>
      <c r="G32" s="19">
        <f t="shared" si="4"/>
        <v>0</v>
      </c>
      <c r="H32" s="19"/>
      <c r="I32" s="19"/>
      <c r="J32" s="19">
        <f t="shared" si="5"/>
        <v>0</v>
      </c>
      <c r="K32" s="19">
        <f t="shared" si="6"/>
        <v>0</v>
      </c>
      <c r="L32" s="19"/>
      <c r="M32" s="165"/>
      <c r="N32" s="19"/>
    </row>
    <row r="33" spans="1:15">
      <c r="A33" s="28">
        <v>30</v>
      </c>
      <c r="B33" s="294">
        <v>45746</v>
      </c>
      <c r="C33" s="19"/>
      <c r="D33" s="19"/>
      <c r="E33" s="19"/>
      <c r="F33" s="19"/>
      <c r="G33" s="19">
        <f t="shared" si="4"/>
        <v>0</v>
      </c>
      <c r="H33" s="19"/>
      <c r="I33" s="19"/>
      <c r="J33" s="19">
        <f t="shared" si="5"/>
        <v>0</v>
      </c>
      <c r="K33" s="19">
        <f t="shared" si="6"/>
        <v>0</v>
      </c>
      <c r="L33" s="19"/>
      <c r="M33" s="165"/>
      <c r="N33" s="19"/>
    </row>
    <row r="34" spans="1:15">
      <c r="A34" s="28">
        <v>31</v>
      </c>
      <c r="B34" s="29">
        <v>45747</v>
      </c>
      <c r="C34" s="19"/>
      <c r="D34" s="19"/>
      <c r="E34" s="19"/>
      <c r="F34" s="19"/>
      <c r="G34" s="19">
        <f t="shared" si="4"/>
        <v>0</v>
      </c>
      <c r="H34" s="19"/>
      <c r="I34" s="19"/>
      <c r="J34" s="19">
        <f t="shared" si="5"/>
        <v>0</v>
      </c>
      <c r="K34" s="19">
        <f t="shared" si="6"/>
        <v>0</v>
      </c>
      <c r="L34" s="19"/>
      <c r="M34" s="165"/>
      <c r="N34" s="19"/>
    </row>
    <row r="35" spans="1:15">
      <c r="A35" s="60"/>
      <c r="B35" s="60"/>
      <c r="C35" s="60"/>
      <c r="D35" s="60"/>
      <c r="E35" s="252">
        <f>SUM(E4:E34)</f>
        <v>2400</v>
      </c>
      <c r="F35" s="61"/>
      <c r="G35" s="252">
        <f>SUM(G4:G34)</f>
        <v>230712</v>
      </c>
      <c r="H35" s="252">
        <f>SUM(H4:H34)</f>
        <v>0</v>
      </c>
      <c r="I35" s="61"/>
      <c r="J35" s="252">
        <f>SUM(J4:J34)</f>
        <v>0</v>
      </c>
      <c r="K35" s="252">
        <f>SUM(K4:K34)</f>
        <v>230712</v>
      </c>
      <c r="L35" s="252">
        <f>SUM(L4:L34)</f>
        <v>2939071</v>
      </c>
      <c r="M35" s="61"/>
      <c r="N35" s="61"/>
      <c r="O35" s="36"/>
    </row>
  </sheetData>
  <mergeCells count="2">
    <mergeCell ref="A1:N1"/>
    <mergeCell ref="A3:J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D41DD-4D42-4F72-B0B8-C97688CF1C95}">
  <dimension ref="A1:N12"/>
  <sheetViews>
    <sheetView workbookViewId="0">
      <selection activeCell="J22" sqref="J22"/>
    </sheetView>
  </sheetViews>
  <sheetFormatPr defaultRowHeight="15"/>
  <cols>
    <col min="2" max="2" width="10.5703125" bestFit="1" customWidth="1"/>
    <col min="3" max="3" width="29.140625" bestFit="1" customWidth="1"/>
    <col min="14" max="14" width="17.42578125" customWidth="1"/>
  </cols>
  <sheetData>
    <row r="1" spans="1:14" ht="15.75">
      <c r="A1" s="386" t="s">
        <v>28</v>
      </c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  <c r="M1" s="386"/>
      <c r="N1" s="386"/>
    </row>
    <row r="2" spans="1:14" ht="27">
      <c r="A2" s="346" t="s">
        <v>91</v>
      </c>
      <c r="B2" s="180" t="s">
        <v>92</v>
      </c>
      <c r="C2" s="180" t="s">
        <v>150</v>
      </c>
      <c r="D2" s="180" t="s">
        <v>94</v>
      </c>
      <c r="E2" s="347" t="s">
        <v>95</v>
      </c>
      <c r="F2" s="180" t="s">
        <v>96</v>
      </c>
      <c r="G2" s="180" t="s">
        <v>97</v>
      </c>
      <c r="H2" s="180" t="s">
        <v>98</v>
      </c>
      <c r="I2" s="180" t="s">
        <v>96</v>
      </c>
      <c r="J2" s="180" t="s">
        <v>97</v>
      </c>
      <c r="K2" s="180" t="s">
        <v>99</v>
      </c>
      <c r="L2" s="180" t="s">
        <v>100</v>
      </c>
      <c r="M2" s="180" t="s">
        <v>101</v>
      </c>
      <c r="N2" s="180" t="s">
        <v>102</v>
      </c>
    </row>
    <row r="3" spans="1:14">
      <c r="A3" s="19">
        <v>1</v>
      </c>
      <c r="B3" s="19" t="s">
        <v>151</v>
      </c>
      <c r="C3" s="70" t="s">
        <v>152</v>
      </c>
      <c r="D3" s="19"/>
      <c r="E3" s="19">
        <v>200</v>
      </c>
      <c r="F3" s="19">
        <v>96.43</v>
      </c>
      <c r="G3" s="19">
        <f>E3*F3</f>
        <v>19286</v>
      </c>
      <c r="H3" s="19"/>
      <c r="I3" s="19"/>
      <c r="J3" s="19"/>
      <c r="K3" s="19">
        <f>G3+J3</f>
        <v>19286</v>
      </c>
      <c r="L3" s="19">
        <f>+K3</f>
        <v>19286</v>
      </c>
      <c r="M3" s="19"/>
      <c r="N3" s="19" t="s">
        <v>153</v>
      </c>
    </row>
    <row r="4" spans="1:14">
      <c r="A4" s="19">
        <v>2</v>
      </c>
      <c r="B4" s="19" t="s">
        <v>154</v>
      </c>
      <c r="C4" s="70" t="s">
        <v>155</v>
      </c>
      <c r="D4" s="19"/>
      <c r="E4" s="19">
        <v>67.790000000000006</v>
      </c>
      <c r="F4" s="19">
        <v>96.42</v>
      </c>
      <c r="G4" s="19">
        <f t="shared" ref="G4:G11" si="0">E4*F4</f>
        <v>6536.3118000000004</v>
      </c>
      <c r="H4" s="19"/>
      <c r="I4" s="19"/>
      <c r="J4" s="19"/>
      <c r="K4" s="19">
        <f t="shared" ref="K4:K8" si="1">G4+J4</f>
        <v>6536.3118000000004</v>
      </c>
      <c r="L4" s="19">
        <f t="shared" ref="L4:L9" si="2">+K4</f>
        <v>6536.3118000000004</v>
      </c>
      <c r="M4" s="19"/>
      <c r="N4" s="19" t="s">
        <v>153</v>
      </c>
    </row>
    <row r="5" spans="1:14">
      <c r="A5" s="19">
        <v>3</v>
      </c>
      <c r="B5" s="19" t="s">
        <v>154</v>
      </c>
      <c r="C5" s="70" t="s">
        <v>152</v>
      </c>
      <c r="D5" s="19"/>
      <c r="E5" s="19">
        <v>235</v>
      </c>
      <c r="F5" s="19">
        <v>96.43</v>
      </c>
      <c r="G5" s="19">
        <f t="shared" si="0"/>
        <v>22661.050000000003</v>
      </c>
      <c r="H5" s="19"/>
      <c r="I5" s="19"/>
      <c r="J5" s="19"/>
      <c r="K5" s="19">
        <f t="shared" si="1"/>
        <v>22661.050000000003</v>
      </c>
      <c r="L5" s="19">
        <f t="shared" si="2"/>
        <v>22661.050000000003</v>
      </c>
      <c r="M5" s="19"/>
      <c r="N5" s="19" t="s">
        <v>153</v>
      </c>
    </row>
    <row r="6" spans="1:14">
      <c r="A6" s="19">
        <v>4</v>
      </c>
      <c r="B6" s="19">
        <v>21.202500000000001</v>
      </c>
      <c r="C6" s="70" t="s">
        <v>155</v>
      </c>
      <c r="D6" s="19"/>
      <c r="E6" s="19">
        <v>315</v>
      </c>
      <c r="F6" s="19">
        <v>96.42</v>
      </c>
      <c r="G6" s="19">
        <f t="shared" si="0"/>
        <v>30372.3</v>
      </c>
      <c r="H6" s="19"/>
      <c r="I6" s="19"/>
      <c r="J6" s="19"/>
      <c r="K6" s="19">
        <f t="shared" si="1"/>
        <v>30372.3</v>
      </c>
      <c r="L6" s="19">
        <f t="shared" si="2"/>
        <v>30372.3</v>
      </c>
      <c r="M6" s="19"/>
      <c r="N6" s="19" t="s">
        <v>156</v>
      </c>
    </row>
    <row r="7" spans="1:14">
      <c r="A7" s="19">
        <v>5</v>
      </c>
      <c r="B7" s="19" t="s">
        <v>157</v>
      </c>
      <c r="C7" s="70" t="s">
        <v>155</v>
      </c>
      <c r="D7" s="19"/>
      <c r="E7" s="19">
        <v>1530.13</v>
      </c>
      <c r="F7" s="19">
        <v>96.42</v>
      </c>
      <c r="G7" s="19">
        <f t="shared" si="0"/>
        <v>147535.13460000002</v>
      </c>
      <c r="H7" s="19"/>
      <c r="I7" s="19"/>
      <c r="J7" s="19"/>
      <c r="K7" s="19">
        <f t="shared" si="1"/>
        <v>147535.13460000002</v>
      </c>
      <c r="L7" s="19">
        <f t="shared" si="2"/>
        <v>147535.13460000002</v>
      </c>
      <c r="M7" s="19"/>
      <c r="N7" s="19" t="s">
        <v>156</v>
      </c>
    </row>
    <row r="8" spans="1:14">
      <c r="A8" s="119">
        <v>6</v>
      </c>
      <c r="B8" s="119" t="s">
        <v>157</v>
      </c>
      <c r="C8" s="349" t="s">
        <v>152</v>
      </c>
      <c r="D8" s="119"/>
      <c r="E8" s="119">
        <v>207.4</v>
      </c>
      <c r="F8" s="119">
        <v>96.43</v>
      </c>
      <c r="G8" s="119">
        <f t="shared" si="0"/>
        <v>19999.582000000002</v>
      </c>
      <c r="H8" s="119"/>
      <c r="I8" s="119"/>
      <c r="J8" s="119"/>
      <c r="K8" s="119">
        <f>G8+J8</f>
        <v>19999.582000000002</v>
      </c>
      <c r="L8" s="119">
        <f t="shared" si="2"/>
        <v>19999.582000000002</v>
      </c>
      <c r="M8" s="119"/>
      <c r="N8" s="119" t="s">
        <v>158</v>
      </c>
    </row>
    <row r="9" spans="1:14">
      <c r="A9" s="19">
        <v>7</v>
      </c>
      <c r="B9" s="19" t="s">
        <v>159</v>
      </c>
      <c r="C9" s="70" t="s">
        <v>152</v>
      </c>
      <c r="D9" s="19"/>
      <c r="E9" s="19"/>
      <c r="F9" s="19"/>
      <c r="G9" s="19">
        <f t="shared" si="0"/>
        <v>0</v>
      </c>
      <c r="H9" s="19">
        <v>10</v>
      </c>
      <c r="I9" s="19">
        <v>108.12</v>
      </c>
      <c r="J9" s="19">
        <f>H9*I9</f>
        <v>1081.2</v>
      </c>
      <c r="K9" s="19">
        <f>G9+J9</f>
        <v>1081.2</v>
      </c>
      <c r="L9" s="19">
        <f>+K9</f>
        <v>1081.2</v>
      </c>
      <c r="M9" s="19"/>
      <c r="N9" s="19" t="s">
        <v>153</v>
      </c>
    </row>
    <row r="10" spans="1:14">
      <c r="A10" s="19">
        <v>8</v>
      </c>
      <c r="B10" s="19" t="s">
        <v>160</v>
      </c>
      <c r="C10" s="70" t="s">
        <v>152</v>
      </c>
      <c r="D10" s="19"/>
      <c r="E10" s="19">
        <v>1037.02</v>
      </c>
      <c r="F10" s="19">
        <v>96.43</v>
      </c>
      <c r="G10" s="19">
        <f t="shared" si="0"/>
        <v>99999.838600000003</v>
      </c>
      <c r="H10" s="19"/>
      <c r="I10" s="19"/>
      <c r="J10" s="19"/>
      <c r="K10" s="19">
        <f>G10+J10</f>
        <v>99999.838600000003</v>
      </c>
      <c r="L10" s="19">
        <f>+K10</f>
        <v>99999.838600000003</v>
      </c>
      <c r="M10" s="19"/>
      <c r="N10" s="119" t="s">
        <v>158</v>
      </c>
    </row>
    <row r="11" spans="1:14">
      <c r="A11" s="19"/>
      <c r="B11" s="19" t="s">
        <v>161</v>
      </c>
      <c r="C11" s="70" t="s">
        <v>152</v>
      </c>
      <c r="D11" s="19"/>
      <c r="E11" s="19">
        <v>1037.02</v>
      </c>
      <c r="F11" s="19">
        <v>96.43</v>
      </c>
      <c r="G11" s="19">
        <f t="shared" si="0"/>
        <v>99999.838600000003</v>
      </c>
      <c r="H11" s="19"/>
      <c r="I11" s="19"/>
      <c r="J11" s="19"/>
      <c r="K11" s="19">
        <f>G11+J11</f>
        <v>99999.838600000003</v>
      </c>
      <c r="L11" s="19">
        <f>+K11</f>
        <v>99999.838600000003</v>
      </c>
      <c r="M11" s="19"/>
      <c r="N11" s="119" t="s">
        <v>158</v>
      </c>
    </row>
    <row r="12" spans="1:14">
      <c r="E12">
        <f>SUM(E3:E11)</f>
        <v>4629.3600000000006</v>
      </c>
      <c r="G12">
        <f>SUM(G3:G11)</f>
        <v>446390.05560000002</v>
      </c>
      <c r="K12">
        <f>SUM(K3:K11)</f>
        <v>447471.25560000003</v>
      </c>
    </row>
  </sheetData>
  <mergeCells count="1">
    <mergeCell ref="A1:N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0"/>
  <sheetViews>
    <sheetView view="pageBreakPreview" zoomScale="60" zoomScaleNormal="90" workbookViewId="0">
      <pane ySplit="2" topLeftCell="A15" activePane="bottomLeft" state="frozen"/>
      <selection pane="bottomLeft" activeCell="L35" sqref="L35"/>
    </sheetView>
  </sheetViews>
  <sheetFormatPr defaultColWidth="9.140625" defaultRowHeight="12.75"/>
  <cols>
    <col min="1" max="1" width="5.28515625" style="36" bestFit="1" customWidth="1"/>
    <col min="2" max="2" width="11.85546875" style="36" bestFit="1" customWidth="1"/>
    <col min="3" max="3" width="10.7109375" style="36" bestFit="1" customWidth="1"/>
    <col min="4" max="4" width="21.5703125" style="36" customWidth="1"/>
    <col min="5" max="5" width="10.85546875" style="36" bestFit="1" customWidth="1"/>
    <col min="6" max="6" width="13.7109375" style="36" bestFit="1" customWidth="1"/>
    <col min="7" max="7" width="11.85546875" style="36" bestFit="1" customWidth="1"/>
    <col min="8" max="8" width="10.85546875" style="36" bestFit="1" customWidth="1"/>
    <col min="9" max="9" width="8.140625" style="36" bestFit="1" customWidth="1"/>
    <col min="10" max="10" width="10.85546875" style="36" bestFit="1" customWidth="1"/>
    <col min="11" max="11" width="13.85546875" style="36" bestFit="1" customWidth="1"/>
    <col min="12" max="12" width="12.7109375" style="36" bestFit="1" customWidth="1"/>
    <col min="13" max="13" width="12.7109375" style="36" customWidth="1"/>
    <col min="14" max="14" width="17.7109375" style="36" bestFit="1" customWidth="1"/>
    <col min="15" max="15" width="13.7109375" style="36" customWidth="1"/>
    <col min="16" max="16384" width="9.140625" style="36"/>
  </cols>
  <sheetData>
    <row r="1" spans="1:24" ht="12.75" customHeight="1">
      <c r="A1" s="386" t="s">
        <v>34</v>
      </c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  <c r="M1" s="386"/>
      <c r="N1" s="386"/>
    </row>
    <row r="2" spans="1:24" ht="13.5">
      <c r="A2" s="128" t="s">
        <v>91</v>
      </c>
      <c r="B2" s="133" t="s">
        <v>92</v>
      </c>
      <c r="C2" s="133" t="s">
        <v>93</v>
      </c>
      <c r="D2" s="133" t="s">
        <v>94</v>
      </c>
      <c r="E2" s="133" t="s">
        <v>95</v>
      </c>
      <c r="F2" s="133" t="s">
        <v>96</v>
      </c>
      <c r="G2" s="133" t="s">
        <v>97</v>
      </c>
      <c r="H2" s="133" t="s">
        <v>98</v>
      </c>
      <c r="I2" s="133" t="s">
        <v>96</v>
      </c>
      <c r="J2" s="133" t="s">
        <v>97</v>
      </c>
      <c r="K2" s="133" t="s">
        <v>99</v>
      </c>
      <c r="L2" s="133" t="s">
        <v>100</v>
      </c>
      <c r="M2" s="133" t="s">
        <v>101</v>
      </c>
      <c r="N2" s="133" t="s">
        <v>102</v>
      </c>
    </row>
    <row r="3" spans="1:24" ht="15">
      <c r="A3" s="374" t="s">
        <v>103</v>
      </c>
      <c r="B3" s="375"/>
      <c r="C3" s="375"/>
      <c r="D3" s="375"/>
      <c r="E3" s="375"/>
      <c r="F3" s="375"/>
      <c r="G3" s="375"/>
      <c r="H3" s="375"/>
      <c r="I3" s="375"/>
      <c r="J3" s="389"/>
      <c r="K3" s="187">
        <v>351855.22039999999</v>
      </c>
      <c r="L3" s="186"/>
      <c r="M3" s="186">
        <f>+K3</f>
        <v>351855.22039999999</v>
      </c>
      <c r="N3" s="134"/>
    </row>
    <row r="4" spans="1:24" ht="15">
      <c r="A4" s="28">
        <v>1</v>
      </c>
      <c r="B4" s="29">
        <v>45717</v>
      </c>
      <c r="C4" s="134"/>
      <c r="D4" s="148"/>
      <c r="E4" s="41">
        <v>1000</v>
      </c>
      <c r="F4" s="41">
        <v>89.78</v>
      </c>
      <c r="G4" s="41">
        <f>E4*F4</f>
        <v>89780</v>
      </c>
      <c r="H4" s="149">
        <v>65</v>
      </c>
      <c r="I4" s="149">
        <v>104</v>
      </c>
      <c r="J4" s="41">
        <f>H4*I4</f>
        <v>6760</v>
      </c>
      <c r="K4" s="42">
        <f>G4+J4</f>
        <v>96540</v>
      </c>
      <c r="L4" s="42">
        <v>50000</v>
      </c>
      <c r="M4" s="42">
        <f>M3+K4-L4</f>
        <v>398395.22039999999</v>
      </c>
      <c r="N4" s="62" t="s">
        <v>162</v>
      </c>
    </row>
    <row r="5" spans="1:24" ht="15">
      <c r="A5" s="28">
        <v>2</v>
      </c>
      <c r="B5" s="294">
        <v>45718</v>
      </c>
      <c r="C5" s="134"/>
      <c r="D5" s="148"/>
      <c r="E5" s="41">
        <v>0</v>
      </c>
      <c r="F5" s="41">
        <v>0</v>
      </c>
      <c r="G5" s="41">
        <f t="shared" ref="G5:G31" si="0">E5*F5</f>
        <v>0</v>
      </c>
      <c r="H5" s="149">
        <v>0</v>
      </c>
      <c r="I5" s="149">
        <v>0</v>
      </c>
      <c r="J5" s="41">
        <f t="shared" ref="J5:J31" si="1">H5*I5</f>
        <v>0</v>
      </c>
      <c r="K5" s="42">
        <f t="shared" ref="K5:K31" si="2">G5+J5</f>
        <v>0</v>
      </c>
      <c r="L5" s="42"/>
      <c r="M5" s="42">
        <f>M4+K5-L5</f>
        <v>398395.22039999999</v>
      </c>
      <c r="N5" s="62" t="s">
        <v>162</v>
      </c>
    </row>
    <row r="6" spans="1:24" ht="15">
      <c r="A6" s="28">
        <v>3</v>
      </c>
      <c r="B6" s="29">
        <v>45719</v>
      </c>
      <c r="C6" s="134"/>
      <c r="D6" s="148"/>
      <c r="E6" s="41">
        <v>0</v>
      </c>
      <c r="F6" s="41">
        <v>0</v>
      </c>
      <c r="G6" s="41">
        <f t="shared" si="0"/>
        <v>0</v>
      </c>
      <c r="H6" s="149">
        <v>0</v>
      </c>
      <c r="I6" s="149">
        <v>0</v>
      </c>
      <c r="J6" s="41">
        <f t="shared" si="1"/>
        <v>0</v>
      </c>
      <c r="K6" s="42">
        <f t="shared" si="2"/>
        <v>0</v>
      </c>
      <c r="L6" s="42"/>
      <c r="M6" s="42">
        <f>M5+K6-L6</f>
        <v>398395.22039999999</v>
      </c>
      <c r="N6" s="62" t="s">
        <v>162</v>
      </c>
    </row>
    <row r="7" spans="1:24" ht="15">
      <c r="A7" s="28">
        <v>4</v>
      </c>
      <c r="B7" s="294">
        <v>45720</v>
      </c>
      <c r="C7" s="134"/>
      <c r="D7" s="148"/>
      <c r="E7" s="41">
        <v>600</v>
      </c>
      <c r="F7" s="41">
        <v>89.78</v>
      </c>
      <c r="G7" s="41">
        <f t="shared" si="0"/>
        <v>53868</v>
      </c>
      <c r="H7" s="149">
        <v>0</v>
      </c>
      <c r="I7" s="149">
        <v>0</v>
      </c>
      <c r="J7" s="41">
        <f t="shared" si="1"/>
        <v>0</v>
      </c>
      <c r="K7" s="42">
        <f t="shared" si="2"/>
        <v>53868</v>
      </c>
      <c r="L7" s="42"/>
      <c r="M7" s="42">
        <f>M6+K7-L7</f>
        <v>452263.22039999999</v>
      </c>
      <c r="N7" s="62" t="s">
        <v>162</v>
      </c>
    </row>
    <row r="8" spans="1:24" ht="15">
      <c r="A8" s="28">
        <v>5</v>
      </c>
      <c r="B8" s="29">
        <v>45721</v>
      </c>
      <c r="C8" s="134"/>
      <c r="D8" s="148"/>
      <c r="E8" s="41">
        <v>0</v>
      </c>
      <c r="F8" s="41">
        <v>0</v>
      </c>
      <c r="G8" s="41">
        <f t="shared" si="0"/>
        <v>0</v>
      </c>
      <c r="H8" s="149">
        <v>0</v>
      </c>
      <c r="I8" s="149">
        <v>0</v>
      </c>
      <c r="J8" s="41">
        <f t="shared" si="1"/>
        <v>0</v>
      </c>
      <c r="K8" s="42">
        <f t="shared" si="2"/>
        <v>0</v>
      </c>
      <c r="L8" s="42"/>
      <c r="M8" s="42">
        <f>M7+K8-L8</f>
        <v>452263.22039999999</v>
      </c>
      <c r="N8" s="62" t="s">
        <v>162</v>
      </c>
    </row>
    <row r="9" spans="1:24" ht="15">
      <c r="A9" s="28">
        <v>6</v>
      </c>
      <c r="B9" s="294">
        <v>45722</v>
      </c>
      <c r="C9" s="134"/>
      <c r="D9" s="148"/>
      <c r="E9" s="41">
        <v>0</v>
      </c>
      <c r="F9" s="41">
        <v>0</v>
      </c>
      <c r="G9" s="41">
        <f t="shared" si="0"/>
        <v>0</v>
      </c>
      <c r="H9" s="149">
        <v>60</v>
      </c>
      <c r="I9" s="149">
        <v>104</v>
      </c>
      <c r="J9" s="41">
        <f t="shared" si="1"/>
        <v>6240</v>
      </c>
      <c r="K9" s="42">
        <f t="shared" si="2"/>
        <v>6240</v>
      </c>
      <c r="L9" s="42">
        <v>6240</v>
      </c>
      <c r="M9" s="42">
        <f t="shared" ref="M9:M26" si="3">M8+K9-L9</f>
        <v>452263.22039999999</v>
      </c>
      <c r="N9" s="62" t="s">
        <v>162</v>
      </c>
    </row>
    <row r="10" spans="1:24" ht="15">
      <c r="A10" s="28">
        <v>7</v>
      </c>
      <c r="B10" s="29">
        <v>45723</v>
      </c>
      <c r="C10" s="134"/>
      <c r="D10" s="148"/>
      <c r="E10" s="41">
        <v>0</v>
      </c>
      <c r="F10" s="41">
        <v>0</v>
      </c>
      <c r="G10" s="41">
        <f t="shared" si="0"/>
        <v>0</v>
      </c>
      <c r="H10" s="149">
        <v>0</v>
      </c>
      <c r="I10" s="149">
        <v>0</v>
      </c>
      <c r="J10" s="41">
        <f t="shared" si="1"/>
        <v>0</v>
      </c>
      <c r="K10" s="42">
        <f t="shared" si="2"/>
        <v>0</v>
      </c>
      <c r="L10" s="42"/>
      <c r="M10" s="42">
        <f t="shared" si="3"/>
        <v>452263.22039999999</v>
      </c>
      <c r="N10" s="62" t="s">
        <v>162</v>
      </c>
    </row>
    <row r="11" spans="1:24" ht="15">
      <c r="A11" s="28">
        <v>8</v>
      </c>
      <c r="B11" s="294">
        <v>45724</v>
      </c>
      <c r="C11" s="134"/>
      <c r="D11" s="148"/>
      <c r="E11" s="41">
        <v>0</v>
      </c>
      <c r="F11" s="41">
        <v>0</v>
      </c>
      <c r="G11" s="41">
        <f t="shared" si="0"/>
        <v>0</v>
      </c>
      <c r="H11" s="149">
        <v>0</v>
      </c>
      <c r="I11" s="149">
        <v>0</v>
      </c>
      <c r="J11" s="41">
        <f t="shared" si="1"/>
        <v>0</v>
      </c>
      <c r="K11" s="42">
        <f t="shared" si="2"/>
        <v>0</v>
      </c>
      <c r="L11" s="42"/>
      <c r="M11" s="42">
        <f t="shared" si="3"/>
        <v>452263.22039999999</v>
      </c>
      <c r="N11" s="62"/>
    </row>
    <row r="12" spans="1:24" ht="15">
      <c r="A12" s="28">
        <v>9</v>
      </c>
      <c r="B12" s="29">
        <v>45725</v>
      </c>
      <c r="C12" s="134"/>
      <c r="D12" s="148"/>
      <c r="E12" s="41">
        <v>0</v>
      </c>
      <c r="F12" s="41">
        <v>0</v>
      </c>
      <c r="G12" s="41">
        <f t="shared" si="0"/>
        <v>0</v>
      </c>
      <c r="H12" s="149">
        <v>0</v>
      </c>
      <c r="I12" s="149">
        <v>0</v>
      </c>
      <c r="J12" s="41">
        <f t="shared" si="1"/>
        <v>0</v>
      </c>
      <c r="K12" s="42">
        <f t="shared" si="2"/>
        <v>0</v>
      </c>
      <c r="L12" s="42"/>
      <c r="M12" s="42">
        <f t="shared" si="3"/>
        <v>452263.22039999999</v>
      </c>
      <c r="N12" s="62"/>
    </row>
    <row r="13" spans="1:24" ht="15">
      <c r="A13" s="28">
        <v>10</v>
      </c>
      <c r="B13" s="294">
        <v>45726</v>
      </c>
      <c r="C13" s="134"/>
      <c r="D13" s="148"/>
      <c r="E13" s="41">
        <v>0</v>
      </c>
      <c r="F13" s="41">
        <v>0</v>
      </c>
      <c r="G13" s="41">
        <f t="shared" si="0"/>
        <v>0</v>
      </c>
      <c r="H13" s="149">
        <v>0</v>
      </c>
      <c r="I13" s="149">
        <v>0</v>
      </c>
      <c r="J13" s="41">
        <f t="shared" si="1"/>
        <v>0</v>
      </c>
      <c r="K13" s="42">
        <f t="shared" si="2"/>
        <v>0</v>
      </c>
      <c r="L13" s="42"/>
      <c r="M13" s="42">
        <f t="shared" si="3"/>
        <v>452263.22039999999</v>
      </c>
      <c r="N13" s="62"/>
    </row>
    <row r="14" spans="1:24" ht="15">
      <c r="A14" s="28">
        <v>11</v>
      </c>
      <c r="B14" s="29">
        <v>45727</v>
      </c>
      <c r="C14" s="134"/>
      <c r="D14" s="148"/>
      <c r="E14" s="41">
        <v>0</v>
      </c>
      <c r="F14" s="41">
        <v>0</v>
      </c>
      <c r="G14" s="41">
        <f t="shared" si="0"/>
        <v>0</v>
      </c>
      <c r="H14" s="149">
        <v>73.08</v>
      </c>
      <c r="I14" s="149">
        <v>104</v>
      </c>
      <c r="J14" s="41">
        <f t="shared" si="1"/>
        <v>7600.32</v>
      </c>
      <c r="K14" s="42">
        <f t="shared" si="2"/>
        <v>7600.32</v>
      </c>
      <c r="L14" s="42">
        <v>459864</v>
      </c>
      <c r="M14" s="42">
        <f t="shared" si="3"/>
        <v>-0.45960000000195578</v>
      </c>
      <c r="N14" s="62" t="s">
        <v>162</v>
      </c>
    </row>
    <row r="15" spans="1:24" ht="15">
      <c r="A15" s="28">
        <v>12</v>
      </c>
      <c r="B15" s="294">
        <v>45728</v>
      </c>
      <c r="C15" s="134"/>
      <c r="D15" s="148"/>
      <c r="E15" s="41">
        <v>1670.75</v>
      </c>
      <c r="F15" s="41">
        <v>89.78</v>
      </c>
      <c r="G15" s="41">
        <f t="shared" si="0"/>
        <v>149999.935</v>
      </c>
      <c r="H15" s="149">
        <v>0</v>
      </c>
      <c r="I15" s="149">
        <v>0</v>
      </c>
      <c r="J15" s="41">
        <f t="shared" si="1"/>
        <v>0</v>
      </c>
      <c r="K15" s="42">
        <f t="shared" si="2"/>
        <v>149999.935</v>
      </c>
      <c r="L15" s="42"/>
      <c r="M15" s="42">
        <f t="shared" si="3"/>
        <v>149999.4754</v>
      </c>
      <c r="N15" s="62"/>
    </row>
    <row r="16" spans="1:24" ht="15">
      <c r="A16" s="28">
        <v>13</v>
      </c>
      <c r="B16" s="29">
        <v>45729</v>
      </c>
      <c r="C16" s="134"/>
      <c r="D16" s="148"/>
      <c r="E16" s="41">
        <v>0</v>
      </c>
      <c r="F16" s="41">
        <v>0</v>
      </c>
      <c r="G16" s="41">
        <f t="shared" si="0"/>
        <v>0</v>
      </c>
      <c r="H16" s="149">
        <v>0</v>
      </c>
      <c r="I16" s="149">
        <v>0</v>
      </c>
      <c r="J16" s="41">
        <f t="shared" si="1"/>
        <v>0</v>
      </c>
      <c r="K16" s="42">
        <f t="shared" si="2"/>
        <v>0</v>
      </c>
      <c r="L16" s="42"/>
      <c r="M16" s="42">
        <f t="shared" si="3"/>
        <v>149999.4754</v>
      </c>
      <c r="N16" s="62"/>
      <c r="X16" s="36">
        <f>100*104</f>
        <v>10400</v>
      </c>
    </row>
    <row r="17" spans="1:14" ht="15">
      <c r="A17" s="28">
        <v>14</v>
      </c>
      <c r="B17" s="294">
        <v>45730</v>
      </c>
      <c r="C17" s="134"/>
      <c r="D17" s="148"/>
      <c r="E17" s="41">
        <v>0</v>
      </c>
      <c r="F17" s="41">
        <v>0</v>
      </c>
      <c r="G17" s="41">
        <f t="shared" si="0"/>
        <v>0</v>
      </c>
      <c r="H17" s="149">
        <v>0</v>
      </c>
      <c r="I17" s="149">
        <v>0</v>
      </c>
      <c r="J17" s="41">
        <f t="shared" si="1"/>
        <v>0</v>
      </c>
      <c r="K17" s="42">
        <f t="shared" si="2"/>
        <v>0</v>
      </c>
      <c r="L17" s="42"/>
      <c r="M17" s="42">
        <f t="shared" si="3"/>
        <v>149999.4754</v>
      </c>
      <c r="N17" s="62"/>
    </row>
    <row r="18" spans="1:14" ht="15">
      <c r="A18" s="28">
        <v>15</v>
      </c>
      <c r="B18" s="29">
        <v>45731</v>
      </c>
      <c r="C18" s="134"/>
      <c r="D18" s="148"/>
      <c r="E18" s="41">
        <v>0</v>
      </c>
      <c r="F18" s="41">
        <v>0</v>
      </c>
      <c r="G18" s="41">
        <f t="shared" si="0"/>
        <v>0</v>
      </c>
      <c r="H18" s="149">
        <v>0</v>
      </c>
      <c r="I18" s="149">
        <v>0</v>
      </c>
      <c r="J18" s="41">
        <f t="shared" si="1"/>
        <v>0</v>
      </c>
      <c r="K18" s="42">
        <f t="shared" si="2"/>
        <v>0</v>
      </c>
      <c r="L18" s="42"/>
      <c r="M18" s="42">
        <f t="shared" si="3"/>
        <v>149999.4754</v>
      </c>
      <c r="N18" s="62"/>
    </row>
    <row r="19" spans="1:14" ht="15">
      <c r="A19" s="28">
        <v>16</v>
      </c>
      <c r="B19" s="294">
        <v>45732</v>
      </c>
      <c r="C19" s="134"/>
      <c r="D19" s="148"/>
      <c r="E19" s="41">
        <v>0</v>
      </c>
      <c r="F19" s="41">
        <v>0</v>
      </c>
      <c r="G19" s="41">
        <f t="shared" si="0"/>
        <v>0</v>
      </c>
      <c r="H19" s="149">
        <v>0</v>
      </c>
      <c r="I19" s="149">
        <v>0</v>
      </c>
      <c r="J19" s="41">
        <f t="shared" si="1"/>
        <v>0</v>
      </c>
      <c r="K19" s="42">
        <f t="shared" si="2"/>
        <v>0</v>
      </c>
      <c r="L19" s="42"/>
      <c r="M19" s="42">
        <f t="shared" si="3"/>
        <v>149999.4754</v>
      </c>
      <c r="N19" s="62"/>
    </row>
    <row r="20" spans="1:14" ht="15">
      <c r="A20" s="28">
        <v>17</v>
      </c>
      <c r="B20" s="29">
        <v>45733</v>
      </c>
      <c r="C20" s="134"/>
      <c r="D20" s="148"/>
      <c r="E20" s="41">
        <v>0</v>
      </c>
      <c r="F20" s="41">
        <v>0</v>
      </c>
      <c r="G20" s="41">
        <f t="shared" si="0"/>
        <v>0</v>
      </c>
      <c r="H20" s="149">
        <v>0</v>
      </c>
      <c r="I20" s="149">
        <v>0</v>
      </c>
      <c r="J20" s="41">
        <f t="shared" si="1"/>
        <v>0</v>
      </c>
      <c r="K20" s="42">
        <f t="shared" si="2"/>
        <v>0</v>
      </c>
      <c r="L20" s="42"/>
      <c r="M20" s="42">
        <f t="shared" si="3"/>
        <v>149999.4754</v>
      </c>
      <c r="N20" s="62"/>
    </row>
    <row r="21" spans="1:14" ht="15">
      <c r="A21" s="28">
        <v>18</v>
      </c>
      <c r="B21" s="294">
        <v>45734</v>
      </c>
      <c r="C21" s="134"/>
      <c r="D21" s="148"/>
      <c r="E21" s="41">
        <v>0</v>
      </c>
      <c r="F21" s="41">
        <v>0</v>
      </c>
      <c r="G21" s="41">
        <f t="shared" si="0"/>
        <v>0</v>
      </c>
      <c r="H21" s="149">
        <v>100</v>
      </c>
      <c r="I21" s="149">
        <v>104</v>
      </c>
      <c r="J21" s="41">
        <f t="shared" si="1"/>
        <v>10400</v>
      </c>
      <c r="K21" s="42">
        <f t="shared" si="2"/>
        <v>10400</v>
      </c>
      <c r="L21" s="42"/>
      <c r="M21" s="42">
        <f t="shared" si="3"/>
        <v>160399.4754</v>
      </c>
      <c r="N21" s="62"/>
    </row>
    <row r="22" spans="1:14" ht="15">
      <c r="A22" s="28">
        <v>19</v>
      </c>
      <c r="B22" s="29">
        <v>45735</v>
      </c>
      <c r="C22" s="134"/>
      <c r="D22" s="148"/>
      <c r="E22" s="41">
        <v>0</v>
      </c>
      <c r="F22" s="41">
        <v>0</v>
      </c>
      <c r="G22" s="41">
        <f t="shared" si="0"/>
        <v>0</v>
      </c>
      <c r="H22" s="149">
        <v>0</v>
      </c>
      <c r="I22" s="149">
        <v>0</v>
      </c>
      <c r="J22" s="41">
        <f t="shared" si="1"/>
        <v>0</v>
      </c>
      <c r="K22" s="42">
        <f t="shared" si="2"/>
        <v>0</v>
      </c>
      <c r="L22" s="42"/>
      <c r="M22" s="42">
        <f t="shared" si="3"/>
        <v>160399.4754</v>
      </c>
      <c r="N22" s="62"/>
    </row>
    <row r="23" spans="1:14" ht="15">
      <c r="A23" s="28">
        <v>20</v>
      </c>
      <c r="B23" s="294">
        <v>45736</v>
      </c>
      <c r="C23" s="134"/>
      <c r="D23" s="148"/>
      <c r="E23" s="41">
        <v>0</v>
      </c>
      <c r="F23" s="41">
        <v>0</v>
      </c>
      <c r="G23" s="41">
        <f t="shared" si="0"/>
        <v>0</v>
      </c>
      <c r="H23" s="149">
        <v>0</v>
      </c>
      <c r="I23" s="149">
        <v>0</v>
      </c>
      <c r="J23" s="41">
        <f t="shared" si="1"/>
        <v>0</v>
      </c>
      <c r="K23" s="42">
        <f t="shared" si="2"/>
        <v>0</v>
      </c>
      <c r="L23" s="42"/>
      <c r="M23" s="42">
        <f t="shared" si="3"/>
        <v>160399.4754</v>
      </c>
      <c r="N23" s="62"/>
    </row>
    <row r="24" spans="1:14" ht="15">
      <c r="A24" s="28">
        <v>21</v>
      </c>
      <c r="B24" s="29">
        <v>45737</v>
      </c>
      <c r="C24" s="134"/>
      <c r="D24" s="148"/>
      <c r="E24" s="41">
        <v>0</v>
      </c>
      <c r="F24" s="41">
        <v>0</v>
      </c>
      <c r="G24" s="41">
        <f t="shared" si="0"/>
        <v>0</v>
      </c>
      <c r="H24" s="149">
        <v>0</v>
      </c>
      <c r="I24" s="149">
        <v>0</v>
      </c>
      <c r="J24" s="41">
        <f t="shared" si="1"/>
        <v>0</v>
      </c>
      <c r="K24" s="42">
        <f t="shared" si="2"/>
        <v>0</v>
      </c>
      <c r="L24" s="42"/>
      <c r="M24" s="42">
        <f t="shared" si="3"/>
        <v>160399.4754</v>
      </c>
      <c r="N24" s="62"/>
    </row>
    <row r="25" spans="1:14" ht="15">
      <c r="A25" s="28">
        <v>22</v>
      </c>
      <c r="B25" s="294">
        <v>45738</v>
      </c>
      <c r="C25" s="134"/>
      <c r="D25" s="148"/>
      <c r="E25" s="41">
        <v>0</v>
      </c>
      <c r="F25" s="41">
        <v>0</v>
      </c>
      <c r="G25" s="41">
        <f t="shared" si="0"/>
        <v>0</v>
      </c>
      <c r="H25" s="149">
        <v>0</v>
      </c>
      <c r="I25" s="149">
        <v>0</v>
      </c>
      <c r="J25" s="41">
        <f t="shared" si="1"/>
        <v>0</v>
      </c>
      <c r="K25" s="42">
        <f t="shared" si="2"/>
        <v>0</v>
      </c>
      <c r="L25" s="42"/>
      <c r="M25" s="42">
        <f t="shared" si="3"/>
        <v>160399.4754</v>
      </c>
      <c r="N25" s="62"/>
    </row>
    <row r="26" spans="1:14" ht="15">
      <c r="A26" s="28">
        <v>23</v>
      </c>
      <c r="B26" s="29">
        <v>45739</v>
      </c>
      <c r="C26" s="134"/>
      <c r="D26" s="148"/>
      <c r="E26" s="41">
        <v>0</v>
      </c>
      <c r="F26" s="41">
        <v>0</v>
      </c>
      <c r="G26" s="41">
        <f t="shared" si="0"/>
        <v>0</v>
      </c>
      <c r="H26" s="149">
        <v>70</v>
      </c>
      <c r="I26" s="149">
        <v>104</v>
      </c>
      <c r="J26" s="41">
        <f t="shared" si="1"/>
        <v>7280</v>
      </c>
      <c r="K26" s="42">
        <f t="shared" si="2"/>
        <v>7280</v>
      </c>
      <c r="L26" s="42">
        <v>150000</v>
      </c>
      <c r="M26" s="42">
        <f t="shared" si="3"/>
        <v>17679.475399999996</v>
      </c>
      <c r="N26" s="62"/>
    </row>
    <row r="27" spans="1:14" ht="15">
      <c r="A27" s="28">
        <v>24</v>
      </c>
      <c r="B27" s="294">
        <v>45740</v>
      </c>
      <c r="C27" s="134"/>
      <c r="D27" s="148"/>
      <c r="E27" s="41">
        <v>1670.75</v>
      </c>
      <c r="F27" s="41">
        <v>89.78</v>
      </c>
      <c r="G27" s="41">
        <f t="shared" si="0"/>
        <v>149999.935</v>
      </c>
      <c r="H27" s="149">
        <v>0</v>
      </c>
      <c r="I27" s="149">
        <v>0</v>
      </c>
      <c r="J27" s="41">
        <f t="shared" si="1"/>
        <v>0</v>
      </c>
      <c r="K27" s="42">
        <f t="shared" si="2"/>
        <v>149999.935</v>
      </c>
      <c r="L27" s="42"/>
      <c r="M27" s="42">
        <f>M26+K27-L27</f>
        <v>167679.41039999999</v>
      </c>
      <c r="N27" s="62"/>
    </row>
    <row r="28" spans="1:14" ht="15">
      <c r="A28" s="28">
        <v>25</v>
      </c>
      <c r="B28" s="29">
        <v>45741</v>
      </c>
      <c r="C28" s="134"/>
      <c r="D28" s="148"/>
      <c r="E28" s="41">
        <v>0</v>
      </c>
      <c r="F28" s="41">
        <v>0</v>
      </c>
      <c r="G28" s="41">
        <f t="shared" si="0"/>
        <v>0</v>
      </c>
      <c r="H28" s="149">
        <v>0</v>
      </c>
      <c r="I28" s="149">
        <v>0</v>
      </c>
      <c r="J28" s="41">
        <f t="shared" si="1"/>
        <v>0</v>
      </c>
      <c r="K28" s="42">
        <f t="shared" si="2"/>
        <v>0</v>
      </c>
      <c r="L28" s="42"/>
      <c r="M28" s="42">
        <f t="shared" ref="M28:M31" si="4">M27+K28-L28</f>
        <v>167679.41039999999</v>
      </c>
      <c r="N28" s="62"/>
    </row>
    <row r="29" spans="1:14" ht="15">
      <c r="A29" s="28">
        <v>26</v>
      </c>
      <c r="B29" s="294">
        <v>45742</v>
      </c>
      <c r="C29" s="134"/>
      <c r="D29" s="148"/>
      <c r="E29" s="41">
        <v>0</v>
      </c>
      <c r="F29" s="41">
        <v>0</v>
      </c>
      <c r="G29" s="41">
        <f t="shared" si="0"/>
        <v>0</v>
      </c>
      <c r="H29" s="149">
        <v>0</v>
      </c>
      <c r="I29" s="149">
        <v>0</v>
      </c>
      <c r="J29" s="41">
        <f t="shared" si="1"/>
        <v>0</v>
      </c>
      <c r="K29" s="42">
        <f t="shared" si="2"/>
        <v>0</v>
      </c>
      <c r="L29" s="42"/>
      <c r="M29" s="42">
        <f t="shared" si="4"/>
        <v>167679.41039999999</v>
      </c>
      <c r="N29" s="62"/>
    </row>
    <row r="30" spans="1:14" ht="15">
      <c r="A30" s="28">
        <v>27</v>
      </c>
      <c r="B30" s="29">
        <v>45743</v>
      </c>
      <c r="C30" s="134"/>
      <c r="D30" s="148"/>
      <c r="E30" s="41">
        <v>0</v>
      </c>
      <c r="F30" s="41">
        <v>0</v>
      </c>
      <c r="G30" s="41">
        <f t="shared" si="0"/>
        <v>0</v>
      </c>
      <c r="H30" s="149">
        <v>0</v>
      </c>
      <c r="I30" s="149">
        <v>0</v>
      </c>
      <c r="J30" s="41">
        <f t="shared" si="1"/>
        <v>0</v>
      </c>
      <c r="K30" s="42">
        <f t="shared" si="2"/>
        <v>0</v>
      </c>
      <c r="L30" s="42"/>
      <c r="M30" s="42">
        <f t="shared" si="4"/>
        <v>167679.41039999999</v>
      </c>
      <c r="N30" s="62"/>
    </row>
    <row r="31" spans="1:14" ht="15">
      <c r="A31" s="28">
        <v>28</v>
      </c>
      <c r="B31" s="294">
        <v>45744</v>
      </c>
      <c r="C31" s="134"/>
      <c r="D31" s="148"/>
      <c r="E31" s="41">
        <v>0</v>
      </c>
      <c r="F31" s="41">
        <v>0</v>
      </c>
      <c r="G31" s="41">
        <f t="shared" si="0"/>
        <v>0</v>
      </c>
      <c r="H31" s="149">
        <v>40</v>
      </c>
      <c r="I31" s="149">
        <v>104</v>
      </c>
      <c r="J31" s="41">
        <f t="shared" si="1"/>
        <v>4160</v>
      </c>
      <c r="K31" s="42">
        <f t="shared" si="2"/>
        <v>4160</v>
      </c>
      <c r="L31" s="42">
        <v>170000</v>
      </c>
      <c r="M31" s="42">
        <f t="shared" si="4"/>
        <v>1839.4103999999934</v>
      </c>
      <c r="N31" s="62"/>
    </row>
    <row r="32" spans="1:14" ht="15">
      <c r="A32" s="28">
        <v>29</v>
      </c>
      <c r="B32" s="29">
        <v>45745</v>
      </c>
      <c r="C32" s="134"/>
      <c r="D32" s="148"/>
      <c r="E32" s="41"/>
      <c r="F32" s="41"/>
      <c r="G32" s="41"/>
      <c r="H32" s="149"/>
      <c r="I32" s="149"/>
      <c r="J32" s="41"/>
      <c r="K32" s="42"/>
      <c r="L32" s="42"/>
      <c r="M32" s="42"/>
      <c r="N32" s="62"/>
    </row>
    <row r="33" spans="1:14" ht="15">
      <c r="A33" s="28">
        <v>30</v>
      </c>
      <c r="B33" s="294">
        <v>45746</v>
      </c>
      <c r="C33" s="134"/>
      <c r="D33" s="148"/>
      <c r="E33" s="41"/>
      <c r="F33" s="41"/>
      <c r="G33" s="41"/>
      <c r="H33" s="149"/>
      <c r="I33" s="149"/>
      <c r="J33" s="41"/>
      <c r="K33" s="42"/>
      <c r="L33" s="42">
        <v>1839.41</v>
      </c>
      <c r="M33" s="42">
        <f>M31+K33-L33</f>
        <v>3.999999933057552E-4</v>
      </c>
      <c r="N33" s="62"/>
    </row>
    <row r="34" spans="1:14" ht="15">
      <c r="A34" s="28">
        <v>31</v>
      </c>
      <c r="B34" s="29">
        <v>45747</v>
      </c>
      <c r="C34" s="134"/>
      <c r="D34" s="148"/>
      <c r="E34" s="41"/>
      <c r="F34" s="41"/>
      <c r="G34" s="41"/>
      <c r="H34" s="149"/>
      <c r="I34" s="149"/>
      <c r="J34" s="41"/>
      <c r="K34" s="42"/>
      <c r="L34" s="42"/>
      <c r="M34" s="42"/>
      <c r="N34" s="62"/>
    </row>
    <row r="35" spans="1:14">
      <c r="A35" s="60"/>
      <c r="B35" s="60"/>
      <c r="C35" s="60"/>
      <c r="D35" s="60"/>
      <c r="E35" s="61">
        <f>SUM(E4:E34)</f>
        <v>4941.5</v>
      </c>
      <c r="F35" s="61"/>
      <c r="G35" s="61">
        <f>SUM(G4:G34)</f>
        <v>443647.87</v>
      </c>
      <c r="H35" s="61">
        <f>SUM(H4:H34)</f>
        <v>408.08</v>
      </c>
      <c r="I35" s="61"/>
      <c r="J35" s="61">
        <f>SUM(J4:J34)</f>
        <v>42440.32</v>
      </c>
      <c r="K35" s="61">
        <f>SUM(K4:K34)</f>
        <v>486088.19</v>
      </c>
      <c r="L35" s="61">
        <f>SUM(L4:L34)</f>
        <v>837943.41</v>
      </c>
      <c r="M35" s="61"/>
      <c r="N35" s="61"/>
    </row>
    <row r="36" spans="1:14">
      <c r="A36" s="43"/>
      <c r="B36" s="43"/>
      <c r="C36" s="43"/>
      <c r="D36" s="43"/>
      <c r="E36" s="44"/>
      <c r="F36" s="44"/>
      <c r="G36" s="44"/>
      <c r="H36" s="44"/>
      <c r="I36" s="44"/>
      <c r="J36" s="46"/>
      <c r="K36" s="44"/>
      <c r="L36" s="44"/>
      <c r="M36" s="44"/>
      <c r="N36" s="44"/>
    </row>
    <row r="37" spans="1:14">
      <c r="G37" s="45"/>
    </row>
    <row r="38" spans="1:14">
      <c r="B38" s="385"/>
      <c r="C38" s="385"/>
      <c r="D38" s="385"/>
      <c r="E38" s="385"/>
      <c r="I38" s="385"/>
      <c r="J38" s="385"/>
      <c r="K38" s="385"/>
      <c r="L38" s="385"/>
      <c r="M38" s="385"/>
      <c r="N38" s="385"/>
    </row>
    <row r="40" spans="1:14">
      <c r="E40" s="367"/>
    </row>
  </sheetData>
  <mergeCells count="4">
    <mergeCell ref="A1:N1"/>
    <mergeCell ref="I38:N38"/>
    <mergeCell ref="B38:E38"/>
    <mergeCell ref="A3:J3"/>
  </mergeCells>
  <printOptions horizontalCentered="1"/>
  <pageMargins left="3.937007874015748E-2" right="3.937007874015748E-2" top="3.937007874015748E-2" bottom="3.937007874015748E-2" header="0.31496062992125984" footer="0.31496062992125984"/>
  <pageSetup scale="39" fitToHeight="10" orientation="landscape" verticalDpi="30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3574-123A-4F92-95B2-0919D70B5B11}">
  <dimension ref="A1:T37"/>
  <sheetViews>
    <sheetView workbookViewId="0">
      <pane ySplit="2" topLeftCell="A8" activePane="bottomLeft" state="frozen"/>
      <selection pane="bottomLeft" activeCell="H40" sqref="H40"/>
    </sheetView>
  </sheetViews>
  <sheetFormatPr defaultColWidth="9.28515625" defaultRowHeight="15"/>
  <cols>
    <col min="1" max="1" width="5.42578125" style="72" bestFit="1" customWidth="1"/>
    <col min="2" max="2" width="11" style="72" bestFit="1" customWidth="1"/>
    <col min="3" max="3" width="7.140625" style="72" bestFit="1" customWidth="1"/>
    <col min="4" max="4" width="15.140625" style="72" bestFit="1" customWidth="1"/>
    <col min="5" max="5" width="9.28515625" style="72"/>
    <col min="6" max="6" width="9.85546875" style="72" bestFit="1" customWidth="1"/>
    <col min="7" max="7" width="10.42578125" style="72" bestFit="1" customWidth="1"/>
    <col min="8" max="8" width="9.28515625" style="72"/>
    <col min="9" max="9" width="7.140625" style="72" bestFit="1" customWidth="1"/>
    <col min="10" max="10" width="9.5703125" style="72" bestFit="1" customWidth="1"/>
    <col min="11" max="11" width="12.28515625" style="72" customWidth="1"/>
    <col min="12" max="12" width="11.7109375" style="72" bestFit="1" customWidth="1"/>
    <col min="13" max="13" width="11.7109375" style="72" customWidth="1"/>
    <col min="14" max="14" width="17.7109375" style="72" bestFit="1" customWidth="1"/>
    <col min="15" max="16384" width="9.28515625" style="72"/>
  </cols>
  <sheetData>
    <row r="1" spans="1:15" ht="15.75">
      <c r="A1" s="390" t="s">
        <v>40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</row>
    <row r="2" spans="1:15">
      <c r="A2" s="112" t="s">
        <v>91</v>
      </c>
      <c r="B2" s="113" t="s">
        <v>92</v>
      </c>
      <c r="C2" s="113" t="s">
        <v>93</v>
      </c>
      <c r="D2" s="113" t="s">
        <v>94</v>
      </c>
      <c r="E2" s="113" t="s">
        <v>95</v>
      </c>
      <c r="F2" s="113" t="s">
        <v>96</v>
      </c>
      <c r="G2" s="113" t="s">
        <v>97</v>
      </c>
      <c r="H2" s="113" t="s">
        <v>98</v>
      </c>
      <c r="I2" s="113" t="s">
        <v>96</v>
      </c>
      <c r="J2" s="139" t="s">
        <v>97</v>
      </c>
      <c r="K2" s="141" t="s">
        <v>99</v>
      </c>
      <c r="L2" s="142" t="s">
        <v>100</v>
      </c>
      <c r="M2" s="143" t="s">
        <v>101</v>
      </c>
      <c r="N2" s="114" t="s">
        <v>102</v>
      </c>
      <c r="O2" s="36"/>
    </row>
    <row r="3" spans="1:15" ht="15.75">
      <c r="A3" s="374" t="s">
        <v>103</v>
      </c>
      <c r="B3" s="375"/>
      <c r="C3" s="375"/>
      <c r="D3" s="375"/>
      <c r="E3" s="375"/>
      <c r="F3" s="375"/>
      <c r="G3" s="375"/>
      <c r="H3" s="375"/>
      <c r="I3" s="375"/>
      <c r="J3" s="389"/>
      <c r="K3" s="73">
        <v>139004.19999999995</v>
      </c>
      <c r="L3" s="70"/>
      <c r="M3" s="147">
        <f>+K3</f>
        <v>139004.19999999995</v>
      </c>
      <c r="N3" s="70"/>
    </row>
    <row r="4" spans="1:15" ht="15.75">
      <c r="A4" s="28">
        <v>1</v>
      </c>
      <c r="B4" s="29">
        <v>45717</v>
      </c>
      <c r="C4" s="145"/>
      <c r="D4" s="146"/>
      <c r="E4" s="103">
        <v>0</v>
      </c>
      <c r="F4" s="144"/>
      <c r="G4" s="144">
        <f>E4*F4</f>
        <v>0</v>
      </c>
      <c r="H4" s="144">
        <v>0</v>
      </c>
      <c r="I4" s="144">
        <v>0</v>
      </c>
      <c r="J4" s="144">
        <f>H4*I4</f>
        <v>0</v>
      </c>
      <c r="K4" s="144">
        <f>G4+J4</f>
        <v>0</v>
      </c>
      <c r="L4" s="144"/>
      <c r="M4" s="150">
        <f>M3+K4-L4</f>
        <v>139004.19999999995</v>
      </c>
      <c r="N4" s="144"/>
    </row>
    <row r="5" spans="1:15" ht="15.75">
      <c r="A5" s="28">
        <v>2</v>
      </c>
      <c r="B5" s="294">
        <v>45718</v>
      </c>
      <c r="C5" s="25"/>
      <c r="D5" s="26"/>
      <c r="E5" s="103">
        <v>0</v>
      </c>
      <c r="F5" s="144"/>
      <c r="G5" s="144">
        <f t="shared" ref="G5:G34" si="0">E5*F5</f>
        <v>0</v>
      </c>
      <c r="H5" s="144">
        <v>0</v>
      </c>
      <c r="I5" s="144">
        <v>0</v>
      </c>
      <c r="J5" s="144">
        <f t="shared" ref="J5:J31" si="1">H5*I5</f>
        <v>0</v>
      </c>
      <c r="K5" s="144">
        <f t="shared" ref="K5:L31" si="2">G5+J5</f>
        <v>0</v>
      </c>
      <c r="L5" s="144"/>
      <c r="M5" s="150">
        <f>M4+K5-L5</f>
        <v>139004.19999999995</v>
      </c>
      <c r="N5" s="62"/>
    </row>
    <row r="6" spans="1:15" ht="18.75" customHeight="1">
      <c r="A6" s="28">
        <v>3</v>
      </c>
      <c r="B6" s="29">
        <v>45719</v>
      </c>
      <c r="C6" s="275"/>
      <c r="D6" s="243"/>
      <c r="E6" s="103">
        <v>0</v>
      </c>
      <c r="F6" s="144"/>
      <c r="G6" s="144">
        <f t="shared" si="0"/>
        <v>0</v>
      </c>
      <c r="H6" s="144">
        <v>0</v>
      </c>
      <c r="I6" s="144">
        <v>0</v>
      </c>
      <c r="J6" s="144">
        <f t="shared" si="1"/>
        <v>0</v>
      </c>
      <c r="K6" s="144">
        <f t="shared" si="2"/>
        <v>0</v>
      </c>
      <c r="L6" s="144"/>
      <c r="M6" s="150">
        <f>M5+K6-L6</f>
        <v>139004.19999999995</v>
      </c>
      <c r="N6" s="70"/>
    </row>
    <row r="7" spans="1:15" ht="15.75">
      <c r="A7" s="28">
        <v>4</v>
      </c>
      <c r="B7" s="294">
        <v>45720</v>
      </c>
      <c r="C7" s="273"/>
      <c r="D7" s="274"/>
      <c r="E7" s="103">
        <v>0</v>
      </c>
      <c r="F7" s="144"/>
      <c r="G7" s="144">
        <f t="shared" si="0"/>
        <v>0</v>
      </c>
      <c r="H7" s="144">
        <v>0</v>
      </c>
      <c r="I7" s="144">
        <v>0</v>
      </c>
      <c r="J7" s="144">
        <f t="shared" si="1"/>
        <v>0</v>
      </c>
      <c r="K7" s="144">
        <f t="shared" si="2"/>
        <v>0</v>
      </c>
      <c r="L7" s="144"/>
      <c r="M7" s="150">
        <f t="shared" ref="M7:M34" si="3">M6+K7-L7</f>
        <v>139004.19999999995</v>
      </c>
      <c r="N7" s="62"/>
    </row>
    <row r="8" spans="1:15" ht="15.75" customHeight="1">
      <c r="A8" s="28">
        <v>5</v>
      </c>
      <c r="B8" s="29">
        <v>45721</v>
      </c>
      <c r="C8" s="144"/>
      <c r="D8" s="144"/>
      <c r="E8" s="103">
        <v>1500</v>
      </c>
      <c r="F8" s="144">
        <v>90.24</v>
      </c>
      <c r="G8" s="144">
        <f t="shared" si="0"/>
        <v>135360</v>
      </c>
      <c r="H8" s="144">
        <v>70</v>
      </c>
      <c r="I8" s="144">
        <v>104.14</v>
      </c>
      <c r="J8" s="144">
        <f t="shared" si="1"/>
        <v>7289.8</v>
      </c>
      <c r="K8" s="144">
        <f t="shared" si="2"/>
        <v>142649.79999999999</v>
      </c>
      <c r="L8" s="144"/>
      <c r="M8" s="150">
        <f t="shared" si="3"/>
        <v>281653.99999999994</v>
      </c>
      <c r="N8" s="70"/>
    </row>
    <row r="9" spans="1:15" ht="15.75" customHeight="1">
      <c r="A9" s="28">
        <v>6</v>
      </c>
      <c r="B9" s="294">
        <v>45722</v>
      </c>
      <c r="C9" s="70"/>
      <c r="D9" s="144"/>
      <c r="E9" s="103">
        <v>0</v>
      </c>
      <c r="F9" s="144"/>
      <c r="G9" s="144">
        <f t="shared" si="0"/>
        <v>0</v>
      </c>
      <c r="H9" s="144">
        <v>0</v>
      </c>
      <c r="I9" s="144">
        <v>0</v>
      </c>
      <c r="J9" s="144">
        <f t="shared" si="1"/>
        <v>0</v>
      </c>
      <c r="K9" s="144">
        <f t="shared" si="2"/>
        <v>0</v>
      </c>
      <c r="L9" s="144"/>
      <c r="M9" s="150">
        <f t="shared" si="3"/>
        <v>281653.99999999994</v>
      </c>
      <c r="N9" s="70"/>
    </row>
    <row r="10" spans="1:15" ht="15.75" customHeight="1">
      <c r="A10" s="28">
        <v>7</v>
      </c>
      <c r="B10" s="29">
        <v>45723</v>
      </c>
      <c r="C10" s="70"/>
      <c r="D10" s="144"/>
      <c r="E10" s="103">
        <v>0</v>
      </c>
      <c r="F10" s="144"/>
      <c r="G10" s="144">
        <f t="shared" si="0"/>
        <v>0</v>
      </c>
      <c r="H10" s="144">
        <v>0</v>
      </c>
      <c r="I10" s="144">
        <v>0</v>
      </c>
      <c r="J10" s="144">
        <f t="shared" si="1"/>
        <v>0</v>
      </c>
      <c r="K10" s="144">
        <f t="shared" si="2"/>
        <v>0</v>
      </c>
      <c r="L10" s="144"/>
      <c r="M10" s="150">
        <f t="shared" si="3"/>
        <v>281653.99999999994</v>
      </c>
      <c r="N10" s="70"/>
    </row>
    <row r="11" spans="1:15" ht="15.75" customHeight="1">
      <c r="A11" s="28">
        <v>8</v>
      </c>
      <c r="B11" s="294">
        <v>45724</v>
      </c>
      <c r="C11" s="70"/>
      <c r="D11" s="144"/>
      <c r="E11" s="103">
        <v>0</v>
      </c>
      <c r="F11" s="144"/>
      <c r="G11" s="144">
        <f t="shared" si="0"/>
        <v>0</v>
      </c>
      <c r="H11" s="144">
        <v>0</v>
      </c>
      <c r="I11" s="144">
        <v>0</v>
      </c>
      <c r="J11" s="144">
        <f t="shared" si="1"/>
        <v>0</v>
      </c>
      <c r="K11" s="144">
        <f t="shared" si="2"/>
        <v>0</v>
      </c>
      <c r="L11" s="144"/>
      <c r="M11" s="150">
        <f t="shared" si="3"/>
        <v>281653.99999999994</v>
      </c>
      <c r="N11" s="70"/>
    </row>
    <row r="12" spans="1:15" ht="15.75" customHeight="1">
      <c r="A12" s="28">
        <v>9</v>
      </c>
      <c r="B12" s="29">
        <v>45725</v>
      </c>
      <c r="C12" s="70"/>
      <c r="D12" s="144"/>
      <c r="E12" s="103">
        <v>0</v>
      </c>
      <c r="F12" s="144"/>
      <c r="G12" s="144">
        <f t="shared" si="0"/>
        <v>0</v>
      </c>
      <c r="H12" s="144">
        <v>0</v>
      </c>
      <c r="I12" s="144">
        <v>0</v>
      </c>
      <c r="J12" s="144">
        <f t="shared" si="1"/>
        <v>0</v>
      </c>
      <c r="K12" s="144">
        <f t="shared" si="2"/>
        <v>0</v>
      </c>
      <c r="L12" s="144"/>
      <c r="M12" s="150">
        <f t="shared" si="3"/>
        <v>281653.99999999994</v>
      </c>
      <c r="N12" s="70"/>
    </row>
    <row r="13" spans="1:15" ht="15.75" customHeight="1">
      <c r="A13" s="28">
        <v>10</v>
      </c>
      <c r="B13" s="294">
        <v>45726</v>
      </c>
      <c r="C13" s="70"/>
      <c r="D13" s="144"/>
      <c r="E13" s="103">
        <v>0</v>
      </c>
      <c r="F13" s="144"/>
      <c r="G13" s="144">
        <f t="shared" si="0"/>
        <v>0</v>
      </c>
      <c r="H13" s="144">
        <v>0</v>
      </c>
      <c r="I13" s="144">
        <v>0</v>
      </c>
      <c r="J13" s="144">
        <f t="shared" si="1"/>
        <v>0</v>
      </c>
      <c r="K13" s="144">
        <f t="shared" si="2"/>
        <v>0</v>
      </c>
      <c r="L13" s="144"/>
      <c r="M13" s="150">
        <f t="shared" si="3"/>
        <v>281653.99999999994</v>
      </c>
      <c r="N13" s="70"/>
    </row>
    <row r="14" spans="1:15" ht="15.75" customHeight="1">
      <c r="A14" s="28">
        <v>11</v>
      </c>
      <c r="B14" s="29">
        <v>45727</v>
      </c>
      <c r="C14" s="70"/>
      <c r="D14" s="144"/>
      <c r="E14" s="103">
        <v>0</v>
      </c>
      <c r="F14" s="144"/>
      <c r="G14" s="144">
        <f t="shared" si="0"/>
        <v>0</v>
      </c>
      <c r="H14" s="144">
        <v>0</v>
      </c>
      <c r="I14" s="144">
        <v>0</v>
      </c>
      <c r="J14" s="144">
        <f t="shared" si="1"/>
        <v>0</v>
      </c>
      <c r="K14" s="144">
        <f t="shared" si="2"/>
        <v>0</v>
      </c>
      <c r="L14" s="144">
        <v>100000</v>
      </c>
      <c r="M14" s="150">
        <f t="shared" si="3"/>
        <v>181653.99999999994</v>
      </c>
      <c r="N14" s="70"/>
    </row>
    <row r="15" spans="1:15" ht="15.75" customHeight="1">
      <c r="A15" s="28">
        <v>12</v>
      </c>
      <c r="B15" s="294">
        <v>45728</v>
      </c>
      <c r="C15" s="70"/>
      <c r="D15" s="144"/>
      <c r="E15" s="103">
        <v>0</v>
      </c>
      <c r="F15" s="144"/>
      <c r="G15" s="144">
        <f t="shared" si="0"/>
        <v>0</v>
      </c>
      <c r="H15" s="144">
        <v>70</v>
      </c>
      <c r="I15" s="144">
        <v>104.14</v>
      </c>
      <c r="J15" s="144">
        <f t="shared" si="1"/>
        <v>7289.8</v>
      </c>
      <c r="K15" s="144">
        <f t="shared" si="2"/>
        <v>7289.8</v>
      </c>
      <c r="L15" s="144"/>
      <c r="M15" s="150">
        <f t="shared" si="3"/>
        <v>188943.79999999993</v>
      </c>
      <c r="N15" s="70"/>
    </row>
    <row r="16" spans="1:15" ht="15.75" customHeight="1">
      <c r="A16" s="28">
        <v>13</v>
      </c>
      <c r="B16" s="29">
        <v>45729</v>
      </c>
      <c r="C16" s="70"/>
      <c r="D16" s="144"/>
      <c r="E16" s="103">
        <v>0</v>
      </c>
      <c r="F16" s="144"/>
      <c r="G16" s="144">
        <f t="shared" si="0"/>
        <v>0</v>
      </c>
      <c r="H16" s="144">
        <v>0</v>
      </c>
      <c r="I16" s="144">
        <v>0</v>
      </c>
      <c r="J16" s="144">
        <f t="shared" si="1"/>
        <v>0</v>
      </c>
      <c r="K16" s="144">
        <f t="shared" si="2"/>
        <v>0</v>
      </c>
      <c r="L16" s="144"/>
      <c r="M16" s="150">
        <f t="shared" si="3"/>
        <v>188943.79999999993</v>
      </c>
      <c r="N16" s="70"/>
    </row>
    <row r="17" spans="1:20" ht="15.75" customHeight="1">
      <c r="A17" s="28">
        <v>14</v>
      </c>
      <c r="B17" s="294">
        <v>45730</v>
      </c>
      <c r="C17" s="70"/>
      <c r="D17" s="144"/>
      <c r="E17" s="103">
        <v>1500</v>
      </c>
      <c r="F17" s="144">
        <v>90.24</v>
      </c>
      <c r="G17" s="144">
        <f t="shared" si="0"/>
        <v>135360</v>
      </c>
      <c r="H17" s="144">
        <v>0</v>
      </c>
      <c r="I17" s="144">
        <v>0</v>
      </c>
      <c r="J17" s="144">
        <f t="shared" si="1"/>
        <v>0</v>
      </c>
      <c r="K17" s="144">
        <f t="shared" si="2"/>
        <v>135360</v>
      </c>
      <c r="L17" s="144"/>
      <c r="M17" s="150">
        <f t="shared" si="3"/>
        <v>324303.79999999993</v>
      </c>
      <c r="N17" s="70"/>
    </row>
    <row r="18" spans="1:20" ht="15.75" customHeight="1">
      <c r="A18" s="28">
        <v>15</v>
      </c>
      <c r="B18" s="29">
        <v>45731</v>
      </c>
      <c r="C18" s="70"/>
      <c r="D18" s="144"/>
      <c r="E18" s="103">
        <v>0</v>
      </c>
      <c r="F18" s="144"/>
      <c r="G18" s="144">
        <f t="shared" si="0"/>
        <v>0</v>
      </c>
      <c r="H18" s="144">
        <v>0</v>
      </c>
      <c r="I18" s="144">
        <v>0</v>
      </c>
      <c r="J18" s="144">
        <f t="shared" si="1"/>
        <v>0</v>
      </c>
      <c r="K18" s="144">
        <f t="shared" si="2"/>
        <v>0</v>
      </c>
      <c r="L18" s="144"/>
      <c r="M18" s="150">
        <f t="shared" si="3"/>
        <v>324303.79999999993</v>
      </c>
      <c r="N18" s="70"/>
    </row>
    <row r="19" spans="1:20" ht="15.75" customHeight="1">
      <c r="A19" s="28">
        <v>16</v>
      </c>
      <c r="B19" s="294">
        <v>45732</v>
      </c>
      <c r="C19" s="70"/>
      <c r="D19" s="144"/>
      <c r="E19" s="103">
        <v>0</v>
      </c>
      <c r="F19" s="144"/>
      <c r="G19" s="144">
        <f t="shared" si="0"/>
        <v>0</v>
      </c>
      <c r="H19" s="144">
        <v>0</v>
      </c>
      <c r="I19" s="144">
        <v>0</v>
      </c>
      <c r="J19" s="144">
        <f t="shared" si="1"/>
        <v>0</v>
      </c>
      <c r="K19" s="144">
        <f t="shared" si="2"/>
        <v>0</v>
      </c>
      <c r="L19" s="144"/>
      <c r="M19" s="150">
        <f t="shared" si="3"/>
        <v>324303.79999999993</v>
      </c>
      <c r="N19" s="70"/>
    </row>
    <row r="20" spans="1:20" ht="15.75" customHeight="1">
      <c r="A20" s="28">
        <v>17</v>
      </c>
      <c r="B20" s="29">
        <v>45733</v>
      </c>
      <c r="C20" s="70"/>
      <c r="D20" s="144"/>
      <c r="E20" s="103">
        <v>0</v>
      </c>
      <c r="F20" s="144"/>
      <c r="G20" s="144">
        <f t="shared" si="0"/>
        <v>0</v>
      </c>
      <c r="H20" s="144">
        <v>0</v>
      </c>
      <c r="I20" s="144">
        <v>0</v>
      </c>
      <c r="J20" s="144">
        <f t="shared" si="1"/>
        <v>0</v>
      </c>
      <c r="K20" s="144">
        <f t="shared" si="2"/>
        <v>0</v>
      </c>
      <c r="L20" s="144"/>
      <c r="M20" s="150">
        <f t="shared" si="3"/>
        <v>324303.79999999993</v>
      </c>
      <c r="N20" s="70"/>
    </row>
    <row r="21" spans="1:20" ht="15.75" customHeight="1">
      <c r="A21" s="28">
        <v>18</v>
      </c>
      <c r="B21" s="294">
        <v>45734</v>
      </c>
      <c r="C21" s="70"/>
      <c r="D21" s="144"/>
      <c r="E21" s="103">
        <v>0</v>
      </c>
      <c r="F21" s="144"/>
      <c r="G21" s="144">
        <f t="shared" si="0"/>
        <v>0</v>
      </c>
      <c r="H21" s="144">
        <v>0</v>
      </c>
      <c r="I21" s="144">
        <v>0</v>
      </c>
      <c r="J21" s="144">
        <f t="shared" si="1"/>
        <v>0</v>
      </c>
      <c r="K21" s="144">
        <f t="shared" si="2"/>
        <v>0</v>
      </c>
      <c r="L21" s="144"/>
      <c r="M21" s="150">
        <f t="shared" si="3"/>
        <v>324303.79999999993</v>
      </c>
      <c r="N21" s="70"/>
    </row>
    <row r="22" spans="1:20" ht="15.75" customHeight="1">
      <c r="A22" s="28">
        <v>19</v>
      </c>
      <c r="B22" s="29">
        <v>45735</v>
      </c>
      <c r="C22" s="70"/>
      <c r="D22" s="144"/>
      <c r="E22" s="103">
        <v>0</v>
      </c>
      <c r="F22" s="144"/>
      <c r="G22" s="144">
        <f t="shared" si="0"/>
        <v>0</v>
      </c>
      <c r="H22" s="144">
        <v>0</v>
      </c>
      <c r="I22" s="144">
        <v>0</v>
      </c>
      <c r="J22" s="144">
        <f t="shared" si="1"/>
        <v>0</v>
      </c>
      <c r="K22" s="144">
        <f t="shared" si="2"/>
        <v>0</v>
      </c>
      <c r="L22" s="144"/>
      <c r="M22" s="150">
        <f t="shared" si="3"/>
        <v>324303.79999999993</v>
      </c>
      <c r="N22" s="70"/>
    </row>
    <row r="23" spans="1:20" ht="15.75" customHeight="1">
      <c r="A23" s="28">
        <v>20</v>
      </c>
      <c r="B23" s="294">
        <v>45736</v>
      </c>
      <c r="C23" s="70"/>
      <c r="D23" s="144"/>
      <c r="E23" s="103">
        <v>0</v>
      </c>
      <c r="F23" s="144"/>
      <c r="G23" s="144">
        <f t="shared" si="0"/>
        <v>0</v>
      </c>
      <c r="H23" s="144">
        <v>0</v>
      </c>
      <c r="I23" s="144">
        <v>0</v>
      </c>
      <c r="J23" s="144">
        <f t="shared" si="1"/>
        <v>0</v>
      </c>
      <c r="K23" s="144">
        <f t="shared" si="2"/>
        <v>0</v>
      </c>
      <c r="L23" s="144"/>
      <c r="M23" s="150">
        <f t="shared" si="3"/>
        <v>324303.79999999993</v>
      </c>
      <c r="N23" s="70"/>
    </row>
    <row r="24" spans="1:20" ht="15.75" customHeight="1">
      <c r="A24" s="28">
        <v>21</v>
      </c>
      <c r="B24" s="29">
        <v>45737</v>
      </c>
      <c r="C24" s="70"/>
      <c r="D24" s="144"/>
      <c r="E24" s="103">
        <v>150</v>
      </c>
      <c r="F24" s="144">
        <v>90.24</v>
      </c>
      <c r="G24" s="144">
        <f t="shared" si="0"/>
        <v>13536</v>
      </c>
      <c r="H24" s="144">
        <v>62.07</v>
      </c>
      <c r="I24" s="144">
        <v>104.14</v>
      </c>
      <c r="J24" s="144">
        <f t="shared" si="1"/>
        <v>6463.9697999999999</v>
      </c>
      <c r="K24" s="345">
        <f>G24+J24</f>
        <v>19999.969799999999</v>
      </c>
      <c r="L24" s="345">
        <v>20000</v>
      </c>
      <c r="M24" s="150">
        <f t="shared" si="3"/>
        <v>324303.76979999995</v>
      </c>
      <c r="N24" s="70"/>
      <c r="R24" s="72">
        <f>150*90.24</f>
        <v>13536</v>
      </c>
      <c r="T24" s="72">
        <f>114303+20000</f>
        <v>134303</v>
      </c>
    </row>
    <row r="25" spans="1:20" ht="15.75" customHeight="1">
      <c r="A25" s="28">
        <v>22</v>
      </c>
      <c r="B25" s="294">
        <v>45738</v>
      </c>
      <c r="C25" s="70"/>
      <c r="D25" s="144"/>
      <c r="E25" s="103">
        <v>0</v>
      </c>
      <c r="F25" s="144"/>
      <c r="G25" s="144">
        <f t="shared" si="0"/>
        <v>0</v>
      </c>
      <c r="H25" s="144">
        <v>0</v>
      </c>
      <c r="I25" s="144">
        <v>0</v>
      </c>
      <c r="J25" s="144">
        <f t="shared" si="1"/>
        <v>0</v>
      </c>
      <c r="K25" s="144">
        <f t="shared" si="2"/>
        <v>0</v>
      </c>
      <c r="L25" s="144"/>
      <c r="M25" s="150">
        <f t="shared" si="3"/>
        <v>324303.76979999995</v>
      </c>
      <c r="N25" s="70"/>
      <c r="R25" s="72">
        <f>25*104.14</f>
        <v>2603.5</v>
      </c>
    </row>
    <row r="26" spans="1:20" ht="15.75" customHeight="1">
      <c r="A26" s="28">
        <v>23</v>
      </c>
      <c r="B26" s="29">
        <v>45739</v>
      </c>
      <c r="C26" s="70"/>
      <c r="D26" s="144"/>
      <c r="E26" s="103">
        <v>0</v>
      </c>
      <c r="F26" s="144"/>
      <c r="G26" s="144">
        <f t="shared" si="0"/>
        <v>0</v>
      </c>
      <c r="H26" s="144">
        <v>0</v>
      </c>
      <c r="I26" s="144">
        <v>0</v>
      </c>
      <c r="J26" s="144">
        <f t="shared" si="1"/>
        <v>0</v>
      </c>
      <c r="K26" s="144">
        <f t="shared" si="2"/>
        <v>0</v>
      </c>
      <c r="L26" s="144"/>
      <c r="M26" s="150">
        <f t="shared" si="3"/>
        <v>324303.76979999995</v>
      </c>
      <c r="N26" s="70"/>
      <c r="R26" s="72">
        <f>SUM(R24:R25)</f>
        <v>16139.5</v>
      </c>
    </row>
    <row r="27" spans="1:20" ht="15.75" customHeight="1">
      <c r="A27" s="28">
        <v>24</v>
      </c>
      <c r="B27" s="294">
        <v>45740</v>
      </c>
      <c r="C27" s="70"/>
      <c r="D27" s="144"/>
      <c r="E27" s="103">
        <v>0</v>
      </c>
      <c r="F27" s="144"/>
      <c r="G27" s="144">
        <f t="shared" si="0"/>
        <v>0</v>
      </c>
      <c r="H27" s="144">
        <v>0</v>
      </c>
      <c r="I27" s="144">
        <v>0</v>
      </c>
      <c r="J27" s="144">
        <f t="shared" si="1"/>
        <v>0</v>
      </c>
      <c r="K27" s="144">
        <f t="shared" si="2"/>
        <v>0</v>
      </c>
      <c r="L27" s="144"/>
      <c r="M27" s="150">
        <f t="shared" si="3"/>
        <v>324303.76979999995</v>
      </c>
      <c r="N27" s="70"/>
    </row>
    <row r="28" spans="1:20" ht="15.75" customHeight="1">
      <c r="A28" s="28">
        <v>25</v>
      </c>
      <c r="B28" s="29">
        <v>45741</v>
      </c>
      <c r="C28" s="70"/>
      <c r="D28" s="144"/>
      <c r="E28" s="103">
        <v>0</v>
      </c>
      <c r="F28" s="144"/>
      <c r="G28" s="144">
        <f t="shared" si="0"/>
        <v>0</v>
      </c>
      <c r="H28" s="144">
        <v>0</v>
      </c>
      <c r="I28" s="144">
        <v>0</v>
      </c>
      <c r="J28" s="144">
        <f t="shared" si="1"/>
        <v>0</v>
      </c>
      <c r="K28" s="144">
        <f t="shared" si="2"/>
        <v>0</v>
      </c>
      <c r="L28" s="144">
        <v>10000</v>
      </c>
      <c r="M28" s="150">
        <f t="shared" si="3"/>
        <v>314303.76979999995</v>
      </c>
      <c r="N28" s="70"/>
      <c r="R28" s="72">
        <f>144303+20651.5</f>
        <v>164954.5</v>
      </c>
    </row>
    <row r="29" spans="1:20" ht="15.75" customHeight="1">
      <c r="A29" s="28">
        <v>26</v>
      </c>
      <c r="B29" s="294">
        <v>45742</v>
      </c>
      <c r="C29" s="70"/>
      <c r="D29" s="144"/>
      <c r="E29" s="103">
        <v>0</v>
      </c>
      <c r="F29" s="144"/>
      <c r="G29" s="144">
        <f t="shared" si="0"/>
        <v>0</v>
      </c>
      <c r="H29" s="144">
        <v>0</v>
      </c>
      <c r="I29" s="144">
        <v>0</v>
      </c>
      <c r="J29" s="144">
        <f t="shared" si="1"/>
        <v>0</v>
      </c>
      <c r="K29" s="144">
        <f t="shared" si="2"/>
        <v>0</v>
      </c>
      <c r="L29" s="70">
        <v>200000</v>
      </c>
      <c r="M29" s="150">
        <f t="shared" si="3"/>
        <v>114303.76979999995</v>
      </c>
      <c r="N29" s="70"/>
    </row>
    <row r="30" spans="1:20" ht="15.75" customHeight="1">
      <c r="A30" s="28">
        <v>27</v>
      </c>
      <c r="B30" s="29">
        <v>45743</v>
      </c>
      <c r="C30" s="70"/>
      <c r="D30" s="144"/>
      <c r="E30" s="103">
        <v>371.63</v>
      </c>
      <c r="F30" s="144">
        <v>90.24</v>
      </c>
      <c r="G30" s="144">
        <f t="shared" si="0"/>
        <v>33535.891199999998</v>
      </c>
      <c r="H30" s="144">
        <v>70</v>
      </c>
      <c r="I30" s="144">
        <v>104.14</v>
      </c>
      <c r="J30" s="144">
        <f t="shared" si="1"/>
        <v>7289.8</v>
      </c>
      <c r="K30" s="144">
        <f t="shared" si="2"/>
        <v>40825.691200000001</v>
      </c>
      <c r="L30" s="70">
        <v>134305</v>
      </c>
      <c r="M30" s="150">
        <f t="shared" si="3"/>
        <v>20824.460999999952</v>
      </c>
      <c r="N30" s="70"/>
    </row>
    <row r="31" spans="1:20" ht="15.75" customHeight="1">
      <c r="A31" s="28">
        <v>28</v>
      </c>
      <c r="B31" s="294">
        <v>45744</v>
      </c>
      <c r="C31" s="70"/>
      <c r="D31" s="144"/>
      <c r="E31" s="103">
        <v>0</v>
      </c>
      <c r="F31" s="144"/>
      <c r="G31" s="144">
        <f t="shared" si="0"/>
        <v>0</v>
      </c>
      <c r="H31" s="144">
        <v>0</v>
      </c>
      <c r="I31" s="144">
        <v>0</v>
      </c>
      <c r="J31" s="144">
        <f t="shared" si="1"/>
        <v>0</v>
      </c>
      <c r="K31" s="144">
        <f t="shared" si="2"/>
        <v>0</v>
      </c>
      <c r="L31" s="70"/>
      <c r="M31" s="150">
        <f t="shared" si="3"/>
        <v>20824.460999999952</v>
      </c>
      <c r="N31" s="70"/>
    </row>
    <row r="32" spans="1:20" ht="15.75" customHeight="1">
      <c r="A32" s="28">
        <v>29</v>
      </c>
      <c r="B32" s="29">
        <v>45745</v>
      </c>
      <c r="C32" s="70"/>
      <c r="D32" s="144"/>
      <c r="E32" s="103">
        <v>0</v>
      </c>
      <c r="F32" s="144"/>
      <c r="G32" s="144">
        <f t="shared" si="0"/>
        <v>0</v>
      </c>
      <c r="H32" s="144">
        <v>0</v>
      </c>
      <c r="I32" s="144">
        <v>0</v>
      </c>
      <c r="J32" s="144">
        <f t="shared" ref="J32:J34" si="4">H32*I32</f>
        <v>0</v>
      </c>
      <c r="K32" s="144">
        <f t="shared" ref="K32:K34" si="5">G32+J32</f>
        <v>0</v>
      </c>
      <c r="L32" s="70">
        <v>20824.46</v>
      </c>
      <c r="M32" s="150">
        <f t="shared" si="3"/>
        <v>9.9999995291000232E-4</v>
      </c>
      <c r="N32" s="70"/>
    </row>
    <row r="33" spans="1:15" ht="15.75" customHeight="1">
      <c r="A33" s="28">
        <v>30</v>
      </c>
      <c r="B33" s="294">
        <v>45746</v>
      </c>
      <c r="C33" s="70"/>
      <c r="D33" s="144"/>
      <c r="E33" s="103">
        <v>0</v>
      </c>
      <c r="F33" s="144"/>
      <c r="G33" s="144">
        <f t="shared" si="0"/>
        <v>0</v>
      </c>
      <c r="H33" s="144">
        <v>0</v>
      </c>
      <c r="I33" s="144">
        <v>0</v>
      </c>
      <c r="J33" s="144">
        <f t="shared" si="4"/>
        <v>0</v>
      </c>
      <c r="K33" s="144">
        <f t="shared" si="5"/>
        <v>0</v>
      </c>
      <c r="L33" s="70"/>
      <c r="M33" s="150">
        <f t="shared" si="3"/>
        <v>9.9999995291000232E-4</v>
      </c>
      <c r="N33" s="70"/>
    </row>
    <row r="34" spans="1:15" ht="15.75" customHeight="1">
      <c r="A34" s="28">
        <v>31</v>
      </c>
      <c r="B34" s="29">
        <v>45747</v>
      </c>
      <c r="C34" s="70"/>
      <c r="D34" s="144"/>
      <c r="E34" s="103">
        <v>0</v>
      </c>
      <c r="F34" s="144"/>
      <c r="G34" s="144">
        <f t="shared" si="0"/>
        <v>0</v>
      </c>
      <c r="H34" s="144">
        <v>0</v>
      </c>
      <c r="I34" s="144">
        <v>0</v>
      </c>
      <c r="J34" s="144">
        <f t="shared" si="4"/>
        <v>0</v>
      </c>
      <c r="K34" s="144">
        <f t="shared" si="5"/>
        <v>0</v>
      </c>
      <c r="L34" s="70"/>
      <c r="M34" s="150">
        <f t="shared" si="3"/>
        <v>9.9999995291000232E-4</v>
      </c>
      <c r="N34" s="70"/>
    </row>
    <row r="35" spans="1:15">
      <c r="A35" s="60"/>
      <c r="B35" s="60"/>
      <c r="C35" s="60"/>
      <c r="D35" s="60"/>
      <c r="E35" s="61">
        <f>SUM(E4:E34)</f>
        <v>3521.63</v>
      </c>
      <c r="F35" s="61"/>
      <c r="G35" s="61">
        <f>SUM(G4:G34)</f>
        <v>317791.89120000001</v>
      </c>
      <c r="H35" s="61">
        <f>SUM(H4:H34)</f>
        <v>272.07</v>
      </c>
      <c r="I35" s="61"/>
      <c r="J35" s="61">
        <f>SUM(J4:J34)</f>
        <v>28333.3698</v>
      </c>
      <c r="K35" s="61">
        <f>SUM(K4:K34)</f>
        <v>346125.261</v>
      </c>
      <c r="L35" s="61">
        <f>SUM(L4:L34)</f>
        <v>485129.46</v>
      </c>
      <c r="M35" s="61"/>
      <c r="N35" s="61"/>
      <c r="O35" s="36"/>
    </row>
    <row r="37" spans="1:15">
      <c r="D37" s="63"/>
      <c r="E37" s="63"/>
    </row>
  </sheetData>
  <mergeCells count="2">
    <mergeCell ref="A1:N1"/>
    <mergeCell ref="A3:J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0AF3-FEE5-4489-B644-338CB0A1459A}">
  <dimension ref="A1:N35"/>
  <sheetViews>
    <sheetView workbookViewId="0">
      <selection activeCell="U19" sqref="U19"/>
    </sheetView>
  </sheetViews>
  <sheetFormatPr defaultRowHeight="15"/>
  <cols>
    <col min="2" max="2" width="10.42578125" bestFit="1" customWidth="1"/>
    <col min="4" max="4" width="16" bestFit="1" customWidth="1"/>
    <col min="5" max="5" width="11.140625" customWidth="1"/>
    <col min="11" max="11" width="12.5703125" customWidth="1"/>
    <col min="12" max="12" width="12.140625" customWidth="1"/>
    <col min="14" max="14" width="17.7109375" bestFit="1" customWidth="1"/>
  </cols>
  <sheetData>
    <row r="1" spans="1:14" ht="15.75">
      <c r="A1" s="386" t="s">
        <v>43</v>
      </c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  <c r="M1" s="386"/>
      <c r="N1" s="386"/>
    </row>
    <row r="2" spans="1:14">
      <c r="A2" s="128" t="s">
        <v>91</v>
      </c>
      <c r="B2" s="133" t="s">
        <v>92</v>
      </c>
      <c r="C2" s="133" t="s">
        <v>93</v>
      </c>
      <c r="D2" s="133" t="s">
        <v>94</v>
      </c>
      <c r="E2" s="133" t="s">
        <v>95</v>
      </c>
      <c r="F2" s="133" t="s">
        <v>96</v>
      </c>
      <c r="G2" s="133" t="s">
        <v>97</v>
      </c>
      <c r="H2" s="133" t="s">
        <v>98</v>
      </c>
      <c r="I2" s="133" t="s">
        <v>96</v>
      </c>
      <c r="J2" s="133" t="s">
        <v>97</v>
      </c>
      <c r="K2" s="133" t="s">
        <v>99</v>
      </c>
      <c r="L2" s="133" t="s">
        <v>100</v>
      </c>
      <c r="M2" s="133" t="s">
        <v>101</v>
      </c>
      <c r="N2" s="133" t="s">
        <v>102</v>
      </c>
    </row>
    <row r="3" spans="1:14">
      <c r="A3" s="383" t="s">
        <v>103</v>
      </c>
      <c r="B3" s="383"/>
      <c r="C3" s="383"/>
      <c r="D3" s="383"/>
      <c r="E3" s="383"/>
      <c r="F3" s="383"/>
      <c r="G3" s="383"/>
      <c r="H3" s="383"/>
      <c r="I3" s="383"/>
      <c r="J3" s="383"/>
      <c r="K3" s="120">
        <v>0</v>
      </c>
      <c r="L3" s="120">
        <v>0</v>
      </c>
      <c r="M3" s="120">
        <f>+K3</f>
        <v>0</v>
      </c>
      <c r="N3" s="19"/>
    </row>
    <row r="4" spans="1:14">
      <c r="A4" s="28">
        <v>1</v>
      </c>
      <c r="B4" s="29">
        <v>45717</v>
      </c>
      <c r="C4" s="19"/>
      <c r="D4" s="19"/>
      <c r="E4" s="111"/>
      <c r="F4" s="111"/>
      <c r="G4" s="19">
        <f>E4*F4</f>
        <v>0</v>
      </c>
      <c r="H4" s="111"/>
      <c r="I4" s="111"/>
      <c r="J4" s="19">
        <f>H4*I4</f>
        <v>0</v>
      </c>
      <c r="K4" s="19">
        <f>G4+J4</f>
        <v>0</v>
      </c>
      <c r="L4" s="19">
        <f>K4</f>
        <v>0</v>
      </c>
      <c r="M4" s="19">
        <f>M3+K4-L4</f>
        <v>0</v>
      </c>
      <c r="N4" s="62"/>
    </row>
    <row r="5" spans="1:14">
      <c r="A5" s="28">
        <v>2</v>
      </c>
      <c r="B5" s="294">
        <v>45718</v>
      </c>
      <c r="C5" s="19"/>
      <c r="D5" s="19"/>
      <c r="E5" s="111"/>
      <c r="F5" s="111"/>
      <c r="G5" s="19">
        <f t="shared" ref="G5:G31" si="0">E5*F5</f>
        <v>0</v>
      </c>
      <c r="H5" s="111"/>
      <c r="I5" s="111"/>
      <c r="J5" s="19">
        <f t="shared" ref="J5:J31" si="1">H5*I5</f>
        <v>0</v>
      </c>
      <c r="K5" s="19">
        <f t="shared" ref="K5:K31" si="2">G5+J5</f>
        <v>0</v>
      </c>
      <c r="L5" s="19">
        <f t="shared" ref="L5:L31" si="3">K5</f>
        <v>0</v>
      </c>
      <c r="M5" s="19">
        <f t="shared" ref="M5:M27" si="4">M4+K5-L5</f>
        <v>0</v>
      </c>
      <c r="N5" s="62"/>
    </row>
    <row r="6" spans="1:14">
      <c r="A6" s="28">
        <v>3</v>
      </c>
      <c r="B6" s="29">
        <v>45719</v>
      </c>
      <c r="C6" s="19"/>
      <c r="D6" s="19"/>
      <c r="E6" s="111">
        <v>330</v>
      </c>
      <c r="F6" s="111">
        <v>90.23</v>
      </c>
      <c r="G6" s="19">
        <f t="shared" si="0"/>
        <v>29775.9</v>
      </c>
      <c r="H6" s="111"/>
      <c r="I6" s="111"/>
      <c r="J6" s="19">
        <f t="shared" si="1"/>
        <v>0</v>
      </c>
      <c r="K6" s="19">
        <f t="shared" si="2"/>
        <v>29775.9</v>
      </c>
      <c r="L6" s="19">
        <f t="shared" si="3"/>
        <v>29775.9</v>
      </c>
      <c r="M6" s="19">
        <f t="shared" si="4"/>
        <v>0</v>
      </c>
      <c r="N6" s="62"/>
    </row>
    <row r="7" spans="1:14">
      <c r="A7" s="28">
        <v>4</v>
      </c>
      <c r="B7" s="294">
        <v>45720</v>
      </c>
      <c r="C7" s="19"/>
      <c r="D7" s="19"/>
      <c r="E7" s="111"/>
      <c r="F7" s="111"/>
      <c r="G7" s="19">
        <f t="shared" si="0"/>
        <v>0</v>
      </c>
      <c r="H7" s="111"/>
      <c r="I7" s="111"/>
      <c r="J7" s="19">
        <f t="shared" si="1"/>
        <v>0</v>
      </c>
      <c r="K7" s="19">
        <f t="shared" si="2"/>
        <v>0</v>
      </c>
      <c r="L7" s="19">
        <f t="shared" si="3"/>
        <v>0</v>
      </c>
      <c r="M7" s="19">
        <f t="shared" si="4"/>
        <v>0</v>
      </c>
      <c r="N7" s="62"/>
    </row>
    <row r="8" spans="1:14">
      <c r="A8" s="28">
        <v>5</v>
      </c>
      <c r="B8" s="29">
        <v>45721</v>
      </c>
      <c r="C8" s="19"/>
      <c r="D8" s="19"/>
      <c r="E8" s="111"/>
      <c r="F8" s="111"/>
      <c r="G8" s="19">
        <f t="shared" si="0"/>
        <v>0</v>
      </c>
      <c r="H8" s="111"/>
      <c r="I8" s="111"/>
      <c r="J8" s="19">
        <f t="shared" si="1"/>
        <v>0</v>
      </c>
      <c r="K8" s="19">
        <f t="shared" si="2"/>
        <v>0</v>
      </c>
      <c r="L8" s="19">
        <f t="shared" si="3"/>
        <v>0</v>
      </c>
      <c r="M8" s="19">
        <f t="shared" si="4"/>
        <v>0</v>
      </c>
      <c r="N8" s="62"/>
    </row>
    <row r="9" spans="1:14">
      <c r="A9" s="28">
        <v>6</v>
      </c>
      <c r="B9" s="294">
        <v>45722</v>
      </c>
      <c r="C9" s="19"/>
      <c r="D9" s="19"/>
      <c r="E9" s="111"/>
      <c r="F9" s="111"/>
      <c r="G9" s="19">
        <f t="shared" si="0"/>
        <v>0</v>
      </c>
      <c r="H9" s="111"/>
      <c r="I9" s="111"/>
      <c r="J9" s="19">
        <f t="shared" si="1"/>
        <v>0</v>
      </c>
      <c r="K9" s="19">
        <f t="shared" si="2"/>
        <v>0</v>
      </c>
      <c r="L9" s="19">
        <f t="shared" si="3"/>
        <v>0</v>
      </c>
      <c r="M9" s="19">
        <f t="shared" si="4"/>
        <v>0</v>
      </c>
      <c r="N9" s="62"/>
    </row>
    <row r="10" spans="1:14">
      <c r="A10" s="28">
        <v>7</v>
      </c>
      <c r="B10" s="29">
        <v>45723</v>
      </c>
      <c r="C10" s="19"/>
      <c r="D10" s="19"/>
      <c r="E10" s="111">
        <v>290</v>
      </c>
      <c r="F10" s="111">
        <v>90.23</v>
      </c>
      <c r="G10" s="19">
        <f t="shared" si="0"/>
        <v>26166.7</v>
      </c>
      <c r="H10" s="111">
        <v>35</v>
      </c>
      <c r="I10" s="111">
        <v>104.14</v>
      </c>
      <c r="J10" s="19">
        <f t="shared" si="1"/>
        <v>3644.9</v>
      </c>
      <c r="K10" s="19">
        <f t="shared" si="2"/>
        <v>29811.600000000002</v>
      </c>
      <c r="L10" s="19">
        <f t="shared" si="3"/>
        <v>29811.600000000002</v>
      </c>
      <c r="M10" s="19">
        <f t="shared" si="4"/>
        <v>0</v>
      </c>
      <c r="N10" s="62"/>
    </row>
    <row r="11" spans="1:14">
      <c r="A11" s="28">
        <v>8</v>
      </c>
      <c r="B11" s="294">
        <v>45724</v>
      </c>
      <c r="C11" s="19"/>
      <c r="D11" s="19"/>
      <c r="E11" s="111"/>
      <c r="F11" s="111"/>
      <c r="G11" s="19">
        <f t="shared" si="0"/>
        <v>0</v>
      </c>
      <c r="H11" s="111"/>
      <c r="I11" s="111"/>
      <c r="J11" s="19">
        <f t="shared" si="1"/>
        <v>0</v>
      </c>
      <c r="K11" s="19">
        <f t="shared" si="2"/>
        <v>0</v>
      </c>
      <c r="L11" s="19">
        <f t="shared" si="3"/>
        <v>0</v>
      </c>
      <c r="M11" s="19">
        <f t="shared" si="4"/>
        <v>0</v>
      </c>
      <c r="N11" s="62"/>
    </row>
    <row r="12" spans="1:14">
      <c r="A12" s="28">
        <v>9</v>
      </c>
      <c r="B12" s="29">
        <v>45725</v>
      </c>
      <c r="C12" s="19"/>
      <c r="D12" s="19"/>
      <c r="E12" s="111"/>
      <c r="F12" s="111"/>
      <c r="G12" s="19">
        <f t="shared" si="0"/>
        <v>0</v>
      </c>
      <c r="H12" s="111"/>
      <c r="I12" s="111"/>
      <c r="J12" s="19">
        <f t="shared" si="1"/>
        <v>0</v>
      </c>
      <c r="K12" s="19">
        <f t="shared" si="2"/>
        <v>0</v>
      </c>
      <c r="L12" s="19">
        <f t="shared" si="3"/>
        <v>0</v>
      </c>
      <c r="M12" s="19">
        <f t="shared" si="4"/>
        <v>0</v>
      </c>
      <c r="N12" s="62"/>
    </row>
    <row r="13" spans="1:14">
      <c r="A13" s="28">
        <v>10</v>
      </c>
      <c r="B13" s="294">
        <v>45726</v>
      </c>
      <c r="C13" s="19"/>
      <c r="D13" s="19"/>
      <c r="E13" s="111"/>
      <c r="F13" s="111"/>
      <c r="G13" s="19">
        <f t="shared" si="0"/>
        <v>0</v>
      </c>
      <c r="H13" s="111"/>
      <c r="I13" s="111"/>
      <c r="J13" s="19">
        <f t="shared" si="1"/>
        <v>0</v>
      </c>
      <c r="K13" s="19">
        <f t="shared" si="2"/>
        <v>0</v>
      </c>
      <c r="L13" s="19">
        <f t="shared" si="3"/>
        <v>0</v>
      </c>
      <c r="M13" s="19">
        <f t="shared" si="4"/>
        <v>0</v>
      </c>
      <c r="N13" s="62"/>
    </row>
    <row r="14" spans="1:14">
      <c r="A14" s="28">
        <v>11</v>
      </c>
      <c r="B14" s="29">
        <v>45727</v>
      </c>
      <c r="C14" s="19"/>
      <c r="D14" s="19"/>
      <c r="E14" s="111">
        <v>330</v>
      </c>
      <c r="F14" s="111">
        <v>90.23</v>
      </c>
      <c r="G14" s="19">
        <f t="shared" si="0"/>
        <v>29775.9</v>
      </c>
      <c r="H14" s="111"/>
      <c r="I14" s="111"/>
      <c r="J14" s="19">
        <f t="shared" si="1"/>
        <v>0</v>
      </c>
      <c r="K14" s="19">
        <f t="shared" si="2"/>
        <v>29775.9</v>
      </c>
      <c r="L14" s="19">
        <f t="shared" si="3"/>
        <v>29775.9</v>
      </c>
      <c r="M14" s="19">
        <f t="shared" si="4"/>
        <v>0</v>
      </c>
      <c r="N14" s="62"/>
    </row>
    <row r="15" spans="1:14">
      <c r="A15" s="28">
        <v>12</v>
      </c>
      <c r="B15" s="294">
        <v>45728</v>
      </c>
      <c r="C15" s="19"/>
      <c r="D15" s="19"/>
      <c r="E15" s="111"/>
      <c r="F15" s="111"/>
      <c r="G15" s="19">
        <f t="shared" si="0"/>
        <v>0</v>
      </c>
      <c r="H15" s="111"/>
      <c r="I15" s="111"/>
      <c r="J15" s="19">
        <f t="shared" si="1"/>
        <v>0</v>
      </c>
      <c r="K15" s="19">
        <f t="shared" si="2"/>
        <v>0</v>
      </c>
      <c r="L15" s="19">
        <f t="shared" si="3"/>
        <v>0</v>
      </c>
      <c r="M15" s="19">
        <f t="shared" si="4"/>
        <v>0</v>
      </c>
      <c r="N15" s="62"/>
    </row>
    <row r="16" spans="1:14">
      <c r="A16" s="28">
        <v>13</v>
      </c>
      <c r="B16" s="29">
        <v>45729</v>
      </c>
      <c r="C16" s="19"/>
      <c r="D16" s="19"/>
      <c r="E16" s="111"/>
      <c r="F16" s="111"/>
      <c r="G16" s="19">
        <f t="shared" si="0"/>
        <v>0</v>
      </c>
      <c r="H16" s="111"/>
      <c r="I16" s="111"/>
      <c r="J16" s="19">
        <f t="shared" si="1"/>
        <v>0</v>
      </c>
      <c r="K16" s="19">
        <f t="shared" si="2"/>
        <v>0</v>
      </c>
      <c r="L16" s="19">
        <f t="shared" si="3"/>
        <v>0</v>
      </c>
      <c r="M16" s="19">
        <f t="shared" si="4"/>
        <v>0</v>
      </c>
      <c r="N16" s="62"/>
    </row>
    <row r="17" spans="1:14">
      <c r="A17" s="28">
        <v>14</v>
      </c>
      <c r="B17" s="294">
        <v>45730</v>
      </c>
      <c r="C17" s="19"/>
      <c r="D17" s="19"/>
      <c r="E17" s="111"/>
      <c r="F17" s="111"/>
      <c r="G17" s="19">
        <f t="shared" si="0"/>
        <v>0</v>
      </c>
      <c r="H17" s="111"/>
      <c r="I17" s="111"/>
      <c r="J17" s="19">
        <f t="shared" si="1"/>
        <v>0</v>
      </c>
      <c r="K17" s="19">
        <f t="shared" si="2"/>
        <v>0</v>
      </c>
      <c r="L17" s="19">
        <f t="shared" si="3"/>
        <v>0</v>
      </c>
      <c r="M17" s="19">
        <f t="shared" si="4"/>
        <v>0</v>
      </c>
      <c r="N17" s="62"/>
    </row>
    <row r="18" spans="1:14">
      <c r="A18" s="28">
        <v>15</v>
      </c>
      <c r="B18" s="29">
        <v>45731</v>
      </c>
      <c r="C18" s="19"/>
      <c r="D18" s="19"/>
      <c r="E18" s="111"/>
      <c r="F18" s="111"/>
      <c r="G18" s="19">
        <f t="shared" si="0"/>
        <v>0</v>
      </c>
      <c r="H18" s="111"/>
      <c r="I18" s="111"/>
      <c r="J18" s="19">
        <f t="shared" si="1"/>
        <v>0</v>
      </c>
      <c r="K18" s="19">
        <f t="shared" si="2"/>
        <v>0</v>
      </c>
      <c r="L18" s="19">
        <f t="shared" si="3"/>
        <v>0</v>
      </c>
      <c r="M18" s="19">
        <f t="shared" si="4"/>
        <v>0</v>
      </c>
      <c r="N18" s="62"/>
    </row>
    <row r="19" spans="1:14">
      <c r="A19" s="28">
        <v>16</v>
      </c>
      <c r="B19" s="294">
        <v>45732</v>
      </c>
      <c r="C19" s="19"/>
      <c r="D19" s="19"/>
      <c r="E19" s="111"/>
      <c r="F19" s="111"/>
      <c r="G19" s="19">
        <f t="shared" si="0"/>
        <v>0</v>
      </c>
      <c r="H19" s="111"/>
      <c r="I19" s="111"/>
      <c r="J19" s="19">
        <f t="shared" si="1"/>
        <v>0</v>
      </c>
      <c r="K19" s="19">
        <f t="shared" si="2"/>
        <v>0</v>
      </c>
      <c r="L19" s="19">
        <f t="shared" si="3"/>
        <v>0</v>
      </c>
      <c r="M19" s="19">
        <f t="shared" si="4"/>
        <v>0</v>
      </c>
      <c r="N19" s="62"/>
    </row>
    <row r="20" spans="1:14">
      <c r="A20" s="28">
        <v>17</v>
      </c>
      <c r="B20" s="29">
        <v>45733</v>
      </c>
      <c r="C20" s="19"/>
      <c r="D20" s="19"/>
      <c r="E20" s="111"/>
      <c r="F20" s="111"/>
      <c r="G20" s="19">
        <f t="shared" si="0"/>
        <v>0</v>
      </c>
      <c r="H20" s="111"/>
      <c r="I20" s="111"/>
      <c r="J20" s="19">
        <f t="shared" si="1"/>
        <v>0</v>
      </c>
      <c r="K20" s="19">
        <f t="shared" si="2"/>
        <v>0</v>
      </c>
      <c r="L20" s="19">
        <f t="shared" si="3"/>
        <v>0</v>
      </c>
      <c r="M20" s="19">
        <f t="shared" si="4"/>
        <v>0</v>
      </c>
      <c r="N20" s="62"/>
    </row>
    <row r="21" spans="1:14">
      <c r="A21" s="28">
        <v>18</v>
      </c>
      <c r="B21" s="294">
        <v>45734</v>
      </c>
      <c r="C21" s="19"/>
      <c r="D21" s="19"/>
      <c r="E21" s="111"/>
      <c r="F21" s="111"/>
      <c r="G21" s="19">
        <f t="shared" si="0"/>
        <v>0</v>
      </c>
      <c r="H21" s="111"/>
      <c r="I21" s="111"/>
      <c r="J21" s="19">
        <f t="shared" si="1"/>
        <v>0</v>
      </c>
      <c r="K21" s="19">
        <f t="shared" si="2"/>
        <v>0</v>
      </c>
      <c r="L21" s="19">
        <f t="shared" si="3"/>
        <v>0</v>
      </c>
      <c r="M21" s="19">
        <f t="shared" si="4"/>
        <v>0</v>
      </c>
      <c r="N21" s="62"/>
    </row>
    <row r="22" spans="1:14">
      <c r="A22" s="28">
        <v>19</v>
      </c>
      <c r="B22" s="29">
        <v>45735</v>
      </c>
      <c r="C22" s="19"/>
      <c r="D22" s="19"/>
      <c r="E22" s="111"/>
      <c r="F22" s="111"/>
      <c r="G22" s="19">
        <f t="shared" si="0"/>
        <v>0</v>
      </c>
      <c r="H22" s="111"/>
      <c r="I22" s="111"/>
      <c r="J22" s="19">
        <f t="shared" si="1"/>
        <v>0</v>
      </c>
      <c r="K22" s="19">
        <f t="shared" si="2"/>
        <v>0</v>
      </c>
      <c r="L22" s="19">
        <f t="shared" si="3"/>
        <v>0</v>
      </c>
      <c r="M22" s="19">
        <f t="shared" si="4"/>
        <v>0</v>
      </c>
      <c r="N22" s="62"/>
    </row>
    <row r="23" spans="1:14">
      <c r="A23" s="28">
        <v>20</v>
      </c>
      <c r="B23" s="294">
        <v>45736</v>
      </c>
      <c r="C23" s="19"/>
      <c r="D23" s="19"/>
      <c r="E23" s="111"/>
      <c r="F23" s="111"/>
      <c r="G23" s="19">
        <f t="shared" si="0"/>
        <v>0</v>
      </c>
      <c r="H23" s="111"/>
      <c r="I23" s="111"/>
      <c r="J23" s="19">
        <f t="shared" si="1"/>
        <v>0</v>
      </c>
      <c r="K23" s="19">
        <f t="shared" si="2"/>
        <v>0</v>
      </c>
      <c r="L23" s="19">
        <f t="shared" si="3"/>
        <v>0</v>
      </c>
      <c r="M23" s="19">
        <f t="shared" si="4"/>
        <v>0</v>
      </c>
      <c r="N23" s="62"/>
    </row>
    <row r="24" spans="1:14">
      <c r="A24" s="28">
        <v>21</v>
      </c>
      <c r="B24" s="29">
        <v>45737</v>
      </c>
      <c r="C24" s="19"/>
      <c r="D24" s="19"/>
      <c r="E24" s="111"/>
      <c r="F24" s="111"/>
      <c r="G24" s="19">
        <f t="shared" si="0"/>
        <v>0</v>
      </c>
      <c r="H24" s="111"/>
      <c r="I24" s="111"/>
      <c r="J24" s="19">
        <f t="shared" si="1"/>
        <v>0</v>
      </c>
      <c r="K24" s="19">
        <f t="shared" si="2"/>
        <v>0</v>
      </c>
      <c r="L24" s="19">
        <f t="shared" si="3"/>
        <v>0</v>
      </c>
      <c r="M24" s="19">
        <f t="shared" si="4"/>
        <v>0</v>
      </c>
      <c r="N24" s="62"/>
    </row>
    <row r="25" spans="1:14">
      <c r="A25" s="28">
        <v>22</v>
      </c>
      <c r="B25" s="294">
        <v>45738</v>
      </c>
      <c r="C25" s="19"/>
      <c r="D25" s="19"/>
      <c r="E25" s="111"/>
      <c r="F25" s="111"/>
      <c r="G25" s="19">
        <f t="shared" si="0"/>
        <v>0</v>
      </c>
      <c r="H25" s="111"/>
      <c r="I25" s="111"/>
      <c r="J25" s="19">
        <f t="shared" si="1"/>
        <v>0</v>
      </c>
      <c r="K25" s="19">
        <f t="shared" si="2"/>
        <v>0</v>
      </c>
      <c r="L25" s="19">
        <f t="shared" si="3"/>
        <v>0</v>
      </c>
      <c r="M25" s="19">
        <f t="shared" si="4"/>
        <v>0</v>
      </c>
      <c r="N25" s="62"/>
    </row>
    <row r="26" spans="1:14">
      <c r="A26" s="28">
        <v>23</v>
      </c>
      <c r="B26" s="29">
        <v>45739</v>
      </c>
      <c r="C26" s="19"/>
      <c r="D26" s="19"/>
      <c r="E26" s="111"/>
      <c r="F26" s="111"/>
      <c r="G26" s="19">
        <f t="shared" si="0"/>
        <v>0</v>
      </c>
      <c r="H26" s="111"/>
      <c r="I26" s="111"/>
      <c r="J26" s="19">
        <f t="shared" si="1"/>
        <v>0</v>
      </c>
      <c r="K26" s="19">
        <f t="shared" si="2"/>
        <v>0</v>
      </c>
      <c r="L26" s="19">
        <f t="shared" si="3"/>
        <v>0</v>
      </c>
      <c r="M26" s="19">
        <f t="shared" si="4"/>
        <v>0</v>
      </c>
      <c r="N26" s="62"/>
    </row>
    <row r="27" spans="1:14">
      <c r="A27" s="28">
        <v>24</v>
      </c>
      <c r="B27" s="294">
        <v>45740</v>
      </c>
      <c r="C27" s="19"/>
      <c r="D27" s="19"/>
      <c r="E27" s="111"/>
      <c r="F27" s="111"/>
      <c r="G27" s="19">
        <f t="shared" si="0"/>
        <v>0</v>
      </c>
      <c r="H27" s="111"/>
      <c r="I27" s="111"/>
      <c r="J27" s="19">
        <f t="shared" si="1"/>
        <v>0</v>
      </c>
      <c r="K27" s="19">
        <f t="shared" si="2"/>
        <v>0</v>
      </c>
      <c r="L27" s="19">
        <f t="shared" si="3"/>
        <v>0</v>
      </c>
      <c r="M27" s="19">
        <f t="shared" si="4"/>
        <v>0</v>
      </c>
      <c r="N27" s="62"/>
    </row>
    <row r="28" spans="1:14">
      <c r="A28" s="28">
        <v>25</v>
      </c>
      <c r="B28" s="29">
        <v>45741</v>
      </c>
      <c r="C28" s="19"/>
      <c r="D28" s="19"/>
      <c r="E28" s="111"/>
      <c r="F28" s="111"/>
      <c r="G28" s="19">
        <f t="shared" si="0"/>
        <v>0</v>
      </c>
      <c r="H28" s="111"/>
      <c r="I28" s="111"/>
      <c r="J28" s="19">
        <f t="shared" si="1"/>
        <v>0</v>
      </c>
      <c r="K28" s="19">
        <f t="shared" si="2"/>
        <v>0</v>
      </c>
      <c r="L28" s="19">
        <f t="shared" si="3"/>
        <v>0</v>
      </c>
      <c r="M28" s="19">
        <v>0</v>
      </c>
      <c r="N28" s="62"/>
    </row>
    <row r="29" spans="1:14">
      <c r="A29" s="28">
        <v>26</v>
      </c>
      <c r="B29" s="294">
        <v>45742</v>
      </c>
      <c r="C29" s="19"/>
      <c r="D29" s="19"/>
      <c r="E29" s="111">
        <v>0</v>
      </c>
      <c r="F29" s="111">
        <v>0</v>
      </c>
      <c r="G29" s="19">
        <f t="shared" si="0"/>
        <v>0</v>
      </c>
      <c r="H29" s="111"/>
      <c r="I29" s="111"/>
      <c r="J29" s="19">
        <f t="shared" si="1"/>
        <v>0</v>
      </c>
      <c r="K29" s="19">
        <f t="shared" si="2"/>
        <v>0</v>
      </c>
      <c r="L29" s="19">
        <f t="shared" si="3"/>
        <v>0</v>
      </c>
      <c r="M29" s="19">
        <v>0</v>
      </c>
      <c r="N29" s="62"/>
    </row>
    <row r="30" spans="1:14">
      <c r="A30" s="28">
        <v>27</v>
      </c>
      <c r="B30" s="29">
        <v>45743</v>
      </c>
      <c r="C30" s="19"/>
      <c r="D30" s="19"/>
      <c r="E30" s="111">
        <v>330</v>
      </c>
      <c r="F30" s="111">
        <v>90.23</v>
      </c>
      <c r="G30" s="19">
        <f t="shared" si="0"/>
        <v>29775.9</v>
      </c>
      <c r="H30" s="111"/>
      <c r="I30" s="111"/>
      <c r="J30" s="19">
        <f t="shared" si="1"/>
        <v>0</v>
      </c>
      <c r="K30" s="19">
        <f t="shared" si="2"/>
        <v>29775.9</v>
      </c>
      <c r="L30" s="19">
        <f t="shared" si="3"/>
        <v>29775.9</v>
      </c>
      <c r="M30" s="19">
        <v>0</v>
      </c>
      <c r="N30" s="62"/>
    </row>
    <row r="31" spans="1:14">
      <c r="A31" s="28">
        <v>28</v>
      </c>
      <c r="B31" s="294">
        <v>45744</v>
      </c>
      <c r="C31" s="19"/>
      <c r="D31" s="19"/>
      <c r="E31" s="111"/>
      <c r="F31" s="111"/>
      <c r="G31" s="19">
        <f t="shared" si="0"/>
        <v>0</v>
      </c>
      <c r="H31" s="111"/>
      <c r="I31" s="111"/>
      <c r="J31" s="19">
        <f t="shared" si="1"/>
        <v>0</v>
      </c>
      <c r="K31" s="19">
        <f t="shared" si="2"/>
        <v>0</v>
      </c>
      <c r="L31" s="19">
        <f t="shared" si="3"/>
        <v>0</v>
      </c>
      <c r="M31" s="19"/>
      <c r="N31" s="62"/>
    </row>
    <row r="32" spans="1:14">
      <c r="A32" s="28">
        <v>29</v>
      </c>
      <c r="B32" s="29">
        <v>45745</v>
      </c>
      <c r="C32" s="19"/>
      <c r="D32" s="19"/>
      <c r="E32" s="111"/>
      <c r="F32" s="111"/>
      <c r="G32" s="19"/>
      <c r="H32" s="111"/>
      <c r="I32" s="111"/>
      <c r="J32" s="19"/>
      <c r="K32" s="19"/>
      <c r="L32" s="19"/>
      <c r="M32" s="19"/>
      <c r="N32" s="62"/>
    </row>
    <row r="33" spans="1:14">
      <c r="A33" s="28">
        <v>30</v>
      </c>
      <c r="B33" s="294">
        <v>45746</v>
      </c>
      <c r="C33" s="19"/>
      <c r="D33" s="19"/>
      <c r="E33" s="111"/>
      <c r="F33" s="111"/>
      <c r="G33" s="19"/>
      <c r="H33" s="111"/>
      <c r="I33" s="111"/>
      <c r="J33" s="19"/>
      <c r="K33" s="19"/>
      <c r="L33" s="19"/>
      <c r="M33" s="19"/>
      <c r="N33" s="62"/>
    </row>
    <row r="34" spans="1:14">
      <c r="A34" s="28">
        <v>31</v>
      </c>
      <c r="B34" s="29">
        <v>45747</v>
      </c>
      <c r="C34" s="19"/>
      <c r="D34" s="19"/>
      <c r="E34" s="111"/>
      <c r="F34" s="111"/>
      <c r="G34" s="19"/>
      <c r="H34" s="111"/>
      <c r="I34" s="111"/>
      <c r="J34" s="19"/>
      <c r="K34" s="19"/>
      <c r="L34" s="19"/>
      <c r="M34" s="19"/>
      <c r="N34" s="62"/>
    </row>
    <row r="35" spans="1:14">
      <c r="A35" s="60"/>
      <c r="B35" s="60"/>
      <c r="C35" s="60"/>
      <c r="D35" s="60"/>
      <c r="E35" s="60">
        <f>SUM(E4:E34)</f>
        <v>1280</v>
      </c>
      <c r="F35" s="60"/>
      <c r="G35" s="60">
        <f>SUM(G4:G34)</f>
        <v>115494.39999999999</v>
      </c>
      <c r="H35" s="60">
        <f>SUM(H4:H34)</f>
        <v>35</v>
      </c>
      <c r="I35" s="60"/>
      <c r="J35" s="60">
        <f>SUM(J4:J34)</f>
        <v>3644.9</v>
      </c>
      <c r="K35" s="60">
        <f>SUM(K4:K34)</f>
        <v>119139.29999999999</v>
      </c>
      <c r="L35" s="60">
        <f>SUM(L4:L34)</f>
        <v>119139.29999999999</v>
      </c>
      <c r="M35" s="60"/>
      <c r="N35" s="60"/>
    </row>
  </sheetData>
  <mergeCells count="2">
    <mergeCell ref="A1:N1"/>
    <mergeCell ref="A3:J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A176-B02F-4D5D-BFBA-88F02F90B0CD}">
  <dimension ref="A1:P39"/>
  <sheetViews>
    <sheetView workbookViewId="0">
      <pane ySplit="2" topLeftCell="A15" activePane="bottomLeft" state="frozen"/>
      <selection pane="bottomLeft" activeCell="M33" sqref="M33"/>
    </sheetView>
  </sheetViews>
  <sheetFormatPr defaultColWidth="12.28515625" defaultRowHeight="12.75"/>
  <cols>
    <col min="1" max="1" width="8.42578125" style="83" customWidth="1"/>
    <col min="2" max="3" width="12.28515625" style="83"/>
    <col min="4" max="4" width="13.5703125" style="83" customWidth="1"/>
    <col min="5" max="5" width="12.28515625" style="83"/>
    <col min="6" max="6" width="13.7109375" style="83" bestFit="1" customWidth="1"/>
    <col min="7" max="16384" width="12.28515625" style="83"/>
  </cols>
  <sheetData>
    <row r="1" spans="1:16" ht="15.75" customHeight="1">
      <c r="A1" s="372" t="s">
        <v>38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82"/>
    </row>
    <row r="2" spans="1:16" ht="15.75" customHeight="1">
      <c r="A2" s="112" t="s">
        <v>91</v>
      </c>
      <c r="B2" s="113" t="s">
        <v>92</v>
      </c>
      <c r="C2" s="113" t="s">
        <v>93</v>
      </c>
      <c r="D2" s="113" t="s">
        <v>94</v>
      </c>
      <c r="E2" s="113" t="s">
        <v>95</v>
      </c>
      <c r="F2" s="113" t="s">
        <v>96</v>
      </c>
      <c r="G2" s="113" t="s">
        <v>97</v>
      </c>
      <c r="H2" s="113" t="s">
        <v>98</v>
      </c>
      <c r="I2" s="113" t="s">
        <v>96</v>
      </c>
      <c r="J2" s="139" t="s">
        <v>97</v>
      </c>
      <c r="K2" s="141" t="s">
        <v>99</v>
      </c>
      <c r="L2" s="142" t="s">
        <v>100</v>
      </c>
      <c r="M2" s="143" t="s">
        <v>101</v>
      </c>
      <c r="N2" s="114" t="s">
        <v>102</v>
      </c>
      <c r="O2" s="36"/>
    </row>
    <row r="3" spans="1:16" ht="15.75" customHeight="1">
      <c r="A3" s="374" t="s">
        <v>103</v>
      </c>
      <c r="B3" s="375"/>
      <c r="C3" s="376"/>
      <c r="D3" s="376"/>
      <c r="E3" s="376"/>
      <c r="F3" s="376"/>
      <c r="G3" s="376"/>
      <c r="H3" s="376"/>
      <c r="I3" s="376"/>
      <c r="J3" s="377"/>
      <c r="K3" s="268">
        <v>1142944.1100000001</v>
      </c>
      <c r="L3" s="269"/>
      <c r="M3" s="270">
        <f>+K3</f>
        <v>1142944.1100000001</v>
      </c>
      <c r="N3" s="269"/>
      <c r="O3" s="36"/>
      <c r="P3" s="83">
        <v>1142944.1099999999</v>
      </c>
    </row>
    <row r="4" spans="1:16" ht="15">
      <c r="A4" s="28">
        <v>1</v>
      </c>
      <c r="B4" s="29">
        <v>45717</v>
      </c>
      <c r="C4" s="134"/>
      <c r="D4" s="134"/>
      <c r="E4" s="42"/>
      <c r="F4" s="42">
        <v>0</v>
      </c>
      <c r="G4" s="42">
        <f>E4*F4</f>
        <v>0</v>
      </c>
      <c r="H4" s="264"/>
      <c r="I4" s="264"/>
      <c r="J4" s="42">
        <f>H4*I4</f>
        <v>0</v>
      </c>
      <c r="K4" s="42">
        <f>G4+J4</f>
        <v>0</v>
      </c>
      <c r="L4" s="352">
        <v>2000</v>
      </c>
      <c r="M4" s="265">
        <f>M3+K4-L4</f>
        <v>1140944.1100000001</v>
      </c>
      <c r="N4" s="42"/>
      <c r="O4" s="30"/>
    </row>
    <row r="5" spans="1:16" ht="15">
      <c r="A5" s="28">
        <v>2</v>
      </c>
      <c r="B5" s="294">
        <v>45718</v>
      </c>
      <c r="C5" s="134"/>
      <c r="D5" s="134"/>
      <c r="E5" s="42"/>
      <c r="F5" s="42">
        <v>0</v>
      </c>
      <c r="G5" s="42">
        <f>E5*F5</f>
        <v>0</v>
      </c>
      <c r="H5" s="266"/>
      <c r="I5" s="264"/>
      <c r="J5" s="42">
        <f>H5*I5</f>
        <v>0</v>
      </c>
      <c r="K5" s="42">
        <f>G5+J5</f>
        <v>0</v>
      </c>
      <c r="L5" s="265"/>
      <c r="M5" s="265">
        <f>M4+K5-L5</f>
        <v>1140944.1100000001</v>
      </c>
      <c r="N5" s="42"/>
      <c r="O5" s="30"/>
    </row>
    <row r="6" spans="1:16" ht="15">
      <c r="A6" s="28">
        <v>3</v>
      </c>
      <c r="B6" s="29">
        <v>45719</v>
      </c>
      <c r="C6" s="134"/>
      <c r="D6" s="134"/>
      <c r="E6" s="42"/>
      <c r="F6" s="42">
        <v>0</v>
      </c>
      <c r="G6" s="42">
        <f t="shared" ref="G6:G33" si="0">E6*F6</f>
        <v>0</v>
      </c>
      <c r="H6" s="266"/>
      <c r="I6" s="264"/>
      <c r="J6" s="42">
        <f t="shared" ref="J6:J33" si="1">H6*I6</f>
        <v>0</v>
      </c>
      <c r="K6" s="42">
        <f t="shared" ref="K6:K33" si="2">G6+J6</f>
        <v>0</v>
      </c>
      <c r="L6" s="265"/>
      <c r="M6" s="265">
        <f>M5+K6-L6</f>
        <v>1140944.1100000001</v>
      </c>
      <c r="N6" s="42"/>
      <c r="O6" s="30"/>
    </row>
    <row r="7" spans="1:16" ht="15">
      <c r="A7" s="28">
        <v>4</v>
      </c>
      <c r="B7" s="294">
        <v>45720</v>
      </c>
      <c r="C7" s="134"/>
      <c r="D7" s="134"/>
      <c r="E7" s="42"/>
      <c r="F7" s="42">
        <v>0</v>
      </c>
      <c r="G7" s="42">
        <f t="shared" si="0"/>
        <v>0</v>
      </c>
      <c r="H7" s="266"/>
      <c r="I7" s="264"/>
      <c r="J7" s="42">
        <f t="shared" si="1"/>
        <v>0</v>
      </c>
      <c r="K7" s="42">
        <f t="shared" si="2"/>
        <v>0</v>
      </c>
      <c r="L7" s="265"/>
      <c r="M7" s="265">
        <f>M6+K7-L7</f>
        <v>1140944.1100000001</v>
      </c>
      <c r="N7" s="42"/>
      <c r="O7" s="30"/>
    </row>
    <row r="8" spans="1:16" ht="15">
      <c r="A8" s="28">
        <v>5</v>
      </c>
      <c r="B8" s="29">
        <v>45721</v>
      </c>
      <c r="C8" s="134"/>
      <c r="D8" s="134"/>
      <c r="E8" s="42"/>
      <c r="F8" s="42">
        <v>0</v>
      </c>
      <c r="G8" s="42">
        <f t="shared" si="0"/>
        <v>0</v>
      </c>
      <c r="H8" s="266"/>
      <c r="I8" s="264"/>
      <c r="J8" s="42">
        <f t="shared" si="1"/>
        <v>0</v>
      </c>
      <c r="K8" s="42">
        <f t="shared" si="2"/>
        <v>0</v>
      </c>
      <c r="L8" s="265"/>
      <c r="M8" s="265">
        <f>M7+K8-L8</f>
        <v>1140944.1100000001</v>
      </c>
      <c r="N8" s="42"/>
      <c r="O8" s="30"/>
    </row>
    <row r="9" spans="1:16" ht="15">
      <c r="A9" s="28">
        <v>6</v>
      </c>
      <c r="B9" s="294">
        <v>45722</v>
      </c>
      <c r="C9" s="134"/>
      <c r="D9" s="134"/>
      <c r="E9" s="42">
        <v>2200</v>
      </c>
      <c r="F9" s="42">
        <v>90.15</v>
      </c>
      <c r="G9" s="42">
        <f t="shared" si="0"/>
        <v>198330</v>
      </c>
      <c r="H9" s="266">
        <v>0</v>
      </c>
      <c r="I9" s="264">
        <v>104.27</v>
      </c>
      <c r="J9" s="42">
        <f t="shared" si="1"/>
        <v>0</v>
      </c>
      <c r="K9" s="42">
        <f t="shared" si="2"/>
        <v>198330</v>
      </c>
      <c r="L9" s="265"/>
      <c r="M9" s="265">
        <f t="shared" ref="M9:M33" si="3">M8+K9-L9</f>
        <v>1339274.1100000001</v>
      </c>
      <c r="N9" s="42"/>
      <c r="O9" s="30"/>
    </row>
    <row r="10" spans="1:16" ht="15">
      <c r="A10" s="28">
        <v>7</v>
      </c>
      <c r="B10" s="29">
        <v>45723</v>
      </c>
      <c r="C10" s="134"/>
      <c r="D10" s="134"/>
      <c r="E10" s="42">
        <v>0</v>
      </c>
      <c r="F10" s="42">
        <v>0</v>
      </c>
      <c r="G10" s="42">
        <f t="shared" si="0"/>
        <v>0</v>
      </c>
      <c r="H10" s="266">
        <v>0</v>
      </c>
      <c r="I10" s="264">
        <v>104.27</v>
      </c>
      <c r="J10" s="42">
        <f t="shared" si="1"/>
        <v>0</v>
      </c>
      <c r="K10" s="42">
        <f t="shared" si="2"/>
        <v>0</v>
      </c>
      <c r="L10" s="265"/>
      <c r="M10" s="265">
        <f t="shared" si="3"/>
        <v>1339274.1100000001</v>
      </c>
      <c r="N10" s="42"/>
      <c r="O10" s="30"/>
    </row>
    <row r="11" spans="1:16" ht="15">
      <c r="A11" s="28">
        <v>8</v>
      </c>
      <c r="B11" s="294">
        <v>45724</v>
      </c>
      <c r="C11" s="134"/>
      <c r="D11" s="134"/>
      <c r="E11" s="42"/>
      <c r="F11" s="42">
        <v>0</v>
      </c>
      <c r="G11" s="42">
        <f t="shared" si="0"/>
        <v>0</v>
      </c>
      <c r="H11" s="266"/>
      <c r="I11" s="264"/>
      <c r="J11" s="42">
        <f t="shared" si="1"/>
        <v>0</v>
      </c>
      <c r="K11" s="42">
        <f t="shared" si="2"/>
        <v>0</v>
      </c>
      <c r="L11" s="265"/>
      <c r="M11" s="265">
        <f t="shared" si="3"/>
        <v>1339274.1100000001</v>
      </c>
      <c r="N11" s="42"/>
      <c r="O11" s="30"/>
    </row>
    <row r="12" spans="1:16" ht="15">
      <c r="A12" s="28">
        <v>9</v>
      </c>
      <c r="B12" s="29">
        <v>45725</v>
      </c>
      <c r="C12" s="134"/>
      <c r="D12" s="134"/>
      <c r="E12" s="42">
        <v>2000</v>
      </c>
      <c r="F12" s="42">
        <v>90.15</v>
      </c>
      <c r="G12" s="42">
        <f t="shared" ref="G12" si="4">E12*F12</f>
        <v>180300</v>
      </c>
      <c r="H12" s="266">
        <v>70</v>
      </c>
      <c r="I12" s="264">
        <v>104.27</v>
      </c>
      <c r="J12" s="42">
        <f t="shared" si="1"/>
        <v>7298.9</v>
      </c>
      <c r="K12" s="42">
        <f t="shared" si="2"/>
        <v>187598.9</v>
      </c>
      <c r="L12" s="265"/>
      <c r="M12" s="265">
        <f t="shared" si="3"/>
        <v>1526873.01</v>
      </c>
      <c r="N12" s="42"/>
      <c r="O12" s="30"/>
    </row>
    <row r="13" spans="1:16" ht="15">
      <c r="A13" s="28">
        <v>10</v>
      </c>
      <c r="B13" s="294">
        <v>45726</v>
      </c>
      <c r="C13" s="134"/>
      <c r="D13" s="134"/>
      <c r="E13" s="42"/>
      <c r="F13" s="42">
        <v>0</v>
      </c>
      <c r="G13" s="42">
        <f t="shared" si="0"/>
        <v>0</v>
      </c>
      <c r="H13" s="266"/>
      <c r="I13" s="264"/>
      <c r="J13" s="42">
        <f t="shared" si="1"/>
        <v>0</v>
      </c>
      <c r="K13" s="42">
        <f t="shared" si="2"/>
        <v>0</v>
      </c>
      <c r="L13" s="265"/>
      <c r="M13" s="265">
        <f t="shared" si="3"/>
        <v>1526873.01</v>
      </c>
      <c r="N13" s="42"/>
      <c r="O13" s="30"/>
    </row>
    <row r="14" spans="1:16" ht="15">
      <c r="A14" s="28">
        <v>11</v>
      </c>
      <c r="B14" s="29">
        <v>45727</v>
      </c>
      <c r="C14" s="134"/>
      <c r="D14" s="134"/>
      <c r="E14" s="42"/>
      <c r="F14" s="42">
        <v>0</v>
      </c>
      <c r="G14" s="42">
        <f t="shared" si="0"/>
        <v>0</v>
      </c>
      <c r="H14" s="266"/>
      <c r="I14" s="264"/>
      <c r="J14" s="42">
        <f t="shared" si="1"/>
        <v>0</v>
      </c>
      <c r="K14" s="42">
        <f t="shared" si="2"/>
        <v>0</v>
      </c>
      <c r="L14" s="265"/>
      <c r="M14" s="265">
        <f t="shared" si="3"/>
        <v>1526873.01</v>
      </c>
      <c r="N14" s="42"/>
      <c r="O14" s="30"/>
    </row>
    <row r="15" spans="1:16" ht="15">
      <c r="A15" s="28">
        <v>12</v>
      </c>
      <c r="B15" s="294">
        <v>45728</v>
      </c>
      <c r="C15" s="134"/>
      <c r="D15" s="134"/>
      <c r="E15" s="42"/>
      <c r="F15" s="42">
        <v>0</v>
      </c>
      <c r="G15" s="42">
        <f t="shared" si="0"/>
        <v>0</v>
      </c>
      <c r="H15" s="266"/>
      <c r="I15" s="264"/>
      <c r="J15" s="42">
        <f t="shared" si="1"/>
        <v>0</v>
      </c>
      <c r="K15" s="42">
        <f t="shared" si="2"/>
        <v>0</v>
      </c>
      <c r="L15" s="265"/>
      <c r="M15" s="265">
        <f t="shared" si="3"/>
        <v>1526873.01</v>
      </c>
      <c r="N15" s="42"/>
      <c r="O15" s="30"/>
    </row>
    <row r="16" spans="1:16" ht="15">
      <c r="A16" s="28">
        <v>13</v>
      </c>
      <c r="B16" s="29">
        <v>45729</v>
      </c>
      <c r="C16" s="134"/>
      <c r="D16" s="134"/>
      <c r="E16" s="42"/>
      <c r="F16" s="42">
        <v>0</v>
      </c>
      <c r="G16" s="42">
        <f t="shared" si="0"/>
        <v>0</v>
      </c>
      <c r="H16" s="266"/>
      <c r="I16" s="264"/>
      <c r="J16" s="42">
        <f t="shared" si="1"/>
        <v>0</v>
      </c>
      <c r="K16" s="42">
        <f t="shared" si="2"/>
        <v>0</v>
      </c>
      <c r="L16" s="265"/>
      <c r="M16" s="265">
        <f t="shared" si="3"/>
        <v>1526873.01</v>
      </c>
      <c r="N16" s="42"/>
      <c r="O16" s="30"/>
    </row>
    <row r="17" spans="1:15" ht="15">
      <c r="A17" s="28">
        <v>14</v>
      </c>
      <c r="B17" s="294">
        <v>45730</v>
      </c>
      <c r="C17" s="134"/>
      <c r="D17" s="134"/>
      <c r="E17" s="42"/>
      <c r="F17" s="42">
        <v>0</v>
      </c>
      <c r="G17" s="42">
        <f t="shared" si="0"/>
        <v>0</v>
      </c>
      <c r="H17" s="266"/>
      <c r="I17" s="264"/>
      <c r="J17" s="42">
        <f t="shared" si="1"/>
        <v>0</v>
      </c>
      <c r="K17" s="42">
        <f t="shared" si="2"/>
        <v>0</v>
      </c>
      <c r="L17" s="265"/>
      <c r="M17" s="265">
        <f t="shared" si="3"/>
        <v>1526873.01</v>
      </c>
      <c r="N17" s="42"/>
      <c r="O17" s="30"/>
    </row>
    <row r="18" spans="1:15" ht="15">
      <c r="A18" s="28">
        <v>15</v>
      </c>
      <c r="B18" s="29">
        <v>45731</v>
      </c>
      <c r="C18" s="134"/>
      <c r="D18" s="134"/>
      <c r="E18" s="42"/>
      <c r="F18" s="42">
        <v>0</v>
      </c>
      <c r="G18" s="42">
        <f t="shared" si="0"/>
        <v>0</v>
      </c>
      <c r="H18" s="266"/>
      <c r="I18" s="264"/>
      <c r="J18" s="42">
        <f t="shared" si="1"/>
        <v>0</v>
      </c>
      <c r="K18" s="42">
        <f t="shared" si="2"/>
        <v>0</v>
      </c>
      <c r="L18" s="265"/>
      <c r="M18" s="265">
        <f t="shared" si="3"/>
        <v>1526873.01</v>
      </c>
      <c r="N18" s="42"/>
      <c r="O18" s="30"/>
    </row>
    <row r="19" spans="1:15" ht="15">
      <c r="A19" s="28">
        <v>16</v>
      </c>
      <c r="B19" s="294">
        <v>45732</v>
      </c>
      <c r="C19" s="134"/>
      <c r="D19" s="134"/>
      <c r="E19" s="42"/>
      <c r="F19" s="42">
        <v>0</v>
      </c>
      <c r="G19" s="42">
        <f t="shared" si="0"/>
        <v>0</v>
      </c>
      <c r="H19" s="266"/>
      <c r="I19" s="264"/>
      <c r="J19" s="42">
        <f t="shared" si="1"/>
        <v>0</v>
      </c>
      <c r="K19" s="42">
        <f t="shared" si="2"/>
        <v>0</v>
      </c>
      <c r="L19" s="265"/>
      <c r="M19" s="265">
        <f t="shared" si="3"/>
        <v>1526873.01</v>
      </c>
      <c r="N19" s="42"/>
      <c r="O19" s="30"/>
    </row>
    <row r="20" spans="1:15" ht="15">
      <c r="A20" s="28">
        <v>17</v>
      </c>
      <c r="B20" s="29">
        <v>45733</v>
      </c>
      <c r="C20" s="134"/>
      <c r="D20" s="134"/>
      <c r="E20" s="42"/>
      <c r="F20" s="42">
        <v>0</v>
      </c>
      <c r="G20" s="42">
        <f t="shared" si="0"/>
        <v>0</v>
      </c>
      <c r="H20" s="266"/>
      <c r="I20" s="264"/>
      <c r="J20" s="42">
        <f t="shared" si="1"/>
        <v>0</v>
      </c>
      <c r="K20" s="42">
        <f t="shared" si="2"/>
        <v>0</v>
      </c>
      <c r="L20" s="265"/>
      <c r="M20" s="265">
        <f t="shared" si="3"/>
        <v>1526873.01</v>
      </c>
      <c r="N20" s="42"/>
      <c r="O20" s="30"/>
    </row>
    <row r="21" spans="1:15" ht="15">
      <c r="A21" s="28">
        <v>18</v>
      </c>
      <c r="B21" s="294">
        <v>45734</v>
      </c>
      <c r="C21" s="134"/>
      <c r="D21" s="134"/>
      <c r="E21" s="42"/>
      <c r="F21" s="42">
        <v>0</v>
      </c>
      <c r="G21" s="42">
        <f t="shared" si="0"/>
        <v>0</v>
      </c>
      <c r="H21" s="266"/>
      <c r="I21" s="264"/>
      <c r="J21" s="42">
        <f t="shared" si="1"/>
        <v>0</v>
      </c>
      <c r="K21" s="42">
        <f t="shared" si="2"/>
        <v>0</v>
      </c>
      <c r="L21" s="265"/>
      <c r="M21" s="265">
        <f t="shared" si="3"/>
        <v>1526873.01</v>
      </c>
      <c r="N21" s="42"/>
      <c r="O21" s="30"/>
    </row>
    <row r="22" spans="1:15" ht="15">
      <c r="A22" s="28">
        <v>19</v>
      </c>
      <c r="B22" s="29">
        <v>45735</v>
      </c>
      <c r="C22" s="134"/>
      <c r="D22" s="134"/>
      <c r="E22" s="366">
        <v>2200</v>
      </c>
      <c r="F22" s="42">
        <v>90.15</v>
      </c>
      <c r="G22" s="42">
        <f t="shared" si="0"/>
        <v>198330</v>
      </c>
      <c r="H22" s="266"/>
      <c r="I22" s="264"/>
      <c r="J22" s="42">
        <f t="shared" si="1"/>
        <v>0</v>
      </c>
      <c r="K22" s="42">
        <f t="shared" si="2"/>
        <v>198330</v>
      </c>
      <c r="L22" s="265"/>
      <c r="M22" s="265">
        <f t="shared" si="3"/>
        <v>1725203.01</v>
      </c>
      <c r="N22" s="42"/>
      <c r="O22" s="30"/>
    </row>
    <row r="23" spans="1:15" ht="15">
      <c r="A23" s="28">
        <v>20</v>
      </c>
      <c r="B23" s="294">
        <v>45736</v>
      </c>
      <c r="C23" s="134"/>
      <c r="D23" s="134"/>
      <c r="E23" s="42">
        <v>1000</v>
      </c>
      <c r="F23" s="42">
        <v>90.15</v>
      </c>
      <c r="G23" s="42">
        <f t="shared" si="0"/>
        <v>90150</v>
      </c>
      <c r="H23" s="266">
        <v>70</v>
      </c>
      <c r="I23" s="264">
        <v>104.27</v>
      </c>
      <c r="J23" s="42">
        <f t="shared" si="1"/>
        <v>7298.9</v>
      </c>
      <c r="K23" s="42">
        <f t="shared" si="2"/>
        <v>97448.9</v>
      </c>
      <c r="L23" s="265"/>
      <c r="M23" s="265">
        <f t="shared" si="3"/>
        <v>1822651.91</v>
      </c>
      <c r="N23" s="42"/>
      <c r="O23" s="30"/>
    </row>
    <row r="24" spans="1:15" ht="15">
      <c r="A24" s="28">
        <v>21</v>
      </c>
      <c r="B24" s="29">
        <v>45737</v>
      </c>
      <c r="C24" s="134"/>
      <c r="D24" s="134"/>
      <c r="E24" s="42"/>
      <c r="F24" s="42">
        <v>0</v>
      </c>
      <c r="G24" s="42">
        <f t="shared" si="0"/>
        <v>0</v>
      </c>
      <c r="H24" s="266"/>
      <c r="I24" s="264"/>
      <c r="J24" s="42">
        <f t="shared" si="1"/>
        <v>0</v>
      </c>
      <c r="K24" s="42">
        <f t="shared" si="2"/>
        <v>0</v>
      </c>
      <c r="L24" s="265"/>
      <c r="M24" s="265">
        <f t="shared" si="3"/>
        <v>1822651.91</v>
      </c>
      <c r="N24" s="42"/>
      <c r="O24" s="30"/>
    </row>
    <row r="25" spans="1:15" ht="15">
      <c r="A25" s="28">
        <v>22</v>
      </c>
      <c r="B25" s="294">
        <v>45738</v>
      </c>
      <c r="C25" s="134"/>
      <c r="D25" s="134"/>
      <c r="E25" s="42"/>
      <c r="F25" s="42">
        <v>0</v>
      </c>
      <c r="G25" s="42">
        <f t="shared" si="0"/>
        <v>0</v>
      </c>
      <c r="H25" s="266"/>
      <c r="I25" s="264"/>
      <c r="J25" s="42">
        <f t="shared" si="1"/>
        <v>0</v>
      </c>
      <c r="K25" s="42">
        <f t="shared" si="2"/>
        <v>0</v>
      </c>
      <c r="L25" s="265"/>
      <c r="M25" s="265">
        <f t="shared" si="3"/>
        <v>1822651.91</v>
      </c>
      <c r="N25" s="42"/>
      <c r="O25" s="30"/>
    </row>
    <row r="26" spans="1:15" ht="15">
      <c r="A26" s="28">
        <v>23</v>
      </c>
      <c r="B26" s="29">
        <v>45739</v>
      </c>
      <c r="C26" s="134"/>
      <c r="D26" s="134"/>
      <c r="E26" s="42"/>
      <c r="F26" s="42">
        <v>0</v>
      </c>
      <c r="G26" s="42">
        <f t="shared" si="0"/>
        <v>0</v>
      </c>
      <c r="H26" s="266"/>
      <c r="I26" s="264"/>
      <c r="J26" s="42">
        <f t="shared" si="1"/>
        <v>0</v>
      </c>
      <c r="K26" s="42">
        <f t="shared" si="2"/>
        <v>0</v>
      </c>
      <c r="L26" s="265"/>
      <c r="M26" s="265">
        <f t="shared" si="3"/>
        <v>1822651.91</v>
      </c>
      <c r="N26" s="42"/>
      <c r="O26" s="30"/>
    </row>
    <row r="27" spans="1:15" ht="15">
      <c r="A27" s="28">
        <v>24</v>
      </c>
      <c r="B27" s="294">
        <v>45740</v>
      </c>
      <c r="C27" s="134"/>
      <c r="D27" s="134"/>
      <c r="E27" s="42"/>
      <c r="F27" s="42">
        <v>0</v>
      </c>
      <c r="G27" s="42">
        <f t="shared" si="0"/>
        <v>0</v>
      </c>
      <c r="H27" s="266"/>
      <c r="I27" s="264"/>
      <c r="J27" s="42">
        <f t="shared" si="1"/>
        <v>0</v>
      </c>
      <c r="K27" s="42">
        <f t="shared" si="2"/>
        <v>0</v>
      </c>
      <c r="L27" s="265"/>
      <c r="M27" s="265">
        <f t="shared" si="3"/>
        <v>1822651.91</v>
      </c>
      <c r="N27" s="42"/>
      <c r="O27" s="30"/>
    </row>
    <row r="28" spans="1:15" ht="15">
      <c r="A28" s="28">
        <v>25</v>
      </c>
      <c r="B28" s="29">
        <v>45741</v>
      </c>
      <c r="C28" s="134"/>
      <c r="D28" s="134"/>
      <c r="E28" s="42"/>
      <c r="F28" s="42">
        <v>0</v>
      </c>
      <c r="G28" s="42">
        <f t="shared" si="0"/>
        <v>0</v>
      </c>
      <c r="H28" s="266"/>
      <c r="I28" s="264"/>
      <c r="J28" s="42">
        <f t="shared" si="1"/>
        <v>0</v>
      </c>
      <c r="K28" s="42">
        <f t="shared" si="2"/>
        <v>0</v>
      </c>
      <c r="L28" s="265"/>
      <c r="M28" s="265">
        <f t="shared" si="3"/>
        <v>1822651.91</v>
      </c>
      <c r="N28" s="42"/>
      <c r="O28" s="30"/>
    </row>
    <row r="29" spans="1:15" ht="15">
      <c r="A29" s="28">
        <v>26</v>
      </c>
      <c r="B29" s="294">
        <v>45742</v>
      </c>
      <c r="C29" s="134"/>
      <c r="D29" s="134"/>
      <c r="E29" s="42">
        <v>2000</v>
      </c>
      <c r="F29" s="42">
        <v>90.15</v>
      </c>
      <c r="G29" s="42">
        <f t="shared" si="0"/>
        <v>180300</v>
      </c>
      <c r="H29" s="266">
        <v>35</v>
      </c>
      <c r="I29" s="264">
        <v>104.27</v>
      </c>
      <c r="J29" s="42">
        <f t="shared" si="1"/>
        <v>3649.45</v>
      </c>
      <c r="K29" s="42">
        <f t="shared" si="2"/>
        <v>183949.45</v>
      </c>
      <c r="L29" s="265"/>
      <c r="M29" s="265">
        <f t="shared" si="3"/>
        <v>2006601.3599999999</v>
      </c>
      <c r="N29" s="42"/>
      <c r="O29" s="30"/>
    </row>
    <row r="30" spans="1:15" ht="15">
      <c r="A30" s="28">
        <v>27</v>
      </c>
      <c r="B30" s="29">
        <v>45743</v>
      </c>
      <c r="C30" s="134"/>
      <c r="D30" s="134"/>
      <c r="E30" s="42"/>
      <c r="F30" s="42">
        <v>0</v>
      </c>
      <c r="G30" s="42">
        <f t="shared" si="0"/>
        <v>0</v>
      </c>
      <c r="H30" s="266"/>
      <c r="I30" s="264"/>
      <c r="J30" s="42">
        <f t="shared" si="1"/>
        <v>0</v>
      </c>
      <c r="K30" s="42">
        <f t="shared" si="2"/>
        <v>0</v>
      </c>
      <c r="L30" s="265"/>
      <c r="M30" s="265">
        <f t="shared" si="3"/>
        <v>2006601.3599999999</v>
      </c>
      <c r="N30" s="42"/>
      <c r="O30" s="30"/>
    </row>
    <row r="31" spans="1:15" ht="15">
      <c r="A31" s="28">
        <v>28</v>
      </c>
      <c r="B31" s="294">
        <v>45744</v>
      </c>
      <c r="C31" s="134"/>
      <c r="D31" s="134"/>
      <c r="E31" s="42"/>
      <c r="F31" s="42">
        <v>0</v>
      </c>
      <c r="G31" s="42">
        <f t="shared" si="0"/>
        <v>0</v>
      </c>
      <c r="H31" s="266"/>
      <c r="I31" s="264"/>
      <c r="J31" s="42">
        <f t="shared" si="1"/>
        <v>0</v>
      </c>
      <c r="K31" s="42">
        <f t="shared" si="2"/>
        <v>0</v>
      </c>
      <c r="L31" s="265"/>
      <c r="M31" s="265">
        <f t="shared" si="3"/>
        <v>2006601.3599999999</v>
      </c>
      <c r="N31" s="42"/>
      <c r="O31" s="30"/>
    </row>
    <row r="32" spans="1:15" ht="15">
      <c r="A32" s="28">
        <v>29</v>
      </c>
      <c r="B32" s="29">
        <v>45745</v>
      </c>
      <c r="C32" s="134"/>
      <c r="D32" s="134"/>
      <c r="E32" s="42"/>
      <c r="F32" s="42">
        <v>0</v>
      </c>
      <c r="G32" s="42">
        <f t="shared" si="0"/>
        <v>0</v>
      </c>
      <c r="H32" s="266"/>
      <c r="I32" s="264"/>
      <c r="J32" s="42">
        <f t="shared" si="1"/>
        <v>0</v>
      </c>
      <c r="K32" s="42">
        <f t="shared" si="2"/>
        <v>0</v>
      </c>
      <c r="L32" s="265">
        <v>1808271.3599999999</v>
      </c>
      <c r="M32" s="265">
        <f t="shared" si="3"/>
        <v>198330</v>
      </c>
      <c r="N32" s="300"/>
      <c r="O32" s="30"/>
    </row>
    <row r="33" spans="1:15" ht="15">
      <c r="A33" s="28">
        <v>30</v>
      </c>
      <c r="B33" s="294">
        <v>45746</v>
      </c>
      <c r="C33" s="298"/>
      <c r="D33" s="299"/>
      <c r="E33" s="300">
        <v>1945</v>
      </c>
      <c r="F33" s="300">
        <v>90.15</v>
      </c>
      <c r="G33" s="42">
        <f t="shared" si="0"/>
        <v>175341.75</v>
      </c>
      <c r="H33" s="300">
        <v>35</v>
      </c>
      <c r="I33" s="300">
        <v>104.27</v>
      </c>
      <c r="J33" s="42">
        <f t="shared" si="1"/>
        <v>3649.45</v>
      </c>
      <c r="K33" s="42">
        <f t="shared" si="2"/>
        <v>178991.2</v>
      </c>
      <c r="L33" s="300"/>
      <c r="M33" s="265">
        <f t="shared" si="3"/>
        <v>377321.2</v>
      </c>
      <c r="N33" s="300"/>
      <c r="O33" s="30"/>
    </row>
    <row r="34" spans="1:15" ht="15">
      <c r="A34" s="28">
        <v>31</v>
      </c>
      <c r="B34" s="29">
        <v>45747</v>
      </c>
      <c r="C34" s="298"/>
      <c r="D34" s="299"/>
      <c r="E34" s="300"/>
      <c r="F34" s="300"/>
      <c r="G34" s="300"/>
      <c r="H34" s="300"/>
      <c r="I34" s="300"/>
      <c r="J34" s="300"/>
      <c r="K34" s="300"/>
      <c r="L34" s="300"/>
      <c r="M34" s="300"/>
      <c r="N34" s="300"/>
      <c r="O34" s="30"/>
    </row>
    <row r="35" spans="1:15">
      <c r="A35" s="60"/>
      <c r="B35" s="60"/>
      <c r="C35" s="271"/>
      <c r="D35" s="271"/>
      <c r="E35" s="272">
        <f>SUM(E4:E34)</f>
        <v>11345</v>
      </c>
      <c r="F35" s="272"/>
      <c r="G35" s="272">
        <f>SUM(G4:G34)</f>
        <v>1022751.75</v>
      </c>
      <c r="H35" s="272">
        <f>SUM(H4:H34)</f>
        <v>210</v>
      </c>
      <c r="I35" s="272"/>
      <c r="J35" s="272">
        <f>SUM(J4:J34)</f>
        <v>21896.7</v>
      </c>
      <c r="K35" s="272">
        <f>SUM(K4:K34)</f>
        <v>1044648.45</v>
      </c>
      <c r="L35" s="272">
        <f>SUM(L4:L34)</f>
        <v>1810271.3599999999</v>
      </c>
      <c r="M35" s="272"/>
      <c r="N35" s="272"/>
      <c r="O35" s="36"/>
    </row>
    <row r="36" spans="1:15">
      <c r="A36" s="33"/>
      <c r="B36" s="33"/>
      <c r="C36" s="33"/>
      <c r="D36" s="33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0"/>
    </row>
    <row r="37" spans="1:15">
      <c r="A37" s="30"/>
      <c r="B37" s="30"/>
      <c r="C37" s="30"/>
      <c r="D37" s="30"/>
      <c r="E37" s="30"/>
      <c r="F37" s="30"/>
      <c r="G37" s="34"/>
      <c r="H37" s="30"/>
      <c r="I37" s="30"/>
      <c r="J37" s="30"/>
      <c r="K37" s="30"/>
      <c r="L37" s="30"/>
      <c r="M37" s="30"/>
      <c r="N37" s="30"/>
      <c r="O37" s="35"/>
    </row>
    <row r="38" spans="1:15">
      <c r="A38" s="30"/>
      <c r="B38" s="373"/>
      <c r="C38" s="373"/>
      <c r="D38" s="373"/>
      <c r="E38" s="373"/>
      <c r="F38" s="30"/>
      <c r="G38" s="30"/>
      <c r="H38" s="30"/>
      <c r="I38" s="373"/>
      <c r="J38" s="373"/>
      <c r="K38" s="373"/>
      <c r="L38" s="373"/>
      <c r="M38" s="373"/>
      <c r="N38" s="373"/>
      <c r="O38" s="35"/>
    </row>
    <row r="39" spans="1:1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5"/>
    </row>
  </sheetData>
  <mergeCells count="4">
    <mergeCell ref="A1:N1"/>
    <mergeCell ref="B38:E38"/>
    <mergeCell ref="I38:N38"/>
    <mergeCell ref="A3:J3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D2F7-6414-430C-BFEC-3C7DCD1314CE}">
  <dimension ref="A1:V44"/>
  <sheetViews>
    <sheetView workbookViewId="0">
      <pane ySplit="2" topLeftCell="A3" activePane="bottomLeft" state="frozen"/>
      <selection pane="bottomLeft" activeCell="N48" sqref="N48"/>
    </sheetView>
  </sheetViews>
  <sheetFormatPr defaultRowHeight="15"/>
  <cols>
    <col min="1" max="1" width="5.28515625" bestFit="1" customWidth="1"/>
    <col min="2" max="2" width="11.5703125" bestFit="1" customWidth="1"/>
    <col min="3" max="3" width="8.140625" bestFit="1" customWidth="1"/>
    <col min="4" max="4" width="16" bestFit="1" customWidth="1"/>
    <col min="5" max="5" width="10.85546875" bestFit="1" customWidth="1"/>
    <col min="6" max="6" width="14.42578125" customWidth="1"/>
    <col min="7" max="7" width="11.85546875" bestFit="1" customWidth="1"/>
    <col min="8" max="8" width="10.85546875" bestFit="1" customWidth="1"/>
    <col min="9" max="9" width="7.140625" bestFit="1" customWidth="1"/>
    <col min="10" max="10" width="9.7109375" bestFit="1" customWidth="1"/>
    <col min="11" max="11" width="13.85546875" bestFit="1" customWidth="1"/>
    <col min="12" max="12" width="12.7109375" bestFit="1" customWidth="1"/>
    <col min="13" max="13" width="12.7109375" customWidth="1"/>
    <col min="14" max="14" width="17.7109375" bestFit="1" customWidth="1"/>
    <col min="16" max="16" width="12" bestFit="1" customWidth="1"/>
    <col min="19" max="19" width="12" bestFit="1" customWidth="1"/>
  </cols>
  <sheetData>
    <row r="1" spans="1:15">
      <c r="A1" s="391" t="s">
        <v>36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106"/>
    </row>
    <row r="2" spans="1:15">
      <c r="A2" s="151" t="s">
        <v>91</v>
      </c>
      <c r="B2" s="152" t="s">
        <v>92</v>
      </c>
      <c r="C2" s="152" t="s">
        <v>93</v>
      </c>
      <c r="D2" s="152" t="s">
        <v>94</v>
      </c>
      <c r="E2" s="152" t="s">
        <v>95</v>
      </c>
      <c r="F2" s="152" t="s">
        <v>96</v>
      </c>
      <c r="G2" s="152" t="s">
        <v>97</v>
      </c>
      <c r="H2" s="152" t="s">
        <v>98</v>
      </c>
      <c r="I2" s="152" t="s">
        <v>96</v>
      </c>
      <c r="J2" s="153" t="s">
        <v>97</v>
      </c>
      <c r="K2" s="151" t="s">
        <v>99</v>
      </c>
      <c r="L2" s="154" t="s">
        <v>100</v>
      </c>
      <c r="M2" s="154" t="s">
        <v>101</v>
      </c>
      <c r="N2" s="152" t="s">
        <v>102</v>
      </c>
      <c r="O2" s="81"/>
    </row>
    <row r="3" spans="1:15">
      <c r="A3" s="374" t="s">
        <v>103</v>
      </c>
      <c r="B3" s="375"/>
      <c r="C3" s="375"/>
      <c r="D3" s="375"/>
      <c r="E3" s="375"/>
      <c r="F3" s="375"/>
      <c r="G3" s="375"/>
      <c r="H3" s="375"/>
      <c r="I3" s="375"/>
      <c r="J3" s="389"/>
      <c r="K3" s="121">
        <v>110810.51139999999</v>
      </c>
      <c r="L3" s="51"/>
      <c r="M3" s="51">
        <f>+K3</f>
        <v>110810.51139999999</v>
      </c>
      <c r="N3" s="19"/>
      <c r="O3" s="81"/>
    </row>
    <row r="4" spans="1:15">
      <c r="A4" s="28">
        <v>1</v>
      </c>
      <c r="B4" s="29">
        <v>45717</v>
      </c>
      <c r="C4" s="155"/>
      <c r="D4" s="156"/>
      <c r="E4" s="118">
        <v>600</v>
      </c>
      <c r="F4" s="118">
        <v>90.23</v>
      </c>
      <c r="G4" s="21">
        <f>E4*F4</f>
        <v>54138</v>
      </c>
      <c r="H4" s="118">
        <v>0</v>
      </c>
      <c r="I4" s="118"/>
      <c r="J4" s="21">
        <f>H4*I4</f>
        <v>0</v>
      </c>
      <c r="K4" s="21">
        <f>G4+J4</f>
        <v>54138</v>
      </c>
      <c r="L4" s="157">
        <v>0</v>
      </c>
      <c r="M4" s="157">
        <f>M3+K4-L4</f>
        <v>164948.51139999999</v>
      </c>
      <c r="N4" s="62"/>
    </row>
    <row r="5" spans="1:15">
      <c r="A5" s="28">
        <v>2</v>
      </c>
      <c r="B5" s="294">
        <v>45718</v>
      </c>
      <c r="C5" s="89"/>
      <c r="D5" s="89"/>
      <c r="E5" s="118">
        <v>0</v>
      </c>
      <c r="F5" s="118">
        <v>0</v>
      </c>
      <c r="G5" s="21">
        <f t="shared" ref="G5" si="0">E5*F5</f>
        <v>0</v>
      </c>
      <c r="H5" s="118">
        <v>0</v>
      </c>
      <c r="I5" s="118"/>
      <c r="J5" s="8">
        <f>H5*I5</f>
        <v>0</v>
      </c>
      <c r="K5" s="8">
        <f>G5+J5</f>
        <v>0</v>
      </c>
      <c r="L5" s="157">
        <v>0</v>
      </c>
      <c r="M5" s="157">
        <f>M4+K5-L5</f>
        <v>164948.51139999999</v>
      </c>
      <c r="N5" s="62"/>
    </row>
    <row r="6" spans="1:15">
      <c r="A6" s="28">
        <v>3</v>
      </c>
      <c r="B6" s="29">
        <v>45719</v>
      </c>
      <c r="C6" s="89"/>
      <c r="D6" s="89"/>
      <c r="E6" s="118">
        <v>0</v>
      </c>
      <c r="F6" s="118">
        <v>0</v>
      </c>
      <c r="G6" s="21">
        <f t="shared" ref="G6:G33" si="1">E6*F6</f>
        <v>0</v>
      </c>
      <c r="H6" s="118">
        <v>0</v>
      </c>
      <c r="I6" s="118"/>
      <c r="J6" s="8">
        <f t="shared" ref="J6:J33" si="2">H6*I6</f>
        <v>0</v>
      </c>
      <c r="K6" s="8">
        <f t="shared" ref="K6:K33" si="3">G6+J6</f>
        <v>0</v>
      </c>
      <c r="L6" s="157">
        <v>0</v>
      </c>
      <c r="M6" s="157">
        <f>M5+K6-L6</f>
        <v>164948.51139999999</v>
      </c>
      <c r="N6" s="62"/>
    </row>
    <row r="7" spans="1:15">
      <c r="A7" s="28">
        <v>4</v>
      </c>
      <c r="B7" s="294">
        <v>45720</v>
      </c>
      <c r="C7" s="89"/>
      <c r="D7" s="89"/>
      <c r="E7" s="118">
        <v>0</v>
      </c>
      <c r="F7" s="118">
        <v>0</v>
      </c>
      <c r="G7" s="21">
        <f t="shared" si="1"/>
        <v>0</v>
      </c>
      <c r="H7" s="118">
        <v>35</v>
      </c>
      <c r="I7" s="118">
        <v>104.14</v>
      </c>
      <c r="J7" s="8">
        <f t="shared" si="2"/>
        <v>3644.9</v>
      </c>
      <c r="K7" s="8">
        <f t="shared" si="3"/>
        <v>3644.9</v>
      </c>
      <c r="L7" s="157">
        <v>0</v>
      </c>
      <c r="M7" s="157">
        <f>M6+K7-L7</f>
        <v>168593.41139999998</v>
      </c>
      <c r="N7" s="62"/>
    </row>
    <row r="8" spans="1:15">
      <c r="A8" s="28">
        <v>5</v>
      </c>
      <c r="B8" s="29">
        <v>45721</v>
      </c>
      <c r="C8" s="89"/>
      <c r="D8" s="89"/>
      <c r="E8" s="118">
        <v>0</v>
      </c>
      <c r="F8" s="118">
        <v>0</v>
      </c>
      <c r="G8" s="21">
        <f t="shared" si="1"/>
        <v>0</v>
      </c>
      <c r="H8" s="118">
        <v>0</v>
      </c>
      <c r="I8" s="118"/>
      <c r="J8" s="8">
        <f t="shared" si="2"/>
        <v>0</v>
      </c>
      <c r="K8" s="8">
        <f t="shared" si="3"/>
        <v>0</v>
      </c>
      <c r="L8" s="157">
        <v>0</v>
      </c>
      <c r="M8" s="157">
        <f t="shared" ref="M8:M34" si="4">M7+K8-L8</f>
        <v>168593.41139999998</v>
      </c>
      <c r="N8" s="62"/>
      <c r="O8" s="92"/>
    </row>
    <row r="9" spans="1:15">
      <c r="A9" s="28">
        <v>6</v>
      </c>
      <c r="B9" s="294">
        <v>45722</v>
      </c>
      <c r="C9" s="89"/>
      <c r="D9" s="89"/>
      <c r="E9" s="118">
        <v>200</v>
      </c>
      <c r="F9" s="118">
        <v>90.23</v>
      </c>
      <c r="G9" s="21">
        <f t="shared" si="1"/>
        <v>18046</v>
      </c>
      <c r="H9" s="118">
        <v>0</v>
      </c>
      <c r="I9" s="118"/>
      <c r="J9" s="8">
        <f t="shared" si="2"/>
        <v>0</v>
      </c>
      <c r="K9" s="8">
        <f t="shared" si="3"/>
        <v>18046</v>
      </c>
      <c r="L9" s="157">
        <v>0</v>
      </c>
      <c r="M9" s="157">
        <f t="shared" si="4"/>
        <v>186639.41139999998</v>
      </c>
      <c r="N9" s="62"/>
      <c r="O9" s="92"/>
    </row>
    <row r="10" spans="1:15">
      <c r="A10" s="28">
        <v>7</v>
      </c>
      <c r="B10" s="29">
        <v>45723</v>
      </c>
      <c r="C10" s="89"/>
      <c r="D10" s="89"/>
      <c r="E10" s="118">
        <v>0</v>
      </c>
      <c r="F10" s="118">
        <v>0</v>
      </c>
      <c r="G10" s="21">
        <f t="shared" si="1"/>
        <v>0</v>
      </c>
      <c r="H10" s="118">
        <v>0</v>
      </c>
      <c r="I10" s="118"/>
      <c r="J10" s="8">
        <f t="shared" si="2"/>
        <v>0</v>
      </c>
      <c r="K10" s="8">
        <f t="shared" si="3"/>
        <v>0</v>
      </c>
      <c r="L10" s="157">
        <v>0</v>
      </c>
      <c r="M10" s="157">
        <f t="shared" si="4"/>
        <v>186639.41139999998</v>
      </c>
      <c r="N10" s="62"/>
      <c r="O10" s="92"/>
    </row>
    <row r="11" spans="1:15">
      <c r="A11" s="28">
        <v>8</v>
      </c>
      <c r="B11" s="294">
        <v>45724</v>
      </c>
      <c r="C11" s="89"/>
      <c r="D11" s="89"/>
      <c r="E11" s="118">
        <v>0</v>
      </c>
      <c r="F11" s="118">
        <v>0</v>
      </c>
      <c r="G11" s="21">
        <f t="shared" si="1"/>
        <v>0</v>
      </c>
      <c r="H11" s="118">
        <v>0</v>
      </c>
      <c r="I11" s="118"/>
      <c r="J11" s="8">
        <f t="shared" si="2"/>
        <v>0</v>
      </c>
      <c r="K11" s="8">
        <f t="shared" si="3"/>
        <v>0</v>
      </c>
      <c r="L11" s="157">
        <f t="shared" ref="L6:L32" si="5">+K11</f>
        <v>0</v>
      </c>
      <c r="M11" s="157">
        <f t="shared" si="4"/>
        <v>186639.41139999998</v>
      </c>
      <c r="N11" s="62"/>
      <c r="O11" s="92"/>
    </row>
    <row r="12" spans="1:15">
      <c r="A12" s="28">
        <v>9</v>
      </c>
      <c r="B12" s="29">
        <v>45725</v>
      </c>
      <c r="C12" s="89"/>
      <c r="D12" s="89"/>
      <c r="E12" s="118">
        <v>0</v>
      </c>
      <c r="F12" s="118">
        <v>0</v>
      </c>
      <c r="G12" s="21">
        <f t="shared" si="1"/>
        <v>0</v>
      </c>
      <c r="H12" s="118">
        <v>0</v>
      </c>
      <c r="I12" s="118"/>
      <c r="J12" s="8">
        <f t="shared" si="2"/>
        <v>0</v>
      </c>
      <c r="K12" s="8">
        <f t="shared" si="3"/>
        <v>0</v>
      </c>
      <c r="L12" s="157">
        <f t="shared" si="5"/>
        <v>0</v>
      </c>
      <c r="M12" s="157">
        <f t="shared" si="4"/>
        <v>186639.41139999998</v>
      </c>
      <c r="N12" s="62"/>
      <c r="O12" s="92"/>
    </row>
    <row r="13" spans="1:15">
      <c r="A13" s="28">
        <v>10</v>
      </c>
      <c r="B13" s="294">
        <v>45726</v>
      </c>
      <c r="C13" s="89"/>
      <c r="D13" s="89"/>
      <c r="E13" s="118">
        <v>0</v>
      </c>
      <c r="F13" s="118">
        <v>0</v>
      </c>
      <c r="G13" s="21">
        <f t="shared" si="1"/>
        <v>0</v>
      </c>
      <c r="H13" s="118">
        <v>0</v>
      </c>
      <c r="I13" s="118"/>
      <c r="J13" s="8">
        <f t="shared" si="2"/>
        <v>0</v>
      </c>
      <c r="K13" s="8">
        <f t="shared" si="3"/>
        <v>0</v>
      </c>
      <c r="L13" s="157">
        <f t="shared" si="5"/>
        <v>0</v>
      </c>
      <c r="M13" s="157">
        <f t="shared" si="4"/>
        <v>186639.41139999998</v>
      </c>
      <c r="N13" s="62"/>
      <c r="O13" s="92"/>
    </row>
    <row r="14" spans="1:15">
      <c r="A14" s="28">
        <v>11</v>
      </c>
      <c r="B14" s="29">
        <v>45727</v>
      </c>
      <c r="C14" s="89"/>
      <c r="D14" s="89"/>
      <c r="E14" s="118">
        <v>200</v>
      </c>
      <c r="F14" s="118">
        <v>90.23</v>
      </c>
      <c r="G14" s="21">
        <f t="shared" si="1"/>
        <v>18046</v>
      </c>
      <c r="H14" s="118">
        <v>35</v>
      </c>
      <c r="I14" s="118">
        <v>104.14</v>
      </c>
      <c r="J14" s="8">
        <f t="shared" si="2"/>
        <v>3644.9</v>
      </c>
      <c r="K14" s="8">
        <f t="shared" si="3"/>
        <v>21690.9</v>
      </c>
      <c r="L14" s="157">
        <v>120000</v>
      </c>
      <c r="M14" s="157">
        <f t="shared" si="4"/>
        <v>88330.311399999977</v>
      </c>
      <c r="N14" s="62"/>
      <c r="O14" s="92"/>
    </row>
    <row r="15" spans="1:15">
      <c r="A15" s="28">
        <v>12</v>
      </c>
      <c r="B15" s="294">
        <v>45728</v>
      </c>
      <c r="C15" s="89"/>
      <c r="D15" s="89"/>
      <c r="E15" s="118">
        <v>0</v>
      </c>
      <c r="F15" s="118">
        <v>0</v>
      </c>
      <c r="G15" s="21">
        <f t="shared" si="1"/>
        <v>0</v>
      </c>
      <c r="H15" s="118">
        <v>0</v>
      </c>
      <c r="I15" s="118"/>
      <c r="J15" s="8">
        <f t="shared" si="2"/>
        <v>0</v>
      </c>
      <c r="K15" s="8">
        <f t="shared" si="3"/>
        <v>0</v>
      </c>
      <c r="L15" s="157">
        <f t="shared" si="5"/>
        <v>0</v>
      </c>
      <c r="M15" s="157">
        <f t="shared" si="4"/>
        <v>88330.311399999977</v>
      </c>
      <c r="N15" s="62"/>
      <c r="O15" s="92"/>
    </row>
    <row r="16" spans="1:15">
      <c r="A16" s="28">
        <v>13</v>
      </c>
      <c r="B16" s="29">
        <v>45729</v>
      </c>
      <c r="C16" s="89"/>
      <c r="D16" s="89"/>
      <c r="E16" s="118">
        <v>0</v>
      </c>
      <c r="F16" s="118">
        <v>0</v>
      </c>
      <c r="G16" s="21">
        <f t="shared" si="1"/>
        <v>0</v>
      </c>
      <c r="H16" s="118">
        <v>0</v>
      </c>
      <c r="I16" s="118"/>
      <c r="J16" s="8">
        <f t="shared" si="2"/>
        <v>0</v>
      </c>
      <c r="K16" s="8">
        <f t="shared" si="3"/>
        <v>0</v>
      </c>
      <c r="L16" s="157">
        <f t="shared" si="5"/>
        <v>0</v>
      </c>
      <c r="M16" s="157">
        <f t="shared" si="4"/>
        <v>88330.311399999977</v>
      </c>
      <c r="N16" s="62"/>
      <c r="O16" s="92"/>
    </row>
    <row r="17" spans="1:22">
      <c r="A17" s="28">
        <v>14</v>
      </c>
      <c r="B17" s="294">
        <v>45730</v>
      </c>
      <c r="C17" s="89"/>
      <c r="D17" s="89"/>
      <c r="E17" s="118">
        <v>421.65</v>
      </c>
      <c r="F17" s="118">
        <v>90.23</v>
      </c>
      <c r="G17" s="21">
        <f t="shared" si="1"/>
        <v>38045.479500000001</v>
      </c>
      <c r="H17" s="118">
        <v>0</v>
      </c>
      <c r="I17" s="118"/>
      <c r="J17" s="8">
        <f t="shared" si="2"/>
        <v>0</v>
      </c>
      <c r="K17" s="8">
        <f t="shared" si="3"/>
        <v>38045.479500000001</v>
      </c>
      <c r="L17" s="157">
        <v>19999.48</v>
      </c>
      <c r="M17" s="157">
        <f t="shared" si="4"/>
        <v>106376.31089999998</v>
      </c>
      <c r="N17" s="62"/>
      <c r="O17" s="92"/>
    </row>
    <row r="18" spans="1:22">
      <c r="A18" s="28">
        <v>15</v>
      </c>
      <c r="B18" s="29">
        <v>45731</v>
      </c>
      <c r="C18" s="89"/>
      <c r="D18" s="89"/>
      <c r="E18" s="118">
        <v>0</v>
      </c>
      <c r="F18" s="118">
        <v>0</v>
      </c>
      <c r="G18" s="21">
        <f t="shared" si="1"/>
        <v>0</v>
      </c>
      <c r="H18" s="118">
        <v>0</v>
      </c>
      <c r="I18" s="118"/>
      <c r="J18" s="8">
        <f t="shared" si="2"/>
        <v>0</v>
      </c>
      <c r="K18" s="8">
        <f t="shared" si="3"/>
        <v>0</v>
      </c>
      <c r="L18" s="157">
        <f t="shared" si="5"/>
        <v>0</v>
      </c>
      <c r="M18" s="157">
        <f t="shared" si="4"/>
        <v>106376.31089999998</v>
      </c>
      <c r="N18" s="62"/>
      <c r="O18" s="92"/>
    </row>
    <row r="19" spans="1:22">
      <c r="A19" s="28">
        <v>16</v>
      </c>
      <c r="B19" s="294">
        <v>45732</v>
      </c>
      <c r="C19" s="89"/>
      <c r="D19" s="89"/>
      <c r="E19" s="118">
        <v>0</v>
      </c>
      <c r="F19" s="118">
        <v>0</v>
      </c>
      <c r="G19" s="21">
        <f t="shared" si="1"/>
        <v>0</v>
      </c>
      <c r="H19" s="118">
        <v>0</v>
      </c>
      <c r="I19" s="118"/>
      <c r="J19" s="8">
        <f t="shared" si="2"/>
        <v>0</v>
      </c>
      <c r="K19" s="8">
        <f t="shared" si="3"/>
        <v>0</v>
      </c>
      <c r="L19" s="157">
        <f t="shared" si="5"/>
        <v>0</v>
      </c>
      <c r="M19" s="157">
        <f t="shared" si="4"/>
        <v>106376.31089999998</v>
      </c>
      <c r="N19" s="62"/>
      <c r="O19" s="92"/>
    </row>
    <row r="20" spans="1:22">
      <c r="A20" s="28">
        <v>17</v>
      </c>
      <c r="B20" s="29">
        <v>45733</v>
      </c>
      <c r="C20" s="89"/>
      <c r="D20" s="89"/>
      <c r="E20" s="118">
        <v>443.31</v>
      </c>
      <c r="F20" s="118">
        <v>90.23</v>
      </c>
      <c r="G20" s="21">
        <f t="shared" si="1"/>
        <v>39999.861300000004</v>
      </c>
      <c r="H20" s="118">
        <v>35</v>
      </c>
      <c r="I20" s="118">
        <v>104.14</v>
      </c>
      <c r="J20" s="8">
        <f t="shared" si="2"/>
        <v>3644.9</v>
      </c>
      <c r="K20" s="8">
        <f t="shared" si="3"/>
        <v>43644.761300000006</v>
      </c>
      <c r="L20" s="157">
        <v>39999.861300000004</v>
      </c>
      <c r="M20" s="157">
        <f t="shared" si="4"/>
        <v>110021.21089999999</v>
      </c>
      <c r="N20" s="62"/>
      <c r="O20" s="92"/>
      <c r="V20">
        <f>400*90.23</f>
        <v>36092</v>
      </c>
    </row>
    <row r="21" spans="1:22">
      <c r="A21" s="28">
        <v>18</v>
      </c>
      <c r="B21" s="294">
        <v>45734</v>
      </c>
      <c r="C21" s="89"/>
      <c r="D21" s="89"/>
      <c r="E21" s="118">
        <v>0</v>
      </c>
      <c r="F21" s="118">
        <v>0</v>
      </c>
      <c r="G21" s="21">
        <f t="shared" si="1"/>
        <v>0</v>
      </c>
      <c r="H21" s="118">
        <v>0</v>
      </c>
      <c r="I21" s="118"/>
      <c r="J21" s="8">
        <f t="shared" si="2"/>
        <v>0</v>
      </c>
      <c r="K21" s="8">
        <f t="shared" si="3"/>
        <v>0</v>
      </c>
      <c r="L21" s="157">
        <f t="shared" si="5"/>
        <v>0</v>
      </c>
      <c r="M21" s="157">
        <f t="shared" si="4"/>
        <v>110021.21089999999</v>
      </c>
      <c r="N21" s="62"/>
      <c r="O21" s="92"/>
      <c r="V21">
        <f>35*104.14</f>
        <v>3644.9</v>
      </c>
    </row>
    <row r="22" spans="1:22">
      <c r="A22" s="28">
        <v>19</v>
      </c>
      <c r="B22" s="29">
        <v>45735</v>
      </c>
      <c r="C22" s="89"/>
      <c r="D22" s="89"/>
      <c r="E22" s="118">
        <v>290</v>
      </c>
      <c r="F22" s="118">
        <v>90.23</v>
      </c>
      <c r="G22" s="21">
        <f t="shared" si="1"/>
        <v>26166.7</v>
      </c>
      <c r="H22" s="118">
        <v>35</v>
      </c>
      <c r="I22" s="118">
        <v>104.14</v>
      </c>
      <c r="J22" s="8">
        <f t="shared" si="2"/>
        <v>3644.9</v>
      </c>
      <c r="K22" s="8">
        <f t="shared" si="3"/>
        <v>29811.600000000002</v>
      </c>
      <c r="L22" s="157">
        <f t="shared" si="5"/>
        <v>29811.600000000002</v>
      </c>
      <c r="M22" s="157">
        <f t="shared" si="4"/>
        <v>110021.21089999998</v>
      </c>
      <c r="N22" s="62"/>
      <c r="O22" s="92"/>
    </row>
    <row r="23" spans="1:22">
      <c r="A23" s="28">
        <v>20</v>
      </c>
      <c r="B23" s="294">
        <v>45736</v>
      </c>
      <c r="C23" s="89"/>
      <c r="D23" s="89"/>
      <c r="E23" s="118">
        <v>0</v>
      </c>
      <c r="F23" s="118">
        <v>0</v>
      </c>
      <c r="G23" s="21">
        <f t="shared" si="1"/>
        <v>0</v>
      </c>
      <c r="H23" s="118">
        <v>0</v>
      </c>
      <c r="I23" s="118"/>
      <c r="J23" s="8">
        <f t="shared" si="2"/>
        <v>0</v>
      </c>
      <c r="K23" s="8">
        <f t="shared" si="3"/>
        <v>0</v>
      </c>
      <c r="L23" s="157">
        <f t="shared" si="5"/>
        <v>0</v>
      </c>
      <c r="M23" s="157">
        <f t="shared" si="4"/>
        <v>110021.21089999998</v>
      </c>
      <c r="N23" s="62"/>
      <c r="O23" s="92"/>
    </row>
    <row r="24" spans="1:22">
      <c r="A24" s="28">
        <v>21</v>
      </c>
      <c r="B24" s="29">
        <v>45737</v>
      </c>
      <c r="C24" s="89"/>
      <c r="D24" s="89"/>
      <c r="E24" s="118">
        <v>0</v>
      </c>
      <c r="F24" s="118">
        <v>0</v>
      </c>
      <c r="G24" s="21">
        <f t="shared" si="1"/>
        <v>0</v>
      </c>
      <c r="H24" s="118">
        <v>0</v>
      </c>
      <c r="I24" s="118"/>
      <c r="J24" s="8">
        <f t="shared" si="2"/>
        <v>0</v>
      </c>
      <c r="K24" s="8">
        <f t="shared" si="3"/>
        <v>0</v>
      </c>
      <c r="L24" s="157">
        <f>+K24</f>
        <v>0</v>
      </c>
      <c r="M24" s="157">
        <f t="shared" si="4"/>
        <v>110021.21089999998</v>
      </c>
      <c r="N24" s="62"/>
      <c r="O24" s="92"/>
    </row>
    <row r="25" spans="1:22">
      <c r="A25" s="28">
        <v>22</v>
      </c>
      <c r="B25" s="294">
        <v>45738</v>
      </c>
      <c r="C25" s="89"/>
      <c r="D25" s="89"/>
      <c r="E25" s="118">
        <v>0</v>
      </c>
      <c r="F25" s="118">
        <v>0</v>
      </c>
      <c r="G25" s="21">
        <f t="shared" si="1"/>
        <v>0</v>
      </c>
      <c r="H25" s="118">
        <v>0</v>
      </c>
      <c r="I25" s="118"/>
      <c r="J25" s="8">
        <f t="shared" si="2"/>
        <v>0</v>
      </c>
      <c r="K25" s="8">
        <f t="shared" si="3"/>
        <v>0</v>
      </c>
      <c r="L25" s="157">
        <f t="shared" si="5"/>
        <v>0</v>
      </c>
      <c r="M25" s="157">
        <f t="shared" si="4"/>
        <v>110021.21089999998</v>
      </c>
      <c r="N25" s="62"/>
      <c r="O25" s="92"/>
    </row>
    <row r="26" spans="1:22">
      <c r="A26" s="28">
        <v>23</v>
      </c>
      <c r="B26" s="29">
        <v>45739</v>
      </c>
      <c r="C26" s="89"/>
      <c r="D26" s="89"/>
      <c r="E26" s="118">
        <v>498.73</v>
      </c>
      <c r="F26" s="118">
        <v>90.23</v>
      </c>
      <c r="G26" s="21">
        <f t="shared" si="1"/>
        <v>45000.407900000006</v>
      </c>
      <c r="H26" s="118">
        <v>35</v>
      </c>
      <c r="I26" s="118">
        <v>104.14</v>
      </c>
      <c r="J26" s="8">
        <f t="shared" si="2"/>
        <v>3644.9</v>
      </c>
      <c r="K26" s="8">
        <f t="shared" si="3"/>
        <v>48645.307900000007</v>
      </c>
      <c r="L26" s="157">
        <f t="shared" si="5"/>
        <v>48645.307900000007</v>
      </c>
      <c r="M26" s="157">
        <f t="shared" si="4"/>
        <v>110021.21089999998</v>
      </c>
      <c r="N26" s="62"/>
      <c r="O26" s="92"/>
    </row>
    <row r="27" spans="1:22">
      <c r="A27" s="28">
        <v>24</v>
      </c>
      <c r="B27" s="294">
        <v>45740</v>
      </c>
      <c r="C27" s="89"/>
      <c r="D27" s="89"/>
      <c r="E27" s="118">
        <v>0</v>
      </c>
      <c r="F27" s="118">
        <v>0</v>
      </c>
      <c r="G27" s="21">
        <f t="shared" si="1"/>
        <v>0</v>
      </c>
      <c r="H27" s="118">
        <v>0</v>
      </c>
      <c r="I27" s="118"/>
      <c r="J27" s="8">
        <f t="shared" si="2"/>
        <v>0</v>
      </c>
      <c r="K27" s="8">
        <f t="shared" si="3"/>
        <v>0</v>
      </c>
      <c r="L27" s="157">
        <v>60000</v>
      </c>
      <c r="M27" s="157">
        <f t="shared" si="4"/>
        <v>50021.210899999976</v>
      </c>
      <c r="N27" s="62"/>
      <c r="O27" s="92"/>
    </row>
    <row r="28" spans="1:22">
      <c r="A28" s="28">
        <v>25</v>
      </c>
      <c r="B28" s="29">
        <v>45741</v>
      </c>
      <c r="C28" s="89"/>
      <c r="D28" s="89"/>
      <c r="E28" s="118">
        <v>0</v>
      </c>
      <c r="F28" s="118">
        <v>0</v>
      </c>
      <c r="G28" s="21">
        <f t="shared" si="1"/>
        <v>0</v>
      </c>
      <c r="H28" s="118">
        <v>0</v>
      </c>
      <c r="I28" s="118"/>
      <c r="J28" s="8">
        <f t="shared" si="2"/>
        <v>0</v>
      </c>
      <c r="K28" s="8">
        <f t="shared" si="3"/>
        <v>0</v>
      </c>
      <c r="L28" s="157">
        <f t="shared" si="5"/>
        <v>0</v>
      </c>
      <c r="M28" s="157">
        <f t="shared" si="4"/>
        <v>50021.210899999976</v>
      </c>
      <c r="N28" s="62"/>
      <c r="O28" s="92"/>
    </row>
    <row r="29" spans="1:22">
      <c r="A29" s="28">
        <v>26</v>
      </c>
      <c r="B29" s="294">
        <v>45742</v>
      </c>
      <c r="C29" s="89"/>
      <c r="D29" s="89"/>
      <c r="E29" s="118">
        <v>0</v>
      </c>
      <c r="F29" s="118">
        <v>0</v>
      </c>
      <c r="G29" s="21">
        <f t="shared" si="1"/>
        <v>0</v>
      </c>
      <c r="H29" s="118">
        <v>0</v>
      </c>
      <c r="I29" s="118"/>
      <c r="J29" s="8">
        <f t="shared" si="2"/>
        <v>0</v>
      </c>
      <c r="K29" s="8">
        <f t="shared" si="3"/>
        <v>0</v>
      </c>
      <c r="L29" s="157">
        <f t="shared" si="5"/>
        <v>0</v>
      </c>
      <c r="M29" s="157">
        <f t="shared" si="4"/>
        <v>50021.210899999976</v>
      </c>
      <c r="N29" s="62"/>
      <c r="O29" s="92"/>
    </row>
    <row r="30" spans="1:22">
      <c r="A30" s="28">
        <v>27</v>
      </c>
      <c r="B30" s="29">
        <v>45743</v>
      </c>
      <c r="C30" s="89"/>
      <c r="D30" s="89"/>
      <c r="E30" s="118">
        <v>400</v>
      </c>
      <c r="F30" s="118">
        <v>90.23</v>
      </c>
      <c r="G30" s="21">
        <f t="shared" si="1"/>
        <v>36092</v>
      </c>
      <c r="H30" s="118">
        <v>0</v>
      </c>
      <c r="I30" s="118"/>
      <c r="J30" s="8">
        <f t="shared" si="2"/>
        <v>0</v>
      </c>
      <c r="K30" s="8">
        <f t="shared" si="3"/>
        <v>36092</v>
      </c>
      <c r="L30" s="157">
        <v>0</v>
      </c>
      <c r="M30" s="157">
        <f t="shared" si="4"/>
        <v>86113.210899999976</v>
      </c>
      <c r="N30" s="62"/>
      <c r="O30" s="92"/>
    </row>
    <row r="31" spans="1:22">
      <c r="A31" s="28">
        <v>28</v>
      </c>
      <c r="B31" s="294">
        <v>45744</v>
      </c>
      <c r="C31" s="89"/>
      <c r="D31" s="89"/>
      <c r="E31" s="118">
        <v>0</v>
      </c>
      <c r="F31" s="118">
        <v>0</v>
      </c>
      <c r="G31" s="21">
        <f t="shared" si="1"/>
        <v>0</v>
      </c>
      <c r="H31" s="118">
        <v>0</v>
      </c>
      <c r="I31" s="118"/>
      <c r="J31" s="8">
        <f t="shared" si="2"/>
        <v>0</v>
      </c>
      <c r="K31" s="8">
        <f t="shared" si="3"/>
        <v>0</v>
      </c>
      <c r="L31" s="157">
        <f t="shared" si="5"/>
        <v>0</v>
      </c>
      <c r="M31" s="157">
        <f t="shared" si="4"/>
        <v>86113.210899999976</v>
      </c>
      <c r="N31" s="62"/>
      <c r="O31" s="92"/>
    </row>
    <row r="32" spans="1:22">
      <c r="A32" s="28">
        <v>29</v>
      </c>
      <c r="B32" s="29">
        <v>45745</v>
      </c>
      <c r="C32" s="89"/>
      <c r="D32" s="89"/>
      <c r="E32" s="118">
        <v>0</v>
      </c>
      <c r="F32" s="118">
        <v>0</v>
      </c>
      <c r="G32" s="21">
        <f t="shared" si="1"/>
        <v>0</v>
      </c>
      <c r="H32" s="118">
        <v>0</v>
      </c>
      <c r="I32" s="118"/>
      <c r="J32" s="8">
        <f t="shared" si="2"/>
        <v>0</v>
      </c>
      <c r="K32" s="8">
        <f t="shared" si="3"/>
        <v>0</v>
      </c>
      <c r="L32" s="157">
        <v>87000</v>
      </c>
      <c r="M32" s="157">
        <f t="shared" si="4"/>
        <v>-886.78910000002361</v>
      </c>
      <c r="N32" s="62"/>
      <c r="O32" s="92"/>
    </row>
    <row r="33" spans="1:19">
      <c r="A33" s="28">
        <v>30</v>
      </c>
      <c r="B33" s="294">
        <v>45746</v>
      </c>
      <c r="C33" s="89"/>
      <c r="D33" s="89"/>
      <c r="E33" s="118">
        <v>200</v>
      </c>
      <c r="F33" s="118">
        <v>90.23</v>
      </c>
      <c r="G33" s="21">
        <f t="shared" si="1"/>
        <v>18046</v>
      </c>
      <c r="H33" s="118">
        <v>35</v>
      </c>
      <c r="I33" s="118">
        <v>104.14</v>
      </c>
      <c r="J33" s="8">
        <f t="shared" si="2"/>
        <v>3644.9</v>
      </c>
      <c r="K33" s="8">
        <f t="shared" si="3"/>
        <v>21690.9</v>
      </c>
      <c r="L33" s="157"/>
      <c r="M33" s="157">
        <f t="shared" si="4"/>
        <v>20804.110899999978</v>
      </c>
      <c r="N33" s="62"/>
      <c r="O33" s="92"/>
    </row>
    <row r="34" spans="1:19">
      <c r="A34" s="28">
        <v>31</v>
      </c>
      <c r="B34" s="29">
        <v>45747</v>
      </c>
      <c r="C34" s="89"/>
      <c r="D34" s="89"/>
      <c r="E34" s="118"/>
      <c r="F34" s="118"/>
      <c r="G34" s="21"/>
      <c r="H34" s="118"/>
      <c r="I34" s="118"/>
      <c r="J34" s="8"/>
      <c r="K34" s="8"/>
      <c r="L34" s="157"/>
      <c r="M34" s="157">
        <f t="shared" si="4"/>
        <v>20804.110899999978</v>
      </c>
      <c r="N34" s="62"/>
      <c r="O34" s="92"/>
    </row>
    <row r="35" spans="1:19">
      <c r="A35" s="60"/>
      <c r="B35" s="60"/>
      <c r="C35" s="60"/>
      <c r="D35" s="60"/>
      <c r="E35" s="61">
        <f>SUM(E4:E34)</f>
        <v>3253.69</v>
      </c>
      <c r="F35" s="61"/>
      <c r="G35" s="61">
        <f>SUM(G4:G34)</f>
        <v>293580.44870000001</v>
      </c>
      <c r="H35" s="61">
        <f>SUM(H4:H34)</f>
        <v>210</v>
      </c>
      <c r="I35" s="61"/>
      <c r="J35" s="61">
        <f>SUM(J4:J34)</f>
        <v>21869.4</v>
      </c>
      <c r="K35" s="61">
        <f>SUM(K4:K34)</f>
        <v>315449.84870000009</v>
      </c>
      <c r="L35" s="61">
        <f>SUM(L4:L34)</f>
        <v>405456.24920000008</v>
      </c>
      <c r="M35" s="61"/>
      <c r="N35" s="61"/>
      <c r="O35" s="36"/>
    </row>
    <row r="36" spans="1:19">
      <c r="A36" s="96"/>
      <c r="B36" s="97"/>
      <c r="C36" s="96"/>
      <c r="D36" s="96"/>
      <c r="E36" s="98"/>
      <c r="F36" s="98"/>
      <c r="G36" s="98"/>
      <c r="H36" s="98"/>
      <c r="I36" s="98"/>
      <c r="J36" s="99"/>
      <c r="K36" s="99"/>
      <c r="L36" s="99"/>
      <c r="M36" s="99"/>
      <c r="N36" s="98"/>
      <c r="O36" s="92"/>
    </row>
    <row r="37" spans="1:19">
      <c r="O37" s="92"/>
    </row>
    <row r="38" spans="1:19">
      <c r="O38" s="92"/>
    </row>
    <row r="39" spans="1:19">
      <c r="O39" s="92"/>
    </row>
    <row r="40" spans="1:19">
      <c r="O40" s="92"/>
    </row>
    <row r="41" spans="1:19">
      <c r="O41" s="92"/>
      <c r="S41">
        <v>9052944708</v>
      </c>
    </row>
    <row r="42" spans="1:19">
      <c r="A42" s="92"/>
      <c r="B42" s="81"/>
      <c r="C42" s="92"/>
      <c r="D42" s="92"/>
      <c r="E42" s="92"/>
      <c r="F42" s="92"/>
      <c r="G42" s="100"/>
      <c r="H42" s="92"/>
      <c r="I42" s="92"/>
      <c r="J42" s="81"/>
      <c r="K42" s="81"/>
      <c r="L42" s="81"/>
      <c r="M42" s="81"/>
      <c r="N42" s="92"/>
      <c r="O42" s="98"/>
    </row>
    <row r="43" spans="1:19">
      <c r="A43" s="92"/>
      <c r="B43" s="392"/>
      <c r="C43" s="392"/>
      <c r="D43" s="392"/>
      <c r="E43" s="392"/>
      <c r="F43" s="92"/>
      <c r="G43" s="92"/>
      <c r="H43" s="92"/>
      <c r="I43" s="392"/>
      <c r="J43" s="392"/>
      <c r="K43" s="392"/>
      <c r="L43" s="392"/>
      <c r="M43" s="392"/>
      <c r="N43" s="392"/>
      <c r="O43" s="98"/>
    </row>
    <row r="44" spans="1:19">
      <c r="A44" s="92"/>
      <c r="B44" s="81"/>
      <c r="C44" s="92"/>
      <c r="D44" s="92"/>
      <c r="E44" s="92"/>
      <c r="F44" s="92"/>
      <c r="G44" s="92"/>
      <c r="H44" s="92"/>
      <c r="I44" s="92"/>
      <c r="J44" s="81"/>
      <c r="K44" s="81"/>
      <c r="L44" s="81"/>
      <c r="M44" s="81"/>
      <c r="N44" s="92"/>
      <c r="O44" s="98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86945-7278-4A2D-A0B9-0B43E354BFF7}">
  <dimension ref="A1:N8"/>
  <sheetViews>
    <sheetView workbookViewId="0">
      <selection activeCell="M22" sqref="M22"/>
    </sheetView>
  </sheetViews>
  <sheetFormatPr defaultRowHeight="15"/>
  <cols>
    <col min="4" max="4" width="14.85546875" customWidth="1"/>
    <col min="5" max="5" width="19.42578125" customWidth="1"/>
    <col min="8" max="8" width="13.85546875" customWidth="1"/>
    <col min="12" max="12" width="12" customWidth="1"/>
    <col min="13" max="13" width="16.5703125" customWidth="1"/>
    <col min="14" max="14" width="12.28515625" customWidth="1"/>
  </cols>
  <sheetData>
    <row r="1" spans="1:14">
      <c r="A1" s="393" t="s">
        <v>163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</row>
    <row r="2" spans="1:14" ht="23.25" customHeight="1">
      <c r="A2" s="86" t="s">
        <v>91</v>
      </c>
      <c r="B2" s="107" t="s">
        <v>92</v>
      </c>
      <c r="C2" s="107" t="s">
        <v>93</v>
      </c>
      <c r="D2" s="107" t="s">
        <v>94</v>
      </c>
      <c r="E2" s="107" t="s">
        <v>95</v>
      </c>
      <c r="F2" s="107" t="s">
        <v>96</v>
      </c>
      <c r="G2" s="107" t="s">
        <v>97</v>
      </c>
      <c r="H2" s="107" t="s">
        <v>98</v>
      </c>
      <c r="I2" s="107" t="s">
        <v>96</v>
      </c>
      <c r="J2" s="108" t="s">
        <v>97</v>
      </c>
      <c r="K2" s="86" t="s">
        <v>99</v>
      </c>
      <c r="L2" s="86" t="s">
        <v>164</v>
      </c>
      <c r="M2" s="109" t="s">
        <v>100</v>
      </c>
      <c r="N2" s="107" t="s">
        <v>102</v>
      </c>
    </row>
    <row r="3" spans="1:14">
      <c r="A3" s="19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1:14">
      <c r="A4" s="19">
        <v>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>
      <c r="A5" s="19">
        <v>3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spans="1:14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4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</row>
    <row r="8" spans="1:14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</row>
  </sheetData>
  <mergeCells count="1">
    <mergeCell ref="A1:N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D1FCD-21AA-40DD-BCCB-514D4CD38E73}">
  <sheetPr>
    <tabColor rgb="FF7030A0"/>
  </sheetPr>
  <dimension ref="A1:Q49"/>
  <sheetViews>
    <sheetView workbookViewId="0">
      <pane ySplit="2" topLeftCell="A15" activePane="bottomLeft" state="frozen"/>
      <selection pane="bottomLeft" activeCell="T31" sqref="T31"/>
    </sheetView>
  </sheetViews>
  <sheetFormatPr defaultColWidth="9.140625" defaultRowHeight="15"/>
  <cols>
    <col min="1" max="1" width="6.140625" bestFit="1" customWidth="1"/>
    <col min="2" max="2" width="11.5703125" customWidth="1"/>
    <col min="3" max="3" width="8" bestFit="1" customWidth="1"/>
    <col min="4" max="4" width="15.5703125" customWidth="1"/>
    <col min="5" max="5" width="10.7109375" bestFit="1" customWidth="1"/>
    <col min="6" max="7" width="11.85546875" bestFit="1" customWidth="1"/>
    <col min="8" max="8" width="10.7109375" bestFit="1" customWidth="1"/>
    <col min="9" max="9" width="8.140625" bestFit="1" customWidth="1"/>
    <col min="10" max="10" width="10.85546875" bestFit="1" customWidth="1"/>
    <col min="11" max="12" width="13.5703125" bestFit="1" customWidth="1"/>
    <col min="13" max="13" width="13.5703125" customWidth="1"/>
    <col min="14" max="14" width="17.7109375" bestFit="1" customWidth="1"/>
    <col min="15" max="15" width="7.140625" customWidth="1"/>
    <col min="16" max="16" width="9.7109375" customWidth="1"/>
    <col min="17" max="17" width="11.28515625" bestFit="1" customWidth="1"/>
  </cols>
  <sheetData>
    <row r="1" spans="1:17" ht="15.75">
      <c r="A1" s="380" t="s">
        <v>61</v>
      </c>
      <c r="B1" s="380"/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  <c r="N1" s="380"/>
      <c r="O1" s="74"/>
    </row>
    <row r="2" spans="1:17" ht="18" customHeight="1">
      <c r="A2" s="86" t="s">
        <v>91</v>
      </c>
      <c r="B2" s="107" t="s">
        <v>92</v>
      </c>
      <c r="C2" s="107" t="s">
        <v>93</v>
      </c>
      <c r="D2" s="107" t="s">
        <v>94</v>
      </c>
      <c r="E2" s="107" t="s">
        <v>95</v>
      </c>
      <c r="F2" s="107" t="s">
        <v>96</v>
      </c>
      <c r="G2" s="107" t="s">
        <v>97</v>
      </c>
      <c r="H2" s="107" t="s">
        <v>98</v>
      </c>
      <c r="I2" s="107" t="s">
        <v>96</v>
      </c>
      <c r="J2" s="108" t="s">
        <v>97</v>
      </c>
      <c r="K2" s="86" t="s">
        <v>99</v>
      </c>
      <c r="L2" s="109" t="s">
        <v>100</v>
      </c>
      <c r="M2" s="203" t="s">
        <v>101</v>
      </c>
      <c r="N2" s="107" t="s">
        <v>102</v>
      </c>
      <c r="O2" s="81"/>
    </row>
    <row r="3" spans="1:17" ht="18" customHeight="1">
      <c r="A3" s="181"/>
      <c r="B3" s="182"/>
      <c r="C3" s="182"/>
      <c r="D3" s="161" t="s">
        <v>103</v>
      </c>
      <c r="E3" s="182"/>
      <c r="F3" s="182"/>
      <c r="G3" s="182"/>
      <c r="H3" s="182"/>
      <c r="I3" s="182"/>
      <c r="J3" s="183"/>
      <c r="K3" s="181">
        <v>0</v>
      </c>
      <c r="L3" s="184">
        <v>0</v>
      </c>
      <c r="M3" s="184">
        <f>+K3</f>
        <v>0</v>
      </c>
      <c r="N3" s="182"/>
      <c r="O3" s="81"/>
    </row>
    <row r="4" spans="1:17">
      <c r="A4" s="64">
        <v>1</v>
      </c>
      <c r="B4" s="267">
        <v>45717</v>
      </c>
      <c r="C4" s="27"/>
      <c r="D4" s="27"/>
      <c r="E4" s="8">
        <v>145</v>
      </c>
      <c r="F4" s="8">
        <v>89.47</v>
      </c>
      <c r="G4" s="8">
        <f>E4*F4</f>
        <v>12973.15</v>
      </c>
      <c r="H4" s="9">
        <v>3</v>
      </c>
      <c r="I4" s="9">
        <v>103.4</v>
      </c>
      <c r="J4" s="8">
        <f>H4*I4</f>
        <v>310.20000000000005</v>
      </c>
      <c r="K4" s="8">
        <f>G4+J4</f>
        <v>13283.35</v>
      </c>
      <c r="L4" s="184">
        <v>0</v>
      </c>
      <c r="M4" s="8">
        <f>M3+K4-L4</f>
        <v>13283.35</v>
      </c>
      <c r="N4" s="62"/>
      <c r="O4" s="1"/>
    </row>
    <row r="5" spans="1:17">
      <c r="A5" s="64">
        <v>2</v>
      </c>
      <c r="B5" s="267">
        <v>45718</v>
      </c>
      <c r="C5" s="27"/>
      <c r="D5" s="27"/>
      <c r="E5" s="8">
        <v>40.17</v>
      </c>
      <c r="F5" s="8">
        <v>89.47</v>
      </c>
      <c r="G5" s="8">
        <f t="shared" ref="G5:G31" si="0">E5*F5</f>
        <v>3594.0099</v>
      </c>
      <c r="H5" s="9">
        <v>0</v>
      </c>
      <c r="I5" s="9">
        <v>0</v>
      </c>
      <c r="J5" s="8">
        <f t="shared" ref="J5:J32" si="1">H5*I5</f>
        <v>0</v>
      </c>
      <c r="K5" s="8">
        <f t="shared" ref="K5:K32" si="2">G5+J5</f>
        <v>3594.0099</v>
      </c>
      <c r="L5" s="184">
        <v>0</v>
      </c>
      <c r="M5" s="8">
        <f t="shared" ref="M5:M34" si="3">M4+K5-L5</f>
        <v>16877.359899999999</v>
      </c>
      <c r="N5" s="62"/>
      <c r="O5" s="1"/>
    </row>
    <row r="6" spans="1:17">
      <c r="A6" s="64">
        <v>3</v>
      </c>
      <c r="B6" s="267">
        <v>45719</v>
      </c>
      <c r="C6" s="27"/>
      <c r="D6" s="27"/>
      <c r="E6" s="8">
        <v>0</v>
      </c>
      <c r="F6" s="8">
        <v>0</v>
      </c>
      <c r="G6" s="8">
        <f t="shared" si="0"/>
        <v>0</v>
      </c>
      <c r="H6" s="9">
        <v>0</v>
      </c>
      <c r="I6" s="9">
        <v>0</v>
      </c>
      <c r="J6" s="8">
        <f t="shared" si="1"/>
        <v>0</v>
      </c>
      <c r="K6" s="8">
        <f t="shared" si="2"/>
        <v>0</v>
      </c>
      <c r="L6" s="184">
        <v>0</v>
      </c>
      <c r="M6" s="8">
        <f t="shared" si="3"/>
        <v>16877.359899999999</v>
      </c>
      <c r="N6" s="62"/>
      <c r="O6" s="1"/>
    </row>
    <row r="7" spans="1:17">
      <c r="A7" s="64">
        <v>4</v>
      </c>
      <c r="B7" s="267">
        <v>45720</v>
      </c>
      <c r="C7" s="27"/>
      <c r="D7" s="20"/>
      <c r="E7" s="8">
        <v>0</v>
      </c>
      <c r="F7" s="8">
        <v>0</v>
      </c>
      <c r="G7" s="8">
        <f t="shared" si="0"/>
        <v>0</v>
      </c>
      <c r="H7" s="9">
        <v>0</v>
      </c>
      <c r="I7" s="9">
        <v>0</v>
      </c>
      <c r="J7" s="8">
        <f t="shared" si="1"/>
        <v>0</v>
      </c>
      <c r="K7" s="8">
        <f t="shared" si="2"/>
        <v>0</v>
      </c>
      <c r="L7" s="184">
        <v>0</v>
      </c>
      <c r="M7" s="8">
        <f t="shared" si="3"/>
        <v>16877.359899999999</v>
      </c>
      <c r="N7" s="62"/>
      <c r="O7" s="1"/>
    </row>
    <row r="8" spans="1:17">
      <c r="A8" s="64">
        <v>5</v>
      </c>
      <c r="B8" s="267">
        <v>45721</v>
      </c>
      <c r="C8" s="27"/>
      <c r="D8" s="20"/>
      <c r="E8" s="8">
        <v>0</v>
      </c>
      <c r="F8" s="8">
        <v>0</v>
      </c>
      <c r="G8" s="8">
        <f t="shared" si="0"/>
        <v>0</v>
      </c>
      <c r="H8" s="9">
        <v>0</v>
      </c>
      <c r="I8" s="9">
        <v>0</v>
      </c>
      <c r="J8" s="8">
        <f t="shared" si="1"/>
        <v>0</v>
      </c>
      <c r="K8" s="8">
        <f t="shared" si="2"/>
        <v>0</v>
      </c>
      <c r="L8" s="184">
        <v>0</v>
      </c>
      <c r="M8" s="8">
        <f t="shared" si="3"/>
        <v>16877.359899999999</v>
      </c>
      <c r="N8" s="62"/>
      <c r="O8" s="1"/>
    </row>
    <row r="9" spans="1:17">
      <c r="A9" s="64">
        <v>6</v>
      </c>
      <c r="B9" s="267">
        <v>45722</v>
      </c>
      <c r="C9" s="27"/>
      <c r="D9" s="20"/>
      <c r="E9" s="8">
        <v>96.6</v>
      </c>
      <c r="F9" s="8">
        <v>89.47</v>
      </c>
      <c r="G9" s="8">
        <f t="shared" si="0"/>
        <v>8642.8019999999997</v>
      </c>
      <c r="H9" s="9">
        <v>0</v>
      </c>
      <c r="I9" s="9">
        <v>0</v>
      </c>
      <c r="J9" s="8">
        <f t="shared" si="1"/>
        <v>0</v>
      </c>
      <c r="K9" s="8">
        <f t="shared" si="2"/>
        <v>8642.8019999999997</v>
      </c>
      <c r="L9" s="184">
        <v>0</v>
      </c>
      <c r="M9" s="8">
        <f t="shared" si="3"/>
        <v>25520.161899999999</v>
      </c>
      <c r="N9" s="62"/>
      <c r="O9" s="1"/>
    </row>
    <row r="10" spans="1:17">
      <c r="A10" s="64">
        <v>7</v>
      </c>
      <c r="B10" s="267">
        <v>45723</v>
      </c>
      <c r="C10" s="27"/>
      <c r="D10" s="20"/>
      <c r="E10" s="8">
        <v>0</v>
      </c>
      <c r="F10" s="8">
        <v>0</v>
      </c>
      <c r="G10" s="8">
        <f t="shared" si="0"/>
        <v>0</v>
      </c>
      <c r="H10" s="9">
        <v>12</v>
      </c>
      <c r="I10" s="9">
        <v>103.4</v>
      </c>
      <c r="J10" s="8">
        <f t="shared" si="1"/>
        <v>1240.8000000000002</v>
      </c>
      <c r="K10" s="8">
        <f t="shared" si="2"/>
        <v>1240.8000000000002</v>
      </c>
      <c r="L10" s="184">
        <v>0</v>
      </c>
      <c r="M10" s="8">
        <f t="shared" si="3"/>
        <v>26760.961899999998</v>
      </c>
      <c r="N10" s="62"/>
      <c r="O10" s="1"/>
    </row>
    <row r="11" spans="1:17">
      <c r="A11" s="64">
        <v>8</v>
      </c>
      <c r="B11" s="267">
        <v>45724</v>
      </c>
      <c r="C11" s="27"/>
      <c r="D11" s="20"/>
      <c r="E11" s="8">
        <v>0</v>
      </c>
      <c r="F11" s="8">
        <v>0</v>
      </c>
      <c r="G11" s="8">
        <f t="shared" si="0"/>
        <v>0</v>
      </c>
      <c r="H11" s="9">
        <v>0</v>
      </c>
      <c r="I11" s="9">
        <v>0</v>
      </c>
      <c r="J11" s="8">
        <f>H11*I11</f>
        <v>0</v>
      </c>
      <c r="K11" s="8">
        <f t="shared" si="2"/>
        <v>0</v>
      </c>
      <c r="L11" s="184">
        <v>0</v>
      </c>
      <c r="M11" s="8">
        <f t="shared" si="3"/>
        <v>26760.961899999998</v>
      </c>
      <c r="N11" s="62"/>
      <c r="O11" s="1"/>
    </row>
    <row r="12" spans="1:17">
      <c r="A12" s="64">
        <v>9</v>
      </c>
      <c r="B12" s="267">
        <v>45725</v>
      </c>
      <c r="C12" s="27"/>
      <c r="D12" s="20"/>
      <c r="E12" s="8">
        <v>311.88</v>
      </c>
      <c r="F12" s="8">
        <v>89.47</v>
      </c>
      <c r="G12" s="8">
        <f t="shared" si="0"/>
        <v>27903.903599999998</v>
      </c>
      <c r="H12" s="9">
        <v>0</v>
      </c>
      <c r="I12" s="9">
        <v>0</v>
      </c>
      <c r="J12" s="8">
        <f t="shared" si="1"/>
        <v>0</v>
      </c>
      <c r="K12" s="8">
        <f t="shared" si="2"/>
        <v>27903.903599999998</v>
      </c>
      <c r="L12" s="184">
        <v>0</v>
      </c>
      <c r="M12" s="8">
        <f t="shared" si="3"/>
        <v>54664.8655</v>
      </c>
      <c r="N12" s="62"/>
      <c r="O12" s="1"/>
      <c r="Q12">
        <f>110*8947</f>
        <v>984170</v>
      </c>
    </row>
    <row r="13" spans="1:17">
      <c r="A13" s="64">
        <v>10</v>
      </c>
      <c r="B13" s="267">
        <v>45726</v>
      </c>
      <c r="C13" s="27"/>
      <c r="D13" s="20"/>
      <c r="E13" s="8">
        <v>364.03</v>
      </c>
      <c r="F13" s="8">
        <v>89.47</v>
      </c>
      <c r="G13" s="8">
        <f t="shared" si="0"/>
        <v>32569.764099999997</v>
      </c>
      <c r="H13" s="9">
        <v>0</v>
      </c>
      <c r="I13" s="9">
        <v>0</v>
      </c>
      <c r="J13" s="8">
        <f t="shared" si="1"/>
        <v>0</v>
      </c>
      <c r="K13" s="8">
        <f t="shared" si="2"/>
        <v>32569.764099999997</v>
      </c>
      <c r="L13" s="184">
        <v>0</v>
      </c>
      <c r="M13" s="8">
        <f t="shared" si="3"/>
        <v>87234.6296</v>
      </c>
      <c r="N13" s="62"/>
      <c r="O13" s="1"/>
    </row>
    <row r="14" spans="1:17">
      <c r="A14" s="64">
        <v>11</v>
      </c>
      <c r="B14" s="267">
        <v>45727</v>
      </c>
      <c r="C14" s="27"/>
      <c r="D14" s="20"/>
      <c r="E14" s="8">
        <v>65.400000000000006</v>
      </c>
      <c r="F14" s="8">
        <v>89.47</v>
      </c>
      <c r="G14" s="8">
        <f t="shared" si="0"/>
        <v>5851.3380000000006</v>
      </c>
      <c r="H14" s="9">
        <v>6</v>
      </c>
      <c r="I14" s="9">
        <v>103.4</v>
      </c>
      <c r="J14" s="8">
        <f t="shared" si="1"/>
        <v>620.40000000000009</v>
      </c>
      <c r="K14" s="8">
        <f t="shared" si="2"/>
        <v>6471.7380000000012</v>
      </c>
      <c r="L14" s="184">
        <v>0</v>
      </c>
      <c r="M14" s="8">
        <f t="shared" si="3"/>
        <v>93706.367599999998</v>
      </c>
      <c r="N14" s="62"/>
      <c r="O14" s="1"/>
    </row>
    <row r="15" spans="1:17">
      <c r="A15" s="64">
        <v>12</v>
      </c>
      <c r="B15" s="267">
        <v>45728</v>
      </c>
      <c r="C15" s="27"/>
      <c r="D15" s="20"/>
      <c r="E15" s="8">
        <v>100</v>
      </c>
      <c r="F15" s="8">
        <v>89.47</v>
      </c>
      <c r="G15" s="8">
        <f t="shared" si="0"/>
        <v>8947</v>
      </c>
      <c r="H15" s="9">
        <v>0</v>
      </c>
      <c r="I15" s="9">
        <v>0</v>
      </c>
      <c r="J15" s="8">
        <f t="shared" si="1"/>
        <v>0</v>
      </c>
      <c r="K15" s="8">
        <f>G15+J15</f>
        <v>8947</v>
      </c>
      <c r="L15" s="184">
        <v>39643</v>
      </c>
      <c r="M15" s="8">
        <f t="shared" si="3"/>
        <v>63010.367599999998</v>
      </c>
      <c r="N15" s="62"/>
      <c r="O15" s="1"/>
    </row>
    <row r="16" spans="1:17">
      <c r="A16" s="64">
        <v>13</v>
      </c>
      <c r="B16" s="267">
        <v>45729</v>
      </c>
      <c r="C16" s="27"/>
      <c r="D16" s="20"/>
      <c r="E16" s="8">
        <v>65</v>
      </c>
      <c r="F16" s="8">
        <v>89.47</v>
      </c>
      <c r="G16" s="8">
        <f t="shared" si="0"/>
        <v>5815.55</v>
      </c>
      <c r="H16" s="9">
        <v>0</v>
      </c>
      <c r="I16" s="9">
        <v>0</v>
      </c>
      <c r="J16" s="8">
        <f t="shared" si="1"/>
        <v>0</v>
      </c>
      <c r="K16" s="8">
        <f>G16+J16</f>
        <v>5815.55</v>
      </c>
      <c r="L16" s="184">
        <v>0</v>
      </c>
      <c r="M16" s="8">
        <f>M15+K16-L16</f>
        <v>68825.917600000001</v>
      </c>
      <c r="N16" s="62"/>
      <c r="O16" s="1"/>
    </row>
    <row r="17" spans="1:17">
      <c r="A17" s="64">
        <v>14</v>
      </c>
      <c r="B17" s="267">
        <v>45730</v>
      </c>
      <c r="C17" s="27"/>
      <c r="D17" s="20"/>
      <c r="E17" s="8">
        <v>95.53</v>
      </c>
      <c r="F17" s="8">
        <v>89.47</v>
      </c>
      <c r="G17" s="8">
        <f t="shared" si="0"/>
        <v>8547.0691000000006</v>
      </c>
      <c r="H17" s="9">
        <v>6</v>
      </c>
      <c r="I17" s="9">
        <v>103.4</v>
      </c>
      <c r="J17" s="8">
        <f t="shared" si="1"/>
        <v>620.40000000000009</v>
      </c>
      <c r="K17" s="8">
        <f>G17+J17</f>
        <v>9167.4691000000003</v>
      </c>
      <c r="L17" s="184">
        <v>0</v>
      </c>
      <c r="M17" s="8">
        <f>M16+K17-L17</f>
        <v>77993.386700000003</v>
      </c>
      <c r="N17" s="62"/>
      <c r="O17" s="1"/>
    </row>
    <row r="18" spans="1:17">
      <c r="A18" s="64">
        <v>15</v>
      </c>
      <c r="B18" s="267">
        <v>45731</v>
      </c>
      <c r="C18" s="27"/>
      <c r="D18" s="20"/>
      <c r="E18" s="8">
        <v>0</v>
      </c>
      <c r="F18" s="8">
        <v>0</v>
      </c>
      <c r="G18" s="8">
        <f t="shared" si="0"/>
        <v>0</v>
      </c>
      <c r="H18" s="9">
        <v>0</v>
      </c>
      <c r="I18" s="9">
        <v>0</v>
      </c>
      <c r="J18" s="8">
        <f t="shared" si="1"/>
        <v>0</v>
      </c>
      <c r="K18" s="8">
        <f t="shared" si="2"/>
        <v>0</v>
      </c>
      <c r="L18" s="184">
        <v>0</v>
      </c>
      <c r="M18" s="8">
        <f t="shared" si="3"/>
        <v>77993.386700000003</v>
      </c>
      <c r="N18" s="62"/>
      <c r="O18" s="1"/>
    </row>
    <row r="19" spans="1:17">
      <c r="A19" s="64">
        <v>16</v>
      </c>
      <c r="B19" s="267">
        <v>45732</v>
      </c>
      <c r="C19" s="27"/>
      <c r="D19" s="20"/>
      <c r="E19" s="8">
        <v>0</v>
      </c>
      <c r="F19" s="8">
        <v>0</v>
      </c>
      <c r="G19" s="8">
        <f t="shared" si="0"/>
        <v>0</v>
      </c>
      <c r="H19" s="9">
        <v>0</v>
      </c>
      <c r="I19" s="9">
        <v>0</v>
      </c>
      <c r="J19" s="8">
        <f t="shared" si="1"/>
        <v>0</v>
      </c>
      <c r="K19" s="8">
        <f t="shared" si="2"/>
        <v>0</v>
      </c>
      <c r="L19" s="184">
        <v>0</v>
      </c>
      <c r="M19" s="8">
        <f t="shared" si="3"/>
        <v>77993.386700000003</v>
      </c>
      <c r="N19" s="62"/>
      <c r="O19" s="1"/>
    </row>
    <row r="20" spans="1:17">
      <c r="A20" s="64">
        <v>17</v>
      </c>
      <c r="B20" s="267">
        <v>45733</v>
      </c>
      <c r="C20" s="27"/>
      <c r="D20" s="20"/>
      <c r="E20" s="8">
        <v>0</v>
      </c>
      <c r="F20" s="8">
        <v>0</v>
      </c>
      <c r="G20" s="8">
        <f t="shared" si="0"/>
        <v>0</v>
      </c>
      <c r="H20" s="9">
        <v>0</v>
      </c>
      <c r="I20" s="9">
        <v>0</v>
      </c>
      <c r="J20" s="8">
        <f t="shared" si="1"/>
        <v>0</v>
      </c>
      <c r="K20" s="8">
        <f t="shared" si="2"/>
        <v>0</v>
      </c>
      <c r="L20" s="184">
        <v>0</v>
      </c>
      <c r="M20" s="8">
        <f t="shared" si="3"/>
        <v>77993.386700000003</v>
      </c>
      <c r="N20" s="62"/>
      <c r="O20" s="1"/>
    </row>
    <row r="21" spans="1:17">
      <c r="A21" s="64">
        <v>18</v>
      </c>
      <c r="B21" s="267">
        <v>45734</v>
      </c>
      <c r="C21" s="27"/>
      <c r="D21" s="20"/>
      <c r="E21" s="8">
        <v>0</v>
      </c>
      <c r="F21" s="8">
        <v>0</v>
      </c>
      <c r="G21" s="8">
        <f t="shared" si="0"/>
        <v>0</v>
      </c>
      <c r="H21" s="9">
        <v>0</v>
      </c>
      <c r="I21" s="9">
        <v>0</v>
      </c>
      <c r="J21" s="8">
        <f t="shared" si="1"/>
        <v>0</v>
      </c>
      <c r="K21" s="8">
        <f t="shared" si="2"/>
        <v>0</v>
      </c>
      <c r="L21" s="184">
        <v>0</v>
      </c>
      <c r="M21" s="8">
        <f>M20+K21-L21</f>
        <v>77993.386700000003</v>
      </c>
      <c r="N21" s="62"/>
      <c r="O21" s="1"/>
    </row>
    <row r="22" spans="1:17">
      <c r="A22" s="64">
        <v>19</v>
      </c>
      <c r="B22" s="267">
        <v>45735</v>
      </c>
      <c r="C22" s="27"/>
      <c r="D22" s="20"/>
      <c r="E22" s="8">
        <v>0</v>
      </c>
      <c r="F22" s="8">
        <v>0</v>
      </c>
      <c r="G22" s="8">
        <f t="shared" si="0"/>
        <v>0</v>
      </c>
      <c r="H22" s="9">
        <v>6</v>
      </c>
      <c r="I22" s="9">
        <v>103.4</v>
      </c>
      <c r="J22" s="8">
        <f t="shared" si="1"/>
        <v>620.40000000000009</v>
      </c>
      <c r="K22" s="8">
        <f t="shared" si="2"/>
        <v>620.40000000000009</v>
      </c>
      <c r="L22" s="184">
        <v>0</v>
      </c>
      <c r="M22" s="8">
        <f t="shared" si="3"/>
        <v>78613.786699999997</v>
      </c>
      <c r="N22" s="62"/>
      <c r="O22" s="1"/>
    </row>
    <row r="23" spans="1:17">
      <c r="A23" s="64">
        <v>20</v>
      </c>
      <c r="B23" s="267">
        <v>45736</v>
      </c>
      <c r="C23" s="27"/>
      <c r="D23" s="20"/>
      <c r="E23" s="8">
        <v>34.270000000000003</v>
      </c>
      <c r="F23" s="8">
        <v>89.47</v>
      </c>
      <c r="G23" s="8">
        <f t="shared" si="0"/>
        <v>3066.1369000000004</v>
      </c>
      <c r="H23" s="9">
        <v>0</v>
      </c>
      <c r="I23" s="9">
        <v>0</v>
      </c>
      <c r="J23" s="8">
        <f t="shared" si="1"/>
        <v>0</v>
      </c>
      <c r="K23" s="8">
        <f t="shared" si="2"/>
        <v>3066.1369000000004</v>
      </c>
      <c r="L23" s="184">
        <v>0</v>
      </c>
      <c r="M23" s="8">
        <f t="shared" si="3"/>
        <v>81679.923599999995</v>
      </c>
      <c r="N23" s="62"/>
      <c r="O23" s="1"/>
    </row>
    <row r="24" spans="1:17">
      <c r="A24" s="64">
        <v>21</v>
      </c>
      <c r="B24" s="267">
        <v>45737</v>
      </c>
      <c r="C24" s="27"/>
      <c r="D24" s="20"/>
      <c r="E24" s="8">
        <v>25.36</v>
      </c>
      <c r="F24" s="8">
        <v>89.47</v>
      </c>
      <c r="G24" s="8">
        <f t="shared" si="0"/>
        <v>2268.9591999999998</v>
      </c>
      <c r="H24" s="9">
        <v>6</v>
      </c>
      <c r="I24" s="9">
        <v>103.4</v>
      </c>
      <c r="J24" s="8">
        <f t="shared" si="1"/>
        <v>620.40000000000009</v>
      </c>
      <c r="K24" s="8">
        <f t="shared" si="2"/>
        <v>2889.3591999999999</v>
      </c>
      <c r="L24" s="184">
        <v>0</v>
      </c>
      <c r="M24" s="8">
        <f t="shared" si="3"/>
        <v>84569.282800000001</v>
      </c>
      <c r="N24" s="62"/>
      <c r="O24" s="1"/>
    </row>
    <row r="25" spans="1:17">
      <c r="A25" s="64">
        <v>22</v>
      </c>
      <c r="B25" s="267">
        <v>45738</v>
      </c>
      <c r="C25" s="27"/>
      <c r="D25" s="20"/>
      <c r="E25" s="8">
        <v>62</v>
      </c>
      <c r="F25" s="8">
        <v>89.47</v>
      </c>
      <c r="G25" s="8">
        <f t="shared" si="0"/>
        <v>5547.14</v>
      </c>
      <c r="H25" s="9">
        <v>5</v>
      </c>
      <c r="I25" s="9">
        <v>103.4</v>
      </c>
      <c r="J25" s="8">
        <f t="shared" si="1"/>
        <v>517</v>
      </c>
      <c r="K25" s="8">
        <f t="shared" si="2"/>
        <v>6064.14</v>
      </c>
      <c r="L25" s="184">
        <v>0</v>
      </c>
      <c r="M25" s="8">
        <f t="shared" si="3"/>
        <v>90633.4228</v>
      </c>
      <c r="N25" s="62"/>
      <c r="O25" s="1"/>
      <c r="Q25">
        <v>8349</v>
      </c>
    </row>
    <row r="26" spans="1:17">
      <c r="A26" s="64">
        <v>23</v>
      </c>
      <c r="B26" s="267">
        <v>45739</v>
      </c>
      <c r="C26" s="27"/>
      <c r="D26" s="20"/>
      <c r="E26" s="8">
        <v>0</v>
      </c>
      <c r="F26" s="8">
        <v>0</v>
      </c>
      <c r="G26" s="8">
        <f t="shared" si="0"/>
        <v>0</v>
      </c>
      <c r="H26" s="9">
        <v>0</v>
      </c>
      <c r="I26" s="9">
        <v>0</v>
      </c>
      <c r="J26" s="8">
        <f t="shared" si="1"/>
        <v>0</v>
      </c>
      <c r="K26" s="8">
        <f t="shared" si="2"/>
        <v>0</v>
      </c>
      <c r="L26" s="184">
        <v>0</v>
      </c>
      <c r="M26" s="8">
        <f t="shared" si="3"/>
        <v>90633.4228</v>
      </c>
      <c r="N26" s="62"/>
      <c r="O26" s="1"/>
    </row>
    <row r="27" spans="1:17">
      <c r="A27" s="64">
        <v>24</v>
      </c>
      <c r="B27" s="267">
        <v>45740</v>
      </c>
      <c r="C27" s="27"/>
      <c r="D27" s="20"/>
      <c r="E27" s="8">
        <v>99</v>
      </c>
      <c r="F27" s="8">
        <v>89.47</v>
      </c>
      <c r="G27" s="8">
        <f t="shared" si="0"/>
        <v>8857.5300000000007</v>
      </c>
      <c r="H27" s="9">
        <v>0</v>
      </c>
      <c r="I27" s="9">
        <v>0</v>
      </c>
      <c r="J27" s="8">
        <f t="shared" si="1"/>
        <v>0</v>
      </c>
      <c r="K27" s="8">
        <f t="shared" si="2"/>
        <v>8857.5300000000007</v>
      </c>
      <c r="L27" s="184">
        <v>80000</v>
      </c>
      <c r="M27" s="8">
        <f t="shared" si="3"/>
        <v>19490.952799999999</v>
      </c>
      <c r="N27" s="62"/>
      <c r="O27" s="1"/>
    </row>
    <row r="28" spans="1:17">
      <c r="A28" s="64">
        <v>25</v>
      </c>
      <c r="B28" s="267">
        <v>45741</v>
      </c>
      <c r="C28" s="27"/>
      <c r="D28" s="20"/>
      <c r="E28" s="8">
        <v>40</v>
      </c>
      <c r="F28" s="8">
        <v>89.47</v>
      </c>
      <c r="G28" s="8">
        <f t="shared" si="0"/>
        <v>3578.8</v>
      </c>
      <c r="H28" s="9">
        <v>0</v>
      </c>
      <c r="I28" s="9">
        <v>0</v>
      </c>
      <c r="J28" s="8">
        <f t="shared" si="1"/>
        <v>0</v>
      </c>
      <c r="K28" s="8">
        <f t="shared" si="2"/>
        <v>3578.8</v>
      </c>
      <c r="L28" s="184">
        <v>0</v>
      </c>
      <c r="M28" s="8">
        <f t="shared" si="3"/>
        <v>23069.752799999998</v>
      </c>
      <c r="N28" s="62"/>
      <c r="O28" s="1"/>
    </row>
    <row r="29" spans="1:17">
      <c r="A29" s="64">
        <v>26</v>
      </c>
      <c r="B29" s="267">
        <v>45742</v>
      </c>
      <c r="C29" s="27"/>
      <c r="D29" s="20"/>
      <c r="E29" s="8">
        <v>0</v>
      </c>
      <c r="F29" s="8">
        <v>0</v>
      </c>
      <c r="G29" s="8">
        <f t="shared" si="0"/>
        <v>0</v>
      </c>
      <c r="H29" s="9">
        <v>0</v>
      </c>
      <c r="I29" s="9">
        <v>0</v>
      </c>
      <c r="J29" s="8">
        <f t="shared" si="1"/>
        <v>0</v>
      </c>
      <c r="K29" s="8">
        <f t="shared" si="2"/>
        <v>0</v>
      </c>
      <c r="L29" s="184">
        <v>0</v>
      </c>
      <c r="M29" s="8">
        <f t="shared" si="3"/>
        <v>23069.752799999998</v>
      </c>
      <c r="N29" s="62"/>
      <c r="O29" s="1"/>
    </row>
    <row r="30" spans="1:17">
      <c r="A30" s="64">
        <v>27</v>
      </c>
      <c r="B30" s="267">
        <v>45743</v>
      </c>
      <c r="C30" s="27"/>
      <c r="D30" s="20"/>
      <c r="E30" s="8">
        <v>46.01</v>
      </c>
      <c r="F30" s="8">
        <v>89.47</v>
      </c>
      <c r="G30" s="8">
        <f t="shared" si="0"/>
        <v>4116.5146999999997</v>
      </c>
      <c r="H30" s="9">
        <v>6</v>
      </c>
      <c r="I30" s="9">
        <v>103.4</v>
      </c>
      <c r="J30" s="8">
        <f t="shared" si="1"/>
        <v>620.40000000000009</v>
      </c>
      <c r="K30" s="8">
        <f t="shared" si="2"/>
        <v>4736.9146999999994</v>
      </c>
      <c r="L30" s="184">
        <v>0</v>
      </c>
      <c r="M30" s="8">
        <f t="shared" si="3"/>
        <v>27806.667499999996</v>
      </c>
      <c r="N30" s="62"/>
      <c r="O30" s="1"/>
    </row>
    <row r="31" spans="1:17">
      <c r="A31" s="64">
        <v>28</v>
      </c>
      <c r="B31" s="267">
        <v>45744</v>
      </c>
      <c r="C31" s="27"/>
      <c r="D31" s="20"/>
      <c r="E31" s="8">
        <v>100</v>
      </c>
      <c r="F31" s="8">
        <v>89.47</v>
      </c>
      <c r="G31" s="8">
        <f t="shared" si="0"/>
        <v>8947</v>
      </c>
      <c r="H31" s="9">
        <v>5</v>
      </c>
      <c r="I31" s="9">
        <v>103.4</v>
      </c>
      <c r="J31" s="8">
        <f t="shared" si="1"/>
        <v>517</v>
      </c>
      <c r="K31" s="8">
        <f>G31+J31</f>
        <v>9464</v>
      </c>
      <c r="L31" s="184">
        <v>0</v>
      </c>
      <c r="M31" s="359">
        <f t="shared" si="3"/>
        <v>37270.667499999996</v>
      </c>
      <c r="N31" s="62"/>
      <c r="O31" s="1"/>
    </row>
    <row r="32" spans="1:17">
      <c r="A32" s="257">
        <v>29</v>
      </c>
      <c r="B32" s="267">
        <v>45745</v>
      </c>
      <c r="C32" s="27"/>
      <c r="D32" s="20"/>
      <c r="E32" s="8"/>
      <c r="F32" s="8"/>
      <c r="G32" s="8"/>
      <c r="H32" s="9">
        <v>5</v>
      </c>
      <c r="I32" s="9">
        <v>103.4</v>
      </c>
      <c r="J32" s="8">
        <f t="shared" si="1"/>
        <v>517</v>
      </c>
      <c r="K32" s="8">
        <f>G32+J32</f>
        <v>517</v>
      </c>
      <c r="L32" s="184">
        <v>0</v>
      </c>
      <c r="M32" s="359">
        <f t="shared" si="3"/>
        <v>37787.667499999996</v>
      </c>
      <c r="N32" s="62"/>
      <c r="O32" s="1"/>
    </row>
    <row r="33" spans="1:17">
      <c r="A33" s="257">
        <v>30</v>
      </c>
      <c r="B33" s="267">
        <v>45746</v>
      </c>
      <c r="C33" s="27"/>
      <c r="D33" s="20"/>
      <c r="E33" s="8"/>
      <c r="F33" s="8"/>
      <c r="G33" s="8"/>
      <c r="H33" s="9"/>
      <c r="I33" s="9"/>
      <c r="J33" s="8"/>
      <c r="K33" s="8"/>
      <c r="L33" s="184"/>
      <c r="M33" s="359">
        <f t="shared" si="3"/>
        <v>37787.667499999996</v>
      </c>
      <c r="N33" s="62"/>
      <c r="O33" s="1"/>
      <c r="Q33">
        <f>35000-8000</f>
        <v>27000</v>
      </c>
    </row>
    <row r="34" spans="1:17">
      <c r="A34" s="257">
        <v>31</v>
      </c>
      <c r="B34" s="267">
        <v>45747</v>
      </c>
      <c r="C34" s="27"/>
      <c r="D34" s="20"/>
      <c r="E34" s="8"/>
      <c r="F34" s="8"/>
      <c r="G34" s="8"/>
      <c r="H34" s="9"/>
      <c r="I34" s="9"/>
      <c r="J34" s="8"/>
      <c r="K34" s="8"/>
      <c r="L34" s="184">
        <v>27272.04</v>
      </c>
      <c r="M34" s="357">
        <f>M33+K34-L34</f>
        <v>10515.627499999995</v>
      </c>
      <c r="N34" s="62"/>
      <c r="O34" s="1"/>
    </row>
    <row r="35" spans="1:17">
      <c r="A35" s="84"/>
      <c r="B35" s="84"/>
      <c r="C35" s="84"/>
      <c r="D35" s="84"/>
      <c r="E35" s="85">
        <f>SUM(E4:E34)</f>
        <v>1690.2499999999998</v>
      </c>
      <c r="F35" s="85"/>
      <c r="G35" s="85">
        <f>SUM(G4:G34)</f>
        <v>151226.66750000001</v>
      </c>
      <c r="H35" s="85">
        <f>SUM(H4:H34)</f>
        <v>60</v>
      </c>
      <c r="I35" s="85"/>
      <c r="J35" s="85">
        <f>SUM(J4:J34)</f>
        <v>6204</v>
      </c>
      <c r="K35" s="85">
        <f>SUM(K4:K34)</f>
        <v>157430.66749999998</v>
      </c>
      <c r="L35" s="85">
        <f>SUM(L4:L34)</f>
        <v>146915.04</v>
      </c>
      <c r="M35" s="85"/>
      <c r="N35" s="85"/>
      <c r="O35" s="81"/>
    </row>
    <row r="36" spans="1:17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7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7">
      <c r="A38" s="1"/>
      <c r="B38" s="371"/>
      <c r="C38" s="371"/>
      <c r="D38" s="371"/>
      <c r="E38" s="371"/>
      <c r="F38" s="1"/>
      <c r="G38" s="1"/>
      <c r="H38" s="1"/>
      <c r="I38" s="394">
        <f>K24+L24</f>
        <v>2889.3591999999999</v>
      </c>
      <c r="J38" s="371"/>
      <c r="K38" s="371"/>
      <c r="L38" s="371"/>
      <c r="M38" s="371"/>
      <c r="N38" s="371"/>
      <c r="O38" s="4"/>
    </row>
    <row r="39" spans="1:1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7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7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7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7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7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7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B38:E38"/>
    <mergeCell ref="I38:N38"/>
    <mergeCell ref="A1:N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0BCA-CEB5-4CC4-B7FA-CDD92ABE66F3}">
  <sheetPr>
    <tabColor rgb="FF7030A0"/>
  </sheetPr>
  <dimension ref="A1:O49"/>
  <sheetViews>
    <sheetView workbookViewId="0">
      <selection activeCell="S16" sqref="S16"/>
    </sheetView>
  </sheetViews>
  <sheetFormatPr defaultRowHeight="15"/>
  <cols>
    <col min="1" max="1" width="5.140625" bestFit="1" customWidth="1"/>
    <col min="2" max="2" width="10" bestFit="1" customWidth="1"/>
    <col min="3" max="3" width="8" bestFit="1" customWidth="1"/>
    <col min="4" max="4" width="15.28515625" customWidth="1"/>
    <col min="5" max="5" width="9.7109375" bestFit="1" customWidth="1"/>
    <col min="6" max="6" width="7" bestFit="1" customWidth="1"/>
    <col min="7" max="7" width="10.85546875" bestFit="1" customWidth="1"/>
    <col min="9" max="9" width="8.140625" bestFit="1" customWidth="1"/>
    <col min="11" max="12" width="13.5703125" bestFit="1" customWidth="1"/>
    <col min="13" max="13" width="10.140625" bestFit="1" customWidth="1"/>
    <col min="14" max="14" width="10.42578125" bestFit="1" customWidth="1"/>
    <col min="15" max="15" width="1.7109375" bestFit="1" customWidth="1"/>
  </cols>
  <sheetData>
    <row r="1" spans="1:15" ht="15.75">
      <c r="A1" s="380" t="s">
        <v>63</v>
      </c>
      <c r="B1" s="380"/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  <c r="N1" s="380"/>
      <c r="O1" s="74"/>
    </row>
    <row r="2" spans="1:15" ht="30.75">
      <c r="A2" s="86" t="s">
        <v>91</v>
      </c>
      <c r="B2" s="107" t="s">
        <v>92</v>
      </c>
      <c r="C2" s="107" t="s">
        <v>93</v>
      </c>
      <c r="D2" s="107" t="s">
        <v>94</v>
      </c>
      <c r="E2" s="107" t="s">
        <v>95</v>
      </c>
      <c r="F2" s="107" t="s">
        <v>96</v>
      </c>
      <c r="G2" s="107" t="s">
        <v>97</v>
      </c>
      <c r="H2" s="107" t="s">
        <v>98</v>
      </c>
      <c r="I2" s="107" t="s">
        <v>96</v>
      </c>
      <c r="J2" s="108" t="s">
        <v>97</v>
      </c>
      <c r="K2" s="86" t="s">
        <v>99</v>
      </c>
      <c r="L2" s="109" t="s">
        <v>100</v>
      </c>
      <c r="M2" s="203" t="s">
        <v>101</v>
      </c>
      <c r="N2" s="107" t="s">
        <v>102</v>
      </c>
      <c r="O2" s="81"/>
    </row>
    <row r="3" spans="1:15">
      <c r="A3" s="181"/>
      <c r="B3" s="182"/>
      <c r="C3" s="182"/>
      <c r="D3" s="161" t="s">
        <v>103</v>
      </c>
      <c r="E3" s="182"/>
      <c r="F3" s="182"/>
      <c r="G3" s="182"/>
      <c r="H3" s="182"/>
      <c r="I3" s="182"/>
      <c r="J3" s="183"/>
      <c r="K3" s="181">
        <v>0</v>
      </c>
      <c r="L3" s="184">
        <v>0</v>
      </c>
      <c r="M3" s="184">
        <f>+K3</f>
        <v>0</v>
      </c>
      <c r="N3" s="182"/>
      <c r="O3" s="81"/>
    </row>
    <row r="4" spans="1:15">
      <c r="A4" s="64">
        <v>1</v>
      </c>
      <c r="B4" s="267">
        <v>45717</v>
      </c>
      <c r="C4" s="27"/>
      <c r="D4" s="27"/>
      <c r="E4" s="8">
        <v>0</v>
      </c>
      <c r="F4" s="8">
        <v>0</v>
      </c>
      <c r="G4" s="8">
        <f>E4*F4</f>
        <v>0</v>
      </c>
      <c r="H4" s="9">
        <v>0</v>
      </c>
      <c r="I4" s="9">
        <v>0</v>
      </c>
      <c r="J4" s="8">
        <f>H4*I4</f>
        <v>0</v>
      </c>
      <c r="K4" s="8">
        <f>G4+J4</f>
        <v>0</v>
      </c>
      <c r="L4" s="184">
        <v>0</v>
      </c>
      <c r="M4" s="8">
        <f>M3+K4-L4</f>
        <v>0</v>
      </c>
      <c r="N4" s="62"/>
      <c r="O4" s="1"/>
    </row>
    <row r="5" spans="1:15">
      <c r="A5" s="64">
        <v>2</v>
      </c>
      <c r="B5" s="267">
        <v>45718</v>
      </c>
      <c r="C5" s="27"/>
      <c r="D5" s="27"/>
      <c r="E5" s="8">
        <v>0</v>
      </c>
      <c r="F5" s="8">
        <v>0</v>
      </c>
      <c r="G5" s="8">
        <f t="shared" ref="G5:G8" si="0">E5*F5</f>
        <v>0</v>
      </c>
      <c r="H5" s="9">
        <v>0</v>
      </c>
      <c r="I5" s="9">
        <v>0</v>
      </c>
      <c r="J5" s="8">
        <f t="shared" ref="J5:J8" si="1">H5*I5</f>
        <v>0</v>
      </c>
      <c r="K5" s="8">
        <f t="shared" ref="K5:K8" si="2">G5+J5</f>
        <v>0</v>
      </c>
      <c r="L5" s="184">
        <v>0</v>
      </c>
      <c r="M5" s="8">
        <f t="shared" ref="M5:M8" si="3">M4+K5-L5</f>
        <v>0</v>
      </c>
      <c r="N5" s="62"/>
      <c r="O5" s="1"/>
    </row>
    <row r="6" spans="1:15">
      <c r="A6" s="64">
        <v>3</v>
      </c>
      <c r="B6" s="267">
        <v>45719</v>
      </c>
      <c r="C6" s="27"/>
      <c r="D6" s="27"/>
      <c r="E6" s="8">
        <v>0</v>
      </c>
      <c r="F6" s="8">
        <v>0</v>
      </c>
      <c r="G6" s="8">
        <f t="shared" si="0"/>
        <v>0</v>
      </c>
      <c r="H6" s="9">
        <v>0</v>
      </c>
      <c r="I6" s="9">
        <v>0</v>
      </c>
      <c r="J6" s="8">
        <f t="shared" si="1"/>
        <v>0</v>
      </c>
      <c r="K6" s="8">
        <f t="shared" si="2"/>
        <v>0</v>
      </c>
      <c r="L6" s="184">
        <v>0</v>
      </c>
      <c r="M6" s="8">
        <f t="shared" si="3"/>
        <v>0</v>
      </c>
      <c r="N6" s="62"/>
      <c r="O6" s="1"/>
    </row>
    <row r="7" spans="1:15">
      <c r="A7" s="64">
        <v>4</v>
      </c>
      <c r="B7" s="267">
        <v>45720</v>
      </c>
      <c r="C7" s="27"/>
      <c r="D7" s="27"/>
      <c r="E7" s="8">
        <v>0</v>
      </c>
      <c r="F7" s="8">
        <v>0</v>
      </c>
      <c r="G7" s="8">
        <f t="shared" si="0"/>
        <v>0</v>
      </c>
      <c r="H7" s="9">
        <v>5</v>
      </c>
      <c r="I7" s="9">
        <v>103.76</v>
      </c>
      <c r="J7" s="8">
        <f t="shared" si="1"/>
        <v>518.80000000000007</v>
      </c>
      <c r="K7" s="8">
        <f t="shared" si="2"/>
        <v>518.80000000000007</v>
      </c>
      <c r="L7" s="184">
        <f>+K7</f>
        <v>518.80000000000007</v>
      </c>
      <c r="M7" s="8">
        <f t="shared" si="3"/>
        <v>0</v>
      </c>
      <c r="N7" s="62"/>
      <c r="O7" s="1"/>
    </row>
    <row r="8" spans="1:15">
      <c r="A8" s="64">
        <v>5</v>
      </c>
      <c r="B8" s="267">
        <v>45721</v>
      </c>
      <c r="C8" s="27"/>
      <c r="D8" s="27"/>
      <c r="E8" s="8">
        <v>0</v>
      </c>
      <c r="F8" s="8">
        <v>0</v>
      </c>
      <c r="G8" s="8">
        <f t="shared" si="0"/>
        <v>0</v>
      </c>
      <c r="H8" s="9">
        <v>0</v>
      </c>
      <c r="I8" s="9">
        <v>0</v>
      </c>
      <c r="J8" s="8">
        <f t="shared" si="1"/>
        <v>0</v>
      </c>
      <c r="K8" s="8">
        <f t="shared" si="2"/>
        <v>0</v>
      </c>
      <c r="L8" s="184">
        <f t="shared" ref="L8:L34" si="4">+K8</f>
        <v>0</v>
      </c>
      <c r="M8" s="8">
        <f t="shared" si="3"/>
        <v>0</v>
      </c>
      <c r="N8" s="62"/>
      <c r="O8" s="1"/>
    </row>
    <row r="9" spans="1:15">
      <c r="A9" s="64">
        <v>6</v>
      </c>
      <c r="B9" s="267">
        <v>45722</v>
      </c>
      <c r="C9" s="27"/>
      <c r="D9" s="27"/>
      <c r="E9" s="8">
        <v>0</v>
      </c>
      <c r="F9" s="8">
        <v>0</v>
      </c>
      <c r="G9" s="8">
        <f t="shared" ref="G9:G31" si="5">E9*F9</f>
        <v>0</v>
      </c>
      <c r="H9" s="9">
        <v>0</v>
      </c>
      <c r="I9" s="9">
        <v>0</v>
      </c>
      <c r="J9" s="8">
        <f t="shared" ref="J9:J32" si="6">H9*I9</f>
        <v>0</v>
      </c>
      <c r="K9" s="8">
        <f t="shared" ref="K9:K32" si="7">G9+J9</f>
        <v>0</v>
      </c>
      <c r="L9" s="184">
        <f t="shared" si="4"/>
        <v>0</v>
      </c>
      <c r="M9" s="8">
        <f t="shared" ref="M9:M31" si="8">M8+K9-L9</f>
        <v>0</v>
      </c>
      <c r="N9" s="62"/>
      <c r="O9" s="1"/>
    </row>
    <row r="10" spans="1:15">
      <c r="A10" s="64">
        <v>7</v>
      </c>
      <c r="B10" s="267">
        <v>45723</v>
      </c>
      <c r="C10" s="27"/>
      <c r="D10" s="27"/>
      <c r="E10" s="8">
        <v>30</v>
      </c>
      <c r="F10" s="8">
        <v>89.78</v>
      </c>
      <c r="G10" s="8">
        <f t="shared" si="5"/>
        <v>2693.4</v>
      </c>
      <c r="H10" s="9">
        <v>0</v>
      </c>
      <c r="I10" s="9">
        <v>0</v>
      </c>
      <c r="J10" s="8">
        <f t="shared" si="6"/>
        <v>0</v>
      </c>
      <c r="K10" s="8">
        <f t="shared" si="7"/>
        <v>2693.4</v>
      </c>
      <c r="L10" s="184">
        <f t="shared" si="4"/>
        <v>2693.4</v>
      </c>
      <c r="M10" s="8">
        <f t="shared" si="8"/>
        <v>0</v>
      </c>
      <c r="N10" s="62"/>
      <c r="O10" s="1"/>
    </row>
    <row r="11" spans="1:15">
      <c r="A11" s="64">
        <v>8</v>
      </c>
      <c r="B11" s="267">
        <v>45724</v>
      </c>
      <c r="C11" s="27"/>
      <c r="D11" s="27"/>
      <c r="E11" s="8">
        <v>75</v>
      </c>
      <c r="F11" s="8">
        <v>89.78</v>
      </c>
      <c r="G11" s="8">
        <f t="shared" si="5"/>
        <v>6733.5</v>
      </c>
      <c r="H11" s="9">
        <v>0</v>
      </c>
      <c r="I11" s="9">
        <v>0</v>
      </c>
      <c r="J11" s="8">
        <f t="shared" si="6"/>
        <v>0</v>
      </c>
      <c r="K11" s="8">
        <f t="shared" si="7"/>
        <v>6733.5</v>
      </c>
      <c r="L11" s="184">
        <f t="shared" si="4"/>
        <v>6733.5</v>
      </c>
      <c r="M11" s="8">
        <f t="shared" si="8"/>
        <v>0</v>
      </c>
      <c r="N11" s="62"/>
      <c r="O11" s="1"/>
    </row>
    <row r="12" spans="1:15">
      <c r="A12" s="64">
        <v>9</v>
      </c>
      <c r="B12" s="267">
        <v>45725</v>
      </c>
      <c r="C12" s="27"/>
      <c r="D12" s="27"/>
      <c r="E12" s="8">
        <v>40</v>
      </c>
      <c r="F12" s="8">
        <v>89.78</v>
      </c>
      <c r="G12" s="8">
        <f t="shared" si="5"/>
        <v>3591.2</v>
      </c>
      <c r="H12" s="9">
        <v>5</v>
      </c>
      <c r="I12" s="9">
        <v>103.76</v>
      </c>
      <c r="J12" s="8">
        <f t="shared" si="6"/>
        <v>518.80000000000007</v>
      </c>
      <c r="K12" s="8">
        <f t="shared" si="7"/>
        <v>4110</v>
      </c>
      <c r="L12" s="184">
        <f t="shared" si="4"/>
        <v>4110</v>
      </c>
      <c r="M12" s="8">
        <f t="shared" si="8"/>
        <v>0</v>
      </c>
      <c r="N12" s="62"/>
      <c r="O12" s="1" t="s">
        <v>113</v>
      </c>
    </row>
    <row r="13" spans="1:15">
      <c r="A13" s="64">
        <v>10</v>
      </c>
      <c r="B13" s="267">
        <v>45726</v>
      </c>
      <c r="C13" s="27"/>
      <c r="D13" s="27"/>
      <c r="E13" s="8">
        <v>135</v>
      </c>
      <c r="F13" s="8">
        <v>89.78</v>
      </c>
      <c r="G13" s="8">
        <f t="shared" si="5"/>
        <v>12120.3</v>
      </c>
      <c r="H13" s="9">
        <v>5</v>
      </c>
      <c r="I13" s="9">
        <v>103.76</v>
      </c>
      <c r="J13" s="8">
        <f t="shared" si="6"/>
        <v>518.80000000000007</v>
      </c>
      <c r="K13" s="8">
        <f t="shared" si="7"/>
        <v>12639.099999999999</v>
      </c>
      <c r="L13" s="184">
        <f t="shared" si="4"/>
        <v>12639.099999999999</v>
      </c>
      <c r="M13" s="8">
        <f t="shared" si="8"/>
        <v>0</v>
      </c>
      <c r="N13" s="62"/>
      <c r="O13" s="1"/>
    </row>
    <row r="14" spans="1:15">
      <c r="A14" s="64">
        <v>11</v>
      </c>
      <c r="B14" s="267">
        <v>45727</v>
      </c>
      <c r="C14" s="27"/>
      <c r="D14" s="27"/>
      <c r="E14" s="8">
        <v>110</v>
      </c>
      <c r="F14" s="8">
        <v>89.78</v>
      </c>
      <c r="G14" s="8">
        <f t="shared" si="5"/>
        <v>9875.7999999999993</v>
      </c>
      <c r="H14" s="9">
        <v>0</v>
      </c>
      <c r="I14" s="9">
        <v>0</v>
      </c>
      <c r="J14" s="8">
        <f t="shared" si="6"/>
        <v>0</v>
      </c>
      <c r="K14" s="8">
        <f t="shared" si="7"/>
        <v>9875.7999999999993</v>
      </c>
      <c r="L14" s="184">
        <f t="shared" si="4"/>
        <v>9875.7999999999993</v>
      </c>
      <c r="M14" s="8">
        <f t="shared" si="8"/>
        <v>0</v>
      </c>
      <c r="N14" s="62"/>
      <c r="O14" s="1"/>
    </row>
    <row r="15" spans="1:15">
      <c r="A15" s="64">
        <v>12</v>
      </c>
      <c r="B15" s="267">
        <v>45728</v>
      </c>
      <c r="C15" s="27"/>
      <c r="D15" s="27"/>
      <c r="E15" s="8">
        <v>40</v>
      </c>
      <c r="F15" s="8">
        <v>89.78</v>
      </c>
      <c r="G15" s="8">
        <f t="shared" si="5"/>
        <v>3591.2</v>
      </c>
      <c r="H15" s="9">
        <v>0</v>
      </c>
      <c r="I15" s="9">
        <v>0</v>
      </c>
      <c r="J15" s="8">
        <f t="shared" si="6"/>
        <v>0</v>
      </c>
      <c r="K15" s="8">
        <f t="shared" si="7"/>
        <v>3591.2</v>
      </c>
      <c r="L15" s="184">
        <f t="shared" si="4"/>
        <v>3591.2</v>
      </c>
      <c r="M15" s="8">
        <f t="shared" si="8"/>
        <v>0</v>
      </c>
      <c r="N15" s="62"/>
      <c r="O15" s="1"/>
    </row>
    <row r="16" spans="1:15">
      <c r="A16" s="64">
        <v>13</v>
      </c>
      <c r="B16" s="267">
        <v>45729</v>
      </c>
      <c r="C16" s="27"/>
      <c r="D16" s="27"/>
      <c r="E16" s="8">
        <v>0</v>
      </c>
      <c r="F16" s="8">
        <v>89.78</v>
      </c>
      <c r="G16" s="8">
        <f t="shared" si="5"/>
        <v>0</v>
      </c>
      <c r="H16" s="9">
        <v>0</v>
      </c>
      <c r="I16" s="9">
        <v>0</v>
      </c>
      <c r="J16" s="8">
        <f t="shared" si="6"/>
        <v>0</v>
      </c>
      <c r="K16" s="8">
        <f t="shared" si="7"/>
        <v>0</v>
      </c>
      <c r="L16" s="184">
        <f t="shared" si="4"/>
        <v>0</v>
      </c>
      <c r="M16" s="8">
        <f t="shared" si="8"/>
        <v>0</v>
      </c>
      <c r="N16" s="62"/>
      <c r="O16" s="1"/>
    </row>
    <row r="17" spans="1:15">
      <c r="A17" s="64">
        <v>14</v>
      </c>
      <c r="B17" s="267">
        <v>45730</v>
      </c>
      <c r="C17" s="27"/>
      <c r="D17" s="27"/>
      <c r="E17" s="8">
        <v>35</v>
      </c>
      <c r="F17" s="8">
        <v>89.78</v>
      </c>
      <c r="G17" s="8">
        <f t="shared" si="5"/>
        <v>3142.3</v>
      </c>
      <c r="H17" s="9">
        <v>0</v>
      </c>
      <c r="I17" s="9">
        <v>0</v>
      </c>
      <c r="J17" s="8">
        <f t="shared" si="6"/>
        <v>0</v>
      </c>
      <c r="K17" s="8">
        <f t="shared" si="7"/>
        <v>3142.3</v>
      </c>
      <c r="L17" s="184">
        <f t="shared" si="4"/>
        <v>3142.3</v>
      </c>
      <c r="M17" s="8">
        <f t="shared" si="8"/>
        <v>0</v>
      </c>
      <c r="N17" s="62"/>
      <c r="O17" s="1"/>
    </row>
    <row r="18" spans="1:15">
      <c r="A18" s="64">
        <v>15</v>
      </c>
      <c r="B18" s="267">
        <v>45731</v>
      </c>
      <c r="C18" s="27"/>
      <c r="D18" s="27"/>
      <c r="E18" s="8">
        <v>0</v>
      </c>
      <c r="F18" s="8">
        <v>0</v>
      </c>
      <c r="G18" s="8">
        <f t="shared" si="5"/>
        <v>0</v>
      </c>
      <c r="H18" s="9">
        <v>10</v>
      </c>
      <c r="I18" s="9">
        <v>103.76</v>
      </c>
      <c r="J18" s="8">
        <f t="shared" si="6"/>
        <v>1037.6000000000001</v>
      </c>
      <c r="K18" s="8">
        <f t="shared" si="7"/>
        <v>1037.6000000000001</v>
      </c>
      <c r="L18" s="184">
        <f t="shared" si="4"/>
        <v>1037.6000000000001</v>
      </c>
      <c r="M18" s="8">
        <f t="shared" si="8"/>
        <v>0</v>
      </c>
      <c r="N18" s="62"/>
      <c r="O18" s="1"/>
    </row>
    <row r="19" spans="1:15">
      <c r="A19" s="64">
        <v>16</v>
      </c>
      <c r="B19" s="267">
        <v>45732</v>
      </c>
      <c r="C19" s="27"/>
      <c r="D19" s="27"/>
      <c r="E19" s="8">
        <v>0</v>
      </c>
      <c r="F19" s="8">
        <v>0</v>
      </c>
      <c r="G19" s="8">
        <f t="shared" si="5"/>
        <v>0</v>
      </c>
      <c r="H19" s="9">
        <v>0</v>
      </c>
      <c r="I19" s="9">
        <v>0</v>
      </c>
      <c r="J19" s="8">
        <f t="shared" si="6"/>
        <v>0</v>
      </c>
      <c r="K19" s="8">
        <f t="shared" si="7"/>
        <v>0</v>
      </c>
      <c r="L19" s="184">
        <f t="shared" si="4"/>
        <v>0</v>
      </c>
      <c r="M19" s="8">
        <f t="shared" si="8"/>
        <v>0</v>
      </c>
      <c r="N19" s="62"/>
      <c r="O19" s="1"/>
    </row>
    <row r="20" spans="1:15">
      <c r="A20" s="64">
        <v>17</v>
      </c>
      <c r="B20" s="267">
        <v>45733</v>
      </c>
      <c r="C20" s="27"/>
      <c r="D20" s="27"/>
      <c r="E20" s="8">
        <v>75</v>
      </c>
      <c r="F20" s="8">
        <v>89.78</v>
      </c>
      <c r="G20" s="8">
        <f t="shared" si="5"/>
        <v>6733.5</v>
      </c>
      <c r="H20" s="9">
        <v>0</v>
      </c>
      <c r="I20" s="9">
        <v>0</v>
      </c>
      <c r="J20" s="8">
        <f t="shared" si="6"/>
        <v>0</v>
      </c>
      <c r="K20" s="8">
        <f t="shared" si="7"/>
        <v>6733.5</v>
      </c>
      <c r="L20" s="184">
        <f t="shared" si="4"/>
        <v>6733.5</v>
      </c>
      <c r="M20" s="8">
        <f t="shared" si="8"/>
        <v>0</v>
      </c>
      <c r="N20" s="62"/>
      <c r="O20" s="1"/>
    </row>
    <row r="21" spans="1:15">
      <c r="A21" s="64">
        <v>18</v>
      </c>
      <c r="B21" s="267">
        <v>45734</v>
      </c>
      <c r="C21" s="27"/>
      <c r="D21" s="27"/>
      <c r="E21" s="8">
        <v>40</v>
      </c>
      <c r="F21" s="8">
        <v>89.78</v>
      </c>
      <c r="G21" s="8">
        <f t="shared" si="5"/>
        <v>3591.2</v>
      </c>
      <c r="H21" s="9">
        <v>5</v>
      </c>
      <c r="I21" s="9">
        <v>103.76</v>
      </c>
      <c r="J21" s="8">
        <f t="shared" si="6"/>
        <v>518.80000000000007</v>
      </c>
      <c r="K21" s="8">
        <f t="shared" si="7"/>
        <v>4110</v>
      </c>
      <c r="L21" s="184">
        <f t="shared" si="4"/>
        <v>4110</v>
      </c>
      <c r="M21" s="8">
        <f t="shared" si="8"/>
        <v>0</v>
      </c>
      <c r="N21" s="62"/>
      <c r="O21" s="1"/>
    </row>
    <row r="22" spans="1:15">
      <c r="A22" s="64">
        <v>19</v>
      </c>
      <c r="B22" s="267">
        <v>45735</v>
      </c>
      <c r="C22" s="27"/>
      <c r="D22" s="27"/>
      <c r="E22" s="8">
        <v>40</v>
      </c>
      <c r="F22" s="8">
        <v>89.78</v>
      </c>
      <c r="G22" s="8">
        <f t="shared" si="5"/>
        <v>3591.2</v>
      </c>
      <c r="H22" s="9">
        <v>0</v>
      </c>
      <c r="I22" s="9">
        <v>0</v>
      </c>
      <c r="J22" s="8">
        <f t="shared" si="6"/>
        <v>0</v>
      </c>
      <c r="K22" s="8">
        <f t="shared" si="7"/>
        <v>3591.2</v>
      </c>
      <c r="L22" s="184">
        <f t="shared" si="4"/>
        <v>3591.2</v>
      </c>
      <c r="M22" s="8">
        <f t="shared" si="8"/>
        <v>0</v>
      </c>
      <c r="N22" s="62"/>
      <c r="O22" s="1"/>
    </row>
    <row r="23" spans="1:15">
      <c r="A23" s="64">
        <v>20</v>
      </c>
      <c r="B23" s="267">
        <v>45736</v>
      </c>
      <c r="C23" s="27"/>
      <c r="D23" s="27"/>
      <c r="E23" s="8">
        <v>40</v>
      </c>
      <c r="F23" s="8">
        <v>89.78</v>
      </c>
      <c r="G23" s="8">
        <f t="shared" si="5"/>
        <v>3591.2</v>
      </c>
      <c r="H23" s="9">
        <v>0</v>
      </c>
      <c r="I23" s="9">
        <v>0</v>
      </c>
      <c r="J23" s="8">
        <f t="shared" si="6"/>
        <v>0</v>
      </c>
      <c r="K23" s="8">
        <f t="shared" si="7"/>
        <v>3591.2</v>
      </c>
      <c r="L23" s="184">
        <f t="shared" si="4"/>
        <v>3591.2</v>
      </c>
      <c r="M23" s="8">
        <f t="shared" si="8"/>
        <v>0</v>
      </c>
      <c r="N23" s="62"/>
      <c r="O23" s="1"/>
    </row>
    <row r="24" spans="1:15">
      <c r="A24" s="64">
        <v>21</v>
      </c>
      <c r="B24" s="267">
        <v>45737</v>
      </c>
      <c r="C24" s="27"/>
      <c r="D24" s="27"/>
      <c r="E24" s="8">
        <v>105</v>
      </c>
      <c r="F24" s="8">
        <v>89.78</v>
      </c>
      <c r="G24" s="8">
        <f t="shared" si="5"/>
        <v>9426.9</v>
      </c>
      <c r="H24" s="9">
        <v>0</v>
      </c>
      <c r="I24" s="9">
        <v>0</v>
      </c>
      <c r="J24" s="8">
        <f t="shared" si="6"/>
        <v>0</v>
      </c>
      <c r="K24" s="8">
        <f t="shared" si="7"/>
        <v>9426.9</v>
      </c>
      <c r="L24" s="184">
        <f t="shared" si="4"/>
        <v>9426.9</v>
      </c>
      <c r="M24" s="8">
        <f t="shared" si="8"/>
        <v>0</v>
      </c>
      <c r="N24" s="62"/>
      <c r="O24" s="1"/>
    </row>
    <row r="25" spans="1:15">
      <c r="A25" s="64">
        <v>22</v>
      </c>
      <c r="B25" s="267">
        <v>45738</v>
      </c>
      <c r="C25" s="27"/>
      <c r="D25" s="27"/>
      <c r="E25" s="8">
        <v>0</v>
      </c>
      <c r="F25" s="8">
        <v>0</v>
      </c>
      <c r="G25" s="8">
        <f t="shared" si="5"/>
        <v>0</v>
      </c>
      <c r="H25" s="9">
        <v>0</v>
      </c>
      <c r="I25" s="9">
        <v>0</v>
      </c>
      <c r="J25" s="8">
        <f t="shared" si="6"/>
        <v>0</v>
      </c>
      <c r="K25" s="8">
        <f t="shared" si="7"/>
        <v>0</v>
      </c>
      <c r="L25" s="184">
        <f t="shared" si="4"/>
        <v>0</v>
      </c>
      <c r="M25" s="8">
        <f t="shared" si="8"/>
        <v>0</v>
      </c>
      <c r="N25" s="62"/>
      <c r="O25" s="1"/>
    </row>
    <row r="26" spans="1:15">
      <c r="A26" s="64">
        <v>23</v>
      </c>
      <c r="B26" s="267">
        <v>45739</v>
      </c>
      <c r="C26" s="27"/>
      <c r="D26" s="27"/>
      <c r="E26" s="8">
        <v>0</v>
      </c>
      <c r="F26" s="8">
        <v>0</v>
      </c>
      <c r="G26" s="8">
        <f t="shared" si="5"/>
        <v>0</v>
      </c>
      <c r="H26" s="9">
        <v>0</v>
      </c>
      <c r="I26" s="9">
        <v>0</v>
      </c>
      <c r="J26" s="8">
        <f t="shared" si="6"/>
        <v>0</v>
      </c>
      <c r="K26" s="8">
        <f t="shared" si="7"/>
        <v>0</v>
      </c>
      <c r="L26" s="184">
        <f t="shared" si="4"/>
        <v>0</v>
      </c>
      <c r="M26" s="8">
        <f t="shared" si="8"/>
        <v>0</v>
      </c>
      <c r="N26" s="62"/>
      <c r="O26" s="1"/>
    </row>
    <row r="27" spans="1:15">
      <c r="A27" s="64">
        <v>24</v>
      </c>
      <c r="B27" s="267">
        <v>45740</v>
      </c>
      <c r="C27" s="27"/>
      <c r="D27" s="27"/>
      <c r="E27" s="8">
        <v>45</v>
      </c>
      <c r="F27" s="8">
        <v>89.78</v>
      </c>
      <c r="G27" s="8">
        <f t="shared" si="5"/>
        <v>4040.1</v>
      </c>
      <c r="H27" s="9">
        <v>0</v>
      </c>
      <c r="I27" s="9">
        <v>0</v>
      </c>
      <c r="J27" s="8">
        <f t="shared" si="6"/>
        <v>0</v>
      </c>
      <c r="K27" s="8">
        <f t="shared" si="7"/>
        <v>4040.1</v>
      </c>
      <c r="L27" s="184">
        <f t="shared" si="4"/>
        <v>4040.1</v>
      </c>
      <c r="M27" s="8">
        <f t="shared" si="8"/>
        <v>0</v>
      </c>
      <c r="N27" s="62"/>
      <c r="O27" s="1"/>
    </row>
    <row r="28" spans="1:15">
      <c r="A28" s="64">
        <v>25</v>
      </c>
      <c r="B28" s="267">
        <v>45741</v>
      </c>
      <c r="C28" s="27"/>
      <c r="D28" s="27"/>
      <c r="E28" s="8">
        <v>60</v>
      </c>
      <c r="F28" s="8">
        <v>89.78</v>
      </c>
      <c r="G28" s="8">
        <f t="shared" si="5"/>
        <v>5386.8</v>
      </c>
      <c r="H28" s="9">
        <v>10</v>
      </c>
      <c r="I28" s="9">
        <v>103.76</v>
      </c>
      <c r="J28" s="8">
        <f t="shared" si="6"/>
        <v>1037.6000000000001</v>
      </c>
      <c r="K28" s="8">
        <f t="shared" si="7"/>
        <v>6424.4000000000005</v>
      </c>
      <c r="L28" s="184">
        <f t="shared" si="4"/>
        <v>6424.4000000000005</v>
      </c>
      <c r="M28" s="8">
        <f t="shared" si="8"/>
        <v>0</v>
      </c>
      <c r="N28" s="62"/>
      <c r="O28" s="1"/>
    </row>
    <row r="29" spans="1:15">
      <c r="A29" s="64">
        <v>26</v>
      </c>
      <c r="B29" s="267">
        <v>45742</v>
      </c>
      <c r="C29" s="27"/>
      <c r="D29" s="27"/>
      <c r="E29" s="8">
        <v>50</v>
      </c>
      <c r="F29" s="8">
        <v>89.78</v>
      </c>
      <c r="G29" s="8">
        <f t="shared" si="5"/>
        <v>4489</v>
      </c>
      <c r="H29" s="9">
        <v>0</v>
      </c>
      <c r="I29" s="9">
        <v>0</v>
      </c>
      <c r="J29" s="8">
        <f t="shared" si="6"/>
        <v>0</v>
      </c>
      <c r="K29" s="8">
        <f t="shared" si="7"/>
        <v>4489</v>
      </c>
      <c r="L29" s="184">
        <f t="shared" si="4"/>
        <v>4489</v>
      </c>
      <c r="M29" s="8">
        <f t="shared" si="8"/>
        <v>0</v>
      </c>
      <c r="N29" s="62"/>
      <c r="O29" s="1"/>
    </row>
    <row r="30" spans="1:15">
      <c r="A30" s="64">
        <v>27</v>
      </c>
      <c r="B30" s="267">
        <v>45743</v>
      </c>
      <c r="C30" s="27"/>
      <c r="D30" s="27"/>
      <c r="E30" s="8">
        <v>105</v>
      </c>
      <c r="F30" s="8">
        <v>89.78</v>
      </c>
      <c r="G30" s="8">
        <f t="shared" si="5"/>
        <v>9426.9</v>
      </c>
      <c r="H30" s="9">
        <v>0</v>
      </c>
      <c r="I30" s="9">
        <v>0</v>
      </c>
      <c r="J30" s="8">
        <f t="shared" si="6"/>
        <v>0</v>
      </c>
      <c r="K30" s="8">
        <f t="shared" si="7"/>
        <v>9426.9</v>
      </c>
      <c r="L30" s="184">
        <f t="shared" si="4"/>
        <v>9426.9</v>
      </c>
      <c r="M30" s="8">
        <f t="shared" si="8"/>
        <v>0</v>
      </c>
      <c r="N30" s="62"/>
      <c r="O30" s="1"/>
    </row>
    <row r="31" spans="1:15">
      <c r="A31" s="64">
        <v>28</v>
      </c>
      <c r="B31" s="267">
        <v>45744</v>
      </c>
      <c r="C31" s="27"/>
      <c r="D31" s="27"/>
      <c r="E31" s="8">
        <v>65</v>
      </c>
      <c r="F31" s="8">
        <v>89.78</v>
      </c>
      <c r="G31" s="8">
        <f t="shared" si="5"/>
        <v>5835.7</v>
      </c>
      <c r="H31" s="9">
        <v>0</v>
      </c>
      <c r="I31" s="9">
        <v>0</v>
      </c>
      <c r="J31" s="8">
        <f t="shared" si="6"/>
        <v>0</v>
      </c>
      <c r="K31" s="8">
        <f t="shared" si="7"/>
        <v>5835.7</v>
      </c>
      <c r="L31" s="184">
        <f t="shared" si="4"/>
        <v>5835.7</v>
      </c>
      <c r="M31" s="8">
        <f t="shared" si="8"/>
        <v>0</v>
      </c>
      <c r="N31" s="62"/>
      <c r="O31" s="1"/>
    </row>
    <row r="32" spans="1:15">
      <c r="A32" s="257">
        <v>29</v>
      </c>
      <c r="B32" s="267">
        <v>45745</v>
      </c>
      <c r="C32" s="27"/>
      <c r="D32" s="27"/>
      <c r="E32" s="8"/>
      <c r="F32" s="8"/>
      <c r="G32" s="8"/>
      <c r="H32" s="9">
        <v>5</v>
      </c>
      <c r="I32" s="9">
        <v>103.76</v>
      </c>
      <c r="J32" s="8">
        <f t="shared" si="6"/>
        <v>518.80000000000007</v>
      </c>
      <c r="K32" s="8">
        <f t="shared" si="7"/>
        <v>518.80000000000007</v>
      </c>
      <c r="L32" s="184">
        <f t="shared" si="4"/>
        <v>518.80000000000007</v>
      </c>
      <c r="M32" s="8"/>
      <c r="N32" s="62"/>
      <c r="O32" s="1"/>
    </row>
    <row r="33" spans="1:15">
      <c r="A33" s="257">
        <v>30</v>
      </c>
      <c r="B33" s="267">
        <v>45746</v>
      </c>
      <c r="C33" s="27"/>
      <c r="D33" s="27"/>
      <c r="E33" s="8"/>
      <c r="F33" s="8"/>
      <c r="G33" s="8"/>
      <c r="H33" s="9"/>
      <c r="I33" s="9"/>
      <c r="J33" s="8"/>
      <c r="K33" s="8"/>
      <c r="L33" s="184">
        <f t="shared" si="4"/>
        <v>0</v>
      </c>
      <c r="M33" s="8"/>
      <c r="N33" s="62"/>
      <c r="O33" s="1"/>
    </row>
    <row r="34" spans="1:15">
      <c r="A34" s="257">
        <v>31</v>
      </c>
      <c r="B34" s="267">
        <v>45747</v>
      </c>
      <c r="C34" s="27"/>
      <c r="D34" s="27"/>
      <c r="E34" s="8"/>
      <c r="F34" s="8"/>
      <c r="G34" s="8"/>
      <c r="H34" s="9"/>
      <c r="I34" s="9"/>
      <c r="J34" s="8"/>
      <c r="K34" s="8"/>
      <c r="L34" s="184">
        <f t="shared" si="4"/>
        <v>0</v>
      </c>
      <c r="M34" s="8"/>
      <c r="N34" s="62"/>
      <c r="O34" s="1"/>
    </row>
    <row r="35" spans="1:15">
      <c r="A35" s="84"/>
      <c r="B35" s="84"/>
      <c r="C35" s="84"/>
      <c r="D35" s="84"/>
      <c r="E35" s="85">
        <f>SUM(E4:E34)</f>
        <v>1090</v>
      </c>
      <c r="F35" s="85"/>
      <c r="G35" s="85">
        <f>SUM(G4:G34)</f>
        <v>97860.199999999983</v>
      </c>
      <c r="H35" s="85">
        <f t="shared" ref="H35:I35" si="9">SUM(H4:H34)</f>
        <v>45</v>
      </c>
      <c r="I35" s="85"/>
      <c r="J35" s="85">
        <f>SUM(J4:J34)</f>
        <v>4669.2000000000007</v>
      </c>
      <c r="K35" s="85">
        <f t="shared" ref="J35:K35" si="10">SUM(K4:K34)</f>
        <v>102529.39999999998</v>
      </c>
      <c r="L35" s="85">
        <f>SUM(L4:L34)</f>
        <v>102529.39999999998</v>
      </c>
      <c r="M35" s="85"/>
      <c r="N35" s="85"/>
      <c r="O35" s="81"/>
    </row>
    <row r="36" spans="1:15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5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5">
      <c r="A38" s="1"/>
      <c r="B38" s="371"/>
      <c r="C38" s="371"/>
      <c r="D38" s="371"/>
      <c r="E38" s="371"/>
      <c r="F38" s="1"/>
      <c r="G38" s="1"/>
      <c r="H38" s="1"/>
      <c r="I38" s="394">
        <f>K24+L24</f>
        <v>18853.8</v>
      </c>
      <c r="J38" s="371"/>
      <c r="K38" s="371"/>
      <c r="L38" s="371"/>
      <c r="M38" s="371"/>
      <c r="N38" s="371"/>
      <c r="O38" s="4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A1:N1"/>
    <mergeCell ref="B38:E38"/>
    <mergeCell ref="I38:N3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9A38-9EED-4627-A7B0-503372172E75}">
  <sheetPr>
    <tabColor rgb="FF7030A0"/>
  </sheetPr>
  <dimension ref="A1:O49"/>
  <sheetViews>
    <sheetView topLeftCell="A18" workbookViewId="0">
      <selection activeCell="M43" sqref="M43"/>
    </sheetView>
  </sheetViews>
  <sheetFormatPr defaultRowHeight="15"/>
  <cols>
    <col min="2" max="2" width="10.42578125" bestFit="1" customWidth="1"/>
    <col min="7" max="7" width="11.85546875" bestFit="1" customWidth="1"/>
    <col min="9" max="9" width="9.7109375" bestFit="1" customWidth="1"/>
    <col min="11" max="12" width="13.5703125" bestFit="1" customWidth="1"/>
    <col min="13" max="13" width="10.85546875" bestFit="1" customWidth="1"/>
    <col min="14" max="14" width="10.42578125" bestFit="1" customWidth="1"/>
  </cols>
  <sheetData>
    <row r="1" spans="1:15" ht="15.75">
      <c r="A1" s="380" t="s">
        <v>65</v>
      </c>
      <c r="B1" s="380"/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  <c r="N1" s="380"/>
      <c r="O1" s="74"/>
    </row>
    <row r="2" spans="1:15" ht="30.75">
      <c r="A2" s="86" t="s">
        <v>91</v>
      </c>
      <c r="B2" s="107" t="s">
        <v>92</v>
      </c>
      <c r="C2" s="107" t="s">
        <v>93</v>
      </c>
      <c r="D2" s="107" t="s">
        <v>94</v>
      </c>
      <c r="E2" s="107" t="s">
        <v>95</v>
      </c>
      <c r="F2" s="107" t="s">
        <v>96</v>
      </c>
      <c r="G2" s="107" t="s">
        <v>97</v>
      </c>
      <c r="H2" s="107" t="s">
        <v>98</v>
      </c>
      <c r="I2" s="107" t="s">
        <v>96</v>
      </c>
      <c r="J2" s="108" t="s">
        <v>97</v>
      </c>
      <c r="K2" s="86" t="s">
        <v>99</v>
      </c>
      <c r="L2" s="109" t="s">
        <v>100</v>
      </c>
      <c r="M2" s="203" t="s">
        <v>101</v>
      </c>
      <c r="N2" s="107" t="s">
        <v>102</v>
      </c>
      <c r="O2" s="81"/>
    </row>
    <row r="3" spans="1:15">
      <c r="A3" s="181"/>
      <c r="B3" s="182"/>
      <c r="C3" s="182"/>
      <c r="D3" s="161" t="s">
        <v>103</v>
      </c>
      <c r="E3" s="182"/>
      <c r="F3" s="182"/>
      <c r="G3" s="182"/>
      <c r="H3" s="182"/>
      <c r="I3" s="182"/>
      <c r="J3" s="183"/>
      <c r="K3" s="181">
        <v>0</v>
      </c>
      <c r="L3" s="184">
        <v>0</v>
      </c>
      <c r="M3" s="184">
        <f>+K3</f>
        <v>0</v>
      </c>
      <c r="N3" s="182"/>
      <c r="O3" s="81"/>
    </row>
    <row r="4" spans="1:15">
      <c r="A4" s="64">
        <v>1</v>
      </c>
      <c r="B4" s="267">
        <v>45717</v>
      </c>
      <c r="C4" s="27"/>
      <c r="D4" s="27"/>
      <c r="E4" s="8">
        <v>150</v>
      </c>
      <c r="F4" s="8">
        <v>90.02</v>
      </c>
      <c r="G4" s="8">
        <f>E4*F4</f>
        <v>13503</v>
      </c>
      <c r="H4" s="9">
        <v>5</v>
      </c>
      <c r="I4" s="9">
        <v>104.02</v>
      </c>
      <c r="J4" s="8">
        <f>H4*I4</f>
        <v>520.1</v>
      </c>
      <c r="K4" s="8">
        <f>G4+J4</f>
        <v>14023.1</v>
      </c>
      <c r="L4" s="184">
        <f>+K4</f>
        <v>14023.1</v>
      </c>
      <c r="M4" s="8">
        <f>M3+K4-L4</f>
        <v>0</v>
      </c>
      <c r="N4" s="62"/>
      <c r="O4" s="1"/>
    </row>
    <row r="5" spans="1:15">
      <c r="A5" s="64">
        <v>2</v>
      </c>
      <c r="B5" s="267">
        <v>45718</v>
      </c>
      <c r="C5" s="27"/>
      <c r="D5" s="27"/>
      <c r="E5" s="8">
        <v>230</v>
      </c>
      <c r="F5" s="8">
        <v>90.02</v>
      </c>
      <c r="G5" s="8">
        <f t="shared" ref="G5" si="0">E5*F5</f>
        <v>20704.599999999999</v>
      </c>
      <c r="H5" s="9">
        <v>0</v>
      </c>
      <c r="I5" s="9">
        <v>0</v>
      </c>
      <c r="J5" s="8">
        <f t="shared" ref="J5" si="1">H5*I5</f>
        <v>0</v>
      </c>
      <c r="K5" s="8">
        <f t="shared" ref="K5" si="2">G5+J5</f>
        <v>20704.599999999999</v>
      </c>
      <c r="L5" s="184">
        <f>+K5</f>
        <v>20704.599999999999</v>
      </c>
      <c r="M5" s="8">
        <f t="shared" ref="M5" si="3">M4+K5-L5</f>
        <v>0</v>
      </c>
      <c r="N5" s="62"/>
      <c r="O5" s="1"/>
    </row>
    <row r="6" spans="1:15">
      <c r="A6" s="64">
        <v>3</v>
      </c>
      <c r="B6" s="267">
        <v>45719</v>
      </c>
      <c r="C6" s="27"/>
      <c r="D6" s="27"/>
      <c r="E6" s="8">
        <v>45.69</v>
      </c>
      <c r="F6" s="8">
        <v>90.02</v>
      </c>
      <c r="G6" s="8">
        <f t="shared" ref="G6:G31" si="4">E6*F6</f>
        <v>4113.0137999999997</v>
      </c>
      <c r="H6" s="9">
        <v>5</v>
      </c>
      <c r="I6" s="9">
        <v>104.02</v>
      </c>
      <c r="J6" s="8">
        <f t="shared" ref="J6:J31" si="5">H6*I6</f>
        <v>520.1</v>
      </c>
      <c r="K6" s="8">
        <f t="shared" ref="K6:K31" si="6">G6+J6</f>
        <v>4633.1138000000001</v>
      </c>
      <c r="L6" s="184">
        <f>+K6</f>
        <v>4633.1138000000001</v>
      </c>
      <c r="M6" s="8">
        <f t="shared" ref="M6:M31" si="7">M5+K6-L6</f>
        <v>0</v>
      </c>
      <c r="N6" s="62"/>
      <c r="O6" s="1"/>
    </row>
    <row r="7" spans="1:15">
      <c r="A7" s="64">
        <v>4</v>
      </c>
      <c r="B7" s="267">
        <v>45720</v>
      </c>
      <c r="C7" s="27"/>
      <c r="D7" s="27"/>
      <c r="E7" s="8">
        <v>0</v>
      </c>
      <c r="F7" s="8">
        <v>0</v>
      </c>
      <c r="G7" s="8">
        <f t="shared" si="4"/>
        <v>0</v>
      </c>
      <c r="H7" s="9">
        <v>0</v>
      </c>
      <c r="I7" s="9">
        <v>0</v>
      </c>
      <c r="J7" s="8">
        <f t="shared" si="5"/>
        <v>0</v>
      </c>
      <c r="K7" s="8">
        <f t="shared" si="6"/>
        <v>0</v>
      </c>
      <c r="L7" s="184">
        <f t="shared" ref="L7:L19" si="8">+K7</f>
        <v>0</v>
      </c>
      <c r="M7" s="8">
        <f t="shared" si="7"/>
        <v>0</v>
      </c>
      <c r="N7" s="62"/>
      <c r="O7" s="1"/>
    </row>
    <row r="8" spans="1:15">
      <c r="A8" s="64">
        <v>5</v>
      </c>
      <c r="B8" s="267">
        <v>45721</v>
      </c>
      <c r="C8" s="27"/>
      <c r="D8" s="27"/>
      <c r="E8" s="8">
        <v>30</v>
      </c>
      <c r="F8" s="8">
        <v>90.02</v>
      </c>
      <c r="G8" s="8">
        <f t="shared" si="4"/>
        <v>2700.6</v>
      </c>
      <c r="H8" s="9">
        <v>5</v>
      </c>
      <c r="I8" s="9">
        <v>104.02</v>
      </c>
      <c r="J8" s="8">
        <f t="shared" si="5"/>
        <v>520.1</v>
      </c>
      <c r="K8" s="8">
        <f t="shared" si="6"/>
        <v>3220.7</v>
      </c>
      <c r="L8" s="184">
        <f t="shared" si="8"/>
        <v>3220.7</v>
      </c>
      <c r="M8" s="8">
        <f t="shared" si="7"/>
        <v>0</v>
      </c>
      <c r="N8" s="62"/>
      <c r="O8" s="1"/>
    </row>
    <row r="9" spans="1:15">
      <c r="A9" s="64">
        <v>6</v>
      </c>
      <c r="B9" s="267">
        <v>45722</v>
      </c>
      <c r="C9" s="27"/>
      <c r="D9" s="27"/>
      <c r="E9" s="8">
        <v>0</v>
      </c>
      <c r="F9" s="8">
        <v>0</v>
      </c>
      <c r="G9" s="8">
        <f t="shared" si="4"/>
        <v>0</v>
      </c>
      <c r="H9" s="9">
        <v>0</v>
      </c>
      <c r="I9" s="9">
        <v>104.02</v>
      </c>
      <c r="J9" s="8">
        <f t="shared" si="5"/>
        <v>0</v>
      </c>
      <c r="K9" s="8">
        <f t="shared" si="6"/>
        <v>0</v>
      </c>
      <c r="L9" s="184">
        <f t="shared" si="8"/>
        <v>0</v>
      </c>
      <c r="M9" s="8">
        <f t="shared" si="7"/>
        <v>0</v>
      </c>
      <c r="N9" s="62"/>
      <c r="O9" s="1"/>
    </row>
    <row r="10" spans="1:15">
      <c r="A10" s="64">
        <v>7</v>
      </c>
      <c r="B10" s="267">
        <v>45723</v>
      </c>
      <c r="C10" s="27"/>
      <c r="D10" s="27"/>
      <c r="E10" s="8">
        <v>0</v>
      </c>
      <c r="F10" s="8">
        <v>90.2</v>
      </c>
      <c r="G10" s="8">
        <f t="shared" si="4"/>
        <v>0</v>
      </c>
      <c r="H10" s="9">
        <v>0</v>
      </c>
      <c r="I10" s="9">
        <v>104.02</v>
      </c>
      <c r="J10" s="8">
        <f t="shared" si="5"/>
        <v>0</v>
      </c>
      <c r="K10" s="8">
        <f t="shared" si="6"/>
        <v>0</v>
      </c>
      <c r="L10" s="184">
        <f t="shared" si="8"/>
        <v>0</v>
      </c>
      <c r="M10" s="8">
        <f t="shared" si="7"/>
        <v>0</v>
      </c>
      <c r="N10" s="62"/>
      <c r="O10" s="1"/>
    </row>
    <row r="11" spans="1:15">
      <c r="A11" s="64">
        <v>8</v>
      </c>
      <c r="B11" s="267">
        <v>45724</v>
      </c>
      <c r="C11" s="27"/>
      <c r="D11" s="27"/>
      <c r="E11" s="8">
        <v>134.68</v>
      </c>
      <c r="F11" s="8">
        <v>90.2</v>
      </c>
      <c r="G11" s="8">
        <f t="shared" si="4"/>
        <v>12148.136</v>
      </c>
      <c r="H11" s="9">
        <v>0</v>
      </c>
      <c r="I11" s="9">
        <v>0</v>
      </c>
      <c r="J11" s="8">
        <f t="shared" si="5"/>
        <v>0</v>
      </c>
      <c r="K11" s="8">
        <f t="shared" si="6"/>
        <v>12148.136</v>
      </c>
      <c r="L11" s="184">
        <f t="shared" si="8"/>
        <v>12148.136</v>
      </c>
      <c r="M11" s="8">
        <f t="shared" si="7"/>
        <v>0</v>
      </c>
      <c r="N11" s="62"/>
      <c r="O11" s="1"/>
    </row>
    <row r="12" spans="1:15">
      <c r="A12" s="64">
        <v>9</v>
      </c>
      <c r="B12" s="267">
        <v>45725</v>
      </c>
      <c r="C12" s="27"/>
      <c r="D12" s="27"/>
      <c r="E12" s="8">
        <v>0</v>
      </c>
      <c r="F12" s="8">
        <v>0</v>
      </c>
      <c r="G12" s="8">
        <f t="shared" si="4"/>
        <v>0</v>
      </c>
      <c r="H12" s="9">
        <v>0</v>
      </c>
      <c r="I12" s="9">
        <v>0</v>
      </c>
      <c r="J12" s="8">
        <f t="shared" si="5"/>
        <v>0</v>
      </c>
      <c r="K12" s="8">
        <f t="shared" si="6"/>
        <v>0</v>
      </c>
      <c r="L12" s="184">
        <f t="shared" si="8"/>
        <v>0</v>
      </c>
      <c r="M12" s="8">
        <f t="shared" si="7"/>
        <v>0</v>
      </c>
      <c r="N12" s="62"/>
      <c r="O12" s="1" t="s">
        <v>113</v>
      </c>
    </row>
    <row r="13" spans="1:15">
      <c r="A13" s="64">
        <v>10</v>
      </c>
      <c r="B13" s="267">
        <v>45726</v>
      </c>
      <c r="C13" s="27"/>
      <c r="D13" s="27"/>
      <c r="E13" s="8">
        <v>0</v>
      </c>
      <c r="F13" s="8">
        <v>0</v>
      </c>
      <c r="G13" s="8">
        <f t="shared" si="4"/>
        <v>0</v>
      </c>
      <c r="H13" s="9">
        <v>0</v>
      </c>
      <c r="I13" s="9">
        <v>0</v>
      </c>
      <c r="J13" s="8">
        <f t="shared" si="5"/>
        <v>0</v>
      </c>
      <c r="K13" s="8">
        <f t="shared" si="6"/>
        <v>0</v>
      </c>
      <c r="L13" s="184">
        <f t="shared" si="8"/>
        <v>0</v>
      </c>
      <c r="M13" s="8">
        <f t="shared" si="7"/>
        <v>0</v>
      </c>
      <c r="N13" s="62"/>
      <c r="O13" s="1"/>
    </row>
    <row r="14" spans="1:15">
      <c r="A14" s="64">
        <v>11</v>
      </c>
      <c r="B14" s="267">
        <v>45727</v>
      </c>
      <c r="C14" s="27"/>
      <c r="D14" s="27"/>
      <c r="E14" s="8">
        <v>0</v>
      </c>
      <c r="F14" s="8">
        <v>0</v>
      </c>
      <c r="G14" s="8">
        <f t="shared" si="4"/>
        <v>0</v>
      </c>
      <c r="H14" s="9">
        <v>0</v>
      </c>
      <c r="I14" s="9">
        <v>0</v>
      </c>
      <c r="J14" s="8">
        <f t="shared" si="5"/>
        <v>0</v>
      </c>
      <c r="K14" s="8">
        <f t="shared" si="6"/>
        <v>0</v>
      </c>
      <c r="L14" s="184">
        <f t="shared" si="8"/>
        <v>0</v>
      </c>
      <c r="M14" s="8">
        <f t="shared" si="7"/>
        <v>0</v>
      </c>
      <c r="N14" s="62"/>
      <c r="O14" s="1"/>
    </row>
    <row r="15" spans="1:15">
      <c r="A15" s="64">
        <v>12</v>
      </c>
      <c r="B15" s="267">
        <v>45728</v>
      </c>
      <c r="C15" s="27"/>
      <c r="D15" s="27"/>
      <c r="E15" s="8">
        <v>0</v>
      </c>
      <c r="F15" s="8">
        <v>0</v>
      </c>
      <c r="G15" s="8">
        <f t="shared" si="4"/>
        <v>0</v>
      </c>
      <c r="H15" s="9">
        <v>0</v>
      </c>
      <c r="I15" s="9">
        <v>0</v>
      </c>
      <c r="J15" s="8">
        <f t="shared" si="5"/>
        <v>0</v>
      </c>
      <c r="K15" s="8">
        <f t="shared" si="6"/>
        <v>0</v>
      </c>
      <c r="L15" s="184">
        <f t="shared" si="8"/>
        <v>0</v>
      </c>
      <c r="M15" s="8">
        <f t="shared" si="7"/>
        <v>0</v>
      </c>
      <c r="N15" s="62"/>
      <c r="O15" s="1"/>
    </row>
    <row r="16" spans="1:15">
      <c r="A16" s="64">
        <v>13</v>
      </c>
      <c r="B16" s="267">
        <v>45729</v>
      </c>
      <c r="C16" s="27"/>
      <c r="D16" s="27"/>
      <c r="E16" s="8">
        <v>0</v>
      </c>
      <c r="F16" s="8">
        <v>0</v>
      </c>
      <c r="G16" s="8">
        <f t="shared" si="4"/>
        <v>0</v>
      </c>
      <c r="H16" s="9">
        <v>0</v>
      </c>
      <c r="I16" s="9">
        <v>0</v>
      </c>
      <c r="J16" s="8">
        <f t="shared" si="5"/>
        <v>0</v>
      </c>
      <c r="K16" s="8">
        <f t="shared" si="6"/>
        <v>0</v>
      </c>
      <c r="L16" s="184">
        <f t="shared" si="8"/>
        <v>0</v>
      </c>
      <c r="M16" s="8">
        <f t="shared" si="7"/>
        <v>0</v>
      </c>
      <c r="N16" s="62"/>
      <c r="O16" s="1"/>
    </row>
    <row r="17" spans="1:15">
      <c r="A17" s="64">
        <v>14</v>
      </c>
      <c r="B17" s="267">
        <v>45730</v>
      </c>
      <c r="C17" s="27"/>
      <c r="D17" s="27"/>
      <c r="E17" s="8">
        <v>30</v>
      </c>
      <c r="F17" s="8">
        <v>90.2</v>
      </c>
      <c r="G17" s="8">
        <f t="shared" si="4"/>
        <v>2706</v>
      </c>
      <c r="H17" s="9">
        <v>10</v>
      </c>
      <c r="I17" s="9">
        <v>104.02</v>
      </c>
      <c r="J17" s="8">
        <f t="shared" si="5"/>
        <v>1040.2</v>
      </c>
      <c r="K17" s="8">
        <f t="shared" si="6"/>
        <v>3746.2</v>
      </c>
      <c r="L17" s="184">
        <f t="shared" si="8"/>
        <v>3746.2</v>
      </c>
      <c r="M17" s="8">
        <f t="shared" si="7"/>
        <v>0</v>
      </c>
      <c r="N17" s="62"/>
      <c r="O17" s="1"/>
    </row>
    <row r="18" spans="1:15">
      <c r="A18" s="64">
        <v>15</v>
      </c>
      <c r="B18" s="267">
        <v>45731</v>
      </c>
      <c r="C18" s="27"/>
      <c r="D18" s="27"/>
      <c r="E18" s="8">
        <v>0</v>
      </c>
      <c r="F18" s="8">
        <v>0</v>
      </c>
      <c r="G18" s="8">
        <f t="shared" si="4"/>
        <v>0</v>
      </c>
      <c r="H18" s="9">
        <v>0</v>
      </c>
      <c r="I18" s="9">
        <v>0</v>
      </c>
      <c r="J18" s="8">
        <f t="shared" si="5"/>
        <v>0</v>
      </c>
      <c r="K18" s="8">
        <f t="shared" si="6"/>
        <v>0</v>
      </c>
      <c r="L18" s="184">
        <f t="shared" si="8"/>
        <v>0</v>
      </c>
      <c r="M18" s="8">
        <f t="shared" si="7"/>
        <v>0</v>
      </c>
      <c r="N18" s="62"/>
      <c r="O18" s="1"/>
    </row>
    <row r="19" spans="1:15">
      <c r="A19" s="64">
        <v>16</v>
      </c>
      <c r="B19" s="267">
        <v>45732</v>
      </c>
      <c r="C19" s="27"/>
      <c r="D19" s="27"/>
      <c r="E19" s="8">
        <v>20</v>
      </c>
      <c r="F19" s="8">
        <v>90.2</v>
      </c>
      <c r="G19" s="8">
        <f t="shared" si="4"/>
        <v>1804</v>
      </c>
      <c r="H19" s="9">
        <v>10</v>
      </c>
      <c r="I19" s="9">
        <v>104.02</v>
      </c>
      <c r="J19" s="8">
        <f t="shared" si="5"/>
        <v>1040.2</v>
      </c>
      <c r="K19" s="8">
        <f t="shared" si="6"/>
        <v>2844.2</v>
      </c>
      <c r="L19" s="184">
        <f t="shared" si="8"/>
        <v>2844.2</v>
      </c>
      <c r="M19" s="8">
        <f t="shared" si="7"/>
        <v>0</v>
      </c>
      <c r="N19" s="62"/>
      <c r="O19" s="1"/>
    </row>
    <row r="20" spans="1:15">
      <c r="A20" s="64">
        <v>17</v>
      </c>
      <c r="B20" s="267">
        <v>45733</v>
      </c>
      <c r="C20" s="27"/>
      <c r="D20" s="27"/>
      <c r="E20" s="8">
        <v>0</v>
      </c>
      <c r="F20" s="8">
        <v>0</v>
      </c>
      <c r="G20" s="8">
        <f t="shared" si="4"/>
        <v>0</v>
      </c>
      <c r="H20" s="9">
        <v>0</v>
      </c>
      <c r="I20" s="9">
        <v>0</v>
      </c>
      <c r="J20" s="8">
        <f t="shared" si="5"/>
        <v>0</v>
      </c>
      <c r="K20" s="8">
        <f t="shared" si="6"/>
        <v>0</v>
      </c>
      <c r="L20" s="184">
        <v>0</v>
      </c>
      <c r="M20" s="8">
        <f t="shared" si="7"/>
        <v>0</v>
      </c>
      <c r="N20" s="62"/>
      <c r="O20" s="1"/>
    </row>
    <row r="21" spans="1:15">
      <c r="A21" s="64">
        <v>18</v>
      </c>
      <c r="B21" s="267">
        <v>45734</v>
      </c>
      <c r="C21" s="27"/>
      <c r="D21" s="27"/>
      <c r="E21" s="8">
        <v>0</v>
      </c>
      <c r="F21" s="8">
        <v>0</v>
      </c>
      <c r="G21" s="8">
        <f t="shared" si="4"/>
        <v>0</v>
      </c>
      <c r="H21" s="9">
        <v>0</v>
      </c>
      <c r="I21" s="9">
        <v>0</v>
      </c>
      <c r="J21" s="8">
        <f t="shared" si="5"/>
        <v>0</v>
      </c>
      <c r="K21" s="8">
        <f t="shared" si="6"/>
        <v>0</v>
      </c>
      <c r="L21" s="184">
        <v>0</v>
      </c>
      <c r="M21" s="8">
        <f t="shared" si="7"/>
        <v>0</v>
      </c>
      <c r="N21" s="62"/>
      <c r="O21" s="1"/>
    </row>
    <row r="22" spans="1:15">
      <c r="A22" s="64">
        <v>19</v>
      </c>
      <c r="B22" s="267">
        <v>45735</v>
      </c>
      <c r="C22" s="27"/>
      <c r="D22" s="27"/>
      <c r="E22" s="8">
        <v>0</v>
      </c>
      <c r="F22" s="8">
        <v>0</v>
      </c>
      <c r="G22" s="8">
        <f t="shared" si="4"/>
        <v>0</v>
      </c>
      <c r="H22" s="9">
        <v>0</v>
      </c>
      <c r="I22" s="9">
        <v>0</v>
      </c>
      <c r="J22" s="8">
        <f t="shared" si="5"/>
        <v>0</v>
      </c>
      <c r="K22" s="8">
        <f t="shared" si="6"/>
        <v>0</v>
      </c>
      <c r="L22" s="184">
        <v>0</v>
      </c>
      <c r="M22" s="8">
        <f t="shared" si="7"/>
        <v>0</v>
      </c>
      <c r="N22" s="62"/>
      <c r="O22" s="1"/>
    </row>
    <row r="23" spans="1:15">
      <c r="A23" s="64">
        <v>20</v>
      </c>
      <c r="B23" s="267">
        <v>45736</v>
      </c>
      <c r="C23" s="27"/>
      <c r="D23" s="27"/>
      <c r="E23" s="8">
        <v>0</v>
      </c>
      <c r="F23" s="8">
        <v>0</v>
      </c>
      <c r="G23" s="8">
        <f t="shared" si="4"/>
        <v>0</v>
      </c>
      <c r="H23" s="9">
        <v>0</v>
      </c>
      <c r="I23" s="9">
        <v>0</v>
      </c>
      <c r="J23" s="8">
        <f t="shared" si="5"/>
        <v>0</v>
      </c>
      <c r="K23" s="8">
        <f t="shared" si="6"/>
        <v>0</v>
      </c>
      <c r="L23" s="184">
        <v>0</v>
      </c>
      <c r="M23" s="8">
        <f t="shared" si="7"/>
        <v>0</v>
      </c>
      <c r="N23" s="62"/>
      <c r="O23" s="1"/>
    </row>
    <row r="24" spans="1:15">
      <c r="A24" s="64">
        <v>21</v>
      </c>
      <c r="B24" s="267">
        <v>45737</v>
      </c>
      <c r="C24" s="27"/>
      <c r="D24" s="27"/>
      <c r="E24" s="8">
        <v>0</v>
      </c>
      <c r="F24" s="8">
        <v>0</v>
      </c>
      <c r="G24" s="8">
        <f t="shared" si="4"/>
        <v>0</v>
      </c>
      <c r="H24" s="9">
        <v>0</v>
      </c>
      <c r="I24" s="9">
        <v>0</v>
      </c>
      <c r="J24" s="8">
        <f t="shared" si="5"/>
        <v>0</v>
      </c>
      <c r="K24" s="8">
        <f t="shared" si="6"/>
        <v>0</v>
      </c>
      <c r="L24" s="184">
        <v>0</v>
      </c>
      <c r="M24" s="8">
        <f t="shared" si="7"/>
        <v>0</v>
      </c>
      <c r="N24" s="62"/>
      <c r="O24" s="1"/>
    </row>
    <row r="25" spans="1:15">
      <c r="A25" s="64">
        <v>22</v>
      </c>
      <c r="B25" s="267">
        <v>45738</v>
      </c>
      <c r="C25" s="27"/>
      <c r="D25" s="27"/>
      <c r="E25" s="8">
        <v>0</v>
      </c>
      <c r="F25" s="8">
        <v>0</v>
      </c>
      <c r="G25" s="8">
        <f t="shared" si="4"/>
        <v>0</v>
      </c>
      <c r="H25" s="9">
        <v>0</v>
      </c>
      <c r="I25" s="9">
        <v>0</v>
      </c>
      <c r="J25" s="8">
        <f t="shared" si="5"/>
        <v>0</v>
      </c>
      <c r="K25" s="8">
        <f t="shared" si="6"/>
        <v>0</v>
      </c>
      <c r="L25" s="184">
        <v>0</v>
      </c>
      <c r="M25" s="8">
        <f t="shared" si="7"/>
        <v>0</v>
      </c>
      <c r="N25" s="62"/>
      <c r="O25" s="1"/>
    </row>
    <row r="26" spans="1:15">
      <c r="A26" s="64">
        <v>23</v>
      </c>
      <c r="B26" s="267">
        <v>45739</v>
      </c>
      <c r="C26" s="27"/>
      <c r="D26" s="27"/>
      <c r="E26" s="8">
        <v>0</v>
      </c>
      <c r="F26" s="8">
        <v>0</v>
      </c>
      <c r="G26" s="8">
        <f t="shared" si="4"/>
        <v>0</v>
      </c>
      <c r="H26" s="9">
        <v>0</v>
      </c>
      <c r="I26" s="9">
        <v>0</v>
      </c>
      <c r="J26" s="8">
        <f t="shared" si="5"/>
        <v>0</v>
      </c>
      <c r="K26" s="8">
        <f t="shared" si="6"/>
        <v>0</v>
      </c>
      <c r="L26" s="184">
        <v>0</v>
      </c>
      <c r="M26" s="8">
        <f t="shared" si="7"/>
        <v>0</v>
      </c>
      <c r="N26" s="62"/>
      <c r="O26" s="1"/>
    </row>
    <row r="27" spans="1:15">
      <c r="A27" s="64">
        <v>24</v>
      </c>
      <c r="B27" s="267">
        <v>45740</v>
      </c>
      <c r="C27" s="27"/>
      <c r="D27" s="27"/>
      <c r="E27" s="8">
        <v>0</v>
      </c>
      <c r="F27" s="8">
        <v>0</v>
      </c>
      <c r="G27" s="8">
        <f t="shared" si="4"/>
        <v>0</v>
      </c>
      <c r="H27" s="9">
        <v>0</v>
      </c>
      <c r="I27" s="9">
        <v>0</v>
      </c>
      <c r="J27" s="8">
        <f t="shared" si="5"/>
        <v>0</v>
      </c>
      <c r="K27" s="8">
        <f t="shared" si="6"/>
        <v>0</v>
      </c>
      <c r="L27" s="184">
        <v>0</v>
      </c>
      <c r="M27" s="8">
        <f t="shared" si="7"/>
        <v>0</v>
      </c>
      <c r="N27" s="62"/>
      <c r="O27" s="1"/>
    </row>
    <row r="28" spans="1:15">
      <c r="A28" s="64">
        <v>25</v>
      </c>
      <c r="B28" s="267">
        <v>45741</v>
      </c>
      <c r="C28" s="27"/>
      <c r="D28" s="27"/>
      <c r="E28" s="8">
        <v>0</v>
      </c>
      <c r="F28" s="8">
        <v>0</v>
      </c>
      <c r="G28" s="8">
        <f t="shared" si="4"/>
        <v>0</v>
      </c>
      <c r="H28" s="9">
        <v>0</v>
      </c>
      <c r="I28" s="9">
        <v>0</v>
      </c>
      <c r="J28" s="8">
        <f t="shared" si="5"/>
        <v>0</v>
      </c>
      <c r="K28" s="8">
        <f t="shared" si="6"/>
        <v>0</v>
      </c>
      <c r="L28" s="184">
        <v>0</v>
      </c>
      <c r="M28" s="8">
        <f t="shared" si="7"/>
        <v>0</v>
      </c>
      <c r="N28" s="62"/>
      <c r="O28" s="1"/>
    </row>
    <row r="29" spans="1:15">
      <c r="A29" s="64">
        <v>26</v>
      </c>
      <c r="B29" s="267">
        <v>45742</v>
      </c>
      <c r="C29" s="27"/>
      <c r="D29" s="27"/>
      <c r="E29" s="8">
        <v>58.84</v>
      </c>
      <c r="F29" s="8">
        <v>90.02</v>
      </c>
      <c r="G29" s="8">
        <f t="shared" si="4"/>
        <v>5296.7767999999996</v>
      </c>
      <c r="H29" s="9">
        <v>15</v>
      </c>
      <c r="I29" s="9">
        <v>104.02</v>
      </c>
      <c r="J29" s="8">
        <f t="shared" si="5"/>
        <v>1560.3</v>
      </c>
      <c r="K29" s="8">
        <f t="shared" si="6"/>
        <v>6857.0767999999998</v>
      </c>
      <c r="L29" s="184">
        <v>6857.08</v>
      </c>
      <c r="M29" s="8">
        <f t="shared" si="7"/>
        <v>-3.200000000106229E-3</v>
      </c>
      <c r="N29" s="62"/>
      <c r="O29" s="1"/>
    </row>
    <row r="30" spans="1:15">
      <c r="A30" s="64">
        <v>27</v>
      </c>
      <c r="B30" s="267">
        <v>45743</v>
      </c>
      <c r="C30" s="27"/>
      <c r="D30" s="27"/>
      <c r="E30" s="8">
        <v>0</v>
      </c>
      <c r="F30" s="8">
        <v>0</v>
      </c>
      <c r="G30" s="8">
        <f t="shared" si="4"/>
        <v>0</v>
      </c>
      <c r="H30" s="9">
        <v>0</v>
      </c>
      <c r="I30" s="9">
        <v>0</v>
      </c>
      <c r="J30" s="8">
        <f t="shared" si="5"/>
        <v>0</v>
      </c>
      <c r="K30" s="8">
        <f t="shared" si="6"/>
        <v>0</v>
      </c>
      <c r="L30" s="184">
        <v>0</v>
      </c>
      <c r="M30" s="8">
        <f t="shared" si="7"/>
        <v>-3.200000000106229E-3</v>
      </c>
      <c r="N30" s="62"/>
      <c r="O30" s="1"/>
    </row>
    <row r="31" spans="1:15">
      <c r="A31" s="64">
        <v>28</v>
      </c>
      <c r="B31" s="267">
        <v>45744</v>
      </c>
      <c r="C31" s="27"/>
      <c r="D31" s="27"/>
      <c r="E31" s="8">
        <v>0</v>
      </c>
      <c r="F31" s="8">
        <v>0</v>
      </c>
      <c r="G31" s="8">
        <f t="shared" si="4"/>
        <v>0</v>
      </c>
      <c r="H31" s="9">
        <v>0</v>
      </c>
      <c r="I31" s="9">
        <v>0</v>
      </c>
      <c r="J31" s="8">
        <f t="shared" si="5"/>
        <v>0</v>
      </c>
      <c r="K31" s="8">
        <f t="shared" si="6"/>
        <v>0</v>
      </c>
      <c r="L31" s="184">
        <v>0</v>
      </c>
      <c r="M31" s="8">
        <f t="shared" si="7"/>
        <v>-3.200000000106229E-3</v>
      </c>
      <c r="N31" s="62"/>
      <c r="O31" s="1"/>
    </row>
    <row r="32" spans="1:15">
      <c r="A32" s="257">
        <v>29</v>
      </c>
      <c r="B32" s="267">
        <v>45745</v>
      </c>
      <c r="C32" s="27"/>
      <c r="D32" s="27"/>
      <c r="E32" s="8"/>
      <c r="F32" s="8"/>
      <c r="G32" s="8"/>
      <c r="H32" s="9"/>
      <c r="I32" s="9"/>
      <c r="J32" s="8"/>
      <c r="K32" s="8"/>
      <c r="L32" s="184"/>
      <c r="M32" s="8"/>
      <c r="N32" s="62"/>
      <c r="O32" s="1"/>
    </row>
    <row r="33" spans="1:15">
      <c r="A33" s="257">
        <v>30</v>
      </c>
      <c r="B33" s="267">
        <v>45746</v>
      </c>
      <c r="C33" s="27"/>
      <c r="D33" s="27"/>
      <c r="E33" s="8"/>
      <c r="F33" s="8"/>
      <c r="G33" s="8"/>
      <c r="H33" s="9"/>
      <c r="I33" s="9"/>
      <c r="J33" s="8"/>
      <c r="K33" s="8"/>
      <c r="L33" s="184"/>
      <c r="M33" s="8"/>
      <c r="N33" s="62"/>
      <c r="O33" s="1"/>
    </row>
    <row r="34" spans="1:15">
      <c r="A34" s="257">
        <v>31</v>
      </c>
      <c r="B34" s="267">
        <v>45747</v>
      </c>
      <c r="C34" s="27"/>
      <c r="D34" s="27"/>
      <c r="E34" s="8"/>
      <c r="F34" s="8"/>
      <c r="G34" s="8"/>
      <c r="H34" s="9"/>
      <c r="I34" s="9"/>
      <c r="J34" s="8"/>
      <c r="K34" s="8"/>
      <c r="L34" s="184"/>
      <c r="M34" s="8"/>
      <c r="N34" s="62"/>
      <c r="O34" s="1"/>
    </row>
    <row r="35" spans="1:15">
      <c r="A35" s="84"/>
      <c r="B35" s="84"/>
      <c r="C35" s="84"/>
      <c r="D35" s="84"/>
      <c r="E35" s="85">
        <f>SUM(E4:E34)</f>
        <v>699.21</v>
      </c>
      <c r="F35" s="85"/>
      <c r="G35" s="85">
        <f>SUM(G4:G34)</f>
        <v>62976.126599999996</v>
      </c>
      <c r="H35" s="85">
        <f>SUM(H4:H34)</f>
        <v>50</v>
      </c>
      <c r="I35" s="85"/>
      <c r="J35" s="85">
        <f>SUM(J4:J34)</f>
        <v>5201</v>
      </c>
      <c r="K35" s="85">
        <f>SUM(K4:K34)</f>
        <v>68177.126599999989</v>
      </c>
      <c r="L35" s="85">
        <f>SUM(L4:L34)</f>
        <v>68177.129799999981</v>
      </c>
      <c r="M35" s="85"/>
      <c r="N35" s="85"/>
      <c r="O35" s="81"/>
    </row>
    <row r="36" spans="1:15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5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5">
      <c r="A38" s="1"/>
      <c r="B38" s="371"/>
      <c r="C38" s="371"/>
      <c r="D38" s="371"/>
      <c r="E38" s="371"/>
      <c r="F38" s="1"/>
      <c r="G38" s="1"/>
      <c r="H38" s="1"/>
      <c r="I38" s="394">
        <f>K24+L24</f>
        <v>0</v>
      </c>
      <c r="J38" s="371"/>
      <c r="K38" s="371"/>
      <c r="L38" s="371"/>
      <c r="M38" s="371"/>
      <c r="N38" s="371"/>
      <c r="O38" s="4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A1:N1"/>
    <mergeCell ref="B38:E38"/>
    <mergeCell ref="I38:N3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AC07-664F-47CB-AB94-1FA0A3439A5B}">
  <sheetPr>
    <tabColor rgb="FF7030A0"/>
  </sheetPr>
  <dimension ref="A1:R44"/>
  <sheetViews>
    <sheetView workbookViewId="0">
      <pane ySplit="2" topLeftCell="A21" activePane="bottomLeft" state="frozen"/>
      <selection pane="bottomLeft" activeCell="L41" sqref="L41"/>
    </sheetView>
  </sheetViews>
  <sheetFormatPr defaultRowHeight="15"/>
  <cols>
    <col min="2" max="2" width="11.5703125" bestFit="1" customWidth="1"/>
    <col min="4" max="4" width="16" bestFit="1" customWidth="1"/>
    <col min="5" max="5" width="10.42578125" bestFit="1" customWidth="1"/>
    <col min="6" max="6" width="13.7109375" customWidth="1"/>
    <col min="7" max="7" width="10.85546875" bestFit="1" customWidth="1"/>
    <col min="8" max="8" width="11.7109375" customWidth="1"/>
    <col min="10" max="10" width="9.7109375" bestFit="1" customWidth="1"/>
    <col min="11" max="11" width="11.85546875" customWidth="1"/>
    <col min="12" max="13" width="14" customWidth="1"/>
    <col min="14" max="14" width="14.85546875" customWidth="1"/>
  </cols>
  <sheetData>
    <row r="1" spans="1:15" ht="15.75">
      <c r="A1" s="395" t="s">
        <v>67</v>
      </c>
      <c r="B1" s="395"/>
      <c r="C1" s="395"/>
      <c r="D1" s="395"/>
      <c r="E1" s="395"/>
      <c r="F1" s="395"/>
      <c r="G1" s="395"/>
      <c r="H1" s="395"/>
      <c r="I1" s="395"/>
      <c r="J1" s="395"/>
      <c r="K1" s="395"/>
      <c r="L1" s="395"/>
      <c r="M1" s="395"/>
      <c r="N1" s="395"/>
      <c r="O1" s="106"/>
    </row>
    <row r="2" spans="1:15">
      <c r="A2" s="123" t="s">
        <v>91</v>
      </c>
      <c r="B2" s="124" t="s">
        <v>92</v>
      </c>
      <c r="C2" s="124" t="s">
        <v>93</v>
      </c>
      <c r="D2" s="124" t="s">
        <v>165</v>
      </c>
      <c r="E2" s="124" t="s">
        <v>95</v>
      </c>
      <c r="F2" s="124" t="s">
        <v>96</v>
      </c>
      <c r="G2" s="124" t="s">
        <v>97</v>
      </c>
      <c r="H2" s="124" t="s">
        <v>98</v>
      </c>
      <c r="I2" s="124" t="s">
        <v>96</v>
      </c>
      <c r="J2" s="168" t="s">
        <v>97</v>
      </c>
      <c r="K2" s="125" t="s">
        <v>99</v>
      </c>
      <c r="L2" s="169" t="s">
        <v>100</v>
      </c>
      <c r="M2" s="174" t="s">
        <v>101</v>
      </c>
      <c r="N2" s="126" t="s">
        <v>102</v>
      </c>
      <c r="O2" s="81"/>
    </row>
    <row r="3" spans="1:15">
      <c r="A3" s="374" t="s">
        <v>103</v>
      </c>
      <c r="B3" s="375"/>
      <c r="C3" s="375"/>
      <c r="D3" s="375"/>
      <c r="E3" s="375"/>
      <c r="F3" s="375"/>
      <c r="G3" s="375"/>
      <c r="H3" s="375"/>
      <c r="I3" s="375"/>
      <c r="J3" s="389"/>
      <c r="K3" s="200">
        <v>145754.91899999999</v>
      </c>
      <c r="L3" s="19"/>
      <c r="M3" s="132">
        <f>+K3</f>
        <v>145754.91899999999</v>
      </c>
      <c r="N3" s="19"/>
      <c r="O3" s="81">
        <v>147012.25899999999</v>
      </c>
    </row>
    <row r="4" spans="1:15">
      <c r="A4" s="64">
        <v>1</v>
      </c>
      <c r="B4" s="267">
        <v>45717</v>
      </c>
      <c r="C4" s="188"/>
      <c r="D4" s="189"/>
      <c r="E4" s="190">
        <v>0</v>
      </c>
      <c r="F4" s="190">
        <v>89.81</v>
      </c>
      <c r="G4" s="170">
        <f>E4*F4</f>
        <v>0</v>
      </c>
      <c r="H4" s="190">
        <v>0</v>
      </c>
      <c r="I4" s="191">
        <v>0</v>
      </c>
      <c r="J4" s="22">
        <f>H4*I4</f>
        <v>0</v>
      </c>
      <c r="K4" s="22">
        <f>G4+J4</f>
        <v>0</v>
      </c>
      <c r="L4" s="172"/>
      <c r="M4" s="172">
        <f>M3+K4-L4</f>
        <v>145754.91899999999</v>
      </c>
      <c r="N4" s="173"/>
    </row>
    <row r="5" spans="1:15">
      <c r="A5" s="64">
        <v>2</v>
      </c>
      <c r="B5" s="267">
        <v>45718</v>
      </c>
      <c r="C5" s="11"/>
      <c r="D5" s="11"/>
      <c r="E5" s="190">
        <v>14</v>
      </c>
      <c r="F5" s="190">
        <v>89.81</v>
      </c>
      <c r="G5" s="170">
        <f t="shared" ref="G5:G28" si="0">E5*F5</f>
        <v>1257.3400000000001</v>
      </c>
      <c r="H5" s="190">
        <v>0</v>
      </c>
      <c r="I5" s="191">
        <v>0</v>
      </c>
      <c r="J5" s="22">
        <f t="shared" ref="J5:J28" si="1">H5*I5</f>
        <v>0</v>
      </c>
      <c r="K5" s="22">
        <f t="shared" ref="K5:K28" si="2">G5+J5</f>
        <v>1257.3400000000001</v>
      </c>
      <c r="L5" s="172"/>
      <c r="M5" s="16">
        <f>M4+K5-L5</f>
        <v>147012.25899999999</v>
      </c>
      <c r="N5" s="13"/>
    </row>
    <row r="6" spans="1:15">
      <c r="A6" s="64">
        <v>3</v>
      </c>
      <c r="B6" s="267">
        <v>45719</v>
      </c>
      <c r="C6" s="11"/>
      <c r="D6" s="11"/>
      <c r="E6" s="190">
        <v>30</v>
      </c>
      <c r="F6" s="190">
        <v>89.81</v>
      </c>
      <c r="G6" s="170">
        <f t="shared" si="0"/>
        <v>2694.3</v>
      </c>
      <c r="H6" s="190">
        <v>5</v>
      </c>
      <c r="I6" s="191">
        <v>103.8</v>
      </c>
      <c r="J6" s="22">
        <f t="shared" si="1"/>
        <v>519</v>
      </c>
      <c r="K6" s="22">
        <f t="shared" si="2"/>
        <v>3213.3</v>
      </c>
      <c r="L6" s="172"/>
      <c r="M6" s="16">
        <f>M5+K6-L6</f>
        <v>150225.55899999998</v>
      </c>
      <c r="N6" s="14"/>
    </row>
    <row r="7" spans="1:15">
      <c r="A7" s="64">
        <v>4</v>
      </c>
      <c r="B7" s="267">
        <v>45720</v>
      </c>
      <c r="C7" s="93"/>
      <c r="D7" s="94"/>
      <c r="E7" s="190">
        <v>0</v>
      </c>
      <c r="F7" s="190">
        <v>89.81</v>
      </c>
      <c r="G7" s="170">
        <f>E7*F7</f>
        <v>0</v>
      </c>
      <c r="H7" s="190">
        <v>10</v>
      </c>
      <c r="I7" s="191">
        <v>103.8</v>
      </c>
      <c r="J7" s="22">
        <f t="shared" si="1"/>
        <v>1038</v>
      </c>
      <c r="K7" s="22">
        <f t="shared" si="2"/>
        <v>1038</v>
      </c>
      <c r="L7" s="172"/>
      <c r="M7" s="16">
        <f>M6+K7-L7</f>
        <v>151263.55899999998</v>
      </c>
      <c r="N7" s="53"/>
    </row>
    <row r="8" spans="1:15">
      <c r="A8" s="64">
        <v>5</v>
      </c>
      <c r="B8" s="267">
        <v>45721</v>
      </c>
      <c r="C8" s="93"/>
      <c r="D8" s="94"/>
      <c r="E8" s="190">
        <v>30</v>
      </c>
      <c r="F8" s="190">
        <v>89.81</v>
      </c>
      <c r="G8" s="170">
        <f t="shared" si="0"/>
        <v>2694.3</v>
      </c>
      <c r="H8" s="190">
        <v>0</v>
      </c>
      <c r="I8" s="191">
        <v>0</v>
      </c>
      <c r="J8" s="22">
        <f t="shared" si="1"/>
        <v>0</v>
      </c>
      <c r="K8" s="22">
        <f t="shared" si="2"/>
        <v>2694.3</v>
      </c>
      <c r="L8" s="172"/>
      <c r="M8" s="16">
        <f>M7+K8-L8</f>
        <v>153957.85899999997</v>
      </c>
      <c r="N8" s="53"/>
      <c r="O8" s="92"/>
    </row>
    <row r="9" spans="1:15">
      <c r="A9" s="64">
        <v>6</v>
      </c>
      <c r="B9" s="267">
        <v>45722</v>
      </c>
      <c r="C9" s="93"/>
      <c r="D9" s="94"/>
      <c r="E9" s="190">
        <v>10</v>
      </c>
      <c r="F9" s="190">
        <v>89.81</v>
      </c>
      <c r="G9" s="170">
        <f t="shared" si="0"/>
        <v>898.1</v>
      </c>
      <c r="H9" s="190">
        <v>0</v>
      </c>
      <c r="I9" s="191">
        <v>103.8</v>
      </c>
      <c r="J9" s="22">
        <f t="shared" si="1"/>
        <v>0</v>
      </c>
      <c r="K9" s="22">
        <f t="shared" si="2"/>
        <v>898.1</v>
      </c>
      <c r="L9" s="172"/>
      <c r="M9" s="16">
        <f>M8+K9-L9</f>
        <v>154855.95899999997</v>
      </c>
      <c r="N9" s="53"/>
      <c r="O9" s="92"/>
    </row>
    <row r="10" spans="1:15">
      <c r="A10" s="64">
        <v>7</v>
      </c>
      <c r="B10" s="267">
        <v>45723</v>
      </c>
      <c r="C10" s="93"/>
      <c r="D10" s="94"/>
      <c r="E10" s="190">
        <v>70</v>
      </c>
      <c r="F10" s="190">
        <v>89.81</v>
      </c>
      <c r="G10" s="170">
        <f t="shared" si="0"/>
        <v>6286.7</v>
      </c>
      <c r="H10" s="190">
        <v>0</v>
      </c>
      <c r="I10" s="191">
        <v>0</v>
      </c>
      <c r="J10" s="22">
        <f t="shared" si="1"/>
        <v>0</v>
      </c>
      <c r="K10" s="22">
        <f t="shared" si="2"/>
        <v>6286.7</v>
      </c>
      <c r="L10" s="172"/>
      <c r="M10" s="16">
        <f>M9+K10-L10</f>
        <v>161142.65899999999</v>
      </c>
      <c r="N10" s="53"/>
      <c r="O10" s="92"/>
    </row>
    <row r="11" spans="1:15">
      <c r="A11" s="64">
        <v>8</v>
      </c>
      <c r="B11" s="267">
        <v>45724</v>
      </c>
      <c r="C11" s="93"/>
      <c r="D11" s="94"/>
      <c r="E11" s="190">
        <v>0</v>
      </c>
      <c r="F11" s="280">
        <v>0</v>
      </c>
      <c r="G11" s="170">
        <f t="shared" si="0"/>
        <v>0</v>
      </c>
      <c r="H11" s="190">
        <v>0</v>
      </c>
      <c r="I11" s="191">
        <v>0</v>
      </c>
      <c r="J11" s="22">
        <f t="shared" si="1"/>
        <v>0</v>
      </c>
      <c r="K11" s="22">
        <f t="shared" si="2"/>
        <v>0</v>
      </c>
      <c r="L11" s="172"/>
      <c r="M11" s="16">
        <f>M10+K11-L11</f>
        <v>161142.65899999999</v>
      </c>
      <c r="N11" s="53"/>
      <c r="O11" s="92"/>
    </row>
    <row r="12" spans="1:15">
      <c r="A12" s="64">
        <v>9</v>
      </c>
      <c r="B12" s="267">
        <v>45725</v>
      </c>
      <c r="C12" s="93"/>
      <c r="D12" s="94"/>
      <c r="E12" s="190">
        <v>0</v>
      </c>
      <c r="F12" s="280">
        <v>0</v>
      </c>
      <c r="G12" s="170">
        <f t="shared" si="0"/>
        <v>0</v>
      </c>
      <c r="H12" s="190">
        <v>0</v>
      </c>
      <c r="I12" s="191">
        <v>0</v>
      </c>
      <c r="J12" s="22">
        <f t="shared" si="1"/>
        <v>0</v>
      </c>
      <c r="K12" s="22">
        <f t="shared" si="2"/>
        <v>0</v>
      </c>
      <c r="L12" s="172"/>
      <c r="M12" s="16">
        <f>M11+K12-L12</f>
        <v>161142.65899999999</v>
      </c>
      <c r="N12" s="53"/>
      <c r="O12" s="92"/>
    </row>
    <row r="13" spans="1:15">
      <c r="A13" s="64">
        <v>10</v>
      </c>
      <c r="B13" s="267">
        <v>45726</v>
      </c>
      <c r="C13" s="93"/>
      <c r="D13" s="94"/>
      <c r="E13" s="190">
        <v>0</v>
      </c>
      <c r="F13" s="280">
        <v>0</v>
      </c>
      <c r="G13" s="170">
        <f t="shared" si="0"/>
        <v>0</v>
      </c>
      <c r="H13" s="190">
        <v>0</v>
      </c>
      <c r="I13" s="191">
        <v>0</v>
      </c>
      <c r="J13" s="22">
        <f t="shared" si="1"/>
        <v>0</v>
      </c>
      <c r="K13" s="22">
        <f t="shared" si="2"/>
        <v>0</v>
      </c>
      <c r="L13" s="172">
        <v>100000</v>
      </c>
      <c r="M13" s="16">
        <f>M12+K13-L13</f>
        <v>61142.658999999985</v>
      </c>
      <c r="N13" s="53"/>
      <c r="O13" s="92"/>
    </row>
    <row r="14" spans="1:15">
      <c r="A14" s="64">
        <v>11</v>
      </c>
      <c r="B14" s="267">
        <v>45727</v>
      </c>
      <c r="C14" s="93"/>
      <c r="D14" s="94"/>
      <c r="E14" s="190">
        <v>0</v>
      </c>
      <c r="F14" s="280">
        <v>0</v>
      </c>
      <c r="G14" s="170">
        <f t="shared" si="0"/>
        <v>0</v>
      </c>
      <c r="H14" s="190">
        <v>20</v>
      </c>
      <c r="I14" s="191">
        <v>103.8</v>
      </c>
      <c r="J14" s="22">
        <f t="shared" si="1"/>
        <v>2076</v>
      </c>
      <c r="K14" s="22">
        <f t="shared" si="2"/>
        <v>2076</v>
      </c>
      <c r="L14" s="172"/>
      <c r="M14" s="16">
        <f>M13+K14-L14</f>
        <v>63218.658999999985</v>
      </c>
      <c r="N14" s="53"/>
      <c r="O14" s="92"/>
    </row>
    <row r="15" spans="1:15">
      <c r="A15" s="64">
        <v>12</v>
      </c>
      <c r="B15" s="267">
        <v>45728</v>
      </c>
      <c r="C15" s="93"/>
      <c r="D15" s="94"/>
      <c r="E15" s="190">
        <v>0</v>
      </c>
      <c r="F15" s="280">
        <v>0</v>
      </c>
      <c r="G15" s="170">
        <f t="shared" si="0"/>
        <v>0</v>
      </c>
      <c r="H15" s="190">
        <v>0</v>
      </c>
      <c r="I15" s="191">
        <v>0</v>
      </c>
      <c r="J15" s="22">
        <f t="shared" si="1"/>
        <v>0</v>
      </c>
      <c r="K15" s="22">
        <f t="shared" si="2"/>
        <v>0</v>
      </c>
      <c r="L15" s="172"/>
      <c r="M15" s="16">
        <f>M14+K15-L15</f>
        <v>63218.658999999985</v>
      </c>
      <c r="N15" s="53"/>
      <c r="O15" s="92"/>
    </row>
    <row r="16" spans="1:15">
      <c r="A16" s="64">
        <v>13</v>
      </c>
      <c r="B16" s="267">
        <v>45729</v>
      </c>
      <c r="C16" s="93"/>
      <c r="D16" s="94"/>
      <c r="E16" s="190">
        <v>0</v>
      </c>
      <c r="F16" s="280">
        <v>0</v>
      </c>
      <c r="G16" s="170">
        <f t="shared" si="0"/>
        <v>0</v>
      </c>
      <c r="H16" s="190">
        <v>0</v>
      </c>
      <c r="I16" s="191">
        <v>0</v>
      </c>
      <c r="J16" s="22">
        <f t="shared" si="1"/>
        <v>0</v>
      </c>
      <c r="K16" s="22">
        <f t="shared" si="2"/>
        <v>0</v>
      </c>
      <c r="L16" s="172"/>
      <c r="M16" s="16">
        <f>M15+K16-L16</f>
        <v>63218.658999999985</v>
      </c>
      <c r="N16" s="53"/>
      <c r="O16" s="92"/>
    </row>
    <row r="17" spans="1:18">
      <c r="A17" s="64">
        <v>14</v>
      </c>
      <c r="B17" s="267">
        <v>45730</v>
      </c>
      <c r="C17" s="93"/>
      <c r="D17" s="94"/>
      <c r="E17" s="190">
        <v>0</v>
      </c>
      <c r="F17" s="280">
        <v>0</v>
      </c>
      <c r="G17" s="170">
        <f t="shared" si="0"/>
        <v>0</v>
      </c>
      <c r="H17" s="190">
        <v>0</v>
      </c>
      <c r="I17" s="191">
        <v>0</v>
      </c>
      <c r="J17" s="22">
        <f t="shared" si="1"/>
        <v>0</v>
      </c>
      <c r="K17" s="22">
        <f t="shared" si="2"/>
        <v>0</v>
      </c>
      <c r="L17" s="172"/>
      <c r="M17" s="16">
        <f>M16+K17-L17</f>
        <v>63218.658999999985</v>
      </c>
      <c r="N17" s="53"/>
      <c r="O17" s="92"/>
    </row>
    <row r="18" spans="1:18">
      <c r="A18" s="64">
        <v>15</v>
      </c>
      <c r="B18" s="267">
        <v>45731</v>
      </c>
      <c r="C18" s="93"/>
      <c r="D18" s="94"/>
      <c r="E18" s="190">
        <v>0</v>
      </c>
      <c r="F18" s="280">
        <v>0</v>
      </c>
      <c r="G18" s="170">
        <f t="shared" si="0"/>
        <v>0</v>
      </c>
      <c r="H18" s="190">
        <v>0</v>
      </c>
      <c r="I18" s="191">
        <v>0</v>
      </c>
      <c r="J18" s="22">
        <f t="shared" si="1"/>
        <v>0</v>
      </c>
      <c r="K18" s="22">
        <f t="shared" si="2"/>
        <v>0</v>
      </c>
      <c r="L18" s="172"/>
      <c r="M18" s="16">
        <f>M17+K18-L18</f>
        <v>63218.658999999985</v>
      </c>
      <c r="N18" s="53"/>
      <c r="O18" s="92"/>
    </row>
    <row r="19" spans="1:18">
      <c r="A19" s="64">
        <v>16</v>
      </c>
      <c r="B19" s="267">
        <v>45732</v>
      </c>
      <c r="C19" s="244"/>
      <c r="D19" s="245"/>
      <c r="E19" s="190">
        <v>0</v>
      </c>
      <c r="F19" s="280">
        <v>0</v>
      </c>
      <c r="G19" s="170">
        <f t="shared" si="0"/>
        <v>0</v>
      </c>
      <c r="H19" s="190">
        <v>0</v>
      </c>
      <c r="I19" s="191">
        <v>0</v>
      </c>
      <c r="J19" s="22">
        <f t="shared" si="1"/>
        <v>0</v>
      </c>
      <c r="K19" s="22">
        <f t="shared" si="2"/>
        <v>0</v>
      </c>
      <c r="L19" s="172"/>
      <c r="M19" s="17">
        <f>M18+K19-L19</f>
        <v>63218.658999999985</v>
      </c>
      <c r="N19" s="247"/>
      <c r="O19" s="92"/>
    </row>
    <row r="20" spans="1:18">
      <c r="A20" s="64">
        <v>17</v>
      </c>
      <c r="B20" s="267">
        <v>45733</v>
      </c>
      <c r="C20" s="89"/>
      <c r="D20" s="94"/>
      <c r="E20" s="190">
        <v>0</v>
      </c>
      <c r="F20" s="280">
        <v>0</v>
      </c>
      <c r="G20" s="170">
        <f t="shared" si="0"/>
        <v>0</v>
      </c>
      <c r="H20" s="190">
        <v>0</v>
      </c>
      <c r="I20" s="191">
        <v>0</v>
      </c>
      <c r="J20" s="22">
        <f t="shared" si="1"/>
        <v>0</v>
      </c>
      <c r="K20" s="22">
        <f t="shared" si="2"/>
        <v>0</v>
      </c>
      <c r="L20" s="172"/>
      <c r="M20" s="17">
        <f>M19+K20-L20</f>
        <v>63218.658999999985</v>
      </c>
      <c r="N20" s="53"/>
      <c r="O20" s="92"/>
    </row>
    <row r="21" spans="1:18">
      <c r="A21" s="64">
        <v>18</v>
      </c>
      <c r="B21" s="267">
        <v>45734</v>
      </c>
      <c r="C21" s="89"/>
      <c r="D21" s="94"/>
      <c r="E21" s="190">
        <v>0</v>
      </c>
      <c r="F21" s="280">
        <v>0</v>
      </c>
      <c r="G21" s="170">
        <f t="shared" si="0"/>
        <v>0</v>
      </c>
      <c r="H21" s="190">
        <v>0</v>
      </c>
      <c r="I21" s="191">
        <v>0</v>
      </c>
      <c r="J21" s="22">
        <f t="shared" si="1"/>
        <v>0</v>
      </c>
      <c r="K21" s="22">
        <f t="shared" si="2"/>
        <v>0</v>
      </c>
      <c r="L21" s="172"/>
      <c r="M21" s="17">
        <f>M20+K21-L21</f>
        <v>63218.658999999985</v>
      </c>
      <c r="N21" s="53"/>
      <c r="O21" s="92"/>
    </row>
    <row r="22" spans="1:18">
      <c r="A22" s="64">
        <v>19</v>
      </c>
      <c r="B22" s="267">
        <v>45735</v>
      </c>
      <c r="C22" s="89"/>
      <c r="D22" s="94"/>
      <c r="E22" s="190">
        <v>0</v>
      </c>
      <c r="F22" s="280">
        <v>0</v>
      </c>
      <c r="G22" s="170">
        <f t="shared" si="0"/>
        <v>0</v>
      </c>
      <c r="H22" s="190">
        <v>0</v>
      </c>
      <c r="I22" s="191">
        <v>0</v>
      </c>
      <c r="J22" s="22">
        <f t="shared" si="1"/>
        <v>0</v>
      </c>
      <c r="K22" s="22">
        <f t="shared" si="2"/>
        <v>0</v>
      </c>
      <c r="L22" s="172"/>
      <c r="M22" s="17">
        <f t="shared" ref="M22:M33" si="3">M21+K22-L22</f>
        <v>63218.658999999985</v>
      </c>
      <c r="N22" s="53"/>
      <c r="O22" s="92"/>
    </row>
    <row r="23" spans="1:18">
      <c r="A23" s="64">
        <v>20</v>
      </c>
      <c r="B23" s="267">
        <v>45736</v>
      </c>
      <c r="C23" s="89"/>
      <c r="D23" s="94"/>
      <c r="E23" s="190">
        <v>10</v>
      </c>
      <c r="F23" s="280">
        <v>89.81</v>
      </c>
      <c r="G23" s="170">
        <f t="shared" si="0"/>
        <v>898.1</v>
      </c>
      <c r="H23" s="190">
        <v>5</v>
      </c>
      <c r="I23" s="191">
        <v>103.8</v>
      </c>
      <c r="J23" s="22">
        <f t="shared" si="1"/>
        <v>519</v>
      </c>
      <c r="K23" s="22">
        <f t="shared" si="2"/>
        <v>1417.1</v>
      </c>
      <c r="L23" s="172"/>
      <c r="M23" s="17">
        <f t="shared" si="3"/>
        <v>64635.758999999984</v>
      </c>
      <c r="N23" s="53"/>
      <c r="O23" s="92"/>
    </row>
    <row r="24" spans="1:18">
      <c r="A24" s="64">
        <v>21</v>
      </c>
      <c r="B24" s="267">
        <v>45737</v>
      </c>
      <c r="C24" s="89"/>
      <c r="D24" s="94"/>
      <c r="E24" s="190">
        <v>0</v>
      </c>
      <c r="F24" s="280">
        <v>0</v>
      </c>
      <c r="G24" s="170">
        <f t="shared" si="0"/>
        <v>0</v>
      </c>
      <c r="H24" s="190">
        <v>0</v>
      </c>
      <c r="I24" s="191">
        <v>0</v>
      </c>
      <c r="J24" s="22">
        <f t="shared" si="1"/>
        <v>0</v>
      </c>
      <c r="K24" s="22">
        <f t="shared" si="2"/>
        <v>0</v>
      </c>
      <c r="L24" s="172"/>
      <c r="M24" s="17">
        <f t="shared" si="3"/>
        <v>64635.758999999984</v>
      </c>
      <c r="N24" s="53"/>
      <c r="O24" s="92"/>
    </row>
    <row r="25" spans="1:18">
      <c r="A25" s="64">
        <v>22</v>
      </c>
      <c r="B25" s="267">
        <v>45738</v>
      </c>
      <c r="C25" s="89"/>
      <c r="D25" s="94"/>
      <c r="E25" s="190">
        <v>0</v>
      </c>
      <c r="F25" s="280">
        <v>0</v>
      </c>
      <c r="G25" s="170">
        <f t="shared" si="0"/>
        <v>0</v>
      </c>
      <c r="H25" s="190">
        <v>0</v>
      </c>
      <c r="I25" s="191">
        <v>0</v>
      </c>
      <c r="J25" s="22">
        <f t="shared" si="1"/>
        <v>0</v>
      </c>
      <c r="K25" s="22">
        <f t="shared" si="2"/>
        <v>0</v>
      </c>
      <c r="L25" s="172"/>
      <c r="M25" s="17">
        <f t="shared" si="3"/>
        <v>64635.758999999984</v>
      </c>
      <c r="N25" s="53"/>
      <c r="O25" s="92"/>
    </row>
    <row r="26" spans="1:18">
      <c r="A26" s="64">
        <v>23</v>
      </c>
      <c r="B26" s="267">
        <v>45739</v>
      </c>
      <c r="C26" s="89"/>
      <c r="D26" s="94"/>
      <c r="E26" s="190">
        <v>0</v>
      </c>
      <c r="F26" s="280">
        <v>0</v>
      </c>
      <c r="G26" s="170">
        <f t="shared" si="0"/>
        <v>0</v>
      </c>
      <c r="H26" s="190">
        <v>5</v>
      </c>
      <c r="I26" s="191">
        <v>103.8</v>
      </c>
      <c r="J26" s="22">
        <f t="shared" si="1"/>
        <v>519</v>
      </c>
      <c r="K26" s="22">
        <f t="shared" si="2"/>
        <v>519</v>
      </c>
      <c r="L26" s="172"/>
      <c r="M26" s="17">
        <f t="shared" si="3"/>
        <v>65154.758999999984</v>
      </c>
      <c r="N26" s="53"/>
      <c r="O26" s="92"/>
    </row>
    <row r="27" spans="1:18">
      <c r="A27" s="64">
        <v>24</v>
      </c>
      <c r="B27" s="267">
        <v>45740</v>
      </c>
      <c r="C27" s="89"/>
      <c r="D27" s="94"/>
      <c r="E27" s="190">
        <v>0</v>
      </c>
      <c r="F27" s="280">
        <v>0</v>
      </c>
      <c r="G27" s="170">
        <f t="shared" si="0"/>
        <v>0</v>
      </c>
      <c r="H27" s="190">
        <v>0</v>
      </c>
      <c r="I27" s="191">
        <v>0</v>
      </c>
      <c r="J27" s="22">
        <f t="shared" si="1"/>
        <v>0</v>
      </c>
      <c r="K27" s="22">
        <f t="shared" si="2"/>
        <v>0</v>
      </c>
      <c r="L27" s="172"/>
      <c r="M27" s="17">
        <f t="shared" si="3"/>
        <v>65154.758999999984</v>
      </c>
      <c r="N27" s="53"/>
      <c r="O27" s="92"/>
      <c r="R27">
        <v>66742</v>
      </c>
    </row>
    <row r="28" spans="1:18">
      <c r="A28" s="306">
        <v>25</v>
      </c>
      <c r="B28" s="307">
        <v>45741</v>
      </c>
      <c r="C28" s="256"/>
      <c r="D28" s="245"/>
      <c r="E28" s="308">
        <v>90.85</v>
      </c>
      <c r="F28" s="309">
        <v>89.81</v>
      </c>
      <c r="G28" s="310">
        <f t="shared" si="0"/>
        <v>8159.2384999999995</v>
      </c>
      <c r="H28" s="308">
        <v>5</v>
      </c>
      <c r="I28" s="311">
        <v>103.8</v>
      </c>
      <c r="J28" s="312">
        <f t="shared" si="1"/>
        <v>519</v>
      </c>
      <c r="K28" s="312">
        <f t="shared" si="2"/>
        <v>8678.2384999999995</v>
      </c>
      <c r="L28" s="230"/>
      <c r="M28" s="17">
        <f t="shared" si="3"/>
        <v>73832.997499999983</v>
      </c>
      <c r="N28" s="247"/>
      <c r="O28" s="92"/>
    </row>
    <row r="29" spans="1:18">
      <c r="A29" s="64">
        <v>26</v>
      </c>
      <c r="B29" s="110">
        <v>45742</v>
      </c>
      <c r="C29" s="89"/>
      <c r="D29" s="94"/>
      <c r="E29" s="87">
        <v>0</v>
      </c>
      <c r="F29" s="280">
        <v>0</v>
      </c>
      <c r="G29" s="8">
        <f t="shared" ref="G29" si="4">E29*F29</f>
        <v>0</v>
      </c>
      <c r="H29" s="87">
        <v>5</v>
      </c>
      <c r="I29" s="88">
        <v>103.8</v>
      </c>
      <c r="J29" s="8">
        <f t="shared" ref="J29" si="5">H29*I29</f>
        <v>519</v>
      </c>
      <c r="K29" s="8">
        <f t="shared" ref="K29" si="6">G29+J29</f>
        <v>519</v>
      </c>
      <c r="L29" s="90"/>
      <c r="M29" s="17">
        <f t="shared" si="3"/>
        <v>74351.997499999983</v>
      </c>
      <c r="N29" s="53"/>
      <c r="O29" s="92"/>
    </row>
    <row r="30" spans="1:18">
      <c r="A30" s="64">
        <v>27</v>
      </c>
      <c r="B30" s="110">
        <v>45743</v>
      </c>
      <c r="C30" s="89"/>
      <c r="D30" s="94"/>
      <c r="E30" s="87"/>
      <c r="F30" s="280"/>
      <c r="G30" s="8"/>
      <c r="H30" s="87"/>
      <c r="I30" s="88"/>
      <c r="J30" s="8">
        <f t="shared" ref="J30:J33" si="7">H30*I30</f>
        <v>0</v>
      </c>
      <c r="K30" s="8">
        <f t="shared" ref="K30:K33" si="8">G30+J30</f>
        <v>0</v>
      </c>
      <c r="L30" s="90">
        <v>74352</v>
      </c>
      <c r="M30" s="17">
        <f t="shared" si="3"/>
        <v>-2.5000000168802217E-3</v>
      </c>
      <c r="N30" s="53"/>
      <c r="O30" s="92"/>
    </row>
    <row r="31" spans="1:18">
      <c r="A31" s="64">
        <v>28</v>
      </c>
      <c r="B31" s="110">
        <v>45744</v>
      </c>
      <c r="C31" s="89"/>
      <c r="D31" s="94"/>
      <c r="E31" s="87"/>
      <c r="F31" s="280"/>
      <c r="G31" s="8"/>
      <c r="H31" s="87"/>
      <c r="I31" s="88"/>
      <c r="J31" s="8">
        <f t="shared" si="7"/>
        <v>0</v>
      </c>
      <c r="K31" s="8">
        <f t="shared" si="8"/>
        <v>0</v>
      </c>
      <c r="L31" s="90"/>
      <c r="M31" s="17">
        <f t="shared" si="3"/>
        <v>-2.5000000168802217E-3</v>
      </c>
      <c r="N31" s="53"/>
      <c r="O31" s="92"/>
    </row>
    <row r="32" spans="1:18">
      <c r="A32" s="64">
        <v>29</v>
      </c>
      <c r="B32" s="110">
        <v>45745</v>
      </c>
      <c r="C32" s="89"/>
      <c r="D32" s="94"/>
      <c r="E32" s="87"/>
      <c r="F32" s="280"/>
      <c r="G32" s="8"/>
      <c r="H32" s="87"/>
      <c r="I32" s="88"/>
      <c r="J32" s="8">
        <f t="shared" si="7"/>
        <v>0</v>
      </c>
      <c r="K32" s="8">
        <f t="shared" si="8"/>
        <v>0</v>
      </c>
      <c r="L32" s="90"/>
      <c r="M32" s="17">
        <f t="shared" si="3"/>
        <v>-2.5000000168802217E-3</v>
      </c>
      <c r="N32" s="53"/>
      <c r="O32" s="92"/>
    </row>
    <row r="33" spans="1:15">
      <c r="A33" s="64">
        <v>30</v>
      </c>
      <c r="B33" s="110">
        <v>45746</v>
      </c>
      <c r="C33" s="89"/>
      <c r="D33" s="94"/>
      <c r="E33" s="87">
        <v>0</v>
      </c>
      <c r="F33" s="280"/>
      <c r="G33" s="8"/>
      <c r="H33" s="87">
        <v>15</v>
      </c>
      <c r="I33" s="88">
        <v>103.8</v>
      </c>
      <c r="J33" s="8">
        <f t="shared" si="7"/>
        <v>1557</v>
      </c>
      <c r="K33" s="8">
        <f t="shared" si="8"/>
        <v>1557</v>
      </c>
      <c r="L33" s="90"/>
      <c r="M33" s="17">
        <f t="shared" si="3"/>
        <v>1556.9974999999831</v>
      </c>
      <c r="N33" s="53"/>
      <c r="O33" s="92"/>
    </row>
    <row r="34" spans="1:15">
      <c r="A34" s="64">
        <v>31</v>
      </c>
      <c r="B34" s="110">
        <v>45747</v>
      </c>
      <c r="C34" s="89"/>
      <c r="D34" s="94"/>
      <c r="E34" s="87"/>
      <c r="F34" s="280"/>
      <c r="G34" s="8"/>
      <c r="H34" s="87"/>
      <c r="I34" s="88"/>
      <c r="J34" s="8"/>
      <c r="K34" s="8"/>
      <c r="L34" s="90"/>
      <c r="M34" s="90"/>
      <c r="N34" s="53"/>
      <c r="O34" s="92"/>
    </row>
    <row r="35" spans="1:15">
      <c r="A35" s="197"/>
      <c r="B35" s="197"/>
      <c r="C35" s="197"/>
      <c r="D35" s="197"/>
      <c r="E35" s="198">
        <f>SUM(E4:E34)</f>
        <v>254.85</v>
      </c>
      <c r="F35" s="198"/>
      <c r="G35" s="198">
        <f>SUM(G4:G34)</f>
        <v>22888.078500000003</v>
      </c>
      <c r="H35" s="198">
        <f>SUM(H4:H34)</f>
        <v>70</v>
      </c>
      <c r="I35" s="198"/>
      <c r="J35" s="198">
        <f>SUM(J4:J34)</f>
        <v>7266</v>
      </c>
      <c r="K35" s="198">
        <f>SUM(K4:K34)</f>
        <v>30154.0785</v>
      </c>
      <c r="L35" s="198">
        <f>SUM(L4:L34)</f>
        <v>174352</v>
      </c>
      <c r="M35" s="198"/>
      <c r="N35" s="198"/>
      <c r="O35" s="81"/>
    </row>
    <row r="36" spans="1:15">
      <c r="A36" s="96"/>
      <c r="B36" s="97"/>
      <c r="C36" s="96"/>
      <c r="D36" s="96"/>
      <c r="E36" s="98"/>
      <c r="F36" s="98"/>
      <c r="G36" s="98"/>
      <c r="H36" s="98"/>
      <c r="I36" s="98"/>
      <c r="J36" s="99"/>
      <c r="K36" s="99"/>
      <c r="L36" s="99"/>
      <c r="M36" s="99"/>
      <c r="N36" s="98"/>
      <c r="O36" s="92"/>
    </row>
    <row r="37" spans="1:15">
      <c r="O37" s="92"/>
    </row>
    <row r="38" spans="1:15">
      <c r="O38" s="92"/>
    </row>
    <row r="39" spans="1:15">
      <c r="O39" s="92"/>
    </row>
    <row r="40" spans="1:15">
      <c r="O40" s="92"/>
    </row>
    <row r="41" spans="1:15">
      <c r="O41" s="92"/>
    </row>
    <row r="42" spans="1:15">
      <c r="A42" s="92"/>
      <c r="B42" s="81"/>
      <c r="C42" s="92"/>
      <c r="D42" s="92"/>
      <c r="E42" s="92"/>
      <c r="F42" s="92"/>
      <c r="G42" s="100"/>
      <c r="H42" s="92"/>
      <c r="I42" s="92"/>
      <c r="J42" s="81"/>
      <c r="K42" s="81"/>
      <c r="L42" s="81"/>
      <c r="M42" s="81"/>
      <c r="N42" s="92"/>
      <c r="O42" s="98"/>
    </row>
    <row r="43" spans="1:15">
      <c r="A43" s="92"/>
      <c r="B43" s="392"/>
      <c r="C43" s="392"/>
      <c r="D43" s="392"/>
      <c r="E43" s="392"/>
      <c r="F43" s="92"/>
      <c r="G43" s="92"/>
      <c r="H43" s="92"/>
      <c r="I43" s="392"/>
      <c r="J43" s="392"/>
      <c r="K43" s="392"/>
      <c r="L43" s="392"/>
      <c r="M43" s="392"/>
      <c r="N43" s="392"/>
      <c r="O43" s="98"/>
    </row>
    <row r="44" spans="1:15">
      <c r="A44" s="92"/>
      <c r="B44" s="81"/>
      <c r="C44" s="92"/>
      <c r="D44" s="92"/>
      <c r="E44" s="92"/>
      <c r="F44" s="92"/>
      <c r="G44" s="92"/>
      <c r="H44" s="92"/>
      <c r="I44" s="92"/>
      <c r="J44" s="81"/>
      <c r="K44" s="81"/>
      <c r="L44" s="81"/>
      <c r="M44" s="81"/>
      <c r="N44" s="92"/>
      <c r="O44" s="98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36F5E-9E9B-42D1-AB84-1EC3DDAE3F46}">
  <dimension ref="A1:P36"/>
  <sheetViews>
    <sheetView topLeftCell="A12" workbookViewId="0">
      <selection activeCell="K3" sqref="K3"/>
    </sheetView>
  </sheetViews>
  <sheetFormatPr defaultColWidth="10.5703125" defaultRowHeight="15" customHeight="1"/>
  <cols>
    <col min="3" max="3" width="12.85546875" customWidth="1"/>
    <col min="4" max="4" width="14.85546875" customWidth="1"/>
    <col min="5" max="6" width="10.5703125" style="24"/>
    <col min="7" max="7" width="12.85546875" style="24" customWidth="1"/>
    <col min="8" max="9" width="10.5703125" style="24"/>
    <col min="10" max="10" width="13.85546875" style="24" customWidth="1"/>
    <col min="11" max="11" width="13.5703125" style="24" customWidth="1"/>
    <col min="12" max="12" width="16.140625" style="24" customWidth="1"/>
    <col min="13" max="13" width="17.42578125" style="24" customWidth="1"/>
  </cols>
  <sheetData>
    <row r="1" spans="1:16" ht="15" customHeight="1">
      <c r="A1" s="386" t="s">
        <v>166</v>
      </c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  <c r="M1" s="386"/>
      <c r="N1" s="329"/>
    </row>
    <row r="2" spans="1:16" ht="26.25" customHeight="1">
      <c r="A2" s="128" t="s">
        <v>91</v>
      </c>
      <c r="B2" s="133" t="s">
        <v>92</v>
      </c>
      <c r="C2" s="133" t="s">
        <v>93</v>
      </c>
      <c r="D2" s="133" t="s">
        <v>94</v>
      </c>
      <c r="E2" s="343" t="s">
        <v>95</v>
      </c>
      <c r="F2" s="331" t="s">
        <v>96</v>
      </c>
      <c r="G2" s="331" t="s">
        <v>97</v>
      </c>
      <c r="H2" s="331" t="s">
        <v>98</v>
      </c>
      <c r="I2" s="331" t="s">
        <v>96</v>
      </c>
      <c r="J2" s="331" t="s">
        <v>97</v>
      </c>
      <c r="K2" s="331" t="s">
        <v>99</v>
      </c>
      <c r="L2" s="331" t="s">
        <v>100</v>
      </c>
      <c r="M2" s="331" t="s">
        <v>101</v>
      </c>
      <c r="N2" s="133" t="s">
        <v>102</v>
      </c>
    </row>
    <row r="3" spans="1:16" ht="15" customHeight="1">
      <c r="A3" s="388" t="s">
        <v>103</v>
      </c>
      <c r="B3" s="388"/>
      <c r="C3" s="388"/>
      <c r="D3" s="388"/>
      <c r="E3" s="388"/>
      <c r="F3" s="388"/>
      <c r="G3" s="388"/>
      <c r="H3" s="388"/>
      <c r="I3" s="388"/>
      <c r="J3" s="388"/>
      <c r="K3" s="332">
        <v>666085.35</v>
      </c>
      <c r="L3" s="332"/>
      <c r="M3" s="287">
        <f>+K3</f>
        <v>666085.35</v>
      </c>
      <c r="N3" s="119"/>
    </row>
    <row r="4" spans="1:16">
      <c r="A4" s="28">
        <v>1</v>
      </c>
      <c r="B4" s="29">
        <v>45717</v>
      </c>
      <c r="C4" s="19"/>
      <c r="D4" s="19"/>
      <c r="E4" s="51">
        <v>426.8</v>
      </c>
      <c r="F4" s="51">
        <v>96.36</v>
      </c>
      <c r="G4" s="51">
        <f>E4*F4</f>
        <v>41126.448000000004</v>
      </c>
      <c r="H4" s="51">
        <v>5</v>
      </c>
      <c r="I4" s="51">
        <v>108.17</v>
      </c>
      <c r="J4" s="51">
        <f>H4*I4</f>
        <v>540.85</v>
      </c>
      <c r="K4" s="51">
        <f>G4+J4</f>
        <v>41667.298000000003</v>
      </c>
      <c r="L4" s="51"/>
      <c r="M4" s="51">
        <f>M3+K4-L4</f>
        <v>707752.64799999993</v>
      </c>
      <c r="N4" s="19"/>
    </row>
    <row r="5" spans="1:16">
      <c r="A5" s="28">
        <v>2</v>
      </c>
      <c r="B5" s="294">
        <v>45718</v>
      </c>
      <c r="C5" s="19"/>
      <c r="D5" s="19"/>
      <c r="E5" s="51">
        <v>400</v>
      </c>
      <c r="F5" s="51">
        <v>96.36</v>
      </c>
      <c r="G5" s="51">
        <f t="shared" ref="G5:G34" si="0">E5*F5</f>
        <v>38544</v>
      </c>
      <c r="H5" s="51"/>
      <c r="I5" s="51"/>
      <c r="J5" s="51">
        <f t="shared" ref="J5:J34" si="1">H5*I5</f>
        <v>0</v>
      </c>
      <c r="K5" s="51">
        <f t="shared" ref="K5:K34" si="2">G5+J5</f>
        <v>38544</v>
      </c>
      <c r="L5" s="51"/>
      <c r="M5" s="51">
        <f t="shared" ref="M5:M34" si="3">M4+K5-L5</f>
        <v>746296.64799999993</v>
      </c>
      <c r="N5" s="19"/>
    </row>
    <row r="6" spans="1:16">
      <c r="A6" s="28">
        <v>3</v>
      </c>
      <c r="B6" s="29">
        <v>45719</v>
      </c>
      <c r="C6" s="19"/>
      <c r="D6" s="19"/>
      <c r="E6" s="51">
        <v>860.47</v>
      </c>
      <c r="F6" s="51">
        <v>96.36</v>
      </c>
      <c r="G6" s="51">
        <f t="shared" si="0"/>
        <v>82914.889200000005</v>
      </c>
      <c r="H6" s="51">
        <v>10</v>
      </c>
      <c r="I6" s="51">
        <v>108.17</v>
      </c>
      <c r="J6" s="51">
        <f t="shared" si="1"/>
        <v>1081.7</v>
      </c>
      <c r="K6" s="51">
        <f t="shared" si="2"/>
        <v>83996.589200000002</v>
      </c>
      <c r="L6" s="51">
        <v>200000</v>
      </c>
      <c r="M6" s="51">
        <f t="shared" si="3"/>
        <v>630293.23719999997</v>
      </c>
      <c r="N6" s="19"/>
    </row>
    <row r="7" spans="1:16">
      <c r="A7" s="28">
        <v>4</v>
      </c>
      <c r="B7" s="294">
        <v>45720</v>
      </c>
      <c r="C7" s="19"/>
      <c r="D7" s="19"/>
      <c r="E7" s="51">
        <v>600</v>
      </c>
      <c r="F7" s="51">
        <v>96.36</v>
      </c>
      <c r="G7" s="51">
        <f t="shared" si="0"/>
        <v>57816</v>
      </c>
      <c r="H7" s="51">
        <v>5</v>
      </c>
      <c r="I7" s="51">
        <v>108.17</v>
      </c>
      <c r="J7" s="51">
        <f t="shared" si="1"/>
        <v>540.85</v>
      </c>
      <c r="K7" s="51">
        <f t="shared" si="2"/>
        <v>58356.85</v>
      </c>
      <c r="L7" s="51">
        <v>100000</v>
      </c>
      <c r="M7" s="51">
        <f t="shared" si="3"/>
        <v>588650.08719999995</v>
      </c>
      <c r="N7" s="19"/>
    </row>
    <row r="8" spans="1:16">
      <c r="A8" s="28">
        <v>5</v>
      </c>
      <c r="B8" s="29">
        <v>45721</v>
      </c>
      <c r="C8" s="19"/>
      <c r="D8" s="19"/>
      <c r="E8" s="51">
        <v>1200</v>
      </c>
      <c r="F8" s="51">
        <v>96.36</v>
      </c>
      <c r="G8" s="51">
        <f t="shared" si="0"/>
        <v>115632</v>
      </c>
      <c r="H8" s="51">
        <v>9.6199999999999992</v>
      </c>
      <c r="I8" s="51">
        <v>108.17</v>
      </c>
      <c r="J8" s="51">
        <f t="shared" si="1"/>
        <v>1040.5953999999999</v>
      </c>
      <c r="K8" s="51">
        <f t="shared" si="2"/>
        <v>116672.59540000001</v>
      </c>
      <c r="L8" s="51"/>
      <c r="M8" s="51">
        <f t="shared" si="3"/>
        <v>705322.68259999994</v>
      </c>
      <c r="N8" s="19"/>
    </row>
    <row r="9" spans="1:16">
      <c r="A9" s="28">
        <v>6</v>
      </c>
      <c r="B9" s="294">
        <v>45722</v>
      </c>
      <c r="C9" s="19"/>
      <c r="D9" s="19"/>
      <c r="E9" s="51">
        <v>1293.27</v>
      </c>
      <c r="F9" s="51">
        <v>96.36</v>
      </c>
      <c r="G9" s="51">
        <f t="shared" si="0"/>
        <v>124619.4972</v>
      </c>
      <c r="H9" s="51">
        <v>10</v>
      </c>
      <c r="I9" s="51">
        <v>108.17</v>
      </c>
      <c r="J9" s="51">
        <f t="shared" si="1"/>
        <v>1081.7</v>
      </c>
      <c r="K9" s="51">
        <f t="shared" si="2"/>
        <v>125701.1972</v>
      </c>
      <c r="L9" s="51"/>
      <c r="M9" s="51">
        <f t="shared" si="3"/>
        <v>831023.8798</v>
      </c>
      <c r="N9" s="19"/>
    </row>
    <row r="10" spans="1:16">
      <c r="A10" s="28">
        <v>7</v>
      </c>
      <c r="B10" s="29">
        <v>45723</v>
      </c>
      <c r="C10" s="19"/>
      <c r="D10" s="19"/>
      <c r="E10" s="51">
        <v>600</v>
      </c>
      <c r="F10" s="51">
        <v>96.36</v>
      </c>
      <c r="G10" s="51">
        <f t="shared" si="0"/>
        <v>57816</v>
      </c>
      <c r="H10" s="51">
        <v>5</v>
      </c>
      <c r="I10" s="51">
        <v>108.17</v>
      </c>
      <c r="J10" s="51">
        <f t="shared" si="1"/>
        <v>540.85</v>
      </c>
      <c r="K10" s="51">
        <f t="shared" si="2"/>
        <v>58356.85</v>
      </c>
      <c r="L10" s="51"/>
      <c r="M10" s="51">
        <f t="shared" si="3"/>
        <v>889380.72979999997</v>
      </c>
      <c r="N10" s="19"/>
    </row>
    <row r="11" spans="1:16">
      <c r="A11" s="28">
        <v>8</v>
      </c>
      <c r="B11" s="294">
        <v>45724</v>
      </c>
      <c r="C11" s="19"/>
      <c r="D11" s="19"/>
      <c r="E11" s="51">
        <v>830.92</v>
      </c>
      <c r="F11" s="51">
        <v>96.36</v>
      </c>
      <c r="G11" s="51">
        <f t="shared" si="0"/>
        <v>80067.451199999996</v>
      </c>
      <c r="H11" s="51">
        <v>10</v>
      </c>
      <c r="I11" s="51">
        <v>108.17</v>
      </c>
      <c r="J11" s="51">
        <f t="shared" si="1"/>
        <v>1081.7</v>
      </c>
      <c r="K11" s="51">
        <f t="shared" si="2"/>
        <v>81149.151199999993</v>
      </c>
      <c r="L11" s="51"/>
      <c r="M11" s="51">
        <f t="shared" si="3"/>
        <v>970529.88099999994</v>
      </c>
      <c r="N11" s="19"/>
      <c r="P11" s="24"/>
    </row>
    <row r="12" spans="1:16">
      <c r="A12" s="28">
        <v>9</v>
      </c>
      <c r="B12" s="29">
        <v>45725</v>
      </c>
      <c r="C12" s="19"/>
      <c r="D12" s="19"/>
      <c r="E12" s="51">
        <v>220</v>
      </c>
      <c r="F12" s="51">
        <v>96.36</v>
      </c>
      <c r="G12" s="51">
        <f t="shared" si="0"/>
        <v>21199.200000000001</v>
      </c>
      <c r="H12" s="51">
        <v>5</v>
      </c>
      <c r="I12" s="51">
        <v>108.17</v>
      </c>
      <c r="J12" s="51">
        <f t="shared" si="1"/>
        <v>540.85</v>
      </c>
      <c r="K12" s="51">
        <f t="shared" si="2"/>
        <v>21740.05</v>
      </c>
      <c r="L12" s="51"/>
      <c r="M12" s="51">
        <f t="shared" si="3"/>
        <v>992269.93099999998</v>
      </c>
      <c r="N12" s="19"/>
    </row>
    <row r="13" spans="1:16">
      <c r="A13" s="28">
        <v>10</v>
      </c>
      <c r="B13" s="294">
        <v>45726</v>
      </c>
      <c r="C13" s="19"/>
      <c r="D13" s="19"/>
      <c r="E13" s="51">
        <v>1048.43</v>
      </c>
      <c r="F13" s="51">
        <v>96.36</v>
      </c>
      <c r="G13" s="51">
        <f t="shared" si="0"/>
        <v>101026.7148</v>
      </c>
      <c r="H13" s="51">
        <v>5</v>
      </c>
      <c r="I13" s="51">
        <v>108.17</v>
      </c>
      <c r="J13" s="51">
        <f t="shared" si="1"/>
        <v>540.85</v>
      </c>
      <c r="K13" s="51">
        <f t="shared" si="2"/>
        <v>101567.56480000001</v>
      </c>
      <c r="L13" s="51">
        <v>500000</v>
      </c>
      <c r="M13" s="51">
        <f t="shared" si="3"/>
        <v>593837.49579999992</v>
      </c>
      <c r="N13" s="19"/>
    </row>
    <row r="14" spans="1:16">
      <c r="A14" s="28">
        <v>11</v>
      </c>
      <c r="B14" s="29">
        <v>45727</v>
      </c>
      <c r="C14" s="19"/>
      <c r="D14" s="19"/>
      <c r="E14" s="51">
        <v>843.58</v>
      </c>
      <c r="F14" s="51">
        <v>96.36</v>
      </c>
      <c r="G14" s="51">
        <f t="shared" si="0"/>
        <v>81287.368799999997</v>
      </c>
      <c r="H14" s="51"/>
      <c r="I14" s="51"/>
      <c r="J14" s="51">
        <f t="shared" si="1"/>
        <v>0</v>
      </c>
      <c r="K14" s="51">
        <f t="shared" si="2"/>
        <v>81287.368799999997</v>
      </c>
      <c r="L14" s="51"/>
      <c r="M14" s="51">
        <f t="shared" si="3"/>
        <v>675124.86459999997</v>
      </c>
      <c r="N14" s="19"/>
    </row>
    <row r="15" spans="1:16">
      <c r="A15" s="28">
        <v>12</v>
      </c>
      <c r="B15" s="294">
        <v>45728</v>
      </c>
      <c r="C15" s="19"/>
      <c r="D15" s="19"/>
      <c r="E15" s="51">
        <v>1020</v>
      </c>
      <c r="F15" s="51">
        <v>96.36</v>
      </c>
      <c r="G15" s="51">
        <f t="shared" si="0"/>
        <v>98287.2</v>
      </c>
      <c r="H15" s="51">
        <v>15</v>
      </c>
      <c r="I15" s="51">
        <v>108.17</v>
      </c>
      <c r="J15" s="51">
        <f t="shared" si="1"/>
        <v>1622.55</v>
      </c>
      <c r="K15" s="51">
        <f t="shared" si="2"/>
        <v>99909.75</v>
      </c>
      <c r="L15" s="51"/>
      <c r="M15" s="51">
        <f t="shared" si="3"/>
        <v>775034.61459999997</v>
      </c>
      <c r="N15" s="19"/>
    </row>
    <row r="16" spans="1:16">
      <c r="A16" s="28">
        <v>13</v>
      </c>
      <c r="B16" s="29">
        <v>45729</v>
      </c>
      <c r="C16" s="19"/>
      <c r="D16" s="19"/>
      <c r="E16" s="51">
        <v>1060</v>
      </c>
      <c r="F16" s="51">
        <v>96.36</v>
      </c>
      <c r="G16" s="51">
        <f t="shared" si="0"/>
        <v>102141.6</v>
      </c>
      <c r="H16" s="51"/>
      <c r="I16" s="51">
        <v>108.17</v>
      </c>
      <c r="J16" s="51">
        <f t="shared" si="1"/>
        <v>0</v>
      </c>
      <c r="K16" s="51">
        <f t="shared" si="2"/>
        <v>102141.6</v>
      </c>
      <c r="L16" s="51"/>
      <c r="M16" s="51">
        <f t="shared" si="3"/>
        <v>877176.21459999995</v>
      </c>
      <c r="N16" s="19"/>
    </row>
    <row r="17" spans="1:14">
      <c r="A17" s="28">
        <v>14</v>
      </c>
      <c r="B17" s="294">
        <v>45730</v>
      </c>
      <c r="C17" s="19"/>
      <c r="D17" s="19"/>
      <c r="E17" s="51">
        <v>46</v>
      </c>
      <c r="F17" s="51">
        <v>96.36</v>
      </c>
      <c r="G17" s="51">
        <f t="shared" si="0"/>
        <v>4432.5600000000004</v>
      </c>
      <c r="H17" s="51">
        <v>15</v>
      </c>
      <c r="I17" s="51">
        <v>108.17</v>
      </c>
      <c r="J17" s="51">
        <f t="shared" si="1"/>
        <v>1622.55</v>
      </c>
      <c r="K17" s="51">
        <f t="shared" si="2"/>
        <v>6055.1100000000006</v>
      </c>
      <c r="L17" s="51"/>
      <c r="M17" s="51">
        <f t="shared" si="3"/>
        <v>883231.32459999993</v>
      </c>
      <c r="N17" s="19"/>
    </row>
    <row r="18" spans="1:14">
      <c r="A18" s="28">
        <v>15</v>
      </c>
      <c r="B18" s="29">
        <v>45731</v>
      </c>
      <c r="C18" s="19"/>
      <c r="D18" s="19"/>
      <c r="E18" s="51"/>
      <c r="F18" s="51"/>
      <c r="G18" s="51">
        <f t="shared" si="0"/>
        <v>0</v>
      </c>
      <c r="H18" s="51"/>
      <c r="I18" s="51">
        <v>108.17</v>
      </c>
      <c r="J18" s="51">
        <f t="shared" si="1"/>
        <v>0</v>
      </c>
      <c r="K18" s="51">
        <f t="shared" si="2"/>
        <v>0</v>
      </c>
      <c r="L18" s="51"/>
      <c r="M18" s="51">
        <f t="shared" si="3"/>
        <v>883231.32459999993</v>
      </c>
      <c r="N18" s="19"/>
    </row>
    <row r="19" spans="1:14">
      <c r="A19" s="28">
        <v>16</v>
      </c>
      <c r="B19" s="294">
        <v>45732</v>
      </c>
      <c r="C19" s="19"/>
      <c r="D19" s="19"/>
      <c r="E19" s="51">
        <v>620</v>
      </c>
      <c r="F19" s="51">
        <v>96.36</v>
      </c>
      <c r="G19" s="51">
        <f t="shared" si="0"/>
        <v>59743.199999999997</v>
      </c>
      <c r="H19" s="51">
        <v>5</v>
      </c>
      <c r="I19" s="51">
        <v>108.17</v>
      </c>
      <c r="J19" s="51">
        <f t="shared" si="1"/>
        <v>540.85</v>
      </c>
      <c r="K19" s="51">
        <f t="shared" si="2"/>
        <v>60284.049999999996</v>
      </c>
      <c r="L19" s="51"/>
      <c r="M19" s="51">
        <f t="shared" si="3"/>
        <v>943515.37459999998</v>
      </c>
      <c r="N19" s="19"/>
    </row>
    <row r="20" spans="1:14">
      <c r="A20" s="28">
        <v>17</v>
      </c>
      <c r="B20" s="29">
        <v>45733</v>
      </c>
      <c r="C20" s="19"/>
      <c r="D20" s="19"/>
      <c r="E20" s="51">
        <v>884.54</v>
      </c>
      <c r="F20" s="51">
        <v>96.36</v>
      </c>
      <c r="G20" s="51">
        <f t="shared" si="0"/>
        <v>85234.274399999995</v>
      </c>
      <c r="H20" s="51"/>
      <c r="I20" s="51"/>
      <c r="J20" s="51">
        <f t="shared" si="1"/>
        <v>0</v>
      </c>
      <c r="K20" s="51">
        <f t="shared" si="2"/>
        <v>85234.274399999995</v>
      </c>
      <c r="L20" s="51"/>
      <c r="M20" s="51">
        <f t="shared" si="3"/>
        <v>1028749.649</v>
      </c>
      <c r="N20" s="19"/>
    </row>
    <row r="21" spans="1:14">
      <c r="A21" s="28">
        <v>18</v>
      </c>
      <c r="B21" s="294">
        <v>45734</v>
      </c>
      <c r="C21" s="19"/>
      <c r="D21" s="19"/>
      <c r="E21" s="51">
        <v>400</v>
      </c>
      <c r="F21" s="51">
        <v>96.36</v>
      </c>
      <c r="G21" s="51">
        <f t="shared" si="0"/>
        <v>38544</v>
      </c>
      <c r="H21" s="51">
        <v>5</v>
      </c>
      <c r="I21" s="51">
        <v>108.17</v>
      </c>
      <c r="J21" s="51">
        <f t="shared" si="1"/>
        <v>540.85</v>
      </c>
      <c r="K21" s="51">
        <f t="shared" si="2"/>
        <v>39084.85</v>
      </c>
      <c r="L21" s="51"/>
      <c r="M21" s="51">
        <f t="shared" si="3"/>
        <v>1067834.4990000001</v>
      </c>
      <c r="N21" s="19"/>
    </row>
    <row r="22" spans="1:14">
      <c r="A22" s="28">
        <v>19</v>
      </c>
      <c r="B22" s="29">
        <v>45735</v>
      </c>
      <c r="C22" s="19"/>
      <c r="D22" s="19"/>
      <c r="E22" s="51">
        <v>893.84</v>
      </c>
      <c r="F22" s="51">
        <v>96.36</v>
      </c>
      <c r="G22" s="51">
        <f t="shared" si="0"/>
        <v>86130.422399999996</v>
      </c>
      <c r="H22" s="51">
        <v>5</v>
      </c>
      <c r="I22" s="51">
        <v>108.17</v>
      </c>
      <c r="J22" s="51">
        <f t="shared" si="1"/>
        <v>540.85</v>
      </c>
      <c r="K22" s="51">
        <f t="shared" si="2"/>
        <v>86671.272400000002</v>
      </c>
      <c r="L22" s="51">
        <v>500000</v>
      </c>
      <c r="M22" s="51">
        <f t="shared" si="3"/>
        <v>654505.77139999997</v>
      </c>
      <c r="N22" s="19"/>
    </row>
    <row r="23" spans="1:14">
      <c r="A23" s="28">
        <v>20</v>
      </c>
      <c r="B23" s="294">
        <v>45736</v>
      </c>
      <c r="C23" s="19"/>
      <c r="D23" s="19"/>
      <c r="E23" s="51">
        <v>800</v>
      </c>
      <c r="F23" s="51">
        <v>96.36</v>
      </c>
      <c r="G23" s="51">
        <f t="shared" si="0"/>
        <v>77088</v>
      </c>
      <c r="H23" s="51">
        <v>5</v>
      </c>
      <c r="I23" s="51">
        <v>108.17</v>
      </c>
      <c r="J23" s="51">
        <f t="shared" si="1"/>
        <v>540.85</v>
      </c>
      <c r="K23" s="51">
        <f t="shared" si="2"/>
        <v>77628.850000000006</v>
      </c>
      <c r="L23" s="51">
        <v>500000</v>
      </c>
      <c r="M23" s="51">
        <f t="shared" si="3"/>
        <v>232134.62139999995</v>
      </c>
      <c r="N23" s="19"/>
    </row>
    <row r="24" spans="1:14">
      <c r="A24" s="28">
        <v>21</v>
      </c>
      <c r="B24" s="29">
        <v>45737</v>
      </c>
      <c r="C24" s="19"/>
      <c r="D24" s="19"/>
      <c r="E24" s="51">
        <v>600</v>
      </c>
      <c r="F24" s="51">
        <v>96.36</v>
      </c>
      <c r="G24" s="51">
        <f t="shared" si="0"/>
        <v>57816</v>
      </c>
      <c r="H24" s="51">
        <v>5</v>
      </c>
      <c r="I24" s="51">
        <v>108.17</v>
      </c>
      <c r="J24" s="51">
        <f t="shared" si="1"/>
        <v>540.85</v>
      </c>
      <c r="K24" s="51">
        <f t="shared" si="2"/>
        <v>58356.85</v>
      </c>
      <c r="L24" s="51"/>
      <c r="M24" s="51">
        <f t="shared" si="3"/>
        <v>290491.47139999992</v>
      </c>
      <c r="N24" s="19"/>
    </row>
    <row r="25" spans="1:14">
      <c r="A25" s="28">
        <v>22</v>
      </c>
      <c r="B25" s="294">
        <v>45738</v>
      </c>
      <c r="C25" s="19"/>
      <c r="D25" s="19"/>
      <c r="E25" s="51">
        <v>513.55999999999995</v>
      </c>
      <c r="F25" s="51">
        <v>96.36</v>
      </c>
      <c r="G25" s="51">
        <f t="shared" si="0"/>
        <v>49486.641599999995</v>
      </c>
      <c r="H25" s="51">
        <v>5</v>
      </c>
      <c r="I25" s="51">
        <v>108.17</v>
      </c>
      <c r="J25" s="51">
        <f t="shared" si="1"/>
        <v>540.85</v>
      </c>
      <c r="K25" s="51">
        <f t="shared" si="2"/>
        <v>50027.491599999994</v>
      </c>
      <c r="L25" s="51"/>
      <c r="M25" s="51">
        <f t="shared" si="3"/>
        <v>340518.96299999993</v>
      </c>
      <c r="N25" s="19"/>
    </row>
    <row r="26" spans="1:14">
      <c r="A26" s="28">
        <v>23</v>
      </c>
      <c r="B26" s="29">
        <v>45739</v>
      </c>
      <c r="C26" s="19"/>
      <c r="D26" s="19"/>
      <c r="E26" s="51">
        <v>711.7</v>
      </c>
      <c r="F26" s="51">
        <v>96.36</v>
      </c>
      <c r="G26" s="51">
        <f t="shared" si="0"/>
        <v>68579.412000000011</v>
      </c>
      <c r="H26" s="51">
        <v>5</v>
      </c>
      <c r="I26" s="51">
        <v>108.17</v>
      </c>
      <c r="J26" s="51">
        <f t="shared" si="1"/>
        <v>540.85</v>
      </c>
      <c r="K26" s="51">
        <f t="shared" si="2"/>
        <v>69120.262000000017</v>
      </c>
      <c r="L26" s="51"/>
      <c r="M26" s="51">
        <f t="shared" si="3"/>
        <v>409639.22499999998</v>
      </c>
      <c r="N26" s="19"/>
    </row>
    <row r="27" spans="1:14">
      <c r="A27" s="28">
        <v>24</v>
      </c>
      <c r="B27" s="294">
        <v>45740</v>
      </c>
      <c r="C27" s="19"/>
      <c r="D27" s="19"/>
      <c r="E27" s="51">
        <v>44.62</v>
      </c>
      <c r="F27" s="51">
        <v>96.36</v>
      </c>
      <c r="G27" s="51">
        <f t="shared" si="0"/>
        <v>4299.5832</v>
      </c>
      <c r="H27" s="51"/>
      <c r="I27" s="51"/>
      <c r="J27" s="51">
        <f t="shared" si="1"/>
        <v>0</v>
      </c>
      <c r="K27" s="51">
        <f t="shared" si="2"/>
        <v>4299.5832</v>
      </c>
      <c r="L27" s="51"/>
      <c r="M27" s="51">
        <f t="shared" si="3"/>
        <v>413938.80819999997</v>
      </c>
      <c r="N27" s="19"/>
    </row>
    <row r="28" spans="1:14">
      <c r="A28" s="28">
        <v>25</v>
      </c>
      <c r="B28" s="29">
        <v>45741</v>
      </c>
      <c r="C28" s="19"/>
      <c r="D28" s="19"/>
      <c r="E28" s="51">
        <v>20</v>
      </c>
      <c r="F28" s="51">
        <v>96.36</v>
      </c>
      <c r="G28" s="51">
        <f t="shared" si="0"/>
        <v>1927.2</v>
      </c>
      <c r="H28" s="51">
        <v>5</v>
      </c>
      <c r="I28" s="51">
        <v>108.17</v>
      </c>
      <c r="J28" s="51">
        <f t="shared" si="1"/>
        <v>540.85</v>
      </c>
      <c r="K28" s="51">
        <f t="shared" si="2"/>
        <v>2468.0500000000002</v>
      </c>
      <c r="L28" s="51"/>
      <c r="M28" s="51">
        <f t="shared" si="3"/>
        <v>416406.85819999996</v>
      </c>
      <c r="N28" s="19"/>
    </row>
    <row r="29" spans="1:14">
      <c r="A29" s="28">
        <v>26</v>
      </c>
      <c r="B29" s="294">
        <v>45742</v>
      </c>
      <c r="C29" s="19"/>
      <c r="D29" s="19"/>
      <c r="E29" s="51">
        <v>90.7</v>
      </c>
      <c r="F29" s="51">
        <v>96.36</v>
      </c>
      <c r="G29" s="51">
        <f t="shared" si="0"/>
        <v>8739.8520000000008</v>
      </c>
      <c r="H29" s="51">
        <v>10</v>
      </c>
      <c r="I29" s="51">
        <v>108.17</v>
      </c>
      <c r="J29" s="51">
        <f t="shared" si="1"/>
        <v>1081.7</v>
      </c>
      <c r="K29" s="51">
        <f t="shared" si="2"/>
        <v>9821.5520000000015</v>
      </c>
      <c r="L29" s="51"/>
      <c r="M29" s="51">
        <f t="shared" si="3"/>
        <v>426228.41019999998</v>
      </c>
      <c r="N29" s="19"/>
    </row>
    <row r="30" spans="1:14">
      <c r="A30" s="28">
        <v>27</v>
      </c>
      <c r="B30" s="29">
        <v>45743</v>
      </c>
      <c r="C30" s="19"/>
      <c r="D30" s="19"/>
      <c r="E30" s="51">
        <v>200</v>
      </c>
      <c r="F30" s="51">
        <v>96.36</v>
      </c>
      <c r="G30" s="51">
        <f t="shared" si="0"/>
        <v>19272</v>
      </c>
      <c r="H30" s="51"/>
      <c r="I30" s="51"/>
      <c r="J30" s="51">
        <f t="shared" si="1"/>
        <v>0</v>
      </c>
      <c r="K30" s="51">
        <f t="shared" si="2"/>
        <v>19272</v>
      </c>
      <c r="L30" s="51"/>
      <c r="M30" s="51">
        <f t="shared" si="3"/>
        <v>445500.41019999998</v>
      </c>
      <c r="N30" s="19"/>
    </row>
    <row r="31" spans="1:14">
      <c r="A31" s="28">
        <v>28</v>
      </c>
      <c r="B31" s="294">
        <v>45744</v>
      </c>
      <c r="C31" s="19"/>
      <c r="D31" s="19"/>
      <c r="E31" s="51">
        <v>1075.8800000000001</v>
      </c>
      <c r="F31" s="51">
        <v>96.36</v>
      </c>
      <c r="G31" s="51">
        <f t="shared" si="0"/>
        <v>103671.79680000001</v>
      </c>
      <c r="H31" s="51"/>
      <c r="I31" s="51"/>
      <c r="J31" s="51">
        <f t="shared" si="1"/>
        <v>0</v>
      </c>
      <c r="K31" s="51">
        <f t="shared" si="2"/>
        <v>103671.79680000001</v>
      </c>
      <c r="L31" s="355">
        <v>0</v>
      </c>
      <c r="M31" s="51">
        <f t="shared" si="3"/>
        <v>549172.20699999994</v>
      </c>
      <c r="N31" s="19"/>
    </row>
    <row r="32" spans="1:14">
      <c r="A32" s="28">
        <v>29</v>
      </c>
      <c r="B32" s="29">
        <v>45745</v>
      </c>
      <c r="C32" s="19"/>
      <c r="D32" s="19"/>
      <c r="E32" s="51">
        <v>600</v>
      </c>
      <c r="F32" s="51">
        <v>96.36</v>
      </c>
      <c r="G32" s="51">
        <f t="shared" si="0"/>
        <v>57816</v>
      </c>
      <c r="H32" s="51">
        <v>10</v>
      </c>
      <c r="I32" s="51">
        <v>108.17</v>
      </c>
      <c r="J32" s="51">
        <f t="shared" si="1"/>
        <v>1081.7</v>
      </c>
      <c r="K32" s="51">
        <f t="shared" si="2"/>
        <v>58897.7</v>
      </c>
      <c r="L32" s="355">
        <v>549240.26759999967</v>
      </c>
      <c r="M32" s="51">
        <f t="shared" si="3"/>
        <v>58829.639400000218</v>
      </c>
      <c r="N32" s="19"/>
    </row>
    <row r="33" spans="1:14">
      <c r="A33" s="28">
        <v>30</v>
      </c>
      <c r="B33" s="294">
        <v>45746</v>
      </c>
      <c r="C33" s="19"/>
      <c r="D33" s="19"/>
      <c r="E33" s="51">
        <v>0</v>
      </c>
      <c r="F33" s="51">
        <v>96.36</v>
      </c>
      <c r="G33" s="51">
        <f t="shared" si="0"/>
        <v>0</v>
      </c>
      <c r="H33" s="51"/>
      <c r="I33" s="51"/>
      <c r="J33" s="51">
        <f t="shared" si="1"/>
        <v>0</v>
      </c>
      <c r="K33" s="51">
        <f t="shared" si="2"/>
        <v>0</v>
      </c>
      <c r="L33" s="51"/>
      <c r="M33" s="51">
        <f t="shared" si="3"/>
        <v>58829.639400000218</v>
      </c>
      <c r="N33" s="19"/>
    </row>
    <row r="34" spans="1:14" ht="15" customHeight="1">
      <c r="A34" s="28">
        <v>31</v>
      </c>
      <c r="B34" s="29">
        <v>45747</v>
      </c>
      <c r="C34" s="19"/>
      <c r="D34" s="19"/>
      <c r="E34" s="51">
        <v>431.22</v>
      </c>
      <c r="F34" s="51">
        <v>96.36</v>
      </c>
      <c r="G34" s="51">
        <f t="shared" si="0"/>
        <v>41552.359199999999</v>
      </c>
      <c r="H34" s="51"/>
      <c r="I34" s="51"/>
      <c r="J34" s="51">
        <f t="shared" si="1"/>
        <v>0</v>
      </c>
      <c r="K34" s="51">
        <f t="shared" si="2"/>
        <v>41552.359199999999</v>
      </c>
      <c r="L34" s="51"/>
      <c r="M34" s="51">
        <f t="shared" si="3"/>
        <v>100381.99860000022</v>
      </c>
      <c r="N34" s="19"/>
    </row>
    <row r="35" spans="1:14" ht="15" customHeight="1">
      <c r="A35" s="60"/>
      <c r="B35" s="60"/>
      <c r="C35" s="60"/>
      <c r="D35" s="60"/>
      <c r="E35" s="333">
        <f>SUM(E4:E34)</f>
        <v>18335.530000000006</v>
      </c>
      <c r="F35" s="344"/>
      <c r="G35" s="333">
        <f>SUM(G4:G34)</f>
        <v>1766811.6707999997</v>
      </c>
      <c r="H35" s="333">
        <f>SUM(H4:H34)</f>
        <v>154.62</v>
      </c>
      <c r="I35" s="344"/>
      <c r="J35" s="333">
        <f>SUM(J4:J34)</f>
        <v>16725.245400000003</v>
      </c>
      <c r="K35" s="333">
        <f>SUM(K4:K34)</f>
        <v>1783536.9162000003</v>
      </c>
      <c r="L35" s="333">
        <f>SUM(L4:L34)</f>
        <v>2349240.2675999999</v>
      </c>
      <c r="M35" s="344"/>
      <c r="N35" s="61"/>
    </row>
    <row r="36" spans="1:14"/>
  </sheetData>
  <mergeCells count="2">
    <mergeCell ref="A1:M1"/>
    <mergeCell ref="A3:J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B3BE-D862-4195-B5AF-A057F3C991D4}">
  <dimension ref="A1:P36"/>
  <sheetViews>
    <sheetView workbookViewId="0">
      <pane ySplit="2" topLeftCell="A15" activePane="bottomLeft" state="frozen"/>
      <selection pane="bottomLeft" activeCell="Q26" sqref="Q26"/>
    </sheetView>
  </sheetViews>
  <sheetFormatPr defaultColWidth="14.2851562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19.28515625" customWidth="1"/>
    <col min="5" max="5" width="10.7109375" style="24" bestFit="1" customWidth="1"/>
    <col min="6" max="6" width="9.5703125" style="24" bestFit="1" customWidth="1"/>
    <col min="7" max="7" width="9.28515625" style="24" bestFit="1" customWidth="1"/>
    <col min="8" max="8" width="10.7109375" style="24" bestFit="1" customWidth="1"/>
    <col min="9" max="9" width="7.140625" style="24" bestFit="1" customWidth="1"/>
    <col min="10" max="10" width="8.7109375" style="24" bestFit="1" customWidth="1"/>
    <col min="11" max="11" width="13.5703125" style="24" bestFit="1" customWidth="1"/>
    <col min="12" max="12" width="13.5703125" bestFit="1" customWidth="1"/>
    <col min="13" max="13" width="13.5703125" customWidth="1"/>
    <col min="14" max="14" width="17.7109375" bestFit="1" customWidth="1"/>
  </cols>
  <sheetData>
    <row r="1" spans="1:16" ht="15.75">
      <c r="A1" s="396" t="s">
        <v>57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396"/>
      <c r="N1" s="396"/>
    </row>
    <row r="2" spans="1:16">
      <c r="A2" s="86" t="s">
        <v>91</v>
      </c>
      <c r="B2" s="107" t="s">
        <v>92</v>
      </c>
      <c r="C2" s="107" t="s">
        <v>93</v>
      </c>
      <c r="D2" s="107" t="s">
        <v>94</v>
      </c>
      <c r="E2" s="115" t="s">
        <v>95</v>
      </c>
      <c r="F2" s="115" t="s">
        <v>96</v>
      </c>
      <c r="G2" s="115" t="s">
        <v>97</v>
      </c>
      <c r="H2" s="115" t="s">
        <v>98</v>
      </c>
      <c r="I2" s="115" t="s">
        <v>96</v>
      </c>
      <c r="J2" s="115" t="s">
        <v>97</v>
      </c>
      <c r="K2" s="116" t="s">
        <v>99</v>
      </c>
      <c r="L2" s="109" t="s">
        <v>100</v>
      </c>
      <c r="M2" s="109" t="s">
        <v>101</v>
      </c>
      <c r="N2" s="152" t="s">
        <v>102</v>
      </c>
    </row>
    <row r="3" spans="1:16">
      <c r="A3" s="376" t="s">
        <v>103</v>
      </c>
      <c r="B3" s="376"/>
      <c r="C3" s="376"/>
      <c r="D3" s="376"/>
      <c r="E3" s="376"/>
      <c r="F3" s="376"/>
      <c r="G3" s="376"/>
      <c r="H3" s="376"/>
      <c r="I3" s="376"/>
      <c r="J3" s="377"/>
      <c r="K3" s="268">
        <v>6304.1610999999994</v>
      </c>
      <c r="M3" s="164">
        <f>+K3</f>
        <v>6304.1610999999994</v>
      </c>
      <c r="N3" s="119"/>
    </row>
    <row r="4" spans="1:16">
      <c r="A4" s="28">
        <v>1</v>
      </c>
      <c r="B4" s="29">
        <v>45717</v>
      </c>
      <c r="C4" s="19">
        <v>92</v>
      </c>
      <c r="D4" s="19"/>
      <c r="E4" s="51">
        <v>40.01</v>
      </c>
      <c r="F4" s="51">
        <v>91.47</v>
      </c>
      <c r="G4" s="51">
        <f>E4*F4</f>
        <v>3659.7147</v>
      </c>
      <c r="H4" s="51">
        <v>0</v>
      </c>
      <c r="I4" s="51">
        <v>0</v>
      </c>
      <c r="J4" s="51">
        <f>H4*I4</f>
        <v>0</v>
      </c>
      <c r="K4" s="51">
        <f>G4+J4</f>
        <v>3659.7147</v>
      </c>
      <c r="L4" s="51">
        <f>+K4</f>
        <v>3659.7147</v>
      </c>
      <c r="M4" s="165">
        <f>M3+K4-L4</f>
        <v>6304.1610999999994</v>
      </c>
      <c r="N4" s="19"/>
    </row>
    <row r="5" spans="1:16">
      <c r="A5" s="28">
        <v>2</v>
      </c>
      <c r="B5" s="294">
        <v>45718</v>
      </c>
      <c r="C5" s="19"/>
      <c r="D5" s="19"/>
      <c r="E5" s="51">
        <v>0</v>
      </c>
      <c r="F5" s="51">
        <v>0</v>
      </c>
      <c r="G5" s="51">
        <f t="shared" ref="G5:G32" si="0">E5*F5</f>
        <v>0</v>
      </c>
      <c r="H5" s="51">
        <v>0</v>
      </c>
      <c r="I5" s="51">
        <v>0</v>
      </c>
      <c r="J5" s="51">
        <f t="shared" ref="J5:J32" si="1">H5*I5</f>
        <v>0</v>
      </c>
      <c r="K5" s="51">
        <f t="shared" ref="K5:K32" si="2">G5+J5</f>
        <v>0</v>
      </c>
      <c r="L5" s="51">
        <f t="shared" ref="L5:L8" si="3">+K5</f>
        <v>0</v>
      </c>
      <c r="M5" s="165">
        <f t="shared" ref="M5:M27" si="4">M4+K5-L5</f>
        <v>6304.1610999999994</v>
      </c>
      <c r="N5" s="19"/>
    </row>
    <row r="6" spans="1:16">
      <c r="A6" s="28">
        <v>3</v>
      </c>
      <c r="B6" s="29">
        <v>45719</v>
      </c>
      <c r="C6" s="19"/>
      <c r="D6" s="19"/>
      <c r="E6" s="51">
        <v>0</v>
      </c>
      <c r="F6" s="51">
        <v>0</v>
      </c>
      <c r="G6" s="51">
        <f t="shared" ref="G6:G33" si="5">E6*F6</f>
        <v>0</v>
      </c>
      <c r="H6" s="51">
        <v>0</v>
      </c>
      <c r="I6" s="51">
        <v>0</v>
      </c>
      <c r="J6" s="51">
        <f t="shared" ref="J6:J33" si="6">H6*I6</f>
        <v>0</v>
      </c>
      <c r="K6" s="51">
        <f t="shared" ref="K6:K33" si="7">G6+J6</f>
        <v>0</v>
      </c>
      <c r="L6" s="51">
        <f t="shared" si="3"/>
        <v>0</v>
      </c>
      <c r="M6" s="165">
        <f t="shared" si="4"/>
        <v>6304.1610999999994</v>
      </c>
      <c r="N6" s="19"/>
    </row>
    <row r="7" spans="1:16">
      <c r="A7" s="28">
        <v>4</v>
      </c>
      <c r="B7" s="294">
        <v>45720</v>
      </c>
      <c r="C7" s="19"/>
      <c r="D7" s="19"/>
      <c r="E7" s="51">
        <v>0</v>
      </c>
      <c r="F7" s="51">
        <v>0</v>
      </c>
      <c r="G7" s="51">
        <f t="shared" si="5"/>
        <v>0</v>
      </c>
      <c r="H7" s="51">
        <v>0</v>
      </c>
      <c r="I7" s="51">
        <v>0</v>
      </c>
      <c r="J7" s="51">
        <f t="shared" si="6"/>
        <v>0</v>
      </c>
      <c r="K7" s="51">
        <f t="shared" si="7"/>
        <v>0</v>
      </c>
      <c r="L7" s="51">
        <f t="shared" si="3"/>
        <v>0</v>
      </c>
      <c r="M7" s="165">
        <f t="shared" si="4"/>
        <v>6304.1610999999994</v>
      </c>
      <c r="N7" s="19"/>
    </row>
    <row r="8" spans="1:16">
      <c r="A8" s="28">
        <v>5</v>
      </c>
      <c r="B8" s="29">
        <v>45721</v>
      </c>
      <c r="C8" s="19">
        <v>93</v>
      </c>
      <c r="D8" s="19"/>
      <c r="E8" s="51">
        <v>31.43</v>
      </c>
      <c r="F8" s="51">
        <v>91.47</v>
      </c>
      <c r="G8" s="51">
        <f t="shared" si="5"/>
        <v>2874.9020999999998</v>
      </c>
      <c r="H8" s="51">
        <v>0</v>
      </c>
      <c r="I8" s="51">
        <v>0</v>
      </c>
      <c r="J8" s="51">
        <f t="shared" si="6"/>
        <v>0</v>
      </c>
      <c r="K8" s="51">
        <f t="shared" si="7"/>
        <v>2874.9020999999998</v>
      </c>
      <c r="L8" s="51">
        <f t="shared" si="3"/>
        <v>2874.9020999999998</v>
      </c>
      <c r="M8" s="165">
        <f t="shared" si="4"/>
        <v>6304.1610999999994</v>
      </c>
      <c r="N8" s="62"/>
    </row>
    <row r="9" spans="1:16">
      <c r="A9" s="28">
        <v>6</v>
      </c>
      <c r="B9" s="294">
        <v>45722</v>
      </c>
      <c r="C9" s="19"/>
      <c r="D9" s="19"/>
      <c r="E9" s="51">
        <v>0</v>
      </c>
      <c r="F9" s="51">
        <v>0</v>
      </c>
      <c r="G9" s="51">
        <f t="shared" si="5"/>
        <v>0</v>
      </c>
      <c r="H9" s="51">
        <v>6.67</v>
      </c>
      <c r="I9" s="51">
        <v>104.94</v>
      </c>
      <c r="J9" s="51">
        <f t="shared" si="6"/>
        <v>699.94979999999998</v>
      </c>
      <c r="K9" s="51">
        <f t="shared" si="7"/>
        <v>699.94979999999998</v>
      </c>
      <c r="L9" s="19"/>
      <c r="M9" s="165">
        <f t="shared" si="4"/>
        <v>7004.1108999999997</v>
      </c>
      <c r="N9" s="62"/>
    </row>
    <row r="10" spans="1:16">
      <c r="A10" s="28">
        <v>7</v>
      </c>
      <c r="B10" s="29">
        <v>45723</v>
      </c>
      <c r="C10" s="19"/>
      <c r="D10" s="19"/>
      <c r="E10" s="51">
        <v>0</v>
      </c>
      <c r="F10" s="51">
        <v>0</v>
      </c>
      <c r="G10" s="51">
        <f t="shared" si="5"/>
        <v>0</v>
      </c>
      <c r="H10" s="51">
        <v>0</v>
      </c>
      <c r="I10" s="51">
        <v>0</v>
      </c>
      <c r="J10" s="51">
        <f t="shared" si="6"/>
        <v>0</v>
      </c>
      <c r="K10" s="51">
        <f t="shared" si="7"/>
        <v>0</v>
      </c>
      <c r="L10" s="19"/>
      <c r="M10" s="165">
        <f t="shared" si="4"/>
        <v>7004.1108999999997</v>
      </c>
      <c r="N10" s="62"/>
    </row>
    <row r="11" spans="1:16">
      <c r="A11" s="28">
        <v>8</v>
      </c>
      <c r="B11" s="294">
        <v>45724</v>
      </c>
      <c r="C11" s="19" t="s">
        <v>167</v>
      </c>
      <c r="D11" s="19"/>
      <c r="E11" s="51">
        <v>43.74</v>
      </c>
      <c r="F11" s="51">
        <v>91.47</v>
      </c>
      <c r="G11" s="51">
        <f t="shared" si="5"/>
        <v>4000.8978000000002</v>
      </c>
      <c r="H11" s="51">
        <v>2.85</v>
      </c>
      <c r="I11" s="51">
        <v>104.94</v>
      </c>
      <c r="J11" s="51">
        <f t="shared" si="6"/>
        <v>299.07900000000001</v>
      </c>
      <c r="K11" s="51">
        <f t="shared" si="7"/>
        <v>4299.9768000000004</v>
      </c>
      <c r="L11" s="19">
        <v>4501</v>
      </c>
      <c r="M11" s="165">
        <f t="shared" si="4"/>
        <v>6803.0877</v>
      </c>
      <c r="N11" s="62"/>
      <c r="P11" s="24"/>
    </row>
    <row r="12" spans="1:16">
      <c r="A12" s="28">
        <v>9</v>
      </c>
      <c r="B12" s="29">
        <v>45725</v>
      </c>
      <c r="C12" s="19"/>
      <c r="D12" s="19"/>
      <c r="E12" s="51">
        <v>0</v>
      </c>
      <c r="F12" s="51">
        <v>0</v>
      </c>
      <c r="G12" s="51">
        <f t="shared" si="5"/>
        <v>0</v>
      </c>
      <c r="H12" s="51">
        <v>0</v>
      </c>
      <c r="I12" s="51">
        <v>0</v>
      </c>
      <c r="J12" s="51">
        <f t="shared" si="6"/>
        <v>0</v>
      </c>
      <c r="K12" s="51">
        <f t="shared" si="7"/>
        <v>0</v>
      </c>
      <c r="L12" s="19"/>
      <c r="M12" s="165">
        <f t="shared" si="4"/>
        <v>6803.0877</v>
      </c>
      <c r="N12" s="62"/>
    </row>
    <row r="13" spans="1:16">
      <c r="A13" s="28">
        <v>10</v>
      </c>
      <c r="B13" s="294">
        <v>45726</v>
      </c>
      <c r="C13" s="19"/>
      <c r="D13" s="19"/>
      <c r="E13" s="51">
        <v>36.590000000000003</v>
      </c>
      <c r="F13" s="51">
        <v>91.47</v>
      </c>
      <c r="G13" s="51">
        <f t="shared" si="5"/>
        <v>3346.8873000000003</v>
      </c>
      <c r="H13" s="51">
        <v>0</v>
      </c>
      <c r="I13" s="51">
        <v>0</v>
      </c>
      <c r="J13" s="51">
        <f t="shared" si="6"/>
        <v>0</v>
      </c>
      <c r="K13" s="51">
        <f t="shared" si="7"/>
        <v>3346.8873000000003</v>
      </c>
      <c r="L13" s="51">
        <v>3281</v>
      </c>
      <c r="M13" s="165">
        <f t="shared" si="4"/>
        <v>6868.9750000000004</v>
      </c>
      <c r="N13" s="62"/>
    </row>
    <row r="14" spans="1:16">
      <c r="A14" s="28">
        <v>11</v>
      </c>
      <c r="B14" s="29">
        <v>45727</v>
      </c>
      <c r="C14" s="19"/>
      <c r="D14" s="19"/>
      <c r="E14" s="51">
        <v>37.76</v>
      </c>
      <c r="F14" s="51">
        <v>91.47</v>
      </c>
      <c r="G14" s="51">
        <f t="shared" si="5"/>
        <v>3453.9071999999996</v>
      </c>
      <c r="H14" s="51">
        <v>0</v>
      </c>
      <c r="I14" s="51">
        <v>0</v>
      </c>
      <c r="J14" s="51">
        <f t="shared" si="6"/>
        <v>0</v>
      </c>
      <c r="K14" s="51">
        <f t="shared" si="7"/>
        <v>3453.9071999999996</v>
      </c>
      <c r="L14" s="51">
        <f t="shared" ref="L13:L14" si="8">+K14</f>
        <v>3453.9071999999996</v>
      </c>
      <c r="M14" s="165">
        <f t="shared" si="4"/>
        <v>6868.9750000000004</v>
      </c>
      <c r="N14" s="62"/>
    </row>
    <row r="15" spans="1:16">
      <c r="A15" s="28">
        <v>12</v>
      </c>
      <c r="B15" s="294">
        <v>45728</v>
      </c>
      <c r="C15" s="19"/>
      <c r="D15" s="19"/>
      <c r="E15" s="51">
        <v>0</v>
      </c>
      <c r="F15" s="51">
        <v>0</v>
      </c>
      <c r="G15" s="51">
        <f t="shared" si="5"/>
        <v>0</v>
      </c>
      <c r="H15" s="51">
        <v>0</v>
      </c>
      <c r="I15" s="51">
        <v>0</v>
      </c>
      <c r="J15" s="51">
        <f t="shared" si="6"/>
        <v>0</v>
      </c>
      <c r="K15" s="51">
        <f t="shared" si="7"/>
        <v>0</v>
      </c>
      <c r="L15" s="19"/>
      <c r="M15" s="165">
        <f>M14+K15-L15</f>
        <v>6868.9750000000004</v>
      </c>
      <c r="N15" s="62"/>
    </row>
    <row r="16" spans="1:16">
      <c r="A16" s="28">
        <v>13</v>
      </c>
      <c r="B16" s="29">
        <v>45729</v>
      </c>
      <c r="C16" s="19"/>
      <c r="D16" s="19"/>
      <c r="E16" s="51">
        <v>30.61</v>
      </c>
      <c r="F16" s="51">
        <v>91.47</v>
      </c>
      <c r="G16" s="51">
        <f t="shared" si="5"/>
        <v>2799.8966999999998</v>
      </c>
      <c r="H16" s="51">
        <v>0</v>
      </c>
      <c r="I16" s="51">
        <v>0</v>
      </c>
      <c r="J16" s="51">
        <f t="shared" si="6"/>
        <v>0</v>
      </c>
      <c r="K16" s="51">
        <f t="shared" si="7"/>
        <v>2799.8966999999998</v>
      </c>
      <c r="L16" s="19">
        <v>2799.9</v>
      </c>
      <c r="M16" s="165">
        <f t="shared" si="4"/>
        <v>6868.9717000000001</v>
      </c>
      <c r="N16" s="62"/>
    </row>
    <row r="17" spans="1:14">
      <c r="A17" s="28">
        <v>14</v>
      </c>
      <c r="B17" s="294">
        <v>45730</v>
      </c>
      <c r="C17" s="19"/>
      <c r="D17" s="19"/>
      <c r="E17" s="51">
        <v>39.53</v>
      </c>
      <c r="F17" s="51">
        <v>91.47</v>
      </c>
      <c r="G17" s="51">
        <f t="shared" si="5"/>
        <v>3615.8090999999999</v>
      </c>
      <c r="H17" s="51">
        <v>0</v>
      </c>
      <c r="I17" s="51">
        <v>0</v>
      </c>
      <c r="J17" s="51">
        <f t="shared" si="6"/>
        <v>0</v>
      </c>
      <c r="K17" s="51">
        <f t="shared" si="7"/>
        <v>3615.8090999999999</v>
      </c>
      <c r="L17" s="19">
        <v>3615.81</v>
      </c>
      <c r="M17" s="165">
        <f t="shared" si="4"/>
        <v>6868.970800000001</v>
      </c>
      <c r="N17" s="62"/>
    </row>
    <row r="18" spans="1:14">
      <c r="A18" s="28">
        <v>15</v>
      </c>
      <c r="B18" s="29">
        <v>45731</v>
      </c>
      <c r="C18" s="19"/>
      <c r="D18" s="19"/>
      <c r="E18" s="51">
        <v>0</v>
      </c>
      <c r="F18" s="51">
        <v>0</v>
      </c>
      <c r="G18" s="51">
        <f t="shared" si="5"/>
        <v>0</v>
      </c>
      <c r="H18" s="51">
        <v>0</v>
      </c>
      <c r="I18" s="51">
        <v>0</v>
      </c>
      <c r="J18" s="51">
        <f t="shared" si="6"/>
        <v>0</v>
      </c>
      <c r="K18" s="51">
        <f t="shared" si="7"/>
        <v>0</v>
      </c>
      <c r="L18" s="19"/>
      <c r="M18" s="165">
        <f t="shared" si="4"/>
        <v>6868.970800000001</v>
      </c>
      <c r="N18" s="62"/>
    </row>
    <row r="19" spans="1:14">
      <c r="A19" s="28">
        <v>16</v>
      </c>
      <c r="B19" s="294">
        <v>45732</v>
      </c>
      <c r="C19" s="19"/>
      <c r="D19" s="19"/>
      <c r="E19" s="51">
        <v>0</v>
      </c>
      <c r="F19" s="51">
        <v>0</v>
      </c>
      <c r="G19" s="51">
        <f t="shared" si="5"/>
        <v>0</v>
      </c>
      <c r="H19" s="51">
        <v>0</v>
      </c>
      <c r="I19" s="51">
        <v>0</v>
      </c>
      <c r="J19" s="51">
        <f t="shared" si="6"/>
        <v>0</v>
      </c>
      <c r="K19" s="51">
        <f t="shared" si="7"/>
        <v>0</v>
      </c>
      <c r="L19" s="19"/>
      <c r="M19" s="165">
        <f t="shared" si="4"/>
        <v>6868.970800000001</v>
      </c>
      <c r="N19" s="62"/>
    </row>
    <row r="20" spans="1:14">
      <c r="A20" s="28">
        <v>17</v>
      </c>
      <c r="B20" s="29">
        <v>45733</v>
      </c>
      <c r="C20" s="19"/>
      <c r="D20" s="19"/>
      <c r="E20" s="51">
        <v>0</v>
      </c>
      <c r="F20" s="51">
        <v>0</v>
      </c>
      <c r="G20" s="51">
        <f t="shared" si="5"/>
        <v>0</v>
      </c>
      <c r="H20" s="51">
        <v>0</v>
      </c>
      <c r="I20" s="51">
        <v>0</v>
      </c>
      <c r="J20" s="51">
        <f t="shared" si="6"/>
        <v>0</v>
      </c>
      <c r="K20" s="51">
        <f t="shared" si="7"/>
        <v>0</v>
      </c>
      <c r="L20" s="19"/>
      <c r="M20" s="165">
        <f t="shared" si="4"/>
        <v>6868.970800000001</v>
      </c>
      <c r="N20" s="62"/>
    </row>
    <row r="21" spans="1:14">
      <c r="A21" s="28">
        <v>18</v>
      </c>
      <c r="B21" s="294">
        <v>45734</v>
      </c>
      <c r="C21" s="19"/>
      <c r="D21" s="19"/>
      <c r="E21" s="51">
        <v>0</v>
      </c>
      <c r="F21" s="51">
        <v>0</v>
      </c>
      <c r="G21" s="51">
        <f t="shared" si="5"/>
        <v>0</v>
      </c>
      <c r="H21" s="51">
        <v>0</v>
      </c>
      <c r="I21" s="51">
        <v>0</v>
      </c>
      <c r="J21" s="51">
        <f t="shared" si="6"/>
        <v>0</v>
      </c>
      <c r="K21" s="51">
        <f t="shared" si="7"/>
        <v>0</v>
      </c>
      <c r="L21" s="19"/>
      <c r="M21" s="165">
        <f t="shared" si="4"/>
        <v>6868.970800000001</v>
      </c>
      <c r="N21" s="62"/>
    </row>
    <row r="22" spans="1:14">
      <c r="A22" s="28">
        <v>19</v>
      </c>
      <c r="B22" s="29">
        <v>45735</v>
      </c>
      <c r="C22" s="19"/>
      <c r="D22" s="19"/>
      <c r="E22" s="51">
        <v>0</v>
      </c>
      <c r="F22" s="51">
        <v>0</v>
      </c>
      <c r="G22" s="51">
        <f t="shared" si="5"/>
        <v>0</v>
      </c>
      <c r="H22" s="51">
        <v>0</v>
      </c>
      <c r="I22" s="51">
        <v>0</v>
      </c>
      <c r="J22" s="51">
        <f t="shared" si="6"/>
        <v>0</v>
      </c>
      <c r="K22" s="51">
        <f t="shared" si="7"/>
        <v>0</v>
      </c>
      <c r="L22" s="19"/>
      <c r="M22" s="165">
        <f t="shared" si="4"/>
        <v>6868.970800000001</v>
      </c>
      <c r="N22" s="62"/>
    </row>
    <row r="23" spans="1:14">
      <c r="A23" s="28">
        <v>20</v>
      </c>
      <c r="B23" s="294">
        <v>45736</v>
      </c>
      <c r="C23" s="19"/>
      <c r="D23" s="19"/>
      <c r="E23" s="51">
        <v>0</v>
      </c>
      <c r="F23" s="51">
        <v>0</v>
      </c>
      <c r="G23" s="51">
        <f t="shared" si="5"/>
        <v>0</v>
      </c>
      <c r="H23" s="51">
        <v>0</v>
      </c>
      <c r="I23" s="51">
        <v>0</v>
      </c>
      <c r="J23" s="51">
        <f t="shared" si="6"/>
        <v>0</v>
      </c>
      <c r="K23" s="51">
        <f t="shared" si="7"/>
        <v>0</v>
      </c>
      <c r="L23" s="19"/>
      <c r="M23" s="165">
        <f t="shared" si="4"/>
        <v>6868.970800000001</v>
      </c>
      <c r="N23" s="62"/>
    </row>
    <row r="24" spans="1:14">
      <c r="A24" s="28">
        <v>21</v>
      </c>
      <c r="B24" s="29">
        <v>45737</v>
      </c>
      <c r="C24" s="19"/>
      <c r="D24" s="19"/>
      <c r="E24" s="51">
        <v>47.87</v>
      </c>
      <c r="F24" s="51">
        <v>91.47</v>
      </c>
      <c r="G24" s="51">
        <f t="shared" si="5"/>
        <v>4378.6688999999997</v>
      </c>
      <c r="H24" s="51">
        <v>6.68</v>
      </c>
      <c r="I24" s="51">
        <v>104.94</v>
      </c>
      <c r="J24" s="51">
        <f t="shared" si="6"/>
        <v>700.99919999999997</v>
      </c>
      <c r="K24" s="51">
        <f>G24+J24</f>
        <v>5079.6680999999999</v>
      </c>
      <c r="L24" s="19">
        <v>4378.67</v>
      </c>
      <c r="M24" s="165">
        <f t="shared" si="4"/>
        <v>7569.9689000000017</v>
      </c>
      <c r="N24" s="62"/>
    </row>
    <row r="25" spans="1:14">
      <c r="A25" s="28">
        <v>22</v>
      </c>
      <c r="B25" s="294">
        <v>45738</v>
      </c>
      <c r="C25" s="19"/>
      <c r="D25" s="19"/>
      <c r="E25" s="51">
        <v>0</v>
      </c>
      <c r="F25" s="51">
        <v>0</v>
      </c>
      <c r="G25" s="51">
        <f t="shared" si="5"/>
        <v>0</v>
      </c>
      <c r="H25" s="51">
        <v>0</v>
      </c>
      <c r="I25" s="51">
        <v>0</v>
      </c>
      <c r="J25" s="51">
        <f t="shared" si="6"/>
        <v>0</v>
      </c>
      <c r="K25" s="51">
        <f t="shared" si="7"/>
        <v>0</v>
      </c>
      <c r="L25" s="19"/>
      <c r="M25" s="165">
        <f t="shared" si="4"/>
        <v>7569.9689000000017</v>
      </c>
      <c r="N25" s="62"/>
    </row>
    <row r="26" spans="1:14">
      <c r="A26" s="28">
        <v>23</v>
      </c>
      <c r="B26" s="29">
        <v>45739</v>
      </c>
      <c r="C26" s="19"/>
      <c r="D26" s="19"/>
      <c r="E26" s="51">
        <v>0</v>
      </c>
      <c r="F26" s="51">
        <v>0</v>
      </c>
      <c r="G26" s="51">
        <f t="shared" si="5"/>
        <v>0</v>
      </c>
      <c r="H26" s="51">
        <v>0</v>
      </c>
      <c r="I26" s="51">
        <v>0</v>
      </c>
      <c r="J26" s="51">
        <f t="shared" si="6"/>
        <v>0</v>
      </c>
      <c r="K26" s="51">
        <f t="shared" si="7"/>
        <v>0</v>
      </c>
      <c r="L26" s="19"/>
      <c r="M26" s="165">
        <f t="shared" si="4"/>
        <v>7569.9689000000017</v>
      </c>
      <c r="N26" s="62"/>
    </row>
    <row r="27" spans="1:14">
      <c r="A27" s="28">
        <v>24</v>
      </c>
      <c r="B27" s="294">
        <v>45740</v>
      </c>
      <c r="C27" s="19"/>
      <c r="D27" s="19"/>
      <c r="E27" s="51">
        <v>91.68</v>
      </c>
      <c r="F27" s="51">
        <v>91.47</v>
      </c>
      <c r="G27" s="51">
        <f t="shared" si="5"/>
        <v>8385.9696000000004</v>
      </c>
      <c r="H27" s="51">
        <v>0</v>
      </c>
      <c r="I27" s="51">
        <v>0</v>
      </c>
      <c r="J27" s="51">
        <f t="shared" si="6"/>
        <v>0</v>
      </c>
      <c r="K27" s="51">
        <f t="shared" si="7"/>
        <v>8385.9696000000004</v>
      </c>
      <c r="L27" s="19">
        <v>8385.9699999999993</v>
      </c>
      <c r="M27" s="165">
        <f t="shared" si="4"/>
        <v>7569.9685000000027</v>
      </c>
      <c r="N27" s="62"/>
    </row>
    <row r="28" spans="1:14">
      <c r="A28" s="28">
        <v>25</v>
      </c>
      <c r="B28" s="29">
        <v>45741</v>
      </c>
      <c r="C28" s="19"/>
      <c r="D28" s="19"/>
      <c r="E28" s="51">
        <v>42.97</v>
      </c>
      <c r="F28" s="51">
        <v>91.47</v>
      </c>
      <c r="G28" s="51">
        <f t="shared" si="5"/>
        <v>3930.4658999999997</v>
      </c>
      <c r="H28" s="51">
        <v>0</v>
      </c>
      <c r="I28" s="51">
        <v>0</v>
      </c>
      <c r="J28" s="51">
        <f t="shared" si="6"/>
        <v>0</v>
      </c>
      <c r="K28" s="51">
        <f t="shared" si="7"/>
        <v>3930.4658999999997</v>
      </c>
      <c r="L28" s="51">
        <f>+K28</f>
        <v>3930.4658999999997</v>
      </c>
      <c r="M28" s="165">
        <f>M27+K28-L28</f>
        <v>7569.9685000000027</v>
      </c>
      <c r="N28" s="62"/>
    </row>
    <row r="29" spans="1:14">
      <c r="A29" s="28">
        <v>26</v>
      </c>
      <c r="B29" s="29">
        <v>45741</v>
      </c>
      <c r="C29" s="19"/>
      <c r="D29" s="19"/>
      <c r="E29" s="51">
        <v>198.37</v>
      </c>
      <c r="F29" s="51">
        <v>90.74</v>
      </c>
      <c r="G29" s="51">
        <f t="shared" si="5"/>
        <v>18000.093799999999</v>
      </c>
      <c r="H29" s="51">
        <v>0</v>
      </c>
      <c r="I29" s="51">
        <v>0</v>
      </c>
      <c r="J29" s="51">
        <f t="shared" ref="J29" si="9">H29*I29</f>
        <v>0</v>
      </c>
      <c r="K29" s="51">
        <f t="shared" ref="K29" si="10">G29+J29</f>
        <v>18000.093799999999</v>
      </c>
      <c r="L29" s="51">
        <f>+K29</f>
        <v>18000.093799999999</v>
      </c>
      <c r="M29" s="165">
        <f t="shared" ref="M29:M35" si="11">M28+K29-L29</f>
        <v>7569.9685000000027</v>
      </c>
      <c r="N29" s="62"/>
    </row>
    <row r="30" spans="1:14">
      <c r="A30" s="28">
        <v>27</v>
      </c>
      <c r="B30" s="294">
        <v>45742</v>
      </c>
      <c r="C30" s="19"/>
      <c r="D30" s="19"/>
      <c r="E30" s="51">
        <v>0</v>
      </c>
      <c r="F30" s="51">
        <v>0</v>
      </c>
      <c r="G30" s="51">
        <f t="shared" si="5"/>
        <v>0</v>
      </c>
      <c r="H30" s="51">
        <v>0</v>
      </c>
      <c r="I30" s="51">
        <v>0</v>
      </c>
      <c r="J30" s="51">
        <f t="shared" si="6"/>
        <v>0</v>
      </c>
      <c r="K30" s="51">
        <f t="shared" si="7"/>
        <v>0</v>
      </c>
      <c r="L30" s="19"/>
      <c r="M30" s="165">
        <f t="shared" si="11"/>
        <v>7569.9685000000027</v>
      </c>
      <c r="N30" s="62"/>
    </row>
    <row r="31" spans="1:14">
      <c r="A31" s="28">
        <v>28</v>
      </c>
      <c r="B31" s="261">
        <v>45743</v>
      </c>
      <c r="C31" s="119"/>
      <c r="D31" s="119"/>
      <c r="E31" s="51">
        <v>11</v>
      </c>
      <c r="F31" s="51">
        <v>91.7</v>
      </c>
      <c r="G31" s="51">
        <f t="shared" ref="G31:G34" si="12">E31*F31</f>
        <v>1008.7</v>
      </c>
      <c r="H31" s="51">
        <v>0</v>
      </c>
      <c r="I31" s="51">
        <v>0</v>
      </c>
      <c r="J31" s="51">
        <f t="shared" ref="J31:J34" si="13">H31*I31</f>
        <v>0</v>
      </c>
      <c r="K31" s="51">
        <f t="shared" ref="K31:K34" si="14">G31+J31</f>
        <v>1008.7</v>
      </c>
      <c r="L31" s="19">
        <v>1008.7</v>
      </c>
      <c r="M31" s="165">
        <f t="shared" si="11"/>
        <v>7569.9685000000036</v>
      </c>
      <c r="N31" s="327"/>
    </row>
    <row r="32" spans="1:14">
      <c r="A32" s="28">
        <v>29</v>
      </c>
      <c r="B32" s="305">
        <v>45744</v>
      </c>
      <c r="C32" s="19"/>
      <c r="D32" s="19"/>
      <c r="E32" s="51">
        <v>49</v>
      </c>
      <c r="F32" s="51">
        <v>91.47</v>
      </c>
      <c r="G32" s="51">
        <f t="shared" si="12"/>
        <v>4482.03</v>
      </c>
      <c r="H32" s="51">
        <v>0.95</v>
      </c>
      <c r="I32" s="51">
        <v>104.95</v>
      </c>
      <c r="J32" s="51">
        <f t="shared" si="13"/>
        <v>99.702500000000001</v>
      </c>
      <c r="K32" s="51">
        <f t="shared" si="14"/>
        <v>4581.7325000000001</v>
      </c>
      <c r="L32" s="19">
        <v>12130</v>
      </c>
      <c r="M32" s="165">
        <f t="shared" si="11"/>
        <v>21.701000000004569</v>
      </c>
      <c r="N32" s="62"/>
    </row>
    <row r="33" spans="1:14">
      <c r="A33" s="28">
        <v>30</v>
      </c>
      <c r="B33" s="261">
        <v>45745</v>
      </c>
      <c r="C33" s="19"/>
      <c r="D33" s="19"/>
      <c r="E33" s="51">
        <v>0</v>
      </c>
      <c r="F33" s="51">
        <v>0</v>
      </c>
      <c r="G33" s="51">
        <f t="shared" si="12"/>
        <v>0</v>
      </c>
      <c r="H33" s="51">
        <v>7.29</v>
      </c>
      <c r="I33" s="51">
        <v>104.95</v>
      </c>
      <c r="J33" s="51">
        <f t="shared" si="13"/>
        <v>765.08550000000002</v>
      </c>
      <c r="K33" s="51">
        <f t="shared" si="14"/>
        <v>765.08550000000002</v>
      </c>
      <c r="L33" s="19">
        <v>0</v>
      </c>
      <c r="M33" s="165">
        <f t="shared" si="11"/>
        <v>786.78650000000459</v>
      </c>
      <c r="N33" s="62"/>
    </row>
    <row r="34" spans="1:14">
      <c r="A34" s="28">
        <v>31</v>
      </c>
      <c r="B34" s="301">
        <v>45746</v>
      </c>
      <c r="C34" s="19"/>
      <c r="D34" s="19"/>
      <c r="E34" s="51">
        <v>47</v>
      </c>
      <c r="F34" s="51">
        <v>91.47</v>
      </c>
      <c r="G34" s="51">
        <f t="shared" si="12"/>
        <v>4299.09</v>
      </c>
      <c r="H34" s="51">
        <v>0</v>
      </c>
      <c r="I34" s="51">
        <v>0</v>
      </c>
      <c r="J34" s="51">
        <f t="shared" si="13"/>
        <v>0</v>
      </c>
      <c r="K34" s="51">
        <f t="shared" si="14"/>
        <v>4299.09</v>
      </c>
      <c r="L34" s="19">
        <v>4299.09</v>
      </c>
      <c r="M34" s="165">
        <f t="shared" si="11"/>
        <v>786.78650000000471</v>
      </c>
      <c r="N34" s="62"/>
    </row>
    <row r="35" spans="1:14">
      <c r="A35" s="28">
        <v>32</v>
      </c>
      <c r="B35" s="261">
        <v>45747</v>
      </c>
      <c r="C35" s="19"/>
      <c r="D35" s="19"/>
      <c r="E35" s="51"/>
      <c r="F35" s="51"/>
      <c r="G35" s="51"/>
      <c r="H35" s="51"/>
      <c r="I35" s="51"/>
      <c r="J35" s="51"/>
      <c r="K35" s="51"/>
      <c r="L35" s="19"/>
      <c r="M35" s="165">
        <f t="shared" si="11"/>
        <v>786.78650000000471</v>
      </c>
      <c r="N35" s="62"/>
    </row>
    <row r="36" spans="1:14">
      <c r="A36" s="227"/>
      <c r="B36" s="227"/>
      <c r="C36" s="227"/>
      <c r="D36" s="227"/>
      <c r="E36" s="227">
        <f>SUM(E4:E35)</f>
        <v>747.56</v>
      </c>
      <c r="F36" s="227"/>
      <c r="G36" s="227">
        <f>SUM(G4:G35)</f>
        <v>68237.033099999986</v>
      </c>
      <c r="H36" s="227">
        <f>SUM(H4:H35)</f>
        <v>24.439999999999998</v>
      </c>
      <c r="I36" s="227"/>
      <c r="J36" s="227">
        <f>SUM(J4:J35)</f>
        <v>2564.8160000000003</v>
      </c>
      <c r="K36" s="227">
        <f>SUM(K4:K35)</f>
        <v>70801.849099999992</v>
      </c>
      <c r="L36" s="227">
        <f>SUM(L4:L35)</f>
        <v>76319.223700000002</v>
      </c>
      <c r="M36" s="227"/>
      <c r="N36" s="227"/>
    </row>
  </sheetData>
  <mergeCells count="2">
    <mergeCell ref="A1:N1"/>
    <mergeCell ref="A3:J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B6D9-2F42-4A4A-838E-9C7E2E8F4772}">
  <dimension ref="A1:P38"/>
  <sheetViews>
    <sheetView workbookViewId="0">
      <pane ySplit="2" topLeftCell="A21" activePane="bottomLeft" state="frozen"/>
      <selection pane="bottomLeft" activeCell="M34" sqref="M34"/>
    </sheetView>
  </sheetViews>
  <sheetFormatPr defaultColWidth="12.8554687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13.5703125" bestFit="1" customWidth="1"/>
    <col min="5" max="5" width="10.7109375" bestFit="1" customWidth="1"/>
    <col min="6" max="6" width="11.85546875" bestFit="1" customWidth="1"/>
    <col min="7" max="7" width="13.7109375" bestFit="1" customWidth="1"/>
    <col min="8" max="8" width="10.7109375" bestFit="1" customWidth="1"/>
    <col min="9" max="9" width="8.140625" bestFit="1" customWidth="1"/>
    <col min="10" max="10" width="11.5703125" customWidth="1"/>
    <col min="11" max="12" width="13.5703125" bestFit="1" customWidth="1"/>
    <col min="13" max="13" width="13.5703125" customWidth="1"/>
    <col min="14" max="14" width="8.7109375" bestFit="1" customWidth="1"/>
    <col min="15" max="15" width="7" customWidth="1"/>
  </cols>
  <sheetData>
    <row r="1" spans="1:16" ht="15.75" customHeight="1">
      <c r="A1" s="372" t="s">
        <v>59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74"/>
    </row>
    <row r="2" spans="1:16">
      <c r="A2" s="75" t="s">
        <v>91</v>
      </c>
      <c r="B2" s="76" t="s">
        <v>92</v>
      </c>
      <c r="C2" s="76" t="s">
        <v>93</v>
      </c>
      <c r="D2" s="76" t="s">
        <v>94</v>
      </c>
      <c r="E2" s="76" t="s">
        <v>95</v>
      </c>
      <c r="F2" s="76" t="s">
        <v>96</v>
      </c>
      <c r="G2" s="76" t="s">
        <v>97</v>
      </c>
      <c r="H2" s="76" t="s">
        <v>98</v>
      </c>
      <c r="I2" s="76" t="s">
        <v>96</v>
      </c>
      <c r="J2" s="77" t="s">
        <v>97</v>
      </c>
      <c r="K2" s="78" t="s">
        <v>99</v>
      </c>
      <c r="L2" s="79" t="s">
        <v>100</v>
      </c>
      <c r="M2" s="143" t="s">
        <v>101</v>
      </c>
      <c r="N2" s="80" t="s">
        <v>102</v>
      </c>
      <c r="O2" s="81"/>
    </row>
    <row r="3" spans="1:16">
      <c r="A3" s="161" t="s">
        <v>103</v>
      </c>
      <c r="B3" s="162"/>
      <c r="C3" s="162"/>
      <c r="D3" s="162"/>
      <c r="E3" s="162"/>
      <c r="F3" s="162"/>
      <c r="G3" s="162"/>
      <c r="H3" s="162"/>
      <c r="I3" s="162"/>
      <c r="J3" s="162"/>
      <c r="K3" s="162">
        <v>2207102.67</v>
      </c>
      <c r="L3" s="163"/>
      <c r="M3" s="166">
        <f>+K3</f>
        <v>2207102.67</v>
      </c>
      <c r="O3" s="81"/>
      <c r="P3">
        <v>2205152.88</v>
      </c>
    </row>
    <row r="4" spans="1:16">
      <c r="A4" s="64">
        <v>1</v>
      </c>
      <c r="B4" s="267">
        <v>45717</v>
      </c>
      <c r="C4" s="10">
        <v>0</v>
      </c>
      <c r="D4" s="20"/>
      <c r="E4" s="8">
        <v>0</v>
      </c>
      <c r="F4" s="8">
        <v>0</v>
      </c>
      <c r="G4" s="18">
        <f>E4*F4</f>
        <v>0</v>
      </c>
      <c r="H4" s="7">
        <v>0</v>
      </c>
      <c r="I4" s="7">
        <v>0</v>
      </c>
      <c r="J4" s="23">
        <f>H4*I4</f>
        <v>0</v>
      </c>
      <c r="K4" s="8">
        <f>G4+J4</f>
        <v>0</v>
      </c>
      <c r="L4" s="8"/>
      <c r="M4" s="8">
        <f>M3+K4-L4</f>
        <v>2207102.67</v>
      </c>
      <c r="N4" s="8"/>
      <c r="O4" s="1"/>
    </row>
    <row r="5" spans="1:16">
      <c r="A5" s="64">
        <v>2</v>
      </c>
      <c r="B5" s="267">
        <v>45718</v>
      </c>
      <c r="C5" s="10">
        <v>0</v>
      </c>
      <c r="D5" s="20"/>
      <c r="E5" s="8">
        <v>0</v>
      </c>
      <c r="F5" s="8">
        <v>0</v>
      </c>
      <c r="G5" s="18">
        <f t="shared" ref="G5:G34" si="0">E5*F5</f>
        <v>0</v>
      </c>
      <c r="H5" s="7">
        <v>0</v>
      </c>
      <c r="I5" s="7">
        <v>0</v>
      </c>
      <c r="J5" s="23">
        <f t="shared" ref="J5:J34" si="1">H5*I5</f>
        <v>0</v>
      </c>
      <c r="K5" s="8">
        <f t="shared" ref="K5:K34" si="2">G5+J5</f>
        <v>0</v>
      </c>
      <c r="L5" s="8"/>
      <c r="M5" s="8">
        <f>M4+K5-L5</f>
        <v>2207102.67</v>
      </c>
      <c r="N5" s="8"/>
      <c r="O5" s="1"/>
    </row>
    <row r="6" spans="1:16">
      <c r="A6" s="64">
        <v>3</v>
      </c>
      <c r="B6" s="267">
        <v>45719</v>
      </c>
      <c r="C6" s="10">
        <v>0</v>
      </c>
      <c r="D6" s="20"/>
      <c r="E6" s="8">
        <v>0</v>
      </c>
      <c r="F6" s="8">
        <v>0</v>
      </c>
      <c r="G6" s="18">
        <f t="shared" si="0"/>
        <v>0</v>
      </c>
      <c r="H6" s="7">
        <v>0</v>
      </c>
      <c r="I6" s="7">
        <v>0</v>
      </c>
      <c r="J6" s="23">
        <f t="shared" si="1"/>
        <v>0</v>
      </c>
      <c r="K6" s="8">
        <f t="shared" si="2"/>
        <v>0</v>
      </c>
      <c r="L6" s="8"/>
      <c r="M6" s="8">
        <f>M5+K6-L6</f>
        <v>2207102.67</v>
      </c>
      <c r="N6" s="8"/>
      <c r="O6" s="1"/>
    </row>
    <row r="7" spans="1:16">
      <c r="A7" s="64">
        <v>4</v>
      </c>
      <c r="B7" s="267">
        <v>45720</v>
      </c>
      <c r="C7" s="10">
        <v>0</v>
      </c>
      <c r="D7" s="20"/>
      <c r="E7" s="8">
        <v>0</v>
      </c>
      <c r="F7" s="8">
        <v>0</v>
      </c>
      <c r="G7" s="18">
        <f t="shared" si="0"/>
        <v>0</v>
      </c>
      <c r="H7" s="7">
        <v>0</v>
      </c>
      <c r="I7" s="7">
        <v>0</v>
      </c>
      <c r="J7" s="23">
        <f t="shared" si="1"/>
        <v>0</v>
      </c>
      <c r="K7" s="8">
        <f t="shared" si="2"/>
        <v>0</v>
      </c>
      <c r="L7" s="8"/>
      <c r="M7" s="8">
        <f>M6+K7-L7</f>
        <v>2207102.67</v>
      </c>
      <c r="N7" s="8"/>
      <c r="O7" s="1"/>
    </row>
    <row r="8" spans="1:16">
      <c r="A8" s="64">
        <v>5</v>
      </c>
      <c r="B8" s="267">
        <v>45721</v>
      </c>
      <c r="C8" s="10">
        <v>0</v>
      </c>
      <c r="D8" s="20"/>
      <c r="E8" s="8">
        <v>0</v>
      </c>
      <c r="F8" s="8">
        <v>0</v>
      </c>
      <c r="G8" s="18">
        <f t="shared" si="0"/>
        <v>0</v>
      </c>
      <c r="H8" s="7">
        <v>0</v>
      </c>
      <c r="I8" s="7">
        <v>0</v>
      </c>
      <c r="J8" s="23">
        <f t="shared" si="1"/>
        <v>0</v>
      </c>
      <c r="K8" s="8">
        <f t="shared" si="2"/>
        <v>0</v>
      </c>
      <c r="L8" s="8"/>
      <c r="M8" s="8">
        <f t="shared" ref="M8:M10" si="3">M7+K8-L8</f>
        <v>2207102.67</v>
      </c>
      <c r="N8" s="8"/>
      <c r="O8" s="1"/>
    </row>
    <row r="9" spans="1:16">
      <c r="A9" s="64">
        <v>6</v>
      </c>
      <c r="B9" s="267">
        <v>45722</v>
      </c>
      <c r="C9" s="10">
        <v>0</v>
      </c>
      <c r="D9" s="20"/>
      <c r="E9" s="8">
        <v>0</v>
      </c>
      <c r="F9" s="8">
        <v>0</v>
      </c>
      <c r="G9" s="18">
        <f t="shared" si="0"/>
        <v>0</v>
      </c>
      <c r="H9" s="7">
        <v>0</v>
      </c>
      <c r="I9" s="7">
        <v>0</v>
      </c>
      <c r="J9" s="23">
        <f t="shared" si="1"/>
        <v>0</v>
      </c>
      <c r="K9" s="8">
        <f t="shared" si="2"/>
        <v>0</v>
      </c>
      <c r="L9" s="8"/>
      <c r="M9" s="8">
        <f t="shared" si="3"/>
        <v>2207102.67</v>
      </c>
      <c r="N9" s="8"/>
      <c r="O9" s="1"/>
    </row>
    <row r="10" spans="1:16">
      <c r="A10" s="64">
        <v>7</v>
      </c>
      <c r="B10" s="267">
        <v>45723</v>
      </c>
      <c r="C10" s="10">
        <v>0</v>
      </c>
      <c r="D10" s="20"/>
      <c r="E10" s="8">
        <v>0</v>
      </c>
      <c r="F10" s="8">
        <v>0</v>
      </c>
      <c r="G10" s="18">
        <f t="shared" si="0"/>
        <v>0</v>
      </c>
      <c r="H10" s="7">
        <v>0</v>
      </c>
      <c r="I10" s="7">
        <v>0</v>
      </c>
      <c r="J10" s="23">
        <f t="shared" si="1"/>
        <v>0</v>
      </c>
      <c r="K10" s="8">
        <f t="shared" si="2"/>
        <v>0</v>
      </c>
      <c r="L10" s="8"/>
      <c r="M10" s="8">
        <f t="shared" si="3"/>
        <v>2207102.67</v>
      </c>
      <c r="N10" s="8"/>
      <c r="O10" s="1"/>
    </row>
    <row r="11" spans="1:16">
      <c r="A11" s="64">
        <v>8</v>
      </c>
      <c r="B11" s="267">
        <v>45724</v>
      </c>
      <c r="C11" s="10">
        <v>0</v>
      </c>
      <c r="D11" s="20"/>
      <c r="E11" s="8">
        <v>1000</v>
      </c>
      <c r="F11" s="8">
        <v>91.14</v>
      </c>
      <c r="G11" s="18">
        <f t="shared" si="0"/>
        <v>91140</v>
      </c>
      <c r="H11" s="7">
        <v>20</v>
      </c>
      <c r="I11" s="7">
        <v>104.6</v>
      </c>
      <c r="J11" s="23">
        <f t="shared" si="1"/>
        <v>2092</v>
      </c>
      <c r="K11" s="8">
        <f t="shared" si="2"/>
        <v>93232</v>
      </c>
      <c r="L11" s="8"/>
      <c r="M11" s="8">
        <f>M10+K11-L11</f>
        <v>2300334.67</v>
      </c>
      <c r="N11" s="8"/>
      <c r="O11" s="1"/>
    </row>
    <row r="12" spans="1:16">
      <c r="A12" s="64">
        <v>9</v>
      </c>
      <c r="B12" s="267">
        <v>45725</v>
      </c>
      <c r="C12" s="10">
        <v>0</v>
      </c>
      <c r="D12" s="20"/>
      <c r="E12" s="8">
        <v>0</v>
      </c>
      <c r="F12" s="8">
        <v>0</v>
      </c>
      <c r="G12" s="18">
        <f t="shared" si="0"/>
        <v>0</v>
      </c>
      <c r="H12" s="7">
        <v>0</v>
      </c>
      <c r="I12" s="7">
        <v>0</v>
      </c>
      <c r="J12" s="23">
        <f t="shared" si="1"/>
        <v>0</v>
      </c>
      <c r="K12" s="8">
        <f t="shared" si="2"/>
        <v>0</v>
      </c>
      <c r="L12" s="8"/>
      <c r="M12" s="8">
        <f>M11+K12-L12</f>
        <v>2300334.67</v>
      </c>
      <c r="N12" s="8"/>
      <c r="O12" s="1"/>
    </row>
    <row r="13" spans="1:16">
      <c r="A13" s="64">
        <v>10</v>
      </c>
      <c r="B13" s="267">
        <v>45726</v>
      </c>
      <c r="C13" s="10">
        <v>0</v>
      </c>
      <c r="D13" s="20"/>
      <c r="E13" s="8">
        <v>0</v>
      </c>
      <c r="F13" s="8">
        <v>0</v>
      </c>
      <c r="G13" s="18">
        <f t="shared" si="0"/>
        <v>0</v>
      </c>
      <c r="H13" s="7">
        <v>0</v>
      </c>
      <c r="I13" s="7">
        <v>0</v>
      </c>
      <c r="J13" s="23">
        <f t="shared" si="1"/>
        <v>0</v>
      </c>
      <c r="K13" s="8">
        <f t="shared" si="2"/>
        <v>0</v>
      </c>
      <c r="L13" s="8"/>
      <c r="M13" s="229">
        <f>M12+K13-L13</f>
        <v>2300334.67</v>
      </c>
      <c r="N13" s="8"/>
      <c r="O13" s="1"/>
    </row>
    <row r="14" spans="1:16">
      <c r="A14" s="64">
        <v>11</v>
      </c>
      <c r="B14" s="267">
        <v>45727</v>
      </c>
      <c r="C14" s="10">
        <v>0</v>
      </c>
      <c r="D14" s="20"/>
      <c r="E14" s="8">
        <v>1000</v>
      </c>
      <c r="F14" s="8">
        <v>91.14</v>
      </c>
      <c r="G14" s="18">
        <f t="shared" si="0"/>
        <v>91140</v>
      </c>
      <c r="H14" s="7">
        <v>35</v>
      </c>
      <c r="I14" s="7">
        <v>104.6</v>
      </c>
      <c r="J14" s="23">
        <f t="shared" si="1"/>
        <v>3661</v>
      </c>
      <c r="K14" s="8">
        <f t="shared" si="2"/>
        <v>94801</v>
      </c>
      <c r="L14" s="8">
        <v>500000</v>
      </c>
      <c r="M14" s="8">
        <f>M13+K14-L14</f>
        <v>1895135.67</v>
      </c>
      <c r="N14" s="248"/>
      <c r="O14" s="1"/>
    </row>
    <row r="15" spans="1:16">
      <c r="A15" s="64">
        <v>12</v>
      </c>
      <c r="B15" s="267">
        <v>45728</v>
      </c>
      <c r="C15" s="10">
        <v>0</v>
      </c>
      <c r="D15" s="20"/>
      <c r="E15" s="8">
        <v>0</v>
      </c>
      <c r="F15" s="8">
        <v>0</v>
      </c>
      <c r="G15" s="18">
        <f t="shared" si="0"/>
        <v>0</v>
      </c>
      <c r="H15" s="7">
        <v>0</v>
      </c>
      <c r="I15" s="7">
        <v>0</v>
      </c>
      <c r="J15" s="23">
        <f t="shared" si="1"/>
        <v>0</v>
      </c>
      <c r="K15" s="8">
        <f t="shared" si="2"/>
        <v>0</v>
      </c>
      <c r="L15" s="8"/>
      <c r="M15" s="8">
        <f>M14+K15-L15</f>
        <v>1895135.67</v>
      </c>
      <c r="N15" s="248"/>
      <c r="O15" s="1"/>
    </row>
    <row r="16" spans="1:16">
      <c r="A16" s="64">
        <v>13</v>
      </c>
      <c r="B16" s="267">
        <v>45729</v>
      </c>
      <c r="C16" s="10">
        <v>0</v>
      </c>
      <c r="D16" s="20"/>
      <c r="E16" s="8">
        <v>0</v>
      </c>
      <c r="F16" s="8">
        <v>0</v>
      </c>
      <c r="G16" s="18">
        <f t="shared" si="0"/>
        <v>0</v>
      </c>
      <c r="H16" s="7">
        <v>0</v>
      </c>
      <c r="I16" s="7">
        <v>0</v>
      </c>
      <c r="J16" s="23">
        <f t="shared" si="1"/>
        <v>0</v>
      </c>
      <c r="K16" s="8">
        <f t="shared" si="2"/>
        <v>0</v>
      </c>
      <c r="L16" s="8"/>
      <c r="M16" s="8">
        <f t="shared" ref="M16:M34" si="4">M15+K16-L16</f>
        <v>1895135.67</v>
      </c>
      <c r="N16" s="248"/>
      <c r="O16" s="1"/>
    </row>
    <row r="17" spans="1:15">
      <c r="A17" s="64">
        <v>14</v>
      </c>
      <c r="B17" s="267">
        <v>45730</v>
      </c>
      <c r="C17" s="10">
        <v>0</v>
      </c>
      <c r="D17" s="20"/>
      <c r="E17" s="8">
        <v>0</v>
      </c>
      <c r="F17" s="8">
        <v>0</v>
      </c>
      <c r="G17" s="18">
        <f t="shared" si="0"/>
        <v>0</v>
      </c>
      <c r="H17" s="7">
        <v>0</v>
      </c>
      <c r="I17" s="7">
        <v>0</v>
      </c>
      <c r="J17" s="23">
        <f t="shared" si="1"/>
        <v>0</v>
      </c>
      <c r="K17" s="8">
        <f t="shared" si="2"/>
        <v>0</v>
      </c>
      <c r="L17" s="8"/>
      <c r="M17" s="8">
        <f t="shared" si="4"/>
        <v>1895135.67</v>
      </c>
      <c r="N17" s="248"/>
      <c r="O17" s="1"/>
    </row>
    <row r="18" spans="1:15">
      <c r="A18" s="64">
        <v>15</v>
      </c>
      <c r="B18" s="267">
        <v>45731</v>
      </c>
      <c r="C18" s="10">
        <v>0</v>
      </c>
      <c r="D18" s="20"/>
      <c r="E18" s="8">
        <v>1500</v>
      </c>
      <c r="F18" s="8">
        <v>91.14</v>
      </c>
      <c r="G18" s="18">
        <f t="shared" si="0"/>
        <v>136710</v>
      </c>
      <c r="H18" s="7">
        <v>0</v>
      </c>
      <c r="I18" s="7">
        <v>0</v>
      </c>
      <c r="J18" s="23">
        <f t="shared" si="1"/>
        <v>0</v>
      </c>
      <c r="K18" s="8">
        <f t="shared" si="2"/>
        <v>136710</v>
      </c>
      <c r="L18" s="8"/>
      <c r="M18" s="8">
        <f t="shared" si="4"/>
        <v>2031845.67</v>
      </c>
      <c r="N18" s="248"/>
      <c r="O18" s="1"/>
    </row>
    <row r="19" spans="1:15">
      <c r="A19" s="64">
        <v>16</v>
      </c>
      <c r="B19" s="267">
        <v>45732</v>
      </c>
      <c r="C19" s="10">
        <v>0</v>
      </c>
      <c r="D19" s="20"/>
      <c r="E19" s="8">
        <v>0</v>
      </c>
      <c r="F19" s="8">
        <v>0</v>
      </c>
      <c r="G19" s="18">
        <f t="shared" si="0"/>
        <v>0</v>
      </c>
      <c r="H19" s="7">
        <v>0</v>
      </c>
      <c r="I19" s="7">
        <v>0</v>
      </c>
      <c r="J19" s="23">
        <f t="shared" si="1"/>
        <v>0</v>
      </c>
      <c r="K19" s="8">
        <f t="shared" si="2"/>
        <v>0</v>
      </c>
      <c r="L19" s="8"/>
      <c r="M19" s="8">
        <f t="shared" si="4"/>
        <v>2031845.67</v>
      </c>
      <c r="N19" s="248"/>
      <c r="O19" s="1"/>
    </row>
    <row r="20" spans="1:15">
      <c r="A20" s="64">
        <v>17</v>
      </c>
      <c r="B20" s="267">
        <v>45733</v>
      </c>
      <c r="C20" s="10">
        <v>0</v>
      </c>
      <c r="D20" s="20"/>
      <c r="E20" s="8">
        <v>0</v>
      </c>
      <c r="F20" s="8">
        <v>0</v>
      </c>
      <c r="G20" s="18">
        <f t="shared" si="0"/>
        <v>0</v>
      </c>
      <c r="H20" s="7">
        <v>0</v>
      </c>
      <c r="I20" s="7">
        <v>0</v>
      </c>
      <c r="J20" s="23">
        <f t="shared" si="1"/>
        <v>0</v>
      </c>
      <c r="K20" s="8">
        <f t="shared" si="2"/>
        <v>0</v>
      </c>
      <c r="L20" s="8"/>
      <c r="M20" s="8">
        <f t="shared" si="4"/>
        <v>2031845.67</v>
      </c>
      <c r="N20" s="248"/>
      <c r="O20" s="1"/>
    </row>
    <row r="21" spans="1:15">
      <c r="A21" s="64">
        <v>18</v>
      </c>
      <c r="B21" s="267">
        <v>45734</v>
      </c>
      <c r="C21" s="10">
        <v>0</v>
      </c>
      <c r="D21" s="20"/>
      <c r="E21" s="8">
        <v>0</v>
      </c>
      <c r="F21" s="8">
        <v>0</v>
      </c>
      <c r="G21" s="18">
        <f t="shared" si="0"/>
        <v>0</v>
      </c>
      <c r="H21" s="7">
        <v>0</v>
      </c>
      <c r="I21" s="7">
        <v>0</v>
      </c>
      <c r="J21" s="23">
        <f t="shared" si="1"/>
        <v>0</v>
      </c>
      <c r="K21" s="8">
        <f t="shared" si="2"/>
        <v>0</v>
      </c>
      <c r="L21" s="8"/>
      <c r="M21" s="8">
        <f t="shared" si="4"/>
        <v>2031845.67</v>
      </c>
      <c r="N21" s="248"/>
      <c r="O21" s="1"/>
    </row>
    <row r="22" spans="1:15">
      <c r="A22" s="64">
        <v>19</v>
      </c>
      <c r="B22" s="267">
        <v>45735</v>
      </c>
      <c r="C22" s="10">
        <v>0</v>
      </c>
      <c r="D22" s="20"/>
      <c r="E22" s="8">
        <v>0</v>
      </c>
      <c r="F22" s="8">
        <v>0</v>
      </c>
      <c r="G22" s="18">
        <f t="shared" si="0"/>
        <v>0</v>
      </c>
      <c r="H22" s="7">
        <v>0</v>
      </c>
      <c r="I22" s="7">
        <v>0</v>
      </c>
      <c r="J22" s="23">
        <f t="shared" si="1"/>
        <v>0</v>
      </c>
      <c r="K22" s="8">
        <f t="shared" si="2"/>
        <v>0</v>
      </c>
      <c r="L22" s="8"/>
      <c r="M22" s="8">
        <f t="shared" si="4"/>
        <v>2031845.67</v>
      </c>
      <c r="N22" s="248"/>
      <c r="O22" s="1"/>
    </row>
    <row r="23" spans="1:15">
      <c r="A23" s="64">
        <v>20</v>
      </c>
      <c r="B23" s="267">
        <v>45736</v>
      </c>
      <c r="C23" s="10">
        <v>0</v>
      </c>
      <c r="D23" s="20"/>
      <c r="E23" s="8">
        <v>4000</v>
      </c>
      <c r="F23" s="8">
        <v>91.14</v>
      </c>
      <c r="G23" s="18">
        <f t="shared" si="0"/>
        <v>364560</v>
      </c>
      <c r="H23" s="7">
        <v>20</v>
      </c>
      <c r="I23" s="7">
        <v>104.6</v>
      </c>
      <c r="J23" s="23">
        <f t="shared" si="1"/>
        <v>2092</v>
      </c>
      <c r="K23" s="8">
        <f t="shared" si="2"/>
        <v>366652</v>
      </c>
      <c r="L23" s="8"/>
      <c r="M23" s="8">
        <f t="shared" si="4"/>
        <v>2398497.67</v>
      </c>
      <c r="N23" s="248"/>
      <c r="O23" s="1"/>
    </row>
    <row r="24" spans="1:15">
      <c r="A24" s="64">
        <v>21</v>
      </c>
      <c r="B24" s="267">
        <v>45737</v>
      </c>
      <c r="C24" s="10">
        <v>0</v>
      </c>
      <c r="D24" s="20"/>
      <c r="E24" s="8">
        <v>0</v>
      </c>
      <c r="F24" s="8">
        <v>0</v>
      </c>
      <c r="G24" s="18">
        <f t="shared" si="0"/>
        <v>0</v>
      </c>
      <c r="H24" s="7">
        <v>0</v>
      </c>
      <c r="I24" s="7">
        <v>0</v>
      </c>
      <c r="J24" s="23">
        <f t="shared" si="1"/>
        <v>0</v>
      </c>
      <c r="K24" s="8">
        <f t="shared" si="2"/>
        <v>0</v>
      </c>
      <c r="L24" s="8"/>
      <c r="M24" s="8">
        <f t="shared" si="4"/>
        <v>2398497.67</v>
      </c>
      <c r="N24" s="248"/>
      <c r="O24" s="1"/>
    </row>
    <row r="25" spans="1:15">
      <c r="A25" s="64">
        <v>22</v>
      </c>
      <c r="B25" s="267">
        <v>45738</v>
      </c>
      <c r="C25" s="10">
        <v>0</v>
      </c>
      <c r="D25" s="20"/>
      <c r="E25" s="8">
        <v>0</v>
      </c>
      <c r="F25" s="8">
        <v>0</v>
      </c>
      <c r="G25" s="18">
        <f t="shared" si="0"/>
        <v>0</v>
      </c>
      <c r="H25" s="7">
        <v>0</v>
      </c>
      <c r="I25" s="7">
        <v>0</v>
      </c>
      <c r="J25" s="23">
        <f t="shared" si="1"/>
        <v>0</v>
      </c>
      <c r="K25" s="8">
        <f t="shared" si="2"/>
        <v>0</v>
      </c>
      <c r="L25" s="8"/>
      <c r="M25" s="8">
        <f t="shared" si="4"/>
        <v>2398497.67</v>
      </c>
      <c r="N25" s="248"/>
      <c r="O25" s="1"/>
    </row>
    <row r="26" spans="1:15">
      <c r="A26" s="64">
        <v>23</v>
      </c>
      <c r="B26" s="267">
        <v>45739</v>
      </c>
      <c r="C26" s="10">
        <v>0</v>
      </c>
      <c r="D26" s="20"/>
      <c r="E26" s="8">
        <v>0</v>
      </c>
      <c r="F26" s="8">
        <v>0</v>
      </c>
      <c r="G26" s="18">
        <f t="shared" si="0"/>
        <v>0</v>
      </c>
      <c r="H26" s="7">
        <v>0</v>
      </c>
      <c r="I26" s="7">
        <v>0</v>
      </c>
      <c r="J26" s="23">
        <f t="shared" si="1"/>
        <v>0</v>
      </c>
      <c r="K26" s="8">
        <f t="shared" si="2"/>
        <v>0</v>
      </c>
      <c r="L26" s="8"/>
      <c r="M26" s="8">
        <f t="shared" si="4"/>
        <v>2398497.67</v>
      </c>
      <c r="N26" s="248"/>
      <c r="O26" s="1"/>
    </row>
    <row r="27" spans="1:15">
      <c r="A27" s="64">
        <v>24</v>
      </c>
      <c r="B27" s="267">
        <v>45740</v>
      </c>
      <c r="C27" s="10">
        <v>0</v>
      </c>
      <c r="D27" s="20"/>
      <c r="E27" s="8">
        <v>1500</v>
      </c>
      <c r="F27" s="8">
        <v>91.14</v>
      </c>
      <c r="G27" s="18">
        <f t="shared" si="0"/>
        <v>136710</v>
      </c>
      <c r="H27" s="7">
        <v>0</v>
      </c>
      <c r="I27" s="7">
        <v>0</v>
      </c>
      <c r="J27" s="23">
        <f t="shared" si="1"/>
        <v>0</v>
      </c>
      <c r="K27" s="8">
        <f t="shared" si="2"/>
        <v>136710</v>
      </c>
      <c r="L27" s="8"/>
      <c r="M27" s="8">
        <f t="shared" si="4"/>
        <v>2535207.67</v>
      </c>
      <c r="N27" s="248"/>
      <c r="O27" s="1"/>
    </row>
    <row r="28" spans="1:15">
      <c r="A28" s="64">
        <v>25</v>
      </c>
      <c r="B28" s="267">
        <v>45741</v>
      </c>
      <c r="C28" s="10">
        <v>0</v>
      </c>
      <c r="D28" s="20"/>
      <c r="E28" s="8">
        <v>0</v>
      </c>
      <c r="F28" s="8">
        <v>0</v>
      </c>
      <c r="G28" s="18">
        <f t="shared" si="0"/>
        <v>0</v>
      </c>
      <c r="H28" s="7">
        <v>0</v>
      </c>
      <c r="I28" s="7">
        <v>0</v>
      </c>
      <c r="J28" s="23">
        <f t="shared" si="1"/>
        <v>0</v>
      </c>
      <c r="K28" s="8">
        <f t="shared" si="2"/>
        <v>0</v>
      </c>
      <c r="L28" s="8"/>
      <c r="M28" s="8">
        <f t="shared" si="4"/>
        <v>2535207.67</v>
      </c>
      <c r="N28" s="248"/>
      <c r="O28" s="1"/>
    </row>
    <row r="29" spans="1:15">
      <c r="A29" s="64">
        <v>26</v>
      </c>
      <c r="B29" s="267">
        <v>45742</v>
      </c>
      <c r="C29" s="10">
        <v>0</v>
      </c>
      <c r="D29" s="20"/>
      <c r="E29" s="8">
        <v>0</v>
      </c>
      <c r="F29" s="8">
        <v>0</v>
      </c>
      <c r="G29" s="18">
        <f t="shared" si="0"/>
        <v>0</v>
      </c>
      <c r="H29" s="7">
        <v>0</v>
      </c>
      <c r="I29" s="7">
        <v>0</v>
      </c>
      <c r="J29" s="23">
        <f t="shared" si="1"/>
        <v>0</v>
      </c>
      <c r="K29" s="8">
        <f t="shared" si="2"/>
        <v>0</v>
      </c>
      <c r="L29" s="8"/>
      <c r="M29" s="8">
        <f t="shared" si="4"/>
        <v>2535207.67</v>
      </c>
      <c r="N29" s="248"/>
      <c r="O29" s="1"/>
    </row>
    <row r="30" spans="1:15">
      <c r="A30" s="64">
        <v>27</v>
      </c>
      <c r="B30" s="267">
        <v>45743</v>
      </c>
      <c r="C30" s="10">
        <v>0</v>
      </c>
      <c r="D30" s="20"/>
      <c r="E30" s="8">
        <v>0</v>
      </c>
      <c r="F30" s="8">
        <v>0</v>
      </c>
      <c r="G30" s="18">
        <f t="shared" si="0"/>
        <v>0</v>
      </c>
      <c r="H30" s="7">
        <v>0</v>
      </c>
      <c r="I30" s="7">
        <v>0</v>
      </c>
      <c r="J30" s="23">
        <f t="shared" si="1"/>
        <v>0</v>
      </c>
      <c r="K30" s="8">
        <f t="shared" si="2"/>
        <v>0</v>
      </c>
      <c r="L30" s="8"/>
      <c r="M30" s="8">
        <f t="shared" si="4"/>
        <v>2535207.67</v>
      </c>
      <c r="N30" s="248"/>
      <c r="O30" s="1"/>
    </row>
    <row r="31" spans="1:15">
      <c r="A31" s="64">
        <v>28</v>
      </c>
      <c r="B31" s="267">
        <v>45744</v>
      </c>
      <c r="C31" s="10">
        <v>0</v>
      </c>
      <c r="D31" s="20"/>
      <c r="E31" s="8">
        <v>0</v>
      </c>
      <c r="F31" s="8">
        <v>0</v>
      </c>
      <c r="G31" s="18">
        <f t="shared" si="0"/>
        <v>0</v>
      </c>
      <c r="H31" s="7">
        <v>0</v>
      </c>
      <c r="I31" s="7">
        <v>0</v>
      </c>
      <c r="J31" s="23">
        <f t="shared" si="1"/>
        <v>0</v>
      </c>
      <c r="K31" s="8">
        <f t="shared" si="2"/>
        <v>0</v>
      </c>
      <c r="L31" s="8"/>
      <c r="M31" s="8">
        <f t="shared" si="4"/>
        <v>2535207.67</v>
      </c>
      <c r="N31" s="248"/>
      <c r="O31" s="1"/>
    </row>
    <row r="32" spans="1:15">
      <c r="A32" s="257">
        <v>29</v>
      </c>
      <c r="B32" s="267">
        <v>45745</v>
      </c>
      <c r="C32" s="10">
        <v>0</v>
      </c>
      <c r="D32" s="20"/>
      <c r="E32" s="8">
        <v>0</v>
      </c>
      <c r="F32" s="8">
        <v>0</v>
      </c>
      <c r="G32" s="18">
        <f t="shared" si="0"/>
        <v>0</v>
      </c>
      <c r="H32" s="7">
        <v>0</v>
      </c>
      <c r="I32" s="7">
        <v>0</v>
      </c>
      <c r="J32" s="23">
        <f t="shared" si="1"/>
        <v>0</v>
      </c>
      <c r="K32" s="8">
        <f t="shared" si="2"/>
        <v>0</v>
      </c>
      <c r="L32" s="8">
        <v>2535205</v>
      </c>
      <c r="M32" s="8">
        <f t="shared" si="4"/>
        <v>2.6699999999254942</v>
      </c>
      <c r="N32" s="248"/>
      <c r="O32" s="1"/>
    </row>
    <row r="33" spans="1:15">
      <c r="A33" s="257">
        <v>30</v>
      </c>
      <c r="B33" s="267">
        <v>45746</v>
      </c>
      <c r="C33" s="10">
        <v>0</v>
      </c>
      <c r="D33" s="20"/>
      <c r="E33" s="8">
        <v>4000</v>
      </c>
      <c r="F33" s="8">
        <v>91.14</v>
      </c>
      <c r="G33" s="18">
        <f t="shared" si="0"/>
        <v>364560</v>
      </c>
      <c r="H33" s="7">
        <v>35</v>
      </c>
      <c r="I33" s="7">
        <v>104.6</v>
      </c>
      <c r="J33" s="23">
        <f t="shared" si="1"/>
        <v>3661</v>
      </c>
      <c r="K33" s="8">
        <f t="shared" si="2"/>
        <v>368221</v>
      </c>
      <c r="L33" s="8"/>
      <c r="M33" s="8">
        <f t="shared" si="4"/>
        <v>368223.66999999993</v>
      </c>
      <c r="N33" s="248"/>
      <c r="O33" s="1"/>
    </row>
    <row r="34" spans="1:15">
      <c r="A34" s="257">
        <v>31</v>
      </c>
      <c r="B34" s="267">
        <v>45747</v>
      </c>
      <c r="C34" s="10">
        <v>0</v>
      </c>
      <c r="D34" s="20"/>
      <c r="E34" s="8">
        <v>0</v>
      </c>
      <c r="F34" s="8">
        <v>0</v>
      </c>
      <c r="G34" s="18">
        <f t="shared" si="0"/>
        <v>0</v>
      </c>
      <c r="H34" s="7">
        <v>0</v>
      </c>
      <c r="I34" s="7">
        <v>0</v>
      </c>
      <c r="J34" s="23">
        <f t="shared" si="1"/>
        <v>0</v>
      </c>
      <c r="K34" s="8">
        <f t="shared" si="2"/>
        <v>0</v>
      </c>
      <c r="L34" s="8"/>
      <c r="M34" s="8">
        <f t="shared" si="4"/>
        <v>368223.66999999993</v>
      </c>
      <c r="N34" s="248"/>
      <c r="O34" s="1"/>
    </row>
    <row r="35" spans="1:15">
      <c r="A35" s="197"/>
      <c r="B35" s="197"/>
      <c r="C35" s="197"/>
      <c r="D35" s="197"/>
      <c r="E35" s="198">
        <f>SUM(E4:E34)</f>
        <v>13000</v>
      </c>
      <c r="F35" s="198"/>
      <c r="G35" s="198">
        <f>SUM(G4:G34)</f>
        <v>1184820</v>
      </c>
      <c r="H35" s="198">
        <f>SUM(H4:H34)</f>
        <v>110</v>
      </c>
      <c r="I35" s="198"/>
      <c r="J35" s="198">
        <f>SUM(J4:J34)</f>
        <v>11506</v>
      </c>
      <c r="K35" s="198">
        <f>SUM(K4:K34)</f>
        <v>1196326</v>
      </c>
      <c r="L35" s="198">
        <f>SUM(L4:L34)</f>
        <v>3035205</v>
      </c>
      <c r="M35" s="198"/>
      <c r="N35" s="85"/>
      <c r="O35" s="81"/>
    </row>
    <row r="36" spans="1:15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5">
      <c r="A37" s="1"/>
      <c r="B37" s="371"/>
      <c r="C37" s="371"/>
      <c r="D37" s="371"/>
      <c r="E37" s="371"/>
      <c r="F37" s="1"/>
      <c r="G37" s="1"/>
      <c r="H37" s="1"/>
      <c r="I37" s="371"/>
      <c r="J37" s="371"/>
      <c r="K37" s="371"/>
      <c r="L37" s="371"/>
      <c r="M37" s="371"/>
      <c r="N37" s="371"/>
      <c r="O37" s="4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4"/>
    </row>
  </sheetData>
  <mergeCells count="3">
    <mergeCell ref="B37:E37"/>
    <mergeCell ref="I37:N37"/>
    <mergeCell ref="A1:N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BF21-978C-45C0-87AC-3079BCB517B4}">
  <dimension ref="A1:O44"/>
  <sheetViews>
    <sheetView workbookViewId="0">
      <pane ySplit="2" topLeftCell="A3" activePane="bottomLeft" state="frozen"/>
      <selection pane="bottomLeft" activeCell="M48" sqref="M48"/>
    </sheetView>
  </sheetViews>
  <sheetFormatPr defaultRowHeight="15"/>
  <cols>
    <col min="1" max="1" width="5.140625" bestFit="1" customWidth="1"/>
    <col min="2" max="2" width="9.5703125" bestFit="1" customWidth="1"/>
    <col min="3" max="3" width="8" bestFit="1" customWidth="1"/>
    <col min="4" max="4" width="13.28515625" bestFit="1" customWidth="1"/>
    <col min="5" max="5" width="10.7109375" bestFit="1" customWidth="1"/>
    <col min="6" max="6" width="9.7109375" bestFit="1" customWidth="1"/>
    <col min="7" max="7" width="13.140625" customWidth="1"/>
    <col min="8" max="8" width="10.7109375" bestFit="1" customWidth="1"/>
    <col min="9" max="9" width="7.140625" bestFit="1" customWidth="1"/>
    <col min="10" max="10" width="9.7109375" bestFit="1" customWidth="1"/>
    <col min="11" max="12" width="13.5703125" bestFit="1" customWidth="1"/>
    <col min="13" max="13" width="14.42578125" customWidth="1"/>
    <col min="14" max="14" width="16.42578125" bestFit="1" customWidth="1"/>
  </cols>
  <sheetData>
    <row r="1" spans="1:15" ht="15.75" customHeight="1">
      <c r="A1" s="395" t="s">
        <v>89</v>
      </c>
      <c r="B1" s="395"/>
      <c r="C1" s="395"/>
      <c r="D1" s="395"/>
      <c r="E1" s="395"/>
      <c r="F1" s="395"/>
      <c r="G1" s="395"/>
      <c r="H1" s="395"/>
      <c r="I1" s="395"/>
      <c r="J1" s="395"/>
      <c r="K1" s="395"/>
      <c r="L1" s="395"/>
      <c r="M1" s="395"/>
      <c r="N1" s="395"/>
      <c r="O1" s="106"/>
    </row>
    <row r="2" spans="1:15" ht="16.5" customHeight="1">
      <c r="A2" s="123" t="s">
        <v>91</v>
      </c>
      <c r="B2" s="124" t="s">
        <v>92</v>
      </c>
      <c r="C2" s="124" t="s">
        <v>93</v>
      </c>
      <c r="D2" s="124" t="s">
        <v>165</v>
      </c>
      <c r="E2" s="124" t="s">
        <v>95</v>
      </c>
      <c r="F2" s="124" t="s">
        <v>96</v>
      </c>
      <c r="G2" s="124" t="s">
        <v>97</v>
      </c>
      <c r="H2" s="124" t="s">
        <v>98</v>
      </c>
      <c r="I2" s="124" t="s">
        <v>96</v>
      </c>
      <c r="J2" s="168" t="s">
        <v>97</v>
      </c>
      <c r="K2" s="125" t="s">
        <v>99</v>
      </c>
      <c r="L2" s="169" t="s">
        <v>100</v>
      </c>
      <c r="M2" s="174" t="s">
        <v>101</v>
      </c>
      <c r="N2" s="126" t="s">
        <v>102</v>
      </c>
      <c r="O2" s="81"/>
    </row>
    <row r="3" spans="1:15" ht="16.5" customHeight="1">
      <c r="A3" s="374" t="s">
        <v>103</v>
      </c>
      <c r="B3" s="375"/>
      <c r="C3" s="375"/>
      <c r="D3" s="375"/>
      <c r="E3" s="375"/>
      <c r="F3" s="375"/>
      <c r="G3" s="375"/>
      <c r="H3" s="375"/>
      <c r="I3" s="375"/>
      <c r="J3" s="375"/>
      <c r="K3" s="375"/>
      <c r="L3" s="389"/>
      <c r="M3" s="184">
        <v>0</v>
      </c>
      <c r="N3" s="193"/>
      <c r="O3" s="81"/>
    </row>
    <row r="4" spans="1:15">
      <c r="A4" s="257">
        <v>1</v>
      </c>
      <c r="B4" s="314">
        <v>45717</v>
      </c>
      <c r="C4" s="89"/>
      <c r="D4" s="196"/>
      <c r="E4" s="87"/>
      <c r="F4" s="87"/>
      <c r="G4" s="8">
        <f>E4*F4</f>
        <v>0</v>
      </c>
      <c r="H4" s="87">
        <v>0</v>
      </c>
      <c r="I4" s="88">
        <v>0</v>
      </c>
      <c r="J4" s="8">
        <f>H4*I4</f>
        <v>0</v>
      </c>
      <c r="K4" s="8">
        <f>G4+J4</f>
        <v>0</v>
      </c>
      <c r="L4" s="90">
        <f>+K4</f>
        <v>0</v>
      </c>
      <c r="M4" s="90">
        <v>0</v>
      </c>
      <c r="N4" s="8"/>
    </row>
    <row r="5" spans="1:15">
      <c r="A5" s="64">
        <v>2</v>
      </c>
      <c r="B5" s="267">
        <v>45718</v>
      </c>
      <c r="C5" s="89"/>
      <c r="D5" s="196"/>
      <c r="E5" s="87"/>
      <c r="F5" s="87"/>
      <c r="G5" s="8">
        <f t="shared" ref="G5:G34" si="0">E5*F5</f>
        <v>0</v>
      </c>
      <c r="H5" s="87">
        <v>0</v>
      </c>
      <c r="I5" s="88">
        <v>0</v>
      </c>
      <c r="J5" s="8">
        <f t="shared" ref="J5:J34" si="1">H5*I5</f>
        <v>0</v>
      </c>
      <c r="K5" s="8">
        <f t="shared" ref="K5:K34" si="2">G5+J5</f>
        <v>0</v>
      </c>
      <c r="L5" s="90">
        <f t="shared" ref="L5:L34" si="3">+K5</f>
        <v>0</v>
      </c>
      <c r="M5" s="90">
        <v>0</v>
      </c>
      <c r="N5" s="8"/>
    </row>
    <row r="6" spans="1:15">
      <c r="A6" s="64">
        <v>3</v>
      </c>
      <c r="B6" s="267">
        <v>45719</v>
      </c>
      <c r="C6" s="89"/>
      <c r="D6" s="196"/>
      <c r="E6" s="87"/>
      <c r="F6" s="87"/>
      <c r="G6" s="8">
        <f t="shared" si="0"/>
        <v>0</v>
      </c>
      <c r="H6" s="87">
        <v>0</v>
      </c>
      <c r="I6" s="88">
        <v>0</v>
      </c>
      <c r="J6" s="8">
        <f t="shared" si="1"/>
        <v>0</v>
      </c>
      <c r="K6" s="8">
        <f t="shared" si="2"/>
        <v>0</v>
      </c>
      <c r="L6" s="90">
        <f t="shared" si="3"/>
        <v>0</v>
      </c>
      <c r="M6" s="90">
        <v>0</v>
      </c>
      <c r="N6" s="8"/>
    </row>
    <row r="7" spans="1:15">
      <c r="A7" s="64">
        <v>4</v>
      </c>
      <c r="B7" s="267">
        <v>45720</v>
      </c>
      <c r="C7" s="89"/>
      <c r="D7" s="196"/>
      <c r="E7" s="87"/>
      <c r="F7" s="87"/>
      <c r="G7" s="8">
        <f t="shared" si="0"/>
        <v>0</v>
      </c>
      <c r="H7" s="87">
        <v>0</v>
      </c>
      <c r="I7" s="88">
        <v>0</v>
      </c>
      <c r="J7" s="8">
        <f t="shared" si="1"/>
        <v>0</v>
      </c>
      <c r="K7" s="8">
        <f t="shared" si="2"/>
        <v>0</v>
      </c>
      <c r="L7" s="90">
        <f t="shared" si="3"/>
        <v>0</v>
      </c>
      <c r="M7" s="90">
        <v>0</v>
      </c>
      <c r="N7" s="8"/>
    </row>
    <row r="8" spans="1:15">
      <c r="A8" s="64">
        <v>5</v>
      </c>
      <c r="B8" s="267">
        <v>45721</v>
      </c>
      <c r="C8" s="89"/>
      <c r="D8" s="196"/>
      <c r="E8" s="87"/>
      <c r="F8" s="87"/>
      <c r="G8" s="8">
        <f t="shared" si="0"/>
        <v>0</v>
      </c>
      <c r="H8" s="87">
        <v>6.05</v>
      </c>
      <c r="I8" s="88">
        <v>102.46</v>
      </c>
      <c r="J8" s="8">
        <f t="shared" ref="J8" si="4">H8*I8</f>
        <v>619.88299999999992</v>
      </c>
      <c r="K8" s="8">
        <f t="shared" ref="K8" si="5">G8+J8</f>
        <v>619.88299999999992</v>
      </c>
      <c r="L8" s="90">
        <f t="shared" ref="L8" si="6">+K8</f>
        <v>619.88299999999992</v>
      </c>
      <c r="M8" s="90">
        <v>0</v>
      </c>
      <c r="N8" s="8"/>
      <c r="O8" s="92"/>
    </row>
    <row r="9" spans="1:15">
      <c r="A9" s="64">
        <v>6</v>
      </c>
      <c r="B9" s="267">
        <v>45722</v>
      </c>
      <c r="C9" s="89"/>
      <c r="D9" s="196"/>
      <c r="E9" s="87"/>
      <c r="F9" s="87"/>
      <c r="G9" s="8">
        <f t="shared" si="0"/>
        <v>0</v>
      </c>
      <c r="H9" s="87">
        <v>0</v>
      </c>
      <c r="I9" s="88">
        <v>0</v>
      </c>
      <c r="J9" s="8">
        <f t="shared" si="1"/>
        <v>0</v>
      </c>
      <c r="K9" s="8">
        <f t="shared" si="2"/>
        <v>0</v>
      </c>
      <c r="L9" s="90">
        <f t="shared" si="3"/>
        <v>0</v>
      </c>
      <c r="M9" s="90">
        <v>0</v>
      </c>
      <c r="N9" s="8"/>
      <c r="O9" s="92"/>
    </row>
    <row r="10" spans="1:15">
      <c r="A10" s="64">
        <v>7</v>
      </c>
      <c r="B10" s="267">
        <v>45723</v>
      </c>
      <c r="C10" s="89"/>
      <c r="D10" s="196"/>
      <c r="E10" s="87"/>
      <c r="F10" s="87"/>
      <c r="G10" s="8">
        <f t="shared" si="0"/>
        <v>0</v>
      </c>
      <c r="H10" s="87">
        <v>0</v>
      </c>
      <c r="I10" s="88">
        <v>0</v>
      </c>
      <c r="J10" s="8">
        <f t="shared" si="1"/>
        <v>0</v>
      </c>
      <c r="K10" s="8">
        <f t="shared" si="2"/>
        <v>0</v>
      </c>
      <c r="L10" s="90">
        <f t="shared" si="3"/>
        <v>0</v>
      </c>
      <c r="M10" s="90">
        <v>0</v>
      </c>
      <c r="N10" s="8"/>
      <c r="O10" s="92"/>
    </row>
    <row r="11" spans="1:15">
      <c r="A11" s="64">
        <v>8</v>
      </c>
      <c r="B11" s="267">
        <v>45724</v>
      </c>
      <c r="C11" s="89"/>
      <c r="D11" s="196"/>
      <c r="E11" s="87"/>
      <c r="F11" s="87"/>
      <c r="G11" s="8">
        <f t="shared" si="0"/>
        <v>0</v>
      </c>
      <c r="H11" s="87">
        <v>0</v>
      </c>
      <c r="I11" s="88">
        <v>0</v>
      </c>
      <c r="J11" s="8">
        <f t="shared" si="1"/>
        <v>0</v>
      </c>
      <c r="K11" s="8">
        <f t="shared" si="2"/>
        <v>0</v>
      </c>
      <c r="L11" s="90">
        <f t="shared" si="3"/>
        <v>0</v>
      </c>
      <c r="M11" s="90">
        <v>0</v>
      </c>
      <c r="N11" s="8"/>
      <c r="O11" s="92"/>
    </row>
    <row r="12" spans="1:15">
      <c r="A12" s="64">
        <v>9</v>
      </c>
      <c r="B12" s="267">
        <v>45725</v>
      </c>
      <c r="C12" s="89"/>
      <c r="D12" s="196"/>
      <c r="E12" s="87"/>
      <c r="F12" s="87"/>
      <c r="G12" s="8">
        <f t="shared" si="0"/>
        <v>0</v>
      </c>
      <c r="H12" s="87">
        <v>0</v>
      </c>
      <c r="I12" s="88">
        <v>0</v>
      </c>
      <c r="J12" s="8">
        <f t="shared" si="1"/>
        <v>0</v>
      </c>
      <c r="K12" s="8">
        <f t="shared" si="2"/>
        <v>0</v>
      </c>
      <c r="L12" s="90">
        <f t="shared" si="3"/>
        <v>0</v>
      </c>
      <c r="M12" s="90">
        <v>0</v>
      </c>
      <c r="N12" s="8"/>
      <c r="O12" s="92"/>
    </row>
    <row r="13" spans="1:15">
      <c r="A13" s="64">
        <v>10</v>
      </c>
      <c r="B13" s="267">
        <v>45726</v>
      </c>
      <c r="C13" s="89"/>
      <c r="D13" s="196"/>
      <c r="E13" s="87"/>
      <c r="F13" s="87"/>
      <c r="G13" s="8">
        <f t="shared" si="0"/>
        <v>0</v>
      </c>
      <c r="H13" s="87">
        <v>0</v>
      </c>
      <c r="I13" s="88">
        <v>0</v>
      </c>
      <c r="J13" s="8">
        <f t="shared" si="1"/>
        <v>0</v>
      </c>
      <c r="K13" s="8">
        <f t="shared" si="2"/>
        <v>0</v>
      </c>
      <c r="L13" s="90">
        <f t="shared" si="3"/>
        <v>0</v>
      </c>
      <c r="M13" s="90">
        <v>0</v>
      </c>
      <c r="N13" s="8"/>
      <c r="O13" s="92"/>
    </row>
    <row r="14" spans="1:15">
      <c r="A14" s="64">
        <v>11</v>
      </c>
      <c r="B14" s="267">
        <v>45727</v>
      </c>
      <c r="C14" s="89"/>
      <c r="D14" s="196"/>
      <c r="E14" s="87"/>
      <c r="F14" s="87"/>
      <c r="G14" s="8">
        <f t="shared" si="0"/>
        <v>0</v>
      </c>
      <c r="H14" s="87">
        <v>0</v>
      </c>
      <c r="I14" s="88">
        <v>0</v>
      </c>
      <c r="J14" s="8">
        <f t="shared" si="1"/>
        <v>0</v>
      </c>
      <c r="K14" s="8">
        <f t="shared" si="2"/>
        <v>0</v>
      </c>
      <c r="L14" s="90">
        <f t="shared" si="3"/>
        <v>0</v>
      </c>
      <c r="M14" s="90">
        <v>0</v>
      </c>
      <c r="N14" s="8"/>
      <c r="O14" s="92"/>
    </row>
    <row r="15" spans="1:15">
      <c r="A15" s="64">
        <v>12</v>
      </c>
      <c r="B15" s="267">
        <v>45728</v>
      </c>
      <c r="C15" s="89"/>
      <c r="D15" s="196"/>
      <c r="E15" s="87"/>
      <c r="F15" s="87"/>
      <c r="G15" s="8">
        <f t="shared" si="0"/>
        <v>0</v>
      </c>
      <c r="H15" s="87">
        <v>0</v>
      </c>
      <c r="I15" s="88">
        <v>0</v>
      </c>
      <c r="J15" s="8">
        <f t="shared" si="1"/>
        <v>0</v>
      </c>
      <c r="K15" s="8">
        <f t="shared" si="2"/>
        <v>0</v>
      </c>
      <c r="L15" s="90">
        <f t="shared" si="3"/>
        <v>0</v>
      </c>
      <c r="M15" s="90">
        <v>0</v>
      </c>
      <c r="N15" s="8"/>
      <c r="O15" s="92"/>
    </row>
    <row r="16" spans="1:15">
      <c r="A16" s="64">
        <v>13</v>
      </c>
      <c r="B16" s="267">
        <v>45729</v>
      </c>
      <c r="C16" s="89"/>
      <c r="D16" s="196"/>
      <c r="E16" s="87"/>
      <c r="F16" s="87"/>
      <c r="G16" s="8">
        <f t="shared" si="0"/>
        <v>0</v>
      </c>
      <c r="H16" s="87">
        <v>6.83</v>
      </c>
      <c r="I16" s="88">
        <v>102.46</v>
      </c>
      <c r="J16" s="8">
        <f t="shared" si="1"/>
        <v>699.80179999999996</v>
      </c>
      <c r="K16" s="8">
        <f t="shared" si="2"/>
        <v>699.80179999999996</v>
      </c>
      <c r="L16" s="90">
        <f t="shared" si="3"/>
        <v>699.80179999999996</v>
      </c>
      <c r="M16" s="90">
        <v>0</v>
      </c>
      <c r="N16" s="8"/>
      <c r="O16" s="92"/>
    </row>
    <row r="17" spans="1:15">
      <c r="A17" s="64">
        <v>14</v>
      </c>
      <c r="B17" s="267">
        <v>45730</v>
      </c>
      <c r="C17" s="89"/>
      <c r="D17" s="196"/>
      <c r="E17" s="87"/>
      <c r="F17" s="87"/>
      <c r="G17" s="8">
        <f t="shared" si="0"/>
        <v>0</v>
      </c>
      <c r="H17" s="87">
        <v>0</v>
      </c>
      <c r="I17" s="88">
        <v>0</v>
      </c>
      <c r="J17" s="8">
        <f t="shared" si="1"/>
        <v>0</v>
      </c>
      <c r="K17" s="8">
        <f t="shared" si="2"/>
        <v>0</v>
      </c>
      <c r="L17" s="90">
        <f t="shared" si="3"/>
        <v>0</v>
      </c>
      <c r="M17" s="90">
        <v>0</v>
      </c>
      <c r="N17" s="8"/>
      <c r="O17" s="92"/>
    </row>
    <row r="18" spans="1:15">
      <c r="A18" s="64">
        <v>15</v>
      </c>
      <c r="B18" s="267">
        <v>45731</v>
      </c>
      <c r="C18" s="89"/>
      <c r="D18" s="196"/>
      <c r="E18" s="87"/>
      <c r="F18" s="87"/>
      <c r="G18" s="8">
        <f t="shared" si="0"/>
        <v>0</v>
      </c>
      <c r="H18" s="87">
        <v>0</v>
      </c>
      <c r="I18" s="88">
        <v>0</v>
      </c>
      <c r="J18" s="8">
        <f t="shared" si="1"/>
        <v>0</v>
      </c>
      <c r="K18" s="8">
        <f t="shared" si="2"/>
        <v>0</v>
      </c>
      <c r="L18" s="90">
        <f t="shared" si="3"/>
        <v>0</v>
      </c>
      <c r="M18" s="90">
        <v>0</v>
      </c>
      <c r="N18" s="8"/>
      <c r="O18" s="92"/>
    </row>
    <row r="19" spans="1:15">
      <c r="A19" s="64">
        <v>16</v>
      </c>
      <c r="B19" s="267">
        <v>45732</v>
      </c>
      <c r="C19" s="89"/>
      <c r="D19" s="196"/>
      <c r="E19" s="87"/>
      <c r="F19" s="87"/>
      <c r="G19" s="8">
        <f t="shared" si="0"/>
        <v>0</v>
      </c>
      <c r="H19" s="87">
        <v>0</v>
      </c>
      <c r="I19" s="88">
        <v>0</v>
      </c>
      <c r="J19" s="8">
        <f t="shared" si="1"/>
        <v>0</v>
      </c>
      <c r="K19" s="8">
        <f t="shared" si="2"/>
        <v>0</v>
      </c>
      <c r="L19" s="90">
        <f t="shared" si="3"/>
        <v>0</v>
      </c>
      <c r="M19" s="90">
        <v>0</v>
      </c>
      <c r="N19" s="8"/>
      <c r="O19" s="92"/>
    </row>
    <row r="20" spans="1:15">
      <c r="A20" s="64">
        <v>17</v>
      </c>
      <c r="B20" s="267">
        <v>45733</v>
      </c>
      <c r="C20" s="89"/>
      <c r="D20" s="196"/>
      <c r="E20" s="87"/>
      <c r="F20" s="87"/>
      <c r="G20" s="8">
        <f t="shared" si="0"/>
        <v>0</v>
      </c>
      <c r="H20" s="87">
        <v>0</v>
      </c>
      <c r="I20" s="88">
        <v>0</v>
      </c>
      <c r="J20" s="8">
        <f t="shared" si="1"/>
        <v>0</v>
      </c>
      <c r="K20" s="8">
        <f t="shared" si="2"/>
        <v>0</v>
      </c>
      <c r="L20" s="90">
        <f t="shared" si="3"/>
        <v>0</v>
      </c>
      <c r="M20" s="90">
        <v>0</v>
      </c>
      <c r="N20" s="8"/>
      <c r="O20" s="92"/>
    </row>
    <row r="21" spans="1:15">
      <c r="A21" s="64">
        <v>18</v>
      </c>
      <c r="B21" s="267">
        <v>45734</v>
      </c>
      <c r="C21" s="89"/>
      <c r="D21" s="196"/>
      <c r="E21" s="87"/>
      <c r="F21" s="87"/>
      <c r="G21" s="8">
        <f t="shared" si="0"/>
        <v>0</v>
      </c>
      <c r="H21" s="87">
        <v>4.88</v>
      </c>
      <c r="I21" s="88">
        <v>102.46</v>
      </c>
      <c r="J21" s="8">
        <f t="shared" si="1"/>
        <v>500.00479999999993</v>
      </c>
      <c r="K21" s="8">
        <f t="shared" si="2"/>
        <v>500.00479999999993</v>
      </c>
      <c r="L21" s="90">
        <f t="shared" si="3"/>
        <v>500.00479999999993</v>
      </c>
      <c r="M21" s="90">
        <v>0</v>
      </c>
      <c r="N21" s="8"/>
      <c r="O21" s="92"/>
    </row>
    <row r="22" spans="1:15">
      <c r="A22" s="64">
        <v>19</v>
      </c>
      <c r="B22" s="267">
        <v>45735</v>
      </c>
      <c r="C22" s="89"/>
      <c r="D22" s="196"/>
      <c r="E22" s="87"/>
      <c r="F22" s="87"/>
      <c r="G22" s="8">
        <f t="shared" si="0"/>
        <v>0</v>
      </c>
      <c r="H22" s="87">
        <v>0</v>
      </c>
      <c r="I22" s="88">
        <v>0</v>
      </c>
      <c r="J22" s="8">
        <f t="shared" si="1"/>
        <v>0</v>
      </c>
      <c r="K22" s="8">
        <f t="shared" si="2"/>
        <v>0</v>
      </c>
      <c r="L22" s="90">
        <f t="shared" si="3"/>
        <v>0</v>
      </c>
      <c r="M22" s="90">
        <v>0</v>
      </c>
      <c r="N22" s="8"/>
      <c r="O22" s="92"/>
    </row>
    <row r="23" spans="1:15">
      <c r="A23" s="64">
        <v>20</v>
      </c>
      <c r="B23" s="267">
        <v>45736</v>
      </c>
      <c r="C23" s="89"/>
      <c r="D23" s="196"/>
      <c r="E23" s="87"/>
      <c r="F23" s="87"/>
      <c r="G23" s="8">
        <f t="shared" si="0"/>
        <v>0</v>
      </c>
      <c r="H23" s="87">
        <v>0</v>
      </c>
      <c r="I23" s="88">
        <v>0</v>
      </c>
      <c r="J23" s="8">
        <f t="shared" si="1"/>
        <v>0</v>
      </c>
      <c r="K23" s="8">
        <f t="shared" si="2"/>
        <v>0</v>
      </c>
      <c r="L23" s="90">
        <f t="shared" si="3"/>
        <v>0</v>
      </c>
      <c r="M23" s="90">
        <v>0</v>
      </c>
      <c r="N23" s="8"/>
      <c r="O23" s="92"/>
    </row>
    <row r="24" spans="1:15">
      <c r="A24" s="64">
        <v>21</v>
      </c>
      <c r="B24" s="267">
        <v>45737</v>
      </c>
      <c r="C24" s="89"/>
      <c r="D24" s="196"/>
      <c r="E24" s="87"/>
      <c r="F24" s="87"/>
      <c r="G24" s="8">
        <f t="shared" si="0"/>
        <v>0</v>
      </c>
      <c r="H24" s="87">
        <v>0</v>
      </c>
      <c r="I24" s="88">
        <v>0</v>
      </c>
      <c r="J24" s="8">
        <f t="shared" si="1"/>
        <v>0</v>
      </c>
      <c r="K24" s="8">
        <f t="shared" si="2"/>
        <v>0</v>
      </c>
      <c r="L24" s="90">
        <f t="shared" si="3"/>
        <v>0</v>
      </c>
      <c r="M24" s="90">
        <v>0</v>
      </c>
      <c r="N24" s="8"/>
      <c r="O24" s="92"/>
    </row>
    <row r="25" spans="1:15">
      <c r="A25" s="64">
        <v>22</v>
      </c>
      <c r="B25" s="267">
        <v>45738</v>
      </c>
      <c r="C25" s="89"/>
      <c r="D25" s="196"/>
      <c r="E25" s="87"/>
      <c r="F25" s="87"/>
      <c r="G25" s="8">
        <f t="shared" si="0"/>
        <v>0</v>
      </c>
      <c r="H25" s="87">
        <v>0</v>
      </c>
      <c r="I25" s="88">
        <v>0</v>
      </c>
      <c r="J25" s="8">
        <f t="shared" si="1"/>
        <v>0</v>
      </c>
      <c r="K25" s="8">
        <f t="shared" si="2"/>
        <v>0</v>
      </c>
      <c r="L25" s="90">
        <f t="shared" si="3"/>
        <v>0</v>
      </c>
      <c r="M25" s="90">
        <v>0</v>
      </c>
      <c r="N25" s="8"/>
      <c r="O25" s="92"/>
    </row>
    <row r="26" spans="1:15">
      <c r="A26" s="64">
        <v>23</v>
      </c>
      <c r="B26" s="267">
        <v>45739</v>
      </c>
      <c r="C26" s="89"/>
      <c r="D26" s="196"/>
      <c r="E26" s="87"/>
      <c r="F26" s="87"/>
      <c r="G26" s="8">
        <f t="shared" si="0"/>
        <v>0</v>
      </c>
      <c r="H26" s="87">
        <v>0</v>
      </c>
      <c r="I26" s="88">
        <v>0</v>
      </c>
      <c r="J26" s="8">
        <f t="shared" si="1"/>
        <v>0</v>
      </c>
      <c r="K26" s="8">
        <f t="shared" si="2"/>
        <v>0</v>
      </c>
      <c r="L26" s="90">
        <f t="shared" si="3"/>
        <v>0</v>
      </c>
      <c r="M26" s="90">
        <v>0</v>
      </c>
      <c r="N26" s="8"/>
      <c r="O26" s="92"/>
    </row>
    <row r="27" spans="1:15">
      <c r="A27" s="64">
        <v>24</v>
      </c>
      <c r="B27" s="307">
        <v>45740</v>
      </c>
      <c r="C27" s="89"/>
      <c r="D27" s="196"/>
      <c r="E27" s="87"/>
      <c r="F27" s="87"/>
      <c r="G27" s="8">
        <f t="shared" si="0"/>
        <v>0</v>
      </c>
      <c r="H27" s="87">
        <v>0</v>
      </c>
      <c r="I27" s="88">
        <v>0</v>
      </c>
      <c r="J27" s="8">
        <f t="shared" si="1"/>
        <v>0</v>
      </c>
      <c r="K27" s="8">
        <f t="shared" si="2"/>
        <v>0</v>
      </c>
      <c r="L27" s="90">
        <f t="shared" si="3"/>
        <v>0</v>
      </c>
      <c r="M27" s="90">
        <v>0</v>
      </c>
      <c r="N27" s="8"/>
      <c r="O27" s="92"/>
    </row>
    <row r="28" spans="1:15">
      <c r="A28" s="316">
        <v>25</v>
      </c>
      <c r="B28" s="110">
        <v>45741</v>
      </c>
      <c r="C28" s="89"/>
      <c r="D28" s="196"/>
      <c r="E28" s="87"/>
      <c r="F28" s="87"/>
      <c r="G28" s="8">
        <f t="shared" si="0"/>
        <v>0</v>
      </c>
      <c r="H28" s="87">
        <v>0</v>
      </c>
      <c r="I28" s="88">
        <v>0</v>
      </c>
      <c r="J28" s="8">
        <f t="shared" si="1"/>
        <v>0</v>
      </c>
      <c r="K28" s="8">
        <f t="shared" si="2"/>
        <v>0</v>
      </c>
      <c r="L28" s="90">
        <f t="shared" si="3"/>
        <v>0</v>
      </c>
      <c r="M28" s="90">
        <v>0</v>
      </c>
      <c r="N28" s="8"/>
      <c r="O28" s="92"/>
    </row>
    <row r="29" spans="1:15">
      <c r="A29" s="316">
        <v>26</v>
      </c>
      <c r="B29" s="110">
        <v>45742</v>
      </c>
      <c r="C29" s="89"/>
      <c r="D29" s="196"/>
      <c r="E29" s="87"/>
      <c r="F29" s="87"/>
      <c r="G29" s="8">
        <f t="shared" si="0"/>
        <v>0</v>
      </c>
      <c r="H29" s="87">
        <v>0</v>
      </c>
      <c r="I29" s="88">
        <v>0</v>
      </c>
      <c r="J29" s="8">
        <f t="shared" si="1"/>
        <v>0</v>
      </c>
      <c r="K29" s="8">
        <f t="shared" si="2"/>
        <v>0</v>
      </c>
      <c r="L29" s="90">
        <f t="shared" si="3"/>
        <v>0</v>
      </c>
      <c r="M29" s="90">
        <v>0</v>
      </c>
      <c r="N29" s="8"/>
      <c r="O29" s="92"/>
    </row>
    <row r="30" spans="1:15">
      <c r="A30" s="316">
        <v>27</v>
      </c>
      <c r="B30" s="110">
        <v>45743</v>
      </c>
      <c r="C30" s="89"/>
      <c r="D30" s="196"/>
      <c r="E30" s="87"/>
      <c r="F30" s="87"/>
      <c r="G30" s="8">
        <f t="shared" si="0"/>
        <v>0</v>
      </c>
      <c r="H30" s="87">
        <v>0</v>
      </c>
      <c r="I30" s="88">
        <v>0</v>
      </c>
      <c r="J30" s="8">
        <f t="shared" si="1"/>
        <v>0</v>
      </c>
      <c r="K30" s="8">
        <f t="shared" si="2"/>
        <v>0</v>
      </c>
      <c r="L30" s="90">
        <f t="shared" si="3"/>
        <v>0</v>
      </c>
      <c r="M30" s="90">
        <v>0</v>
      </c>
      <c r="N30" s="8"/>
      <c r="O30" s="92"/>
    </row>
    <row r="31" spans="1:15">
      <c r="A31" s="316">
        <v>28</v>
      </c>
      <c r="B31" s="110">
        <v>45744</v>
      </c>
      <c r="C31" s="89"/>
      <c r="D31" s="196"/>
      <c r="E31" s="87"/>
      <c r="F31" s="87"/>
      <c r="G31" s="8">
        <f t="shared" si="0"/>
        <v>0</v>
      </c>
      <c r="H31" s="87">
        <v>0</v>
      </c>
      <c r="I31" s="88">
        <v>0</v>
      </c>
      <c r="J31" s="8">
        <f t="shared" si="1"/>
        <v>0</v>
      </c>
      <c r="K31" s="8">
        <f t="shared" si="2"/>
        <v>0</v>
      </c>
      <c r="L31" s="90">
        <f t="shared" si="3"/>
        <v>0</v>
      </c>
      <c r="M31" s="90">
        <v>0</v>
      </c>
      <c r="N31" s="8"/>
      <c r="O31" s="92"/>
    </row>
    <row r="32" spans="1:15">
      <c r="A32" s="317">
        <v>29</v>
      </c>
      <c r="B32" s="110">
        <v>45745</v>
      </c>
      <c r="C32" s="89"/>
      <c r="D32" s="196"/>
      <c r="E32" s="87"/>
      <c r="F32" s="87"/>
      <c r="G32" s="8">
        <f t="shared" si="0"/>
        <v>0</v>
      </c>
      <c r="H32" s="87">
        <v>0</v>
      </c>
      <c r="I32" s="88">
        <v>0</v>
      </c>
      <c r="J32" s="8">
        <f t="shared" si="1"/>
        <v>0</v>
      </c>
      <c r="K32" s="8">
        <f t="shared" si="2"/>
        <v>0</v>
      </c>
      <c r="L32" s="90">
        <f t="shared" si="3"/>
        <v>0</v>
      </c>
      <c r="M32" s="90">
        <v>0</v>
      </c>
      <c r="N32" s="8"/>
      <c r="O32" s="92"/>
    </row>
    <row r="33" spans="1:15">
      <c r="A33" s="317">
        <v>30</v>
      </c>
      <c r="B33" s="110">
        <v>45746</v>
      </c>
      <c r="C33" s="89"/>
      <c r="D33" s="196"/>
      <c r="E33" s="87"/>
      <c r="F33" s="87"/>
      <c r="G33" s="8">
        <f t="shared" si="0"/>
        <v>0</v>
      </c>
      <c r="H33" s="87">
        <v>0</v>
      </c>
      <c r="I33" s="88">
        <v>0</v>
      </c>
      <c r="J33" s="8">
        <f t="shared" si="1"/>
        <v>0</v>
      </c>
      <c r="K33" s="8">
        <f t="shared" si="2"/>
        <v>0</v>
      </c>
      <c r="L33" s="90">
        <f t="shared" si="3"/>
        <v>0</v>
      </c>
      <c r="M33" s="90">
        <v>0</v>
      </c>
      <c r="N33" s="8"/>
      <c r="O33" s="92"/>
    </row>
    <row r="34" spans="1:15">
      <c r="A34" s="317">
        <v>31</v>
      </c>
      <c r="B34" s="110">
        <v>45747</v>
      </c>
      <c r="C34" s="89"/>
      <c r="D34" s="196"/>
      <c r="E34" s="87"/>
      <c r="F34" s="87"/>
      <c r="G34" s="8">
        <f t="shared" si="0"/>
        <v>0</v>
      </c>
      <c r="H34" s="87">
        <v>0</v>
      </c>
      <c r="I34" s="88">
        <v>0</v>
      </c>
      <c r="J34" s="8">
        <f t="shared" si="1"/>
        <v>0</v>
      </c>
      <c r="K34" s="8">
        <f t="shared" si="2"/>
        <v>0</v>
      </c>
      <c r="L34" s="90">
        <f t="shared" si="3"/>
        <v>0</v>
      </c>
      <c r="M34" s="90">
        <v>0</v>
      </c>
      <c r="N34" s="8"/>
      <c r="O34" s="92"/>
    </row>
    <row r="35" spans="1:15">
      <c r="A35" s="84"/>
      <c r="B35" s="84"/>
      <c r="C35" s="84"/>
      <c r="D35" s="84"/>
      <c r="E35" s="85">
        <f>SUM(E4:E14)</f>
        <v>0</v>
      </c>
      <c r="F35" s="85"/>
      <c r="G35" s="85">
        <f>SUM(G4:G14)</f>
        <v>0</v>
      </c>
      <c r="H35" s="85">
        <f>SUM(H4:H34)</f>
        <v>17.759999999999998</v>
      </c>
      <c r="I35" s="85"/>
      <c r="J35" s="85">
        <f>SUM(J4:J34)</f>
        <v>1819.6895999999999</v>
      </c>
      <c r="K35" s="85">
        <f>SUM(K4:K34)</f>
        <v>1819.6895999999999</v>
      </c>
      <c r="L35" s="85">
        <f>SUM(L4:L34)</f>
        <v>1819.6895999999999</v>
      </c>
      <c r="M35" s="85"/>
      <c r="N35" s="85"/>
      <c r="O35" s="81"/>
    </row>
    <row r="36" spans="1:15">
      <c r="A36" s="96"/>
      <c r="B36" s="97"/>
      <c r="C36" s="96"/>
      <c r="D36" s="96"/>
      <c r="E36" s="98"/>
      <c r="F36" s="98"/>
      <c r="G36" s="98"/>
      <c r="H36" s="98"/>
      <c r="I36" s="98"/>
      <c r="J36" s="99"/>
      <c r="K36" s="99"/>
      <c r="L36" s="99"/>
      <c r="M36" s="99"/>
      <c r="N36" s="98"/>
      <c r="O36" s="92"/>
    </row>
    <row r="37" spans="1:15">
      <c r="O37" s="92"/>
    </row>
    <row r="38" spans="1:15">
      <c r="O38" s="92"/>
    </row>
    <row r="39" spans="1:15">
      <c r="O39" s="92"/>
    </row>
    <row r="40" spans="1:15">
      <c r="O40" s="92"/>
    </row>
    <row r="41" spans="1:15">
      <c r="O41" s="92"/>
    </row>
    <row r="42" spans="1:15">
      <c r="A42" s="92"/>
      <c r="B42" s="81"/>
      <c r="C42" s="92"/>
      <c r="D42" s="92"/>
      <c r="E42" s="92"/>
      <c r="F42" s="92"/>
      <c r="G42" s="100"/>
      <c r="H42" s="92"/>
      <c r="I42" s="92"/>
      <c r="J42" s="81"/>
      <c r="K42" s="81"/>
      <c r="L42" s="81"/>
      <c r="M42" s="81"/>
      <c r="N42" s="92"/>
      <c r="O42" s="98"/>
    </row>
    <row r="43" spans="1:15">
      <c r="A43" s="92"/>
      <c r="B43" s="392"/>
      <c r="C43" s="392"/>
      <c r="D43" s="392"/>
      <c r="E43" s="392"/>
      <c r="F43" s="92"/>
      <c r="G43" s="92"/>
      <c r="H43" s="92"/>
      <c r="I43" s="392"/>
      <c r="J43" s="392"/>
      <c r="K43" s="392"/>
      <c r="L43" s="392"/>
      <c r="M43" s="392"/>
      <c r="N43" s="392"/>
      <c r="O43" s="98"/>
    </row>
    <row r="44" spans="1:15">
      <c r="A44" s="92"/>
      <c r="B44" s="81"/>
      <c r="C44" s="92"/>
      <c r="D44" s="92"/>
      <c r="E44" s="92"/>
      <c r="F44" s="92"/>
      <c r="G44" s="92"/>
      <c r="H44" s="92"/>
      <c r="I44" s="92"/>
      <c r="J44" s="81"/>
      <c r="K44" s="81"/>
      <c r="L44" s="81"/>
      <c r="M44" s="81"/>
      <c r="N44" s="92"/>
      <c r="O44" s="98"/>
    </row>
  </sheetData>
  <mergeCells count="4">
    <mergeCell ref="B43:E43"/>
    <mergeCell ref="I43:N43"/>
    <mergeCell ref="A1:N1"/>
    <mergeCell ref="A3:L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786B-C2B4-4667-9DF4-66A04CD3EC97}">
  <sheetPr>
    <tabColor rgb="FF92D050"/>
  </sheetPr>
  <dimension ref="A1:W44"/>
  <sheetViews>
    <sheetView workbookViewId="0">
      <pane ySplit="2" topLeftCell="A3" activePane="bottomLeft" state="frozen"/>
      <selection pane="bottomLeft" activeCell="T50" sqref="T50"/>
    </sheetView>
  </sheetViews>
  <sheetFormatPr defaultRowHeight="15"/>
  <cols>
    <col min="1" max="1" width="9.140625" style="5"/>
    <col min="2" max="2" width="11.5703125" style="5" bestFit="1" customWidth="1"/>
    <col min="3" max="3" width="9.140625" style="5"/>
    <col min="4" max="4" width="13.140625" style="5" customWidth="1"/>
    <col min="5" max="5" width="10.140625" style="5" customWidth="1"/>
    <col min="6" max="6" width="9.140625" style="5"/>
    <col min="7" max="7" width="10.85546875" style="127" bestFit="1" customWidth="1"/>
    <col min="8" max="8" width="11.140625" style="5" customWidth="1"/>
    <col min="9" max="9" width="9.140625" style="5"/>
    <col min="10" max="10" width="10.85546875" style="127" bestFit="1" customWidth="1"/>
    <col min="11" max="11" width="12.85546875" style="5" customWidth="1"/>
    <col min="12" max="12" width="13.5703125" style="127" bestFit="1" customWidth="1"/>
    <col min="13" max="13" width="13.5703125" style="127" customWidth="1"/>
    <col min="14" max="14" width="13.5703125" style="5" bestFit="1" customWidth="1"/>
    <col min="15" max="22" width="9.140625" style="5"/>
    <col min="23" max="23" width="14.28515625" style="5" customWidth="1"/>
    <col min="24" max="16384" width="9.140625" style="5"/>
  </cols>
  <sheetData>
    <row r="1" spans="1:23" ht="15.75">
      <c r="A1" s="386" t="s">
        <v>79</v>
      </c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  <c r="M1" s="386"/>
      <c r="N1" s="386"/>
    </row>
    <row r="2" spans="1:23" ht="18" customHeight="1">
      <c r="A2" s="86" t="s">
        <v>91</v>
      </c>
      <c r="B2" s="107" t="s">
        <v>92</v>
      </c>
      <c r="C2" s="107" t="s">
        <v>93</v>
      </c>
      <c r="D2" s="107" t="s">
        <v>165</v>
      </c>
      <c r="E2" s="107" t="s">
        <v>95</v>
      </c>
      <c r="F2" s="107" t="s">
        <v>96</v>
      </c>
      <c r="G2" s="115" t="s">
        <v>97</v>
      </c>
      <c r="H2" s="107" t="s">
        <v>98</v>
      </c>
      <c r="I2" s="107" t="s">
        <v>96</v>
      </c>
      <c r="J2" s="115" t="s">
        <v>97</v>
      </c>
      <c r="K2" s="86" t="s">
        <v>99</v>
      </c>
      <c r="L2" s="116" t="s">
        <v>100</v>
      </c>
      <c r="M2" s="109" t="s">
        <v>101</v>
      </c>
      <c r="N2" s="107" t="s">
        <v>102</v>
      </c>
    </row>
    <row r="3" spans="1:23" ht="18" customHeight="1">
      <c r="A3" s="397" t="s">
        <v>103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9"/>
      <c r="M3" s="400" t="s">
        <v>168</v>
      </c>
      <c r="N3" s="401"/>
    </row>
    <row r="4" spans="1:23">
      <c r="A4" s="6">
        <v>1</v>
      </c>
      <c r="B4" s="102" t="s">
        <v>169</v>
      </c>
      <c r="C4" s="6"/>
      <c r="D4" s="6"/>
      <c r="E4" s="87">
        <v>58.68</v>
      </c>
      <c r="F4" s="6">
        <v>89.49</v>
      </c>
      <c r="G4" s="88">
        <f>E4*F4</f>
        <v>5251.2731999999996</v>
      </c>
      <c r="H4" s="87">
        <v>4.83</v>
      </c>
      <c r="I4" s="6">
        <v>0</v>
      </c>
      <c r="J4" s="88">
        <f>H4*I4</f>
        <v>0</v>
      </c>
      <c r="K4" s="88">
        <f>G4+J4</f>
        <v>5251.2731999999996</v>
      </c>
      <c r="L4" s="199">
        <f>+K4</f>
        <v>5251.2731999999996</v>
      </c>
      <c r="M4" s="185">
        <v>0</v>
      </c>
      <c r="N4" s="64" t="s">
        <v>170</v>
      </c>
    </row>
    <row r="5" spans="1:23">
      <c r="A5" s="6">
        <v>3</v>
      </c>
      <c r="B5" s="102"/>
      <c r="C5" s="6"/>
      <c r="D5" s="6"/>
      <c r="E5" s="87">
        <v>0</v>
      </c>
      <c r="F5" s="6">
        <v>0</v>
      </c>
      <c r="G5" s="88">
        <f t="shared" ref="G5:G43" si="0">E5*F5</f>
        <v>0</v>
      </c>
      <c r="H5" s="87">
        <v>0</v>
      </c>
      <c r="I5" s="6">
        <v>0</v>
      </c>
      <c r="J5" s="88">
        <f t="shared" ref="J5:J43" si="1">H5*I5</f>
        <v>0</v>
      </c>
      <c r="K5" s="88">
        <f t="shared" ref="K5:K43" si="2">G5+J5</f>
        <v>0</v>
      </c>
      <c r="L5" s="199">
        <f t="shared" ref="L5:L43" si="3">+K5</f>
        <v>0</v>
      </c>
      <c r="M5" s="185">
        <v>0</v>
      </c>
      <c r="N5" s="64" t="s">
        <v>170</v>
      </c>
    </row>
    <row r="6" spans="1:23">
      <c r="A6" s="6">
        <v>4</v>
      </c>
      <c r="B6" s="102" t="s">
        <v>171</v>
      </c>
      <c r="C6" s="6"/>
      <c r="D6" s="6"/>
      <c r="E6" s="87">
        <v>10</v>
      </c>
      <c r="F6" s="6">
        <v>89.49</v>
      </c>
      <c r="G6" s="88">
        <f t="shared" si="0"/>
        <v>894.9</v>
      </c>
      <c r="H6" s="87">
        <v>0</v>
      </c>
      <c r="I6" s="6">
        <v>0</v>
      </c>
      <c r="J6" s="88">
        <f t="shared" si="1"/>
        <v>0</v>
      </c>
      <c r="K6" s="88">
        <f t="shared" si="2"/>
        <v>894.9</v>
      </c>
      <c r="L6" s="199">
        <f t="shared" si="3"/>
        <v>894.9</v>
      </c>
      <c r="M6" s="185">
        <v>0</v>
      </c>
      <c r="N6" s="64" t="s">
        <v>170</v>
      </c>
    </row>
    <row r="7" spans="1:23">
      <c r="A7" s="6">
        <v>5</v>
      </c>
      <c r="B7" s="102" t="s">
        <v>172</v>
      </c>
      <c r="C7" s="6"/>
      <c r="D7" s="6"/>
      <c r="E7" s="87">
        <v>38.979999999999997</v>
      </c>
      <c r="F7" s="6">
        <v>89.49</v>
      </c>
      <c r="G7" s="88">
        <f t="shared" si="0"/>
        <v>3488.3201999999997</v>
      </c>
      <c r="H7" s="87">
        <v>0</v>
      </c>
      <c r="I7" s="6">
        <v>0</v>
      </c>
      <c r="J7" s="88">
        <f t="shared" si="1"/>
        <v>0</v>
      </c>
      <c r="K7" s="88">
        <f t="shared" si="2"/>
        <v>3488.3201999999997</v>
      </c>
      <c r="L7" s="199">
        <f t="shared" si="3"/>
        <v>3488.3201999999997</v>
      </c>
      <c r="M7" s="185">
        <v>0</v>
      </c>
      <c r="N7" s="64" t="s">
        <v>170</v>
      </c>
    </row>
    <row r="8" spans="1:23">
      <c r="A8" s="6">
        <v>7</v>
      </c>
      <c r="B8" s="102" t="s">
        <v>173</v>
      </c>
      <c r="C8" s="6"/>
      <c r="D8" s="6"/>
      <c r="E8" s="87">
        <v>0</v>
      </c>
      <c r="F8" s="6">
        <v>0</v>
      </c>
      <c r="G8" s="88">
        <f t="shared" si="0"/>
        <v>0</v>
      </c>
      <c r="H8" s="87">
        <v>4.83</v>
      </c>
      <c r="I8" s="6">
        <v>103.44</v>
      </c>
      <c r="J8" s="88">
        <f t="shared" si="1"/>
        <v>499.61520000000002</v>
      </c>
      <c r="K8" s="88">
        <f t="shared" si="2"/>
        <v>499.61520000000002</v>
      </c>
      <c r="L8" s="199">
        <f t="shared" si="3"/>
        <v>499.61520000000002</v>
      </c>
      <c r="M8" s="185">
        <v>0</v>
      </c>
      <c r="N8" s="64" t="s">
        <v>170</v>
      </c>
    </row>
    <row r="9" spans="1:23">
      <c r="A9" s="6">
        <v>8</v>
      </c>
      <c r="B9" s="102" t="s">
        <v>174</v>
      </c>
      <c r="C9" s="6"/>
      <c r="D9" s="6"/>
      <c r="E9" s="87">
        <v>30.34</v>
      </c>
      <c r="F9" s="6">
        <v>89.49</v>
      </c>
      <c r="G9" s="88">
        <f t="shared" si="0"/>
        <v>2715.1266000000001</v>
      </c>
      <c r="H9" s="87">
        <v>0</v>
      </c>
      <c r="I9" s="6">
        <v>0</v>
      </c>
      <c r="J9" s="88">
        <f t="shared" si="1"/>
        <v>0</v>
      </c>
      <c r="K9" s="88">
        <f t="shared" si="2"/>
        <v>2715.1266000000001</v>
      </c>
      <c r="L9" s="199">
        <f t="shared" si="3"/>
        <v>2715.1266000000001</v>
      </c>
      <c r="M9" s="185">
        <v>0</v>
      </c>
      <c r="N9" s="64" t="s">
        <v>170</v>
      </c>
    </row>
    <row r="10" spans="1:23">
      <c r="A10" s="6">
        <v>9</v>
      </c>
      <c r="B10" s="102" t="s">
        <v>175</v>
      </c>
      <c r="C10" s="6"/>
      <c r="D10" s="6"/>
      <c r="E10" s="87">
        <v>92.93</v>
      </c>
      <c r="F10" s="6">
        <v>89.49</v>
      </c>
      <c r="G10" s="88">
        <f t="shared" si="0"/>
        <v>8316.3057000000008</v>
      </c>
      <c r="H10" s="87">
        <v>4.83</v>
      </c>
      <c r="I10" s="6">
        <v>103.44</v>
      </c>
      <c r="J10" s="88">
        <f t="shared" si="1"/>
        <v>499.61520000000002</v>
      </c>
      <c r="K10" s="88">
        <f t="shared" si="2"/>
        <v>8815.920900000001</v>
      </c>
      <c r="L10" s="199">
        <f t="shared" si="3"/>
        <v>8815.920900000001</v>
      </c>
      <c r="M10" s="185">
        <v>0</v>
      </c>
      <c r="N10" s="64" t="s">
        <v>170</v>
      </c>
    </row>
    <row r="11" spans="1:23">
      <c r="A11" s="6">
        <v>10</v>
      </c>
      <c r="B11" s="102" t="s">
        <v>176</v>
      </c>
      <c r="C11" s="6"/>
      <c r="D11" s="6"/>
      <c r="E11" s="87">
        <v>30</v>
      </c>
      <c r="F11" s="6">
        <v>89.49</v>
      </c>
      <c r="G11" s="88">
        <f t="shared" si="0"/>
        <v>2684.7</v>
      </c>
      <c r="H11" s="87">
        <v>0</v>
      </c>
      <c r="I11" s="6">
        <v>0</v>
      </c>
      <c r="J11" s="88">
        <f t="shared" si="1"/>
        <v>0</v>
      </c>
      <c r="K11" s="88">
        <f t="shared" si="2"/>
        <v>2684.7</v>
      </c>
      <c r="L11" s="199">
        <f t="shared" si="3"/>
        <v>2684.7</v>
      </c>
      <c r="M11" s="185">
        <v>0</v>
      </c>
      <c r="N11" s="64" t="s">
        <v>170</v>
      </c>
    </row>
    <row r="12" spans="1:23">
      <c r="A12" s="6">
        <v>11</v>
      </c>
      <c r="B12" s="102" t="s">
        <v>177</v>
      </c>
      <c r="C12" s="6"/>
      <c r="D12" s="6"/>
      <c r="E12" s="87">
        <v>45</v>
      </c>
      <c r="F12" s="6">
        <v>89.49</v>
      </c>
      <c r="G12" s="88">
        <f t="shared" si="0"/>
        <v>4027.0499999999997</v>
      </c>
      <c r="H12" s="87">
        <v>5.32</v>
      </c>
      <c r="I12" s="6">
        <v>103.39</v>
      </c>
      <c r="J12" s="88">
        <f t="shared" si="1"/>
        <v>550.03480000000002</v>
      </c>
      <c r="K12" s="88">
        <f t="shared" si="2"/>
        <v>4577.0847999999996</v>
      </c>
      <c r="L12" s="199">
        <f t="shared" si="3"/>
        <v>4577.0847999999996</v>
      </c>
      <c r="M12" s="185">
        <v>0</v>
      </c>
      <c r="N12" s="64" t="s">
        <v>170</v>
      </c>
    </row>
    <row r="13" spans="1:23">
      <c r="A13" s="6">
        <v>12</v>
      </c>
      <c r="B13" s="102" t="s">
        <v>177</v>
      </c>
      <c r="C13" s="6"/>
      <c r="D13" s="6"/>
      <c r="E13" s="87">
        <v>70</v>
      </c>
      <c r="F13" s="6">
        <v>89.61</v>
      </c>
      <c r="G13" s="88">
        <f t="shared" si="0"/>
        <v>6272.7</v>
      </c>
      <c r="H13" s="87">
        <v>0</v>
      </c>
      <c r="I13" s="6">
        <v>0</v>
      </c>
      <c r="J13" s="88">
        <f t="shared" si="1"/>
        <v>0</v>
      </c>
      <c r="K13" s="88">
        <f t="shared" si="2"/>
        <v>6272.7</v>
      </c>
      <c r="L13" s="199">
        <f t="shared" si="3"/>
        <v>6272.7</v>
      </c>
      <c r="M13" s="185">
        <v>0</v>
      </c>
      <c r="N13" s="64" t="s">
        <v>170</v>
      </c>
      <c r="W13"/>
    </row>
    <row r="14" spans="1:23">
      <c r="A14" s="6">
        <v>13</v>
      </c>
      <c r="B14" s="102" t="s">
        <v>178</v>
      </c>
      <c r="C14" s="6"/>
      <c r="D14" s="6"/>
      <c r="E14" s="87">
        <v>0</v>
      </c>
      <c r="F14" s="6">
        <v>0</v>
      </c>
      <c r="G14" s="88">
        <f t="shared" si="0"/>
        <v>0</v>
      </c>
      <c r="H14" s="87">
        <v>2.5099999999999998</v>
      </c>
      <c r="I14" s="6">
        <v>103.44</v>
      </c>
      <c r="J14" s="88">
        <f t="shared" si="1"/>
        <v>259.63439999999997</v>
      </c>
      <c r="K14" s="88">
        <f t="shared" si="2"/>
        <v>259.63439999999997</v>
      </c>
      <c r="L14" s="199">
        <f t="shared" si="3"/>
        <v>259.63439999999997</v>
      </c>
      <c r="M14" s="185">
        <v>0</v>
      </c>
      <c r="N14" s="64" t="s">
        <v>170</v>
      </c>
      <c r="W14"/>
    </row>
    <row r="15" spans="1:23">
      <c r="A15" s="6">
        <v>14</v>
      </c>
      <c r="B15" s="102" t="s">
        <v>151</v>
      </c>
      <c r="C15" s="6"/>
      <c r="D15" s="6"/>
      <c r="E15" s="87">
        <v>0</v>
      </c>
      <c r="F15" s="6">
        <v>0</v>
      </c>
      <c r="G15" s="88">
        <f t="shared" si="0"/>
        <v>0</v>
      </c>
      <c r="H15" s="87">
        <v>0</v>
      </c>
      <c r="I15" s="6">
        <v>0</v>
      </c>
      <c r="J15" s="88">
        <f t="shared" si="1"/>
        <v>0</v>
      </c>
      <c r="K15" s="88">
        <f t="shared" si="2"/>
        <v>0</v>
      </c>
      <c r="L15" s="199">
        <f t="shared" si="3"/>
        <v>0</v>
      </c>
      <c r="M15" s="185">
        <v>0</v>
      </c>
      <c r="N15" s="64" t="s">
        <v>170</v>
      </c>
      <c r="W15"/>
    </row>
    <row r="16" spans="1:23">
      <c r="A16" s="6">
        <v>15</v>
      </c>
      <c r="B16" s="102" t="s">
        <v>179</v>
      </c>
      <c r="C16" s="6"/>
      <c r="D16" s="6"/>
      <c r="E16" s="87">
        <v>33.950000000000003</v>
      </c>
      <c r="F16" s="6">
        <v>89.49</v>
      </c>
      <c r="G16" s="88">
        <f t="shared" si="0"/>
        <v>3038.1855</v>
      </c>
      <c r="H16" s="87">
        <v>10.72</v>
      </c>
      <c r="I16" s="6">
        <v>103.44</v>
      </c>
      <c r="J16" s="88">
        <f t="shared" si="1"/>
        <v>1108.8768</v>
      </c>
      <c r="K16" s="88">
        <f t="shared" si="2"/>
        <v>4147.0622999999996</v>
      </c>
      <c r="L16" s="199">
        <f t="shared" si="3"/>
        <v>4147.0622999999996</v>
      </c>
      <c r="M16" s="185">
        <v>0</v>
      </c>
      <c r="N16" s="64" t="s">
        <v>170</v>
      </c>
      <c r="W16"/>
    </row>
    <row r="17" spans="1:23">
      <c r="A17" s="6">
        <v>16</v>
      </c>
      <c r="B17" s="102" t="s">
        <v>180</v>
      </c>
      <c r="C17" s="6"/>
      <c r="D17" s="6"/>
      <c r="E17" s="87">
        <v>44.7</v>
      </c>
      <c r="F17" s="6">
        <v>89.49</v>
      </c>
      <c r="G17" s="88">
        <f t="shared" si="0"/>
        <v>4000.203</v>
      </c>
      <c r="H17" s="87">
        <v>0</v>
      </c>
      <c r="I17" s="6">
        <v>0</v>
      </c>
      <c r="J17" s="88">
        <f t="shared" si="1"/>
        <v>0</v>
      </c>
      <c r="K17" s="88">
        <f t="shared" si="2"/>
        <v>4000.203</v>
      </c>
      <c r="L17" s="199">
        <f t="shared" si="3"/>
        <v>4000.203</v>
      </c>
      <c r="M17" s="185">
        <v>0</v>
      </c>
      <c r="N17" s="64" t="s">
        <v>170</v>
      </c>
      <c r="W17"/>
    </row>
    <row r="18" spans="1:23">
      <c r="A18" s="6">
        <v>17</v>
      </c>
      <c r="B18" s="102" t="s">
        <v>157</v>
      </c>
      <c r="C18" s="6"/>
      <c r="D18" s="6"/>
      <c r="E18" s="87">
        <v>0</v>
      </c>
      <c r="F18" s="6">
        <v>0</v>
      </c>
      <c r="G18" s="88">
        <f t="shared" si="0"/>
        <v>0</v>
      </c>
      <c r="H18" s="87">
        <v>4.83</v>
      </c>
      <c r="I18" s="6">
        <v>103.44</v>
      </c>
      <c r="J18" s="88">
        <f t="shared" si="1"/>
        <v>499.61520000000002</v>
      </c>
      <c r="K18" s="88">
        <f t="shared" si="2"/>
        <v>499.61520000000002</v>
      </c>
      <c r="L18" s="199">
        <f t="shared" si="3"/>
        <v>499.61520000000002</v>
      </c>
      <c r="M18" s="185">
        <v>0</v>
      </c>
      <c r="N18" s="64" t="s">
        <v>170</v>
      </c>
      <c r="W18"/>
    </row>
    <row r="19" spans="1:23">
      <c r="A19" s="6">
        <v>18</v>
      </c>
      <c r="B19" s="102" t="s">
        <v>160</v>
      </c>
      <c r="C19" s="6"/>
      <c r="D19" s="6"/>
      <c r="E19" s="87">
        <v>34.619999999999997</v>
      </c>
      <c r="F19" s="6">
        <v>89.49</v>
      </c>
      <c r="G19" s="88">
        <f t="shared" si="0"/>
        <v>3098.1437999999994</v>
      </c>
      <c r="H19" s="87">
        <v>0</v>
      </c>
      <c r="I19" s="6">
        <v>0</v>
      </c>
      <c r="J19" s="88">
        <f t="shared" si="1"/>
        <v>0</v>
      </c>
      <c r="K19" s="88">
        <f t="shared" si="2"/>
        <v>3098.1437999999994</v>
      </c>
      <c r="L19" s="199">
        <f t="shared" si="3"/>
        <v>3098.1437999999994</v>
      </c>
      <c r="M19" s="185">
        <v>0</v>
      </c>
      <c r="N19" s="64" t="s">
        <v>170</v>
      </c>
      <c r="W19"/>
    </row>
    <row r="20" spans="1:23">
      <c r="A20" s="6">
        <v>19</v>
      </c>
      <c r="B20" s="102" t="s">
        <v>181</v>
      </c>
      <c r="C20" s="6"/>
      <c r="D20" s="6"/>
      <c r="E20" s="87">
        <v>59.61</v>
      </c>
      <c r="F20" s="6">
        <v>89.49</v>
      </c>
      <c r="G20" s="88">
        <f t="shared" si="0"/>
        <v>5334.4988999999996</v>
      </c>
      <c r="H20" s="87">
        <v>9.66</v>
      </c>
      <c r="I20" s="6">
        <v>103.44</v>
      </c>
      <c r="J20" s="88">
        <f t="shared" si="1"/>
        <v>999.23040000000003</v>
      </c>
      <c r="K20" s="88">
        <f t="shared" si="2"/>
        <v>6333.7293</v>
      </c>
      <c r="L20" s="199">
        <f t="shared" si="3"/>
        <v>6333.7293</v>
      </c>
      <c r="M20" s="185">
        <v>0</v>
      </c>
      <c r="N20" s="64" t="s">
        <v>170</v>
      </c>
      <c r="W20"/>
    </row>
    <row r="21" spans="1:23">
      <c r="A21" s="6">
        <v>20</v>
      </c>
      <c r="B21" s="102" t="s">
        <v>161</v>
      </c>
      <c r="C21" s="6"/>
      <c r="D21" s="6"/>
      <c r="E21" s="87">
        <v>30</v>
      </c>
      <c r="F21" s="6">
        <v>89.49</v>
      </c>
      <c r="G21" s="88">
        <f t="shared" si="0"/>
        <v>2684.7</v>
      </c>
      <c r="H21" s="87">
        <v>0</v>
      </c>
      <c r="I21" s="6">
        <v>0</v>
      </c>
      <c r="J21" s="88">
        <f t="shared" si="1"/>
        <v>0</v>
      </c>
      <c r="K21" s="88">
        <f t="shared" si="2"/>
        <v>2684.7</v>
      </c>
      <c r="L21" s="199">
        <f t="shared" si="3"/>
        <v>2684.7</v>
      </c>
      <c r="M21" s="185">
        <v>0</v>
      </c>
      <c r="N21" s="64" t="s">
        <v>170</v>
      </c>
      <c r="W21"/>
    </row>
    <row r="22" spans="1:23">
      <c r="A22" s="6">
        <v>21</v>
      </c>
      <c r="B22" s="102" t="s">
        <v>182</v>
      </c>
      <c r="C22" s="6"/>
      <c r="D22" s="6"/>
      <c r="E22" s="87">
        <v>70.53</v>
      </c>
      <c r="F22" s="6">
        <v>89.49</v>
      </c>
      <c r="G22" s="88">
        <f t="shared" si="0"/>
        <v>6311.7296999999999</v>
      </c>
      <c r="H22" s="87">
        <v>0</v>
      </c>
      <c r="I22" s="6">
        <v>0</v>
      </c>
      <c r="J22" s="88">
        <f t="shared" si="1"/>
        <v>0</v>
      </c>
      <c r="K22" s="88">
        <f t="shared" si="2"/>
        <v>6311.7296999999999</v>
      </c>
      <c r="L22" s="199">
        <f t="shared" si="3"/>
        <v>6311.7296999999999</v>
      </c>
      <c r="M22" s="185">
        <v>0</v>
      </c>
      <c r="N22" s="64" t="s">
        <v>170</v>
      </c>
      <c r="W22"/>
    </row>
    <row r="23" spans="1:23">
      <c r="A23" s="6">
        <v>22</v>
      </c>
      <c r="B23" s="102" t="s">
        <v>183</v>
      </c>
      <c r="C23" s="6"/>
      <c r="D23" s="6"/>
      <c r="E23" s="87">
        <v>0</v>
      </c>
      <c r="F23" s="6">
        <v>0</v>
      </c>
      <c r="G23" s="88">
        <f t="shared" si="0"/>
        <v>0</v>
      </c>
      <c r="H23" s="87">
        <v>0</v>
      </c>
      <c r="I23" s="6">
        <v>0</v>
      </c>
      <c r="J23" s="88">
        <f t="shared" si="1"/>
        <v>0</v>
      </c>
      <c r="K23" s="88">
        <f t="shared" si="2"/>
        <v>0</v>
      </c>
      <c r="L23" s="199">
        <f t="shared" si="3"/>
        <v>0</v>
      </c>
      <c r="M23" s="185">
        <v>0</v>
      </c>
      <c r="N23" s="64" t="s">
        <v>170</v>
      </c>
      <c r="W23"/>
    </row>
    <row r="24" spans="1:23">
      <c r="A24" s="6">
        <v>23</v>
      </c>
      <c r="B24" s="102" t="s">
        <v>184</v>
      </c>
      <c r="C24" s="6"/>
      <c r="D24" s="6"/>
      <c r="E24" s="87">
        <v>40.86</v>
      </c>
      <c r="F24" s="6">
        <v>89.49</v>
      </c>
      <c r="G24" s="88">
        <f t="shared" si="0"/>
        <v>3656.5613999999996</v>
      </c>
      <c r="H24" s="87">
        <v>0</v>
      </c>
      <c r="I24" s="6">
        <v>0</v>
      </c>
      <c r="J24" s="88">
        <f t="shared" si="1"/>
        <v>0</v>
      </c>
      <c r="K24" s="88">
        <f t="shared" si="2"/>
        <v>3656.5613999999996</v>
      </c>
      <c r="L24" s="199">
        <f t="shared" si="3"/>
        <v>3656.5613999999996</v>
      </c>
      <c r="M24" s="185">
        <v>0</v>
      </c>
      <c r="N24" s="64" t="s">
        <v>170</v>
      </c>
      <c r="W24"/>
    </row>
    <row r="25" spans="1:23">
      <c r="A25" s="6">
        <v>24</v>
      </c>
      <c r="B25" s="102"/>
      <c r="C25" s="6"/>
      <c r="D25" s="6"/>
      <c r="E25" s="87">
        <v>0</v>
      </c>
      <c r="F25" s="6">
        <v>0</v>
      </c>
      <c r="G25" s="88">
        <f t="shared" si="0"/>
        <v>0</v>
      </c>
      <c r="H25" s="87">
        <v>0</v>
      </c>
      <c r="I25" s="6">
        <v>0</v>
      </c>
      <c r="J25" s="88">
        <f t="shared" si="1"/>
        <v>0</v>
      </c>
      <c r="K25" s="88">
        <f t="shared" si="2"/>
        <v>0</v>
      </c>
      <c r="L25" s="199">
        <f t="shared" si="3"/>
        <v>0</v>
      </c>
      <c r="M25" s="185">
        <v>0</v>
      </c>
      <c r="N25" s="64" t="s">
        <v>170</v>
      </c>
      <c r="W25"/>
    </row>
    <row r="26" spans="1:23">
      <c r="A26" s="6">
        <v>25</v>
      </c>
      <c r="B26" s="102"/>
      <c r="C26" s="6"/>
      <c r="D26" s="6"/>
      <c r="E26" s="87">
        <v>0</v>
      </c>
      <c r="F26" s="6">
        <v>0</v>
      </c>
      <c r="G26" s="88">
        <f t="shared" si="0"/>
        <v>0</v>
      </c>
      <c r="H26" s="87">
        <v>0</v>
      </c>
      <c r="I26" s="6">
        <v>0</v>
      </c>
      <c r="J26" s="88">
        <f t="shared" si="1"/>
        <v>0</v>
      </c>
      <c r="K26" s="88">
        <f t="shared" si="2"/>
        <v>0</v>
      </c>
      <c r="L26" s="199">
        <f t="shared" si="3"/>
        <v>0</v>
      </c>
      <c r="M26" s="185">
        <v>0</v>
      </c>
      <c r="N26" s="64" t="s">
        <v>170</v>
      </c>
      <c r="W26"/>
    </row>
    <row r="27" spans="1:23">
      <c r="A27" s="6">
        <v>26</v>
      </c>
      <c r="B27" s="102"/>
      <c r="C27" s="6"/>
      <c r="D27" s="6"/>
      <c r="E27" s="87">
        <v>0</v>
      </c>
      <c r="F27" s="6">
        <v>0</v>
      </c>
      <c r="G27" s="88">
        <f t="shared" si="0"/>
        <v>0</v>
      </c>
      <c r="H27" s="87">
        <v>0</v>
      </c>
      <c r="I27" s="6">
        <v>0</v>
      </c>
      <c r="J27" s="88">
        <f t="shared" si="1"/>
        <v>0</v>
      </c>
      <c r="K27" s="88">
        <f t="shared" si="2"/>
        <v>0</v>
      </c>
      <c r="L27" s="199">
        <f t="shared" si="3"/>
        <v>0</v>
      </c>
      <c r="M27" s="185">
        <v>0</v>
      </c>
      <c r="N27" s="64" t="s">
        <v>170</v>
      </c>
      <c r="W27"/>
    </row>
    <row r="28" spans="1:23">
      <c r="A28" s="6">
        <v>27</v>
      </c>
      <c r="B28" s="102"/>
      <c r="C28" s="6"/>
      <c r="D28" s="6"/>
      <c r="E28" s="87">
        <v>0</v>
      </c>
      <c r="F28" s="6">
        <v>0</v>
      </c>
      <c r="G28" s="88">
        <f t="shared" si="0"/>
        <v>0</v>
      </c>
      <c r="H28" s="87">
        <v>0</v>
      </c>
      <c r="I28" s="6">
        <v>0</v>
      </c>
      <c r="J28" s="88">
        <f t="shared" si="1"/>
        <v>0</v>
      </c>
      <c r="K28" s="88">
        <f t="shared" si="2"/>
        <v>0</v>
      </c>
      <c r="L28" s="199">
        <f t="shared" si="3"/>
        <v>0</v>
      </c>
      <c r="M28" s="185">
        <v>0</v>
      </c>
      <c r="N28" s="64" t="s">
        <v>170</v>
      </c>
      <c r="W28"/>
    </row>
    <row r="29" spans="1:23">
      <c r="A29" s="6">
        <v>28</v>
      </c>
      <c r="B29" s="102"/>
      <c r="C29" s="6"/>
      <c r="D29" s="6"/>
      <c r="E29" s="87">
        <v>0</v>
      </c>
      <c r="F29" s="6">
        <v>0</v>
      </c>
      <c r="G29" s="88">
        <f t="shared" si="0"/>
        <v>0</v>
      </c>
      <c r="H29" s="87">
        <v>0</v>
      </c>
      <c r="I29" s="6">
        <v>0</v>
      </c>
      <c r="J29" s="88">
        <f t="shared" si="1"/>
        <v>0</v>
      </c>
      <c r="K29" s="88">
        <f t="shared" si="2"/>
        <v>0</v>
      </c>
      <c r="L29" s="199">
        <f t="shared" si="3"/>
        <v>0</v>
      </c>
      <c r="M29" s="185">
        <v>0</v>
      </c>
      <c r="N29" s="64" t="s">
        <v>170</v>
      </c>
      <c r="W29"/>
    </row>
    <row r="30" spans="1:23">
      <c r="A30" s="6">
        <v>29</v>
      </c>
      <c r="B30" s="102"/>
      <c r="C30" s="6"/>
      <c r="D30" s="6"/>
      <c r="E30" s="87">
        <v>0</v>
      </c>
      <c r="F30" s="6">
        <v>0</v>
      </c>
      <c r="G30" s="88">
        <f t="shared" si="0"/>
        <v>0</v>
      </c>
      <c r="H30" s="87">
        <v>0</v>
      </c>
      <c r="I30" s="6">
        <v>0</v>
      </c>
      <c r="J30" s="88">
        <f t="shared" si="1"/>
        <v>0</v>
      </c>
      <c r="K30" s="88">
        <f t="shared" si="2"/>
        <v>0</v>
      </c>
      <c r="L30" s="199">
        <f t="shared" si="3"/>
        <v>0</v>
      </c>
      <c r="M30" s="185">
        <v>0</v>
      </c>
      <c r="N30" s="64" t="s">
        <v>170</v>
      </c>
      <c r="W30"/>
    </row>
    <row r="31" spans="1:23">
      <c r="A31" s="6">
        <v>30</v>
      </c>
      <c r="B31" s="102"/>
      <c r="C31" s="6"/>
      <c r="D31" s="6"/>
      <c r="E31" s="87">
        <v>0</v>
      </c>
      <c r="F31" s="6">
        <v>0</v>
      </c>
      <c r="G31" s="88">
        <f t="shared" si="0"/>
        <v>0</v>
      </c>
      <c r="H31" s="87">
        <v>0</v>
      </c>
      <c r="I31" s="6">
        <v>0</v>
      </c>
      <c r="J31" s="88">
        <f t="shared" si="1"/>
        <v>0</v>
      </c>
      <c r="K31" s="88">
        <f t="shared" si="2"/>
        <v>0</v>
      </c>
      <c r="L31" s="199">
        <f t="shared" si="3"/>
        <v>0</v>
      </c>
      <c r="M31" s="185">
        <v>0</v>
      </c>
      <c r="N31" s="64" t="s">
        <v>170</v>
      </c>
      <c r="W31"/>
    </row>
    <row r="32" spans="1:23">
      <c r="A32" s="6">
        <v>31</v>
      </c>
      <c r="B32" s="102"/>
      <c r="C32" s="6"/>
      <c r="D32" s="6"/>
      <c r="E32" s="87">
        <v>0</v>
      </c>
      <c r="F32" s="6">
        <v>0</v>
      </c>
      <c r="G32" s="88">
        <f t="shared" si="0"/>
        <v>0</v>
      </c>
      <c r="H32" s="87">
        <v>0</v>
      </c>
      <c r="I32" s="6">
        <v>0</v>
      </c>
      <c r="J32" s="88">
        <f t="shared" si="1"/>
        <v>0</v>
      </c>
      <c r="K32" s="88">
        <f t="shared" si="2"/>
        <v>0</v>
      </c>
      <c r="L32" s="199">
        <f t="shared" si="3"/>
        <v>0</v>
      </c>
      <c r="M32" s="185">
        <v>0</v>
      </c>
      <c r="N32" s="64" t="s">
        <v>170</v>
      </c>
      <c r="W32"/>
    </row>
    <row r="33" spans="1:23">
      <c r="A33" s="6">
        <v>32</v>
      </c>
      <c r="B33" s="102"/>
      <c r="C33" s="6"/>
      <c r="D33" s="6"/>
      <c r="E33" s="87">
        <v>0</v>
      </c>
      <c r="F33" s="6">
        <v>0</v>
      </c>
      <c r="G33" s="88">
        <f t="shared" si="0"/>
        <v>0</v>
      </c>
      <c r="H33" s="87">
        <v>0</v>
      </c>
      <c r="I33" s="6">
        <v>0</v>
      </c>
      <c r="J33" s="88">
        <f t="shared" si="1"/>
        <v>0</v>
      </c>
      <c r="K33" s="88">
        <f t="shared" si="2"/>
        <v>0</v>
      </c>
      <c r="L33" s="199">
        <f t="shared" si="3"/>
        <v>0</v>
      </c>
      <c r="M33" s="185">
        <v>0</v>
      </c>
      <c r="N33" s="64" t="s">
        <v>170</v>
      </c>
      <c r="W33"/>
    </row>
    <row r="34" spans="1:23">
      <c r="A34" s="6">
        <v>33</v>
      </c>
      <c r="B34" s="102"/>
      <c r="C34" s="6"/>
      <c r="D34" s="6"/>
      <c r="E34" s="87">
        <v>0</v>
      </c>
      <c r="F34" s="6">
        <v>0</v>
      </c>
      <c r="G34" s="88">
        <f t="shared" si="0"/>
        <v>0</v>
      </c>
      <c r="H34" s="87">
        <v>0</v>
      </c>
      <c r="I34" s="6">
        <v>0</v>
      </c>
      <c r="J34" s="88">
        <f t="shared" si="1"/>
        <v>0</v>
      </c>
      <c r="K34" s="88">
        <f t="shared" si="2"/>
        <v>0</v>
      </c>
      <c r="L34" s="199">
        <f t="shared" si="3"/>
        <v>0</v>
      </c>
      <c r="M34" s="185">
        <v>0</v>
      </c>
      <c r="N34" s="64" t="s">
        <v>170</v>
      </c>
    </row>
    <row r="35" spans="1:23">
      <c r="A35" s="6">
        <v>34</v>
      </c>
      <c r="B35" s="102"/>
      <c r="C35" s="6"/>
      <c r="D35" s="6"/>
      <c r="E35" s="87">
        <v>0</v>
      </c>
      <c r="F35" s="6">
        <v>0</v>
      </c>
      <c r="G35" s="88">
        <f t="shared" si="0"/>
        <v>0</v>
      </c>
      <c r="H35" s="87">
        <v>0</v>
      </c>
      <c r="I35" s="6">
        <v>0</v>
      </c>
      <c r="J35" s="88">
        <f t="shared" si="1"/>
        <v>0</v>
      </c>
      <c r="K35" s="88">
        <f t="shared" si="2"/>
        <v>0</v>
      </c>
      <c r="L35" s="199">
        <f t="shared" si="3"/>
        <v>0</v>
      </c>
      <c r="M35" s="185">
        <v>0</v>
      </c>
      <c r="N35" s="64" t="s">
        <v>170</v>
      </c>
    </row>
    <row r="36" spans="1:23">
      <c r="A36" s="6">
        <v>35</v>
      </c>
      <c r="B36" s="102"/>
      <c r="C36" s="6"/>
      <c r="D36" s="6"/>
      <c r="E36" s="87">
        <v>0</v>
      </c>
      <c r="F36" s="6">
        <v>0</v>
      </c>
      <c r="G36" s="88">
        <f t="shared" si="0"/>
        <v>0</v>
      </c>
      <c r="H36" s="87">
        <v>0</v>
      </c>
      <c r="I36" s="6">
        <v>0</v>
      </c>
      <c r="J36" s="88">
        <f t="shared" si="1"/>
        <v>0</v>
      </c>
      <c r="K36" s="88">
        <f t="shared" si="2"/>
        <v>0</v>
      </c>
      <c r="L36" s="199">
        <f t="shared" si="3"/>
        <v>0</v>
      </c>
      <c r="M36" s="185">
        <v>0</v>
      </c>
      <c r="N36" s="64" t="s">
        <v>170</v>
      </c>
    </row>
    <row r="37" spans="1:23">
      <c r="A37" s="6">
        <v>36</v>
      </c>
      <c r="B37" s="102"/>
      <c r="C37" s="6"/>
      <c r="D37" s="6"/>
      <c r="E37" s="87">
        <v>0</v>
      </c>
      <c r="F37" s="6">
        <v>0</v>
      </c>
      <c r="G37" s="88">
        <f t="shared" si="0"/>
        <v>0</v>
      </c>
      <c r="H37" s="87">
        <v>0</v>
      </c>
      <c r="I37" s="6">
        <v>0</v>
      </c>
      <c r="J37" s="88">
        <f t="shared" si="1"/>
        <v>0</v>
      </c>
      <c r="K37" s="88">
        <f t="shared" si="2"/>
        <v>0</v>
      </c>
      <c r="L37" s="199">
        <f t="shared" si="3"/>
        <v>0</v>
      </c>
      <c r="M37" s="185">
        <v>0</v>
      </c>
      <c r="N37" s="64" t="s">
        <v>170</v>
      </c>
    </row>
    <row r="38" spans="1:23">
      <c r="A38" s="6">
        <v>37</v>
      </c>
      <c r="B38" s="102"/>
      <c r="C38" s="6"/>
      <c r="D38" s="6"/>
      <c r="E38" s="87">
        <v>0</v>
      </c>
      <c r="F38" s="6">
        <v>0</v>
      </c>
      <c r="G38" s="88">
        <f t="shared" si="0"/>
        <v>0</v>
      </c>
      <c r="H38" s="87">
        <v>0</v>
      </c>
      <c r="I38" s="6">
        <v>0</v>
      </c>
      <c r="J38" s="88">
        <f t="shared" si="1"/>
        <v>0</v>
      </c>
      <c r="K38" s="88">
        <f t="shared" si="2"/>
        <v>0</v>
      </c>
      <c r="L38" s="199">
        <f t="shared" si="3"/>
        <v>0</v>
      </c>
      <c r="M38" s="185">
        <v>0</v>
      </c>
      <c r="N38" s="64" t="s">
        <v>170</v>
      </c>
    </row>
    <row r="39" spans="1:23">
      <c r="A39" s="6">
        <v>38</v>
      </c>
      <c r="B39" s="102"/>
      <c r="C39" s="6"/>
      <c r="D39" s="6"/>
      <c r="E39" s="87">
        <v>0</v>
      </c>
      <c r="F39" s="6">
        <v>0</v>
      </c>
      <c r="G39" s="88">
        <f t="shared" si="0"/>
        <v>0</v>
      </c>
      <c r="H39" s="87">
        <v>0</v>
      </c>
      <c r="I39" s="6">
        <v>0</v>
      </c>
      <c r="J39" s="88">
        <f t="shared" si="1"/>
        <v>0</v>
      </c>
      <c r="K39" s="88">
        <f t="shared" si="2"/>
        <v>0</v>
      </c>
      <c r="L39" s="199">
        <f t="shared" si="3"/>
        <v>0</v>
      </c>
      <c r="M39" s="185">
        <v>0</v>
      </c>
      <c r="N39" s="64" t="s">
        <v>170</v>
      </c>
    </row>
    <row r="40" spans="1:23">
      <c r="A40" s="210">
        <v>39</v>
      </c>
      <c r="B40" s="211"/>
      <c r="C40" s="210"/>
      <c r="D40" s="6"/>
      <c r="E40" s="87">
        <v>0</v>
      </c>
      <c r="F40" s="6">
        <v>0</v>
      </c>
      <c r="G40" s="88">
        <f t="shared" si="0"/>
        <v>0</v>
      </c>
      <c r="H40" s="87">
        <v>0</v>
      </c>
      <c r="I40" s="6">
        <v>0</v>
      </c>
      <c r="J40" s="88">
        <f t="shared" si="1"/>
        <v>0</v>
      </c>
      <c r="K40" s="88">
        <f t="shared" si="2"/>
        <v>0</v>
      </c>
      <c r="L40" s="199">
        <f t="shared" si="3"/>
        <v>0</v>
      </c>
      <c r="M40" s="185">
        <v>0</v>
      </c>
      <c r="N40" s="64" t="s">
        <v>170</v>
      </c>
    </row>
    <row r="41" spans="1:23">
      <c r="A41" s="6">
        <v>40</v>
      </c>
      <c r="B41" s="6"/>
      <c r="C41" s="6"/>
      <c r="D41" s="6"/>
      <c r="E41" s="87">
        <v>0</v>
      </c>
      <c r="F41" s="6">
        <v>0</v>
      </c>
      <c r="G41" s="88">
        <f t="shared" si="0"/>
        <v>0</v>
      </c>
      <c r="H41" s="87">
        <v>0</v>
      </c>
      <c r="I41" s="6">
        <v>0</v>
      </c>
      <c r="J41" s="88">
        <f t="shared" si="1"/>
        <v>0</v>
      </c>
      <c r="K41" s="88">
        <f t="shared" si="2"/>
        <v>0</v>
      </c>
      <c r="L41" s="199">
        <f t="shared" si="3"/>
        <v>0</v>
      </c>
      <c r="M41" s="185">
        <v>0</v>
      </c>
      <c r="N41" s="64" t="s">
        <v>170</v>
      </c>
    </row>
    <row r="42" spans="1:23">
      <c r="A42" s="210">
        <v>41</v>
      </c>
      <c r="B42" s="210"/>
      <c r="C42" s="210"/>
      <c r="D42" s="6"/>
      <c r="E42" s="87">
        <v>0</v>
      </c>
      <c r="F42" s="6">
        <v>0</v>
      </c>
      <c r="G42" s="88">
        <f t="shared" si="0"/>
        <v>0</v>
      </c>
      <c r="H42" s="87">
        <v>0</v>
      </c>
      <c r="I42" s="6">
        <v>0</v>
      </c>
      <c r="J42" s="88">
        <f t="shared" si="1"/>
        <v>0</v>
      </c>
      <c r="K42" s="88">
        <f t="shared" si="2"/>
        <v>0</v>
      </c>
      <c r="L42" s="199">
        <f t="shared" si="3"/>
        <v>0</v>
      </c>
      <c r="M42" s="185">
        <v>0</v>
      </c>
      <c r="N42" s="64" t="s">
        <v>170</v>
      </c>
    </row>
    <row r="43" spans="1:23">
      <c r="A43" s="210">
        <v>42</v>
      </c>
      <c r="B43" s="210"/>
      <c r="C43" s="210"/>
      <c r="D43" s="6"/>
      <c r="E43" s="87">
        <v>0</v>
      </c>
      <c r="F43" s="6">
        <v>0</v>
      </c>
      <c r="G43" s="88">
        <f t="shared" si="0"/>
        <v>0</v>
      </c>
      <c r="H43" s="87">
        <v>0</v>
      </c>
      <c r="I43" s="6">
        <v>0</v>
      </c>
      <c r="J43" s="88">
        <f t="shared" si="1"/>
        <v>0</v>
      </c>
      <c r="K43" s="88">
        <f t="shared" si="2"/>
        <v>0</v>
      </c>
      <c r="L43" s="199">
        <f t="shared" si="3"/>
        <v>0</v>
      </c>
      <c r="M43" s="185">
        <v>0</v>
      </c>
      <c r="N43" s="64" t="s">
        <v>170</v>
      </c>
    </row>
    <row r="44" spans="1:23">
      <c r="A44" s="84"/>
      <c r="B44" s="84"/>
      <c r="C44" s="84"/>
      <c r="D44" s="84"/>
      <c r="E44" s="85">
        <f>SUM(E4:E43)</f>
        <v>690.19999999999993</v>
      </c>
      <c r="F44" s="85"/>
      <c r="G44" s="85">
        <f>SUM(G4:G43)</f>
        <v>61774.397999999994</v>
      </c>
      <c r="H44" s="85">
        <f>SUM(H4:H43)</f>
        <v>47.53</v>
      </c>
      <c r="I44" s="85"/>
      <c r="J44" s="85">
        <f>SUM(J4:J43)</f>
        <v>4416.6220000000003</v>
      </c>
      <c r="K44" s="85">
        <f>SUM(K4:K43)</f>
        <v>66191.02</v>
      </c>
      <c r="L44" s="85">
        <f>SUM(L4:L43)</f>
        <v>66191.02</v>
      </c>
      <c r="M44" s="85"/>
      <c r="N44" s="85"/>
      <c r="O44" s="81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640F-B265-4AE1-820B-14F38CA64D84}">
  <sheetPr>
    <tabColor rgb="FF92D050"/>
  </sheetPr>
  <dimension ref="A1:Q36"/>
  <sheetViews>
    <sheetView workbookViewId="0">
      <pane ySplit="2" topLeftCell="A3" activePane="bottomLeft" state="frozen"/>
      <selection pane="bottomLeft" activeCell="U24" sqref="U24"/>
    </sheetView>
  </sheetViews>
  <sheetFormatPr defaultRowHeight="15"/>
  <cols>
    <col min="1" max="1" width="5.28515625" style="5" bestFit="1" customWidth="1"/>
    <col min="2" max="2" width="16" style="5" bestFit="1" customWidth="1"/>
    <col min="3" max="3" width="8.140625" style="5" bestFit="1" customWidth="1"/>
    <col min="4" max="4" width="13.7109375" style="5" bestFit="1" customWidth="1"/>
    <col min="5" max="5" width="10.85546875" style="5" bestFit="1" customWidth="1"/>
    <col min="6" max="6" width="12.28515625" style="5" bestFit="1" customWidth="1"/>
    <col min="7" max="7" width="14.42578125" style="5" customWidth="1"/>
    <col min="8" max="8" width="10.85546875" style="5" bestFit="1" customWidth="1"/>
    <col min="9" max="9" width="8" style="5" bestFit="1" customWidth="1"/>
    <col min="10" max="10" width="9.7109375" style="5" bestFit="1" customWidth="1"/>
    <col min="11" max="11" width="13.5703125" style="5" bestFit="1" customWidth="1"/>
    <col min="12" max="12" width="12.7109375" style="5" bestFit="1" customWidth="1"/>
    <col min="13" max="13" width="14.42578125" style="5" customWidth="1"/>
    <col min="14" max="14" width="17.28515625" style="5" customWidth="1"/>
    <col min="15" max="16384" width="9.140625" style="5"/>
  </cols>
  <sheetData>
    <row r="1" spans="1:17" ht="15.75">
      <c r="A1" s="372" t="s">
        <v>81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74"/>
    </row>
    <row r="2" spans="1:17">
      <c r="A2" s="123" t="s">
        <v>91</v>
      </c>
      <c r="B2" s="124" t="s">
        <v>92</v>
      </c>
      <c r="C2" s="124" t="s">
        <v>93</v>
      </c>
      <c r="D2" s="124" t="s">
        <v>165</v>
      </c>
      <c r="E2" s="124" t="s">
        <v>95</v>
      </c>
      <c r="F2" s="124" t="s">
        <v>96</v>
      </c>
      <c r="G2" s="124" t="s">
        <v>97</v>
      </c>
      <c r="H2" s="124" t="s">
        <v>98</v>
      </c>
      <c r="I2" s="124" t="s">
        <v>96</v>
      </c>
      <c r="J2" s="168" t="s">
        <v>97</v>
      </c>
      <c r="K2" s="125" t="s">
        <v>99</v>
      </c>
      <c r="L2" s="169" t="s">
        <v>100</v>
      </c>
      <c r="M2" s="174" t="s">
        <v>101</v>
      </c>
      <c r="N2" s="126" t="s">
        <v>102</v>
      </c>
      <c r="O2" s="81"/>
    </row>
    <row r="3" spans="1:17">
      <c r="A3" s="192"/>
      <c r="B3" s="19" t="s">
        <v>103</v>
      </c>
      <c r="C3" s="193"/>
      <c r="D3" s="193"/>
      <c r="E3" s="193"/>
      <c r="F3" s="193"/>
      <c r="G3" s="193"/>
      <c r="H3" s="193"/>
      <c r="I3" s="193"/>
      <c r="J3" s="194"/>
      <c r="K3" s="279">
        <v>238166.78909999994</v>
      </c>
      <c r="L3" s="195"/>
      <c r="M3" s="104">
        <f>+K3</f>
        <v>238166.78909999994</v>
      </c>
      <c r="N3" s="193"/>
      <c r="O3" s="81">
        <v>237866.59349999996</v>
      </c>
    </row>
    <row r="4" spans="1:17">
      <c r="A4" s="257">
        <v>1</v>
      </c>
      <c r="B4" s="314">
        <v>45717</v>
      </c>
      <c r="C4" s="89"/>
      <c r="D4" s="196"/>
      <c r="E4" s="87">
        <v>31.14</v>
      </c>
      <c r="F4" s="6">
        <v>89.23</v>
      </c>
      <c r="G4" s="8">
        <f>E4*F4</f>
        <v>2778.6222000000002</v>
      </c>
      <c r="H4" s="87">
        <v>0</v>
      </c>
      <c r="I4" s="6">
        <v>0</v>
      </c>
      <c r="J4" s="8">
        <f>H4*I4</f>
        <v>0</v>
      </c>
      <c r="K4" s="8">
        <f>G4+J4</f>
        <v>2778.6222000000002</v>
      </c>
      <c r="L4" s="90"/>
      <c r="M4" s="90">
        <f>M3+K4-L4</f>
        <v>240945.41129999995</v>
      </c>
      <c r="N4" s="53"/>
      <c r="O4" s="92"/>
    </row>
    <row r="5" spans="1:17">
      <c r="A5" s="64">
        <v>2</v>
      </c>
      <c r="B5" s="267">
        <v>45718</v>
      </c>
      <c r="C5" s="89"/>
      <c r="D5" s="94"/>
      <c r="E5" s="87">
        <v>0</v>
      </c>
      <c r="F5" s="6">
        <v>0</v>
      </c>
      <c r="G5" s="8">
        <f t="shared" ref="G5:G30" si="0">E5*F5</f>
        <v>0</v>
      </c>
      <c r="H5" s="87">
        <v>0</v>
      </c>
      <c r="I5" s="6">
        <v>0</v>
      </c>
      <c r="J5" s="8">
        <f t="shared" ref="J5:J30" si="1">H5*I5</f>
        <v>0</v>
      </c>
      <c r="K5" s="8">
        <f t="shared" ref="K5:K30" si="2">G5+J5</f>
        <v>0</v>
      </c>
      <c r="L5" s="90"/>
      <c r="M5" s="90">
        <f t="shared" ref="M5:M19" si="3">M4+K5-L5</f>
        <v>240945.41129999995</v>
      </c>
      <c r="N5" s="53"/>
      <c r="O5" s="92"/>
    </row>
    <row r="6" spans="1:17">
      <c r="A6" s="64">
        <v>3</v>
      </c>
      <c r="B6" s="267">
        <v>45719</v>
      </c>
      <c r="C6" s="89"/>
      <c r="D6" s="94"/>
      <c r="E6" s="87">
        <v>422.74</v>
      </c>
      <c r="F6" s="6">
        <v>89.23</v>
      </c>
      <c r="G6" s="8">
        <f t="shared" si="0"/>
        <v>37721.090200000006</v>
      </c>
      <c r="H6" s="87">
        <v>7.45</v>
      </c>
      <c r="I6" s="6">
        <v>103.16</v>
      </c>
      <c r="J6" s="8">
        <f t="shared" si="1"/>
        <v>768.54200000000003</v>
      </c>
      <c r="K6" s="8">
        <f t="shared" si="2"/>
        <v>38489.632200000007</v>
      </c>
      <c r="L6" s="90"/>
      <c r="M6" s="90">
        <f t="shared" si="3"/>
        <v>279435.04349999997</v>
      </c>
      <c r="N6" s="53"/>
      <c r="O6" s="92"/>
    </row>
    <row r="7" spans="1:17">
      <c r="A7" s="64">
        <v>4</v>
      </c>
      <c r="B7" s="267">
        <v>45720</v>
      </c>
      <c r="C7" s="89"/>
      <c r="D7" s="94"/>
      <c r="E7" s="87">
        <v>5</v>
      </c>
      <c r="F7" s="6">
        <v>89.23</v>
      </c>
      <c r="G7" s="8">
        <f t="shared" si="0"/>
        <v>446.15000000000003</v>
      </c>
      <c r="H7" s="87">
        <v>0</v>
      </c>
      <c r="I7" s="6">
        <v>0</v>
      </c>
      <c r="J7" s="8">
        <f t="shared" si="1"/>
        <v>0</v>
      </c>
      <c r="K7" s="8">
        <f t="shared" si="2"/>
        <v>446.15000000000003</v>
      </c>
      <c r="L7" s="90"/>
      <c r="M7" s="90">
        <f t="shared" si="3"/>
        <v>279881.19349999999</v>
      </c>
      <c r="N7" s="53"/>
      <c r="O7" s="92"/>
    </row>
    <row r="8" spans="1:17">
      <c r="A8" s="64">
        <v>5</v>
      </c>
      <c r="B8" s="267">
        <v>45721</v>
      </c>
      <c r="C8" s="89"/>
      <c r="D8" s="94"/>
      <c r="E8" s="87">
        <v>0</v>
      </c>
      <c r="F8" s="6">
        <v>89.23</v>
      </c>
      <c r="G8" s="8">
        <f t="shared" si="0"/>
        <v>0</v>
      </c>
      <c r="H8" s="87">
        <v>0</v>
      </c>
      <c r="I8" s="6">
        <v>0</v>
      </c>
      <c r="J8" s="8">
        <f t="shared" si="1"/>
        <v>0</v>
      </c>
      <c r="K8" s="8">
        <f t="shared" si="2"/>
        <v>0</v>
      </c>
      <c r="L8" s="90"/>
      <c r="M8" s="90">
        <f t="shared" si="3"/>
        <v>279881.19349999999</v>
      </c>
      <c r="N8" s="53"/>
      <c r="O8" s="92"/>
      <c r="Q8" s="5">
        <v>96.71</v>
      </c>
    </row>
    <row r="9" spans="1:17">
      <c r="A9" s="64">
        <v>6</v>
      </c>
      <c r="B9" s="267">
        <v>45722</v>
      </c>
      <c r="C9" s="89"/>
      <c r="D9" s="94"/>
      <c r="E9" s="87">
        <v>5</v>
      </c>
      <c r="F9" s="6">
        <v>89.23</v>
      </c>
      <c r="G9" s="8">
        <f t="shared" si="0"/>
        <v>446.15000000000003</v>
      </c>
      <c r="H9" s="87">
        <v>0</v>
      </c>
      <c r="I9" s="6">
        <v>0</v>
      </c>
      <c r="J9" s="8">
        <f t="shared" si="1"/>
        <v>0</v>
      </c>
      <c r="K9" s="8">
        <f t="shared" si="2"/>
        <v>446.15000000000003</v>
      </c>
      <c r="L9" s="90"/>
      <c r="M9" s="90">
        <f t="shared" si="3"/>
        <v>280327.34350000002</v>
      </c>
      <c r="N9" s="53"/>
      <c r="O9" s="92"/>
      <c r="Q9" s="5">
        <v>102</v>
      </c>
    </row>
    <row r="10" spans="1:17">
      <c r="A10" s="64">
        <v>7</v>
      </c>
      <c r="B10" s="267">
        <v>45723</v>
      </c>
      <c r="C10" s="89"/>
      <c r="D10" s="94"/>
      <c r="E10" s="87">
        <v>40</v>
      </c>
      <c r="F10" s="6">
        <v>89.23</v>
      </c>
      <c r="G10" s="8">
        <f t="shared" si="0"/>
        <v>3569.2000000000003</v>
      </c>
      <c r="H10" s="87">
        <v>4.5999999999999996</v>
      </c>
      <c r="I10" s="6">
        <v>103.16</v>
      </c>
      <c r="J10" s="8">
        <f t="shared" si="1"/>
        <v>474.53599999999994</v>
      </c>
      <c r="K10" s="8">
        <f t="shared" si="2"/>
        <v>4043.7360000000003</v>
      </c>
      <c r="L10" s="90"/>
      <c r="M10" s="90">
        <f t="shared" si="3"/>
        <v>284371.07949999999</v>
      </c>
      <c r="N10" s="53"/>
      <c r="O10" s="92"/>
      <c r="Q10" s="5">
        <v>80.44</v>
      </c>
    </row>
    <row r="11" spans="1:17">
      <c r="A11" s="64">
        <v>8</v>
      </c>
      <c r="B11" s="267">
        <v>45724</v>
      </c>
      <c r="C11" s="89"/>
      <c r="D11" s="94"/>
      <c r="E11" s="87">
        <v>293.51</v>
      </c>
      <c r="F11" s="6">
        <v>89.23</v>
      </c>
      <c r="G11" s="8">
        <f t="shared" si="0"/>
        <v>26189.897300000001</v>
      </c>
      <c r="H11" s="87">
        <v>0</v>
      </c>
      <c r="I11" s="6">
        <v>0</v>
      </c>
      <c r="J11" s="8">
        <f t="shared" si="1"/>
        <v>0</v>
      </c>
      <c r="K11" s="8">
        <f t="shared" si="2"/>
        <v>26189.897300000001</v>
      </c>
      <c r="L11" s="90"/>
      <c r="M11" s="90">
        <f t="shared" si="3"/>
        <v>310560.9768</v>
      </c>
      <c r="N11" s="53"/>
      <c r="O11" s="92"/>
      <c r="Q11" s="5">
        <v>100.02</v>
      </c>
    </row>
    <row r="12" spans="1:17">
      <c r="A12" s="64">
        <v>9</v>
      </c>
      <c r="B12" s="267">
        <v>45725</v>
      </c>
      <c r="C12" s="89"/>
      <c r="D12" s="94"/>
      <c r="E12" s="87">
        <v>15.69</v>
      </c>
      <c r="F12" s="6">
        <v>89.23</v>
      </c>
      <c r="G12" s="8">
        <f t="shared" si="0"/>
        <v>1400.0187000000001</v>
      </c>
      <c r="H12" s="87">
        <v>0</v>
      </c>
      <c r="I12" s="6">
        <v>0</v>
      </c>
      <c r="J12" s="8">
        <f t="shared" si="1"/>
        <v>0</v>
      </c>
      <c r="K12" s="8">
        <f t="shared" si="2"/>
        <v>1400.0187000000001</v>
      </c>
      <c r="L12" s="90"/>
      <c r="M12" s="90">
        <f t="shared" si="3"/>
        <v>311960.99550000002</v>
      </c>
      <c r="N12" s="53"/>
      <c r="O12" s="92"/>
      <c r="Q12" s="5">
        <v>43.57</v>
      </c>
    </row>
    <row r="13" spans="1:17">
      <c r="A13" s="64">
        <v>10</v>
      </c>
      <c r="B13" s="267">
        <v>45726</v>
      </c>
      <c r="C13" s="241"/>
      <c r="D13" s="242"/>
      <c r="E13" s="87">
        <v>0</v>
      </c>
      <c r="F13" s="6">
        <v>89.23</v>
      </c>
      <c r="G13" s="8">
        <f t="shared" si="0"/>
        <v>0</v>
      </c>
      <c r="H13" s="87">
        <v>13.58</v>
      </c>
      <c r="I13" s="6">
        <v>103.16</v>
      </c>
      <c r="J13" s="8">
        <f t="shared" si="1"/>
        <v>1400.9128000000001</v>
      </c>
      <c r="K13" s="8">
        <f t="shared" si="2"/>
        <v>1400.9128000000001</v>
      </c>
      <c r="L13" s="90"/>
      <c r="M13" s="90">
        <f t="shared" si="3"/>
        <v>313361.90830000001</v>
      </c>
      <c r="N13" s="53"/>
      <c r="O13" s="92"/>
    </row>
    <row r="14" spans="1:17">
      <c r="A14" s="64">
        <v>11</v>
      </c>
      <c r="B14" s="267">
        <v>45727</v>
      </c>
      <c r="C14" s="218"/>
      <c r="D14" s="218"/>
      <c r="E14" s="87">
        <v>58.69</v>
      </c>
      <c r="F14" s="6">
        <v>89.23</v>
      </c>
      <c r="G14" s="8">
        <f t="shared" si="0"/>
        <v>5236.9087</v>
      </c>
      <c r="H14" s="87">
        <v>0</v>
      </c>
      <c r="I14" s="6">
        <v>0</v>
      </c>
      <c r="J14" s="8">
        <f t="shared" si="1"/>
        <v>0</v>
      </c>
      <c r="K14" s="8">
        <f t="shared" si="2"/>
        <v>5236.9087</v>
      </c>
      <c r="L14" s="90"/>
      <c r="M14" s="90">
        <f t="shared" si="3"/>
        <v>318598.81700000004</v>
      </c>
      <c r="N14" s="53"/>
      <c r="O14" s="92"/>
    </row>
    <row r="15" spans="1:17">
      <c r="A15" s="64">
        <v>12</v>
      </c>
      <c r="B15" s="267">
        <v>45728</v>
      </c>
      <c r="C15" s="218"/>
      <c r="D15" s="218"/>
      <c r="E15" s="87">
        <v>105.89</v>
      </c>
      <c r="F15" s="6">
        <v>89.23</v>
      </c>
      <c r="G15" s="8">
        <f t="shared" si="0"/>
        <v>9448.5647000000008</v>
      </c>
      <c r="H15" s="87">
        <v>0</v>
      </c>
      <c r="I15" s="6">
        <v>0</v>
      </c>
      <c r="J15" s="8">
        <f t="shared" si="1"/>
        <v>0</v>
      </c>
      <c r="K15" s="8">
        <f t="shared" si="2"/>
        <v>9448.5647000000008</v>
      </c>
      <c r="L15" s="90"/>
      <c r="M15" s="90">
        <f t="shared" si="3"/>
        <v>328047.38170000003</v>
      </c>
      <c r="N15" s="53"/>
      <c r="O15" s="92"/>
    </row>
    <row r="16" spans="1:17">
      <c r="A16" s="64">
        <v>13</v>
      </c>
      <c r="B16" s="267">
        <v>45729</v>
      </c>
      <c r="C16" s="218"/>
      <c r="D16" s="218"/>
      <c r="E16" s="87">
        <v>265.01</v>
      </c>
      <c r="F16" s="6">
        <v>89.23</v>
      </c>
      <c r="G16" s="8">
        <f t="shared" si="0"/>
        <v>23646.8423</v>
      </c>
      <c r="H16" s="87">
        <v>4.95</v>
      </c>
      <c r="I16" s="6">
        <v>103.16</v>
      </c>
      <c r="J16" s="8">
        <f t="shared" si="1"/>
        <v>510.642</v>
      </c>
      <c r="K16" s="8">
        <f t="shared" si="2"/>
        <v>24157.4843</v>
      </c>
      <c r="L16" s="90"/>
      <c r="M16" s="90">
        <f t="shared" si="3"/>
        <v>352204.86600000004</v>
      </c>
      <c r="N16" s="53"/>
      <c r="O16" s="92"/>
    </row>
    <row r="17" spans="1:15">
      <c r="A17" s="64">
        <v>14</v>
      </c>
      <c r="B17" s="267">
        <v>45730</v>
      </c>
      <c r="C17" s="218"/>
      <c r="D17" s="218"/>
      <c r="E17" s="87">
        <v>0</v>
      </c>
      <c r="F17" s="6">
        <v>0</v>
      </c>
      <c r="G17" s="8">
        <f t="shared" si="0"/>
        <v>0</v>
      </c>
      <c r="H17" s="87">
        <v>0</v>
      </c>
      <c r="I17" s="6">
        <v>0</v>
      </c>
      <c r="J17" s="8">
        <f t="shared" si="1"/>
        <v>0</v>
      </c>
      <c r="K17" s="8">
        <f t="shared" si="2"/>
        <v>0</v>
      </c>
      <c r="L17" s="90"/>
      <c r="M17" s="90">
        <f t="shared" si="3"/>
        <v>352204.86600000004</v>
      </c>
      <c r="N17" s="53"/>
      <c r="O17" s="92"/>
    </row>
    <row r="18" spans="1:15">
      <c r="A18" s="64">
        <v>15</v>
      </c>
      <c r="B18" s="267">
        <v>45731</v>
      </c>
      <c r="C18" s="218"/>
      <c r="D18" s="218"/>
      <c r="E18" s="87">
        <v>108.32</v>
      </c>
      <c r="F18" s="6">
        <v>89.23</v>
      </c>
      <c r="G18" s="8">
        <f t="shared" si="0"/>
        <v>9665.3935999999994</v>
      </c>
      <c r="H18" s="87">
        <v>6.11</v>
      </c>
      <c r="I18" s="6">
        <v>103.16</v>
      </c>
      <c r="J18" s="8">
        <f t="shared" si="1"/>
        <v>630.30759999999998</v>
      </c>
      <c r="K18" s="8">
        <f t="shared" si="2"/>
        <v>10295.7012</v>
      </c>
      <c r="L18" s="90"/>
      <c r="M18" s="90">
        <f t="shared" si="3"/>
        <v>362500.56720000005</v>
      </c>
      <c r="N18" s="53"/>
      <c r="O18" s="92"/>
    </row>
    <row r="19" spans="1:15">
      <c r="A19" s="64">
        <v>16</v>
      </c>
      <c r="B19" s="267">
        <v>45732</v>
      </c>
      <c r="C19" s="218"/>
      <c r="D19" s="218"/>
      <c r="E19" s="87">
        <v>0</v>
      </c>
      <c r="F19" s="6">
        <v>0</v>
      </c>
      <c r="G19" s="8">
        <f t="shared" si="0"/>
        <v>0</v>
      </c>
      <c r="H19" s="87">
        <v>0</v>
      </c>
      <c r="I19" s="6">
        <v>0</v>
      </c>
      <c r="J19" s="8">
        <f t="shared" si="1"/>
        <v>0</v>
      </c>
      <c r="K19" s="8">
        <f t="shared" si="2"/>
        <v>0</v>
      </c>
      <c r="L19" s="90"/>
      <c r="M19" s="90">
        <f t="shared" si="3"/>
        <v>362500.56720000005</v>
      </c>
      <c r="N19" s="53"/>
      <c r="O19" s="92"/>
    </row>
    <row r="20" spans="1:15">
      <c r="A20" s="64">
        <v>17</v>
      </c>
      <c r="B20" s="267">
        <v>45733</v>
      </c>
      <c r="C20" s="218"/>
      <c r="D20" s="218"/>
      <c r="E20" s="87">
        <v>108.67</v>
      </c>
      <c r="F20" s="6">
        <v>89.23</v>
      </c>
      <c r="G20" s="8">
        <f t="shared" si="0"/>
        <v>9696.6241000000009</v>
      </c>
      <c r="H20" s="87">
        <v>0</v>
      </c>
      <c r="I20" s="6">
        <v>0</v>
      </c>
      <c r="J20" s="8">
        <f t="shared" si="1"/>
        <v>0</v>
      </c>
      <c r="K20" s="8">
        <f t="shared" si="2"/>
        <v>9696.6241000000009</v>
      </c>
      <c r="L20" s="90"/>
      <c r="M20" s="90">
        <f t="shared" ref="M20:M34" si="4">M19+K20-L20</f>
        <v>372197.19130000006</v>
      </c>
      <c r="N20" s="53"/>
      <c r="O20" s="92"/>
    </row>
    <row r="21" spans="1:15">
      <c r="A21" s="64">
        <v>18</v>
      </c>
      <c r="B21" s="267">
        <v>45734</v>
      </c>
      <c r="C21" s="218"/>
      <c r="D21" s="218"/>
      <c r="E21" s="87">
        <v>0</v>
      </c>
      <c r="F21" s="6">
        <v>0</v>
      </c>
      <c r="G21" s="8">
        <f t="shared" si="0"/>
        <v>0</v>
      </c>
      <c r="H21" s="87">
        <v>0</v>
      </c>
      <c r="I21" s="6">
        <v>0</v>
      </c>
      <c r="J21" s="8">
        <f t="shared" si="1"/>
        <v>0</v>
      </c>
      <c r="K21" s="8">
        <f t="shared" si="2"/>
        <v>0</v>
      </c>
      <c r="L21" s="90"/>
      <c r="M21" s="90">
        <f t="shared" si="4"/>
        <v>372197.19130000006</v>
      </c>
      <c r="N21" s="53"/>
      <c r="O21" s="92"/>
    </row>
    <row r="22" spans="1:15">
      <c r="A22" s="64">
        <v>19</v>
      </c>
      <c r="B22" s="267">
        <v>45735</v>
      </c>
      <c r="C22" s="218"/>
      <c r="D22" s="218"/>
      <c r="E22" s="87">
        <v>48.41</v>
      </c>
      <c r="F22" s="6">
        <v>89.23</v>
      </c>
      <c r="G22" s="8">
        <f t="shared" si="0"/>
        <v>4319.6242999999995</v>
      </c>
      <c r="H22" s="87">
        <v>0</v>
      </c>
      <c r="I22" s="6">
        <v>0</v>
      </c>
      <c r="J22" s="8">
        <f t="shared" si="1"/>
        <v>0</v>
      </c>
      <c r="K22" s="8">
        <f t="shared" si="2"/>
        <v>4319.6242999999995</v>
      </c>
      <c r="L22" s="90"/>
      <c r="M22" s="90">
        <f t="shared" si="4"/>
        <v>376516.81560000009</v>
      </c>
      <c r="N22" s="53"/>
      <c r="O22" s="92"/>
    </row>
    <row r="23" spans="1:15">
      <c r="A23" s="64">
        <v>20</v>
      </c>
      <c r="B23" s="267">
        <v>45736</v>
      </c>
      <c r="C23" s="218"/>
      <c r="D23" s="218"/>
      <c r="E23" s="87">
        <v>194.55</v>
      </c>
      <c r="F23" s="6">
        <v>89.23</v>
      </c>
      <c r="G23" s="8">
        <f t="shared" si="0"/>
        <v>17359.696500000002</v>
      </c>
      <c r="H23" s="87">
        <v>0</v>
      </c>
      <c r="I23" s="6">
        <v>0</v>
      </c>
      <c r="J23" s="8">
        <f t="shared" si="1"/>
        <v>0</v>
      </c>
      <c r="K23" s="8">
        <f t="shared" si="2"/>
        <v>17359.696500000002</v>
      </c>
      <c r="L23" s="90"/>
      <c r="M23" s="90">
        <f t="shared" si="4"/>
        <v>393876.51210000011</v>
      </c>
      <c r="N23" s="53"/>
      <c r="O23" s="92"/>
    </row>
    <row r="24" spans="1:15">
      <c r="A24" s="64">
        <v>21</v>
      </c>
      <c r="B24" s="267">
        <v>45737</v>
      </c>
      <c r="C24" s="218"/>
      <c r="D24" s="218"/>
      <c r="E24" s="87">
        <v>0</v>
      </c>
      <c r="F24" s="6">
        <v>0</v>
      </c>
      <c r="G24" s="8">
        <f t="shared" si="0"/>
        <v>0</v>
      </c>
      <c r="H24" s="87">
        <v>3.81</v>
      </c>
      <c r="I24" s="6">
        <v>103.16</v>
      </c>
      <c r="J24" s="8">
        <f>H24*I24</f>
        <v>393.03960000000001</v>
      </c>
      <c r="K24" s="8">
        <f t="shared" si="2"/>
        <v>393.03960000000001</v>
      </c>
      <c r="L24" s="90"/>
      <c r="M24" s="90">
        <f t="shared" si="4"/>
        <v>394269.55170000013</v>
      </c>
      <c r="N24" s="53"/>
      <c r="O24" s="92"/>
    </row>
    <row r="25" spans="1:15">
      <c r="A25" s="64">
        <v>22</v>
      </c>
      <c r="B25" s="267">
        <v>45738</v>
      </c>
      <c r="C25" s="218"/>
      <c r="D25" s="218"/>
      <c r="E25" s="87">
        <v>254.44</v>
      </c>
      <c r="F25" s="6">
        <v>89.23</v>
      </c>
      <c r="G25" s="8">
        <f t="shared" si="0"/>
        <v>22703.681199999999</v>
      </c>
      <c r="H25" s="87">
        <v>0</v>
      </c>
      <c r="I25" s="6">
        <v>0</v>
      </c>
      <c r="J25" s="8">
        <f t="shared" ref="J25:J34" si="5">H25*I25</f>
        <v>0</v>
      </c>
      <c r="K25" s="8">
        <f t="shared" si="2"/>
        <v>22703.681199999999</v>
      </c>
      <c r="L25" s="90"/>
      <c r="M25" s="90">
        <f t="shared" si="4"/>
        <v>416973.23290000012</v>
      </c>
      <c r="N25" s="53"/>
      <c r="O25" s="92"/>
    </row>
    <row r="26" spans="1:15">
      <c r="A26" s="64">
        <v>23</v>
      </c>
      <c r="B26" s="267">
        <v>45739</v>
      </c>
      <c r="C26" s="277"/>
      <c r="D26" s="277"/>
      <c r="E26" s="87">
        <v>0</v>
      </c>
      <c r="F26" s="6">
        <v>0</v>
      </c>
      <c r="G26" s="8">
        <f t="shared" si="0"/>
        <v>0</v>
      </c>
      <c r="H26" s="87">
        <v>0</v>
      </c>
      <c r="I26" s="6">
        <v>0</v>
      </c>
      <c r="J26" s="8">
        <f t="shared" si="5"/>
        <v>0</v>
      </c>
      <c r="K26" s="8">
        <f t="shared" si="2"/>
        <v>0</v>
      </c>
      <c r="L26" s="90"/>
      <c r="M26" s="90">
        <f t="shared" si="4"/>
        <v>416973.23290000012</v>
      </c>
      <c r="N26" s="278"/>
      <c r="O26" s="92"/>
    </row>
    <row r="27" spans="1:15">
      <c r="A27" s="64">
        <v>24</v>
      </c>
      <c r="B27" s="307">
        <v>45740</v>
      </c>
      <c r="C27" s="277"/>
      <c r="D27" s="277"/>
      <c r="E27" s="87">
        <v>109.27</v>
      </c>
      <c r="F27" s="6">
        <v>89.23</v>
      </c>
      <c r="G27" s="8">
        <f t="shared" si="0"/>
        <v>9750.1620999999996</v>
      </c>
      <c r="H27" s="87">
        <v>4.17</v>
      </c>
      <c r="I27" s="6">
        <v>103.16</v>
      </c>
      <c r="J27" s="8">
        <f t="shared" si="5"/>
        <v>430.17719999999997</v>
      </c>
      <c r="K27" s="8">
        <f t="shared" si="2"/>
        <v>10180.3393</v>
      </c>
      <c r="L27" s="90"/>
      <c r="M27" s="90">
        <f t="shared" si="4"/>
        <v>427153.57220000011</v>
      </c>
      <c r="N27" s="278"/>
      <c r="O27" s="92"/>
    </row>
    <row r="28" spans="1:15">
      <c r="A28" s="316">
        <v>25</v>
      </c>
      <c r="B28" s="110">
        <v>45741</v>
      </c>
      <c r="C28" s="277"/>
      <c r="D28" s="277"/>
      <c r="E28" s="87">
        <v>90.78</v>
      </c>
      <c r="F28" s="6">
        <v>89.23</v>
      </c>
      <c r="G28" s="8">
        <f>E28*F28</f>
        <v>8100.2994000000008</v>
      </c>
      <c r="H28" s="87">
        <v>6.62</v>
      </c>
      <c r="I28" s="6">
        <v>103.06</v>
      </c>
      <c r="J28" s="8">
        <f t="shared" si="5"/>
        <v>682.25720000000001</v>
      </c>
      <c r="K28" s="8">
        <f>G28+J28</f>
        <v>8782.5565999999999</v>
      </c>
      <c r="L28" s="90"/>
      <c r="M28" s="90">
        <f t="shared" si="4"/>
        <v>435936.12880000012</v>
      </c>
      <c r="N28" s="278"/>
      <c r="O28" s="92"/>
    </row>
    <row r="29" spans="1:15">
      <c r="A29" s="316">
        <v>26</v>
      </c>
      <c r="B29" s="110">
        <v>45742</v>
      </c>
      <c r="C29" s="277"/>
      <c r="D29" s="277"/>
      <c r="E29" s="87">
        <v>17.37</v>
      </c>
      <c r="F29" s="6">
        <v>89.23</v>
      </c>
      <c r="G29" s="8">
        <f t="shared" si="0"/>
        <v>1549.9251000000002</v>
      </c>
      <c r="H29" s="87">
        <v>6.61</v>
      </c>
      <c r="I29" s="6">
        <v>103.06</v>
      </c>
      <c r="J29" s="8">
        <f t="shared" si="5"/>
        <v>681.22660000000008</v>
      </c>
      <c r="K29" s="8">
        <f t="shared" si="2"/>
        <v>2231.1517000000003</v>
      </c>
      <c r="L29" s="90"/>
      <c r="M29" s="90">
        <f t="shared" si="4"/>
        <v>438167.28050000011</v>
      </c>
      <c r="N29" s="278"/>
      <c r="O29" s="92"/>
    </row>
    <row r="30" spans="1:15">
      <c r="A30" s="316">
        <v>27</v>
      </c>
      <c r="B30" s="110">
        <v>45743</v>
      </c>
      <c r="C30" s="277"/>
      <c r="D30" s="277"/>
      <c r="E30" s="87">
        <v>102</v>
      </c>
      <c r="F30" s="6">
        <v>89.23</v>
      </c>
      <c r="G30" s="8">
        <f t="shared" si="0"/>
        <v>9101.4600000000009</v>
      </c>
      <c r="H30" s="87">
        <v>0</v>
      </c>
      <c r="I30" s="6">
        <v>0</v>
      </c>
      <c r="J30" s="8">
        <f t="shared" si="5"/>
        <v>0</v>
      </c>
      <c r="K30" s="8">
        <f t="shared" si="2"/>
        <v>9101.4600000000009</v>
      </c>
      <c r="L30" s="90"/>
      <c r="M30" s="90">
        <f t="shared" si="4"/>
        <v>447268.74050000013</v>
      </c>
      <c r="N30" s="278"/>
      <c r="O30" s="92"/>
    </row>
    <row r="31" spans="1:15">
      <c r="A31" s="316">
        <v>28</v>
      </c>
      <c r="B31" s="110">
        <v>45744</v>
      </c>
      <c r="C31" s="277"/>
      <c r="D31" s="277"/>
      <c r="E31" s="87">
        <v>109.49</v>
      </c>
      <c r="F31" s="6">
        <v>89.23</v>
      </c>
      <c r="G31" s="8">
        <f t="shared" ref="G31:G34" si="6">E31*F31</f>
        <v>9769.7927</v>
      </c>
      <c r="H31" s="87">
        <v>6.21</v>
      </c>
      <c r="I31" s="6">
        <v>103.16</v>
      </c>
      <c r="J31" s="8">
        <f t="shared" si="5"/>
        <v>640.62360000000001</v>
      </c>
      <c r="K31" s="8">
        <f t="shared" ref="K31:K34" si="7">G31+J31</f>
        <v>10410.416300000001</v>
      </c>
      <c r="L31" s="21"/>
      <c r="M31" s="90">
        <f t="shared" si="4"/>
        <v>457679.15680000011</v>
      </c>
      <c r="N31" s="278"/>
      <c r="O31" s="92"/>
    </row>
    <row r="32" spans="1:15">
      <c r="A32" s="317">
        <v>29</v>
      </c>
      <c r="B32" s="110">
        <v>45745</v>
      </c>
      <c r="C32" s="277"/>
      <c r="D32" s="277"/>
      <c r="E32" s="87">
        <v>100</v>
      </c>
      <c r="F32" s="6">
        <v>89.23</v>
      </c>
      <c r="G32" s="8">
        <f t="shared" si="6"/>
        <v>8923</v>
      </c>
      <c r="H32" s="87">
        <v>4.09</v>
      </c>
      <c r="I32" s="6">
        <v>103.16</v>
      </c>
      <c r="J32" s="8">
        <f t="shared" si="5"/>
        <v>421.92439999999999</v>
      </c>
      <c r="K32" s="8">
        <f t="shared" si="7"/>
        <v>9344.9243999999999</v>
      </c>
      <c r="L32" s="356">
        <v>457679.15680000011</v>
      </c>
      <c r="M32" s="90">
        <f t="shared" si="4"/>
        <v>9344.9244000000181</v>
      </c>
      <c r="N32" s="278"/>
      <c r="O32" s="92"/>
    </row>
    <row r="33" spans="1:15">
      <c r="A33" s="317">
        <v>30</v>
      </c>
      <c r="B33" s="110">
        <v>45746</v>
      </c>
      <c r="C33" s="277"/>
      <c r="D33" s="277"/>
      <c r="E33" s="87">
        <v>0</v>
      </c>
      <c r="F33" s="6">
        <v>0</v>
      </c>
      <c r="G33" s="8">
        <f t="shared" si="6"/>
        <v>0</v>
      </c>
      <c r="H33" s="87"/>
      <c r="I33" s="6">
        <v>103.16</v>
      </c>
      <c r="J33" s="8">
        <f t="shared" si="5"/>
        <v>0</v>
      </c>
      <c r="K33" s="8">
        <f t="shared" si="7"/>
        <v>0</v>
      </c>
      <c r="L33" s="21"/>
      <c r="M33" s="90">
        <f t="shared" si="4"/>
        <v>9344.9244000000181</v>
      </c>
      <c r="N33" s="278"/>
      <c r="O33" s="92"/>
    </row>
    <row r="34" spans="1:15">
      <c r="A34" s="317">
        <v>31</v>
      </c>
      <c r="B34" s="110">
        <v>45747</v>
      </c>
      <c r="C34" s="277"/>
      <c r="D34" s="277"/>
      <c r="E34" s="87">
        <v>13</v>
      </c>
      <c r="F34" s="6">
        <v>89.23</v>
      </c>
      <c r="G34" s="8">
        <f t="shared" si="6"/>
        <v>1159.99</v>
      </c>
      <c r="H34" s="87">
        <v>0</v>
      </c>
      <c r="I34" s="6">
        <v>103.16</v>
      </c>
      <c r="J34" s="8">
        <f t="shared" si="5"/>
        <v>0</v>
      </c>
      <c r="K34" s="8">
        <f t="shared" si="7"/>
        <v>1159.99</v>
      </c>
      <c r="L34" s="21"/>
      <c r="M34" s="90">
        <f t="shared" si="4"/>
        <v>10504.914400000018</v>
      </c>
      <c r="N34" s="278"/>
      <c r="O34" s="92"/>
    </row>
    <row r="35" spans="1:15">
      <c r="A35" s="197"/>
      <c r="B35" s="197"/>
      <c r="C35" s="197"/>
      <c r="D35" s="197"/>
      <c r="E35" s="198">
        <f>SUM(E4:E34)</f>
        <v>2498.9700000000003</v>
      </c>
      <c r="F35" s="198"/>
      <c r="G35" s="198">
        <f>SUM(G4:G34)</f>
        <v>222983.09309999994</v>
      </c>
      <c r="H35" s="198">
        <f>SUM(H4:H34)</f>
        <v>68.2</v>
      </c>
      <c r="I35" s="198"/>
      <c r="J35" s="198">
        <f>SUM(J4:J34)</f>
        <v>7034.1889999999994</v>
      </c>
      <c r="K35" s="198">
        <f>SUM(K4:K34)</f>
        <v>230017.28209999995</v>
      </c>
      <c r="L35" s="198">
        <f>SUM(L4:L34)</f>
        <v>457679.15680000011</v>
      </c>
      <c r="M35" s="198"/>
      <c r="N35" s="198"/>
      <c r="O35" s="81"/>
    </row>
    <row r="36" spans="1:15">
      <c r="A36" s="96"/>
      <c r="B36" s="97"/>
      <c r="C36" s="96"/>
      <c r="D36" s="96"/>
      <c r="E36" s="98"/>
      <c r="F36" s="98"/>
      <c r="G36" s="98"/>
      <c r="H36" s="98"/>
      <c r="I36" s="98"/>
      <c r="J36" s="99"/>
      <c r="K36" s="99"/>
      <c r="L36" s="99"/>
      <c r="M36" s="99"/>
      <c r="N36" s="98"/>
      <c r="O36" s="92"/>
    </row>
  </sheetData>
  <mergeCells count="1">
    <mergeCell ref="A1:N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CC4A-1C0D-4BA5-8193-DD34ED85649F}">
  <sheetPr>
    <tabColor rgb="FF92D050"/>
  </sheetPr>
  <dimension ref="A1:O46"/>
  <sheetViews>
    <sheetView workbookViewId="0">
      <selection activeCell="S17" sqref="S17"/>
    </sheetView>
  </sheetViews>
  <sheetFormatPr defaultRowHeight="15"/>
  <cols>
    <col min="2" max="2" width="10.85546875" bestFit="1" customWidth="1"/>
    <col min="4" max="4" width="11.5703125" customWidth="1"/>
    <col min="7" max="7" width="13.5703125" customWidth="1"/>
    <col min="9" max="9" width="9.28515625" bestFit="1" customWidth="1"/>
    <col min="11" max="11" width="14.85546875" customWidth="1"/>
    <col min="12" max="12" width="15.5703125" customWidth="1"/>
    <col min="13" max="13" width="12.28515625" customWidth="1"/>
    <col min="14" max="14" width="14.7109375" bestFit="1" customWidth="1"/>
  </cols>
  <sheetData>
    <row r="1" spans="1:15" ht="15.75">
      <c r="A1" s="386" t="s">
        <v>83</v>
      </c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  <c r="M1" s="386"/>
      <c r="N1" s="386"/>
      <c r="O1" s="5"/>
    </row>
    <row r="2" spans="1:15" ht="30.75">
      <c r="A2" s="86" t="s">
        <v>91</v>
      </c>
      <c r="B2" s="107" t="s">
        <v>92</v>
      </c>
      <c r="C2" s="107" t="s">
        <v>93</v>
      </c>
      <c r="D2" s="107" t="s">
        <v>165</v>
      </c>
      <c r="E2" s="107" t="s">
        <v>95</v>
      </c>
      <c r="F2" s="107" t="s">
        <v>96</v>
      </c>
      <c r="G2" s="115" t="s">
        <v>97</v>
      </c>
      <c r="H2" s="107" t="s">
        <v>98</v>
      </c>
      <c r="I2" s="107" t="s">
        <v>96</v>
      </c>
      <c r="J2" s="115" t="s">
        <v>97</v>
      </c>
      <c r="K2" s="86" t="s">
        <v>99</v>
      </c>
      <c r="L2" s="116" t="s">
        <v>100</v>
      </c>
      <c r="M2" s="109" t="s">
        <v>101</v>
      </c>
      <c r="N2" s="107" t="s">
        <v>102</v>
      </c>
      <c r="O2" s="5"/>
    </row>
    <row r="3" spans="1:15">
      <c r="A3" s="397" t="s">
        <v>103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9"/>
      <c r="M3" s="400" t="s">
        <v>168</v>
      </c>
      <c r="N3" s="401"/>
      <c r="O3" s="5"/>
    </row>
    <row r="4" spans="1:15">
      <c r="A4" s="257">
        <v>1</v>
      </c>
      <c r="B4" s="314">
        <v>45717</v>
      </c>
      <c r="C4" s="6"/>
      <c r="D4" s="6"/>
      <c r="E4" s="87">
        <v>60</v>
      </c>
      <c r="F4" s="6">
        <v>89.22</v>
      </c>
      <c r="G4" s="88">
        <f>E4*F4</f>
        <v>5353.2</v>
      </c>
      <c r="H4" s="87">
        <v>0</v>
      </c>
      <c r="I4" s="6">
        <v>0</v>
      </c>
      <c r="J4" s="88">
        <f>H4*I4</f>
        <v>0</v>
      </c>
      <c r="K4" s="88">
        <f>G4+J4</f>
        <v>5353.2</v>
      </c>
      <c r="L4" s="199">
        <f>+K4</f>
        <v>5353.2</v>
      </c>
      <c r="M4" s="185">
        <v>0</v>
      </c>
      <c r="N4" s="64"/>
      <c r="O4" s="5"/>
    </row>
    <row r="5" spans="1:15">
      <c r="A5" s="64">
        <v>2</v>
      </c>
      <c r="B5" s="267">
        <v>45718</v>
      </c>
      <c r="C5" s="6"/>
      <c r="D5" s="6"/>
      <c r="E5" s="87">
        <v>0</v>
      </c>
      <c r="F5" s="6">
        <v>0</v>
      </c>
      <c r="G5" s="88">
        <f t="shared" ref="G5:G35" si="0">E5*F5</f>
        <v>0</v>
      </c>
      <c r="H5" s="87">
        <v>0</v>
      </c>
      <c r="I5" s="6">
        <v>0</v>
      </c>
      <c r="J5" s="88">
        <f t="shared" ref="J5:J35" si="1">H5*I5</f>
        <v>0</v>
      </c>
      <c r="K5" s="88">
        <f t="shared" ref="K5:K35" si="2">G5+J5</f>
        <v>0</v>
      </c>
      <c r="L5" s="199">
        <f t="shared" ref="L5:L35" si="3">+K5</f>
        <v>0</v>
      </c>
      <c r="M5" s="185">
        <v>0</v>
      </c>
      <c r="N5" s="64"/>
      <c r="O5" s="5"/>
    </row>
    <row r="6" spans="1:15">
      <c r="A6" s="64">
        <v>3</v>
      </c>
      <c r="B6" s="267">
        <v>45719</v>
      </c>
      <c r="C6" s="6"/>
      <c r="D6" s="6"/>
      <c r="E6" s="87">
        <v>100</v>
      </c>
      <c r="F6" s="6">
        <v>89.22</v>
      </c>
      <c r="G6" s="88">
        <f t="shared" si="0"/>
        <v>8922</v>
      </c>
      <c r="H6" s="87">
        <v>0</v>
      </c>
      <c r="I6" s="6">
        <v>0</v>
      </c>
      <c r="J6" s="88">
        <f t="shared" si="1"/>
        <v>0</v>
      </c>
      <c r="K6" s="88">
        <f t="shared" si="2"/>
        <v>8922</v>
      </c>
      <c r="L6" s="199">
        <f t="shared" si="3"/>
        <v>8922</v>
      </c>
      <c r="M6" s="185">
        <v>0</v>
      </c>
      <c r="N6" s="64"/>
      <c r="O6" s="5"/>
    </row>
    <row r="7" spans="1:15">
      <c r="A7" s="64">
        <v>4</v>
      </c>
      <c r="B7" s="267">
        <v>45720</v>
      </c>
      <c r="C7" s="6"/>
      <c r="D7" s="6"/>
      <c r="E7" s="87">
        <v>71.2</v>
      </c>
      <c r="F7" s="6">
        <v>89.22</v>
      </c>
      <c r="G7" s="88">
        <f t="shared" si="0"/>
        <v>6352.4639999999999</v>
      </c>
      <c r="H7" s="87">
        <v>0</v>
      </c>
      <c r="I7" s="6">
        <v>0</v>
      </c>
      <c r="J7" s="88">
        <f t="shared" si="1"/>
        <v>0</v>
      </c>
      <c r="K7" s="88">
        <f t="shared" si="2"/>
        <v>6352.4639999999999</v>
      </c>
      <c r="L7" s="199">
        <f t="shared" si="3"/>
        <v>6352.4639999999999</v>
      </c>
      <c r="M7" s="185">
        <v>0</v>
      </c>
      <c r="N7" s="64"/>
      <c r="O7" s="5"/>
    </row>
    <row r="8" spans="1:15">
      <c r="A8" s="64">
        <v>5</v>
      </c>
      <c r="B8" s="267">
        <v>45721</v>
      </c>
      <c r="C8" s="6"/>
      <c r="D8" s="6"/>
      <c r="E8" s="87">
        <v>110</v>
      </c>
      <c r="F8" s="6">
        <v>89.22</v>
      </c>
      <c r="G8" s="88">
        <f t="shared" si="0"/>
        <v>9814.2000000000007</v>
      </c>
      <c r="H8" s="87">
        <v>4.8499999999999996</v>
      </c>
      <c r="I8" s="6">
        <v>103.15</v>
      </c>
      <c r="J8" s="88">
        <f t="shared" si="1"/>
        <v>500.27749999999997</v>
      </c>
      <c r="K8" s="88">
        <f t="shared" si="2"/>
        <v>10314.477500000001</v>
      </c>
      <c r="L8" s="199">
        <f t="shared" si="3"/>
        <v>10314.477500000001</v>
      </c>
      <c r="M8" s="185">
        <v>0</v>
      </c>
      <c r="N8" s="64"/>
      <c r="O8" s="5"/>
    </row>
    <row r="9" spans="1:15">
      <c r="A9" s="64">
        <v>6</v>
      </c>
      <c r="B9" s="267">
        <v>45722</v>
      </c>
      <c r="C9" s="6"/>
      <c r="D9" s="6"/>
      <c r="E9" s="87">
        <v>60</v>
      </c>
      <c r="F9" s="6">
        <v>89.22</v>
      </c>
      <c r="G9" s="88">
        <f t="shared" si="0"/>
        <v>5353.2</v>
      </c>
      <c r="H9" s="87">
        <v>0</v>
      </c>
      <c r="I9" s="6">
        <v>0</v>
      </c>
      <c r="J9" s="88">
        <f t="shared" si="1"/>
        <v>0</v>
      </c>
      <c r="K9" s="88">
        <f t="shared" si="2"/>
        <v>5353.2</v>
      </c>
      <c r="L9" s="199">
        <f t="shared" si="3"/>
        <v>5353.2</v>
      </c>
      <c r="M9" s="185">
        <v>0</v>
      </c>
      <c r="N9" s="64"/>
      <c r="O9" s="5"/>
    </row>
    <row r="10" spans="1:15">
      <c r="A10" s="64">
        <v>7</v>
      </c>
      <c r="B10" s="267">
        <v>45723</v>
      </c>
      <c r="C10" s="6"/>
      <c r="D10" s="6"/>
      <c r="E10" s="87">
        <v>60</v>
      </c>
      <c r="F10" s="6">
        <v>89.22</v>
      </c>
      <c r="G10" s="88">
        <f t="shared" si="0"/>
        <v>5353.2</v>
      </c>
      <c r="H10" s="87">
        <v>0</v>
      </c>
      <c r="I10" s="6">
        <v>0</v>
      </c>
      <c r="J10" s="88">
        <f t="shared" si="1"/>
        <v>0</v>
      </c>
      <c r="K10" s="88">
        <f t="shared" si="2"/>
        <v>5353.2</v>
      </c>
      <c r="L10" s="199">
        <f t="shared" si="3"/>
        <v>5353.2</v>
      </c>
      <c r="M10" s="185">
        <v>0</v>
      </c>
      <c r="N10" s="64"/>
      <c r="O10" s="5"/>
    </row>
    <row r="11" spans="1:15">
      <c r="A11" s="64">
        <v>8</v>
      </c>
      <c r="B11" s="267">
        <v>45724</v>
      </c>
      <c r="C11" s="6"/>
      <c r="D11" s="6"/>
      <c r="E11" s="87">
        <v>0</v>
      </c>
      <c r="F11" s="6">
        <v>0</v>
      </c>
      <c r="G11" s="88">
        <f t="shared" si="0"/>
        <v>0</v>
      </c>
      <c r="H11" s="87">
        <v>0</v>
      </c>
      <c r="I11" s="6">
        <v>0</v>
      </c>
      <c r="J11" s="88">
        <f t="shared" si="1"/>
        <v>0</v>
      </c>
      <c r="K11" s="88">
        <f t="shared" si="2"/>
        <v>0</v>
      </c>
      <c r="L11" s="199">
        <f t="shared" si="3"/>
        <v>0</v>
      </c>
      <c r="M11" s="185">
        <v>0</v>
      </c>
      <c r="N11" s="64"/>
      <c r="O11" s="5"/>
    </row>
    <row r="12" spans="1:15">
      <c r="A12" s="64">
        <v>9</v>
      </c>
      <c r="B12" s="267">
        <v>45725</v>
      </c>
      <c r="C12" s="6"/>
      <c r="D12" s="6"/>
      <c r="E12" s="87">
        <v>0</v>
      </c>
      <c r="F12" s="6">
        <v>0</v>
      </c>
      <c r="G12" s="88">
        <f t="shared" si="0"/>
        <v>0</v>
      </c>
      <c r="H12" s="87">
        <v>0</v>
      </c>
      <c r="I12" s="6">
        <v>0</v>
      </c>
      <c r="J12" s="88">
        <f t="shared" si="1"/>
        <v>0</v>
      </c>
      <c r="K12" s="88">
        <f t="shared" si="2"/>
        <v>0</v>
      </c>
      <c r="L12" s="199">
        <f t="shared" si="3"/>
        <v>0</v>
      </c>
      <c r="M12" s="185">
        <v>0</v>
      </c>
      <c r="N12" s="64"/>
      <c r="O12" s="5"/>
    </row>
    <row r="13" spans="1:15">
      <c r="A13" s="64">
        <v>10</v>
      </c>
      <c r="B13" s="267">
        <v>45726</v>
      </c>
      <c r="C13" s="6"/>
      <c r="D13" s="6"/>
      <c r="E13" s="87">
        <v>0</v>
      </c>
      <c r="F13" s="6">
        <v>0</v>
      </c>
      <c r="G13" s="88">
        <f t="shared" si="0"/>
        <v>0</v>
      </c>
      <c r="H13" s="87">
        <v>0</v>
      </c>
      <c r="I13" s="6">
        <v>0</v>
      </c>
      <c r="J13" s="88">
        <f t="shared" si="1"/>
        <v>0</v>
      </c>
      <c r="K13" s="88">
        <f t="shared" si="2"/>
        <v>0</v>
      </c>
      <c r="L13" s="199">
        <f t="shared" si="3"/>
        <v>0</v>
      </c>
      <c r="M13" s="185">
        <v>0</v>
      </c>
      <c r="N13" s="64"/>
      <c r="O13" s="5"/>
    </row>
    <row r="14" spans="1:15">
      <c r="A14" s="64">
        <v>11</v>
      </c>
      <c r="B14" s="267">
        <v>45727</v>
      </c>
      <c r="C14" s="6"/>
      <c r="D14" s="6"/>
      <c r="E14" s="87">
        <v>0</v>
      </c>
      <c r="F14" s="6">
        <v>0</v>
      </c>
      <c r="G14" s="88">
        <f t="shared" si="0"/>
        <v>0</v>
      </c>
      <c r="H14" s="87">
        <v>0</v>
      </c>
      <c r="I14" s="6">
        <v>0</v>
      </c>
      <c r="J14" s="88">
        <f t="shared" si="1"/>
        <v>0</v>
      </c>
      <c r="K14" s="88">
        <f t="shared" si="2"/>
        <v>0</v>
      </c>
      <c r="L14" s="199">
        <f t="shared" si="3"/>
        <v>0</v>
      </c>
      <c r="M14" s="185">
        <v>0</v>
      </c>
      <c r="N14" s="64"/>
      <c r="O14" s="5"/>
    </row>
    <row r="15" spans="1:15">
      <c r="A15" s="64">
        <v>12</v>
      </c>
      <c r="B15" s="267">
        <v>45728</v>
      </c>
      <c r="C15" s="6"/>
      <c r="D15" s="6"/>
      <c r="E15" s="87">
        <v>0</v>
      </c>
      <c r="F15" s="6">
        <v>89.61</v>
      </c>
      <c r="G15" s="88">
        <f t="shared" si="0"/>
        <v>0</v>
      </c>
      <c r="H15" s="87">
        <v>0</v>
      </c>
      <c r="I15" s="6">
        <v>0</v>
      </c>
      <c r="J15" s="88">
        <f t="shared" si="1"/>
        <v>0</v>
      </c>
      <c r="K15" s="88">
        <f t="shared" si="2"/>
        <v>0</v>
      </c>
      <c r="L15" s="199">
        <f t="shared" si="3"/>
        <v>0</v>
      </c>
      <c r="M15" s="185">
        <v>0</v>
      </c>
      <c r="N15" s="64"/>
      <c r="O15" s="5"/>
    </row>
    <row r="16" spans="1:15">
      <c r="A16" s="64">
        <v>13</v>
      </c>
      <c r="B16" s="267">
        <v>45729</v>
      </c>
      <c r="C16" s="6"/>
      <c r="D16" s="6"/>
      <c r="E16" s="87">
        <v>0</v>
      </c>
      <c r="F16" s="6">
        <v>0</v>
      </c>
      <c r="G16" s="88">
        <f t="shared" si="0"/>
        <v>0</v>
      </c>
      <c r="H16" s="87">
        <v>0</v>
      </c>
      <c r="I16" s="6">
        <v>0</v>
      </c>
      <c r="J16" s="88">
        <f t="shared" si="1"/>
        <v>0</v>
      </c>
      <c r="K16" s="88">
        <f t="shared" si="2"/>
        <v>0</v>
      </c>
      <c r="L16" s="199">
        <f t="shared" si="3"/>
        <v>0</v>
      </c>
      <c r="M16" s="185">
        <v>0</v>
      </c>
      <c r="N16" s="64"/>
      <c r="O16" s="5"/>
    </row>
    <row r="17" spans="1:15">
      <c r="A17" s="64">
        <v>14</v>
      </c>
      <c r="B17" s="267">
        <v>45730</v>
      </c>
      <c r="C17" s="6"/>
      <c r="D17" s="6"/>
      <c r="E17" s="87">
        <v>0</v>
      </c>
      <c r="F17" s="6">
        <v>0</v>
      </c>
      <c r="G17" s="88">
        <f t="shared" si="0"/>
        <v>0</v>
      </c>
      <c r="H17" s="87">
        <v>0</v>
      </c>
      <c r="I17" s="6">
        <v>0</v>
      </c>
      <c r="J17" s="88">
        <f t="shared" si="1"/>
        <v>0</v>
      </c>
      <c r="K17" s="88">
        <f t="shared" si="2"/>
        <v>0</v>
      </c>
      <c r="L17" s="199">
        <f t="shared" si="3"/>
        <v>0</v>
      </c>
      <c r="M17" s="185">
        <v>0</v>
      </c>
      <c r="N17" s="64"/>
      <c r="O17" s="5"/>
    </row>
    <row r="18" spans="1:15">
      <c r="A18" s="64">
        <v>15</v>
      </c>
      <c r="B18" s="267">
        <v>45731</v>
      </c>
      <c r="C18" s="6"/>
      <c r="D18" s="6"/>
      <c r="E18" s="87">
        <v>0</v>
      </c>
      <c r="F18" s="6">
        <v>0</v>
      </c>
      <c r="G18" s="88">
        <f t="shared" si="0"/>
        <v>0</v>
      </c>
      <c r="H18" s="87">
        <v>0</v>
      </c>
      <c r="I18" s="6">
        <v>0</v>
      </c>
      <c r="J18" s="88">
        <f t="shared" si="1"/>
        <v>0</v>
      </c>
      <c r="K18" s="88">
        <f t="shared" si="2"/>
        <v>0</v>
      </c>
      <c r="L18" s="199">
        <f t="shared" si="3"/>
        <v>0</v>
      </c>
      <c r="M18" s="185">
        <v>0</v>
      </c>
      <c r="N18" s="64"/>
      <c r="O18" s="5"/>
    </row>
    <row r="19" spans="1:15">
      <c r="A19" s="64">
        <v>16</v>
      </c>
      <c r="B19" s="267">
        <v>45732</v>
      </c>
      <c r="C19" s="6"/>
      <c r="D19" s="6"/>
      <c r="E19" s="87">
        <v>0</v>
      </c>
      <c r="F19" s="6">
        <v>0</v>
      </c>
      <c r="G19" s="88">
        <f t="shared" si="0"/>
        <v>0</v>
      </c>
      <c r="H19" s="87">
        <v>0</v>
      </c>
      <c r="I19" s="6">
        <v>0</v>
      </c>
      <c r="J19" s="88">
        <f t="shared" si="1"/>
        <v>0</v>
      </c>
      <c r="K19" s="88">
        <f t="shared" si="2"/>
        <v>0</v>
      </c>
      <c r="L19" s="199">
        <f t="shared" si="3"/>
        <v>0</v>
      </c>
      <c r="M19" s="185">
        <v>0</v>
      </c>
      <c r="N19" s="64"/>
      <c r="O19" s="5"/>
    </row>
    <row r="20" spans="1:15">
      <c r="A20" s="64">
        <v>17</v>
      </c>
      <c r="B20" s="267">
        <v>45733</v>
      </c>
      <c r="C20" s="6"/>
      <c r="D20" s="6"/>
      <c r="E20" s="87">
        <v>0</v>
      </c>
      <c r="F20" s="6">
        <v>0</v>
      </c>
      <c r="G20" s="88">
        <f t="shared" si="0"/>
        <v>0</v>
      </c>
      <c r="H20" s="87">
        <v>0</v>
      </c>
      <c r="I20" s="6">
        <v>0</v>
      </c>
      <c r="J20" s="88">
        <f t="shared" si="1"/>
        <v>0</v>
      </c>
      <c r="K20" s="88">
        <f t="shared" si="2"/>
        <v>0</v>
      </c>
      <c r="L20" s="199">
        <f t="shared" si="3"/>
        <v>0</v>
      </c>
      <c r="M20" s="185">
        <v>0</v>
      </c>
      <c r="N20" s="64"/>
      <c r="O20" s="5"/>
    </row>
    <row r="21" spans="1:15">
      <c r="A21" s="64">
        <v>18</v>
      </c>
      <c r="B21" s="267">
        <v>45734</v>
      </c>
      <c r="C21" s="6"/>
      <c r="D21" s="6"/>
      <c r="E21" s="87">
        <v>0</v>
      </c>
      <c r="F21" s="6">
        <v>0</v>
      </c>
      <c r="G21" s="88">
        <f t="shared" si="0"/>
        <v>0</v>
      </c>
      <c r="H21" s="87">
        <v>0</v>
      </c>
      <c r="I21" s="6">
        <v>0</v>
      </c>
      <c r="J21" s="88">
        <f t="shared" si="1"/>
        <v>0</v>
      </c>
      <c r="K21" s="88">
        <f t="shared" si="2"/>
        <v>0</v>
      </c>
      <c r="L21" s="199">
        <f t="shared" si="3"/>
        <v>0</v>
      </c>
      <c r="M21" s="185">
        <v>0</v>
      </c>
      <c r="N21" s="64"/>
      <c r="O21" s="5"/>
    </row>
    <row r="22" spans="1:15">
      <c r="A22" s="64">
        <v>19</v>
      </c>
      <c r="B22" s="267">
        <v>45735</v>
      </c>
      <c r="C22" s="6"/>
      <c r="D22" s="6"/>
      <c r="E22" s="87">
        <v>0</v>
      </c>
      <c r="F22" s="6">
        <v>0</v>
      </c>
      <c r="G22" s="88">
        <f t="shared" si="0"/>
        <v>0</v>
      </c>
      <c r="H22" s="87">
        <v>0</v>
      </c>
      <c r="I22" s="6">
        <v>0</v>
      </c>
      <c r="J22" s="88">
        <f t="shared" si="1"/>
        <v>0</v>
      </c>
      <c r="K22" s="88">
        <f t="shared" si="2"/>
        <v>0</v>
      </c>
      <c r="L22" s="199">
        <f t="shared" si="3"/>
        <v>0</v>
      </c>
      <c r="M22" s="185">
        <v>0</v>
      </c>
      <c r="N22" s="64"/>
      <c r="O22" s="5"/>
    </row>
    <row r="23" spans="1:15">
      <c r="A23" s="64">
        <v>20</v>
      </c>
      <c r="B23" s="267">
        <v>45736</v>
      </c>
      <c r="C23" s="6"/>
      <c r="D23" s="6"/>
      <c r="E23" s="87">
        <v>0</v>
      </c>
      <c r="F23" s="6">
        <v>0</v>
      </c>
      <c r="G23" s="88">
        <f t="shared" si="0"/>
        <v>0</v>
      </c>
      <c r="H23" s="87">
        <v>0</v>
      </c>
      <c r="I23" s="6">
        <v>0</v>
      </c>
      <c r="J23" s="88">
        <f t="shared" si="1"/>
        <v>0</v>
      </c>
      <c r="K23" s="88">
        <f t="shared" si="2"/>
        <v>0</v>
      </c>
      <c r="L23" s="199">
        <f t="shared" si="3"/>
        <v>0</v>
      </c>
      <c r="M23" s="185">
        <v>0</v>
      </c>
      <c r="N23" s="64"/>
      <c r="O23" s="5"/>
    </row>
    <row r="24" spans="1:15">
      <c r="A24" s="64">
        <v>21</v>
      </c>
      <c r="B24" s="267">
        <v>45737</v>
      </c>
      <c r="C24" s="6"/>
      <c r="D24" s="6"/>
      <c r="E24" s="87">
        <v>0</v>
      </c>
      <c r="F24" s="6">
        <v>0</v>
      </c>
      <c r="G24" s="88">
        <f t="shared" si="0"/>
        <v>0</v>
      </c>
      <c r="H24" s="87">
        <v>0</v>
      </c>
      <c r="I24" s="6">
        <v>0</v>
      </c>
      <c r="J24" s="88">
        <f t="shared" si="1"/>
        <v>0</v>
      </c>
      <c r="K24" s="88">
        <f t="shared" si="2"/>
        <v>0</v>
      </c>
      <c r="L24" s="199">
        <f t="shared" si="3"/>
        <v>0</v>
      </c>
      <c r="M24" s="185">
        <v>0</v>
      </c>
      <c r="N24" s="64"/>
      <c r="O24" s="5"/>
    </row>
    <row r="25" spans="1:15">
      <c r="A25" s="64">
        <v>22</v>
      </c>
      <c r="B25" s="267">
        <v>45738</v>
      </c>
      <c r="C25" s="6"/>
      <c r="D25" s="6"/>
      <c r="E25" s="87">
        <v>0</v>
      </c>
      <c r="F25" s="6">
        <v>0</v>
      </c>
      <c r="G25" s="88">
        <f t="shared" si="0"/>
        <v>0</v>
      </c>
      <c r="H25" s="87">
        <v>0</v>
      </c>
      <c r="I25" s="6">
        <v>0</v>
      </c>
      <c r="J25" s="88">
        <f t="shared" si="1"/>
        <v>0</v>
      </c>
      <c r="K25" s="88">
        <f t="shared" si="2"/>
        <v>0</v>
      </c>
      <c r="L25" s="199">
        <f t="shared" si="3"/>
        <v>0</v>
      </c>
      <c r="M25" s="185">
        <v>0</v>
      </c>
      <c r="N25" s="64"/>
      <c r="O25" s="5"/>
    </row>
    <row r="26" spans="1:15">
      <c r="A26" s="64">
        <v>23</v>
      </c>
      <c r="B26" s="267">
        <v>45739</v>
      </c>
      <c r="C26" s="6"/>
      <c r="D26" s="6"/>
      <c r="E26" s="87">
        <v>0</v>
      </c>
      <c r="F26" s="6">
        <v>0</v>
      </c>
      <c r="G26" s="88">
        <f t="shared" si="0"/>
        <v>0</v>
      </c>
      <c r="H26" s="87">
        <v>0</v>
      </c>
      <c r="I26" s="6">
        <v>0</v>
      </c>
      <c r="J26" s="88">
        <f t="shared" si="1"/>
        <v>0</v>
      </c>
      <c r="K26" s="88">
        <f t="shared" si="2"/>
        <v>0</v>
      </c>
      <c r="L26" s="199">
        <f t="shared" si="3"/>
        <v>0</v>
      </c>
      <c r="M26" s="185">
        <v>0</v>
      </c>
      <c r="N26" s="64"/>
      <c r="O26" s="5"/>
    </row>
    <row r="27" spans="1:15">
      <c r="A27" s="64">
        <v>24</v>
      </c>
      <c r="B27" s="307">
        <v>45740</v>
      </c>
      <c r="C27" s="6"/>
      <c r="D27" s="6"/>
      <c r="E27" s="87">
        <v>0</v>
      </c>
      <c r="F27" s="6">
        <v>0</v>
      </c>
      <c r="G27" s="88">
        <f t="shared" si="0"/>
        <v>0</v>
      </c>
      <c r="H27" s="87">
        <v>0</v>
      </c>
      <c r="I27" s="6">
        <v>0</v>
      </c>
      <c r="J27" s="88">
        <f t="shared" si="1"/>
        <v>0</v>
      </c>
      <c r="K27" s="88">
        <f t="shared" si="2"/>
        <v>0</v>
      </c>
      <c r="L27" s="199">
        <f t="shared" si="3"/>
        <v>0</v>
      </c>
      <c r="M27" s="185">
        <v>0</v>
      </c>
      <c r="N27" s="6"/>
      <c r="O27" s="5"/>
    </row>
    <row r="28" spans="1:15">
      <c r="A28" s="316">
        <v>25</v>
      </c>
      <c r="B28" s="110">
        <v>45741</v>
      </c>
      <c r="C28" s="6"/>
      <c r="D28" s="6"/>
      <c r="E28" s="87">
        <v>0</v>
      </c>
      <c r="F28" s="6">
        <v>0</v>
      </c>
      <c r="G28" s="88">
        <f t="shared" si="0"/>
        <v>0</v>
      </c>
      <c r="H28" s="87">
        <v>0</v>
      </c>
      <c r="I28" s="6">
        <v>0</v>
      </c>
      <c r="J28" s="88">
        <f t="shared" si="1"/>
        <v>0</v>
      </c>
      <c r="K28" s="88">
        <f t="shared" si="2"/>
        <v>0</v>
      </c>
      <c r="L28" s="199">
        <f t="shared" si="3"/>
        <v>0</v>
      </c>
      <c r="M28" s="185">
        <v>0</v>
      </c>
      <c r="N28" s="6"/>
      <c r="O28" s="5"/>
    </row>
    <row r="29" spans="1:15">
      <c r="A29" s="316">
        <v>26</v>
      </c>
      <c r="B29" s="110">
        <v>45742</v>
      </c>
      <c r="C29" s="6"/>
      <c r="D29" s="6"/>
      <c r="E29" s="87">
        <v>0</v>
      </c>
      <c r="F29" s="6">
        <v>0</v>
      </c>
      <c r="G29" s="88">
        <f t="shared" si="0"/>
        <v>0</v>
      </c>
      <c r="H29" s="87">
        <v>0</v>
      </c>
      <c r="I29" s="6">
        <v>0</v>
      </c>
      <c r="J29" s="88">
        <f t="shared" si="1"/>
        <v>0</v>
      </c>
      <c r="K29" s="88">
        <f t="shared" si="2"/>
        <v>0</v>
      </c>
      <c r="L29" s="199">
        <f t="shared" si="3"/>
        <v>0</v>
      </c>
      <c r="M29" s="185">
        <v>0</v>
      </c>
      <c r="N29" s="6"/>
      <c r="O29" s="5"/>
    </row>
    <row r="30" spans="1:15">
      <c r="A30" s="316">
        <v>27</v>
      </c>
      <c r="B30" s="110">
        <v>45743</v>
      </c>
      <c r="C30" s="6"/>
      <c r="D30" s="6"/>
      <c r="E30" s="87">
        <v>0</v>
      </c>
      <c r="F30" s="6">
        <v>0</v>
      </c>
      <c r="G30" s="88">
        <f t="shared" si="0"/>
        <v>0</v>
      </c>
      <c r="H30" s="87">
        <v>0</v>
      </c>
      <c r="I30" s="6">
        <v>0</v>
      </c>
      <c r="J30" s="88">
        <f t="shared" si="1"/>
        <v>0</v>
      </c>
      <c r="K30" s="88">
        <f t="shared" si="2"/>
        <v>0</v>
      </c>
      <c r="L30" s="199">
        <f t="shared" si="3"/>
        <v>0</v>
      </c>
      <c r="M30" s="185">
        <v>0</v>
      </c>
      <c r="N30" s="6"/>
      <c r="O30" s="5"/>
    </row>
    <row r="31" spans="1:15">
      <c r="A31" s="316">
        <v>28</v>
      </c>
      <c r="B31" s="110">
        <v>45744</v>
      </c>
      <c r="C31" s="6"/>
      <c r="D31" s="6"/>
      <c r="E31" s="87">
        <v>0</v>
      </c>
      <c r="F31" s="6">
        <v>0</v>
      </c>
      <c r="G31" s="88">
        <f t="shared" si="0"/>
        <v>0</v>
      </c>
      <c r="H31" s="87">
        <v>0</v>
      </c>
      <c r="I31" s="6">
        <v>0</v>
      </c>
      <c r="J31" s="88">
        <f t="shared" si="1"/>
        <v>0</v>
      </c>
      <c r="K31" s="88">
        <f t="shared" si="2"/>
        <v>0</v>
      </c>
      <c r="L31" s="199">
        <f t="shared" si="3"/>
        <v>0</v>
      </c>
      <c r="M31" s="185">
        <v>0</v>
      </c>
      <c r="N31" s="6"/>
      <c r="O31" s="5"/>
    </row>
    <row r="32" spans="1:15">
      <c r="A32" s="317">
        <v>29</v>
      </c>
      <c r="B32" s="110">
        <v>45745</v>
      </c>
      <c r="C32" s="6"/>
      <c r="D32" s="6"/>
      <c r="E32" s="87">
        <v>0</v>
      </c>
      <c r="F32" s="6">
        <v>0</v>
      </c>
      <c r="G32" s="88">
        <f t="shared" si="0"/>
        <v>0</v>
      </c>
      <c r="H32" s="87">
        <v>0</v>
      </c>
      <c r="I32" s="6">
        <v>0</v>
      </c>
      <c r="J32" s="88">
        <f t="shared" si="1"/>
        <v>0</v>
      </c>
      <c r="K32" s="88">
        <f t="shared" si="2"/>
        <v>0</v>
      </c>
      <c r="L32" s="199">
        <f t="shared" si="3"/>
        <v>0</v>
      </c>
      <c r="M32" s="185">
        <v>0</v>
      </c>
      <c r="N32" s="6"/>
      <c r="O32" s="5"/>
    </row>
    <row r="33" spans="1:15">
      <c r="A33" s="317">
        <v>30</v>
      </c>
      <c r="B33" s="110">
        <v>45746</v>
      </c>
      <c r="C33" s="6"/>
      <c r="D33" s="6"/>
      <c r="E33" s="87">
        <v>0</v>
      </c>
      <c r="F33" s="6">
        <v>0</v>
      </c>
      <c r="G33" s="88">
        <f t="shared" si="0"/>
        <v>0</v>
      </c>
      <c r="H33" s="87">
        <v>0</v>
      </c>
      <c r="I33" s="6">
        <v>0</v>
      </c>
      <c r="J33" s="88">
        <f t="shared" si="1"/>
        <v>0</v>
      </c>
      <c r="K33" s="88">
        <f t="shared" si="2"/>
        <v>0</v>
      </c>
      <c r="L33" s="199">
        <f t="shared" si="3"/>
        <v>0</v>
      </c>
      <c r="M33" s="185">
        <v>0</v>
      </c>
      <c r="N33" s="6"/>
      <c r="O33" s="5"/>
    </row>
    <row r="34" spans="1:15">
      <c r="A34" s="317">
        <v>31</v>
      </c>
      <c r="B34" s="110">
        <v>45747</v>
      </c>
      <c r="C34" s="6"/>
      <c r="D34" s="6"/>
      <c r="E34" s="87">
        <v>5</v>
      </c>
      <c r="F34" s="6">
        <v>89.22</v>
      </c>
      <c r="G34" s="88">
        <f t="shared" si="0"/>
        <v>446.1</v>
      </c>
      <c r="H34" s="87">
        <v>0</v>
      </c>
      <c r="I34" s="6">
        <v>0</v>
      </c>
      <c r="J34" s="88">
        <f t="shared" si="1"/>
        <v>0</v>
      </c>
      <c r="K34" s="88">
        <f t="shared" si="2"/>
        <v>446.1</v>
      </c>
      <c r="L34" s="199">
        <f t="shared" si="3"/>
        <v>446.1</v>
      </c>
      <c r="M34" s="185">
        <v>0</v>
      </c>
      <c r="N34" s="6"/>
      <c r="O34" s="5"/>
    </row>
    <row r="35" spans="1:15">
      <c r="A35" s="6">
        <v>34</v>
      </c>
      <c r="B35" s="102"/>
      <c r="C35" s="6"/>
      <c r="D35" s="6"/>
      <c r="E35" s="87">
        <v>0</v>
      </c>
      <c r="F35" s="6">
        <v>0</v>
      </c>
      <c r="G35" s="88">
        <f t="shared" si="0"/>
        <v>0</v>
      </c>
      <c r="H35" s="87">
        <v>0</v>
      </c>
      <c r="I35" s="6">
        <v>0</v>
      </c>
      <c r="J35" s="88">
        <f t="shared" si="1"/>
        <v>0</v>
      </c>
      <c r="K35" s="88">
        <f t="shared" si="2"/>
        <v>0</v>
      </c>
      <c r="L35" s="199">
        <f t="shared" si="3"/>
        <v>0</v>
      </c>
      <c r="M35" s="185">
        <v>0</v>
      </c>
      <c r="N35" s="6"/>
      <c r="O35" s="5"/>
    </row>
    <row r="36" spans="1:15">
      <c r="A36" s="6">
        <v>35</v>
      </c>
      <c r="B36" s="102"/>
      <c r="C36" s="6"/>
      <c r="D36" s="6"/>
      <c r="E36" s="87">
        <v>0</v>
      </c>
      <c r="F36" s="6">
        <v>0</v>
      </c>
      <c r="G36" s="88">
        <f t="shared" ref="G5:G43" si="4">E36*F36</f>
        <v>0</v>
      </c>
      <c r="H36" s="87"/>
      <c r="I36" s="6"/>
      <c r="J36" s="88">
        <f t="shared" ref="J5:J43" si="5">H36*I36</f>
        <v>0</v>
      </c>
      <c r="K36" s="88">
        <f t="shared" ref="K5:K43" si="6">G36+J36</f>
        <v>0</v>
      </c>
      <c r="L36" s="199">
        <f t="shared" ref="L5:L43" si="7">+K36</f>
        <v>0</v>
      </c>
      <c r="M36" s="185">
        <v>0</v>
      </c>
      <c r="N36" s="6"/>
      <c r="O36" s="5"/>
    </row>
    <row r="37" spans="1:15">
      <c r="A37" s="6">
        <v>36</v>
      </c>
      <c r="B37" s="102"/>
      <c r="C37" s="6"/>
      <c r="D37" s="6"/>
      <c r="E37" s="87">
        <v>0</v>
      </c>
      <c r="F37" s="6">
        <v>0</v>
      </c>
      <c r="G37" s="88">
        <f t="shared" si="4"/>
        <v>0</v>
      </c>
      <c r="H37" s="87"/>
      <c r="I37" s="6"/>
      <c r="J37" s="88">
        <f t="shared" si="5"/>
        <v>0</v>
      </c>
      <c r="K37" s="88">
        <f t="shared" si="6"/>
        <v>0</v>
      </c>
      <c r="L37" s="199">
        <f t="shared" si="7"/>
        <v>0</v>
      </c>
      <c r="M37" s="185">
        <v>0</v>
      </c>
      <c r="N37" s="6"/>
      <c r="O37" s="5"/>
    </row>
    <row r="38" spans="1:15">
      <c r="A38" s="6">
        <v>37</v>
      </c>
      <c r="B38" s="102"/>
      <c r="C38" s="6"/>
      <c r="D38" s="6"/>
      <c r="E38" s="87">
        <v>0</v>
      </c>
      <c r="F38" s="6">
        <v>0</v>
      </c>
      <c r="G38" s="88">
        <f t="shared" si="4"/>
        <v>0</v>
      </c>
      <c r="H38" s="87"/>
      <c r="I38" s="6"/>
      <c r="J38" s="88">
        <f t="shared" si="5"/>
        <v>0</v>
      </c>
      <c r="K38" s="88">
        <f t="shared" si="6"/>
        <v>0</v>
      </c>
      <c r="L38" s="199">
        <f t="shared" si="7"/>
        <v>0</v>
      </c>
      <c r="M38" s="185">
        <v>0</v>
      </c>
      <c r="N38" s="6"/>
      <c r="O38" s="5"/>
    </row>
    <row r="39" spans="1:15">
      <c r="A39" s="6">
        <v>38</v>
      </c>
      <c r="B39" s="102"/>
      <c r="C39" s="6"/>
      <c r="D39" s="6"/>
      <c r="E39" s="87">
        <v>0</v>
      </c>
      <c r="F39" s="6">
        <v>0</v>
      </c>
      <c r="G39" s="88">
        <f t="shared" si="4"/>
        <v>0</v>
      </c>
      <c r="H39" s="87"/>
      <c r="I39" s="6"/>
      <c r="J39" s="88">
        <f t="shared" si="5"/>
        <v>0</v>
      </c>
      <c r="K39" s="88">
        <f t="shared" si="6"/>
        <v>0</v>
      </c>
      <c r="L39" s="199">
        <f t="shared" si="7"/>
        <v>0</v>
      </c>
      <c r="M39" s="185">
        <v>0</v>
      </c>
      <c r="N39" s="6"/>
      <c r="O39" s="5"/>
    </row>
    <row r="40" spans="1:15">
      <c r="A40" s="210">
        <v>39</v>
      </c>
      <c r="B40" s="211"/>
      <c r="C40" s="210"/>
      <c r="D40" s="6"/>
      <c r="E40" s="87">
        <v>0</v>
      </c>
      <c r="F40" s="6">
        <v>0</v>
      </c>
      <c r="G40" s="88">
        <f t="shared" si="4"/>
        <v>0</v>
      </c>
      <c r="H40" s="87"/>
      <c r="I40" s="6"/>
      <c r="J40" s="88">
        <f t="shared" si="5"/>
        <v>0</v>
      </c>
      <c r="K40" s="212">
        <f t="shared" si="6"/>
        <v>0</v>
      </c>
      <c r="L40" s="199">
        <f t="shared" si="7"/>
        <v>0</v>
      </c>
      <c r="M40" s="214">
        <v>0</v>
      </c>
      <c r="N40" s="210"/>
      <c r="O40" s="5"/>
    </row>
    <row r="41" spans="1:15">
      <c r="A41" s="6">
        <v>40</v>
      </c>
      <c r="B41" s="6"/>
      <c r="C41" s="6"/>
      <c r="D41" s="6"/>
      <c r="E41" s="87">
        <v>0</v>
      </c>
      <c r="F41" s="6">
        <v>0</v>
      </c>
      <c r="G41" s="88">
        <f t="shared" si="4"/>
        <v>0</v>
      </c>
      <c r="H41" s="87"/>
      <c r="I41" s="6"/>
      <c r="J41" s="88">
        <f t="shared" si="5"/>
        <v>0</v>
      </c>
      <c r="K41" s="88">
        <f t="shared" si="6"/>
        <v>0</v>
      </c>
      <c r="L41" s="199">
        <f t="shared" si="7"/>
        <v>0</v>
      </c>
      <c r="M41" s="185">
        <v>0</v>
      </c>
      <c r="N41" s="6"/>
      <c r="O41" s="5"/>
    </row>
    <row r="42" spans="1:15">
      <c r="A42" s="210">
        <v>41</v>
      </c>
      <c r="B42" s="210"/>
      <c r="C42" s="210"/>
      <c r="D42" s="6"/>
      <c r="E42" s="87">
        <v>0</v>
      </c>
      <c r="F42" s="6">
        <v>0</v>
      </c>
      <c r="G42" s="88">
        <f t="shared" si="4"/>
        <v>0</v>
      </c>
      <c r="H42" s="87"/>
      <c r="I42" s="6"/>
      <c r="J42" s="88">
        <f t="shared" si="5"/>
        <v>0</v>
      </c>
      <c r="K42" s="212">
        <f t="shared" si="6"/>
        <v>0</v>
      </c>
      <c r="L42" s="199">
        <f t="shared" si="7"/>
        <v>0</v>
      </c>
      <c r="M42" s="214">
        <v>0</v>
      </c>
      <c r="N42" s="210"/>
      <c r="O42" s="5"/>
    </row>
    <row r="43" spans="1:15">
      <c r="A43" s="210">
        <v>42</v>
      </c>
      <c r="B43" s="210"/>
      <c r="C43" s="210"/>
      <c r="D43" s="6"/>
      <c r="E43" s="87">
        <v>0</v>
      </c>
      <c r="F43" s="6">
        <v>0</v>
      </c>
      <c r="G43" s="88">
        <f t="shared" si="4"/>
        <v>0</v>
      </c>
      <c r="H43" s="87"/>
      <c r="I43" s="6"/>
      <c r="J43" s="88">
        <f t="shared" si="5"/>
        <v>0</v>
      </c>
      <c r="K43" s="212">
        <f t="shared" si="6"/>
        <v>0</v>
      </c>
      <c r="L43" s="213">
        <f t="shared" si="7"/>
        <v>0</v>
      </c>
      <c r="M43" s="214">
        <v>0</v>
      </c>
      <c r="N43" s="210"/>
      <c r="O43" s="5"/>
    </row>
    <row r="44" spans="1:15">
      <c r="A44" s="84"/>
      <c r="B44" s="84"/>
      <c r="C44" s="84"/>
      <c r="D44" s="84"/>
      <c r="E44" s="85">
        <f>SUM(E4:E43)</f>
        <v>466.2</v>
      </c>
      <c r="F44" s="85"/>
      <c r="G44" s="85">
        <f>SUM(G4:G43)</f>
        <v>41594.363999999994</v>
      </c>
      <c r="H44" s="85">
        <f>SUM(H4:H43)</f>
        <v>4.8499999999999996</v>
      </c>
      <c r="I44" s="85"/>
      <c r="J44" s="85">
        <f>SUM(J4:J43)</f>
        <v>500.27749999999997</v>
      </c>
      <c r="K44" s="85">
        <f>SUM(K4:K43)</f>
        <v>42094.641499999998</v>
      </c>
      <c r="L44" s="85">
        <f>SUM(L4:L43)</f>
        <v>42094.641499999998</v>
      </c>
      <c r="M44" s="85"/>
      <c r="N44" s="85"/>
      <c r="O44" s="81"/>
    </row>
    <row r="45" spans="1:15">
      <c r="A45" s="5"/>
      <c r="B45" s="5"/>
      <c r="C45" s="5"/>
      <c r="D45" s="5"/>
      <c r="E45" s="5"/>
      <c r="F45" s="5"/>
      <c r="G45" s="127"/>
      <c r="H45" s="5"/>
      <c r="I45" s="5"/>
      <c r="J45" s="127"/>
      <c r="K45" s="5"/>
      <c r="L45" s="127"/>
      <c r="M45" s="127"/>
      <c r="N45" s="5"/>
      <c r="O45" s="5"/>
    </row>
    <row r="46" spans="1:15">
      <c r="A46" s="5"/>
      <c r="B46" s="5"/>
      <c r="C46" s="5"/>
      <c r="D46" s="5"/>
      <c r="E46" s="5"/>
      <c r="F46" s="5"/>
      <c r="G46" s="127"/>
      <c r="H46" s="5"/>
      <c r="I46" s="5"/>
      <c r="J46" s="127"/>
      <c r="K46" s="5"/>
      <c r="L46" s="127"/>
      <c r="M46" s="127"/>
      <c r="N46" s="5"/>
      <c r="O46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20EFF-7FC6-455A-AFB9-5E2CE46C92B6}">
  <sheetPr>
    <tabColor rgb="FF92D050"/>
  </sheetPr>
  <dimension ref="A1:O48"/>
  <sheetViews>
    <sheetView topLeftCell="A18" workbookViewId="0">
      <selection activeCell="Q42" sqref="Q42"/>
    </sheetView>
  </sheetViews>
  <sheetFormatPr defaultRowHeight="15"/>
  <cols>
    <col min="2" max="2" width="10.85546875" bestFit="1" customWidth="1"/>
    <col min="7" max="7" width="11.5703125" bestFit="1" customWidth="1"/>
    <col min="11" max="12" width="16" customWidth="1"/>
    <col min="14" max="14" width="14.7109375" bestFit="1" customWidth="1"/>
  </cols>
  <sheetData>
    <row r="1" spans="1:15" ht="15.75">
      <c r="A1" s="386" t="s">
        <v>85</v>
      </c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  <c r="M1" s="386"/>
      <c r="N1" s="386"/>
      <c r="O1" s="5"/>
    </row>
    <row r="2" spans="1:15" ht="30.75">
      <c r="A2" s="86" t="s">
        <v>91</v>
      </c>
      <c r="B2" s="107" t="s">
        <v>92</v>
      </c>
      <c r="C2" s="107" t="s">
        <v>93</v>
      </c>
      <c r="D2" s="107" t="s">
        <v>165</v>
      </c>
      <c r="E2" s="107" t="s">
        <v>95</v>
      </c>
      <c r="F2" s="107" t="s">
        <v>96</v>
      </c>
      <c r="G2" s="115" t="s">
        <v>97</v>
      </c>
      <c r="H2" s="107" t="s">
        <v>98</v>
      </c>
      <c r="I2" s="107" t="s">
        <v>96</v>
      </c>
      <c r="J2" s="115" t="s">
        <v>97</v>
      </c>
      <c r="K2" s="86" t="s">
        <v>99</v>
      </c>
      <c r="L2" s="116" t="s">
        <v>100</v>
      </c>
      <c r="M2" s="109" t="s">
        <v>101</v>
      </c>
      <c r="N2" s="107" t="s">
        <v>102</v>
      </c>
      <c r="O2" s="5"/>
    </row>
    <row r="3" spans="1:15">
      <c r="A3" s="397" t="s">
        <v>103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9"/>
      <c r="M3" s="400" t="s">
        <v>168</v>
      </c>
      <c r="N3" s="401"/>
      <c r="O3" s="5"/>
    </row>
    <row r="4" spans="1:15">
      <c r="A4" s="257">
        <v>1</v>
      </c>
      <c r="B4" s="314">
        <v>45717</v>
      </c>
      <c r="C4" s="6"/>
      <c r="D4" s="6"/>
      <c r="E4" s="87">
        <v>78.260000000000005</v>
      </c>
      <c r="F4" s="6">
        <v>89.44</v>
      </c>
      <c r="G4" s="88">
        <f>E4*F4</f>
        <v>6999.5744000000004</v>
      </c>
      <c r="H4" s="87">
        <v>0</v>
      </c>
      <c r="I4" s="6">
        <v>0</v>
      </c>
      <c r="J4" s="88">
        <f>H4*I4</f>
        <v>0</v>
      </c>
      <c r="K4" s="88">
        <f>G4+J4</f>
        <v>6999.5744000000004</v>
      </c>
      <c r="L4" s="199">
        <f>+K4</f>
        <v>6999.5744000000004</v>
      </c>
      <c r="M4" s="185">
        <v>0</v>
      </c>
      <c r="N4" s="64" t="s">
        <v>170</v>
      </c>
      <c r="O4" s="5"/>
    </row>
    <row r="5" spans="1:15">
      <c r="A5" s="64">
        <v>2</v>
      </c>
      <c r="B5" s="267">
        <v>45718</v>
      </c>
      <c r="C5" s="6"/>
      <c r="D5" s="6"/>
      <c r="E5" s="87">
        <v>0</v>
      </c>
      <c r="F5" s="6">
        <v>0</v>
      </c>
      <c r="G5" s="88">
        <f t="shared" ref="G5:G28" si="0">E5*F5</f>
        <v>0</v>
      </c>
      <c r="H5" s="87">
        <v>0</v>
      </c>
      <c r="I5" s="6">
        <v>0</v>
      </c>
      <c r="J5" s="88">
        <f t="shared" ref="J5:J28" si="1">H5*I5</f>
        <v>0</v>
      </c>
      <c r="K5" s="88">
        <f t="shared" ref="K5:K28" si="2">G5+J5</f>
        <v>0</v>
      </c>
      <c r="L5" s="199">
        <f t="shared" ref="L5:L28" si="3">+K5</f>
        <v>0</v>
      </c>
      <c r="M5" s="185">
        <v>0</v>
      </c>
      <c r="N5" s="64" t="s">
        <v>170</v>
      </c>
      <c r="O5" s="5"/>
    </row>
    <row r="6" spans="1:15">
      <c r="A6" s="64">
        <v>3</v>
      </c>
      <c r="B6" s="267">
        <v>45719</v>
      </c>
      <c r="C6" s="6"/>
      <c r="D6" s="6"/>
      <c r="E6" s="87">
        <v>78.260000000000005</v>
      </c>
      <c r="F6" s="6">
        <v>89.44</v>
      </c>
      <c r="G6" s="88">
        <f t="shared" si="0"/>
        <v>6999.5744000000004</v>
      </c>
      <c r="H6" s="87">
        <v>0</v>
      </c>
      <c r="I6" s="6">
        <v>0</v>
      </c>
      <c r="J6" s="88">
        <f t="shared" si="1"/>
        <v>0</v>
      </c>
      <c r="K6" s="88">
        <f t="shared" si="2"/>
        <v>6999.5744000000004</v>
      </c>
      <c r="L6" s="199">
        <f t="shared" si="3"/>
        <v>6999.5744000000004</v>
      </c>
      <c r="M6" s="185">
        <v>0</v>
      </c>
      <c r="N6" s="64" t="s">
        <v>170</v>
      </c>
      <c r="O6" s="5"/>
    </row>
    <row r="7" spans="1:15">
      <c r="A7" s="64">
        <v>4</v>
      </c>
      <c r="B7" s="267">
        <v>45720</v>
      </c>
      <c r="C7" s="6"/>
      <c r="D7" s="6"/>
      <c r="E7" s="87">
        <v>0</v>
      </c>
      <c r="F7" s="6">
        <v>0</v>
      </c>
      <c r="G7" s="88">
        <f t="shared" si="0"/>
        <v>0</v>
      </c>
      <c r="H7" s="87">
        <v>0</v>
      </c>
      <c r="I7" s="6">
        <v>0</v>
      </c>
      <c r="J7" s="88">
        <f t="shared" si="1"/>
        <v>0</v>
      </c>
      <c r="K7" s="88">
        <f t="shared" si="2"/>
        <v>0</v>
      </c>
      <c r="L7" s="199">
        <f t="shared" si="3"/>
        <v>0</v>
      </c>
      <c r="M7" s="185">
        <v>0</v>
      </c>
      <c r="N7" s="64" t="s">
        <v>170</v>
      </c>
      <c r="O7" s="5"/>
    </row>
    <row r="8" spans="1:15">
      <c r="A8" s="64">
        <v>5</v>
      </c>
      <c r="B8" s="267">
        <v>45721</v>
      </c>
      <c r="C8" s="6"/>
      <c r="D8" s="6"/>
      <c r="E8" s="87">
        <v>22.36</v>
      </c>
      <c r="F8" s="6">
        <v>89.44</v>
      </c>
      <c r="G8" s="88">
        <f t="shared" si="0"/>
        <v>1999.8783999999998</v>
      </c>
      <c r="H8" s="87">
        <v>0</v>
      </c>
      <c r="I8" s="6">
        <v>0</v>
      </c>
      <c r="J8" s="88">
        <f t="shared" si="1"/>
        <v>0</v>
      </c>
      <c r="K8" s="88">
        <f t="shared" si="2"/>
        <v>1999.8783999999998</v>
      </c>
      <c r="L8" s="199">
        <f t="shared" si="3"/>
        <v>1999.8783999999998</v>
      </c>
      <c r="M8" s="185">
        <v>0</v>
      </c>
      <c r="N8" s="64" t="s">
        <v>170</v>
      </c>
      <c r="O8" s="5"/>
    </row>
    <row r="9" spans="1:15">
      <c r="A9" s="64">
        <v>6</v>
      </c>
      <c r="B9" s="267">
        <v>45722</v>
      </c>
      <c r="C9" s="6"/>
      <c r="D9" s="6"/>
      <c r="E9" s="87">
        <v>33.54</v>
      </c>
      <c r="F9" s="6">
        <v>89.44</v>
      </c>
      <c r="G9" s="88">
        <f t="shared" si="0"/>
        <v>2999.8175999999999</v>
      </c>
      <c r="H9" s="87">
        <v>0</v>
      </c>
      <c r="I9" s="6">
        <v>0</v>
      </c>
      <c r="J9" s="88">
        <f t="shared" si="1"/>
        <v>0</v>
      </c>
      <c r="K9" s="88">
        <f t="shared" si="2"/>
        <v>2999.8175999999999</v>
      </c>
      <c r="L9" s="199">
        <f t="shared" si="3"/>
        <v>2999.8175999999999</v>
      </c>
      <c r="M9" s="185">
        <v>0</v>
      </c>
      <c r="N9" s="64" t="s">
        <v>170</v>
      </c>
      <c r="O9" s="5"/>
    </row>
    <row r="10" spans="1:15">
      <c r="A10" s="64">
        <v>7</v>
      </c>
      <c r="B10" s="267">
        <v>45723</v>
      </c>
      <c r="C10" s="6"/>
      <c r="D10" s="6"/>
      <c r="E10" s="87">
        <v>44.72</v>
      </c>
      <c r="F10" s="6">
        <v>89.44</v>
      </c>
      <c r="G10" s="88">
        <f t="shared" si="0"/>
        <v>3999.7567999999997</v>
      </c>
      <c r="H10" s="87">
        <v>4.83</v>
      </c>
      <c r="I10" s="6">
        <v>103.39</v>
      </c>
      <c r="J10" s="88">
        <f t="shared" si="1"/>
        <v>499.37369999999999</v>
      </c>
      <c r="K10" s="88">
        <f t="shared" si="2"/>
        <v>4499.1304999999993</v>
      </c>
      <c r="L10" s="199">
        <f t="shared" si="3"/>
        <v>4499.1304999999993</v>
      </c>
      <c r="M10" s="185">
        <v>0</v>
      </c>
      <c r="N10" s="64" t="s">
        <v>170</v>
      </c>
      <c r="O10" s="5"/>
    </row>
    <row r="11" spans="1:15">
      <c r="A11" s="64">
        <v>8</v>
      </c>
      <c r="B11" s="267">
        <v>45724</v>
      </c>
      <c r="C11" s="6"/>
      <c r="D11" s="6"/>
      <c r="E11" s="87">
        <v>0</v>
      </c>
      <c r="F11" s="6">
        <v>0</v>
      </c>
      <c r="G11" s="88">
        <f t="shared" si="0"/>
        <v>0</v>
      </c>
      <c r="H11" s="87">
        <v>9.66</v>
      </c>
      <c r="I11" s="6">
        <v>103.39</v>
      </c>
      <c r="J11" s="88">
        <f t="shared" si="1"/>
        <v>998.74739999999997</v>
      </c>
      <c r="K11" s="88">
        <f t="shared" si="2"/>
        <v>998.74739999999997</v>
      </c>
      <c r="L11" s="199">
        <f t="shared" si="3"/>
        <v>998.74739999999997</v>
      </c>
      <c r="M11" s="185">
        <v>0</v>
      </c>
      <c r="N11" s="64" t="s">
        <v>170</v>
      </c>
      <c r="O11" s="5"/>
    </row>
    <row r="12" spans="1:15">
      <c r="A12" s="64">
        <v>9</v>
      </c>
      <c r="B12" s="267">
        <v>45725</v>
      </c>
      <c r="C12" s="6"/>
      <c r="D12" s="6"/>
      <c r="E12" s="87">
        <v>44.72</v>
      </c>
      <c r="F12" s="6">
        <v>89.44</v>
      </c>
      <c r="G12" s="88">
        <f t="shared" si="0"/>
        <v>3999.7567999999997</v>
      </c>
      <c r="H12" s="87">
        <v>0</v>
      </c>
      <c r="I12" s="6">
        <v>0</v>
      </c>
      <c r="J12" s="88">
        <f t="shared" si="1"/>
        <v>0</v>
      </c>
      <c r="K12" s="88">
        <f t="shared" si="2"/>
        <v>3999.7567999999997</v>
      </c>
      <c r="L12" s="199">
        <f t="shared" si="3"/>
        <v>3999.7567999999997</v>
      </c>
      <c r="M12" s="185">
        <v>0</v>
      </c>
      <c r="N12" s="64" t="s">
        <v>170</v>
      </c>
      <c r="O12" s="5"/>
    </row>
    <row r="13" spans="1:15">
      <c r="A13" s="64">
        <v>10</v>
      </c>
      <c r="B13" s="267">
        <v>45726</v>
      </c>
      <c r="C13" s="6"/>
      <c r="D13" s="6"/>
      <c r="E13" s="87">
        <v>120</v>
      </c>
      <c r="F13" s="6">
        <v>89.61</v>
      </c>
      <c r="G13" s="88">
        <f t="shared" si="0"/>
        <v>10753.2</v>
      </c>
      <c r="H13" s="87">
        <v>0</v>
      </c>
      <c r="I13" s="6">
        <v>0</v>
      </c>
      <c r="J13" s="88">
        <f t="shared" si="1"/>
        <v>0</v>
      </c>
      <c r="K13" s="88">
        <f t="shared" si="2"/>
        <v>10753.2</v>
      </c>
      <c r="L13" s="199">
        <f>+K13</f>
        <v>10753.2</v>
      </c>
      <c r="M13" s="185">
        <v>0</v>
      </c>
      <c r="N13" s="64" t="s">
        <v>170</v>
      </c>
      <c r="O13" s="5"/>
    </row>
    <row r="14" spans="1:15">
      <c r="A14" s="64">
        <v>11</v>
      </c>
      <c r="B14" s="267">
        <v>45727</v>
      </c>
      <c r="C14" s="6"/>
      <c r="D14" s="6"/>
      <c r="E14" s="87">
        <v>0</v>
      </c>
      <c r="F14" s="6">
        <v>0</v>
      </c>
      <c r="G14" s="88">
        <f t="shared" si="0"/>
        <v>0</v>
      </c>
      <c r="H14" s="87">
        <v>0</v>
      </c>
      <c r="I14" s="6">
        <v>0</v>
      </c>
      <c r="J14" s="88">
        <f t="shared" si="1"/>
        <v>0</v>
      </c>
      <c r="K14" s="88">
        <f t="shared" si="2"/>
        <v>0</v>
      </c>
      <c r="L14" s="199">
        <f t="shared" si="3"/>
        <v>0</v>
      </c>
      <c r="M14" s="185">
        <v>0</v>
      </c>
      <c r="N14" s="64" t="s">
        <v>170</v>
      </c>
      <c r="O14" s="5"/>
    </row>
    <row r="15" spans="1:15">
      <c r="A15" s="64">
        <v>12</v>
      </c>
      <c r="B15" s="267">
        <v>45728</v>
      </c>
      <c r="C15" s="6"/>
      <c r="D15" s="6"/>
      <c r="E15" s="87">
        <v>70</v>
      </c>
      <c r="F15" s="6">
        <v>89.61</v>
      </c>
      <c r="G15" s="88">
        <f t="shared" si="0"/>
        <v>6272.7</v>
      </c>
      <c r="H15" s="87">
        <v>10.15</v>
      </c>
      <c r="I15" s="6">
        <v>103.39</v>
      </c>
      <c r="J15" s="88">
        <f t="shared" si="1"/>
        <v>1049.4085</v>
      </c>
      <c r="K15" s="88">
        <f t="shared" si="2"/>
        <v>7322.1085000000003</v>
      </c>
      <c r="L15" s="199">
        <f>+K15</f>
        <v>7322.1085000000003</v>
      </c>
      <c r="M15" s="185">
        <v>0</v>
      </c>
      <c r="N15" s="64" t="s">
        <v>170</v>
      </c>
      <c r="O15" s="5"/>
    </row>
    <row r="16" spans="1:15">
      <c r="A16" s="64"/>
      <c r="B16" s="267">
        <v>45728</v>
      </c>
      <c r="C16" s="6"/>
      <c r="D16" s="6"/>
      <c r="E16" s="87">
        <v>55.9</v>
      </c>
      <c r="F16" s="6">
        <v>89.44</v>
      </c>
      <c r="G16" s="88">
        <f t="shared" si="0"/>
        <v>4999.6959999999999</v>
      </c>
      <c r="H16" s="87">
        <v>0</v>
      </c>
      <c r="I16" s="6">
        <v>0</v>
      </c>
      <c r="J16" s="88">
        <f>H16*I16</f>
        <v>0</v>
      </c>
      <c r="K16" s="88">
        <f t="shared" si="2"/>
        <v>4999.6959999999999</v>
      </c>
      <c r="L16" s="199">
        <f>+K16</f>
        <v>4999.6959999999999</v>
      </c>
      <c r="M16" s="185"/>
      <c r="N16" s="64" t="s">
        <v>170</v>
      </c>
      <c r="O16" s="5"/>
    </row>
    <row r="17" spans="1:15">
      <c r="A17" s="64">
        <v>13</v>
      </c>
      <c r="B17" s="267">
        <v>45729</v>
      </c>
      <c r="C17" s="6"/>
      <c r="D17" s="6"/>
      <c r="E17" s="87">
        <v>0</v>
      </c>
      <c r="F17" s="6">
        <v>0</v>
      </c>
      <c r="G17" s="88">
        <f t="shared" si="0"/>
        <v>0</v>
      </c>
      <c r="H17" s="87">
        <v>0</v>
      </c>
      <c r="I17" s="6">
        <v>0</v>
      </c>
      <c r="J17" s="88">
        <f t="shared" si="1"/>
        <v>0</v>
      </c>
      <c r="K17" s="88">
        <f t="shared" si="2"/>
        <v>0</v>
      </c>
      <c r="L17" s="199">
        <f t="shared" si="3"/>
        <v>0</v>
      </c>
      <c r="M17" s="185">
        <v>0</v>
      </c>
      <c r="N17" s="64" t="s">
        <v>170</v>
      </c>
      <c r="O17" s="5"/>
    </row>
    <row r="18" spans="1:15">
      <c r="A18" s="64">
        <v>14</v>
      </c>
      <c r="B18" s="267">
        <v>45730</v>
      </c>
      <c r="C18" s="6"/>
      <c r="D18" s="6"/>
      <c r="E18" s="87">
        <v>0</v>
      </c>
      <c r="F18" s="6">
        <v>0</v>
      </c>
      <c r="G18" s="88">
        <f t="shared" si="0"/>
        <v>0</v>
      </c>
      <c r="H18" s="87">
        <v>0</v>
      </c>
      <c r="I18" s="6">
        <v>0</v>
      </c>
      <c r="J18" s="88">
        <f t="shared" si="1"/>
        <v>0</v>
      </c>
      <c r="K18" s="88">
        <f t="shared" si="2"/>
        <v>0</v>
      </c>
      <c r="L18" s="199">
        <f t="shared" si="3"/>
        <v>0</v>
      </c>
      <c r="M18" s="185">
        <v>0</v>
      </c>
      <c r="N18" s="64" t="s">
        <v>170</v>
      </c>
      <c r="O18" s="5"/>
    </row>
    <row r="19" spans="1:15">
      <c r="A19" s="64">
        <v>15</v>
      </c>
      <c r="B19" s="267">
        <v>45731</v>
      </c>
      <c r="C19" s="6"/>
      <c r="D19" s="6"/>
      <c r="E19" s="87">
        <v>30</v>
      </c>
      <c r="F19" s="6">
        <v>89.61</v>
      </c>
      <c r="G19" s="88">
        <f t="shared" si="0"/>
        <v>2688.3</v>
      </c>
      <c r="H19" s="87">
        <v>0</v>
      </c>
      <c r="I19" s="6">
        <v>0</v>
      </c>
      <c r="J19" s="88">
        <f t="shared" si="1"/>
        <v>0</v>
      </c>
      <c r="K19" s="88">
        <f t="shared" si="2"/>
        <v>2688.3</v>
      </c>
      <c r="L19" s="199">
        <f t="shared" si="3"/>
        <v>2688.3</v>
      </c>
      <c r="M19" s="185">
        <v>0</v>
      </c>
      <c r="N19" s="64" t="s">
        <v>170</v>
      </c>
      <c r="O19" s="5"/>
    </row>
    <row r="20" spans="1:15">
      <c r="A20" s="64">
        <v>16</v>
      </c>
      <c r="B20" s="267">
        <v>45732</v>
      </c>
      <c r="C20" s="6"/>
      <c r="D20" s="6"/>
      <c r="E20" s="87">
        <v>60</v>
      </c>
      <c r="F20" s="6">
        <v>89.61</v>
      </c>
      <c r="G20" s="88">
        <f t="shared" si="0"/>
        <v>5376.6</v>
      </c>
      <c r="H20" s="87">
        <v>7</v>
      </c>
      <c r="I20" s="6">
        <v>103.57</v>
      </c>
      <c r="J20" s="88">
        <f t="shared" si="1"/>
        <v>724.99</v>
      </c>
      <c r="K20" s="88">
        <f t="shared" si="2"/>
        <v>6101.59</v>
      </c>
      <c r="L20" s="199">
        <f t="shared" si="3"/>
        <v>6101.59</v>
      </c>
      <c r="M20" s="185">
        <v>0</v>
      </c>
      <c r="N20" s="64" t="s">
        <v>170</v>
      </c>
      <c r="O20" s="5"/>
    </row>
    <row r="21" spans="1:15">
      <c r="A21" s="64">
        <v>17</v>
      </c>
      <c r="B21" s="267">
        <v>45733</v>
      </c>
      <c r="C21" s="6"/>
      <c r="D21" s="6"/>
      <c r="E21" s="87">
        <v>60</v>
      </c>
      <c r="F21" s="6">
        <v>89.61</v>
      </c>
      <c r="G21" s="88">
        <f t="shared" si="0"/>
        <v>5376.6</v>
      </c>
      <c r="H21" s="87">
        <v>0</v>
      </c>
      <c r="I21" s="6">
        <v>0</v>
      </c>
      <c r="J21" s="88">
        <f t="shared" si="1"/>
        <v>0</v>
      </c>
      <c r="K21" s="88">
        <f t="shared" si="2"/>
        <v>5376.6</v>
      </c>
      <c r="L21" s="199">
        <f t="shared" si="3"/>
        <v>5376.6</v>
      </c>
      <c r="M21" s="185">
        <v>0</v>
      </c>
      <c r="N21" s="64" t="s">
        <v>170</v>
      </c>
      <c r="O21" s="5"/>
    </row>
    <row r="22" spans="1:15">
      <c r="A22" s="64">
        <v>18</v>
      </c>
      <c r="B22" s="267">
        <v>45734</v>
      </c>
      <c r="C22" s="6"/>
      <c r="D22" s="6"/>
      <c r="E22" s="87">
        <v>0</v>
      </c>
      <c r="F22" s="6">
        <v>0</v>
      </c>
      <c r="G22" s="88">
        <f t="shared" si="0"/>
        <v>0</v>
      </c>
      <c r="H22" s="87">
        <v>0</v>
      </c>
      <c r="I22" s="6">
        <v>0</v>
      </c>
      <c r="J22" s="88">
        <f t="shared" si="1"/>
        <v>0</v>
      </c>
      <c r="K22" s="88">
        <f t="shared" si="2"/>
        <v>0</v>
      </c>
      <c r="L22" s="199">
        <f t="shared" si="3"/>
        <v>0</v>
      </c>
      <c r="M22" s="185">
        <v>0</v>
      </c>
      <c r="N22" s="64" t="s">
        <v>170</v>
      </c>
      <c r="O22" s="5"/>
    </row>
    <row r="23" spans="1:15">
      <c r="A23" s="64">
        <v>19</v>
      </c>
      <c r="B23" s="267">
        <v>45735</v>
      </c>
      <c r="C23" s="6"/>
      <c r="D23" s="6"/>
      <c r="E23" s="87">
        <v>60</v>
      </c>
      <c r="F23" s="6">
        <v>89.61</v>
      </c>
      <c r="G23" s="88">
        <f t="shared" si="0"/>
        <v>5376.6</v>
      </c>
      <c r="H23" s="87">
        <v>12</v>
      </c>
      <c r="I23" s="6">
        <v>103.57</v>
      </c>
      <c r="J23" s="88">
        <f t="shared" si="1"/>
        <v>1242.8399999999999</v>
      </c>
      <c r="K23" s="88">
        <f t="shared" si="2"/>
        <v>6619.4400000000005</v>
      </c>
      <c r="L23" s="199">
        <f t="shared" si="3"/>
        <v>6619.4400000000005</v>
      </c>
      <c r="M23" s="185">
        <v>0</v>
      </c>
      <c r="N23" s="64" t="s">
        <v>170</v>
      </c>
      <c r="O23" s="5"/>
    </row>
    <row r="24" spans="1:15">
      <c r="A24" s="64">
        <v>20</v>
      </c>
      <c r="B24" s="267">
        <v>45736</v>
      </c>
      <c r="C24" s="6"/>
      <c r="D24" s="6"/>
      <c r="E24" s="87">
        <v>60</v>
      </c>
      <c r="F24" s="6">
        <v>89.61</v>
      </c>
      <c r="G24" s="88">
        <f t="shared" si="0"/>
        <v>5376.6</v>
      </c>
      <c r="H24" s="87">
        <v>0</v>
      </c>
      <c r="I24" s="6">
        <v>0</v>
      </c>
      <c r="J24" s="88">
        <f t="shared" si="1"/>
        <v>0</v>
      </c>
      <c r="K24" s="88">
        <f t="shared" si="2"/>
        <v>5376.6</v>
      </c>
      <c r="L24" s="199">
        <f t="shared" si="3"/>
        <v>5376.6</v>
      </c>
      <c r="M24" s="185">
        <v>0</v>
      </c>
      <c r="N24" s="64" t="s">
        <v>170</v>
      </c>
      <c r="O24" s="5"/>
    </row>
    <row r="25" spans="1:15">
      <c r="A25" s="64">
        <v>21</v>
      </c>
      <c r="B25" s="267">
        <v>45737</v>
      </c>
      <c r="C25" s="6"/>
      <c r="D25" s="6"/>
      <c r="E25" s="87">
        <v>60</v>
      </c>
      <c r="F25" s="6">
        <v>89.61</v>
      </c>
      <c r="G25" s="88">
        <f t="shared" si="0"/>
        <v>5376.6</v>
      </c>
      <c r="H25" s="87">
        <v>0</v>
      </c>
      <c r="I25" s="6">
        <v>0</v>
      </c>
      <c r="J25" s="88">
        <f t="shared" si="1"/>
        <v>0</v>
      </c>
      <c r="K25" s="88">
        <f t="shared" si="2"/>
        <v>5376.6</v>
      </c>
      <c r="L25" s="199">
        <f t="shared" si="3"/>
        <v>5376.6</v>
      </c>
      <c r="M25" s="185">
        <v>0</v>
      </c>
      <c r="N25" s="64" t="s">
        <v>170</v>
      </c>
      <c r="O25" s="5"/>
    </row>
    <row r="26" spans="1:15">
      <c r="A26" s="64">
        <v>22</v>
      </c>
      <c r="B26" s="267">
        <v>45738</v>
      </c>
      <c r="C26" s="6"/>
      <c r="D26" s="6"/>
      <c r="E26" s="87">
        <v>0</v>
      </c>
      <c r="F26" s="6">
        <v>89.61</v>
      </c>
      <c r="G26" s="88">
        <f t="shared" si="0"/>
        <v>0</v>
      </c>
      <c r="H26" s="87">
        <v>5</v>
      </c>
      <c r="I26" s="6">
        <v>103.26</v>
      </c>
      <c r="J26" s="88">
        <f t="shared" si="1"/>
        <v>516.30000000000007</v>
      </c>
      <c r="K26" s="88">
        <f t="shared" si="2"/>
        <v>516.30000000000007</v>
      </c>
      <c r="L26" s="199">
        <f t="shared" si="3"/>
        <v>516.30000000000007</v>
      </c>
      <c r="M26" s="185">
        <v>0</v>
      </c>
      <c r="N26" s="64" t="s">
        <v>170</v>
      </c>
      <c r="O26" s="5"/>
    </row>
    <row r="27" spans="1:15">
      <c r="A27" s="64">
        <v>23</v>
      </c>
      <c r="B27" s="267">
        <v>45739</v>
      </c>
      <c r="C27" s="6"/>
      <c r="D27" s="6"/>
      <c r="E27" s="87">
        <v>0</v>
      </c>
      <c r="F27" s="6">
        <v>89.61</v>
      </c>
      <c r="G27" s="88">
        <f t="shared" si="0"/>
        <v>0</v>
      </c>
      <c r="H27" s="87">
        <v>0</v>
      </c>
      <c r="I27" s="6">
        <v>0</v>
      </c>
      <c r="J27" s="88">
        <f t="shared" si="1"/>
        <v>0</v>
      </c>
      <c r="K27" s="88">
        <f t="shared" si="2"/>
        <v>0</v>
      </c>
      <c r="L27" s="199">
        <f t="shared" si="3"/>
        <v>0</v>
      </c>
      <c r="M27" s="185">
        <v>0</v>
      </c>
      <c r="N27" s="64" t="s">
        <v>170</v>
      </c>
      <c r="O27" s="5"/>
    </row>
    <row r="28" spans="1:15">
      <c r="A28" s="64">
        <v>24</v>
      </c>
      <c r="B28" s="307">
        <v>45740</v>
      </c>
      <c r="C28" s="6"/>
      <c r="D28" s="6"/>
      <c r="E28" s="87">
        <v>145.34</v>
      </c>
      <c r="F28" s="6">
        <v>89.44</v>
      </c>
      <c r="G28" s="88">
        <f t="shared" si="0"/>
        <v>12999.2096</v>
      </c>
      <c r="H28" s="87">
        <v>0</v>
      </c>
      <c r="I28" s="6">
        <v>0</v>
      </c>
      <c r="J28" s="88">
        <f t="shared" si="1"/>
        <v>0</v>
      </c>
      <c r="K28" s="88">
        <f t="shared" si="2"/>
        <v>12999.2096</v>
      </c>
      <c r="L28" s="199">
        <f t="shared" si="3"/>
        <v>12999.2096</v>
      </c>
      <c r="M28" s="185">
        <v>0</v>
      </c>
      <c r="N28" s="64" t="s">
        <v>170</v>
      </c>
      <c r="O28" s="5"/>
    </row>
    <row r="29" spans="1:15">
      <c r="A29" s="64">
        <v>24</v>
      </c>
      <c r="B29" s="307">
        <v>45740</v>
      </c>
      <c r="C29" s="6"/>
      <c r="D29" s="6"/>
      <c r="E29" s="87">
        <v>60</v>
      </c>
      <c r="F29" s="6">
        <v>89.61</v>
      </c>
      <c r="G29" s="88">
        <f t="shared" ref="G29" si="4">E29*F29</f>
        <v>5376.6</v>
      </c>
      <c r="H29" s="87">
        <v>0</v>
      </c>
      <c r="I29" s="6">
        <v>0</v>
      </c>
      <c r="J29" s="88">
        <f t="shared" ref="J29" si="5">H29*I29</f>
        <v>0</v>
      </c>
      <c r="K29" s="88">
        <f t="shared" ref="K29" si="6">G29+J29</f>
        <v>5376.6</v>
      </c>
      <c r="L29" s="199">
        <f t="shared" ref="L29" si="7">+K29</f>
        <v>5376.6</v>
      </c>
      <c r="M29" s="185">
        <v>0</v>
      </c>
      <c r="N29" s="64" t="s">
        <v>170</v>
      </c>
      <c r="O29" s="5"/>
    </row>
    <row r="30" spans="1:15">
      <c r="A30" s="316">
        <v>25</v>
      </c>
      <c r="B30" s="110">
        <v>45741</v>
      </c>
      <c r="C30" s="6"/>
      <c r="D30" s="6"/>
      <c r="E30" s="87">
        <v>0</v>
      </c>
      <c r="F30" s="6">
        <v>0</v>
      </c>
      <c r="G30" s="88">
        <f t="shared" ref="G30:G45" si="8">E30*F30</f>
        <v>0</v>
      </c>
      <c r="H30" s="87"/>
      <c r="I30" s="6"/>
      <c r="J30" s="88">
        <f t="shared" ref="J30:J45" si="9">H30*I30</f>
        <v>0</v>
      </c>
      <c r="K30" s="88">
        <f t="shared" ref="K30:K45" si="10">G30+J30</f>
        <v>0</v>
      </c>
      <c r="L30" s="199">
        <f t="shared" ref="L30:L45" si="11">+K30</f>
        <v>0</v>
      </c>
      <c r="M30" s="185">
        <v>0</v>
      </c>
      <c r="N30" s="64" t="s">
        <v>170</v>
      </c>
      <c r="O30" s="5"/>
    </row>
    <row r="31" spans="1:15">
      <c r="A31" s="316">
        <v>26</v>
      </c>
      <c r="B31" s="110">
        <v>45742</v>
      </c>
      <c r="C31" s="6"/>
      <c r="D31" s="6"/>
      <c r="E31" s="87">
        <v>0</v>
      </c>
      <c r="F31" s="6">
        <v>0</v>
      </c>
      <c r="G31" s="88">
        <f t="shared" si="8"/>
        <v>0</v>
      </c>
      <c r="H31" s="87"/>
      <c r="I31" s="6"/>
      <c r="J31" s="88">
        <f t="shared" si="9"/>
        <v>0</v>
      </c>
      <c r="K31" s="88">
        <f t="shared" si="10"/>
        <v>0</v>
      </c>
      <c r="L31" s="199">
        <f t="shared" si="11"/>
        <v>0</v>
      </c>
      <c r="M31" s="185">
        <v>0</v>
      </c>
      <c r="N31" s="64" t="s">
        <v>170</v>
      </c>
      <c r="O31" s="5"/>
    </row>
    <row r="32" spans="1:15">
      <c r="A32" s="316">
        <v>27</v>
      </c>
      <c r="B32" s="110">
        <v>45743</v>
      </c>
      <c r="C32" s="6"/>
      <c r="D32" s="6"/>
      <c r="E32" s="87">
        <v>134.16</v>
      </c>
      <c r="F32" s="6">
        <v>89.44</v>
      </c>
      <c r="G32" s="88">
        <f t="shared" si="8"/>
        <v>11999.270399999999</v>
      </c>
      <c r="H32" s="87">
        <v>14.49</v>
      </c>
      <c r="I32" s="6">
        <v>103.39</v>
      </c>
      <c r="J32" s="88">
        <f t="shared" si="9"/>
        <v>1498.1211000000001</v>
      </c>
      <c r="K32" s="88">
        <f t="shared" si="10"/>
        <v>13497.3915</v>
      </c>
      <c r="L32" s="199">
        <f t="shared" si="11"/>
        <v>13497.3915</v>
      </c>
      <c r="M32" s="185">
        <v>0</v>
      </c>
      <c r="N32" s="64" t="s">
        <v>170</v>
      </c>
      <c r="O32" s="5"/>
    </row>
    <row r="33" spans="1:15">
      <c r="A33" s="316">
        <v>28</v>
      </c>
      <c r="B33" s="110">
        <v>45744</v>
      </c>
      <c r="C33" s="6"/>
      <c r="D33" s="6"/>
      <c r="E33" s="87">
        <v>67.08</v>
      </c>
      <c r="F33" s="6">
        <v>89.44</v>
      </c>
      <c r="G33" s="88">
        <f t="shared" si="8"/>
        <v>5999.6351999999997</v>
      </c>
      <c r="H33" s="87"/>
      <c r="I33" s="6"/>
      <c r="J33" s="88">
        <f t="shared" si="9"/>
        <v>0</v>
      </c>
      <c r="K33" s="88">
        <f t="shared" si="10"/>
        <v>5999.6351999999997</v>
      </c>
      <c r="L33" s="199">
        <f t="shared" si="11"/>
        <v>5999.6351999999997</v>
      </c>
      <c r="M33" s="185">
        <v>0</v>
      </c>
      <c r="N33" s="64" t="s">
        <v>170</v>
      </c>
      <c r="O33" s="5"/>
    </row>
    <row r="34" spans="1:15">
      <c r="A34" s="317">
        <v>29</v>
      </c>
      <c r="B34" s="110">
        <v>45745</v>
      </c>
      <c r="C34" s="6"/>
      <c r="D34" s="6"/>
      <c r="E34" s="87">
        <v>0</v>
      </c>
      <c r="F34" s="6">
        <v>0</v>
      </c>
      <c r="G34" s="88">
        <f t="shared" si="8"/>
        <v>0</v>
      </c>
      <c r="H34" s="87"/>
      <c r="I34" s="6"/>
      <c r="J34" s="88">
        <f t="shared" si="9"/>
        <v>0</v>
      </c>
      <c r="K34" s="88">
        <f t="shared" si="10"/>
        <v>0</v>
      </c>
      <c r="L34" s="199">
        <f t="shared" si="11"/>
        <v>0</v>
      </c>
      <c r="M34" s="185">
        <v>0</v>
      </c>
      <c r="N34" s="64" t="s">
        <v>170</v>
      </c>
      <c r="O34" s="5"/>
    </row>
    <row r="35" spans="1:15">
      <c r="A35" s="317">
        <v>30</v>
      </c>
      <c r="B35" s="110">
        <v>45746</v>
      </c>
      <c r="C35" s="6"/>
      <c r="D35" s="6"/>
      <c r="E35" s="87">
        <v>60</v>
      </c>
      <c r="F35" s="6">
        <v>89.44</v>
      </c>
      <c r="G35" s="88">
        <f t="shared" si="8"/>
        <v>5366.4</v>
      </c>
      <c r="H35" s="87"/>
      <c r="I35" s="6"/>
      <c r="J35" s="88">
        <f t="shared" si="9"/>
        <v>0</v>
      </c>
      <c r="K35" s="88">
        <f t="shared" si="10"/>
        <v>5366.4</v>
      </c>
      <c r="L35" s="199">
        <f t="shared" si="11"/>
        <v>5366.4</v>
      </c>
      <c r="M35" s="185">
        <v>0</v>
      </c>
      <c r="N35" s="64" t="s">
        <v>170</v>
      </c>
      <c r="O35" s="5"/>
    </row>
    <row r="36" spans="1:15">
      <c r="A36" s="317">
        <v>31</v>
      </c>
      <c r="B36" s="110">
        <v>45747</v>
      </c>
      <c r="C36" s="6"/>
      <c r="D36" s="6"/>
      <c r="E36" s="87">
        <v>0</v>
      </c>
      <c r="F36" s="6">
        <v>0</v>
      </c>
      <c r="G36" s="88">
        <f t="shared" si="8"/>
        <v>0</v>
      </c>
      <c r="H36" s="87"/>
      <c r="I36" s="6"/>
      <c r="J36" s="88">
        <f t="shared" si="9"/>
        <v>0</v>
      </c>
      <c r="K36" s="88">
        <f t="shared" si="10"/>
        <v>0</v>
      </c>
      <c r="L36" s="199">
        <f t="shared" si="11"/>
        <v>0</v>
      </c>
      <c r="M36" s="185">
        <v>0</v>
      </c>
      <c r="N36" s="64" t="s">
        <v>170</v>
      </c>
      <c r="O36" s="5"/>
    </row>
    <row r="37" spans="1:15">
      <c r="A37" s="6">
        <v>34</v>
      </c>
      <c r="B37" s="102"/>
      <c r="C37" s="6"/>
      <c r="D37" s="6"/>
      <c r="E37" s="87">
        <v>0</v>
      </c>
      <c r="F37" s="6">
        <v>0</v>
      </c>
      <c r="G37" s="88">
        <f t="shared" si="8"/>
        <v>0</v>
      </c>
      <c r="H37" s="87"/>
      <c r="I37" s="6"/>
      <c r="J37" s="88">
        <f t="shared" si="9"/>
        <v>0</v>
      </c>
      <c r="K37" s="88">
        <f t="shared" si="10"/>
        <v>0</v>
      </c>
      <c r="L37" s="199">
        <f t="shared" si="11"/>
        <v>0</v>
      </c>
      <c r="M37" s="185">
        <v>0</v>
      </c>
      <c r="N37" s="6"/>
      <c r="O37" s="5"/>
    </row>
    <row r="38" spans="1:15">
      <c r="A38" s="6">
        <v>35</v>
      </c>
      <c r="B38" s="102"/>
      <c r="C38" s="6"/>
      <c r="D38" s="6"/>
      <c r="E38" s="87">
        <v>0</v>
      </c>
      <c r="F38" s="6">
        <v>0</v>
      </c>
      <c r="G38" s="88">
        <f t="shared" si="8"/>
        <v>0</v>
      </c>
      <c r="H38" s="87"/>
      <c r="I38" s="6"/>
      <c r="J38" s="88">
        <f t="shared" si="9"/>
        <v>0</v>
      </c>
      <c r="K38" s="88">
        <f t="shared" si="10"/>
        <v>0</v>
      </c>
      <c r="L38" s="199">
        <f t="shared" si="11"/>
        <v>0</v>
      </c>
      <c r="M38" s="185">
        <v>0</v>
      </c>
      <c r="N38" s="6"/>
      <c r="O38" s="5"/>
    </row>
    <row r="39" spans="1:15">
      <c r="A39" s="6">
        <v>36</v>
      </c>
      <c r="B39" s="102"/>
      <c r="C39" s="6"/>
      <c r="D39" s="6"/>
      <c r="E39" s="87">
        <v>0</v>
      </c>
      <c r="F39" s="6">
        <v>0</v>
      </c>
      <c r="G39" s="88">
        <f t="shared" si="8"/>
        <v>0</v>
      </c>
      <c r="H39" s="87"/>
      <c r="I39" s="6"/>
      <c r="J39" s="88">
        <f t="shared" si="9"/>
        <v>0</v>
      </c>
      <c r="K39" s="88">
        <f t="shared" si="10"/>
        <v>0</v>
      </c>
      <c r="L39" s="199">
        <f t="shared" si="11"/>
        <v>0</v>
      </c>
      <c r="M39" s="185">
        <v>0</v>
      </c>
      <c r="N39" s="6"/>
      <c r="O39" s="5"/>
    </row>
    <row r="40" spans="1:15">
      <c r="A40" s="6">
        <v>37</v>
      </c>
      <c r="B40" s="102"/>
      <c r="C40" s="6"/>
      <c r="D40" s="6"/>
      <c r="E40" s="87">
        <v>0</v>
      </c>
      <c r="F40" s="6">
        <v>0</v>
      </c>
      <c r="G40" s="88">
        <f t="shared" si="8"/>
        <v>0</v>
      </c>
      <c r="H40" s="87"/>
      <c r="I40" s="6"/>
      <c r="J40" s="88">
        <f t="shared" si="9"/>
        <v>0</v>
      </c>
      <c r="K40" s="88">
        <f t="shared" si="10"/>
        <v>0</v>
      </c>
      <c r="L40" s="199">
        <f t="shared" si="11"/>
        <v>0</v>
      </c>
      <c r="M40" s="185">
        <v>0</v>
      </c>
      <c r="N40" s="6"/>
      <c r="O40" s="5"/>
    </row>
    <row r="41" spans="1:15">
      <c r="A41" s="6">
        <v>38</v>
      </c>
      <c r="B41" s="102"/>
      <c r="C41" s="6"/>
      <c r="D41" s="6"/>
      <c r="E41" s="87">
        <v>0</v>
      </c>
      <c r="F41" s="6">
        <v>0</v>
      </c>
      <c r="G41" s="88">
        <f t="shared" si="8"/>
        <v>0</v>
      </c>
      <c r="H41" s="87"/>
      <c r="I41" s="6"/>
      <c r="J41" s="88">
        <f t="shared" si="9"/>
        <v>0</v>
      </c>
      <c r="K41" s="88">
        <f t="shared" si="10"/>
        <v>0</v>
      </c>
      <c r="L41" s="199">
        <f t="shared" si="11"/>
        <v>0</v>
      </c>
      <c r="M41" s="185">
        <v>0</v>
      </c>
      <c r="N41" s="6"/>
      <c r="O41" s="5"/>
    </row>
    <row r="42" spans="1:15">
      <c r="A42" s="210">
        <v>39</v>
      </c>
      <c r="B42" s="211"/>
      <c r="C42" s="210"/>
      <c r="D42" s="6"/>
      <c r="E42" s="87">
        <v>0</v>
      </c>
      <c r="F42" s="6">
        <v>0</v>
      </c>
      <c r="G42" s="88">
        <f t="shared" si="8"/>
        <v>0</v>
      </c>
      <c r="H42" s="87"/>
      <c r="I42" s="6"/>
      <c r="J42" s="88">
        <f t="shared" si="9"/>
        <v>0</v>
      </c>
      <c r="K42" s="212">
        <f t="shared" si="10"/>
        <v>0</v>
      </c>
      <c r="L42" s="199">
        <f t="shared" si="11"/>
        <v>0</v>
      </c>
      <c r="M42" s="214">
        <v>0</v>
      </c>
      <c r="N42" s="210"/>
      <c r="O42" s="5"/>
    </row>
    <row r="43" spans="1:15">
      <c r="A43" s="6">
        <v>40</v>
      </c>
      <c r="B43" s="6"/>
      <c r="C43" s="6"/>
      <c r="D43" s="6"/>
      <c r="E43" s="87">
        <v>0</v>
      </c>
      <c r="F43" s="6">
        <v>0</v>
      </c>
      <c r="G43" s="88">
        <f t="shared" si="8"/>
        <v>0</v>
      </c>
      <c r="H43" s="87"/>
      <c r="I43" s="6"/>
      <c r="J43" s="88">
        <f t="shared" si="9"/>
        <v>0</v>
      </c>
      <c r="K43" s="88">
        <f t="shared" si="10"/>
        <v>0</v>
      </c>
      <c r="L43" s="199">
        <f t="shared" si="11"/>
        <v>0</v>
      </c>
      <c r="M43" s="185">
        <v>0</v>
      </c>
      <c r="N43" s="6"/>
      <c r="O43" s="5"/>
    </row>
    <row r="44" spans="1:15">
      <c r="A44" s="210">
        <v>41</v>
      </c>
      <c r="B44" s="210"/>
      <c r="C44" s="210"/>
      <c r="D44" s="6"/>
      <c r="E44" s="87">
        <v>0</v>
      </c>
      <c r="F44" s="6">
        <v>0</v>
      </c>
      <c r="G44" s="88">
        <f t="shared" si="8"/>
        <v>0</v>
      </c>
      <c r="H44" s="87"/>
      <c r="I44" s="6"/>
      <c r="J44" s="88">
        <f t="shared" si="9"/>
        <v>0</v>
      </c>
      <c r="K44" s="212">
        <f t="shared" si="10"/>
        <v>0</v>
      </c>
      <c r="L44" s="199">
        <f t="shared" si="11"/>
        <v>0</v>
      </c>
      <c r="M44" s="214">
        <v>0</v>
      </c>
      <c r="N44" s="210"/>
      <c r="O44" s="5"/>
    </row>
    <row r="45" spans="1:15">
      <c r="A45" s="210">
        <v>42</v>
      </c>
      <c r="B45" s="210"/>
      <c r="C45" s="210"/>
      <c r="D45" s="6"/>
      <c r="E45" s="87">
        <v>0</v>
      </c>
      <c r="F45" s="6">
        <v>0</v>
      </c>
      <c r="G45" s="88">
        <f t="shared" si="8"/>
        <v>0</v>
      </c>
      <c r="H45" s="87"/>
      <c r="I45" s="6"/>
      <c r="J45" s="88">
        <f t="shared" si="9"/>
        <v>0</v>
      </c>
      <c r="K45" s="212">
        <f t="shared" si="10"/>
        <v>0</v>
      </c>
      <c r="L45" s="213">
        <f t="shared" si="11"/>
        <v>0</v>
      </c>
      <c r="M45" s="214">
        <v>0</v>
      </c>
      <c r="N45" s="210"/>
      <c r="O45" s="5"/>
    </row>
    <row r="46" spans="1:15">
      <c r="A46" s="84"/>
      <c r="B46" s="84"/>
      <c r="C46" s="84"/>
      <c r="D46" s="84"/>
      <c r="E46" s="85">
        <f>SUM(E4:E45)</f>
        <v>1344.34</v>
      </c>
      <c r="F46" s="85"/>
      <c r="G46" s="85">
        <f>SUM(G4:G45)</f>
        <v>120336.36960000001</v>
      </c>
      <c r="H46" s="85">
        <f>SUM(H4:H45)</f>
        <v>63.13</v>
      </c>
      <c r="I46" s="85"/>
      <c r="J46" s="85">
        <f>SUM(J4:J45)</f>
        <v>6529.7807000000003</v>
      </c>
      <c r="K46" s="85">
        <f>SUM(K4:K45)</f>
        <v>126866.15030000002</v>
      </c>
      <c r="L46" s="85">
        <f>SUM(L4:L45)</f>
        <v>126866.15030000002</v>
      </c>
      <c r="M46" s="85"/>
      <c r="N46" s="85"/>
      <c r="O46" s="81"/>
    </row>
    <row r="47" spans="1:15">
      <c r="A47" s="5"/>
      <c r="B47" s="5"/>
      <c r="C47" s="5"/>
      <c r="D47" s="5"/>
      <c r="E47" s="5"/>
      <c r="F47" s="5"/>
      <c r="G47" s="127"/>
      <c r="H47" s="5"/>
      <c r="I47" s="5"/>
      <c r="J47" s="127"/>
      <c r="K47" s="5"/>
      <c r="L47" s="127"/>
      <c r="M47" s="127"/>
      <c r="N47" s="5"/>
      <c r="O47" s="5"/>
    </row>
    <row r="48" spans="1:15">
      <c r="A48" s="5"/>
      <c r="B48" s="5"/>
      <c r="C48" s="5"/>
      <c r="D48" s="5"/>
      <c r="E48" s="5"/>
      <c r="F48" s="5"/>
      <c r="G48" s="127"/>
      <c r="H48" s="5"/>
      <c r="I48" s="5"/>
      <c r="J48" s="127"/>
      <c r="K48" s="5"/>
      <c r="L48" s="127"/>
      <c r="M48" s="127"/>
      <c r="N48" s="5"/>
      <c r="O48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2EB7-2102-4FD0-A2B9-519DAB511885}">
  <sheetPr>
    <tabColor rgb="FF92D050"/>
  </sheetPr>
  <dimension ref="A1:O47"/>
  <sheetViews>
    <sheetView topLeftCell="A24" workbookViewId="0">
      <selection activeCell="S42" sqref="S42"/>
    </sheetView>
  </sheetViews>
  <sheetFormatPr defaultRowHeight="15"/>
  <cols>
    <col min="1" max="1" width="6.140625" customWidth="1"/>
    <col min="2" max="2" width="10.85546875" bestFit="1" customWidth="1"/>
    <col min="7" max="7" width="15.28515625" customWidth="1"/>
    <col min="11" max="11" width="16.7109375" customWidth="1"/>
    <col min="12" max="12" width="16.5703125" customWidth="1"/>
    <col min="13" max="13" width="16.140625" customWidth="1"/>
    <col min="14" max="14" width="15.140625" customWidth="1"/>
  </cols>
  <sheetData>
    <row r="1" spans="1:15" ht="15.75">
      <c r="A1" s="386" t="s">
        <v>87</v>
      </c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  <c r="M1" s="386"/>
      <c r="N1" s="386"/>
      <c r="O1" s="5"/>
    </row>
    <row r="2" spans="1:15" ht="30.75">
      <c r="A2" s="86" t="s">
        <v>91</v>
      </c>
      <c r="B2" s="107" t="s">
        <v>92</v>
      </c>
      <c r="C2" s="107" t="s">
        <v>93</v>
      </c>
      <c r="D2" s="107" t="s">
        <v>165</v>
      </c>
      <c r="E2" s="107" t="s">
        <v>95</v>
      </c>
      <c r="F2" s="107" t="s">
        <v>96</v>
      </c>
      <c r="G2" s="115" t="s">
        <v>97</v>
      </c>
      <c r="H2" s="107" t="s">
        <v>98</v>
      </c>
      <c r="I2" s="107" t="s">
        <v>96</v>
      </c>
      <c r="J2" s="115" t="s">
        <v>97</v>
      </c>
      <c r="K2" s="86" t="s">
        <v>99</v>
      </c>
      <c r="L2" s="116" t="s">
        <v>100</v>
      </c>
      <c r="M2" s="109" t="s">
        <v>101</v>
      </c>
      <c r="N2" s="107" t="s">
        <v>102</v>
      </c>
      <c r="O2" s="5"/>
    </row>
    <row r="3" spans="1:15">
      <c r="A3" s="397" t="s">
        <v>103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9"/>
      <c r="M3" s="400">
        <v>0</v>
      </c>
      <c r="N3" s="401"/>
      <c r="O3" s="5"/>
    </row>
    <row r="4" spans="1:15">
      <c r="A4" s="257">
        <v>1</v>
      </c>
      <c r="B4" s="314">
        <v>45717</v>
      </c>
      <c r="C4" s="6"/>
      <c r="D4" s="6"/>
      <c r="E4" s="87">
        <v>0</v>
      </c>
      <c r="F4" s="6">
        <v>0</v>
      </c>
      <c r="G4" s="88">
        <f>E4*F4</f>
        <v>0</v>
      </c>
      <c r="H4" s="87">
        <v>0</v>
      </c>
      <c r="I4" s="6">
        <v>0</v>
      </c>
      <c r="J4" s="88">
        <f>H4*I4</f>
        <v>0</v>
      </c>
      <c r="K4" s="88">
        <f>G4+J4</f>
        <v>0</v>
      </c>
      <c r="L4" s="199">
        <f>+K4</f>
        <v>0</v>
      </c>
      <c r="M4" s="185">
        <f>M3+K4-L4</f>
        <v>0</v>
      </c>
      <c r="N4" s="64" t="s">
        <v>170</v>
      </c>
      <c r="O4" s="5"/>
    </row>
    <row r="5" spans="1:15">
      <c r="A5" s="64">
        <v>2</v>
      </c>
      <c r="B5" s="267">
        <v>45718</v>
      </c>
      <c r="C5" s="6"/>
      <c r="D5" s="6"/>
      <c r="E5" s="87">
        <v>70</v>
      </c>
      <c r="F5" s="6">
        <v>89.93</v>
      </c>
      <c r="G5" s="88">
        <f t="shared" ref="G5:G25" si="0">E5*F5</f>
        <v>6295.1</v>
      </c>
      <c r="H5" s="87">
        <v>4.84</v>
      </c>
      <c r="I5" s="6">
        <v>0</v>
      </c>
      <c r="J5" s="88">
        <f t="shared" ref="J5:J25" si="1">H5*I5</f>
        <v>0</v>
      </c>
      <c r="K5" s="88">
        <f t="shared" ref="K5:K25" si="2">G5+J5</f>
        <v>6295.1</v>
      </c>
      <c r="L5" s="199">
        <f t="shared" ref="L5:L25" si="3">+K5</f>
        <v>6295.1</v>
      </c>
      <c r="M5" s="185">
        <f t="shared" ref="M5:M31" si="4">M4+K5-L5</f>
        <v>0</v>
      </c>
      <c r="N5" s="64" t="s">
        <v>170</v>
      </c>
      <c r="O5" s="5"/>
    </row>
    <row r="6" spans="1:15">
      <c r="A6" s="64">
        <v>3</v>
      </c>
      <c r="B6" s="267">
        <v>45719</v>
      </c>
      <c r="C6" s="6"/>
      <c r="D6" s="6"/>
      <c r="E6" s="87">
        <v>0</v>
      </c>
      <c r="F6" s="6">
        <v>0</v>
      </c>
      <c r="G6" s="88">
        <f t="shared" si="0"/>
        <v>0</v>
      </c>
      <c r="H6" s="87">
        <v>0</v>
      </c>
      <c r="I6" s="6">
        <v>0</v>
      </c>
      <c r="J6" s="88">
        <f t="shared" si="1"/>
        <v>0</v>
      </c>
      <c r="K6" s="88">
        <f t="shared" si="2"/>
        <v>0</v>
      </c>
      <c r="L6" s="199">
        <f t="shared" si="3"/>
        <v>0</v>
      </c>
      <c r="M6" s="185">
        <f t="shared" si="4"/>
        <v>0</v>
      </c>
      <c r="N6" s="64" t="s">
        <v>170</v>
      </c>
      <c r="O6" s="5"/>
    </row>
    <row r="7" spans="1:15">
      <c r="A7" s="64">
        <v>4</v>
      </c>
      <c r="B7" s="267">
        <v>45720</v>
      </c>
      <c r="C7" s="6"/>
      <c r="D7" s="6"/>
      <c r="E7" s="87">
        <v>0</v>
      </c>
      <c r="F7" s="6">
        <v>0</v>
      </c>
      <c r="G7" s="88">
        <f t="shared" si="0"/>
        <v>0</v>
      </c>
      <c r="H7" s="87">
        <v>0</v>
      </c>
      <c r="I7" s="6">
        <v>0</v>
      </c>
      <c r="J7" s="88">
        <f t="shared" si="1"/>
        <v>0</v>
      </c>
      <c r="K7" s="88">
        <f t="shared" si="2"/>
        <v>0</v>
      </c>
      <c r="L7" s="199">
        <f t="shared" si="3"/>
        <v>0</v>
      </c>
      <c r="M7" s="185">
        <f t="shared" si="4"/>
        <v>0</v>
      </c>
      <c r="N7" s="64" t="s">
        <v>170</v>
      </c>
      <c r="O7" s="5"/>
    </row>
    <row r="8" spans="1:15">
      <c r="A8" s="64">
        <v>5</v>
      </c>
      <c r="B8" s="267">
        <v>45721</v>
      </c>
      <c r="C8" s="6"/>
      <c r="D8" s="6"/>
      <c r="E8" s="87">
        <v>0</v>
      </c>
      <c r="F8" s="6">
        <v>0</v>
      </c>
      <c r="G8" s="88">
        <f t="shared" si="0"/>
        <v>0</v>
      </c>
      <c r="H8" s="87">
        <v>0</v>
      </c>
      <c r="I8" s="6">
        <v>0</v>
      </c>
      <c r="J8" s="88">
        <f t="shared" si="1"/>
        <v>0</v>
      </c>
      <c r="K8" s="88">
        <f t="shared" si="2"/>
        <v>0</v>
      </c>
      <c r="L8" s="199">
        <f t="shared" si="3"/>
        <v>0</v>
      </c>
      <c r="M8" s="185">
        <f t="shared" si="4"/>
        <v>0</v>
      </c>
      <c r="N8" s="64" t="s">
        <v>170</v>
      </c>
      <c r="O8" s="5"/>
    </row>
    <row r="9" spans="1:15">
      <c r="A9" s="64">
        <v>6</v>
      </c>
      <c r="B9" s="267">
        <v>45722</v>
      </c>
      <c r="C9" s="6"/>
      <c r="D9" s="6"/>
      <c r="E9" s="87">
        <v>130</v>
      </c>
      <c r="F9" s="6">
        <v>89.33</v>
      </c>
      <c r="G9" s="88">
        <f t="shared" si="0"/>
        <v>11612.9</v>
      </c>
      <c r="H9" s="87">
        <v>0</v>
      </c>
      <c r="I9" s="6">
        <v>0</v>
      </c>
      <c r="J9" s="88">
        <f t="shared" si="1"/>
        <v>0</v>
      </c>
      <c r="K9" s="88">
        <f t="shared" si="2"/>
        <v>11612.9</v>
      </c>
      <c r="L9" s="199">
        <f t="shared" si="3"/>
        <v>11612.9</v>
      </c>
      <c r="M9" s="185">
        <f t="shared" si="4"/>
        <v>0</v>
      </c>
      <c r="N9" s="64" t="s">
        <v>170</v>
      </c>
      <c r="O9" s="5"/>
    </row>
    <row r="10" spans="1:15">
      <c r="A10" s="64">
        <v>7</v>
      </c>
      <c r="B10" s="267">
        <v>45723</v>
      </c>
      <c r="C10" s="6"/>
      <c r="D10" s="6"/>
      <c r="E10" s="87">
        <v>9.5299999999999994</v>
      </c>
      <c r="F10" s="6">
        <v>89.33</v>
      </c>
      <c r="G10" s="88">
        <f t="shared" si="0"/>
        <v>851.31489999999997</v>
      </c>
      <c r="H10" s="87">
        <v>0</v>
      </c>
      <c r="I10" s="6">
        <v>0</v>
      </c>
      <c r="J10" s="88">
        <f t="shared" si="1"/>
        <v>0</v>
      </c>
      <c r="K10" s="88">
        <f t="shared" si="2"/>
        <v>851.31489999999997</v>
      </c>
      <c r="L10" s="199">
        <f t="shared" si="3"/>
        <v>851.31489999999997</v>
      </c>
      <c r="M10" s="185">
        <f t="shared" si="4"/>
        <v>0</v>
      </c>
      <c r="N10" s="64" t="s">
        <v>170</v>
      </c>
      <c r="O10" s="5"/>
    </row>
    <row r="11" spans="1:15">
      <c r="A11" s="64">
        <v>8</v>
      </c>
      <c r="B11" s="267">
        <v>45724</v>
      </c>
      <c r="C11" s="6"/>
      <c r="D11" s="6"/>
      <c r="E11" s="87">
        <v>0</v>
      </c>
      <c r="F11" s="6">
        <v>0</v>
      </c>
      <c r="G11" s="88">
        <f t="shared" si="0"/>
        <v>0</v>
      </c>
      <c r="H11" s="87">
        <v>0</v>
      </c>
      <c r="I11" s="6">
        <v>0</v>
      </c>
      <c r="J11" s="88">
        <f t="shared" si="1"/>
        <v>0</v>
      </c>
      <c r="K11" s="88">
        <f t="shared" si="2"/>
        <v>0</v>
      </c>
      <c r="L11" s="199">
        <f t="shared" si="3"/>
        <v>0</v>
      </c>
      <c r="M11" s="185">
        <f t="shared" si="4"/>
        <v>0</v>
      </c>
      <c r="N11" s="64" t="s">
        <v>170</v>
      </c>
      <c r="O11" s="5"/>
    </row>
    <row r="12" spans="1:15">
      <c r="A12" s="64">
        <v>9</v>
      </c>
      <c r="B12" s="267">
        <v>45725</v>
      </c>
      <c r="C12" s="6"/>
      <c r="D12" s="6"/>
      <c r="E12" s="87">
        <v>0</v>
      </c>
      <c r="F12" s="6">
        <v>0</v>
      </c>
      <c r="G12" s="88">
        <f t="shared" si="0"/>
        <v>0</v>
      </c>
      <c r="H12" s="87">
        <v>0</v>
      </c>
      <c r="I12" s="6">
        <v>0</v>
      </c>
      <c r="J12" s="88">
        <f t="shared" si="1"/>
        <v>0</v>
      </c>
      <c r="K12" s="88">
        <f t="shared" si="2"/>
        <v>0</v>
      </c>
      <c r="L12" s="199">
        <f t="shared" si="3"/>
        <v>0</v>
      </c>
      <c r="M12" s="185">
        <f t="shared" si="4"/>
        <v>0</v>
      </c>
      <c r="N12" s="64" t="s">
        <v>170</v>
      </c>
      <c r="O12" s="5"/>
    </row>
    <row r="13" spans="1:15">
      <c r="A13" s="64">
        <v>10</v>
      </c>
      <c r="B13" s="267">
        <v>45726</v>
      </c>
      <c r="C13" s="6"/>
      <c r="D13" s="6"/>
      <c r="E13" s="87">
        <v>55.71</v>
      </c>
      <c r="F13" s="6">
        <v>89.33</v>
      </c>
      <c r="G13" s="88">
        <f t="shared" si="0"/>
        <v>4976.5743000000002</v>
      </c>
      <c r="H13" s="87">
        <v>5</v>
      </c>
      <c r="I13" s="6">
        <v>103.26</v>
      </c>
      <c r="J13" s="88">
        <f t="shared" si="1"/>
        <v>516.30000000000007</v>
      </c>
      <c r="K13" s="88">
        <f t="shared" si="2"/>
        <v>5492.8743000000004</v>
      </c>
      <c r="L13" s="199">
        <f t="shared" si="3"/>
        <v>5492.8743000000004</v>
      </c>
      <c r="M13" s="185">
        <f t="shared" si="4"/>
        <v>0</v>
      </c>
      <c r="N13" s="64" t="s">
        <v>170</v>
      </c>
      <c r="O13" s="5"/>
    </row>
    <row r="14" spans="1:15">
      <c r="A14" s="64">
        <v>11</v>
      </c>
      <c r="B14" s="267">
        <v>45727</v>
      </c>
      <c r="C14" s="6"/>
      <c r="D14" s="6"/>
      <c r="E14" s="87">
        <v>7.84</v>
      </c>
      <c r="F14" s="6">
        <v>89.33</v>
      </c>
      <c r="G14" s="88">
        <f t="shared" si="0"/>
        <v>700.34719999999993</v>
      </c>
      <c r="H14" s="87">
        <v>4.84</v>
      </c>
      <c r="I14" s="6">
        <v>103.26</v>
      </c>
      <c r="J14" s="88">
        <f t="shared" si="1"/>
        <v>499.77840000000003</v>
      </c>
      <c r="K14" s="88">
        <f t="shared" si="2"/>
        <v>1200.1255999999998</v>
      </c>
      <c r="L14" s="199">
        <f t="shared" si="3"/>
        <v>1200.1255999999998</v>
      </c>
      <c r="M14" s="185">
        <f t="shared" si="4"/>
        <v>0</v>
      </c>
      <c r="N14" s="64" t="s">
        <v>170</v>
      </c>
      <c r="O14" s="5"/>
    </row>
    <row r="15" spans="1:15">
      <c r="A15" s="64">
        <v>12</v>
      </c>
      <c r="B15" s="267">
        <v>45728</v>
      </c>
      <c r="C15" s="6"/>
      <c r="D15" s="6"/>
      <c r="E15" s="87">
        <v>35.6</v>
      </c>
      <c r="F15" s="6">
        <v>89.33</v>
      </c>
      <c r="G15" s="88">
        <f t="shared" si="0"/>
        <v>3180.1480000000001</v>
      </c>
      <c r="H15" s="87">
        <v>0</v>
      </c>
      <c r="I15" s="6">
        <v>0</v>
      </c>
      <c r="J15" s="88">
        <f t="shared" si="1"/>
        <v>0</v>
      </c>
      <c r="K15" s="88">
        <f t="shared" si="2"/>
        <v>3180.1480000000001</v>
      </c>
      <c r="L15" s="199">
        <f t="shared" si="3"/>
        <v>3180.1480000000001</v>
      </c>
      <c r="M15" s="185">
        <f t="shared" si="4"/>
        <v>0</v>
      </c>
      <c r="N15" s="64" t="s">
        <v>170</v>
      </c>
      <c r="O15" s="5"/>
    </row>
    <row r="16" spans="1:15">
      <c r="A16" s="64">
        <v>13</v>
      </c>
      <c r="B16" s="267">
        <v>45729</v>
      </c>
      <c r="C16" s="6"/>
      <c r="D16" s="6"/>
      <c r="E16" s="87">
        <v>0</v>
      </c>
      <c r="F16" s="6">
        <v>0</v>
      </c>
      <c r="G16" s="88">
        <f t="shared" si="0"/>
        <v>0</v>
      </c>
      <c r="H16" s="87">
        <v>0</v>
      </c>
      <c r="I16" s="6">
        <v>0</v>
      </c>
      <c r="J16" s="88">
        <f t="shared" si="1"/>
        <v>0</v>
      </c>
      <c r="K16" s="88">
        <f t="shared" si="2"/>
        <v>0</v>
      </c>
      <c r="L16" s="199">
        <f t="shared" si="3"/>
        <v>0</v>
      </c>
      <c r="M16" s="185">
        <f t="shared" si="4"/>
        <v>0</v>
      </c>
      <c r="N16" s="64" t="s">
        <v>170</v>
      </c>
      <c r="O16" s="5"/>
    </row>
    <row r="17" spans="1:15">
      <c r="A17" s="64">
        <v>14</v>
      </c>
      <c r="B17" s="267">
        <v>45730</v>
      </c>
      <c r="C17" s="6"/>
      <c r="D17" s="6"/>
      <c r="E17" s="87">
        <v>0</v>
      </c>
      <c r="F17" s="6">
        <v>0</v>
      </c>
      <c r="G17" s="88">
        <f t="shared" si="0"/>
        <v>0</v>
      </c>
      <c r="H17" s="87">
        <v>0</v>
      </c>
      <c r="I17" s="6">
        <v>0</v>
      </c>
      <c r="J17" s="88">
        <f t="shared" si="1"/>
        <v>0</v>
      </c>
      <c r="K17" s="88">
        <f t="shared" si="2"/>
        <v>0</v>
      </c>
      <c r="L17" s="199">
        <f t="shared" si="3"/>
        <v>0</v>
      </c>
      <c r="M17" s="185">
        <f t="shared" si="4"/>
        <v>0</v>
      </c>
      <c r="N17" s="64" t="s">
        <v>170</v>
      </c>
      <c r="O17" s="5"/>
    </row>
    <row r="18" spans="1:15">
      <c r="A18" s="64">
        <v>15</v>
      </c>
      <c r="B18" s="267">
        <v>45731</v>
      </c>
      <c r="C18" s="6"/>
      <c r="D18" s="6"/>
      <c r="E18" s="87">
        <v>0</v>
      </c>
      <c r="F18" s="6">
        <v>0</v>
      </c>
      <c r="G18" s="88">
        <f t="shared" si="0"/>
        <v>0</v>
      </c>
      <c r="H18" s="87">
        <v>0</v>
      </c>
      <c r="I18" s="6">
        <v>0</v>
      </c>
      <c r="J18" s="88">
        <f t="shared" si="1"/>
        <v>0</v>
      </c>
      <c r="K18" s="88">
        <f t="shared" si="2"/>
        <v>0</v>
      </c>
      <c r="L18" s="199">
        <f t="shared" si="3"/>
        <v>0</v>
      </c>
      <c r="M18" s="185">
        <f t="shared" si="4"/>
        <v>0</v>
      </c>
      <c r="N18" s="64" t="s">
        <v>170</v>
      </c>
      <c r="O18" s="5"/>
    </row>
    <row r="19" spans="1:15">
      <c r="A19" s="64">
        <v>16</v>
      </c>
      <c r="B19" s="267">
        <v>45732</v>
      </c>
      <c r="C19" s="6"/>
      <c r="D19" s="6"/>
      <c r="E19" s="87">
        <v>70</v>
      </c>
      <c r="F19" s="6">
        <v>89.33</v>
      </c>
      <c r="G19" s="88">
        <f t="shared" si="0"/>
        <v>6253.0999999999995</v>
      </c>
      <c r="H19" s="87">
        <v>0</v>
      </c>
      <c r="I19" s="6">
        <v>0</v>
      </c>
      <c r="J19" s="88">
        <f t="shared" si="1"/>
        <v>0</v>
      </c>
      <c r="K19" s="88">
        <f t="shared" si="2"/>
        <v>6253.0999999999995</v>
      </c>
      <c r="L19" s="199">
        <v>0</v>
      </c>
      <c r="M19" s="185">
        <f t="shared" si="4"/>
        <v>6253.0999999999995</v>
      </c>
      <c r="N19" s="64" t="s">
        <v>170</v>
      </c>
      <c r="O19" s="5"/>
    </row>
    <row r="20" spans="1:15">
      <c r="A20" s="64">
        <v>17</v>
      </c>
      <c r="B20" s="267">
        <v>45733</v>
      </c>
      <c r="C20" s="6"/>
      <c r="D20" s="6"/>
      <c r="E20" s="87">
        <v>0</v>
      </c>
      <c r="F20" s="6">
        <v>89.33</v>
      </c>
      <c r="G20" s="88">
        <f t="shared" si="0"/>
        <v>0</v>
      </c>
      <c r="H20" s="87">
        <v>4.84</v>
      </c>
      <c r="I20" s="6">
        <v>103.26</v>
      </c>
      <c r="J20" s="88">
        <f t="shared" si="1"/>
        <v>499.77840000000003</v>
      </c>
      <c r="K20" s="88">
        <f t="shared" si="2"/>
        <v>499.77840000000003</v>
      </c>
      <c r="L20" s="199">
        <v>0</v>
      </c>
      <c r="M20" s="185">
        <f t="shared" si="4"/>
        <v>6752.8783999999996</v>
      </c>
      <c r="N20" s="64" t="s">
        <v>170</v>
      </c>
      <c r="O20" s="5"/>
    </row>
    <row r="21" spans="1:15">
      <c r="A21" s="64">
        <v>18</v>
      </c>
      <c r="B21" s="267">
        <v>45734</v>
      </c>
      <c r="C21" s="6"/>
      <c r="D21" s="6"/>
      <c r="E21" s="87">
        <v>70</v>
      </c>
      <c r="F21" s="6">
        <v>89.33</v>
      </c>
      <c r="G21" s="88">
        <f t="shared" si="0"/>
        <v>6253.0999999999995</v>
      </c>
      <c r="H21" s="87">
        <v>4.84</v>
      </c>
      <c r="I21" s="6">
        <v>103.26</v>
      </c>
      <c r="J21" s="88">
        <f t="shared" si="1"/>
        <v>499.77840000000003</v>
      </c>
      <c r="K21" s="88">
        <f t="shared" si="2"/>
        <v>6752.8783999999996</v>
      </c>
      <c r="L21" s="199">
        <v>0</v>
      </c>
      <c r="M21" s="185">
        <f t="shared" si="4"/>
        <v>13505.756799999999</v>
      </c>
      <c r="N21" s="64" t="s">
        <v>170</v>
      </c>
      <c r="O21" s="5"/>
    </row>
    <row r="22" spans="1:15">
      <c r="A22" s="64">
        <v>19</v>
      </c>
      <c r="B22" s="267">
        <v>45735</v>
      </c>
      <c r="C22" s="6"/>
      <c r="D22" s="6"/>
      <c r="E22" s="87">
        <v>70</v>
      </c>
      <c r="F22" s="6">
        <v>89.33</v>
      </c>
      <c r="G22" s="88">
        <f t="shared" si="0"/>
        <v>6253.0999999999995</v>
      </c>
      <c r="H22" s="87">
        <v>0</v>
      </c>
      <c r="I22" s="6">
        <v>0</v>
      </c>
      <c r="J22" s="88">
        <f t="shared" si="1"/>
        <v>0</v>
      </c>
      <c r="K22" s="88">
        <f t="shared" si="2"/>
        <v>6253.0999999999995</v>
      </c>
      <c r="L22" s="199">
        <v>0</v>
      </c>
      <c r="M22" s="185">
        <f t="shared" si="4"/>
        <v>19758.856799999998</v>
      </c>
      <c r="N22" s="64" t="s">
        <v>170</v>
      </c>
      <c r="O22" s="5"/>
    </row>
    <row r="23" spans="1:15">
      <c r="A23" s="64">
        <v>20</v>
      </c>
      <c r="B23" s="267">
        <v>45736</v>
      </c>
      <c r="C23" s="6"/>
      <c r="D23" s="6"/>
      <c r="E23" s="87">
        <v>0</v>
      </c>
      <c r="F23" s="6">
        <v>0</v>
      </c>
      <c r="G23" s="88">
        <f t="shared" si="0"/>
        <v>0</v>
      </c>
      <c r="H23" s="87">
        <v>0</v>
      </c>
      <c r="I23" s="6">
        <v>0</v>
      </c>
      <c r="J23" s="88">
        <f t="shared" si="1"/>
        <v>0</v>
      </c>
      <c r="K23" s="88">
        <f t="shared" si="2"/>
        <v>0</v>
      </c>
      <c r="L23" s="199">
        <f t="shared" si="3"/>
        <v>0</v>
      </c>
      <c r="M23" s="185">
        <f t="shared" si="4"/>
        <v>19758.856799999998</v>
      </c>
      <c r="N23" s="64"/>
      <c r="O23" s="5"/>
    </row>
    <row r="24" spans="1:15">
      <c r="A24" s="64">
        <v>21</v>
      </c>
      <c r="B24" s="267">
        <v>45737</v>
      </c>
      <c r="C24" s="6"/>
      <c r="D24" s="6"/>
      <c r="E24" s="87">
        <v>0</v>
      </c>
      <c r="F24" s="6">
        <v>0</v>
      </c>
      <c r="G24" s="88">
        <f t="shared" si="0"/>
        <v>0</v>
      </c>
      <c r="H24" s="87">
        <v>0</v>
      </c>
      <c r="I24" s="6">
        <v>0</v>
      </c>
      <c r="J24" s="88">
        <f t="shared" si="1"/>
        <v>0</v>
      </c>
      <c r="K24" s="88">
        <f t="shared" si="2"/>
        <v>0</v>
      </c>
      <c r="L24" s="199">
        <f t="shared" si="3"/>
        <v>0</v>
      </c>
      <c r="M24" s="185">
        <f t="shared" si="4"/>
        <v>19758.856799999998</v>
      </c>
      <c r="N24" s="64"/>
      <c r="O24" s="5"/>
    </row>
    <row r="25" spans="1:15">
      <c r="A25" s="64">
        <v>22</v>
      </c>
      <c r="B25" s="267">
        <v>45738</v>
      </c>
      <c r="C25" s="6"/>
      <c r="D25" s="6"/>
      <c r="E25" s="87">
        <v>100</v>
      </c>
      <c r="F25" s="6">
        <v>89.33</v>
      </c>
      <c r="G25" s="88">
        <f t="shared" si="0"/>
        <v>8933</v>
      </c>
      <c r="H25" s="87">
        <v>5</v>
      </c>
      <c r="I25" s="6">
        <v>103.26</v>
      </c>
      <c r="J25" s="88">
        <f t="shared" si="1"/>
        <v>516.30000000000007</v>
      </c>
      <c r="K25" s="88">
        <f t="shared" si="2"/>
        <v>9449.2999999999993</v>
      </c>
      <c r="L25" s="199">
        <v>0</v>
      </c>
      <c r="M25" s="185">
        <f t="shared" si="4"/>
        <v>29208.156799999997</v>
      </c>
      <c r="N25" s="64"/>
      <c r="O25" s="5"/>
    </row>
    <row r="26" spans="1:15">
      <c r="A26" s="64">
        <v>23</v>
      </c>
      <c r="B26" s="267">
        <v>45739</v>
      </c>
      <c r="C26" s="6"/>
      <c r="D26" s="6"/>
      <c r="E26" s="87">
        <v>70</v>
      </c>
      <c r="F26" s="6">
        <v>89.33</v>
      </c>
      <c r="G26" s="88">
        <f t="shared" ref="G5:G42" si="5">E26*F26</f>
        <v>6253.0999999999995</v>
      </c>
      <c r="H26" s="87"/>
      <c r="I26" s="6"/>
      <c r="J26" s="88">
        <f t="shared" ref="J5:J42" si="6">H26*I26</f>
        <v>0</v>
      </c>
      <c r="K26" s="88">
        <f t="shared" ref="K5:K42" si="7">G26+J26</f>
        <v>6253.0999999999995</v>
      </c>
      <c r="L26" s="199">
        <v>0</v>
      </c>
      <c r="M26" s="185">
        <f t="shared" si="4"/>
        <v>35461.256799999996</v>
      </c>
      <c r="N26" s="6"/>
      <c r="O26" s="5"/>
    </row>
    <row r="27" spans="1:15">
      <c r="A27" s="64">
        <v>24</v>
      </c>
      <c r="B27" s="307">
        <v>45740</v>
      </c>
      <c r="C27" s="6"/>
      <c r="D27" s="6"/>
      <c r="E27" s="87">
        <v>70</v>
      </c>
      <c r="F27" s="6">
        <v>89.33</v>
      </c>
      <c r="G27" s="88">
        <f t="shared" si="5"/>
        <v>6253.0999999999995</v>
      </c>
      <c r="H27" s="87"/>
      <c r="I27" s="6"/>
      <c r="J27" s="88">
        <f t="shared" si="6"/>
        <v>0</v>
      </c>
      <c r="K27" s="88">
        <f t="shared" si="7"/>
        <v>6253.0999999999995</v>
      </c>
      <c r="L27" s="199">
        <v>0</v>
      </c>
      <c r="M27" s="185">
        <f t="shared" si="4"/>
        <v>41714.356799999994</v>
      </c>
      <c r="N27" s="6"/>
      <c r="O27" s="5"/>
    </row>
    <row r="28" spans="1:15">
      <c r="A28" s="316">
        <v>25</v>
      </c>
      <c r="B28" s="110">
        <v>45741</v>
      </c>
      <c r="C28" s="6"/>
      <c r="D28" s="6"/>
      <c r="E28" s="87">
        <v>30</v>
      </c>
      <c r="F28" s="6">
        <v>89.33</v>
      </c>
      <c r="G28" s="88">
        <f t="shared" si="5"/>
        <v>2679.9</v>
      </c>
      <c r="H28" s="87"/>
      <c r="I28" s="6"/>
      <c r="J28" s="88">
        <f t="shared" si="6"/>
        <v>0</v>
      </c>
      <c r="K28" s="88">
        <f t="shared" si="7"/>
        <v>2679.9</v>
      </c>
      <c r="L28" s="199">
        <v>18882.3</v>
      </c>
      <c r="M28" s="185">
        <f t="shared" si="4"/>
        <v>25511.956799999996</v>
      </c>
      <c r="N28" s="6"/>
      <c r="O28" s="5"/>
    </row>
    <row r="29" spans="1:15">
      <c r="A29" s="316">
        <v>26</v>
      </c>
      <c r="B29" s="110">
        <v>45742</v>
      </c>
      <c r="C29" s="6"/>
      <c r="D29" s="6"/>
      <c r="E29" s="87">
        <v>90</v>
      </c>
      <c r="F29" s="6">
        <v>89.33</v>
      </c>
      <c r="G29" s="88">
        <f t="shared" si="5"/>
        <v>8039.7</v>
      </c>
      <c r="H29" s="87">
        <v>4.84</v>
      </c>
      <c r="I29" s="6">
        <v>103.26</v>
      </c>
      <c r="J29" s="88">
        <f t="shared" si="6"/>
        <v>499.77840000000003</v>
      </c>
      <c r="K29" s="88">
        <f t="shared" si="7"/>
        <v>8539.4784</v>
      </c>
      <c r="L29" s="199">
        <v>0</v>
      </c>
      <c r="M29" s="185">
        <f t="shared" si="4"/>
        <v>34051.435199999993</v>
      </c>
      <c r="N29" s="6"/>
      <c r="O29" s="5"/>
    </row>
    <row r="30" spans="1:15">
      <c r="A30" s="316">
        <v>27</v>
      </c>
      <c r="B30" s="110">
        <v>45743</v>
      </c>
      <c r="C30" s="6"/>
      <c r="D30" s="6"/>
      <c r="E30" s="87">
        <v>100</v>
      </c>
      <c r="F30" s="6">
        <v>89.33</v>
      </c>
      <c r="G30" s="88">
        <f t="shared" si="5"/>
        <v>8933</v>
      </c>
      <c r="H30" s="87">
        <v>4.84</v>
      </c>
      <c r="I30" s="6">
        <v>103.26</v>
      </c>
      <c r="J30" s="88">
        <f t="shared" si="6"/>
        <v>499.77840000000003</v>
      </c>
      <c r="K30" s="88">
        <f t="shared" si="7"/>
        <v>9432.7783999999992</v>
      </c>
      <c r="L30" s="199">
        <v>43484.21</v>
      </c>
      <c r="M30" s="185">
        <f t="shared" si="4"/>
        <v>3.5999999890918843E-3</v>
      </c>
      <c r="N30" s="6"/>
      <c r="O30" s="5"/>
    </row>
    <row r="31" spans="1:15">
      <c r="A31" s="316">
        <v>28</v>
      </c>
      <c r="B31" s="110">
        <v>45744</v>
      </c>
      <c r="C31" s="6"/>
      <c r="D31" s="6"/>
      <c r="E31" s="87">
        <v>0</v>
      </c>
      <c r="F31" s="6">
        <v>0</v>
      </c>
      <c r="G31" s="88">
        <f t="shared" si="5"/>
        <v>0</v>
      </c>
      <c r="H31" s="87"/>
      <c r="I31" s="6"/>
      <c r="J31" s="88">
        <f t="shared" si="6"/>
        <v>0</v>
      </c>
      <c r="K31" s="88">
        <f t="shared" si="7"/>
        <v>0</v>
      </c>
      <c r="L31" s="199">
        <f t="shared" ref="L5:L42" si="8">+K31</f>
        <v>0</v>
      </c>
      <c r="M31" s="185">
        <f t="shared" si="4"/>
        <v>3.5999999890918843E-3</v>
      </c>
      <c r="N31" s="6"/>
      <c r="O31" s="5"/>
    </row>
    <row r="32" spans="1:15">
      <c r="A32" s="317">
        <v>29</v>
      </c>
      <c r="B32" s="110">
        <v>45745</v>
      </c>
      <c r="C32" s="6"/>
      <c r="D32" s="6"/>
      <c r="E32" s="87">
        <v>0</v>
      </c>
      <c r="F32" s="6">
        <v>0</v>
      </c>
      <c r="G32" s="88">
        <f t="shared" si="5"/>
        <v>0</v>
      </c>
      <c r="H32" s="87"/>
      <c r="I32" s="6"/>
      <c r="J32" s="88">
        <f t="shared" si="6"/>
        <v>0</v>
      </c>
      <c r="K32" s="88">
        <f t="shared" si="7"/>
        <v>0</v>
      </c>
      <c r="L32" s="199">
        <f t="shared" si="8"/>
        <v>0</v>
      </c>
      <c r="M32" s="185">
        <v>0</v>
      </c>
      <c r="N32" s="6"/>
      <c r="O32" s="5"/>
    </row>
    <row r="33" spans="1:15">
      <c r="A33" s="317">
        <v>30</v>
      </c>
      <c r="B33" s="110">
        <v>45746</v>
      </c>
      <c r="C33" s="6"/>
      <c r="D33" s="6"/>
      <c r="E33" s="87">
        <v>0</v>
      </c>
      <c r="F33" s="6">
        <v>0</v>
      </c>
      <c r="G33" s="88">
        <f t="shared" si="5"/>
        <v>0</v>
      </c>
      <c r="H33" s="87"/>
      <c r="I33" s="6"/>
      <c r="J33" s="88">
        <f t="shared" si="6"/>
        <v>0</v>
      </c>
      <c r="K33" s="88">
        <f t="shared" si="7"/>
        <v>0</v>
      </c>
      <c r="L33" s="199">
        <f t="shared" si="8"/>
        <v>0</v>
      </c>
      <c r="M33" s="185">
        <v>0</v>
      </c>
      <c r="N33" s="6"/>
      <c r="O33" s="5"/>
    </row>
    <row r="34" spans="1:15">
      <c r="A34" s="317">
        <v>31</v>
      </c>
      <c r="B34" s="110">
        <v>45747</v>
      </c>
      <c r="C34" s="6"/>
      <c r="D34" s="6"/>
      <c r="E34" s="87">
        <v>0</v>
      </c>
      <c r="F34" s="6">
        <v>0</v>
      </c>
      <c r="G34" s="88">
        <f t="shared" si="5"/>
        <v>0</v>
      </c>
      <c r="H34" s="87"/>
      <c r="I34" s="6"/>
      <c r="J34" s="88">
        <f t="shared" si="6"/>
        <v>0</v>
      </c>
      <c r="K34" s="88">
        <f t="shared" si="7"/>
        <v>0</v>
      </c>
      <c r="L34" s="199">
        <f t="shared" si="8"/>
        <v>0</v>
      </c>
      <c r="M34" s="185">
        <v>0</v>
      </c>
      <c r="N34" s="6"/>
      <c r="O34" s="5"/>
    </row>
    <row r="35" spans="1:15">
      <c r="A35" s="6">
        <v>35</v>
      </c>
      <c r="B35" s="102"/>
      <c r="C35" s="6"/>
      <c r="D35" s="6"/>
      <c r="E35" s="87">
        <v>0</v>
      </c>
      <c r="F35" s="6">
        <v>0</v>
      </c>
      <c r="G35" s="88">
        <f t="shared" si="5"/>
        <v>0</v>
      </c>
      <c r="H35" s="87"/>
      <c r="I35" s="6"/>
      <c r="J35" s="88">
        <f t="shared" si="6"/>
        <v>0</v>
      </c>
      <c r="K35" s="88">
        <f t="shared" si="7"/>
        <v>0</v>
      </c>
      <c r="L35" s="199">
        <f t="shared" si="8"/>
        <v>0</v>
      </c>
      <c r="M35" s="185">
        <v>0</v>
      </c>
      <c r="N35" s="6"/>
      <c r="O35" s="5"/>
    </row>
    <row r="36" spans="1:15">
      <c r="A36" s="6">
        <v>36</v>
      </c>
      <c r="B36" s="102"/>
      <c r="C36" s="6"/>
      <c r="D36" s="6"/>
      <c r="E36" s="87">
        <v>0</v>
      </c>
      <c r="F36" s="6">
        <v>0</v>
      </c>
      <c r="G36" s="88">
        <f t="shared" si="5"/>
        <v>0</v>
      </c>
      <c r="H36" s="87"/>
      <c r="I36" s="6"/>
      <c r="J36" s="88">
        <f t="shared" si="6"/>
        <v>0</v>
      </c>
      <c r="K36" s="88">
        <f t="shared" si="7"/>
        <v>0</v>
      </c>
      <c r="L36" s="199">
        <f t="shared" si="8"/>
        <v>0</v>
      </c>
      <c r="M36" s="185">
        <v>0</v>
      </c>
      <c r="N36" s="6"/>
      <c r="O36" s="5"/>
    </row>
    <row r="37" spans="1:15">
      <c r="A37" s="6">
        <v>37</v>
      </c>
      <c r="B37" s="102"/>
      <c r="C37" s="6"/>
      <c r="D37" s="6"/>
      <c r="E37" s="87">
        <v>0</v>
      </c>
      <c r="F37" s="6">
        <v>0</v>
      </c>
      <c r="G37" s="88">
        <f t="shared" si="5"/>
        <v>0</v>
      </c>
      <c r="H37" s="87"/>
      <c r="I37" s="6"/>
      <c r="J37" s="88">
        <f t="shared" si="6"/>
        <v>0</v>
      </c>
      <c r="K37" s="88">
        <f t="shared" si="7"/>
        <v>0</v>
      </c>
      <c r="L37" s="199">
        <f t="shared" si="8"/>
        <v>0</v>
      </c>
      <c r="M37" s="185">
        <v>0</v>
      </c>
      <c r="N37" s="6"/>
      <c r="O37" s="5"/>
    </row>
    <row r="38" spans="1:15">
      <c r="A38" s="6">
        <v>38</v>
      </c>
      <c r="B38" s="102"/>
      <c r="C38" s="6"/>
      <c r="D38" s="6"/>
      <c r="E38" s="87">
        <v>0</v>
      </c>
      <c r="F38" s="6">
        <v>0</v>
      </c>
      <c r="G38" s="88">
        <f t="shared" si="5"/>
        <v>0</v>
      </c>
      <c r="H38" s="87"/>
      <c r="I38" s="6"/>
      <c r="J38" s="88">
        <f t="shared" si="6"/>
        <v>0</v>
      </c>
      <c r="K38" s="88">
        <f t="shared" si="7"/>
        <v>0</v>
      </c>
      <c r="L38" s="199">
        <f t="shared" si="8"/>
        <v>0</v>
      </c>
      <c r="M38" s="185">
        <v>0</v>
      </c>
      <c r="N38" s="6"/>
      <c r="O38" s="5"/>
    </row>
    <row r="39" spans="1:15">
      <c r="A39" s="210">
        <v>39</v>
      </c>
      <c r="B39" s="211"/>
      <c r="C39" s="210"/>
      <c r="D39" s="6"/>
      <c r="E39" s="87">
        <v>0</v>
      </c>
      <c r="F39" s="6">
        <v>0</v>
      </c>
      <c r="G39" s="88">
        <f t="shared" si="5"/>
        <v>0</v>
      </c>
      <c r="H39" s="87"/>
      <c r="I39" s="6"/>
      <c r="J39" s="88">
        <f t="shared" si="6"/>
        <v>0</v>
      </c>
      <c r="K39" s="212">
        <f t="shared" si="7"/>
        <v>0</v>
      </c>
      <c r="L39" s="199">
        <f t="shared" si="8"/>
        <v>0</v>
      </c>
      <c r="M39" s="214">
        <v>0</v>
      </c>
      <c r="N39" s="210"/>
      <c r="O39" s="5"/>
    </row>
    <row r="40" spans="1:15">
      <c r="A40" s="6">
        <v>40</v>
      </c>
      <c r="B40" s="6"/>
      <c r="C40" s="6"/>
      <c r="D40" s="6"/>
      <c r="E40" s="87">
        <v>0</v>
      </c>
      <c r="F40" s="6">
        <v>0</v>
      </c>
      <c r="G40" s="88">
        <f t="shared" si="5"/>
        <v>0</v>
      </c>
      <c r="H40" s="87"/>
      <c r="I40" s="6"/>
      <c r="J40" s="88">
        <f t="shared" si="6"/>
        <v>0</v>
      </c>
      <c r="K40" s="88">
        <f t="shared" si="7"/>
        <v>0</v>
      </c>
      <c r="L40" s="199">
        <f t="shared" si="8"/>
        <v>0</v>
      </c>
      <c r="M40" s="185">
        <v>0</v>
      </c>
      <c r="N40" s="6"/>
      <c r="O40" s="5"/>
    </row>
    <row r="41" spans="1:15">
      <c r="A41" s="210">
        <v>41</v>
      </c>
      <c r="B41" s="210"/>
      <c r="C41" s="210"/>
      <c r="D41" s="6"/>
      <c r="E41" s="87">
        <v>0</v>
      </c>
      <c r="F41" s="6">
        <v>0</v>
      </c>
      <c r="G41" s="88">
        <f t="shared" si="5"/>
        <v>0</v>
      </c>
      <c r="H41" s="87"/>
      <c r="I41" s="6"/>
      <c r="J41" s="88">
        <f t="shared" si="6"/>
        <v>0</v>
      </c>
      <c r="K41" s="212">
        <f t="shared" si="7"/>
        <v>0</v>
      </c>
      <c r="L41" s="199">
        <f t="shared" si="8"/>
        <v>0</v>
      </c>
      <c r="M41" s="214">
        <v>0</v>
      </c>
      <c r="N41" s="210"/>
      <c r="O41" s="5"/>
    </row>
    <row r="42" spans="1:15">
      <c r="A42" s="210">
        <v>42</v>
      </c>
      <c r="B42" s="210"/>
      <c r="C42" s="210"/>
      <c r="D42" s="6"/>
      <c r="E42" s="87">
        <v>0</v>
      </c>
      <c r="F42" s="6">
        <v>0</v>
      </c>
      <c r="G42" s="88">
        <f t="shared" si="5"/>
        <v>0</v>
      </c>
      <c r="H42" s="87"/>
      <c r="I42" s="6"/>
      <c r="J42" s="88">
        <f t="shared" si="6"/>
        <v>0</v>
      </c>
      <c r="K42" s="212">
        <f t="shared" si="7"/>
        <v>0</v>
      </c>
      <c r="L42" s="213">
        <f t="shared" si="8"/>
        <v>0</v>
      </c>
      <c r="M42" s="214">
        <v>0</v>
      </c>
      <c r="N42" s="210"/>
      <c r="O42" s="5"/>
    </row>
    <row r="43" spans="1:15">
      <c r="A43" s="84"/>
      <c r="B43" s="84"/>
      <c r="C43" s="84"/>
      <c r="D43" s="84"/>
      <c r="E43" s="85">
        <f>SUM(E4:E42)</f>
        <v>978.68000000000006</v>
      </c>
      <c r="F43" s="85"/>
      <c r="G43" s="85">
        <f>SUM(G4:G42)</f>
        <v>87467.484399999987</v>
      </c>
      <c r="H43" s="85">
        <f>SUM(H4:H42)</f>
        <v>39.040000000000006</v>
      </c>
      <c r="I43" s="85"/>
      <c r="J43" s="85">
        <f>SUM(J4:J42)</f>
        <v>3531.4920000000006</v>
      </c>
      <c r="K43" s="85">
        <f>SUM(K4:K42)</f>
        <v>90998.9764</v>
      </c>
      <c r="L43" s="85">
        <f>SUM(L4:L42)</f>
        <v>90998.972799999989</v>
      </c>
      <c r="M43" s="85"/>
      <c r="N43" s="85"/>
      <c r="O43" s="81"/>
    </row>
    <row r="44" spans="1:15">
      <c r="A44" s="5"/>
      <c r="B44" s="5"/>
      <c r="C44" s="5"/>
      <c r="D44" s="5"/>
      <c r="E44" s="5"/>
      <c r="F44" s="5"/>
      <c r="G44" s="127"/>
      <c r="H44" s="5"/>
      <c r="I44" s="5"/>
      <c r="J44" s="127"/>
      <c r="K44" s="5"/>
      <c r="L44" s="127"/>
      <c r="M44" s="127"/>
      <c r="N44" s="5"/>
      <c r="O44" s="5"/>
    </row>
    <row r="45" spans="1:15">
      <c r="A45" s="5"/>
      <c r="B45" s="5"/>
      <c r="C45" s="5"/>
      <c r="D45" s="5"/>
      <c r="E45" s="5"/>
      <c r="F45" s="5"/>
      <c r="G45" s="127"/>
      <c r="H45" s="5"/>
      <c r="I45" s="5"/>
      <c r="J45" s="127"/>
      <c r="K45" s="5"/>
      <c r="L45" s="127"/>
      <c r="M45" s="127"/>
      <c r="N45" s="5"/>
      <c r="O45" s="5"/>
    </row>
    <row r="46" spans="1:15">
      <c r="L46">
        <v>41648.541499999999</v>
      </c>
    </row>
    <row r="47" spans="1:15">
      <c r="L47" s="215">
        <f>L43+L46</f>
        <v>132647.51429999998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221C-1691-4B0D-B03E-610E76253615}">
  <sheetPr>
    <tabColor theme="0"/>
  </sheetPr>
  <dimension ref="A1:P35"/>
  <sheetViews>
    <sheetView topLeftCell="A13" workbookViewId="0">
      <selection activeCell="Q34" sqref="Q34"/>
    </sheetView>
  </sheetViews>
  <sheetFormatPr defaultRowHeight="15"/>
  <cols>
    <col min="1" max="1" width="5.140625" bestFit="1" customWidth="1"/>
    <col min="2" max="2" width="11.5703125" bestFit="1" customWidth="1"/>
    <col min="3" max="3" width="8" bestFit="1" customWidth="1"/>
    <col min="4" max="4" width="16" bestFit="1" customWidth="1"/>
    <col min="5" max="5" width="10.7109375" bestFit="1" customWidth="1"/>
    <col min="6" max="6" width="13.42578125" customWidth="1"/>
    <col min="7" max="7" width="9.28515625" bestFit="1" customWidth="1"/>
    <col min="8" max="8" width="10.7109375" bestFit="1" customWidth="1"/>
    <col min="9" max="9" width="7.140625" bestFit="1" customWidth="1"/>
    <col min="10" max="10" width="8.7109375" bestFit="1" customWidth="1"/>
    <col min="11" max="11" width="13.5703125" bestFit="1" customWidth="1"/>
    <col min="12" max="12" width="15.85546875" bestFit="1" customWidth="1"/>
    <col min="13" max="13" width="13.5703125" bestFit="1" customWidth="1"/>
    <col min="14" max="14" width="8.7109375" bestFit="1" customWidth="1"/>
  </cols>
  <sheetData>
    <row r="1" spans="1:16" ht="15.75" customHeight="1">
      <c r="A1" s="402" t="s">
        <v>45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</row>
    <row r="2" spans="1:16">
      <c r="A2" s="151" t="s">
        <v>91</v>
      </c>
      <c r="B2" s="151" t="s">
        <v>92</v>
      </c>
      <c r="C2" s="151" t="s">
        <v>93</v>
      </c>
      <c r="D2" s="151" t="s">
        <v>94</v>
      </c>
      <c r="E2" s="217" t="s">
        <v>95</v>
      </c>
      <c r="F2" s="217" t="s">
        <v>96</v>
      </c>
      <c r="G2" s="217" t="s">
        <v>97</v>
      </c>
      <c r="H2" s="217" t="s">
        <v>98</v>
      </c>
      <c r="I2" s="217" t="s">
        <v>96</v>
      </c>
      <c r="J2" s="217" t="s">
        <v>97</v>
      </c>
      <c r="K2" s="217" t="s">
        <v>99</v>
      </c>
      <c r="L2" s="151" t="s">
        <v>9</v>
      </c>
      <c r="M2" s="154" t="s">
        <v>185</v>
      </c>
      <c r="N2" s="151" t="s">
        <v>102</v>
      </c>
    </row>
    <row r="3" spans="1:16">
      <c r="A3" s="19"/>
      <c r="B3" s="19"/>
      <c r="C3" s="19"/>
      <c r="D3" s="19" t="s">
        <v>103</v>
      </c>
      <c r="E3" s="19"/>
      <c r="F3" s="19"/>
      <c r="G3" s="19"/>
      <c r="H3" s="19"/>
      <c r="I3" s="19"/>
      <c r="J3" s="19"/>
      <c r="K3" s="19">
        <v>0</v>
      </c>
      <c r="L3" s="19"/>
      <c r="M3" s="19">
        <f>+K3</f>
        <v>0</v>
      </c>
      <c r="N3" s="19"/>
    </row>
    <row r="4" spans="1:16">
      <c r="A4" s="28">
        <v>1</v>
      </c>
      <c r="B4" s="29">
        <v>45717</v>
      </c>
      <c r="C4" s="167"/>
      <c r="D4" s="167"/>
      <c r="E4" s="118">
        <v>0</v>
      </c>
      <c r="F4" s="118">
        <v>0</v>
      </c>
      <c r="G4" s="225">
        <f>F4*E4</f>
        <v>0</v>
      </c>
      <c r="H4" s="118">
        <v>4.8600000000000003</v>
      </c>
      <c r="I4" s="118">
        <v>102.77</v>
      </c>
      <c r="J4" s="225">
        <f t="shared" ref="J4:J32" si="0">H4*I4</f>
        <v>499.4622</v>
      </c>
      <c r="K4" s="225">
        <f>G4+J4</f>
        <v>499.4622</v>
      </c>
      <c r="L4" s="225">
        <f>+K4</f>
        <v>499.4622</v>
      </c>
      <c r="M4" s="225">
        <f>M3+K4-L4</f>
        <v>0</v>
      </c>
      <c r="N4" s="167"/>
    </row>
    <row r="5" spans="1:16">
      <c r="A5" s="28">
        <v>2</v>
      </c>
      <c r="B5" s="294">
        <v>45718</v>
      </c>
      <c r="C5" s="19"/>
      <c r="D5" s="19"/>
      <c r="E5" s="118">
        <v>0</v>
      </c>
      <c r="F5" s="118">
        <v>0</v>
      </c>
      <c r="G5" s="225">
        <f t="shared" ref="G5:G31" si="1">F5*E5</f>
        <v>0</v>
      </c>
      <c r="H5" s="118">
        <v>0</v>
      </c>
      <c r="I5" s="118">
        <v>0</v>
      </c>
      <c r="J5" s="225">
        <f t="shared" si="0"/>
        <v>0</v>
      </c>
      <c r="K5" s="225">
        <f t="shared" ref="K5:K32" si="2">G5+J5</f>
        <v>0</v>
      </c>
      <c r="L5" s="225">
        <f t="shared" ref="L5:L32" si="3">+K5</f>
        <v>0</v>
      </c>
      <c r="M5" s="225">
        <f t="shared" ref="M5:M32" si="4">M4+K5-L5</f>
        <v>0</v>
      </c>
      <c r="N5" s="19"/>
    </row>
    <row r="6" spans="1:16">
      <c r="A6" s="28">
        <v>3</v>
      </c>
      <c r="B6" s="29">
        <v>45719</v>
      </c>
      <c r="C6" s="19"/>
      <c r="D6" s="19"/>
      <c r="E6" s="118">
        <v>0</v>
      </c>
      <c r="F6" s="118">
        <v>0</v>
      </c>
      <c r="G6" s="225">
        <f t="shared" si="1"/>
        <v>0</v>
      </c>
      <c r="H6" s="118">
        <v>0</v>
      </c>
      <c r="I6" s="118">
        <v>0</v>
      </c>
      <c r="J6" s="225">
        <f t="shared" si="0"/>
        <v>0</v>
      </c>
      <c r="K6" s="225">
        <f t="shared" si="2"/>
        <v>0</v>
      </c>
      <c r="L6" s="225">
        <f t="shared" si="3"/>
        <v>0</v>
      </c>
      <c r="M6" s="225">
        <f t="shared" si="4"/>
        <v>0</v>
      </c>
      <c r="N6" s="19"/>
    </row>
    <row r="7" spans="1:16">
      <c r="A7" s="28">
        <v>4</v>
      </c>
      <c r="B7" s="294">
        <v>45720</v>
      </c>
      <c r="C7" s="19"/>
      <c r="D7" s="19"/>
      <c r="E7" s="118">
        <v>67.48</v>
      </c>
      <c r="F7" s="118">
        <v>88.89</v>
      </c>
      <c r="G7" s="225">
        <f t="shared" si="1"/>
        <v>5998.2972</v>
      </c>
      <c r="H7" s="118">
        <v>4.8600000000000003</v>
      </c>
      <c r="I7" s="118">
        <v>102.77</v>
      </c>
      <c r="J7" s="225">
        <f t="shared" si="0"/>
        <v>499.4622</v>
      </c>
      <c r="K7" s="225">
        <f t="shared" si="2"/>
        <v>6497.7593999999999</v>
      </c>
      <c r="L7" s="225">
        <f t="shared" si="3"/>
        <v>6497.7593999999999</v>
      </c>
      <c r="M7" s="225">
        <f t="shared" si="4"/>
        <v>0</v>
      </c>
      <c r="N7" s="19"/>
    </row>
    <row r="8" spans="1:16">
      <c r="A8" s="28">
        <v>5</v>
      </c>
      <c r="B8" s="29">
        <v>45721</v>
      </c>
      <c r="C8" s="19"/>
      <c r="D8" s="19"/>
      <c r="E8" s="118">
        <v>0</v>
      </c>
      <c r="F8" s="118">
        <v>0</v>
      </c>
      <c r="G8" s="225">
        <f t="shared" si="1"/>
        <v>0</v>
      </c>
      <c r="H8" s="118">
        <v>0</v>
      </c>
      <c r="I8" s="118">
        <v>0</v>
      </c>
      <c r="J8" s="225">
        <f t="shared" si="0"/>
        <v>0</v>
      </c>
      <c r="K8" s="225">
        <f t="shared" si="2"/>
        <v>0</v>
      </c>
      <c r="L8" s="225">
        <f t="shared" si="3"/>
        <v>0</v>
      </c>
      <c r="M8" s="225">
        <f t="shared" si="4"/>
        <v>0</v>
      </c>
      <c r="N8" s="19"/>
    </row>
    <row r="9" spans="1:16">
      <c r="A9" s="28">
        <v>6</v>
      </c>
      <c r="B9" s="294">
        <v>45722</v>
      </c>
      <c r="C9" s="19"/>
      <c r="D9" s="19"/>
      <c r="E9" s="118">
        <v>56.24</v>
      </c>
      <c r="F9" s="118">
        <v>88.89</v>
      </c>
      <c r="G9" s="225">
        <f t="shared" si="1"/>
        <v>4999.1736000000001</v>
      </c>
      <c r="H9" s="118">
        <v>4.8600000000000003</v>
      </c>
      <c r="I9" s="118">
        <v>102.77</v>
      </c>
      <c r="J9" s="225">
        <f t="shared" si="0"/>
        <v>499.4622</v>
      </c>
      <c r="K9" s="225">
        <f t="shared" si="2"/>
        <v>5498.6358</v>
      </c>
      <c r="L9" s="225">
        <f t="shared" si="3"/>
        <v>5498.6358</v>
      </c>
      <c r="M9" s="225">
        <f t="shared" si="4"/>
        <v>0</v>
      </c>
      <c r="N9" s="19"/>
    </row>
    <row r="10" spans="1:16">
      <c r="A10" s="28">
        <v>7</v>
      </c>
      <c r="B10" s="29">
        <v>45723</v>
      </c>
      <c r="C10" s="19"/>
      <c r="D10" s="19"/>
      <c r="E10" s="118">
        <v>56.24</v>
      </c>
      <c r="F10" s="118">
        <v>88.89</v>
      </c>
      <c r="G10" s="225">
        <f t="shared" si="1"/>
        <v>4999.1736000000001</v>
      </c>
      <c r="H10" s="118">
        <v>4.8600000000000003</v>
      </c>
      <c r="I10" s="118">
        <v>102.77</v>
      </c>
      <c r="J10" s="225">
        <f t="shared" si="0"/>
        <v>499.4622</v>
      </c>
      <c r="K10" s="225">
        <f t="shared" si="2"/>
        <v>5498.6358</v>
      </c>
      <c r="L10" s="225">
        <f t="shared" si="3"/>
        <v>5498.6358</v>
      </c>
      <c r="M10" s="225">
        <f t="shared" si="4"/>
        <v>0</v>
      </c>
      <c r="N10" s="19"/>
    </row>
    <row r="11" spans="1:16">
      <c r="A11" s="28">
        <v>8</v>
      </c>
      <c r="B11" s="294">
        <v>45724</v>
      </c>
      <c r="C11" s="19"/>
      <c r="D11" s="19"/>
      <c r="E11" s="118">
        <v>56.24</v>
      </c>
      <c r="F11" s="118">
        <v>88.89</v>
      </c>
      <c r="G11" s="225">
        <f t="shared" si="1"/>
        <v>4999.1736000000001</v>
      </c>
      <c r="H11" s="118">
        <v>0</v>
      </c>
      <c r="I11" s="118">
        <v>0</v>
      </c>
      <c r="J11" s="225">
        <f t="shared" si="0"/>
        <v>0</v>
      </c>
      <c r="K11" s="225">
        <f t="shared" si="2"/>
        <v>4999.1736000000001</v>
      </c>
      <c r="L11" s="225">
        <f t="shared" si="3"/>
        <v>4999.1736000000001</v>
      </c>
      <c r="M11" s="225">
        <f t="shared" si="4"/>
        <v>0</v>
      </c>
      <c r="N11" s="19"/>
    </row>
    <row r="12" spans="1:16">
      <c r="A12" s="28">
        <v>9</v>
      </c>
      <c r="B12" s="29">
        <v>45725</v>
      </c>
      <c r="C12" s="19"/>
      <c r="D12" s="19"/>
      <c r="E12" s="118">
        <v>0</v>
      </c>
      <c r="F12" s="118">
        <v>0</v>
      </c>
      <c r="G12" s="225">
        <f t="shared" si="1"/>
        <v>0</v>
      </c>
      <c r="H12" s="118">
        <v>0</v>
      </c>
      <c r="I12" s="118">
        <v>0</v>
      </c>
      <c r="J12" s="225">
        <f t="shared" si="0"/>
        <v>0</v>
      </c>
      <c r="K12" s="225">
        <f t="shared" si="2"/>
        <v>0</v>
      </c>
      <c r="L12" s="225">
        <f t="shared" si="3"/>
        <v>0</v>
      </c>
      <c r="M12" s="225">
        <f t="shared" si="4"/>
        <v>0</v>
      </c>
      <c r="N12" s="19"/>
      <c r="P12">
        <f>4999.17+50339.51</f>
        <v>55338.68</v>
      </c>
    </row>
    <row r="13" spans="1:16">
      <c r="A13" s="28">
        <v>10</v>
      </c>
      <c r="B13" s="294">
        <v>45726</v>
      </c>
      <c r="C13" s="19"/>
      <c r="D13" s="19"/>
      <c r="E13" s="118">
        <v>0</v>
      </c>
      <c r="F13" s="118">
        <v>0</v>
      </c>
      <c r="G13" s="225">
        <f t="shared" si="1"/>
        <v>0</v>
      </c>
      <c r="H13" s="118">
        <v>0</v>
      </c>
      <c r="I13" s="118">
        <v>0</v>
      </c>
      <c r="J13" s="225">
        <f t="shared" si="0"/>
        <v>0</v>
      </c>
      <c r="K13" s="225">
        <f t="shared" si="2"/>
        <v>0</v>
      </c>
      <c r="L13" s="225">
        <f t="shared" si="3"/>
        <v>0</v>
      </c>
      <c r="M13" s="225">
        <f t="shared" si="4"/>
        <v>0</v>
      </c>
      <c r="N13" s="19"/>
    </row>
    <row r="14" spans="1:16">
      <c r="A14" s="28">
        <v>11</v>
      </c>
      <c r="B14" s="29">
        <v>45727</v>
      </c>
      <c r="C14" s="19"/>
      <c r="D14" s="19"/>
      <c r="E14" s="118">
        <v>67.48</v>
      </c>
      <c r="F14" s="118">
        <v>88.89</v>
      </c>
      <c r="G14" s="225">
        <f t="shared" si="1"/>
        <v>5998.2972</v>
      </c>
      <c r="H14" s="118">
        <v>0</v>
      </c>
      <c r="I14" s="118">
        <v>0</v>
      </c>
      <c r="J14" s="225">
        <f t="shared" si="0"/>
        <v>0</v>
      </c>
      <c r="K14" s="225">
        <f t="shared" si="2"/>
        <v>5998.2972</v>
      </c>
      <c r="L14" s="225">
        <f t="shared" si="3"/>
        <v>5998.2972</v>
      </c>
      <c r="M14" s="225">
        <f>M13+K14-L14</f>
        <v>0</v>
      </c>
      <c r="N14" s="19"/>
    </row>
    <row r="15" spans="1:16">
      <c r="A15" s="28">
        <v>12</v>
      </c>
      <c r="B15" s="294">
        <v>45728</v>
      </c>
      <c r="C15" s="19"/>
      <c r="D15" s="19"/>
      <c r="E15" s="118">
        <v>0</v>
      </c>
      <c r="F15" s="118"/>
      <c r="G15" s="225">
        <f t="shared" si="1"/>
        <v>0</v>
      </c>
      <c r="H15" s="118">
        <v>4.8600000000000003</v>
      </c>
      <c r="I15" s="118">
        <v>102.77</v>
      </c>
      <c r="J15" s="225">
        <f t="shared" si="0"/>
        <v>499.4622</v>
      </c>
      <c r="K15" s="225">
        <f t="shared" si="2"/>
        <v>499.4622</v>
      </c>
      <c r="L15" s="225">
        <f t="shared" si="3"/>
        <v>499.4622</v>
      </c>
      <c r="M15" s="225">
        <f t="shared" si="4"/>
        <v>0</v>
      </c>
      <c r="N15" s="19"/>
    </row>
    <row r="16" spans="1:16">
      <c r="A16" s="28">
        <v>13</v>
      </c>
      <c r="B16" s="29">
        <v>45729</v>
      </c>
      <c r="C16" s="19"/>
      <c r="D16" s="19"/>
      <c r="E16" s="118">
        <v>0</v>
      </c>
      <c r="F16" s="118">
        <v>0</v>
      </c>
      <c r="G16" s="225">
        <f t="shared" si="1"/>
        <v>0</v>
      </c>
      <c r="H16" s="118">
        <v>9.7200000000000006</v>
      </c>
      <c r="I16" s="118">
        <v>102.77</v>
      </c>
      <c r="J16" s="225">
        <f t="shared" si="0"/>
        <v>998.92439999999999</v>
      </c>
      <c r="K16" s="225">
        <f t="shared" si="2"/>
        <v>998.92439999999999</v>
      </c>
      <c r="L16" s="225">
        <f t="shared" si="3"/>
        <v>998.92439999999999</v>
      </c>
      <c r="M16" s="225">
        <f t="shared" si="4"/>
        <v>0</v>
      </c>
      <c r="N16" s="19"/>
    </row>
    <row r="17" spans="1:14">
      <c r="A17" s="28">
        <v>14</v>
      </c>
      <c r="B17" s="294">
        <v>45730</v>
      </c>
      <c r="C17" s="19"/>
      <c r="D17" s="19"/>
      <c r="E17" s="118">
        <v>0</v>
      </c>
      <c r="F17" s="118">
        <v>0</v>
      </c>
      <c r="G17" s="225">
        <f t="shared" si="1"/>
        <v>0</v>
      </c>
      <c r="H17" s="118">
        <v>0</v>
      </c>
      <c r="I17" s="118">
        <v>0</v>
      </c>
      <c r="J17" s="225">
        <f t="shared" si="0"/>
        <v>0</v>
      </c>
      <c r="K17" s="225">
        <f t="shared" si="2"/>
        <v>0</v>
      </c>
      <c r="L17" s="225">
        <f t="shared" si="3"/>
        <v>0</v>
      </c>
      <c r="M17" s="225">
        <f t="shared" si="4"/>
        <v>0</v>
      </c>
      <c r="N17" s="19"/>
    </row>
    <row r="18" spans="1:14">
      <c r="A18" s="28">
        <v>15</v>
      </c>
      <c r="B18" s="29">
        <v>45731</v>
      </c>
      <c r="C18" s="19"/>
      <c r="D18" s="19"/>
      <c r="E18" s="118">
        <v>44.99</v>
      </c>
      <c r="F18" s="118">
        <v>88.89</v>
      </c>
      <c r="G18" s="225">
        <f t="shared" si="1"/>
        <v>3999.1611000000003</v>
      </c>
      <c r="H18" s="118">
        <v>0</v>
      </c>
      <c r="I18" s="118">
        <v>0</v>
      </c>
      <c r="J18" s="225">
        <f t="shared" si="0"/>
        <v>0</v>
      </c>
      <c r="K18" s="225">
        <f t="shared" si="2"/>
        <v>3999.1611000000003</v>
      </c>
      <c r="L18" s="225">
        <f t="shared" si="3"/>
        <v>3999.1611000000003</v>
      </c>
      <c r="M18" s="225">
        <f t="shared" si="4"/>
        <v>0</v>
      </c>
      <c r="N18" s="19"/>
    </row>
    <row r="19" spans="1:14">
      <c r="A19" s="28">
        <v>16</v>
      </c>
      <c r="B19" s="294">
        <v>45732</v>
      </c>
      <c r="C19" s="19"/>
      <c r="D19" s="19"/>
      <c r="E19" s="118">
        <v>0</v>
      </c>
      <c r="F19" s="118">
        <v>0</v>
      </c>
      <c r="G19" s="225">
        <f t="shared" si="1"/>
        <v>0</v>
      </c>
      <c r="H19" s="118">
        <v>0</v>
      </c>
      <c r="I19" s="118">
        <v>0</v>
      </c>
      <c r="J19" s="225">
        <f t="shared" si="0"/>
        <v>0</v>
      </c>
      <c r="K19" s="225">
        <f t="shared" si="2"/>
        <v>0</v>
      </c>
      <c r="L19" s="225">
        <f t="shared" si="3"/>
        <v>0</v>
      </c>
      <c r="M19" s="225">
        <f t="shared" si="4"/>
        <v>0</v>
      </c>
      <c r="N19" s="19"/>
    </row>
    <row r="20" spans="1:14">
      <c r="A20" s="28">
        <v>17</v>
      </c>
      <c r="B20" s="29">
        <v>45733</v>
      </c>
      <c r="C20" s="19"/>
      <c r="D20" s="19"/>
      <c r="E20" s="118">
        <v>0</v>
      </c>
      <c r="F20" s="118">
        <v>0</v>
      </c>
      <c r="G20" s="225">
        <f t="shared" si="1"/>
        <v>0</v>
      </c>
      <c r="H20" s="118">
        <v>0</v>
      </c>
      <c r="I20" s="118">
        <v>0</v>
      </c>
      <c r="J20" s="225">
        <f t="shared" si="0"/>
        <v>0</v>
      </c>
      <c r="K20" s="225">
        <f t="shared" si="2"/>
        <v>0</v>
      </c>
      <c r="L20" s="225">
        <f t="shared" si="3"/>
        <v>0</v>
      </c>
      <c r="M20" s="225">
        <f t="shared" si="4"/>
        <v>0</v>
      </c>
      <c r="N20" s="19"/>
    </row>
    <row r="21" spans="1:14">
      <c r="A21" s="28">
        <v>18</v>
      </c>
      <c r="B21" s="294">
        <v>45734</v>
      </c>
      <c r="C21" s="19"/>
      <c r="D21" s="19"/>
      <c r="E21" s="118">
        <v>90</v>
      </c>
      <c r="F21" s="118">
        <v>89.4</v>
      </c>
      <c r="G21" s="225">
        <f t="shared" si="1"/>
        <v>8046.0000000000009</v>
      </c>
      <c r="H21" s="118">
        <v>5.47</v>
      </c>
      <c r="I21" s="118">
        <v>103.18</v>
      </c>
      <c r="J21" s="225">
        <f t="shared" si="0"/>
        <v>564.39459999999997</v>
      </c>
      <c r="K21" s="225">
        <f t="shared" si="2"/>
        <v>8610.3946000000014</v>
      </c>
      <c r="L21" s="225">
        <f t="shared" si="3"/>
        <v>8610.3946000000014</v>
      </c>
      <c r="M21" s="225">
        <f t="shared" si="4"/>
        <v>0</v>
      </c>
      <c r="N21" s="19"/>
    </row>
    <row r="22" spans="1:14">
      <c r="A22" s="28">
        <v>19</v>
      </c>
      <c r="B22" s="29">
        <v>45735</v>
      </c>
      <c r="C22" s="19"/>
      <c r="D22" s="19"/>
      <c r="E22" s="118">
        <v>0</v>
      </c>
      <c r="F22" s="118">
        <v>0</v>
      </c>
      <c r="G22" s="225">
        <f t="shared" si="1"/>
        <v>0</v>
      </c>
      <c r="H22" s="118">
        <v>0</v>
      </c>
      <c r="I22" s="118">
        <v>0</v>
      </c>
      <c r="J22" s="225">
        <f t="shared" si="0"/>
        <v>0</v>
      </c>
      <c r="K22" s="225">
        <f t="shared" si="2"/>
        <v>0</v>
      </c>
      <c r="L22" s="225">
        <f t="shared" si="3"/>
        <v>0</v>
      </c>
      <c r="M22" s="225">
        <f t="shared" si="4"/>
        <v>0</v>
      </c>
      <c r="N22" s="19"/>
    </row>
    <row r="23" spans="1:14">
      <c r="A23" s="28">
        <v>20</v>
      </c>
      <c r="B23" s="294">
        <v>45736</v>
      </c>
      <c r="C23" s="19"/>
      <c r="D23" s="19"/>
      <c r="E23" s="118">
        <v>0</v>
      </c>
      <c r="F23" s="118">
        <v>0</v>
      </c>
      <c r="G23" s="225">
        <f t="shared" si="1"/>
        <v>0</v>
      </c>
      <c r="H23" s="118">
        <v>0</v>
      </c>
      <c r="I23" s="118">
        <v>0</v>
      </c>
      <c r="J23" s="225">
        <f t="shared" si="0"/>
        <v>0</v>
      </c>
      <c r="K23" s="225">
        <f t="shared" si="2"/>
        <v>0</v>
      </c>
      <c r="L23" s="225">
        <f t="shared" si="3"/>
        <v>0</v>
      </c>
      <c r="M23" s="225">
        <f t="shared" si="4"/>
        <v>0</v>
      </c>
      <c r="N23" s="19"/>
    </row>
    <row r="24" spans="1:14">
      <c r="A24" s="28">
        <v>21</v>
      </c>
      <c r="B24" s="29">
        <v>45737</v>
      </c>
      <c r="C24" s="19"/>
      <c r="D24" s="19"/>
      <c r="E24" s="118">
        <v>0</v>
      </c>
      <c r="F24" s="118">
        <v>89.26</v>
      </c>
      <c r="G24" s="225">
        <f t="shared" si="1"/>
        <v>0</v>
      </c>
      <c r="H24" s="118">
        <v>9.7200000000000006</v>
      </c>
      <c r="I24" s="118">
        <v>102.77</v>
      </c>
      <c r="J24" s="225">
        <f t="shared" si="0"/>
        <v>998.92439999999999</v>
      </c>
      <c r="K24" s="225">
        <f t="shared" si="2"/>
        <v>998.92439999999999</v>
      </c>
      <c r="L24" s="225">
        <f t="shared" si="3"/>
        <v>998.92439999999999</v>
      </c>
      <c r="M24" s="225">
        <f t="shared" si="4"/>
        <v>0</v>
      </c>
      <c r="N24" s="19"/>
    </row>
    <row r="25" spans="1:14">
      <c r="A25" s="28">
        <v>22</v>
      </c>
      <c r="B25" s="294">
        <v>45738</v>
      </c>
      <c r="C25" s="19"/>
      <c r="D25" s="19"/>
      <c r="E25" s="118">
        <v>0</v>
      </c>
      <c r="F25" s="118">
        <v>0</v>
      </c>
      <c r="G25" s="225">
        <f t="shared" si="1"/>
        <v>0</v>
      </c>
      <c r="H25" s="118">
        <v>0</v>
      </c>
      <c r="I25" s="118">
        <v>0</v>
      </c>
      <c r="J25" s="225">
        <f t="shared" si="0"/>
        <v>0</v>
      </c>
      <c r="K25" s="225">
        <f t="shared" si="2"/>
        <v>0</v>
      </c>
      <c r="L25" s="225">
        <f t="shared" si="3"/>
        <v>0</v>
      </c>
      <c r="M25" s="225">
        <f t="shared" si="4"/>
        <v>0</v>
      </c>
      <c r="N25" s="19"/>
    </row>
    <row r="26" spans="1:14">
      <c r="A26" s="28">
        <v>23</v>
      </c>
      <c r="B26" s="29">
        <v>45739</v>
      </c>
      <c r="C26" s="19"/>
      <c r="D26" s="19"/>
      <c r="E26" s="118">
        <v>0</v>
      </c>
      <c r="F26" s="118">
        <v>0</v>
      </c>
      <c r="G26" s="225">
        <f t="shared" si="1"/>
        <v>0</v>
      </c>
      <c r="H26" s="118">
        <v>0</v>
      </c>
      <c r="I26" s="118">
        <v>0</v>
      </c>
      <c r="J26" s="225">
        <f t="shared" si="0"/>
        <v>0</v>
      </c>
      <c r="K26" s="225">
        <f t="shared" si="2"/>
        <v>0</v>
      </c>
      <c r="L26" s="225">
        <f t="shared" si="3"/>
        <v>0</v>
      </c>
      <c r="M26" s="225">
        <f t="shared" si="4"/>
        <v>0</v>
      </c>
      <c r="N26" s="19"/>
    </row>
    <row r="27" spans="1:14">
      <c r="A27" s="28">
        <v>24</v>
      </c>
      <c r="B27" s="294">
        <v>45740</v>
      </c>
      <c r="C27" s="19"/>
      <c r="D27" s="19"/>
      <c r="E27" s="118">
        <v>0</v>
      </c>
      <c r="F27" s="118">
        <v>0</v>
      </c>
      <c r="G27" s="225">
        <f t="shared" si="1"/>
        <v>0</v>
      </c>
      <c r="H27" s="118">
        <v>0</v>
      </c>
      <c r="I27" s="118">
        <v>0</v>
      </c>
      <c r="J27" s="225">
        <f t="shared" si="0"/>
        <v>0</v>
      </c>
      <c r="K27" s="225">
        <f t="shared" si="2"/>
        <v>0</v>
      </c>
      <c r="L27" s="225">
        <f t="shared" si="3"/>
        <v>0</v>
      </c>
      <c r="M27" s="225">
        <f t="shared" si="4"/>
        <v>0</v>
      </c>
      <c r="N27" s="19"/>
    </row>
    <row r="28" spans="1:14">
      <c r="A28" s="28">
        <v>25</v>
      </c>
      <c r="B28" s="29">
        <v>45741</v>
      </c>
      <c r="C28" s="19"/>
      <c r="D28" s="19"/>
      <c r="E28" s="118">
        <v>0</v>
      </c>
      <c r="F28" s="118">
        <v>0</v>
      </c>
      <c r="G28" s="225">
        <f t="shared" si="1"/>
        <v>0</v>
      </c>
      <c r="H28" s="118">
        <v>0</v>
      </c>
      <c r="I28" s="118">
        <v>0</v>
      </c>
      <c r="J28" s="225">
        <f t="shared" si="0"/>
        <v>0</v>
      </c>
      <c r="K28" s="225">
        <f t="shared" si="2"/>
        <v>0</v>
      </c>
      <c r="L28" s="225">
        <f t="shared" si="3"/>
        <v>0</v>
      </c>
      <c r="M28" s="225">
        <f t="shared" si="4"/>
        <v>0</v>
      </c>
      <c r="N28" s="19"/>
    </row>
    <row r="29" spans="1:14">
      <c r="A29" s="28">
        <v>26</v>
      </c>
      <c r="B29" s="294">
        <v>45742</v>
      </c>
      <c r="C29" s="19"/>
      <c r="D29" s="19"/>
      <c r="E29" s="118">
        <v>0</v>
      </c>
      <c r="F29" s="118">
        <v>0</v>
      </c>
      <c r="G29" s="225">
        <f t="shared" si="1"/>
        <v>0</v>
      </c>
      <c r="H29" s="118">
        <v>0</v>
      </c>
      <c r="I29" s="118">
        <v>0</v>
      </c>
      <c r="J29" s="225">
        <f t="shared" si="0"/>
        <v>0</v>
      </c>
      <c r="K29" s="225">
        <f t="shared" si="2"/>
        <v>0</v>
      </c>
      <c r="L29" s="225">
        <f t="shared" si="3"/>
        <v>0</v>
      </c>
      <c r="M29" s="225">
        <f t="shared" si="4"/>
        <v>0</v>
      </c>
      <c r="N29" s="19"/>
    </row>
    <row r="30" spans="1:14">
      <c r="A30" s="28">
        <v>27</v>
      </c>
      <c r="B30" s="29">
        <v>45743</v>
      </c>
      <c r="C30" s="19"/>
      <c r="D30" s="19"/>
      <c r="E30" s="118">
        <v>0</v>
      </c>
      <c r="F30" s="118">
        <v>0</v>
      </c>
      <c r="G30" s="225">
        <f t="shared" si="1"/>
        <v>0</v>
      </c>
      <c r="H30" s="118">
        <v>0</v>
      </c>
      <c r="I30" s="118">
        <v>0</v>
      </c>
      <c r="J30" s="225">
        <f t="shared" si="0"/>
        <v>0</v>
      </c>
      <c r="K30" s="225">
        <f t="shared" si="2"/>
        <v>0</v>
      </c>
      <c r="L30" s="225">
        <f t="shared" si="3"/>
        <v>0</v>
      </c>
      <c r="M30" s="225">
        <f t="shared" si="4"/>
        <v>0</v>
      </c>
      <c r="N30" s="19"/>
    </row>
    <row r="31" spans="1:14">
      <c r="A31" s="28">
        <v>28</v>
      </c>
      <c r="B31" s="294">
        <v>45744</v>
      </c>
      <c r="C31" s="19"/>
      <c r="D31" s="19"/>
      <c r="E31" s="118">
        <v>20</v>
      </c>
      <c r="F31" s="118">
        <v>88.89</v>
      </c>
      <c r="G31" s="225">
        <f t="shared" si="1"/>
        <v>1777.8</v>
      </c>
      <c r="H31" s="118">
        <v>0</v>
      </c>
      <c r="I31" s="118">
        <v>0</v>
      </c>
      <c r="J31" s="225">
        <f t="shared" si="0"/>
        <v>0</v>
      </c>
      <c r="K31" s="225">
        <f t="shared" si="2"/>
        <v>1777.8</v>
      </c>
      <c r="L31" s="225">
        <f t="shared" si="3"/>
        <v>1777.8</v>
      </c>
      <c r="M31" s="225">
        <f t="shared" si="4"/>
        <v>0</v>
      </c>
      <c r="N31" s="19"/>
    </row>
    <row r="32" spans="1:14">
      <c r="A32" s="28">
        <v>29</v>
      </c>
      <c r="B32" s="29">
        <v>45745</v>
      </c>
      <c r="C32" s="19"/>
      <c r="D32" s="19"/>
      <c r="E32" s="118"/>
      <c r="F32" s="118"/>
      <c r="G32" s="225"/>
      <c r="H32" s="118">
        <v>9.99</v>
      </c>
      <c r="I32" s="118">
        <v>102.77</v>
      </c>
      <c r="J32" s="225">
        <f t="shared" si="0"/>
        <v>1026.6723</v>
      </c>
      <c r="K32" s="225">
        <f t="shared" si="2"/>
        <v>1026.6723</v>
      </c>
      <c r="L32" s="225">
        <f t="shared" si="3"/>
        <v>1026.6723</v>
      </c>
      <c r="M32" s="225">
        <f t="shared" si="4"/>
        <v>0</v>
      </c>
      <c r="N32" s="19"/>
    </row>
    <row r="33" spans="1:14">
      <c r="A33" s="28">
        <v>30</v>
      </c>
      <c r="B33" s="294">
        <v>45746</v>
      </c>
      <c r="C33" s="19"/>
      <c r="D33" s="19"/>
      <c r="E33" s="118"/>
      <c r="F33" s="118"/>
      <c r="G33" s="225"/>
      <c r="H33" s="118"/>
      <c r="I33" s="118"/>
      <c r="J33" s="225"/>
      <c r="K33" s="225"/>
      <c r="L33" s="167"/>
      <c r="M33" s="225"/>
      <c r="N33" s="19"/>
    </row>
    <row r="34" spans="1:14">
      <c r="A34" s="28">
        <v>31</v>
      </c>
      <c r="B34" s="29">
        <v>45747</v>
      </c>
      <c r="C34" s="19"/>
      <c r="D34" s="19"/>
      <c r="E34" s="118"/>
      <c r="F34" s="118"/>
      <c r="G34" s="225"/>
      <c r="H34" s="118"/>
      <c r="I34" s="118"/>
      <c r="J34" s="225"/>
      <c r="K34" s="225"/>
      <c r="L34" s="167"/>
      <c r="M34" s="225"/>
      <c r="N34" s="19"/>
    </row>
    <row r="35" spans="1:14">
      <c r="A35" s="60"/>
      <c r="B35" s="60"/>
      <c r="C35" s="60"/>
      <c r="D35" s="60"/>
      <c r="E35" s="60">
        <f>SUM(E4:E34)</f>
        <v>458.67</v>
      </c>
      <c r="F35" s="60"/>
      <c r="G35" s="60">
        <f>SUM(G4:G34)</f>
        <v>40817.076300000008</v>
      </c>
      <c r="H35" s="60">
        <f>SUM(H4:H34)</f>
        <v>59.2</v>
      </c>
      <c r="I35" s="60"/>
      <c r="J35" s="60">
        <f>SUM(J4:J34)</f>
        <v>6086.2267000000002</v>
      </c>
      <c r="K35" s="60">
        <f>SUM(K4:K34)</f>
        <v>46903.303000000007</v>
      </c>
      <c r="L35" s="60">
        <f>SUM(L4:L34)</f>
        <v>46903.303000000007</v>
      </c>
      <c r="M35" s="60">
        <f>SUM(M4:M34)</f>
        <v>0</v>
      </c>
      <c r="N35" s="60"/>
    </row>
  </sheetData>
  <mergeCells count="1">
    <mergeCell ref="A1:N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FF7BF-4A84-4ADB-87E5-5334AC31BAFD}">
  <dimension ref="A1:N44"/>
  <sheetViews>
    <sheetView workbookViewId="0">
      <pane ySplit="2" topLeftCell="A15" activePane="bottomLeft" state="frozen"/>
      <selection pane="bottomLeft" activeCell="I39" sqref="I39"/>
    </sheetView>
  </sheetViews>
  <sheetFormatPr defaultRowHeight="15"/>
  <cols>
    <col min="1" max="1" width="5.140625" bestFit="1" customWidth="1"/>
    <col min="2" max="2" width="11.5703125" bestFit="1" customWidth="1"/>
    <col min="3" max="3" width="8" bestFit="1" customWidth="1"/>
    <col min="4" max="4" width="20.85546875" customWidth="1"/>
    <col min="5" max="5" width="10.7109375" bestFit="1" customWidth="1"/>
    <col min="6" max="6" width="11.85546875" customWidth="1"/>
    <col min="7" max="7" width="9.28515625" bestFit="1" customWidth="1"/>
    <col min="8" max="8" width="10.7109375" bestFit="1" customWidth="1"/>
    <col min="9" max="9" width="7.140625" bestFit="1" customWidth="1"/>
    <col min="10" max="10" width="8.7109375" bestFit="1" customWidth="1"/>
    <col min="11" max="11" width="13.5703125" bestFit="1" customWidth="1"/>
    <col min="12" max="13" width="15" customWidth="1"/>
    <col min="14" max="14" width="22.5703125" customWidth="1"/>
  </cols>
  <sheetData>
    <row r="1" spans="1:14" s="117" customFormat="1" ht="15.75" customHeight="1">
      <c r="A1" s="402" t="s">
        <v>47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</row>
    <row r="2" spans="1:14">
      <c r="A2" s="86" t="s">
        <v>91</v>
      </c>
      <c r="B2" s="86" t="s">
        <v>92</v>
      </c>
      <c r="C2" s="86" t="s">
        <v>93</v>
      </c>
      <c r="D2" s="86" t="s">
        <v>94</v>
      </c>
      <c r="E2" s="116" t="s">
        <v>95</v>
      </c>
      <c r="F2" s="116" t="s">
        <v>96</v>
      </c>
      <c r="G2" s="116" t="s">
        <v>97</v>
      </c>
      <c r="H2" s="116" t="s">
        <v>98</v>
      </c>
      <c r="I2" s="116" t="s">
        <v>96</v>
      </c>
      <c r="J2" s="116" t="s">
        <v>97</v>
      </c>
      <c r="K2" s="116" t="s">
        <v>99</v>
      </c>
      <c r="L2" s="109" t="s">
        <v>100</v>
      </c>
      <c r="M2" s="109" t="s">
        <v>149</v>
      </c>
      <c r="N2" s="86" t="s">
        <v>102</v>
      </c>
    </row>
    <row r="3" spans="1:14">
      <c r="A3" s="19"/>
      <c r="B3" s="19"/>
      <c r="C3" s="19"/>
      <c r="D3" s="19" t="s">
        <v>103</v>
      </c>
      <c r="E3" s="19"/>
      <c r="F3" s="19"/>
      <c r="G3" s="19"/>
      <c r="H3" s="19"/>
      <c r="I3" s="19"/>
      <c r="J3" s="19"/>
      <c r="K3" s="51">
        <v>56200.690600000016</v>
      </c>
      <c r="L3" s="19"/>
      <c r="M3" s="51">
        <f>+K3</f>
        <v>56200.690600000016</v>
      </c>
      <c r="N3" s="19"/>
    </row>
    <row r="4" spans="1:14">
      <c r="A4" s="28">
        <v>1</v>
      </c>
      <c r="B4" s="29">
        <v>45717</v>
      </c>
      <c r="C4" s="19"/>
      <c r="D4" s="19"/>
      <c r="E4" s="62">
        <v>20</v>
      </c>
      <c r="F4" s="62">
        <v>89.26</v>
      </c>
      <c r="G4" s="51">
        <f>E4*F4</f>
        <v>1785.2</v>
      </c>
      <c r="H4" s="62">
        <v>6</v>
      </c>
      <c r="I4" s="62">
        <v>103.18</v>
      </c>
      <c r="J4" s="51">
        <f>H4*I4</f>
        <v>619.08000000000004</v>
      </c>
      <c r="K4" s="51">
        <f>G4+J4</f>
        <v>2404.2800000000002</v>
      </c>
      <c r="L4" s="51">
        <f>+K4</f>
        <v>2404.2800000000002</v>
      </c>
      <c r="M4" s="51">
        <f>M3+K4-L4</f>
        <v>56200.690600000016</v>
      </c>
      <c r="N4" s="19"/>
    </row>
    <row r="5" spans="1:14">
      <c r="A5" s="28">
        <v>2</v>
      </c>
      <c r="B5" s="294">
        <v>45718</v>
      </c>
      <c r="C5" s="19"/>
      <c r="D5" s="19"/>
      <c r="E5" s="62">
        <v>140</v>
      </c>
      <c r="F5" s="62">
        <v>89.26</v>
      </c>
      <c r="G5" s="51">
        <f t="shared" ref="G5:G33" si="0">E5*F5</f>
        <v>12496.400000000001</v>
      </c>
      <c r="H5" s="62">
        <v>0</v>
      </c>
      <c r="I5" s="62">
        <v>0</v>
      </c>
      <c r="J5" s="51">
        <f t="shared" ref="J5:J32" si="1">H5*I5</f>
        <v>0</v>
      </c>
      <c r="K5" s="51">
        <f t="shared" ref="K5:K33" si="2">G5+J5</f>
        <v>12496.400000000001</v>
      </c>
      <c r="L5" s="51">
        <f>+K5</f>
        <v>12496.400000000001</v>
      </c>
      <c r="M5" s="51">
        <f>M4+K5-L5</f>
        <v>56200.690600000024</v>
      </c>
      <c r="N5" s="19"/>
    </row>
    <row r="6" spans="1:14">
      <c r="A6" s="28">
        <v>3</v>
      </c>
      <c r="B6" s="29">
        <v>45719</v>
      </c>
      <c r="C6" s="19"/>
      <c r="D6" s="19"/>
      <c r="E6" s="62">
        <v>210</v>
      </c>
      <c r="F6" s="62">
        <v>89.26</v>
      </c>
      <c r="G6" s="51">
        <f t="shared" si="0"/>
        <v>18744.600000000002</v>
      </c>
      <c r="H6" s="62">
        <v>0</v>
      </c>
      <c r="I6" s="62">
        <v>0</v>
      </c>
      <c r="J6" s="51">
        <f t="shared" si="1"/>
        <v>0</v>
      </c>
      <c r="K6" s="51">
        <f t="shared" si="2"/>
        <v>18744.600000000002</v>
      </c>
      <c r="L6" s="51">
        <f>+K6</f>
        <v>18744.600000000002</v>
      </c>
      <c r="M6" s="51">
        <f>M5+K6-L6</f>
        <v>56200.690600000016</v>
      </c>
      <c r="N6" s="19"/>
    </row>
    <row r="7" spans="1:14">
      <c r="A7" s="28">
        <v>4</v>
      </c>
      <c r="B7" s="294">
        <v>45720</v>
      </c>
      <c r="C7" s="19"/>
      <c r="D7" s="19"/>
      <c r="E7" s="62">
        <v>110</v>
      </c>
      <c r="F7" s="62">
        <v>89.26</v>
      </c>
      <c r="G7" s="51">
        <f t="shared" si="0"/>
        <v>9818.6</v>
      </c>
      <c r="H7" s="62">
        <v>12</v>
      </c>
      <c r="I7" s="62">
        <v>103.18</v>
      </c>
      <c r="J7" s="51">
        <f t="shared" si="1"/>
        <v>1238.1600000000001</v>
      </c>
      <c r="K7" s="51">
        <f t="shared" si="2"/>
        <v>11056.76</v>
      </c>
      <c r="L7" s="51">
        <f>+K7</f>
        <v>11056.76</v>
      </c>
      <c r="M7" s="51">
        <f>M6+K7-L7</f>
        <v>56200.690600000009</v>
      </c>
      <c r="N7" s="19"/>
    </row>
    <row r="8" spans="1:14">
      <c r="A8" s="28">
        <v>5</v>
      </c>
      <c r="B8" s="29">
        <v>45721</v>
      </c>
      <c r="C8" s="19"/>
      <c r="D8" s="19"/>
      <c r="E8" s="62">
        <v>34</v>
      </c>
      <c r="F8" s="62">
        <v>89.26</v>
      </c>
      <c r="G8" s="51">
        <f t="shared" si="0"/>
        <v>3034.84</v>
      </c>
      <c r="H8" s="62">
        <v>0</v>
      </c>
      <c r="I8" s="62">
        <v>0</v>
      </c>
      <c r="J8" s="51">
        <f t="shared" si="1"/>
        <v>0</v>
      </c>
      <c r="K8" s="51">
        <f t="shared" si="2"/>
        <v>3034.84</v>
      </c>
      <c r="L8" s="51">
        <f>+K8</f>
        <v>3034.84</v>
      </c>
      <c r="M8" s="51">
        <f>M7+K8-L8</f>
        <v>56200.690600000016</v>
      </c>
      <c r="N8" s="19"/>
    </row>
    <row r="9" spans="1:14">
      <c r="A9" s="28">
        <v>6</v>
      </c>
      <c r="B9" s="294">
        <v>45722</v>
      </c>
      <c r="C9" s="19"/>
      <c r="D9" s="19"/>
      <c r="E9" s="62">
        <v>90</v>
      </c>
      <c r="F9" s="62">
        <v>89.26</v>
      </c>
      <c r="G9" s="51">
        <f t="shared" si="0"/>
        <v>8033.4000000000005</v>
      </c>
      <c r="H9" s="62">
        <v>0</v>
      </c>
      <c r="I9" s="62">
        <v>0</v>
      </c>
      <c r="J9" s="51">
        <f t="shared" si="1"/>
        <v>0</v>
      </c>
      <c r="K9" s="51">
        <f t="shared" si="2"/>
        <v>8033.4000000000005</v>
      </c>
      <c r="L9" s="51">
        <f>+K9</f>
        <v>8033.4000000000005</v>
      </c>
      <c r="M9" s="51">
        <f>M8+K9-L9</f>
        <v>56200.690600000016</v>
      </c>
      <c r="N9" s="19"/>
    </row>
    <row r="10" spans="1:14">
      <c r="A10" s="28">
        <v>7</v>
      </c>
      <c r="B10" s="29">
        <v>45723</v>
      </c>
      <c r="C10" s="19"/>
      <c r="D10" s="19"/>
      <c r="E10" s="62">
        <v>168.44</v>
      </c>
      <c r="F10" s="62">
        <v>89.26</v>
      </c>
      <c r="G10" s="51">
        <f t="shared" si="0"/>
        <v>15034.954400000001</v>
      </c>
      <c r="H10" s="62">
        <v>0</v>
      </c>
      <c r="I10" s="62">
        <v>0</v>
      </c>
      <c r="J10" s="51">
        <f t="shared" si="1"/>
        <v>0</v>
      </c>
      <c r="K10" s="51">
        <f t="shared" si="2"/>
        <v>15034.954400000001</v>
      </c>
      <c r="L10" s="51">
        <f t="shared" ref="L10:L22" si="3">+K10</f>
        <v>15034.954400000001</v>
      </c>
      <c r="M10" s="51">
        <f>M9+K10-L10</f>
        <v>56200.690600000016</v>
      </c>
      <c r="N10" s="19"/>
    </row>
    <row r="11" spans="1:14">
      <c r="A11" s="28">
        <v>8</v>
      </c>
      <c r="B11" s="29">
        <v>45723</v>
      </c>
      <c r="C11" s="19"/>
      <c r="D11" s="19"/>
      <c r="E11" s="62">
        <v>15</v>
      </c>
      <c r="F11" s="62">
        <v>89.4</v>
      </c>
      <c r="G11" s="51">
        <f t="shared" si="0"/>
        <v>1341</v>
      </c>
      <c r="H11" s="62"/>
      <c r="I11" s="62"/>
      <c r="J11" s="51"/>
      <c r="K11" s="51">
        <f t="shared" si="2"/>
        <v>1341</v>
      </c>
      <c r="L11" s="51">
        <f t="shared" si="3"/>
        <v>1341</v>
      </c>
      <c r="M11" s="51">
        <f>M10+K11-L11</f>
        <v>56200.690600000016</v>
      </c>
      <c r="N11" s="19"/>
    </row>
    <row r="12" spans="1:14">
      <c r="A12" s="28">
        <v>9</v>
      </c>
      <c r="B12" s="294">
        <v>45724</v>
      </c>
      <c r="C12" s="19"/>
      <c r="D12" s="19"/>
      <c r="E12" s="62">
        <v>215</v>
      </c>
      <c r="F12" s="62">
        <v>89.26</v>
      </c>
      <c r="G12" s="51">
        <f t="shared" si="0"/>
        <v>19190.900000000001</v>
      </c>
      <c r="H12" s="62">
        <v>0</v>
      </c>
      <c r="I12" s="62">
        <v>0</v>
      </c>
      <c r="J12" s="51">
        <f t="shared" si="1"/>
        <v>0</v>
      </c>
      <c r="K12" s="51">
        <f t="shared" si="2"/>
        <v>19190.900000000001</v>
      </c>
      <c r="L12" s="51">
        <f t="shared" si="3"/>
        <v>19190.900000000001</v>
      </c>
      <c r="M12" s="51">
        <f>M10+K12-L12</f>
        <v>56200.690600000024</v>
      </c>
      <c r="N12" s="19"/>
    </row>
    <row r="13" spans="1:14">
      <c r="A13" s="28">
        <v>10</v>
      </c>
      <c r="B13" s="29">
        <v>45725</v>
      </c>
      <c r="C13" s="19"/>
      <c r="D13" s="19"/>
      <c r="E13" s="62">
        <v>200</v>
      </c>
      <c r="F13" s="62">
        <v>89.26</v>
      </c>
      <c r="G13" s="51">
        <f t="shared" si="0"/>
        <v>17852</v>
      </c>
      <c r="H13" s="62">
        <v>6</v>
      </c>
      <c r="I13" s="62">
        <v>103.18</v>
      </c>
      <c r="J13" s="51">
        <f t="shared" si="1"/>
        <v>619.08000000000004</v>
      </c>
      <c r="K13" s="51">
        <f t="shared" si="2"/>
        <v>18471.080000000002</v>
      </c>
      <c r="L13" s="51">
        <f t="shared" si="3"/>
        <v>18471.080000000002</v>
      </c>
      <c r="M13" s="51">
        <f>M12+K13-L13</f>
        <v>56200.690600000016</v>
      </c>
      <c r="N13" s="19"/>
    </row>
    <row r="14" spans="1:14">
      <c r="A14" s="28">
        <v>11</v>
      </c>
      <c r="B14" s="294">
        <v>45726</v>
      </c>
      <c r="C14" s="19"/>
      <c r="D14" s="19"/>
      <c r="E14" s="62">
        <v>183</v>
      </c>
      <c r="F14" s="62">
        <v>89.26</v>
      </c>
      <c r="G14" s="51">
        <f t="shared" si="0"/>
        <v>16334.580000000002</v>
      </c>
      <c r="H14" s="62">
        <v>6</v>
      </c>
      <c r="I14" s="62">
        <v>103.18</v>
      </c>
      <c r="J14" s="51">
        <f t="shared" si="1"/>
        <v>619.08000000000004</v>
      </c>
      <c r="K14" s="51">
        <f t="shared" si="2"/>
        <v>16953.660000000003</v>
      </c>
      <c r="L14" s="51">
        <f t="shared" si="3"/>
        <v>16953.660000000003</v>
      </c>
      <c r="M14" s="51">
        <f>M13+K14-L14</f>
        <v>56200.690600000016</v>
      </c>
      <c r="N14" s="19"/>
    </row>
    <row r="15" spans="1:14">
      <c r="A15" s="28">
        <v>12</v>
      </c>
      <c r="B15" s="29">
        <v>45727</v>
      </c>
      <c r="C15" s="19"/>
      <c r="D15" s="19"/>
      <c r="E15" s="62">
        <v>195</v>
      </c>
      <c r="F15" s="62">
        <v>89.26</v>
      </c>
      <c r="G15" s="51">
        <f t="shared" si="0"/>
        <v>17405.7</v>
      </c>
      <c r="H15" s="62">
        <v>6</v>
      </c>
      <c r="I15" s="62">
        <v>103.18</v>
      </c>
      <c r="J15" s="51">
        <f t="shared" si="1"/>
        <v>619.08000000000004</v>
      </c>
      <c r="K15" s="51">
        <f>G15+J15</f>
        <v>18024.780000000002</v>
      </c>
      <c r="L15" s="51">
        <f>+K15</f>
        <v>18024.780000000002</v>
      </c>
      <c r="M15" s="51">
        <f>M14+K15-L15</f>
        <v>56200.690600000016</v>
      </c>
      <c r="N15" s="19"/>
    </row>
    <row r="16" spans="1:14">
      <c r="A16" s="28">
        <v>13</v>
      </c>
      <c r="B16" s="294">
        <v>45728</v>
      </c>
      <c r="C16" s="19"/>
      <c r="D16" s="19"/>
      <c r="E16" s="62">
        <v>100</v>
      </c>
      <c r="F16" s="62">
        <v>89.26</v>
      </c>
      <c r="G16" s="51">
        <f t="shared" si="0"/>
        <v>8926</v>
      </c>
      <c r="H16" s="62">
        <v>0</v>
      </c>
      <c r="I16" s="62">
        <v>0</v>
      </c>
      <c r="J16" s="51">
        <f t="shared" si="1"/>
        <v>0</v>
      </c>
      <c r="K16" s="51">
        <f t="shared" si="2"/>
        <v>8926</v>
      </c>
      <c r="L16" s="51">
        <f t="shared" si="3"/>
        <v>8926</v>
      </c>
      <c r="M16" s="51">
        <f>M15+K16-L16</f>
        <v>56200.690600000016</v>
      </c>
      <c r="N16" s="19"/>
    </row>
    <row r="17" spans="1:14">
      <c r="A17" s="28">
        <v>14</v>
      </c>
      <c r="B17" s="29">
        <v>45729</v>
      </c>
      <c r="C17" s="19"/>
      <c r="D17" s="19"/>
      <c r="E17" s="62">
        <v>105</v>
      </c>
      <c r="F17" s="62">
        <v>89.26</v>
      </c>
      <c r="G17" s="51">
        <f t="shared" si="0"/>
        <v>9372.3000000000011</v>
      </c>
      <c r="H17" s="62">
        <v>0</v>
      </c>
      <c r="I17" s="62">
        <v>0</v>
      </c>
      <c r="J17" s="51">
        <f t="shared" si="1"/>
        <v>0</v>
      </c>
      <c r="K17" s="51">
        <f t="shared" si="2"/>
        <v>9372.3000000000011</v>
      </c>
      <c r="L17" s="51">
        <f t="shared" si="3"/>
        <v>9372.3000000000011</v>
      </c>
      <c r="M17" s="51">
        <f>M16+K17-L17</f>
        <v>56200.690600000016</v>
      </c>
      <c r="N17" s="19"/>
    </row>
    <row r="18" spans="1:14">
      <c r="A18" s="28">
        <v>15</v>
      </c>
      <c r="B18" s="294">
        <v>45730</v>
      </c>
      <c r="C18" s="19"/>
      <c r="D18" s="19"/>
      <c r="E18" s="62">
        <v>120</v>
      </c>
      <c r="F18" s="62">
        <v>89.26</v>
      </c>
      <c r="G18" s="51">
        <f t="shared" si="0"/>
        <v>10711.2</v>
      </c>
      <c r="H18" s="62">
        <v>0</v>
      </c>
      <c r="I18" s="62">
        <v>0</v>
      </c>
      <c r="J18" s="51">
        <f t="shared" si="1"/>
        <v>0</v>
      </c>
      <c r="K18" s="51">
        <f t="shared" si="2"/>
        <v>10711.2</v>
      </c>
      <c r="L18" s="51">
        <f t="shared" si="3"/>
        <v>10711.2</v>
      </c>
      <c r="M18" s="51">
        <f>M17+K18-L18</f>
        <v>56200.690600000016</v>
      </c>
      <c r="N18" s="19"/>
    </row>
    <row r="19" spans="1:14">
      <c r="A19" s="28">
        <v>16</v>
      </c>
      <c r="B19" s="29">
        <v>45731</v>
      </c>
      <c r="C19" s="19"/>
      <c r="D19" s="19"/>
      <c r="E19" s="62">
        <v>0</v>
      </c>
      <c r="F19" s="62">
        <v>0</v>
      </c>
      <c r="G19" s="51">
        <f t="shared" si="0"/>
        <v>0</v>
      </c>
      <c r="H19" s="62">
        <v>0</v>
      </c>
      <c r="I19" s="62">
        <v>0</v>
      </c>
      <c r="J19" s="51">
        <f t="shared" si="1"/>
        <v>0</v>
      </c>
      <c r="K19" s="51">
        <f t="shared" si="2"/>
        <v>0</v>
      </c>
      <c r="L19" s="51">
        <f t="shared" si="3"/>
        <v>0</v>
      </c>
      <c r="M19" s="51">
        <f>M18+K19-L19</f>
        <v>56200.690600000016</v>
      </c>
      <c r="N19" s="19"/>
    </row>
    <row r="20" spans="1:14">
      <c r="A20" s="28">
        <v>17</v>
      </c>
      <c r="B20" s="294">
        <v>45732</v>
      </c>
      <c r="C20" s="19"/>
      <c r="D20" s="19"/>
      <c r="E20" s="62">
        <v>94</v>
      </c>
      <c r="F20" s="62">
        <v>89.26</v>
      </c>
      <c r="G20" s="51">
        <f t="shared" si="0"/>
        <v>8390.44</v>
      </c>
      <c r="H20" s="62">
        <v>0</v>
      </c>
      <c r="I20" s="62">
        <v>0</v>
      </c>
      <c r="J20" s="51">
        <f t="shared" si="1"/>
        <v>0</v>
      </c>
      <c r="K20" s="51">
        <f t="shared" si="2"/>
        <v>8390.44</v>
      </c>
      <c r="L20" s="51">
        <f t="shared" si="3"/>
        <v>8390.44</v>
      </c>
      <c r="M20" s="51">
        <f>M19+K20-L20</f>
        <v>56200.690600000016</v>
      </c>
      <c r="N20" s="19"/>
    </row>
    <row r="21" spans="1:14">
      <c r="A21" s="28">
        <v>18</v>
      </c>
      <c r="B21" s="29">
        <v>45733</v>
      </c>
      <c r="C21" s="19"/>
      <c r="D21" s="19"/>
      <c r="E21" s="62">
        <v>97</v>
      </c>
      <c r="F21" s="62">
        <v>89.26</v>
      </c>
      <c r="G21" s="51">
        <f t="shared" si="0"/>
        <v>8658.2200000000012</v>
      </c>
      <c r="H21" s="62">
        <v>0</v>
      </c>
      <c r="I21" s="62">
        <v>0</v>
      </c>
      <c r="J21" s="51">
        <f t="shared" si="1"/>
        <v>0</v>
      </c>
      <c r="K21" s="51">
        <f t="shared" si="2"/>
        <v>8658.2200000000012</v>
      </c>
      <c r="L21" s="51">
        <f t="shared" si="3"/>
        <v>8658.2200000000012</v>
      </c>
      <c r="M21" s="51">
        <f>M20+K21-L21</f>
        <v>56200.690600000016</v>
      </c>
      <c r="N21" s="19"/>
    </row>
    <row r="22" spans="1:14">
      <c r="A22" s="28">
        <v>19</v>
      </c>
      <c r="B22" s="294">
        <v>45734</v>
      </c>
      <c r="C22" s="19"/>
      <c r="D22" s="19"/>
      <c r="E22" s="62">
        <v>90</v>
      </c>
      <c r="F22" s="62">
        <v>89.4</v>
      </c>
      <c r="G22" s="51">
        <f t="shared" si="0"/>
        <v>8046.0000000000009</v>
      </c>
      <c r="H22" s="62">
        <v>5.47</v>
      </c>
      <c r="I22" s="62">
        <v>103.18</v>
      </c>
      <c r="J22" s="51">
        <f t="shared" si="1"/>
        <v>564.39459999999997</v>
      </c>
      <c r="K22" s="51">
        <f>G22+J22</f>
        <v>8610.3946000000014</v>
      </c>
      <c r="L22" s="51">
        <f t="shared" si="3"/>
        <v>8610.3946000000014</v>
      </c>
      <c r="M22" s="51">
        <f>M21+K22-L22</f>
        <v>56200.690600000016</v>
      </c>
      <c r="N22" s="19"/>
    </row>
    <row r="23" spans="1:14">
      <c r="A23" s="28">
        <v>20</v>
      </c>
      <c r="B23" s="29">
        <v>45735</v>
      </c>
      <c r="C23" s="19"/>
      <c r="D23" s="19"/>
      <c r="E23" s="62">
        <v>148</v>
      </c>
      <c r="F23" s="62">
        <v>89.26</v>
      </c>
      <c r="G23" s="51">
        <f t="shared" si="0"/>
        <v>13210.480000000001</v>
      </c>
      <c r="H23" s="62">
        <v>12</v>
      </c>
      <c r="I23" s="62">
        <v>103.18</v>
      </c>
      <c r="J23" s="51">
        <f t="shared" si="1"/>
        <v>1238.1600000000001</v>
      </c>
      <c r="K23" s="51">
        <f t="shared" si="2"/>
        <v>14448.640000000001</v>
      </c>
      <c r="L23" s="19">
        <v>1238</v>
      </c>
      <c r="M23" s="51">
        <f>M22+K23-L23</f>
        <v>69411.330600000016</v>
      </c>
      <c r="N23" s="19"/>
    </row>
    <row r="24" spans="1:14">
      <c r="A24" s="28">
        <v>21</v>
      </c>
      <c r="B24" s="294">
        <v>45736</v>
      </c>
      <c r="C24" s="19"/>
      <c r="D24" s="19"/>
      <c r="E24" s="62">
        <v>100</v>
      </c>
      <c r="F24" s="62">
        <v>89.26</v>
      </c>
      <c r="G24" s="51">
        <f t="shared" si="0"/>
        <v>8926</v>
      </c>
      <c r="H24" s="62">
        <v>0</v>
      </c>
      <c r="I24" s="62">
        <v>0</v>
      </c>
      <c r="J24" s="51">
        <f t="shared" si="1"/>
        <v>0</v>
      </c>
      <c r="K24" s="51">
        <f t="shared" si="2"/>
        <v>8926</v>
      </c>
      <c r="L24" s="19">
        <v>22136.639999999999</v>
      </c>
      <c r="M24" s="51">
        <f>M23+K24-L24</f>
        <v>56200.690600000016</v>
      </c>
      <c r="N24" s="19"/>
    </row>
    <row r="25" spans="1:14">
      <c r="A25" s="28">
        <v>22</v>
      </c>
      <c r="B25" s="29">
        <v>45737</v>
      </c>
      <c r="C25" s="19"/>
      <c r="D25" s="19"/>
      <c r="E25" s="62">
        <v>110</v>
      </c>
      <c r="F25" s="62">
        <v>89.26</v>
      </c>
      <c r="G25" s="51">
        <f t="shared" si="0"/>
        <v>9818.6</v>
      </c>
      <c r="H25" s="62">
        <v>0</v>
      </c>
      <c r="I25" s="62">
        <v>0</v>
      </c>
      <c r="J25" s="51">
        <f t="shared" si="1"/>
        <v>0</v>
      </c>
      <c r="K25" s="51">
        <f t="shared" si="2"/>
        <v>9818.6</v>
      </c>
      <c r="L25" s="51">
        <f t="shared" ref="L25:L27" si="4">+K25</f>
        <v>9818.6</v>
      </c>
      <c r="M25" s="51">
        <f>M24+K25-L25</f>
        <v>56200.690600000024</v>
      </c>
      <c r="N25" s="19"/>
    </row>
    <row r="26" spans="1:14">
      <c r="A26" s="28">
        <v>23</v>
      </c>
      <c r="B26" s="294">
        <v>45738</v>
      </c>
      <c r="C26" s="19"/>
      <c r="D26" s="19"/>
      <c r="E26" s="62">
        <v>7</v>
      </c>
      <c r="F26" s="62">
        <v>89.26</v>
      </c>
      <c r="G26" s="51">
        <f t="shared" si="0"/>
        <v>624.82000000000005</v>
      </c>
      <c r="H26" s="62">
        <v>0</v>
      </c>
      <c r="I26" s="62">
        <v>0</v>
      </c>
      <c r="J26" s="51">
        <f t="shared" si="1"/>
        <v>0</v>
      </c>
      <c r="K26" s="51">
        <f t="shared" si="2"/>
        <v>624.82000000000005</v>
      </c>
      <c r="L26" s="51">
        <f t="shared" si="4"/>
        <v>624.82000000000005</v>
      </c>
      <c r="M26" s="51">
        <f>M25+K26-L26</f>
        <v>56200.690600000024</v>
      </c>
      <c r="N26" s="19"/>
    </row>
    <row r="27" spans="1:14">
      <c r="A27" s="28">
        <v>24</v>
      </c>
      <c r="B27" s="29">
        <v>45739</v>
      </c>
      <c r="C27" s="19"/>
      <c r="D27" s="19"/>
      <c r="E27" s="62">
        <v>137</v>
      </c>
      <c r="F27" s="62">
        <v>89.26</v>
      </c>
      <c r="G27" s="51">
        <f t="shared" si="0"/>
        <v>12228.62</v>
      </c>
      <c r="H27" s="62">
        <v>0</v>
      </c>
      <c r="I27" s="62">
        <v>0</v>
      </c>
      <c r="J27" s="51">
        <f t="shared" si="1"/>
        <v>0</v>
      </c>
      <c r="K27" s="51">
        <f t="shared" si="2"/>
        <v>12228.62</v>
      </c>
      <c r="L27" s="51">
        <f t="shared" si="4"/>
        <v>12228.62</v>
      </c>
      <c r="M27" s="51">
        <f>M26+K27-L27</f>
        <v>56200.690600000024</v>
      </c>
      <c r="N27" s="19"/>
    </row>
    <row r="28" spans="1:14">
      <c r="A28" s="28">
        <v>25</v>
      </c>
      <c r="B28" s="294">
        <v>45740</v>
      </c>
      <c r="C28" s="19"/>
      <c r="D28" s="19"/>
      <c r="E28" s="62">
        <v>30</v>
      </c>
      <c r="F28" s="62">
        <v>89.26</v>
      </c>
      <c r="G28" s="51">
        <f t="shared" si="0"/>
        <v>2677.8</v>
      </c>
      <c r="H28" s="62">
        <v>6</v>
      </c>
      <c r="I28" s="62">
        <v>103.18</v>
      </c>
      <c r="J28" s="51">
        <f t="shared" si="1"/>
        <v>619.08000000000004</v>
      </c>
      <c r="K28" s="51">
        <f t="shared" si="2"/>
        <v>3296.88</v>
      </c>
      <c r="L28" s="19">
        <v>2677.8</v>
      </c>
      <c r="M28" s="51">
        <f>M27+K28-L28</f>
        <v>56819.770600000018</v>
      </c>
      <c r="N28" s="19"/>
    </row>
    <row r="29" spans="1:14">
      <c r="A29" s="28">
        <v>26</v>
      </c>
      <c r="B29" s="29">
        <v>45741</v>
      </c>
      <c r="C29" s="19"/>
      <c r="D29" s="19"/>
      <c r="E29" s="62">
        <v>100</v>
      </c>
      <c r="F29" s="62">
        <v>89.26</v>
      </c>
      <c r="G29" s="51">
        <f t="shared" si="0"/>
        <v>8926</v>
      </c>
      <c r="H29" s="62">
        <v>6</v>
      </c>
      <c r="I29" s="62">
        <v>103.18</v>
      </c>
      <c r="J29" s="51">
        <f t="shared" si="1"/>
        <v>619.08000000000004</v>
      </c>
      <c r="K29" s="51">
        <f t="shared" si="2"/>
        <v>9545.08</v>
      </c>
      <c r="L29" s="19">
        <v>10164.16</v>
      </c>
      <c r="M29" s="51">
        <f>M28+K29-L29</f>
        <v>56200.690600000016</v>
      </c>
      <c r="N29" s="19"/>
    </row>
    <row r="30" spans="1:14">
      <c r="A30" s="28">
        <v>27</v>
      </c>
      <c r="B30" s="294">
        <v>45742</v>
      </c>
      <c r="C30" s="19"/>
      <c r="D30" s="19"/>
      <c r="E30" s="62">
        <v>135</v>
      </c>
      <c r="F30" s="62">
        <v>89.26</v>
      </c>
      <c r="G30" s="51">
        <f t="shared" si="0"/>
        <v>12050.1</v>
      </c>
      <c r="H30" s="62">
        <v>12</v>
      </c>
      <c r="I30" s="62">
        <v>103.18</v>
      </c>
      <c r="J30" s="51">
        <f t="shared" si="1"/>
        <v>1238.1600000000001</v>
      </c>
      <c r="K30" s="51">
        <f t="shared" si="2"/>
        <v>13288.26</v>
      </c>
      <c r="L30" s="19">
        <v>13288.26</v>
      </c>
      <c r="M30" s="51">
        <f>M29+K30-L30</f>
        <v>56200.690600000009</v>
      </c>
      <c r="N30" s="19"/>
    </row>
    <row r="31" spans="1:14">
      <c r="A31" s="28">
        <v>28</v>
      </c>
      <c r="B31" s="29">
        <v>45743</v>
      </c>
      <c r="C31" s="19"/>
      <c r="D31" s="19"/>
      <c r="E31" s="62">
        <v>70</v>
      </c>
      <c r="F31" s="62">
        <v>89.26</v>
      </c>
      <c r="G31" s="51">
        <f t="shared" si="0"/>
        <v>6248.2000000000007</v>
      </c>
      <c r="H31" s="62">
        <v>0</v>
      </c>
      <c r="I31" s="62">
        <v>0</v>
      </c>
      <c r="J31" s="51">
        <f t="shared" si="1"/>
        <v>0</v>
      </c>
      <c r="K31" s="51">
        <f t="shared" si="2"/>
        <v>6248.2000000000007</v>
      </c>
      <c r="L31" s="51">
        <f>+K31</f>
        <v>6248.2000000000007</v>
      </c>
      <c r="M31" s="51">
        <f>M30+K31-L31</f>
        <v>56200.690600000016</v>
      </c>
      <c r="N31" s="19"/>
    </row>
    <row r="32" spans="1:14">
      <c r="A32" s="28">
        <v>29</v>
      </c>
      <c r="B32" s="294">
        <v>45744</v>
      </c>
      <c r="C32" s="19"/>
      <c r="D32" s="19"/>
      <c r="E32" s="62">
        <v>100</v>
      </c>
      <c r="F32" s="62">
        <v>89.26</v>
      </c>
      <c r="G32" s="51">
        <f t="shared" si="0"/>
        <v>8926</v>
      </c>
      <c r="H32" s="62">
        <v>0</v>
      </c>
      <c r="I32" s="62">
        <v>0</v>
      </c>
      <c r="J32" s="51">
        <f t="shared" si="1"/>
        <v>0</v>
      </c>
      <c r="K32" s="51">
        <f t="shared" si="2"/>
        <v>8926</v>
      </c>
      <c r="L32" s="51">
        <f t="shared" ref="L32:L33" si="5">+K32</f>
        <v>8926</v>
      </c>
      <c r="M32" s="51">
        <f t="shared" ref="M32:M35" si="6">M31+K32-L32</f>
        <v>56200.690600000016</v>
      </c>
      <c r="N32" s="19"/>
    </row>
    <row r="33" spans="1:14">
      <c r="A33" s="28">
        <v>30</v>
      </c>
      <c r="B33" s="29">
        <v>45745</v>
      </c>
      <c r="C33" s="19"/>
      <c r="D33" s="19"/>
      <c r="E33" s="62">
        <v>120</v>
      </c>
      <c r="F33" s="62">
        <v>89.26</v>
      </c>
      <c r="G33" s="51">
        <f t="shared" si="0"/>
        <v>10711.2</v>
      </c>
      <c r="H33" s="62"/>
      <c r="I33" s="62"/>
      <c r="J33" s="51"/>
      <c r="K33" s="51">
        <f t="shared" si="2"/>
        <v>10711.2</v>
      </c>
      <c r="L33" s="51">
        <f t="shared" si="5"/>
        <v>10711.2</v>
      </c>
      <c r="M33" s="51">
        <f t="shared" si="6"/>
        <v>56200.690600000016</v>
      </c>
      <c r="N33" s="19"/>
    </row>
    <row r="34" spans="1:14">
      <c r="A34" s="28">
        <v>31</v>
      </c>
      <c r="B34" s="294">
        <v>45746</v>
      </c>
      <c r="C34" s="19"/>
      <c r="D34" s="19"/>
      <c r="E34" s="62"/>
      <c r="F34" s="62"/>
      <c r="G34" s="51"/>
      <c r="H34" s="62"/>
      <c r="I34" s="62"/>
      <c r="J34" s="51"/>
      <c r="K34" s="51"/>
      <c r="L34" s="19">
        <v>56200.69</v>
      </c>
      <c r="M34" s="51">
        <f t="shared" si="6"/>
        <v>6.0000001394655555E-4</v>
      </c>
      <c r="N34" s="19"/>
    </row>
    <row r="35" spans="1:14">
      <c r="A35" s="28">
        <v>32</v>
      </c>
      <c r="B35" s="29">
        <v>45747</v>
      </c>
      <c r="C35" s="19"/>
      <c r="D35" s="19"/>
      <c r="E35" s="62"/>
      <c r="F35" s="62"/>
      <c r="G35" s="51"/>
      <c r="H35" s="62"/>
      <c r="I35" s="62"/>
      <c r="J35" s="51"/>
      <c r="K35" s="51"/>
      <c r="L35" s="19"/>
      <c r="M35" s="51">
        <f t="shared" si="6"/>
        <v>6.0000001394655555E-4</v>
      </c>
      <c r="N35" s="19"/>
    </row>
    <row r="36" spans="1:14">
      <c r="A36" s="60"/>
      <c r="B36" s="60"/>
      <c r="C36" s="60"/>
      <c r="D36" s="60"/>
      <c r="E36" s="60">
        <f>SUM(E4:E35)</f>
        <v>3243.44</v>
      </c>
      <c r="F36" s="60"/>
      <c r="G36" s="60">
        <f>SUM(G4:G35)</f>
        <v>289524.1544</v>
      </c>
      <c r="H36" s="60">
        <f>SUM(H4:H35)</f>
        <v>77.47</v>
      </c>
      <c r="I36" s="60"/>
      <c r="J36" s="60">
        <f>SUM(J4:J35)</f>
        <v>7993.3545999999997</v>
      </c>
      <c r="K36" s="60">
        <f>SUM(K4:K35)</f>
        <v>297517.50900000008</v>
      </c>
      <c r="L36" s="60">
        <f>SUM(L4:L35)</f>
        <v>353718.19900000008</v>
      </c>
      <c r="M36" s="60"/>
      <c r="N36" s="60"/>
    </row>
    <row r="39" spans="1:14">
      <c r="D39" s="404" t="s">
        <v>186</v>
      </c>
      <c r="E39" s="404"/>
      <c r="F39" s="404"/>
    </row>
    <row r="40" spans="1:14">
      <c r="D40" s="405" t="s">
        <v>47</v>
      </c>
      <c r="E40" s="406"/>
      <c r="F40" s="407"/>
    </row>
    <row r="41" spans="1:14">
      <c r="D41" s="408" t="s">
        <v>187</v>
      </c>
      <c r="E41" s="408"/>
      <c r="F41" s="42">
        <v>52894.39</v>
      </c>
    </row>
    <row r="42" spans="1:14">
      <c r="D42" s="408" t="s">
        <v>7</v>
      </c>
      <c r="E42" s="408"/>
      <c r="F42" s="42">
        <f>+K36</f>
        <v>297517.50900000008</v>
      </c>
    </row>
    <row r="43" spans="1:14">
      <c r="D43" s="408" t="s">
        <v>9</v>
      </c>
      <c r="E43" s="408"/>
      <c r="F43" s="42">
        <f>+L36</f>
        <v>353718.19900000008</v>
      </c>
    </row>
    <row r="44" spans="1:14">
      <c r="D44" s="403" t="s">
        <v>188</v>
      </c>
      <c r="E44" s="403"/>
      <c r="F44" s="32">
        <f>F42+F41-F43</f>
        <v>-3306.2999999999884</v>
      </c>
      <c r="G44" t="s">
        <v>189</v>
      </c>
    </row>
  </sheetData>
  <mergeCells count="7">
    <mergeCell ref="D44:E44"/>
    <mergeCell ref="A1:N1"/>
    <mergeCell ref="D39:F39"/>
    <mergeCell ref="D40:F40"/>
    <mergeCell ref="D41:E41"/>
    <mergeCell ref="D42:E42"/>
    <mergeCell ref="D43:E4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6828F-3061-4216-B142-B3435378C836}">
  <sheetPr>
    <tabColor rgb="FF002060"/>
  </sheetPr>
  <dimension ref="A1:O50"/>
  <sheetViews>
    <sheetView workbookViewId="0">
      <pane ySplit="2" topLeftCell="A3" activePane="bottomLeft" state="frozen"/>
      <selection pane="bottomLeft" activeCell="J42" sqref="J42"/>
    </sheetView>
  </sheetViews>
  <sheetFormatPr defaultRowHeight="15"/>
  <cols>
    <col min="1" max="1" width="6.140625" bestFit="1" customWidth="1"/>
    <col min="2" max="2" width="11.85546875" style="101" bestFit="1" customWidth="1"/>
    <col min="3" max="3" width="8.140625" bestFit="1" customWidth="1"/>
    <col min="4" max="4" width="16" bestFit="1" customWidth="1"/>
    <col min="5" max="5" width="10.85546875" bestFit="1" customWidth="1"/>
    <col min="6" max="6" width="11.85546875" bestFit="1" customWidth="1"/>
    <col min="7" max="7" width="11.85546875" style="238" bestFit="1" customWidth="1"/>
    <col min="8" max="8" width="10.85546875" bestFit="1" customWidth="1"/>
    <col min="9" max="9" width="8.140625" bestFit="1" customWidth="1"/>
    <col min="10" max="10" width="10.85546875" style="238" bestFit="1" customWidth="1"/>
    <col min="11" max="11" width="13.85546875" style="101" bestFit="1" customWidth="1"/>
    <col min="12" max="12" width="12.7109375" style="101" bestFit="1" customWidth="1"/>
    <col min="13" max="13" width="12.7109375" style="101" customWidth="1"/>
    <col min="14" max="14" width="14.140625" bestFit="1" customWidth="1"/>
    <col min="15" max="15" width="10.42578125" customWidth="1"/>
  </cols>
  <sheetData>
    <row r="1" spans="1:15" ht="15.75">
      <c r="A1" s="372" t="s">
        <v>69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74"/>
    </row>
    <row r="2" spans="1:15">
      <c r="A2" s="75" t="s">
        <v>91</v>
      </c>
      <c r="B2" s="76" t="s">
        <v>92</v>
      </c>
      <c r="C2" s="76" t="s">
        <v>93</v>
      </c>
      <c r="D2" s="76" t="s">
        <v>94</v>
      </c>
      <c r="E2" s="124" t="s">
        <v>95</v>
      </c>
      <c r="F2" s="124" t="s">
        <v>96</v>
      </c>
      <c r="G2" s="232" t="s">
        <v>97</v>
      </c>
      <c r="H2" s="124" t="s">
        <v>98</v>
      </c>
      <c r="I2" s="124" t="s">
        <v>96</v>
      </c>
      <c r="J2" s="239" t="s">
        <v>97</v>
      </c>
      <c r="K2" s="125" t="s">
        <v>99</v>
      </c>
      <c r="L2" s="169" t="s">
        <v>100</v>
      </c>
      <c r="M2" s="174" t="s">
        <v>101</v>
      </c>
      <c r="N2" s="126" t="s">
        <v>102</v>
      </c>
      <c r="O2" s="81"/>
    </row>
    <row r="3" spans="1:15">
      <c r="A3" s="289"/>
      <c r="B3"/>
      <c r="D3" s="122" t="s">
        <v>103</v>
      </c>
      <c r="E3" s="19"/>
      <c r="F3" s="19"/>
      <c r="G3" s="233"/>
      <c r="H3" s="19"/>
      <c r="I3" s="19"/>
      <c r="J3" s="233"/>
      <c r="K3" s="313">
        <v>893165.41</v>
      </c>
      <c r="L3" s="19"/>
      <c r="M3" s="179">
        <f>+K3</f>
        <v>893165.41</v>
      </c>
      <c r="N3" s="19"/>
      <c r="O3" s="81">
        <v>893165.41310000001</v>
      </c>
    </row>
    <row r="4" spans="1:15">
      <c r="A4" s="64">
        <v>1</v>
      </c>
      <c r="B4" s="267">
        <v>45717</v>
      </c>
      <c r="C4" s="11"/>
      <c r="D4" s="12"/>
      <c r="E4" s="15">
        <v>0</v>
      </c>
      <c r="F4" s="15">
        <v>0</v>
      </c>
      <c r="G4" s="234">
        <f>E4*F4</f>
        <v>0</v>
      </c>
      <c r="H4" s="171">
        <v>0</v>
      </c>
      <c r="I4" s="171">
        <v>0</v>
      </c>
      <c r="J4" s="240">
        <f>H4*I4</f>
        <v>0</v>
      </c>
      <c r="K4" s="281">
        <f>G4+J4</f>
        <v>0</v>
      </c>
      <c r="L4" s="90">
        <v>0</v>
      </c>
      <c r="M4" s="282">
        <f>M3+K4-L4</f>
        <v>893165.41</v>
      </c>
      <c r="N4" s="173"/>
      <c r="O4" s="92"/>
    </row>
    <row r="5" spans="1:15">
      <c r="A5" s="64">
        <v>2</v>
      </c>
      <c r="B5" s="267">
        <v>45718</v>
      </c>
      <c r="C5" s="284"/>
      <c r="D5" s="284"/>
      <c r="E5" s="15">
        <v>0</v>
      </c>
      <c r="F5" s="15">
        <v>0</v>
      </c>
      <c r="G5" s="234">
        <f t="shared" ref="G5:G33" si="0">E5*F5</f>
        <v>0</v>
      </c>
      <c r="H5" s="171">
        <v>0</v>
      </c>
      <c r="I5" s="171">
        <v>0</v>
      </c>
      <c r="J5" s="240">
        <f t="shared" ref="J5:J33" si="1">H5*I5</f>
        <v>0</v>
      </c>
      <c r="K5" s="281">
        <f t="shared" ref="K5:K33" si="2">G5+J5</f>
        <v>0</v>
      </c>
      <c r="L5" s="90">
        <v>500000</v>
      </c>
      <c r="M5" s="282">
        <f>M4+K5-L5</f>
        <v>393165.41000000003</v>
      </c>
      <c r="N5" s="14"/>
      <c r="O5" s="92"/>
    </row>
    <row r="6" spans="1:15">
      <c r="A6" s="64">
        <v>3</v>
      </c>
      <c r="B6" s="267">
        <v>45719</v>
      </c>
      <c r="C6" s="89"/>
      <c r="D6" s="89"/>
      <c r="E6" s="15">
        <v>0</v>
      </c>
      <c r="F6" s="15">
        <v>0</v>
      </c>
      <c r="G6" s="234">
        <f t="shared" si="0"/>
        <v>0</v>
      </c>
      <c r="H6" s="171">
        <v>0</v>
      </c>
      <c r="I6" s="171">
        <v>0</v>
      </c>
      <c r="J6" s="240">
        <f t="shared" si="1"/>
        <v>0</v>
      </c>
      <c r="K6" s="281">
        <f t="shared" si="2"/>
        <v>0</v>
      </c>
      <c r="L6" s="90">
        <v>0</v>
      </c>
      <c r="M6" s="283">
        <f>M5+K6-L6</f>
        <v>393165.41000000003</v>
      </c>
      <c r="N6" s="53"/>
      <c r="O6" s="92"/>
    </row>
    <row r="7" spans="1:15">
      <c r="A7" s="64">
        <v>4</v>
      </c>
      <c r="B7" s="267">
        <v>45720</v>
      </c>
      <c r="C7" s="89"/>
      <c r="D7" s="89"/>
      <c r="E7" s="15">
        <v>0</v>
      </c>
      <c r="F7" s="15">
        <v>0</v>
      </c>
      <c r="G7" s="234">
        <f t="shared" si="0"/>
        <v>0</v>
      </c>
      <c r="H7" s="171">
        <v>0</v>
      </c>
      <c r="I7" s="171">
        <v>0</v>
      </c>
      <c r="J7" s="240">
        <f t="shared" si="1"/>
        <v>0</v>
      </c>
      <c r="K7" s="281">
        <f t="shared" si="2"/>
        <v>0</v>
      </c>
      <c r="L7" s="90">
        <v>0</v>
      </c>
      <c r="M7" s="283">
        <f t="shared" ref="M7:M33" si="3">M6+K7-L7</f>
        <v>393165.41000000003</v>
      </c>
      <c r="N7" s="53"/>
      <c r="O7" s="92"/>
    </row>
    <row r="8" spans="1:15">
      <c r="A8" s="64">
        <v>5</v>
      </c>
      <c r="B8" s="267">
        <v>45721</v>
      </c>
      <c r="C8" s="89"/>
      <c r="D8" s="94"/>
      <c r="E8" s="15">
        <v>0</v>
      </c>
      <c r="F8" s="15">
        <v>0</v>
      </c>
      <c r="G8" s="234">
        <f t="shared" si="0"/>
        <v>0</v>
      </c>
      <c r="H8" s="171">
        <v>0</v>
      </c>
      <c r="I8" s="171">
        <v>0</v>
      </c>
      <c r="J8" s="240">
        <f t="shared" si="1"/>
        <v>0</v>
      </c>
      <c r="K8" s="281">
        <f t="shared" si="2"/>
        <v>0</v>
      </c>
      <c r="L8" s="90">
        <v>0</v>
      </c>
      <c r="M8" s="282">
        <f t="shared" si="3"/>
        <v>393165.41000000003</v>
      </c>
      <c r="N8" s="278"/>
      <c r="O8" s="92"/>
    </row>
    <row r="9" spans="1:15">
      <c r="A9" s="64">
        <v>6</v>
      </c>
      <c r="B9" s="267">
        <v>45722</v>
      </c>
      <c r="C9" s="285"/>
      <c r="D9" s="286"/>
      <c r="E9" s="15">
        <v>0</v>
      </c>
      <c r="F9" s="15">
        <v>0</v>
      </c>
      <c r="G9" s="234">
        <f t="shared" si="0"/>
        <v>0</v>
      </c>
      <c r="H9" s="171">
        <v>0</v>
      </c>
      <c r="I9" s="171">
        <v>0</v>
      </c>
      <c r="J9" s="240">
        <f t="shared" si="1"/>
        <v>0</v>
      </c>
      <c r="K9" s="281">
        <f t="shared" si="2"/>
        <v>0</v>
      </c>
      <c r="L9" s="90">
        <v>0</v>
      </c>
      <c r="M9" s="282">
        <f t="shared" si="3"/>
        <v>393165.41000000003</v>
      </c>
      <c r="N9" s="53"/>
      <c r="O9" s="92"/>
    </row>
    <row r="10" spans="1:15">
      <c r="A10" s="64">
        <v>7</v>
      </c>
      <c r="B10" s="267">
        <v>45723</v>
      </c>
      <c r="C10" s="93"/>
      <c r="D10" s="94"/>
      <c r="E10" s="15">
        <v>0</v>
      </c>
      <c r="F10" s="15">
        <v>0</v>
      </c>
      <c r="G10" s="234">
        <f t="shared" si="0"/>
        <v>0</v>
      </c>
      <c r="H10" s="171">
        <v>0</v>
      </c>
      <c r="I10" s="171">
        <v>0</v>
      </c>
      <c r="J10" s="240">
        <f t="shared" si="1"/>
        <v>0</v>
      </c>
      <c r="K10" s="281">
        <f t="shared" si="2"/>
        <v>0</v>
      </c>
      <c r="L10" s="90">
        <v>0</v>
      </c>
      <c r="M10" s="282">
        <f t="shared" si="3"/>
        <v>393165.41000000003</v>
      </c>
      <c r="N10" s="53"/>
      <c r="O10" s="92"/>
    </row>
    <row r="11" spans="1:15">
      <c r="A11" s="64">
        <v>8</v>
      </c>
      <c r="B11" s="267">
        <v>45724</v>
      </c>
      <c r="C11" s="93"/>
      <c r="D11" s="94"/>
      <c r="E11" s="15">
        <v>0</v>
      </c>
      <c r="F11" s="15">
        <v>0</v>
      </c>
      <c r="G11" s="234">
        <f t="shared" si="0"/>
        <v>0</v>
      </c>
      <c r="H11" s="171">
        <v>0</v>
      </c>
      <c r="I11" s="171">
        <v>0</v>
      </c>
      <c r="J11" s="240">
        <f t="shared" si="1"/>
        <v>0</v>
      </c>
      <c r="K11" s="281">
        <f t="shared" si="2"/>
        <v>0</v>
      </c>
      <c r="L11" s="90">
        <v>0</v>
      </c>
      <c r="M11" s="282">
        <f t="shared" si="3"/>
        <v>393165.41000000003</v>
      </c>
      <c r="N11" s="53"/>
      <c r="O11" s="92"/>
    </row>
    <row r="12" spans="1:15">
      <c r="A12" s="64">
        <v>9</v>
      </c>
      <c r="B12" s="267">
        <v>45725</v>
      </c>
      <c r="C12" s="93"/>
      <c r="D12" s="94"/>
      <c r="E12" s="15">
        <v>0</v>
      </c>
      <c r="F12" s="15">
        <v>0</v>
      </c>
      <c r="G12" s="234">
        <f t="shared" si="0"/>
        <v>0</v>
      </c>
      <c r="H12" s="171">
        <v>0</v>
      </c>
      <c r="I12" s="171">
        <v>0</v>
      </c>
      <c r="J12" s="240">
        <f t="shared" si="1"/>
        <v>0</v>
      </c>
      <c r="K12" s="281">
        <f t="shared" si="2"/>
        <v>0</v>
      </c>
      <c r="L12" s="90">
        <v>0</v>
      </c>
      <c r="M12" s="282">
        <f t="shared" si="3"/>
        <v>393165.41000000003</v>
      </c>
      <c r="N12" s="53"/>
      <c r="O12" s="92"/>
    </row>
    <row r="13" spans="1:15">
      <c r="A13" s="64">
        <v>10</v>
      </c>
      <c r="B13" s="267">
        <v>45726</v>
      </c>
      <c r="C13" s="93"/>
      <c r="D13" s="94"/>
      <c r="E13" s="15">
        <v>0</v>
      </c>
      <c r="F13" s="15">
        <v>0</v>
      </c>
      <c r="G13" s="234">
        <f t="shared" si="0"/>
        <v>0</v>
      </c>
      <c r="H13" s="171">
        <v>0</v>
      </c>
      <c r="I13" s="171">
        <v>0</v>
      </c>
      <c r="J13" s="240">
        <f t="shared" si="1"/>
        <v>0</v>
      </c>
      <c r="K13" s="281">
        <f t="shared" si="2"/>
        <v>0</v>
      </c>
      <c r="L13" s="90">
        <v>300000</v>
      </c>
      <c r="M13" s="282">
        <f t="shared" si="3"/>
        <v>93165.410000000033</v>
      </c>
      <c r="N13" s="53"/>
      <c r="O13" s="92"/>
    </row>
    <row r="14" spans="1:15">
      <c r="A14" s="64">
        <v>11</v>
      </c>
      <c r="B14" s="267">
        <v>45727</v>
      </c>
      <c r="C14" s="93"/>
      <c r="D14" s="94"/>
      <c r="E14" s="15">
        <v>178.8</v>
      </c>
      <c r="F14" s="15">
        <v>89.49</v>
      </c>
      <c r="G14" s="234">
        <f t="shared" si="0"/>
        <v>16000.812</v>
      </c>
      <c r="H14" s="171">
        <v>0</v>
      </c>
      <c r="I14" s="171">
        <v>0</v>
      </c>
      <c r="J14" s="240">
        <f t="shared" si="1"/>
        <v>0</v>
      </c>
      <c r="K14" s="281">
        <f t="shared" si="2"/>
        <v>16000.812</v>
      </c>
      <c r="L14" s="90">
        <v>0</v>
      </c>
      <c r="M14" s="282">
        <f t="shared" si="3"/>
        <v>109166.22200000004</v>
      </c>
      <c r="N14" s="53"/>
      <c r="O14" s="92"/>
    </row>
    <row r="15" spans="1:15">
      <c r="A15" s="64">
        <v>12</v>
      </c>
      <c r="B15" s="267">
        <v>45728</v>
      </c>
      <c r="C15" s="93"/>
      <c r="D15" s="94"/>
      <c r="E15" s="15">
        <v>165.96</v>
      </c>
      <c r="F15" s="15">
        <v>89.49</v>
      </c>
      <c r="G15" s="234">
        <f t="shared" si="0"/>
        <v>14851.760399999999</v>
      </c>
      <c r="H15" s="171">
        <v>25</v>
      </c>
      <c r="I15" s="171">
        <v>103.42</v>
      </c>
      <c r="J15" s="240">
        <f t="shared" si="1"/>
        <v>2585.5</v>
      </c>
      <c r="K15" s="281">
        <f t="shared" si="2"/>
        <v>17437.260399999999</v>
      </c>
      <c r="L15" s="90">
        <v>0</v>
      </c>
      <c r="M15" s="282">
        <f t="shared" si="3"/>
        <v>126603.48240000004</v>
      </c>
      <c r="N15" s="53"/>
      <c r="O15" s="92"/>
    </row>
    <row r="16" spans="1:15">
      <c r="A16" s="64">
        <v>13</v>
      </c>
      <c r="B16" s="267">
        <v>45729</v>
      </c>
      <c r="C16" s="93"/>
      <c r="D16" s="94"/>
      <c r="E16" s="15">
        <v>420.54</v>
      </c>
      <c r="F16" s="15">
        <v>89.49</v>
      </c>
      <c r="G16" s="234">
        <f t="shared" si="0"/>
        <v>37634.124600000003</v>
      </c>
      <c r="H16" s="171">
        <v>0</v>
      </c>
      <c r="I16" s="171">
        <v>0</v>
      </c>
      <c r="J16" s="240">
        <f t="shared" si="1"/>
        <v>0</v>
      </c>
      <c r="K16" s="281">
        <f t="shared" si="2"/>
        <v>37634.124600000003</v>
      </c>
      <c r="L16" s="90">
        <v>0</v>
      </c>
      <c r="M16" s="282">
        <f t="shared" si="3"/>
        <v>164237.60700000005</v>
      </c>
      <c r="N16" s="53"/>
      <c r="O16" s="92"/>
    </row>
    <row r="17" spans="1:15">
      <c r="A17" s="64">
        <v>14</v>
      </c>
      <c r="B17" s="267">
        <v>45730</v>
      </c>
      <c r="C17" s="93"/>
      <c r="D17" s="94"/>
      <c r="E17" s="15">
        <v>0</v>
      </c>
      <c r="F17" s="15">
        <v>0</v>
      </c>
      <c r="G17" s="234">
        <f t="shared" si="0"/>
        <v>0</v>
      </c>
      <c r="H17" s="171">
        <v>5</v>
      </c>
      <c r="I17" s="171">
        <v>103.42</v>
      </c>
      <c r="J17" s="240">
        <f t="shared" si="1"/>
        <v>517.1</v>
      </c>
      <c r="K17" s="281">
        <f t="shared" si="2"/>
        <v>517.1</v>
      </c>
      <c r="L17" s="90">
        <v>0</v>
      </c>
      <c r="M17" s="282">
        <f t="shared" si="3"/>
        <v>164754.70700000005</v>
      </c>
      <c r="N17" s="53"/>
      <c r="O17" s="92"/>
    </row>
    <row r="18" spans="1:15">
      <c r="A18" s="64">
        <v>15</v>
      </c>
      <c r="B18" s="267">
        <v>45731</v>
      </c>
      <c r="C18" s="93"/>
      <c r="D18" s="94"/>
      <c r="E18" s="15">
        <v>621.86</v>
      </c>
      <c r="F18" s="15">
        <v>89.49</v>
      </c>
      <c r="G18" s="234">
        <f t="shared" si="0"/>
        <v>55650.251400000001</v>
      </c>
      <c r="H18" s="171">
        <v>18</v>
      </c>
      <c r="I18" s="171">
        <v>103.42</v>
      </c>
      <c r="J18" s="240">
        <f t="shared" si="1"/>
        <v>1861.56</v>
      </c>
      <c r="K18" s="281">
        <f t="shared" si="2"/>
        <v>57511.811399999999</v>
      </c>
      <c r="L18" s="90">
        <v>0</v>
      </c>
      <c r="M18" s="282">
        <f t="shared" si="3"/>
        <v>222266.51840000006</v>
      </c>
      <c r="N18" s="53"/>
      <c r="O18" s="92"/>
    </row>
    <row r="19" spans="1:15">
      <c r="A19" s="64">
        <v>16</v>
      </c>
      <c r="B19" s="267">
        <v>45732</v>
      </c>
      <c r="C19" s="93"/>
      <c r="D19" s="94"/>
      <c r="E19" s="15">
        <v>0</v>
      </c>
      <c r="F19" s="15">
        <v>0</v>
      </c>
      <c r="G19" s="234">
        <f t="shared" si="0"/>
        <v>0</v>
      </c>
      <c r="H19" s="171">
        <v>5</v>
      </c>
      <c r="I19" s="171">
        <v>103.42</v>
      </c>
      <c r="J19" s="240">
        <f t="shared" si="1"/>
        <v>517.1</v>
      </c>
      <c r="K19" s="281">
        <f t="shared" si="2"/>
        <v>517.1</v>
      </c>
      <c r="L19" s="90">
        <v>0</v>
      </c>
      <c r="M19" s="282">
        <f t="shared" si="3"/>
        <v>222783.61840000006</v>
      </c>
      <c r="N19" s="53"/>
      <c r="O19" s="92"/>
    </row>
    <row r="20" spans="1:15">
      <c r="A20" s="64">
        <v>17</v>
      </c>
      <c r="B20" s="267">
        <v>45733</v>
      </c>
      <c r="C20" s="93"/>
      <c r="D20" s="94"/>
      <c r="E20" s="15">
        <v>35</v>
      </c>
      <c r="F20" s="15">
        <v>89.49</v>
      </c>
      <c r="G20" s="234">
        <f t="shared" si="0"/>
        <v>3132.1499999999996</v>
      </c>
      <c r="H20" s="171">
        <v>7</v>
      </c>
      <c r="I20" s="171">
        <v>103.42</v>
      </c>
      <c r="J20" s="240">
        <f t="shared" si="1"/>
        <v>723.94</v>
      </c>
      <c r="K20" s="281">
        <f t="shared" si="2"/>
        <v>3856.0899999999997</v>
      </c>
      <c r="L20" s="90">
        <v>0</v>
      </c>
      <c r="M20" s="282">
        <f t="shared" si="3"/>
        <v>226639.70840000006</v>
      </c>
      <c r="N20" s="53"/>
      <c r="O20" s="92"/>
    </row>
    <row r="21" spans="1:15">
      <c r="A21" s="64">
        <v>18</v>
      </c>
      <c r="B21" s="267">
        <v>45734</v>
      </c>
      <c r="C21" s="93"/>
      <c r="D21" s="94"/>
      <c r="E21" s="15">
        <v>1696.06</v>
      </c>
      <c r="F21" s="15">
        <v>89.49</v>
      </c>
      <c r="G21" s="234">
        <f t="shared" si="0"/>
        <v>151780.40939999997</v>
      </c>
      <c r="H21" s="171">
        <v>10</v>
      </c>
      <c r="I21" s="171">
        <v>103.42</v>
      </c>
      <c r="J21" s="240">
        <f t="shared" si="1"/>
        <v>1034.2</v>
      </c>
      <c r="K21" s="281">
        <f t="shared" si="2"/>
        <v>152814.60939999999</v>
      </c>
      <c r="L21" s="90">
        <v>0</v>
      </c>
      <c r="M21" s="282">
        <f t="shared" si="3"/>
        <v>379454.31780000008</v>
      </c>
      <c r="N21" s="53"/>
      <c r="O21" s="92"/>
    </row>
    <row r="22" spans="1:15">
      <c r="A22" s="64">
        <v>19</v>
      </c>
      <c r="B22" s="267">
        <v>45735</v>
      </c>
      <c r="C22" s="93"/>
      <c r="D22" s="94"/>
      <c r="E22" s="15">
        <v>100</v>
      </c>
      <c r="F22" s="15">
        <v>89.49</v>
      </c>
      <c r="G22" s="234">
        <f t="shared" si="0"/>
        <v>8949</v>
      </c>
      <c r="H22" s="171">
        <v>15</v>
      </c>
      <c r="I22" s="171">
        <v>103.42</v>
      </c>
      <c r="J22" s="240">
        <f t="shared" si="1"/>
        <v>1551.3</v>
      </c>
      <c r="K22" s="281">
        <f t="shared" si="2"/>
        <v>10500.3</v>
      </c>
      <c r="L22" s="90">
        <v>0</v>
      </c>
      <c r="M22" s="282">
        <f t="shared" si="3"/>
        <v>389954.61780000007</v>
      </c>
      <c r="N22" s="53"/>
      <c r="O22" s="92"/>
    </row>
    <row r="23" spans="1:15">
      <c r="A23" s="64">
        <v>20</v>
      </c>
      <c r="B23" s="267">
        <v>45736</v>
      </c>
      <c r="C23" s="93"/>
      <c r="D23" s="94"/>
      <c r="E23" s="15">
        <v>448</v>
      </c>
      <c r="F23" s="15">
        <v>89.49</v>
      </c>
      <c r="G23" s="234">
        <f t="shared" si="0"/>
        <v>40091.519999999997</v>
      </c>
      <c r="H23" s="171">
        <v>10</v>
      </c>
      <c r="I23" s="171">
        <v>103.42</v>
      </c>
      <c r="J23" s="240">
        <f t="shared" si="1"/>
        <v>1034.2</v>
      </c>
      <c r="K23" s="281">
        <f t="shared" si="2"/>
        <v>41125.719999999994</v>
      </c>
      <c r="L23" s="90">
        <v>0</v>
      </c>
      <c r="M23" s="282">
        <f t="shared" si="3"/>
        <v>431080.33780000004</v>
      </c>
      <c r="N23" s="53"/>
      <c r="O23" s="92"/>
    </row>
    <row r="24" spans="1:15">
      <c r="A24" s="64">
        <v>21</v>
      </c>
      <c r="B24" s="267">
        <v>45737</v>
      </c>
      <c r="C24" s="93"/>
      <c r="D24" s="94"/>
      <c r="E24" s="15">
        <v>737.26</v>
      </c>
      <c r="F24" s="15">
        <v>89.49</v>
      </c>
      <c r="G24" s="234">
        <f t="shared" si="0"/>
        <v>65977.397400000002</v>
      </c>
      <c r="H24" s="171">
        <v>5</v>
      </c>
      <c r="I24" s="171">
        <v>103.42</v>
      </c>
      <c r="J24" s="240">
        <f t="shared" si="1"/>
        <v>517.1</v>
      </c>
      <c r="K24" s="281">
        <f t="shared" si="2"/>
        <v>66494.497400000007</v>
      </c>
      <c r="L24" s="90">
        <v>0</v>
      </c>
      <c r="M24" s="282">
        <f t="shared" si="3"/>
        <v>497574.83520000003</v>
      </c>
      <c r="N24" s="53"/>
      <c r="O24" s="92"/>
    </row>
    <row r="25" spans="1:15">
      <c r="A25" s="64">
        <v>22</v>
      </c>
      <c r="B25" s="267">
        <v>45738</v>
      </c>
      <c r="C25" s="244"/>
      <c r="D25" s="245"/>
      <c r="E25" s="15">
        <v>177.55</v>
      </c>
      <c r="F25" s="15">
        <v>89.49</v>
      </c>
      <c r="G25" s="234">
        <f t="shared" si="0"/>
        <v>15888.949500000001</v>
      </c>
      <c r="H25" s="171">
        <v>11</v>
      </c>
      <c r="I25" s="171">
        <v>103.42</v>
      </c>
      <c r="J25" s="240">
        <f t="shared" si="1"/>
        <v>1137.6200000000001</v>
      </c>
      <c r="K25" s="281">
        <f t="shared" si="2"/>
        <v>17026.569500000001</v>
      </c>
      <c r="L25" s="90">
        <v>0</v>
      </c>
      <c r="M25" s="282">
        <f t="shared" si="3"/>
        <v>514601.40470000001</v>
      </c>
      <c r="N25" s="53"/>
      <c r="O25" s="92"/>
    </row>
    <row r="26" spans="1:15">
      <c r="A26" s="64">
        <v>23</v>
      </c>
      <c r="B26" s="267">
        <v>45739</v>
      </c>
      <c r="C26" s="89"/>
      <c r="D26" s="94"/>
      <c r="E26" s="15">
        <v>174.68</v>
      </c>
      <c r="F26" s="15">
        <v>89.49</v>
      </c>
      <c r="G26" s="234">
        <f t="shared" si="0"/>
        <v>15632.1132</v>
      </c>
      <c r="H26" s="171">
        <v>0</v>
      </c>
      <c r="I26" s="171">
        <v>0</v>
      </c>
      <c r="J26" s="240">
        <f t="shared" si="1"/>
        <v>0</v>
      </c>
      <c r="K26" s="281">
        <f t="shared" si="2"/>
        <v>15632.1132</v>
      </c>
      <c r="L26" s="90">
        <v>0</v>
      </c>
      <c r="M26" s="282">
        <f t="shared" si="3"/>
        <v>530233.51789999998</v>
      </c>
      <c r="N26" s="228"/>
      <c r="O26" s="92"/>
    </row>
    <row r="27" spans="1:15">
      <c r="A27" s="64">
        <v>24</v>
      </c>
      <c r="B27" s="267">
        <v>45740</v>
      </c>
      <c r="C27" s="89"/>
      <c r="D27" s="94"/>
      <c r="E27" s="15">
        <v>543.29999999999995</v>
      </c>
      <c r="F27" s="15">
        <v>89.49</v>
      </c>
      <c r="G27" s="234">
        <f t="shared" si="0"/>
        <v>48619.916999999994</v>
      </c>
      <c r="H27" s="171">
        <v>40</v>
      </c>
      <c r="I27" s="171">
        <v>103.42</v>
      </c>
      <c r="J27" s="240">
        <f t="shared" si="1"/>
        <v>4136.8</v>
      </c>
      <c r="K27" s="281">
        <f t="shared" si="2"/>
        <v>52756.716999999997</v>
      </c>
      <c r="L27" s="90">
        <v>0</v>
      </c>
      <c r="M27" s="282">
        <f t="shared" si="3"/>
        <v>582990.23489999992</v>
      </c>
      <c r="N27" s="228"/>
      <c r="O27" s="92"/>
    </row>
    <row r="28" spans="1:15">
      <c r="A28" s="64">
        <v>25</v>
      </c>
      <c r="B28" s="267">
        <v>45741</v>
      </c>
      <c r="C28" s="89"/>
      <c r="D28" s="94"/>
      <c r="E28" s="15">
        <v>290</v>
      </c>
      <c r="F28" s="15">
        <v>89.49</v>
      </c>
      <c r="G28" s="234">
        <f t="shared" si="0"/>
        <v>25952.1</v>
      </c>
      <c r="H28" s="171">
        <v>15</v>
      </c>
      <c r="I28" s="171">
        <v>103.42</v>
      </c>
      <c r="J28" s="240">
        <f t="shared" si="1"/>
        <v>1551.3</v>
      </c>
      <c r="K28" s="281">
        <f t="shared" si="2"/>
        <v>27503.399999999998</v>
      </c>
      <c r="L28" s="90">
        <v>0</v>
      </c>
      <c r="M28" s="282">
        <f t="shared" si="3"/>
        <v>610493.63489999995</v>
      </c>
      <c r="N28" s="228"/>
      <c r="O28" s="92"/>
    </row>
    <row r="29" spans="1:15">
      <c r="A29" s="64">
        <v>26</v>
      </c>
      <c r="B29" s="267">
        <v>45742</v>
      </c>
      <c r="C29" s="89"/>
      <c r="D29" s="94"/>
      <c r="E29" s="15">
        <v>496.26</v>
      </c>
      <c r="F29" s="15">
        <v>89.49</v>
      </c>
      <c r="G29" s="234">
        <f t="shared" si="0"/>
        <v>44410.307399999998</v>
      </c>
      <c r="H29" s="171">
        <v>10</v>
      </c>
      <c r="I29" s="171">
        <v>103.42</v>
      </c>
      <c r="J29" s="240">
        <f t="shared" si="1"/>
        <v>1034.2</v>
      </c>
      <c r="K29" s="281">
        <f t="shared" si="2"/>
        <v>45444.507399999995</v>
      </c>
      <c r="L29" s="90">
        <v>610493.14</v>
      </c>
      <c r="M29" s="282">
        <f t="shared" si="3"/>
        <v>45445.002299999935</v>
      </c>
      <c r="N29" s="228"/>
      <c r="O29" s="92"/>
    </row>
    <row r="30" spans="1:15">
      <c r="A30" s="64">
        <v>27</v>
      </c>
      <c r="B30" s="267">
        <v>45743</v>
      </c>
      <c r="C30" s="89"/>
      <c r="D30" s="94"/>
      <c r="E30" s="15">
        <v>288.66000000000003</v>
      </c>
      <c r="F30" s="15">
        <v>89.49</v>
      </c>
      <c r="G30" s="234">
        <f t="shared" si="0"/>
        <v>25832.183400000002</v>
      </c>
      <c r="H30" s="171">
        <v>5</v>
      </c>
      <c r="I30" s="171">
        <v>103.42</v>
      </c>
      <c r="J30" s="240">
        <f t="shared" si="1"/>
        <v>517.1</v>
      </c>
      <c r="K30" s="281">
        <f t="shared" si="2"/>
        <v>26349.2834</v>
      </c>
      <c r="L30" s="90">
        <v>0</v>
      </c>
      <c r="M30" s="282">
        <f t="shared" si="3"/>
        <v>71794.285699999935</v>
      </c>
      <c r="N30" s="228"/>
      <c r="O30" s="92"/>
    </row>
    <row r="31" spans="1:15">
      <c r="A31" s="64">
        <v>28</v>
      </c>
      <c r="B31" s="267">
        <v>45744</v>
      </c>
      <c r="C31" s="89"/>
      <c r="D31" s="94"/>
      <c r="E31" s="15">
        <v>240</v>
      </c>
      <c r="F31" s="15">
        <v>89.49</v>
      </c>
      <c r="G31" s="234">
        <f t="shared" si="0"/>
        <v>21477.599999999999</v>
      </c>
      <c r="H31" s="171">
        <v>15</v>
      </c>
      <c r="I31" s="171">
        <v>103.42</v>
      </c>
      <c r="J31" s="240">
        <f t="shared" si="1"/>
        <v>1551.3</v>
      </c>
      <c r="K31" s="281">
        <f t="shared" si="2"/>
        <v>23028.899999999998</v>
      </c>
      <c r="L31" s="90">
        <v>0</v>
      </c>
      <c r="M31" s="282">
        <f t="shared" si="3"/>
        <v>94823.185699999929</v>
      </c>
      <c r="N31" s="228"/>
      <c r="O31" s="92"/>
    </row>
    <row r="32" spans="1:15">
      <c r="A32" s="257">
        <v>29</v>
      </c>
      <c r="B32" s="267">
        <v>45745</v>
      </c>
      <c r="C32" s="89"/>
      <c r="D32" s="94"/>
      <c r="E32" s="15">
        <v>734.98</v>
      </c>
      <c r="F32" s="15">
        <v>89.49</v>
      </c>
      <c r="G32" s="234">
        <f t="shared" si="0"/>
        <v>65773.360199999996</v>
      </c>
      <c r="H32" s="171">
        <v>0</v>
      </c>
      <c r="I32" s="171">
        <v>0</v>
      </c>
      <c r="J32" s="240">
        <f t="shared" si="1"/>
        <v>0</v>
      </c>
      <c r="K32" s="281">
        <f t="shared" si="2"/>
        <v>65773.360199999996</v>
      </c>
      <c r="L32" s="90">
        <v>94306.09</v>
      </c>
      <c r="M32" s="282">
        <f t="shared" si="3"/>
        <v>66290.455899999914</v>
      </c>
      <c r="N32" s="228"/>
      <c r="O32" s="92"/>
    </row>
    <row r="33" spans="1:15">
      <c r="A33" s="257">
        <v>30</v>
      </c>
      <c r="B33" s="267">
        <v>45746</v>
      </c>
      <c r="C33" s="89"/>
      <c r="D33" s="94"/>
      <c r="E33" s="15">
        <v>95.51</v>
      </c>
      <c r="F33" s="15">
        <v>89.49</v>
      </c>
      <c r="G33" s="234">
        <f t="shared" ref="G33:G34" si="4">E33*F33</f>
        <v>8547.1898999999994</v>
      </c>
      <c r="H33" s="171">
        <v>5</v>
      </c>
      <c r="I33" s="171">
        <v>103.42</v>
      </c>
      <c r="J33" s="240">
        <f t="shared" ref="J33:J34" si="5">H33*I33</f>
        <v>517.1</v>
      </c>
      <c r="K33" s="281">
        <f t="shared" ref="K33:K34" si="6">G33+J33</f>
        <v>9064.2898999999998</v>
      </c>
      <c r="L33" s="90">
        <v>0</v>
      </c>
      <c r="M33" s="282">
        <f t="shared" ref="M33:M34" si="7">M32+K33-L33</f>
        <v>75354.745799999917</v>
      </c>
      <c r="N33" s="228"/>
      <c r="O33" s="92"/>
    </row>
    <row r="34" spans="1:15">
      <c r="A34" s="257">
        <v>31</v>
      </c>
      <c r="B34" s="267">
        <v>45747</v>
      </c>
      <c r="C34" s="155"/>
      <c r="D34" s="94"/>
      <c r="E34" s="15">
        <v>0</v>
      </c>
      <c r="F34" s="15">
        <v>0</v>
      </c>
      <c r="G34" s="234">
        <f t="shared" si="4"/>
        <v>0</v>
      </c>
      <c r="H34" s="171">
        <v>0</v>
      </c>
      <c r="I34" s="171">
        <v>0</v>
      </c>
      <c r="J34" s="240">
        <f t="shared" si="5"/>
        <v>0</v>
      </c>
      <c r="K34" s="281">
        <f t="shared" si="6"/>
        <v>0</v>
      </c>
      <c r="L34" s="90">
        <v>0</v>
      </c>
      <c r="M34" s="282">
        <f>M33+K34-L34</f>
        <v>75354.745799999917</v>
      </c>
      <c r="N34" s="228"/>
      <c r="O34" s="92"/>
    </row>
    <row r="35" spans="1:15">
      <c r="A35" s="246"/>
      <c r="B35" s="246"/>
      <c r="C35" s="246"/>
      <c r="D35" s="246"/>
      <c r="E35" s="231">
        <f>SUM(E4:E34)</f>
        <v>7444.42</v>
      </c>
      <c r="F35" s="231"/>
      <c r="G35" s="231">
        <f>SUM(G4:G34)</f>
        <v>666201.14579999994</v>
      </c>
      <c r="H35" s="231">
        <f>SUM(H4:H34)</f>
        <v>201</v>
      </c>
      <c r="I35" s="231"/>
      <c r="J35" s="231">
        <f>SUM(J4:J34)</f>
        <v>20787.419999999998</v>
      </c>
      <c r="K35" s="231">
        <f>SUM(K4:K34)</f>
        <v>686988.56579999987</v>
      </c>
      <c r="L35" s="231">
        <f>SUM(L4:L34)</f>
        <v>1504799.2300000002</v>
      </c>
      <c r="M35" s="231"/>
      <c r="N35" s="95"/>
      <c r="O35" s="81"/>
    </row>
    <row r="36" spans="1:15">
      <c r="A36" s="96"/>
      <c r="B36" s="97"/>
      <c r="C36" s="96"/>
      <c r="D36" s="96"/>
      <c r="E36" s="98"/>
      <c r="F36" s="98"/>
      <c r="G36" s="235"/>
      <c r="H36" s="98"/>
      <c r="I36" s="98"/>
      <c r="J36" s="235"/>
      <c r="K36" s="99"/>
      <c r="L36" s="99"/>
      <c r="M36" s="99"/>
      <c r="N36" s="98"/>
      <c r="O36" s="92"/>
    </row>
    <row r="37" spans="1:15">
      <c r="A37" s="92"/>
      <c r="B37" s="81"/>
      <c r="C37" s="92"/>
      <c r="D37" s="92"/>
      <c r="E37" s="92"/>
      <c r="F37" s="92"/>
      <c r="G37" s="236"/>
      <c r="H37" s="92"/>
      <c r="I37" s="92"/>
      <c r="J37" s="237"/>
      <c r="K37" s="81"/>
      <c r="L37" s="81"/>
      <c r="M37" s="81"/>
      <c r="N37" s="92"/>
      <c r="O37" s="98"/>
    </row>
    <row r="38" spans="1:15">
      <c r="A38" s="92"/>
      <c r="B38" s="392"/>
      <c r="C38" s="392"/>
      <c r="D38" s="392"/>
      <c r="E38" s="392"/>
      <c r="F38" s="92"/>
      <c r="G38" s="237"/>
      <c r="H38" s="92"/>
      <c r="I38" s="392"/>
      <c r="J38" s="392"/>
      <c r="K38" s="392"/>
      <c r="L38" s="392"/>
      <c r="M38" s="392"/>
      <c r="N38" s="392"/>
      <c r="O38" s="98"/>
    </row>
    <row r="39" spans="1:15">
      <c r="A39" s="92"/>
      <c r="B39" s="81"/>
      <c r="C39" s="92"/>
      <c r="D39" s="92"/>
      <c r="E39" s="92"/>
      <c r="F39" s="92"/>
      <c r="G39" s="237"/>
      <c r="H39" s="92"/>
      <c r="I39" s="92"/>
      <c r="J39" s="237"/>
      <c r="K39" s="81"/>
      <c r="L39" s="81"/>
      <c r="M39" s="81"/>
      <c r="N39" s="92"/>
      <c r="O39" s="98"/>
    </row>
    <row r="47" spans="1:15">
      <c r="L47" s="101">
        <v>3010</v>
      </c>
    </row>
    <row r="48" spans="1:15">
      <c r="L48" s="101">
        <v>4900</v>
      </c>
    </row>
    <row r="49" spans="12:12">
      <c r="L49" s="101">
        <v>6953</v>
      </c>
    </row>
    <row r="50" spans="12:12">
      <c r="L50" s="101">
        <v>7527</v>
      </c>
    </row>
  </sheetData>
  <mergeCells count="3">
    <mergeCell ref="A1:N1"/>
    <mergeCell ref="B38:E38"/>
    <mergeCell ref="I38:N38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56B5-DC1D-4D6F-BCA7-5B2D12E624BC}">
  <sheetPr>
    <tabColor rgb="FF002060"/>
  </sheetPr>
  <dimension ref="A1:O35"/>
  <sheetViews>
    <sheetView workbookViewId="0">
      <selection activeCell="I44" sqref="I44"/>
    </sheetView>
  </sheetViews>
  <sheetFormatPr defaultColWidth="12.140625" defaultRowHeight="15"/>
  <cols>
    <col min="1" max="1" width="10.42578125" customWidth="1"/>
  </cols>
  <sheetData>
    <row r="1" spans="1:15" ht="15.75">
      <c r="A1" s="372" t="s">
        <v>73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</row>
    <row r="2" spans="1:15" ht="30.75">
      <c r="A2" s="123" t="s">
        <v>91</v>
      </c>
      <c r="B2" s="124" t="s">
        <v>92</v>
      </c>
      <c r="C2" s="124" t="s">
        <v>93</v>
      </c>
      <c r="D2" s="124" t="s">
        <v>94</v>
      </c>
      <c r="E2" s="124" t="s">
        <v>95</v>
      </c>
      <c r="F2" s="124" t="s">
        <v>96</v>
      </c>
      <c r="G2" s="232" t="s">
        <v>97</v>
      </c>
      <c r="H2" s="124" t="s">
        <v>98</v>
      </c>
      <c r="I2" s="124" t="s">
        <v>96</v>
      </c>
      <c r="J2" s="239" t="s">
        <v>97</v>
      </c>
      <c r="K2" s="125" t="s">
        <v>99</v>
      </c>
      <c r="L2" s="169" t="s">
        <v>100</v>
      </c>
      <c r="M2" s="174" t="s">
        <v>101</v>
      </c>
      <c r="N2" s="126" t="s">
        <v>102</v>
      </c>
    </row>
    <row r="3" spans="1:15">
      <c r="A3" s="192"/>
      <c r="B3" s="19"/>
      <c r="C3" s="19"/>
      <c r="D3" s="315" t="s">
        <v>103</v>
      </c>
      <c r="E3" s="19"/>
      <c r="F3" s="19"/>
      <c r="G3" s="233"/>
      <c r="H3" s="19"/>
      <c r="I3" s="19"/>
      <c r="J3" s="233"/>
      <c r="K3" s="313">
        <v>187662.92</v>
      </c>
      <c r="L3" s="19"/>
      <c r="M3" s="179">
        <f>+K3</f>
        <v>187662.92</v>
      </c>
      <c r="N3" s="19"/>
    </row>
    <row r="4" spans="1:15">
      <c r="A4" s="257">
        <v>1</v>
      </c>
      <c r="B4" s="314">
        <v>45717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79">
        <f>M3+K4-L4</f>
        <v>187662.92</v>
      </c>
      <c r="N4" s="167"/>
      <c r="O4" s="24"/>
    </row>
    <row r="5" spans="1:15">
      <c r="A5" s="64">
        <v>2</v>
      </c>
      <c r="B5" s="267">
        <v>45718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79">
        <f t="shared" ref="M5:M34" si="0">M4+K5-L5</f>
        <v>187662.92</v>
      </c>
      <c r="N5" s="19"/>
    </row>
    <row r="6" spans="1:15">
      <c r="A6" s="64">
        <v>3</v>
      </c>
      <c r="B6" s="267">
        <v>45719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79">
        <f t="shared" si="0"/>
        <v>187662.92</v>
      </c>
      <c r="N6" s="19"/>
    </row>
    <row r="7" spans="1:15">
      <c r="A7" s="64">
        <v>4</v>
      </c>
      <c r="B7" s="267">
        <v>45720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79">
        <f t="shared" si="0"/>
        <v>187662.92</v>
      </c>
      <c r="N7" s="19"/>
    </row>
    <row r="8" spans="1:15">
      <c r="A8" s="64">
        <v>5</v>
      </c>
      <c r="B8" s="267">
        <v>45721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79">
        <f t="shared" si="0"/>
        <v>187662.92</v>
      </c>
      <c r="N8" s="19"/>
    </row>
    <row r="9" spans="1:15">
      <c r="A9" s="64">
        <v>6</v>
      </c>
      <c r="B9" s="267">
        <v>45722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79">
        <f t="shared" si="0"/>
        <v>187662.92</v>
      </c>
      <c r="N9" s="19"/>
    </row>
    <row r="10" spans="1:15">
      <c r="A10" s="64">
        <v>7</v>
      </c>
      <c r="B10" s="267">
        <v>45723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79">
        <f t="shared" si="0"/>
        <v>187662.92</v>
      </c>
      <c r="N10" s="19"/>
    </row>
    <row r="11" spans="1:15">
      <c r="A11" s="64">
        <v>8</v>
      </c>
      <c r="B11" s="267">
        <v>45724</v>
      </c>
      <c r="C11" s="19"/>
      <c r="D11" s="19"/>
      <c r="E11" s="19">
        <v>1013.74</v>
      </c>
      <c r="F11" s="19">
        <v>89.47</v>
      </c>
      <c r="G11" s="19">
        <f>E11*F11</f>
        <v>90699.317800000004</v>
      </c>
      <c r="H11" s="19"/>
      <c r="I11" s="19"/>
      <c r="J11" s="19"/>
      <c r="K11" s="19">
        <f>G11+J11</f>
        <v>90699.317800000004</v>
      </c>
      <c r="L11" s="19"/>
      <c r="M11" s="179">
        <f t="shared" si="0"/>
        <v>278362.2378</v>
      </c>
      <c r="N11" s="19"/>
    </row>
    <row r="12" spans="1:15">
      <c r="A12" s="64">
        <v>9</v>
      </c>
      <c r="B12" s="267">
        <v>45725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79">
        <f t="shared" si="0"/>
        <v>278362.2378</v>
      </c>
      <c r="N12" s="19"/>
    </row>
    <row r="13" spans="1:15">
      <c r="A13" s="64">
        <v>10</v>
      </c>
      <c r="B13" s="267">
        <v>45726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79">
        <f t="shared" si="0"/>
        <v>278362.2378</v>
      </c>
      <c r="N13" s="19"/>
    </row>
    <row r="14" spans="1:15">
      <c r="A14" s="64">
        <v>11</v>
      </c>
      <c r="B14" s="267">
        <v>45727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79">
        <f t="shared" si="0"/>
        <v>278362.2378</v>
      </c>
      <c r="N14" s="19"/>
    </row>
    <row r="15" spans="1:15">
      <c r="A15" s="64">
        <v>12</v>
      </c>
      <c r="B15" s="267">
        <v>45728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79">
        <f t="shared" si="0"/>
        <v>278362.2378</v>
      </c>
      <c r="N15" s="19"/>
    </row>
    <row r="16" spans="1:15">
      <c r="A16" s="64">
        <v>13</v>
      </c>
      <c r="B16" s="267">
        <v>45729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79">
        <f t="shared" si="0"/>
        <v>278362.2378</v>
      </c>
      <c r="N16" s="19"/>
    </row>
    <row r="17" spans="1:14">
      <c r="A17" s="64">
        <v>14</v>
      </c>
      <c r="B17" s="267">
        <v>45730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79">
        <f t="shared" si="0"/>
        <v>278362.2378</v>
      </c>
      <c r="N17" s="19"/>
    </row>
    <row r="18" spans="1:14">
      <c r="A18" s="64">
        <v>15</v>
      </c>
      <c r="B18" s="267">
        <v>45731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79">
        <f t="shared" si="0"/>
        <v>278362.2378</v>
      </c>
      <c r="N18" s="19"/>
    </row>
    <row r="19" spans="1:14">
      <c r="A19" s="64">
        <v>16</v>
      </c>
      <c r="B19" s="267">
        <v>45732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79">
        <f t="shared" si="0"/>
        <v>278362.2378</v>
      </c>
      <c r="N19" s="19"/>
    </row>
    <row r="20" spans="1:14">
      <c r="A20" s="64">
        <v>17</v>
      </c>
      <c r="B20" s="267">
        <v>45733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79">
        <f t="shared" si="0"/>
        <v>278362.2378</v>
      </c>
      <c r="N20" s="19"/>
    </row>
    <row r="21" spans="1:14">
      <c r="A21" s="64">
        <v>18</v>
      </c>
      <c r="B21" s="267">
        <v>45734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79">
        <f t="shared" si="0"/>
        <v>278362.2378</v>
      </c>
      <c r="N21" s="19"/>
    </row>
    <row r="22" spans="1:14">
      <c r="A22" s="64">
        <v>19</v>
      </c>
      <c r="B22" s="267">
        <v>45735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79">
        <f t="shared" si="0"/>
        <v>278362.2378</v>
      </c>
      <c r="N22" s="19"/>
    </row>
    <row r="23" spans="1:14">
      <c r="A23" s="64">
        <v>20</v>
      </c>
      <c r="B23" s="267">
        <v>45736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79">
        <f t="shared" si="0"/>
        <v>278362.2378</v>
      </c>
      <c r="N23" s="19"/>
    </row>
    <row r="24" spans="1:14">
      <c r="A24" s="64">
        <v>21</v>
      </c>
      <c r="B24" s="267">
        <v>45737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79">
        <f t="shared" si="0"/>
        <v>278362.2378</v>
      </c>
      <c r="N24" s="19"/>
    </row>
    <row r="25" spans="1:14">
      <c r="A25" s="64">
        <v>22</v>
      </c>
      <c r="B25" s="267">
        <v>45738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79">
        <f t="shared" si="0"/>
        <v>278362.2378</v>
      </c>
      <c r="N25" s="19"/>
    </row>
    <row r="26" spans="1:14">
      <c r="A26" s="64">
        <v>23</v>
      </c>
      <c r="B26" s="267">
        <v>45739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79">
        <f t="shared" si="0"/>
        <v>278362.2378</v>
      </c>
      <c r="N26" s="19"/>
    </row>
    <row r="27" spans="1:14">
      <c r="A27" s="64">
        <v>24</v>
      </c>
      <c r="B27" s="267">
        <v>45740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79">
        <f t="shared" si="0"/>
        <v>278362.2378</v>
      </c>
      <c r="N27" s="19"/>
    </row>
    <row r="28" spans="1:14">
      <c r="A28" s="64">
        <v>25</v>
      </c>
      <c r="B28" s="267">
        <v>45741</v>
      </c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79">
        <f t="shared" si="0"/>
        <v>278362.2378</v>
      </c>
      <c r="N28" s="119"/>
    </row>
    <row r="29" spans="1:14">
      <c r="A29" s="64">
        <v>26</v>
      </c>
      <c r="B29" s="267">
        <v>45742</v>
      </c>
      <c r="C29" s="19"/>
      <c r="D29" s="19"/>
      <c r="E29" s="19"/>
      <c r="F29" s="19"/>
      <c r="G29" s="19"/>
      <c r="H29" s="19"/>
      <c r="I29" s="19"/>
      <c r="J29" s="19"/>
      <c r="K29" s="19"/>
      <c r="L29" s="19">
        <v>278362</v>
      </c>
      <c r="M29" s="179">
        <f t="shared" si="0"/>
        <v>0.2378000000026077</v>
      </c>
      <c r="N29" s="19"/>
    </row>
    <row r="30" spans="1:14">
      <c r="A30" s="64">
        <v>27</v>
      </c>
      <c r="B30" s="267">
        <v>45743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79">
        <f t="shared" si="0"/>
        <v>0.2378000000026077</v>
      </c>
      <c r="N30" s="19"/>
    </row>
    <row r="31" spans="1:14">
      <c r="A31" s="64">
        <v>28</v>
      </c>
      <c r="B31" s="267">
        <v>45744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79">
        <f t="shared" si="0"/>
        <v>0.2378000000026077</v>
      </c>
      <c r="N31" s="19"/>
    </row>
    <row r="32" spans="1:14">
      <c r="A32" s="257">
        <v>29</v>
      </c>
      <c r="B32" s="267">
        <v>45745</v>
      </c>
      <c r="C32" s="19"/>
      <c r="D32" s="19"/>
      <c r="E32" s="19">
        <v>196.34</v>
      </c>
      <c r="F32" s="19">
        <v>89.47</v>
      </c>
      <c r="G32" s="19">
        <f>E32*F32</f>
        <v>17566.539799999999</v>
      </c>
      <c r="H32" s="19"/>
      <c r="I32" s="19"/>
      <c r="J32" s="19"/>
      <c r="K32" s="19">
        <f>G32+J32</f>
        <v>17566.539799999999</v>
      </c>
      <c r="L32" s="19"/>
      <c r="M32" s="179">
        <f t="shared" si="0"/>
        <v>17566.777600000001</v>
      </c>
      <c r="N32" s="19"/>
    </row>
    <row r="33" spans="1:14">
      <c r="A33" s="257">
        <v>30</v>
      </c>
      <c r="B33" s="267">
        <v>45746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79">
        <f t="shared" si="0"/>
        <v>17566.777600000001</v>
      </c>
      <c r="N33" s="19"/>
    </row>
    <row r="34" spans="1:14">
      <c r="A34" s="257">
        <v>31</v>
      </c>
      <c r="B34" s="267">
        <v>45747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79">
        <f t="shared" si="0"/>
        <v>17566.777600000001</v>
      </c>
      <c r="N34" s="19"/>
    </row>
    <row r="35" spans="1:14">
      <c r="A35" s="227"/>
      <c r="B35" s="227"/>
      <c r="C35" s="227"/>
      <c r="D35" s="227"/>
      <c r="E35" s="227">
        <f>SUM(E4:E34)</f>
        <v>1210.08</v>
      </c>
      <c r="F35" s="227"/>
      <c r="G35" s="227">
        <f>SUM(G4:G34)</f>
        <v>108265.8576</v>
      </c>
      <c r="H35" s="227">
        <f>SUM(H4:H34)</f>
        <v>0</v>
      </c>
      <c r="I35" s="227"/>
      <c r="J35" s="227">
        <f>SUM(J4:J34)</f>
        <v>0</v>
      </c>
      <c r="K35" s="227">
        <f>SUM(K4:K34)</f>
        <v>108265.8576</v>
      </c>
      <c r="L35" s="227">
        <f>SUM(L4:L34)</f>
        <v>278362</v>
      </c>
      <c r="M35" s="227"/>
      <c r="N35" s="227"/>
    </row>
  </sheetData>
  <mergeCells count="1">
    <mergeCell ref="A1:N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38B2D-F4B4-4D9B-ADBF-B484D3DAD6F7}">
  <sheetPr>
    <tabColor rgb="FF002060"/>
  </sheetPr>
  <dimension ref="A1:R35"/>
  <sheetViews>
    <sheetView topLeftCell="A18" workbookViewId="0">
      <selection activeCell="N42" sqref="N42"/>
    </sheetView>
  </sheetViews>
  <sheetFormatPr defaultColWidth="12.42578125" defaultRowHeight="15"/>
  <cols>
    <col min="1" max="1" width="7.7109375" customWidth="1"/>
    <col min="2" max="15" width="12.42578125" style="24"/>
  </cols>
  <sheetData>
    <row r="1" spans="1:14" ht="15.75">
      <c r="A1" s="409" t="s">
        <v>77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14" ht="30.75">
      <c r="A2" s="151" t="s">
        <v>91</v>
      </c>
      <c r="B2" s="290" t="s">
        <v>92</v>
      </c>
      <c r="C2" s="290" t="s">
        <v>93</v>
      </c>
      <c r="D2" s="290" t="s">
        <v>165</v>
      </c>
      <c r="E2" s="290" t="s">
        <v>95</v>
      </c>
      <c r="F2" s="290" t="s">
        <v>96</v>
      </c>
      <c r="G2" s="290" t="s">
        <v>97</v>
      </c>
      <c r="H2" s="290" t="s">
        <v>98</v>
      </c>
      <c r="I2" s="290" t="s">
        <v>96</v>
      </c>
      <c r="J2" s="290" t="s">
        <v>97</v>
      </c>
      <c r="K2" s="217" t="s">
        <v>99</v>
      </c>
      <c r="L2" s="217" t="s">
        <v>100</v>
      </c>
      <c r="M2" s="217" t="s">
        <v>101</v>
      </c>
      <c r="N2" s="290" t="s">
        <v>102</v>
      </c>
    </row>
    <row r="3" spans="1:14">
      <c r="A3" s="410" t="s">
        <v>103</v>
      </c>
      <c r="B3" s="410"/>
      <c r="C3" s="410"/>
      <c r="D3" s="410"/>
      <c r="E3" s="410"/>
      <c r="F3" s="410"/>
      <c r="G3" s="410"/>
      <c r="H3" s="410"/>
      <c r="I3" s="410"/>
      <c r="J3" s="410"/>
      <c r="K3" s="410"/>
      <c r="L3" s="410"/>
      <c r="M3" s="410" t="s">
        <v>168</v>
      </c>
      <c r="N3" s="410"/>
    </row>
    <row r="4" spans="1:14">
      <c r="A4" s="257">
        <v>1</v>
      </c>
      <c r="B4" s="314">
        <v>45717</v>
      </c>
      <c r="C4" s="51">
        <v>0</v>
      </c>
      <c r="D4" s="51"/>
      <c r="E4" s="51">
        <v>0</v>
      </c>
      <c r="F4" s="51">
        <v>0</v>
      </c>
      <c r="G4" s="51">
        <f>E4*F4</f>
        <v>0</v>
      </c>
      <c r="H4" s="51">
        <v>0</v>
      </c>
      <c r="I4" s="51">
        <v>0</v>
      </c>
      <c r="J4" s="51">
        <f>H4*I4</f>
        <v>0</v>
      </c>
      <c r="K4" s="51">
        <f>G4+J4</f>
        <v>0</v>
      </c>
      <c r="L4" s="51">
        <f>+K4</f>
        <v>0</v>
      </c>
      <c r="M4" s="51"/>
      <c r="N4" s="51"/>
    </row>
    <row r="5" spans="1:14">
      <c r="A5" s="64">
        <v>2</v>
      </c>
      <c r="B5" s="267">
        <v>45718</v>
      </c>
      <c r="C5" s="51">
        <v>0</v>
      </c>
      <c r="D5" s="51"/>
      <c r="E5" s="51">
        <v>0</v>
      </c>
      <c r="F5" s="51">
        <v>0</v>
      </c>
      <c r="G5" s="51">
        <f t="shared" ref="G5:G33" si="0">E5*F5</f>
        <v>0</v>
      </c>
      <c r="H5" s="51">
        <v>0</v>
      </c>
      <c r="I5" s="51">
        <v>0</v>
      </c>
      <c r="J5" s="51">
        <f t="shared" ref="J5:J25" si="1">H5*I5</f>
        <v>0</v>
      </c>
      <c r="K5" s="51">
        <f t="shared" ref="K5:K20" si="2">G5+J5</f>
        <v>0</v>
      </c>
      <c r="L5" s="51">
        <f t="shared" ref="L5:L20" si="3">+K5</f>
        <v>0</v>
      </c>
      <c r="M5" s="51"/>
      <c r="N5" s="51"/>
    </row>
    <row r="6" spans="1:14">
      <c r="A6" s="64">
        <v>3</v>
      </c>
      <c r="B6" s="267">
        <v>45719</v>
      </c>
      <c r="C6" s="51">
        <v>0</v>
      </c>
      <c r="D6" s="51"/>
      <c r="E6" s="51">
        <v>0</v>
      </c>
      <c r="F6" s="51">
        <v>0</v>
      </c>
      <c r="G6" s="51">
        <f t="shared" si="0"/>
        <v>0</v>
      </c>
      <c r="H6" s="51">
        <v>0</v>
      </c>
      <c r="I6" s="51">
        <v>0</v>
      </c>
      <c r="J6" s="51">
        <f t="shared" si="1"/>
        <v>0</v>
      </c>
      <c r="K6" s="51">
        <f t="shared" si="2"/>
        <v>0</v>
      </c>
      <c r="L6" s="51">
        <f t="shared" si="3"/>
        <v>0</v>
      </c>
      <c r="M6" s="51"/>
      <c r="N6" s="51"/>
    </row>
    <row r="7" spans="1:14">
      <c r="A7" s="64">
        <v>4</v>
      </c>
      <c r="B7" s="267">
        <v>45720</v>
      </c>
      <c r="C7" s="51">
        <v>0</v>
      </c>
      <c r="D7" s="51"/>
      <c r="E7" s="51">
        <v>0</v>
      </c>
      <c r="F7" s="51">
        <v>0</v>
      </c>
      <c r="G7" s="51">
        <f t="shared" si="0"/>
        <v>0</v>
      </c>
      <c r="H7" s="51">
        <v>0</v>
      </c>
      <c r="I7" s="51">
        <v>0</v>
      </c>
      <c r="J7" s="51">
        <f t="shared" si="1"/>
        <v>0</v>
      </c>
      <c r="K7" s="51">
        <f t="shared" si="2"/>
        <v>0</v>
      </c>
      <c r="L7" s="51">
        <f t="shared" si="3"/>
        <v>0</v>
      </c>
      <c r="M7" s="51"/>
      <c r="N7" s="51"/>
    </row>
    <row r="8" spans="1:14">
      <c r="A8" s="64">
        <v>5</v>
      </c>
      <c r="B8" s="267">
        <v>45721</v>
      </c>
      <c r="C8" s="51">
        <v>0</v>
      </c>
      <c r="D8" s="51"/>
      <c r="E8" s="51">
        <v>0</v>
      </c>
      <c r="F8" s="51">
        <v>0</v>
      </c>
      <c r="G8" s="51">
        <f t="shared" si="0"/>
        <v>0</v>
      </c>
      <c r="H8" s="51">
        <v>5</v>
      </c>
      <c r="I8" s="51">
        <v>103.05</v>
      </c>
      <c r="J8" s="51">
        <f t="shared" si="1"/>
        <v>515.25</v>
      </c>
      <c r="K8" s="51">
        <f t="shared" si="2"/>
        <v>515.25</v>
      </c>
      <c r="L8" s="51">
        <f t="shared" si="3"/>
        <v>515.25</v>
      </c>
      <c r="M8" s="51"/>
      <c r="N8" s="51"/>
    </row>
    <row r="9" spans="1:14">
      <c r="A9" s="64">
        <v>6</v>
      </c>
      <c r="B9" s="267">
        <v>45722</v>
      </c>
      <c r="C9" s="51">
        <v>0</v>
      </c>
      <c r="D9" s="51"/>
      <c r="E9" s="51">
        <v>0</v>
      </c>
      <c r="F9" s="51">
        <v>0</v>
      </c>
      <c r="G9" s="51">
        <f t="shared" si="0"/>
        <v>0</v>
      </c>
      <c r="H9" s="51">
        <v>5</v>
      </c>
      <c r="I9" s="51">
        <v>103.05</v>
      </c>
      <c r="J9" s="51">
        <f t="shared" si="1"/>
        <v>515.25</v>
      </c>
      <c r="K9" s="51">
        <f t="shared" si="2"/>
        <v>515.25</v>
      </c>
      <c r="L9" s="51">
        <f t="shared" si="3"/>
        <v>515.25</v>
      </c>
      <c r="M9" s="51"/>
      <c r="N9" s="51"/>
    </row>
    <row r="10" spans="1:14">
      <c r="A10" s="64">
        <v>7</v>
      </c>
      <c r="B10" s="267">
        <v>45723</v>
      </c>
      <c r="C10" s="51">
        <v>0</v>
      </c>
      <c r="D10" s="51"/>
      <c r="E10" s="51">
        <v>0</v>
      </c>
      <c r="F10" s="51">
        <v>0</v>
      </c>
      <c r="G10" s="51">
        <f t="shared" si="0"/>
        <v>0</v>
      </c>
      <c r="H10" s="51">
        <v>0</v>
      </c>
      <c r="I10" s="51">
        <v>103.05</v>
      </c>
      <c r="J10" s="51">
        <f t="shared" ref="J10" si="4">H10*I10</f>
        <v>0</v>
      </c>
      <c r="K10" s="51">
        <f t="shared" ref="K10" si="5">G10+J10</f>
        <v>0</v>
      </c>
      <c r="L10" s="51">
        <f t="shared" ref="L10" si="6">+K10</f>
        <v>0</v>
      </c>
      <c r="M10" s="51"/>
      <c r="N10" s="51"/>
    </row>
    <row r="11" spans="1:14">
      <c r="A11" s="64">
        <v>8</v>
      </c>
      <c r="B11" s="267">
        <v>45724</v>
      </c>
      <c r="C11" s="51">
        <v>0</v>
      </c>
      <c r="D11" s="51"/>
      <c r="E11" s="51">
        <v>0</v>
      </c>
      <c r="F11" s="51">
        <v>0</v>
      </c>
      <c r="G11" s="51">
        <f t="shared" si="0"/>
        <v>0</v>
      </c>
      <c r="H11" s="51">
        <v>0</v>
      </c>
      <c r="I11" s="51">
        <v>0</v>
      </c>
      <c r="J11" s="51">
        <f t="shared" si="1"/>
        <v>0</v>
      </c>
      <c r="K11" s="51">
        <f t="shared" si="2"/>
        <v>0</v>
      </c>
      <c r="L11" s="51">
        <f t="shared" si="3"/>
        <v>0</v>
      </c>
      <c r="M11" s="51"/>
      <c r="N11" s="51"/>
    </row>
    <row r="12" spans="1:14">
      <c r="A12" s="64">
        <v>9</v>
      </c>
      <c r="B12" s="267">
        <v>45725</v>
      </c>
      <c r="C12" s="51">
        <v>0</v>
      </c>
      <c r="D12" s="51"/>
      <c r="E12" s="51">
        <v>0</v>
      </c>
      <c r="F12" s="51">
        <v>0</v>
      </c>
      <c r="G12" s="51">
        <f t="shared" si="0"/>
        <v>0</v>
      </c>
      <c r="H12" s="51">
        <v>0</v>
      </c>
      <c r="I12" s="51">
        <v>0</v>
      </c>
      <c r="J12" s="51">
        <f t="shared" si="1"/>
        <v>0</v>
      </c>
      <c r="K12" s="51">
        <f t="shared" si="2"/>
        <v>0</v>
      </c>
      <c r="L12" s="51">
        <f t="shared" si="3"/>
        <v>0</v>
      </c>
      <c r="M12" s="51"/>
      <c r="N12" s="51"/>
    </row>
    <row r="13" spans="1:14">
      <c r="A13" s="64">
        <v>10</v>
      </c>
      <c r="B13" s="267">
        <v>45726</v>
      </c>
      <c r="C13" s="51">
        <v>0</v>
      </c>
      <c r="D13" s="51"/>
      <c r="E13" s="51">
        <v>0</v>
      </c>
      <c r="F13" s="51">
        <v>0</v>
      </c>
      <c r="G13" s="51">
        <f t="shared" si="0"/>
        <v>0</v>
      </c>
      <c r="H13" s="51">
        <v>0</v>
      </c>
      <c r="I13" s="51">
        <v>0</v>
      </c>
      <c r="J13" s="51">
        <f t="shared" si="1"/>
        <v>0</v>
      </c>
      <c r="K13" s="51">
        <f t="shared" si="2"/>
        <v>0</v>
      </c>
      <c r="L13" s="51">
        <f t="shared" si="3"/>
        <v>0</v>
      </c>
      <c r="M13" s="51"/>
      <c r="N13" s="51"/>
    </row>
    <row r="14" spans="1:14">
      <c r="A14" s="64">
        <v>11</v>
      </c>
      <c r="B14" s="267">
        <v>45727</v>
      </c>
      <c r="C14" s="51">
        <v>0</v>
      </c>
      <c r="D14" s="51"/>
      <c r="E14" s="51">
        <v>0</v>
      </c>
      <c r="F14" s="51">
        <v>0</v>
      </c>
      <c r="G14" s="51">
        <f t="shared" si="0"/>
        <v>0</v>
      </c>
      <c r="H14" s="51">
        <v>0</v>
      </c>
      <c r="I14" s="51">
        <v>0</v>
      </c>
      <c r="J14" s="51">
        <f t="shared" si="1"/>
        <v>0</v>
      </c>
      <c r="K14" s="51">
        <f t="shared" si="2"/>
        <v>0</v>
      </c>
      <c r="L14" s="51">
        <f t="shared" si="3"/>
        <v>0</v>
      </c>
      <c r="M14" s="51"/>
      <c r="N14" s="51"/>
    </row>
    <row r="15" spans="1:14">
      <c r="A15" s="64">
        <v>12</v>
      </c>
      <c r="B15" s="267">
        <v>45728</v>
      </c>
      <c r="C15" s="51">
        <v>0</v>
      </c>
      <c r="D15" s="51"/>
      <c r="E15" s="51">
        <v>0</v>
      </c>
      <c r="F15" s="51">
        <v>0</v>
      </c>
      <c r="G15" s="51">
        <f t="shared" si="0"/>
        <v>0</v>
      </c>
      <c r="H15" s="51">
        <v>0</v>
      </c>
      <c r="I15" s="51">
        <v>0</v>
      </c>
      <c r="J15" s="51">
        <f t="shared" si="1"/>
        <v>0</v>
      </c>
      <c r="K15" s="51">
        <f t="shared" si="2"/>
        <v>0</v>
      </c>
      <c r="L15" s="51">
        <f t="shared" si="3"/>
        <v>0</v>
      </c>
      <c r="M15" s="51"/>
      <c r="N15" s="51"/>
    </row>
    <row r="16" spans="1:14">
      <c r="A16" s="64">
        <v>13</v>
      </c>
      <c r="B16" s="267">
        <v>45729</v>
      </c>
      <c r="C16" s="51"/>
      <c r="D16" s="51"/>
      <c r="E16" s="51"/>
      <c r="F16" s="51"/>
      <c r="G16" s="51">
        <f t="shared" si="0"/>
        <v>0</v>
      </c>
      <c r="H16" s="51"/>
      <c r="I16" s="51"/>
      <c r="J16" s="51">
        <f t="shared" si="1"/>
        <v>0</v>
      </c>
      <c r="K16" s="51">
        <f t="shared" si="2"/>
        <v>0</v>
      </c>
      <c r="L16" s="51">
        <f t="shared" si="3"/>
        <v>0</v>
      </c>
      <c r="M16" s="51"/>
      <c r="N16" s="51"/>
    </row>
    <row r="17" spans="1:18">
      <c r="A17" s="64">
        <v>14</v>
      </c>
      <c r="B17" s="267">
        <v>45730</v>
      </c>
      <c r="C17" s="51"/>
      <c r="D17" s="51"/>
      <c r="E17" s="51">
        <v>33.65</v>
      </c>
      <c r="F17" s="51">
        <v>89.14</v>
      </c>
      <c r="G17" s="51">
        <f t="shared" si="0"/>
        <v>2999.5609999999997</v>
      </c>
      <c r="H17" s="51">
        <v>10</v>
      </c>
      <c r="I17" s="51">
        <v>103.05</v>
      </c>
      <c r="J17" s="51">
        <f t="shared" si="1"/>
        <v>1030.5</v>
      </c>
      <c r="K17" s="51">
        <f t="shared" si="2"/>
        <v>4030.0609999999997</v>
      </c>
      <c r="L17" s="51">
        <f t="shared" si="3"/>
        <v>4030.0609999999997</v>
      </c>
      <c r="M17" s="51"/>
      <c r="N17" s="51"/>
      <c r="R17" s="330"/>
    </row>
    <row r="18" spans="1:18">
      <c r="A18" s="64">
        <v>15</v>
      </c>
      <c r="B18" s="267">
        <v>45731</v>
      </c>
      <c r="C18" s="51"/>
      <c r="D18" s="51"/>
      <c r="E18" s="51"/>
      <c r="F18" s="51"/>
      <c r="G18" s="51">
        <f t="shared" si="0"/>
        <v>0</v>
      </c>
      <c r="H18" s="51"/>
      <c r="I18" s="51"/>
      <c r="J18" s="51">
        <f t="shared" si="1"/>
        <v>0</v>
      </c>
      <c r="K18" s="51">
        <f t="shared" si="2"/>
        <v>0</v>
      </c>
      <c r="L18" s="51">
        <f t="shared" si="3"/>
        <v>0</v>
      </c>
      <c r="M18" s="51"/>
      <c r="N18" s="51"/>
    </row>
    <row r="19" spans="1:18">
      <c r="A19" s="64">
        <v>16</v>
      </c>
      <c r="B19" s="267">
        <v>45732</v>
      </c>
      <c r="C19" s="51"/>
      <c r="D19" s="51"/>
      <c r="E19" s="51">
        <v>73.66</v>
      </c>
      <c r="F19" s="51">
        <v>89.14</v>
      </c>
      <c r="G19" s="51">
        <f t="shared" si="0"/>
        <v>6566.0523999999996</v>
      </c>
      <c r="H19" s="51"/>
      <c r="I19" s="51"/>
      <c r="J19" s="51">
        <f t="shared" si="1"/>
        <v>0</v>
      </c>
      <c r="K19" s="51">
        <f t="shared" si="2"/>
        <v>6566.0523999999996</v>
      </c>
      <c r="L19" s="51">
        <f t="shared" si="3"/>
        <v>6566.0523999999996</v>
      </c>
      <c r="M19" s="51"/>
      <c r="N19" s="51"/>
    </row>
    <row r="20" spans="1:18">
      <c r="A20" s="64">
        <v>17</v>
      </c>
      <c r="B20" s="267">
        <v>45733</v>
      </c>
      <c r="C20" s="51"/>
      <c r="D20" s="51"/>
      <c r="E20" s="51">
        <v>0</v>
      </c>
      <c r="F20" s="51">
        <v>89.14</v>
      </c>
      <c r="G20" s="51">
        <f t="shared" si="0"/>
        <v>0</v>
      </c>
      <c r="H20" s="51">
        <v>0</v>
      </c>
      <c r="I20" s="51">
        <v>103.05</v>
      </c>
      <c r="J20" s="51">
        <f t="shared" si="1"/>
        <v>0</v>
      </c>
      <c r="K20" s="51">
        <f t="shared" ref="K20:K21" si="7">G20+J20</f>
        <v>0</v>
      </c>
      <c r="L20" s="51">
        <f t="shared" ref="L20:L21" si="8">+K20</f>
        <v>0</v>
      </c>
      <c r="M20" s="51"/>
      <c r="N20" s="51"/>
    </row>
    <row r="21" spans="1:18">
      <c r="A21" s="64">
        <v>18</v>
      </c>
      <c r="B21" s="267">
        <v>45734</v>
      </c>
      <c r="C21" s="51"/>
      <c r="D21" s="51"/>
      <c r="E21" s="51">
        <v>38.65</v>
      </c>
      <c r="F21" s="51">
        <v>89.14</v>
      </c>
      <c r="G21" s="51">
        <f t="shared" si="0"/>
        <v>3445.261</v>
      </c>
      <c r="H21" s="51">
        <v>9.85</v>
      </c>
      <c r="I21" s="51">
        <v>103.05</v>
      </c>
      <c r="J21" s="51">
        <f t="shared" si="1"/>
        <v>1015.0424999999999</v>
      </c>
      <c r="K21" s="51">
        <f>G21+J21</f>
        <v>4460.3035</v>
      </c>
      <c r="L21" s="51">
        <f t="shared" si="8"/>
        <v>4460.3035</v>
      </c>
      <c r="M21" s="51"/>
      <c r="N21" s="51"/>
    </row>
    <row r="22" spans="1:18">
      <c r="A22" s="64">
        <v>19</v>
      </c>
      <c r="B22" s="267">
        <v>45735</v>
      </c>
      <c r="C22" s="51"/>
      <c r="D22" s="51"/>
      <c r="E22" s="51"/>
      <c r="F22" s="51"/>
      <c r="G22" s="51">
        <f t="shared" si="0"/>
        <v>0</v>
      </c>
      <c r="H22" s="51"/>
      <c r="I22" s="51"/>
      <c r="J22" s="51">
        <f t="shared" si="1"/>
        <v>0</v>
      </c>
      <c r="K22" s="51">
        <f t="shared" ref="K22:K25" si="9">G22+J22</f>
        <v>0</v>
      </c>
      <c r="L22" s="51">
        <f t="shared" ref="L22:L25" si="10">+K22</f>
        <v>0</v>
      </c>
      <c r="M22" s="51"/>
      <c r="N22" s="51"/>
    </row>
    <row r="23" spans="1:18">
      <c r="A23" s="64">
        <v>20</v>
      </c>
      <c r="B23" s="267">
        <v>45736</v>
      </c>
      <c r="C23" s="51"/>
      <c r="D23" s="51"/>
      <c r="E23" s="51">
        <v>67.3</v>
      </c>
      <c r="F23" s="51">
        <v>89.14</v>
      </c>
      <c r="G23" s="51">
        <f t="shared" si="0"/>
        <v>5999.1219999999994</v>
      </c>
      <c r="H23" s="51"/>
      <c r="I23" s="51"/>
      <c r="J23" s="51">
        <f t="shared" si="1"/>
        <v>0</v>
      </c>
      <c r="K23" s="51">
        <f t="shared" si="9"/>
        <v>5999.1219999999994</v>
      </c>
      <c r="L23" s="51">
        <f t="shared" si="10"/>
        <v>5999.1219999999994</v>
      </c>
      <c r="M23" s="51"/>
      <c r="N23" s="51"/>
    </row>
    <row r="24" spans="1:18">
      <c r="A24" s="64">
        <v>21</v>
      </c>
      <c r="B24" s="267">
        <v>45737</v>
      </c>
      <c r="C24" s="51"/>
      <c r="D24" s="51"/>
      <c r="E24" s="51"/>
      <c r="F24" s="51"/>
      <c r="G24" s="51">
        <f t="shared" si="0"/>
        <v>0</v>
      </c>
      <c r="H24" s="51">
        <v>5</v>
      </c>
      <c r="I24" s="51">
        <v>103.5</v>
      </c>
      <c r="J24" s="51">
        <f t="shared" si="1"/>
        <v>517.5</v>
      </c>
      <c r="K24" s="51">
        <f t="shared" si="9"/>
        <v>517.5</v>
      </c>
      <c r="L24" s="51">
        <f t="shared" si="10"/>
        <v>517.5</v>
      </c>
      <c r="M24" s="51"/>
      <c r="N24" s="51"/>
    </row>
    <row r="25" spans="1:18">
      <c r="A25" s="64">
        <v>22</v>
      </c>
      <c r="B25" s="267">
        <v>45738</v>
      </c>
      <c r="C25" s="51"/>
      <c r="D25" s="51"/>
      <c r="E25" s="51">
        <v>66.73</v>
      </c>
      <c r="F25" s="51">
        <v>89.14</v>
      </c>
      <c r="G25" s="51">
        <f t="shared" si="0"/>
        <v>5948.3122000000003</v>
      </c>
      <c r="H25" s="51">
        <v>5</v>
      </c>
      <c r="I25" s="51">
        <v>103.5</v>
      </c>
      <c r="J25" s="51">
        <f t="shared" si="1"/>
        <v>517.5</v>
      </c>
      <c r="K25" s="51">
        <f t="shared" si="9"/>
        <v>6465.8122000000003</v>
      </c>
      <c r="L25" s="51">
        <f t="shared" si="10"/>
        <v>6465.8122000000003</v>
      </c>
      <c r="M25" s="51"/>
      <c r="N25" s="51"/>
    </row>
    <row r="26" spans="1:18">
      <c r="A26" s="64">
        <v>23</v>
      </c>
      <c r="B26" s="267">
        <v>45739</v>
      </c>
      <c r="C26" s="51"/>
      <c r="D26" s="51"/>
      <c r="E26" s="51"/>
      <c r="F26" s="51"/>
      <c r="G26" s="51">
        <f t="shared" si="0"/>
        <v>0</v>
      </c>
      <c r="H26" s="51">
        <v>5</v>
      </c>
      <c r="I26" s="51">
        <v>103.5</v>
      </c>
      <c r="J26" s="51">
        <f t="shared" ref="J26:J28" si="11">H26*I26</f>
        <v>517.5</v>
      </c>
      <c r="K26" s="51">
        <f t="shared" ref="K26:K28" si="12">G26+J26</f>
        <v>517.5</v>
      </c>
      <c r="L26" s="51">
        <f t="shared" ref="L26:L30" si="13">+K26</f>
        <v>517.5</v>
      </c>
      <c r="M26" s="51"/>
      <c r="N26" s="51"/>
    </row>
    <row r="27" spans="1:18">
      <c r="A27" s="64">
        <v>24</v>
      </c>
      <c r="B27" s="307">
        <v>45740</v>
      </c>
      <c r="C27" s="287"/>
      <c r="D27" s="287"/>
      <c r="E27" s="287">
        <v>65.209999999999994</v>
      </c>
      <c r="F27" s="287">
        <v>89.14</v>
      </c>
      <c r="G27" s="51">
        <f t="shared" si="0"/>
        <v>5812.8193999999994</v>
      </c>
      <c r="H27" s="287">
        <v>5</v>
      </c>
      <c r="I27" s="51">
        <v>103.5</v>
      </c>
      <c r="J27" s="51">
        <f t="shared" si="11"/>
        <v>517.5</v>
      </c>
      <c r="K27" s="51">
        <f t="shared" si="12"/>
        <v>6330.3193999999994</v>
      </c>
      <c r="L27" s="51">
        <f t="shared" si="13"/>
        <v>6330.3193999999994</v>
      </c>
      <c r="M27" s="287"/>
      <c r="N27" s="287"/>
    </row>
    <row r="28" spans="1:18">
      <c r="A28" s="316">
        <v>25</v>
      </c>
      <c r="B28" s="110">
        <v>45741</v>
      </c>
      <c r="C28" s="51"/>
      <c r="D28" s="51"/>
      <c r="E28" s="51"/>
      <c r="F28" s="51"/>
      <c r="G28" s="51">
        <f t="shared" si="0"/>
        <v>0</v>
      </c>
      <c r="H28" s="51">
        <v>0</v>
      </c>
      <c r="I28" s="51">
        <v>103.5</v>
      </c>
      <c r="J28" s="51">
        <f t="shared" ref="J28:J30" si="14">H28*I28</f>
        <v>0</v>
      </c>
      <c r="K28" s="51">
        <f t="shared" ref="K28:K30" si="15">G28+J28</f>
        <v>0</v>
      </c>
      <c r="L28" s="51">
        <f t="shared" si="13"/>
        <v>0</v>
      </c>
      <c r="M28" s="51"/>
      <c r="N28" s="51"/>
    </row>
    <row r="29" spans="1:18">
      <c r="A29" s="316">
        <v>26</v>
      </c>
      <c r="B29" s="110">
        <v>45742</v>
      </c>
      <c r="C29" s="51"/>
      <c r="D29" s="51"/>
      <c r="E29" s="51">
        <v>19.86</v>
      </c>
      <c r="F29" s="51">
        <v>89.14</v>
      </c>
      <c r="G29" s="51">
        <f t="shared" si="0"/>
        <v>1770.3204000000001</v>
      </c>
      <c r="H29" s="51">
        <v>5</v>
      </c>
      <c r="I29" s="51">
        <v>103.5</v>
      </c>
      <c r="J29" s="51">
        <f t="shared" si="14"/>
        <v>517.5</v>
      </c>
      <c r="K29" s="51">
        <f t="shared" si="15"/>
        <v>2287.8204000000001</v>
      </c>
      <c r="L29" s="51">
        <f t="shared" si="13"/>
        <v>2287.8204000000001</v>
      </c>
      <c r="M29" s="51"/>
      <c r="N29" s="51"/>
    </row>
    <row r="30" spans="1:18">
      <c r="A30" s="316">
        <v>27</v>
      </c>
      <c r="B30" s="110">
        <v>45743</v>
      </c>
      <c r="C30" s="51"/>
      <c r="D30" s="51"/>
      <c r="E30" s="51">
        <v>67.3</v>
      </c>
      <c r="F30" s="51">
        <v>89.14</v>
      </c>
      <c r="G30" s="51">
        <f t="shared" si="0"/>
        <v>5999.1219999999994</v>
      </c>
      <c r="H30" s="51">
        <v>5</v>
      </c>
      <c r="I30" s="51">
        <v>103.5</v>
      </c>
      <c r="J30" s="51">
        <f t="shared" si="14"/>
        <v>517.5</v>
      </c>
      <c r="K30" s="51">
        <f t="shared" si="15"/>
        <v>6516.6219999999994</v>
      </c>
      <c r="L30" s="51">
        <f t="shared" si="13"/>
        <v>6516.6219999999994</v>
      </c>
      <c r="M30" s="51"/>
      <c r="N30" s="51"/>
    </row>
    <row r="31" spans="1:18">
      <c r="A31" s="316">
        <v>28</v>
      </c>
      <c r="B31" s="110">
        <v>45744</v>
      </c>
      <c r="C31" s="51"/>
      <c r="D31" s="51"/>
      <c r="E31" s="51"/>
      <c r="F31" s="51"/>
      <c r="G31" s="51">
        <f t="shared" si="0"/>
        <v>0</v>
      </c>
      <c r="H31" s="51"/>
      <c r="I31" s="51"/>
      <c r="J31" s="51">
        <f t="shared" ref="J31:J34" si="16">H31*I31</f>
        <v>0</v>
      </c>
      <c r="K31" s="51">
        <f t="shared" ref="K31:K34" si="17">G31+J31</f>
        <v>0</v>
      </c>
      <c r="L31" s="51">
        <f t="shared" ref="L31:L34" si="18">+K31</f>
        <v>0</v>
      </c>
      <c r="M31" s="51"/>
      <c r="N31" s="51"/>
    </row>
    <row r="32" spans="1:18">
      <c r="A32" s="317">
        <v>29</v>
      </c>
      <c r="B32" s="110">
        <v>45745</v>
      </c>
      <c r="C32" s="51"/>
      <c r="D32" s="51"/>
      <c r="E32" s="51"/>
      <c r="F32" s="51"/>
      <c r="G32" s="51">
        <f t="shared" si="0"/>
        <v>0</v>
      </c>
      <c r="H32" s="51"/>
      <c r="I32" s="51"/>
      <c r="J32" s="51">
        <f t="shared" si="16"/>
        <v>0</v>
      </c>
      <c r="K32" s="51">
        <f t="shared" si="17"/>
        <v>0</v>
      </c>
      <c r="L32" s="51">
        <f t="shared" si="18"/>
        <v>0</v>
      </c>
      <c r="M32" s="51"/>
      <c r="N32" s="51"/>
    </row>
    <row r="33" spans="1:14">
      <c r="A33" s="317">
        <v>30</v>
      </c>
      <c r="B33" s="110">
        <v>45746</v>
      </c>
      <c r="C33" s="51"/>
      <c r="D33" s="51"/>
      <c r="E33" s="51">
        <v>56.09</v>
      </c>
      <c r="F33" s="51">
        <v>89.14</v>
      </c>
      <c r="G33" s="51">
        <f t="shared" si="0"/>
        <v>4999.8626000000004</v>
      </c>
      <c r="H33" s="51"/>
      <c r="I33" s="51"/>
      <c r="J33" s="51">
        <f t="shared" si="16"/>
        <v>0</v>
      </c>
      <c r="K33" s="51">
        <f t="shared" si="17"/>
        <v>4999.8626000000004</v>
      </c>
      <c r="L33" s="51">
        <f t="shared" si="18"/>
        <v>4999.8626000000004</v>
      </c>
      <c r="M33" s="51"/>
      <c r="N33" s="51"/>
    </row>
    <row r="34" spans="1:14">
      <c r="A34" s="317">
        <v>31</v>
      </c>
      <c r="B34" s="110">
        <v>45747</v>
      </c>
      <c r="C34" s="51"/>
      <c r="D34" s="51"/>
      <c r="E34" s="51"/>
      <c r="F34" s="51"/>
      <c r="G34" s="51"/>
      <c r="H34" s="51">
        <v>5</v>
      </c>
      <c r="I34" s="51">
        <v>103.5</v>
      </c>
      <c r="J34" s="51">
        <f t="shared" si="16"/>
        <v>517.5</v>
      </c>
      <c r="K34" s="51">
        <f t="shared" si="17"/>
        <v>517.5</v>
      </c>
      <c r="L34" s="51">
        <f t="shared" si="18"/>
        <v>517.5</v>
      </c>
      <c r="M34" s="51"/>
      <c r="N34" s="51"/>
    </row>
    <row r="35" spans="1:14">
      <c r="A35" s="227"/>
      <c r="B35" s="227"/>
      <c r="C35" s="227"/>
      <c r="D35" s="227"/>
      <c r="E35" s="227">
        <f>SUM(E4:E34)</f>
        <v>488.45000000000005</v>
      </c>
      <c r="F35" s="227"/>
      <c r="G35" s="227">
        <f>SUM(G4:G34)</f>
        <v>43540.432999999997</v>
      </c>
      <c r="H35" s="227">
        <f>SUM(H4:H34)</f>
        <v>64.849999999999994</v>
      </c>
      <c r="I35" s="227"/>
      <c r="J35" s="227">
        <f>SUM(J4:J34)</f>
        <v>6698.5424999999996</v>
      </c>
      <c r="K35" s="227">
        <f>SUM(K4:K34)</f>
        <v>50238.975499999993</v>
      </c>
      <c r="L35" s="227">
        <f>SUM(L4:L34)</f>
        <v>50238.975499999993</v>
      </c>
      <c r="M35" s="227"/>
      <c r="N35" s="227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46D91-1F13-477B-A610-F4DB0E64F2F7}">
  <sheetPr>
    <tabColor rgb="FF002060"/>
  </sheetPr>
  <dimension ref="A1:P35"/>
  <sheetViews>
    <sheetView workbookViewId="0">
      <selection activeCell="R7" sqref="R7"/>
    </sheetView>
  </sheetViews>
  <sheetFormatPr defaultRowHeight="15"/>
  <cols>
    <col min="2" max="2" width="16" customWidth="1"/>
    <col min="5" max="5" width="21" customWidth="1"/>
    <col min="13" max="13" width="15" customWidth="1"/>
  </cols>
  <sheetData>
    <row r="1" spans="1:16" ht="15.75">
      <c r="A1" s="409" t="s">
        <v>75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  <c r="O1" s="409"/>
      <c r="P1" s="24"/>
    </row>
    <row r="2" spans="1:16" ht="30.75">
      <c r="A2" s="151" t="s">
        <v>91</v>
      </c>
      <c r="B2" s="290" t="s">
        <v>92</v>
      </c>
      <c r="C2" s="290"/>
      <c r="D2" s="290" t="s">
        <v>93</v>
      </c>
      <c r="E2" s="290" t="s">
        <v>165</v>
      </c>
      <c r="F2" s="290" t="s">
        <v>95</v>
      </c>
      <c r="G2" s="290" t="s">
        <v>96</v>
      </c>
      <c r="H2" s="290" t="s">
        <v>97</v>
      </c>
      <c r="I2" s="290" t="s">
        <v>98</v>
      </c>
      <c r="J2" s="290" t="s">
        <v>96</v>
      </c>
      <c r="K2" s="290" t="s">
        <v>97</v>
      </c>
      <c r="L2" s="217" t="s">
        <v>99</v>
      </c>
      <c r="M2" s="217" t="s">
        <v>100</v>
      </c>
      <c r="N2" s="217" t="s">
        <v>101</v>
      </c>
      <c r="O2" s="290" t="s">
        <v>102</v>
      </c>
      <c r="P2" s="24"/>
    </row>
    <row r="3" spans="1:16">
      <c r="A3" s="410" t="s">
        <v>103</v>
      </c>
      <c r="B3" s="410"/>
      <c r="C3" s="410"/>
      <c r="D3" s="410"/>
      <c r="E3" s="410"/>
      <c r="F3" s="410"/>
      <c r="G3" s="410"/>
      <c r="H3" s="410"/>
      <c r="I3" s="410"/>
      <c r="J3" s="410"/>
      <c r="K3" s="410"/>
      <c r="L3" s="410"/>
      <c r="M3" s="410"/>
      <c r="N3" s="410" t="s">
        <v>168</v>
      </c>
      <c r="O3" s="410"/>
      <c r="P3" s="24"/>
    </row>
    <row r="4" spans="1:16">
      <c r="A4" s="257">
        <v>1</v>
      </c>
      <c r="B4" s="314">
        <v>45717</v>
      </c>
      <c r="C4" s="314"/>
      <c r="D4" s="51">
        <v>0</v>
      </c>
      <c r="E4" s="51"/>
      <c r="F4" s="51">
        <v>0</v>
      </c>
      <c r="G4" s="51">
        <v>0</v>
      </c>
      <c r="H4" s="51">
        <f>F4*G4</f>
        <v>0</v>
      </c>
      <c r="I4" s="51">
        <v>0</v>
      </c>
      <c r="J4" s="51">
        <v>0</v>
      </c>
      <c r="K4" s="51">
        <f>I4*J4</f>
        <v>0</v>
      </c>
      <c r="L4" s="51">
        <f>H4+K4</f>
        <v>0</v>
      </c>
      <c r="M4" s="51">
        <f>+L4</f>
        <v>0</v>
      </c>
      <c r="N4" s="51"/>
      <c r="O4" s="51"/>
      <c r="P4" s="24"/>
    </row>
    <row r="5" spans="1:16">
      <c r="A5" s="64">
        <v>2</v>
      </c>
      <c r="B5" s="267">
        <v>45718</v>
      </c>
      <c r="C5" s="267"/>
      <c r="D5" s="51">
        <v>0</v>
      </c>
      <c r="E5" s="51"/>
      <c r="F5" s="51">
        <v>0</v>
      </c>
      <c r="G5" s="51">
        <v>0</v>
      </c>
      <c r="H5" s="51">
        <f t="shared" ref="H5:H15" si="0">F5*G5</f>
        <v>0</v>
      </c>
      <c r="I5" s="51">
        <v>0</v>
      </c>
      <c r="J5" s="51">
        <v>0</v>
      </c>
      <c r="K5" s="51">
        <f t="shared" ref="K5:K15" si="1">I5*J5</f>
        <v>0</v>
      </c>
      <c r="L5" s="51">
        <f t="shared" ref="L5:L15" si="2">H5+K5</f>
        <v>0</v>
      </c>
      <c r="M5" s="51">
        <f t="shared" ref="M5:M15" si="3">+L5</f>
        <v>0</v>
      </c>
      <c r="N5" s="51"/>
      <c r="O5" s="51"/>
      <c r="P5" s="24"/>
    </row>
    <row r="6" spans="1:16">
      <c r="A6" s="64">
        <v>3</v>
      </c>
      <c r="B6" s="267">
        <v>45719</v>
      </c>
      <c r="C6" s="267"/>
      <c r="D6" s="51">
        <v>0</v>
      </c>
      <c r="E6" s="51"/>
      <c r="F6" s="51">
        <v>30</v>
      </c>
      <c r="G6" s="51">
        <v>89.73</v>
      </c>
      <c r="H6" s="51">
        <f t="shared" si="0"/>
        <v>2691.9</v>
      </c>
      <c r="I6" s="51">
        <v>0</v>
      </c>
      <c r="J6" s="51">
        <v>0</v>
      </c>
      <c r="K6" s="51">
        <f t="shared" si="1"/>
        <v>0</v>
      </c>
      <c r="L6" s="51">
        <f t="shared" si="2"/>
        <v>2691.9</v>
      </c>
      <c r="M6" s="51">
        <f t="shared" si="3"/>
        <v>2691.9</v>
      </c>
      <c r="N6" s="51"/>
      <c r="O6" s="51"/>
      <c r="P6" s="24"/>
    </row>
    <row r="7" spans="1:16">
      <c r="A7" s="64">
        <v>4</v>
      </c>
      <c r="B7" s="267">
        <v>45720</v>
      </c>
      <c r="C7" s="267"/>
      <c r="D7" s="51">
        <v>0</v>
      </c>
      <c r="E7" s="51"/>
      <c r="F7" s="51">
        <v>143.79</v>
      </c>
      <c r="G7" s="51">
        <v>89.73</v>
      </c>
      <c r="H7" s="51">
        <f t="shared" si="0"/>
        <v>12902.2767</v>
      </c>
      <c r="I7" s="51">
        <v>0</v>
      </c>
      <c r="J7" s="51">
        <v>0</v>
      </c>
      <c r="K7" s="51">
        <f t="shared" si="1"/>
        <v>0</v>
      </c>
      <c r="L7" s="51">
        <f t="shared" si="2"/>
        <v>12902.2767</v>
      </c>
      <c r="M7" s="51">
        <f t="shared" si="3"/>
        <v>12902.2767</v>
      </c>
      <c r="N7" s="51"/>
      <c r="O7" s="51"/>
      <c r="P7" s="24"/>
    </row>
    <row r="8" spans="1:16">
      <c r="A8" s="64">
        <v>5</v>
      </c>
      <c r="B8" s="267">
        <v>45721</v>
      </c>
      <c r="C8" s="267"/>
      <c r="D8" s="51">
        <v>0</v>
      </c>
      <c r="E8" s="51"/>
      <c r="F8" s="51">
        <v>50</v>
      </c>
      <c r="G8" s="51">
        <v>89.73</v>
      </c>
      <c r="H8" s="51">
        <f t="shared" si="0"/>
        <v>4486.5</v>
      </c>
      <c r="I8" s="51">
        <v>0</v>
      </c>
      <c r="J8" s="51">
        <v>0</v>
      </c>
      <c r="K8" s="51">
        <f t="shared" si="1"/>
        <v>0</v>
      </c>
      <c r="L8" s="51">
        <f t="shared" si="2"/>
        <v>4486.5</v>
      </c>
      <c r="M8" s="51">
        <f t="shared" si="3"/>
        <v>4486.5</v>
      </c>
      <c r="N8" s="51"/>
      <c r="O8" s="51"/>
      <c r="P8" s="24"/>
    </row>
    <row r="9" spans="1:16">
      <c r="A9" s="64">
        <v>6</v>
      </c>
      <c r="B9" s="267">
        <v>45722</v>
      </c>
      <c r="C9" s="267"/>
      <c r="D9" s="51">
        <v>0</v>
      </c>
      <c r="E9" s="51"/>
      <c r="F9" s="51">
        <v>0</v>
      </c>
      <c r="G9" s="51">
        <v>0</v>
      </c>
      <c r="H9" s="51">
        <f t="shared" si="0"/>
        <v>0</v>
      </c>
      <c r="I9" s="51">
        <v>0</v>
      </c>
      <c r="J9" s="51">
        <v>0</v>
      </c>
      <c r="K9" s="51">
        <f t="shared" si="1"/>
        <v>0</v>
      </c>
      <c r="L9" s="51">
        <f t="shared" si="2"/>
        <v>0</v>
      </c>
      <c r="M9" s="51">
        <f t="shared" si="3"/>
        <v>0</v>
      </c>
      <c r="N9" s="51"/>
      <c r="O9" s="51"/>
      <c r="P9" s="24"/>
    </row>
    <row r="10" spans="1:16">
      <c r="A10" s="64">
        <v>7</v>
      </c>
      <c r="B10" s="267">
        <v>45723</v>
      </c>
      <c r="C10" s="267"/>
      <c r="D10" s="51">
        <v>0</v>
      </c>
      <c r="E10" s="51"/>
      <c r="F10" s="51">
        <v>0</v>
      </c>
      <c r="G10" s="51">
        <v>0</v>
      </c>
      <c r="H10" s="51">
        <f t="shared" si="0"/>
        <v>0</v>
      </c>
      <c r="I10" s="51">
        <v>0</v>
      </c>
      <c r="J10" s="51">
        <v>0</v>
      </c>
      <c r="K10" s="51">
        <f t="shared" si="1"/>
        <v>0</v>
      </c>
      <c r="L10" s="51">
        <f t="shared" si="2"/>
        <v>0</v>
      </c>
      <c r="M10" s="51">
        <f t="shared" si="3"/>
        <v>0</v>
      </c>
      <c r="N10" s="51"/>
      <c r="O10" s="51"/>
      <c r="P10" s="24"/>
    </row>
    <row r="11" spans="1:16">
      <c r="A11" s="64">
        <v>8</v>
      </c>
      <c r="B11" s="267">
        <v>45724</v>
      </c>
      <c r="C11" s="267"/>
      <c r="D11" s="51">
        <v>0</v>
      </c>
      <c r="E11" s="51"/>
      <c r="F11" s="51">
        <v>0</v>
      </c>
      <c r="G11" s="51">
        <v>0</v>
      </c>
      <c r="H11" s="51">
        <f t="shared" si="0"/>
        <v>0</v>
      </c>
      <c r="I11" s="51">
        <v>0</v>
      </c>
      <c r="J11" s="51">
        <v>0</v>
      </c>
      <c r="K11" s="51">
        <f t="shared" si="1"/>
        <v>0</v>
      </c>
      <c r="L11" s="51">
        <f t="shared" si="2"/>
        <v>0</v>
      </c>
      <c r="M11" s="51">
        <f t="shared" si="3"/>
        <v>0</v>
      </c>
      <c r="N11" s="51"/>
      <c r="O11" s="51"/>
      <c r="P11" s="24"/>
    </row>
    <row r="12" spans="1:16">
      <c r="A12" s="64">
        <v>9</v>
      </c>
      <c r="B12" s="267">
        <v>45725</v>
      </c>
      <c r="C12" s="267"/>
      <c r="D12" s="51">
        <v>0</v>
      </c>
      <c r="E12" s="51"/>
      <c r="F12" s="51">
        <v>0</v>
      </c>
      <c r="G12" s="51">
        <v>0</v>
      </c>
      <c r="H12" s="51">
        <f t="shared" si="0"/>
        <v>0</v>
      </c>
      <c r="I12" s="51">
        <v>0</v>
      </c>
      <c r="J12" s="51">
        <v>0</v>
      </c>
      <c r="K12" s="51">
        <f t="shared" si="1"/>
        <v>0</v>
      </c>
      <c r="L12" s="51">
        <f t="shared" si="2"/>
        <v>0</v>
      </c>
      <c r="M12" s="51">
        <f t="shared" si="3"/>
        <v>0</v>
      </c>
      <c r="N12" s="51"/>
      <c r="O12" s="51"/>
      <c r="P12" s="24"/>
    </row>
    <row r="13" spans="1:16">
      <c r="A13" s="64">
        <v>10</v>
      </c>
      <c r="B13" s="267">
        <v>45726</v>
      </c>
      <c r="C13" s="267"/>
      <c r="D13" s="51">
        <v>0</v>
      </c>
      <c r="E13" s="51"/>
      <c r="F13" s="51">
        <v>0</v>
      </c>
      <c r="G13" s="51">
        <v>0</v>
      </c>
      <c r="H13" s="51">
        <f t="shared" si="0"/>
        <v>0</v>
      </c>
      <c r="I13" s="51">
        <v>0</v>
      </c>
      <c r="J13" s="51">
        <v>0</v>
      </c>
      <c r="K13" s="51">
        <f t="shared" si="1"/>
        <v>0</v>
      </c>
      <c r="L13" s="51">
        <f t="shared" si="2"/>
        <v>0</v>
      </c>
      <c r="M13" s="51">
        <f t="shared" si="3"/>
        <v>0</v>
      </c>
      <c r="N13" s="51"/>
      <c r="O13" s="51"/>
      <c r="P13" s="24"/>
    </row>
    <row r="14" spans="1:16">
      <c r="A14" s="64">
        <v>11</v>
      </c>
      <c r="B14" s="267">
        <v>45727</v>
      </c>
      <c r="C14" s="267"/>
      <c r="D14" s="51">
        <v>0</v>
      </c>
      <c r="E14" s="51"/>
      <c r="F14" s="51">
        <v>0</v>
      </c>
      <c r="G14" s="51">
        <v>0</v>
      </c>
      <c r="H14" s="51">
        <f t="shared" si="0"/>
        <v>0</v>
      </c>
      <c r="I14" s="51">
        <v>0</v>
      </c>
      <c r="J14" s="51">
        <v>0</v>
      </c>
      <c r="K14" s="51">
        <f t="shared" si="1"/>
        <v>0</v>
      </c>
      <c r="L14" s="51">
        <f t="shared" si="2"/>
        <v>0</v>
      </c>
      <c r="M14" s="51">
        <f t="shared" si="3"/>
        <v>0</v>
      </c>
      <c r="N14" s="51"/>
      <c r="O14" s="51"/>
      <c r="P14" s="24"/>
    </row>
    <row r="15" spans="1:16">
      <c r="A15" s="64">
        <v>12</v>
      </c>
      <c r="B15" s="267">
        <v>45728</v>
      </c>
      <c r="C15" s="267"/>
      <c r="D15" s="51">
        <v>0</v>
      </c>
      <c r="E15" s="51"/>
      <c r="F15" s="51">
        <v>50</v>
      </c>
      <c r="G15" s="51">
        <v>89.73</v>
      </c>
      <c r="H15" s="51">
        <f t="shared" si="0"/>
        <v>4486.5</v>
      </c>
      <c r="I15" s="51">
        <v>0</v>
      </c>
      <c r="J15" s="51">
        <v>0</v>
      </c>
      <c r="K15" s="51">
        <f t="shared" si="1"/>
        <v>0</v>
      </c>
      <c r="L15" s="51">
        <f t="shared" si="2"/>
        <v>4486.5</v>
      </c>
      <c r="M15" s="51">
        <f t="shared" si="3"/>
        <v>4486.5</v>
      </c>
      <c r="N15" s="51"/>
      <c r="O15" s="51"/>
      <c r="P15" s="24"/>
    </row>
    <row r="16" spans="1:16">
      <c r="A16" s="64">
        <v>13</v>
      </c>
      <c r="B16" s="267">
        <v>45729</v>
      </c>
      <c r="C16" s="267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24"/>
    </row>
    <row r="17" spans="1:16">
      <c r="A17" s="64">
        <v>14</v>
      </c>
      <c r="B17" s="267">
        <v>45730</v>
      </c>
      <c r="C17" s="267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24"/>
    </row>
    <row r="18" spans="1:16">
      <c r="A18" s="64">
        <v>15</v>
      </c>
      <c r="B18" s="267">
        <v>45731</v>
      </c>
      <c r="C18" s="267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24"/>
    </row>
    <row r="19" spans="1:16">
      <c r="A19" s="64">
        <v>16</v>
      </c>
      <c r="B19" s="267">
        <v>45732</v>
      </c>
      <c r="C19" s="267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24"/>
    </row>
    <row r="20" spans="1:16">
      <c r="A20" s="64">
        <v>17</v>
      </c>
      <c r="B20" s="267">
        <v>45733</v>
      </c>
      <c r="C20" s="267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24"/>
    </row>
    <row r="21" spans="1:16">
      <c r="A21" s="64">
        <v>18</v>
      </c>
      <c r="B21" s="267">
        <v>45734</v>
      </c>
      <c r="C21" s="267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24"/>
    </row>
    <row r="22" spans="1:16">
      <c r="A22" s="64">
        <v>19</v>
      </c>
      <c r="B22" s="267">
        <v>45735</v>
      </c>
      <c r="C22" s="267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24"/>
    </row>
    <row r="23" spans="1:16">
      <c r="A23" s="64">
        <v>20</v>
      </c>
      <c r="B23" s="267">
        <v>45736</v>
      </c>
      <c r="C23" s="267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24"/>
    </row>
    <row r="24" spans="1:16">
      <c r="A24" s="64">
        <v>21</v>
      </c>
      <c r="B24" s="267">
        <v>45737</v>
      </c>
      <c r="C24" s="267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24"/>
    </row>
    <row r="25" spans="1:16">
      <c r="A25" s="64">
        <v>22</v>
      </c>
      <c r="B25" s="267">
        <v>45738</v>
      </c>
      <c r="C25" s="267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24"/>
    </row>
    <row r="26" spans="1:16">
      <c r="A26" s="64">
        <v>23</v>
      </c>
      <c r="B26" s="267">
        <v>45739</v>
      </c>
      <c r="C26" s="267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24"/>
    </row>
    <row r="27" spans="1:16">
      <c r="A27" s="64">
        <v>24</v>
      </c>
      <c r="B27" s="307">
        <v>45740</v>
      </c>
      <c r="C27" s="307"/>
      <c r="D27" s="287"/>
      <c r="E27" s="287"/>
      <c r="F27" s="287"/>
      <c r="G27" s="287"/>
      <c r="H27" s="287"/>
      <c r="I27" s="287"/>
      <c r="J27" s="287"/>
      <c r="K27" s="287"/>
      <c r="L27" s="287"/>
      <c r="M27" s="287"/>
      <c r="N27" s="287"/>
      <c r="O27" s="287"/>
      <c r="P27" s="24"/>
    </row>
    <row r="28" spans="1:16">
      <c r="A28" s="316">
        <v>25</v>
      </c>
      <c r="B28" s="110">
        <v>45741</v>
      </c>
      <c r="C28" s="110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24"/>
    </row>
    <row r="29" spans="1:16">
      <c r="A29" s="316">
        <v>26</v>
      </c>
      <c r="B29" s="110">
        <v>45742</v>
      </c>
      <c r="C29" s="110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24"/>
    </row>
    <row r="30" spans="1:16">
      <c r="A30" s="316">
        <v>27</v>
      </c>
      <c r="B30" s="110">
        <v>45743</v>
      </c>
      <c r="C30" s="11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24"/>
    </row>
    <row r="31" spans="1:16">
      <c r="A31" s="316">
        <v>28</v>
      </c>
      <c r="B31" s="110">
        <v>45744</v>
      </c>
      <c r="C31" s="110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24"/>
    </row>
    <row r="32" spans="1:16">
      <c r="A32" s="317">
        <v>29</v>
      </c>
      <c r="B32" s="110">
        <v>45745</v>
      </c>
      <c r="C32" s="11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24"/>
    </row>
    <row r="33" spans="1:16">
      <c r="A33" s="317">
        <v>30</v>
      </c>
      <c r="B33" s="110">
        <v>45746</v>
      </c>
      <c r="C33" s="110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24"/>
    </row>
    <row r="34" spans="1:16">
      <c r="A34" s="317">
        <v>31</v>
      </c>
      <c r="B34" s="110">
        <v>45747</v>
      </c>
      <c r="C34" s="110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24"/>
    </row>
    <row r="35" spans="1:16">
      <c r="A35" s="227"/>
      <c r="B35" s="227"/>
      <c r="C35" s="227"/>
      <c r="D35" s="227"/>
      <c r="E35" s="227"/>
      <c r="F35" s="227">
        <f>SUM(F4:F34)</f>
        <v>273.78999999999996</v>
      </c>
      <c r="G35" s="227"/>
      <c r="H35" s="227">
        <f>SUM(H4:H34)</f>
        <v>24567.1767</v>
      </c>
      <c r="I35" s="227">
        <f>SUM(I4:I34)</f>
        <v>0</v>
      </c>
      <c r="J35" s="227"/>
      <c r="K35" s="227">
        <f>SUM(K4:K34)</f>
        <v>0</v>
      </c>
      <c r="L35" s="227">
        <f>SUM(L4:L34)</f>
        <v>24567.1767</v>
      </c>
      <c r="M35" s="227">
        <f>SUM(M4:M34)</f>
        <v>24567.1767</v>
      </c>
      <c r="N35" s="227"/>
      <c r="O35" s="227"/>
      <c r="P35" s="24"/>
    </row>
  </sheetData>
  <mergeCells count="3">
    <mergeCell ref="A1:O1"/>
    <mergeCell ref="A3:M3"/>
    <mergeCell ref="N3:O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9C963-B60D-4715-AD8E-589A10C36850}">
  <sheetPr>
    <tabColor rgb="FF002060"/>
  </sheetPr>
  <dimension ref="A1:N36"/>
  <sheetViews>
    <sheetView workbookViewId="0">
      <selection activeCell="K42" sqref="K42"/>
    </sheetView>
  </sheetViews>
  <sheetFormatPr defaultRowHeight="15"/>
  <cols>
    <col min="2" max="2" width="12.7109375" customWidth="1"/>
    <col min="4" max="4" width="13.7109375" customWidth="1"/>
    <col min="7" max="7" width="15" customWidth="1"/>
    <col min="9" max="9" width="15.28515625" customWidth="1"/>
    <col min="11" max="11" width="12" customWidth="1"/>
    <col min="12" max="12" width="12.5703125" customWidth="1"/>
    <col min="13" max="13" width="13.140625" customWidth="1"/>
  </cols>
  <sheetData>
    <row r="1" spans="1:14" ht="15.75">
      <c r="A1" s="409" t="s">
        <v>71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14" ht="30.75">
      <c r="A2" s="151" t="s">
        <v>91</v>
      </c>
      <c r="B2" s="290" t="s">
        <v>92</v>
      </c>
      <c r="C2" s="290" t="s">
        <v>93</v>
      </c>
      <c r="D2" s="290" t="s">
        <v>165</v>
      </c>
      <c r="E2" s="290" t="s">
        <v>95</v>
      </c>
      <c r="F2" s="290" t="s">
        <v>96</v>
      </c>
      <c r="G2" s="290" t="s">
        <v>97</v>
      </c>
      <c r="H2" s="290" t="s">
        <v>98</v>
      </c>
      <c r="I2" s="290" t="s">
        <v>96</v>
      </c>
      <c r="J2" s="290" t="s">
        <v>97</v>
      </c>
      <c r="K2" s="217" t="s">
        <v>99</v>
      </c>
      <c r="L2" s="217" t="s">
        <v>100</v>
      </c>
      <c r="M2" s="217" t="s">
        <v>101</v>
      </c>
      <c r="N2" s="290" t="s">
        <v>102</v>
      </c>
    </row>
    <row r="3" spans="1:14">
      <c r="A3" s="410" t="s">
        <v>103</v>
      </c>
      <c r="B3" s="410"/>
      <c r="C3" s="410"/>
      <c r="D3" s="410"/>
      <c r="E3" s="410"/>
      <c r="F3" s="410"/>
      <c r="G3" s="410"/>
      <c r="H3" s="410"/>
      <c r="I3" s="410"/>
      <c r="J3" s="410"/>
      <c r="K3" s="410"/>
      <c r="L3" s="410"/>
      <c r="M3" s="410" t="s">
        <v>168</v>
      </c>
      <c r="N3" s="410"/>
    </row>
    <row r="4" spans="1:14">
      <c r="A4" s="257">
        <v>1</v>
      </c>
      <c r="B4" s="314">
        <v>45717</v>
      </c>
      <c r="C4" s="51">
        <v>0</v>
      </c>
      <c r="D4" s="51"/>
      <c r="E4" s="51">
        <v>200</v>
      </c>
      <c r="F4" s="51">
        <v>89.55</v>
      </c>
      <c r="G4" s="51">
        <f>E4*F4</f>
        <v>17910</v>
      </c>
      <c r="H4" s="51">
        <v>5</v>
      </c>
      <c r="I4" s="51">
        <v>103.49</v>
      </c>
      <c r="J4" s="51">
        <f>H4*I4</f>
        <v>517.44999999999993</v>
      </c>
      <c r="K4" s="51">
        <f>G4+J4</f>
        <v>18427.45</v>
      </c>
      <c r="L4" s="51">
        <f>+K4</f>
        <v>18427.45</v>
      </c>
      <c r="M4" s="51"/>
      <c r="N4" s="51"/>
    </row>
    <row r="5" spans="1:14">
      <c r="A5" s="64">
        <v>2</v>
      </c>
      <c r="B5" s="267">
        <v>45718</v>
      </c>
      <c r="C5" s="51">
        <v>0</v>
      </c>
      <c r="D5" s="51"/>
      <c r="E5" s="51">
        <v>450</v>
      </c>
      <c r="F5" s="51">
        <v>89.55</v>
      </c>
      <c r="G5" s="51">
        <f t="shared" ref="G5:G25" si="0">E5*F5</f>
        <v>40297.5</v>
      </c>
      <c r="H5" s="51">
        <v>0</v>
      </c>
      <c r="I5" s="51">
        <v>0</v>
      </c>
      <c r="J5" s="51">
        <f t="shared" ref="J5:J21" si="1">H5*I5</f>
        <v>0</v>
      </c>
      <c r="K5" s="51">
        <f>G5+J5</f>
        <v>40297.5</v>
      </c>
      <c r="L5" s="51">
        <f t="shared" ref="L5:L16" si="2">+K5</f>
        <v>40297.5</v>
      </c>
      <c r="M5" s="51"/>
      <c r="N5" s="51"/>
    </row>
    <row r="6" spans="1:14">
      <c r="A6" s="64">
        <v>3</v>
      </c>
      <c r="B6" s="267">
        <v>45719</v>
      </c>
      <c r="C6" s="51">
        <v>0</v>
      </c>
      <c r="D6" s="51"/>
      <c r="E6" s="51">
        <v>450</v>
      </c>
      <c r="F6" s="51">
        <v>89.55</v>
      </c>
      <c r="G6" s="51">
        <f t="shared" si="0"/>
        <v>40297.5</v>
      </c>
      <c r="H6" s="51">
        <v>5</v>
      </c>
      <c r="I6" s="51">
        <v>103.49</v>
      </c>
      <c r="J6" s="51">
        <f t="shared" si="1"/>
        <v>517.44999999999993</v>
      </c>
      <c r="K6" s="51">
        <f>G6+J6</f>
        <v>40814.949999999997</v>
      </c>
      <c r="L6" s="51">
        <f t="shared" si="2"/>
        <v>40814.949999999997</v>
      </c>
      <c r="M6" s="51"/>
      <c r="N6" s="51"/>
    </row>
    <row r="7" spans="1:14">
      <c r="A7" s="257">
        <v>4</v>
      </c>
      <c r="B7" s="267">
        <v>45720</v>
      </c>
      <c r="C7" s="51">
        <v>0</v>
      </c>
      <c r="D7" s="51"/>
      <c r="E7" s="51">
        <v>775.62</v>
      </c>
      <c r="F7" s="51">
        <v>89.55</v>
      </c>
      <c r="G7" s="51">
        <f t="shared" si="0"/>
        <v>69456.770999999993</v>
      </c>
      <c r="H7" s="51">
        <v>10</v>
      </c>
      <c r="I7" s="51">
        <v>103.49</v>
      </c>
      <c r="J7" s="51">
        <f t="shared" si="1"/>
        <v>1034.8999999999999</v>
      </c>
      <c r="K7" s="51">
        <f>G7+J7</f>
        <v>70491.670999999988</v>
      </c>
      <c r="L7" s="51">
        <f t="shared" si="2"/>
        <v>70491.670999999988</v>
      </c>
      <c r="M7" s="51"/>
      <c r="N7" s="51"/>
    </row>
    <row r="8" spans="1:14">
      <c r="A8" s="64">
        <v>5</v>
      </c>
      <c r="B8" s="267">
        <v>45721</v>
      </c>
      <c r="C8" s="51">
        <v>0</v>
      </c>
      <c r="D8" s="51"/>
      <c r="E8" s="51">
        <v>52.05</v>
      </c>
      <c r="F8" s="51">
        <v>89.55</v>
      </c>
      <c r="G8" s="51">
        <f t="shared" si="0"/>
        <v>4661.0774999999994</v>
      </c>
      <c r="H8" s="51">
        <v>0</v>
      </c>
      <c r="I8" s="51">
        <v>0</v>
      </c>
      <c r="J8" s="51">
        <f t="shared" si="1"/>
        <v>0</v>
      </c>
      <c r="K8" s="51">
        <f>G8+J8</f>
        <v>4661.0774999999994</v>
      </c>
      <c r="L8" s="51">
        <f t="shared" si="2"/>
        <v>4661.0774999999994</v>
      </c>
      <c r="M8" s="51"/>
      <c r="N8" s="51"/>
    </row>
    <row r="9" spans="1:14">
      <c r="A9" s="64">
        <v>6</v>
      </c>
      <c r="B9" s="267">
        <v>45722</v>
      </c>
      <c r="C9" s="51">
        <v>0</v>
      </c>
      <c r="D9" s="51"/>
      <c r="E9" s="51">
        <v>0</v>
      </c>
      <c r="F9" s="51">
        <v>0</v>
      </c>
      <c r="G9" s="51">
        <f t="shared" si="0"/>
        <v>0</v>
      </c>
      <c r="H9" s="51">
        <v>4.83</v>
      </c>
      <c r="I9" s="51">
        <v>103.49</v>
      </c>
      <c r="J9" s="51">
        <f t="shared" si="1"/>
        <v>499.85669999999999</v>
      </c>
      <c r="K9" s="51">
        <f>G9+J9</f>
        <v>499.85669999999999</v>
      </c>
      <c r="L9" s="51">
        <f t="shared" si="2"/>
        <v>499.85669999999999</v>
      </c>
      <c r="M9" s="51"/>
      <c r="N9" s="51"/>
    </row>
    <row r="10" spans="1:14">
      <c r="A10" s="257">
        <v>7</v>
      </c>
      <c r="B10" s="267">
        <v>45723</v>
      </c>
      <c r="C10" s="51">
        <v>0</v>
      </c>
      <c r="D10" s="51"/>
      <c r="E10" s="51">
        <v>130</v>
      </c>
      <c r="F10" s="51">
        <v>89.55</v>
      </c>
      <c r="G10" s="51">
        <f t="shared" si="0"/>
        <v>11641.5</v>
      </c>
      <c r="H10" s="51">
        <v>0</v>
      </c>
      <c r="I10" s="51">
        <v>0</v>
      </c>
      <c r="J10" s="51">
        <f t="shared" si="1"/>
        <v>0</v>
      </c>
      <c r="K10" s="51">
        <f>G10+J10</f>
        <v>11641.5</v>
      </c>
      <c r="L10" s="51">
        <f t="shared" si="2"/>
        <v>11641.5</v>
      </c>
      <c r="M10" s="51"/>
      <c r="N10" s="51"/>
    </row>
    <row r="11" spans="1:14">
      <c r="A11" s="64">
        <v>8</v>
      </c>
      <c r="B11" s="267">
        <v>45724</v>
      </c>
      <c r="C11" s="51">
        <v>0</v>
      </c>
      <c r="D11" s="51"/>
      <c r="E11" s="51">
        <v>370</v>
      </c>
      <c r="F11" s="51">
        <v>89.55</v>
      </c>
      <c r="G11" s="51">
        <f t="shared" si="0"/>
        <v>33133.5</v>
      </c>
      <c r="H11" s="51">
        <v>0</v>
      </c>
      <c r="I11" s="51">
        <v>0</v>
      </c>
      <c r="J11" s="51">
        <f t="shared" si="1"/>
        <v>0</v>
      </c>
      <c r="K11" s="51">
        <f>G11+J11</f>
        <v>33133.5</v>
      </c>
      <c r="L11" s="51">
        <f t="shared" si="2"/>
        <v>33133.5</v>
      </c>
      <c r="M11" s="51"/>
      <c r="N11" s="51"/>
    </row>
    <row r="12" spans="1:14">
      <c r="A12" s="64">
        <v>9</v>
      </c>
      <c r="B12" s="267">
        <v>45725</v>
      </c>
      <c r="C12" s="51">
        <v>0</v>
      </c>
      <c r="D12" s="51"/>
      <c r="E12" s="51">
        <v>0</v>
      </c>
      <c r="F12" s="51">
        <v>89.55</v>
      </c>
      <c r="G12" s="51">
        <f t="shared" si="0"/>
        <v>0</v>
      </c>
      <c r="H12" s="51">
        <v>0</v>
      </c>
      <c r="I12" s="51">
        <v>0</v>
      </c>
      <c r="J12" s="51">
        <f t="shared" si="1"/>
        <v>0</v>
      </c>
      <c r="K12" s="51">
        <f>G12+J12</f>
        <v>0</v>
      </c>
      <c r="L12" s="51">
        <f t="shared" si="2"/>
        <v>0</v>
      </c>
      <c r="M12" s="51"/>
      <c r="N12" s="51"/>
    </row>
    <row r="13" spans="1:14">
      <c r="A13" s="257">
        <v>10</v>
      </c>
      <c r="B13" s="267">
        <v>45726</v>
      </c>
      <c r="C13" s="51">
        <v>0</v>
      </c>
      <c r="D13" s="51"/>
      <c r="E13" s="51">
        <v>90</v>
      </c>
      <c r="F13" s="51">
        <v>89.55</v>
      </c>
      <c r="G13" s="51">
        <f t="shared" si="0"/>
        <v>8059.5</v>
      </c>
      <c r="H13" s="51">
        <v>10</v>
      </c>
      <c r="I13" s="51">
        <v>103.49</v>
      </c>
      <c r="J13" s="51">
        <f t="shared" si="1"/>
        <v>1034.8999999999999</v>
      </c>
      <c r="K13" s="51">
        <f>G13+J13</f>
        <v>9094.4</v>
      </c>
      <c r="L13" s="51">
        <f t="shared" si="2"/>
        <v>9094.4</v>
      </c>
      <c r="M13" s="51"/>
      <c r="N13" s="51"/>
    </row>
    <row r="14" spans="1:14">
      <c r="A14" s="64">
        <v>11</v>
      </c>
      <c r="B14" s="267">
        <v>45726</v>
      </c>
      <c r="C14" s="51">
        <v>0</v>
      </c>
      <c r="D14" s="51"/>
      <c r="E14" s="51">
        <v>150</v>
      </c>
      <c r="F14" s="51">
        <v>89.76</v>
      </c>
      <c r="G14" s="51">
        <f t="shared" si="0"/>
        <v>13464</v>
      </c>
      <c r="H14" s="51">
        <v>0</v>
      </c>
      <c r="I14" s="51">
        <v>0</v>
      </c>
      <c r="J14" s="51">
        <v>0</v>
      </c>
      <c r="K14" s="51">
        <f>G14+J14</f>
        <v>13464</v>
      </c>
      <c r="L14" s="51">
        <f t="shared" si="2"/>
        <v>13464</v>
      </c>
      <c r="M14" s="51"/>
      <c r="N14" s="51"/>
    </row>
    <row r="15" spans="1:14">
      <c r="A15" s="64">
        <v>12</v>
      </c>
      <c r="B15" s="267">
        <v>45727</v>
      </c>
      <c r="C15" s="51">
        <v>0</v>
      </c>
      <c r="D15" s="51"/>
      <c r="E15" s="51">
        <v>155</v>
      </c>
      <c r="F15" s="51">
        <v>89.55</v>
      </c>
      <c r="G15" s="51">
        <f t="shared" si="0"/>
        <v>13880.25</v>
      </c>
      <c r="H15" s="51">
        <v>9</v>
      </c>
      <c r="I15" s="51">
        <v>103.49</v>
      </c>
      <c r="J15" s="51">
        <f t="shared" si="1"/>
        <v>931.41</v>
      </c>
      <c r="K15" s="51">
        <f>G15+J15</f>
        <v>14811.66</v>
      </c>
      <c r="L15" s="51">
        <f t="shared" si="2"/>
        <v>14811.66</v>
      </c>
      <c r="M15" s="51"/>
      <c r="N15" s="51"/>
    </row>
    <row r="16" spans="1:14">
      <c r="A16" s="257">
        <v>13</v>
      </c>
      <c r="B16" s="267">
        <v>45728</v>
      </c>
      <c r="C16" s="51">
        <v>0</v>
      </c>
      <c r="D16" s="51"/>
      <c r="E16" s="51">
        <v>0</v>
      </c>
      <c r="F16" s="51">
        <v>0</v>
      </c>
      <c r="G16" s="51">
        <f t="shared" si="0"/>
        <v>0</v>
      </c>
      <c r="H16" s="51">
        <v>0</v>
      </c>
      <c r="I16" s="51">
        <v>0</v>
      </c>
      <c r="J16" s="51">
        <f t="shared" si="1"/>
        <v>0</v>
      </c>
      <c r="K16" s="51">
        <f>G16+J16</f>
        <v>0</v>
      </c>
      <c r="L16" s="51">
        <f t="shared" ref="L16:L21" si="3">+K16</f>
        <v>0</v>
      </c>
      <c r="M16" s="51"/>
      <c r="N16" s="51"/>
    </row>
    <row r="17" spans="1:14">
      <c r="A17" s="64">
        <v>14</v>
      </c>
      <c r="B17" s="267">
        <v>45729</v>
      </c>
      <c r="C17" s="51"/>
      <c r="D17" s="51"/>
      <c r="E17" s="51">
        <v>0</v>
      </c>
      <c r="F17" s="51">
        <v>0</v>
      </c>
      <c r="G17" s="51">
        <f t="shared" si="0"/>
        <v>0</v>
      </c>
      <c r="H17" s="51">
        <v>0</v>
      </c>
      <c r="I17" s="51">
        <v>0</v>
      </c>
      <c r="J17" s="51">
        <f t="shared" si="1"/>
        <v>0</v>
      </c>
      <c r="K17" s="51">
        <f>G17+J17</f>
        <v>0</v>
      </c>
      <c r="L17" s="51">
        <f t="shared" si="3"/>
        <v>0</v>
      </c>
      <c r="M17" s="51"/>
      <c r="N17" s="51"/>
    </row>
    <row r="18" spans="1:14">
      <c r="A18" s="64">
        <v>15</v>
      </c>
      <c r="B18" s="267">
        <v>45730</v>
      </c>
      <c r="C18" s="51"/>
      <c r="D18" s="51"/>
      <c r="E18" s="51">
        <v>0</v>
      </c>
      <c r="F18" s="51">
        <v>0</v>
      </c>
      <c r="G18" s="51">
        <f t="shared" si="0"/>
        <v>0</v>
      </c>
      <c r="H18" s="51">
        <v>0</v>
      </c>
      <c r="I18" s="51">
        <v>0</v>
      </c>
      <c r="J18" s="51">
        <f t="shared" si="1"/>
        <v>0</v>
      </c>
      <c r="K18" s="51">
        <f>G18+J18</f>
        <v>0</v>
      </c>
      <c r="L18" s="51">
        <f t="shared" si="3"/>
        <v>0</v>
      </c>
      <c r="M18" s="51"/>
      <c r="N18" s="51"/>
    </row>
    <row r="19" spans="1:14">
      <c r="A19" s="257">
        <v>16</v>
      </c>
      <c r="B19" s="267">
        <v>45731</v>
      </c>
      <c r="C19" s="51"/>
      <c r="D19" s="51"/>
      <c r="E19" s="51"/>
      <c r="F19" s="51"/>
      <c r="G19" s="51">
        <f t="shared" si="0"/>
        <v>0</v>
      </c>
      <c r="H19" s="51"/>
      <c r="I19" s="51">
        <v>0</v>
      </c>
      <c r="J19" s="51">
        <f t="shared" si="1"/>
        <v>0</v>
      </c>
      <c r="K19" s="51">
        <f>G19+J19</f>
        <v>0</v>
      </c>
      <c r="L19" s="51">
        <f t="shared" si="3"/>
        <v>0</v>
      </c>
      <c r="M19" s="51"/>
      <c r="N19" s="51"/>
    </row>
    <row r="20" spans="1:14">
      <c r="A20" s="64">
        <v>17</v>
      </c>
      <c r="B20" s="267">
        <v>45732</v>
      </c>
      <c r="C20" s="51"/>
      <c r="D20" s="51"/>
      <c r="E20" s="51"/>
      <c r="F20" s="51"/>
      <c r="G20" s="51">
        <f t="shared" si="0"/>
        <v>0</v>
      </c>
      <c r="H20" s="51"/>
      <c r="I20" s="51">
        <v>0</v>
      </c>
      <c r="J20" s="51">
        <f t="shared" si="1"/>
        <v>0</v>
      </c>
      <c r="K20" s="51">
        <f>G20+J20</f>
        <v>0</v>
      </c>
      <c r="L20" s="51">
        <f t="shared" si="3"/>
        <v>0</v>
      </c>
      <c r="M20" s="51"/>
      <c r="N20" s="51"/>
    </row>
    <row r="21" spans="1:14">
      <c r="A21" s="64">
        <v>18</v>
      </c>
      <c r="B21" s="267">
        <v>45733</v>
      </c>
      <c r="C21" s="51"/>
      <c r="D21" s="51"/>
      <c r="E21" s="51">
        <v>33.020000000000003</v>
      </c>
      <c r="F21" s="51">
        <v>89.55</v>
      </c>
      <c r="G21" s="51">
        <f t="shared" si="0"/>
        <v>2956.9410000000003</v>
      </c>
      <c r="H21" s="51">
        <v>5.24</v>
      </c>
      <c r="I21" s="51">
        <v>103.49</v>
      </c>
      <c r="J21" s="51">
        <f t="shared" si="1"/>
        <v>542.2876</v>
      </c>
      <c r="K21" s="51">
        <f>G21+J21</f>
        <v>3499.2286000000004</v>
      </c>
      <c r="L21" s="51">
        <f t="shared" si="3"/>
        <v>3499.2286000000004</v>
      </c>
      <c r="M21" s="51"/>
      <c r="N21" s="51"/>
    </row>
    <row r="22" spans="1:14">
      <c r="A22" s="257">
        <v>19</v>
      </c>
      <c r="B22" s="267">
        <v>45734</v>
      </c>
      <c r="C22" s="51"/>
      <c r="D22" s="51"/>
      <c r="E22" s="51"/>
      <c r="F22" s="51"/>
      <c r="G22" s="51">
        <f t="shared" si="0"/>
        <v>0</v>
      </c>
      <c r="H22" s="51"/>
      <c r="I22" s="51"/>
      <c r="J22" s="51"/>
      <c r="K22" s="51">
        <f>G22+J22</f>
        <v>0</v>
      </c>
      <c r="L22" s="51">
        <f t="shared" ref="L22:L25" si="4">+K22</f>
        <v>0</v>
      </c>
      <c r="M22" s="51"/>
      <c r="N22" s="51"/>
    </row>
    <row r="23" spans="1:14">
      <c r="A23" s="64">
        <v>20</v>
      </c>
      <c r="B23" s="267">
        <v>45735</v>
      </c>
      <c r="C23" s="51"/>
      <c r="D23" s="51"/>
      <c r="E23" s="51"/>
      <c r="F23" s="51"/>
      <c r="G23" s="51">
        <f t="shared" si="0"/>
        <v>0</v>
      </c>
      <c r="H23" s="51"/>
      <c r="I23" s="51"/>
      <c r="J23" s="51"/>
      <c r="K23" s="51">
        <f>G23+J23</f>
        <v>0</v>
      </c>
      <c r="L23" s="51">
        <f t="shared" si="4"/>
        <v>0</v>
      </c>
      <c r="M23" s="51"/>
      <c r="N23" s="51"/>
    </row>
    <row r="24" spans="1:14">
      <c r="A24" s="64">
        <v>21</v>
      </c>
      <c r="B24" s="267">
        <v>45736</v>
      </c>
      <c r="C24" s="51"/>
      <c r="D24" s="51"/>
      <c r="E24" s="51"/>
      <c r="F24" s="51"/>
      <c r="G24" s="51">
        <f t="shared" si="0"/>
        <v>0</v>
      </c>
      <c r="H24" s="51"/>
      <c r="I24" s="51"/>
      <c r="J24" s="51"/>
      <c r="K24" s="51">
        <f>G24+J24</f>
        <v>0</v>
      </c>
      <c r="L24" s="51">
        <f t="shared" si="4"/>
        <v>0</v>
      </c>
      <c r="M24" s="51"/>
      <c r="N24" s="51"/>
    </row>
    <row r="25" spans="1:14">
      <c r="A25" s="257">
        <v>22</v>
      </c>
      <c r="B25" s="267">
        <v>45737</v>
      </c>
      <c r="C25" s="51"/>
      <c r="D25" s="51"/>
      <c r="E25" s="51">
        <v>33.76</v>
      </c>
      <c r="F25" s="51">
        <v>88.92</v>
      </c>
      <c r="G25" s="51">
        <f t="shared" si="0"/>
        <v>3001.9391999999998</v>
      </c>
      <c r="H25" s="51"/>
      <c r="I25" s="51"/>
      <c r="J25" s="51"/>
      <c r="K25" s="51">
        <f>G25+J25</f>
        <v>3001.9391999999998</v>
      </c>
      <c r="L25" s="51">
        <f t="shared" si="4"/>
        <v>3001.9391999999998</v>
      </c>
      <c r="M25" s="51"/>
      <c r="N25" s="51"/>
    </row>
    <row r="26" spans="1:14">
      <c r="A26" s="64">
        <v>23</v>
      </c>
      <c r="B26" s="267">
        <v>45738</v>
      </c>
      <c r="C26" s="51"/>
      <c r="D26" s="51"/>
      <c r="E26" s="51"/>
      <c r="F26" s="51"/>
      <c r="G26" s="51"/>
      <c r="H26" s="51"/>
      <c r="I26" s="51"/>
      <c r="J26" s="51"/>
      <c r="K26" s="51">
        <f>G26+J26</f>
        <v>0</v>
      </c>
      <c r="L26" s="51"/>
      <c r="M26" s="51"/>
      <c r="N26" s="51"/>
    </row>
    <row r="27" spans="1:14">
      <c r="A27" s="64">
        <v>24</v>
      </c>
      <c r="B27" s="267">
        <v>45739</v>
      </c>
      <c r="C27" s="51"/>
      <c r="D27" s="51"/>
      <c r="E27" s="51"/>
      <c r="F27" s="51"/>
      <c r="G27" s="51"/>
      <c r="H27" s="51"/>
      <c r="I27" s="51"/>
      <c r="J27" s="51"/>
      <c r="K27" s="51">
        <f>G27+J27</f>
        <v>0</v>
      </c>
      <c r="L27" s="51"/>
      <c r="M27" s="51"/>
      <c r="N27" s="51"/>
    </row>
    <row r="28" spans="1:14">
      <c r="A28" s="257">
        <v>25</v>
      </c>
      <c r="B28" s="307">
        <v>45740</v>
      </c>
      <c r="C28" s="287"/>
      <c r="D28" s="287"/>
      <c r="E28" s="287"/>
      <c r="F28" s="287"/>
      <c r="G28" s="287"/>
      <c r="H28" s="287"/>
      <c r="I28" s="287"/>
      <c r="J28" s="287"/>
      <c r="K28" s="51">
        <f>G28+J28</f>
        <v>0</v>
      </c>
      <c r="L28" s="287"/>
      <c r="M28" s="287"/>
      <c r="N28" s="287"/>
    </row>
    <row r="29" spans="1:14">
      <c r="A29" s="64">
        <v>26</v>
      </c>
      <c r="B29" s="110">
        <v>45741</v>
      </c>
      <c r="C29" s="51"/>
      <c r="D29" s="51"/>
      <c r="E29" s="51"/>
      <c r="F29" s="51"/>
      <c r="G29" s="51"/>
      <c r="H29" s="51"/>
      <c r="I29" s="51"/>
      <c r="J29" s="51"/>
      <c r="K29" s="51">
        <f>G29+J29</f>
        <v>0</v>
      </c>
      <c r="L29" s="51"/>
      <c r="M29" s="51"/>
      <c r="N29" s="51"/>
    </row>
    <row r="30" spans="1:14">
      <c r="A30" s="64">
        <v>27</v>
      </c>
      <c r="B30" s="110">
        <v>45742</v>
      </c>
      <c r="C30" s="51"/>
      <c r="D30" s="51"/>
      <c r="E30" s="51"/>
      <c r="F30" s="51"/>
      <c r="G30" s="51"/>
      <c r="H30" s="51"/>
      <c r="I30" s="51"/>
      <c r="J30" s="51"/>
      <c r="K30" s="51">
        <f>G30+J30</f>
        <v>0</v>
      </c>
      <c r="L30" s="51"/>
      <c r="M30" s="51"/>
      <c r="N30" s="51"/>
    </row>
    <row r="31" spans="1:14">
      <c r="A31" s="257">
        <v>28</v>
      </c>
      <c r="B31" s="110">
        <v>45743</v>
      </c>
      <c r="C31" s="51"/>
      <c r="D31" s="51"/>
      <c r="E31" s="51"/>
      <c r="F31" s="51"/>
      <c r="G31" s="51"/>
      <c r="H31" s="51"/>
      <c r="I31" s="51"/>
      <c r="J31" s="51"/>
      <c r="K31" s="51">
        <f>G31+J31</f>
        <v>0</v>
      </c>
      <c r="L31" s="51"/>
      <c r="M31" s="51"/>
      <c r="N31" s="51"/>
    </row>
    <row r="32" spans="1:14">
      <c r="A32" s="64">
        <v>29</v>
      </c>
      <c r="B32" s="110">
        <v>45744</v>
      </c>
      <c r="C32" s="51"/>
      <c r="D32" s="51"/>
      <c r="E32" s="51"/>
      <c r="F32" s="51"/>
      <c r="G32" s="51"/>
      <c r="H32" s="51"/>
      <c r="I32" s="51"/>
      <c r="J32" s="51"/>
      <c r="K32" s="51">
        <f>G32+J32</f>
        <v>0</v>
      </c>
      <c r="L32" s="51"/>
      <c r="M32" s="51"/>
      <c r="N32" s="51"/>
    </row>
    <row r="33" spans="1:14">
      <c r="A33" s="64">
        <v>30</v>
      </c>
      <c r="B33" s="110">
        <v>45745</v>
      </c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</row>
    <row r="34" spans="1:14">
      <c r="A34" s="257">
        <v>31</v>
      </c>
      <c r="B34" s="110">
        <v>45746</v>
      </c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</row>
    <row r="35" spans="1:14">
      <c r="A35" s="64">
        <v>32</v>
      </c>
      <c r="B35" s="110">
        <v>45747</v>
      </c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</row>
    <row r="36" spans="1:14">
      <c r="A36" s="227"/>
      <c r="B36" s="227"/>
      <c r="C36" s="227"/>
      <c r="D36" s="227"/>
      <c r="E36" s="227">
        <f>SUM(E4:E35)</f>
        <v>2889.4500000000003</v>
      </c>
      <c r="F36" s="227"/>
      <c r="G36" s="227">
        <f>SUM(G4:G35)</f>
        <v>258760.47870000001</v>
      </c>
      <c r="H36" s="227">
        <f>SUM(H4:H35)</f>
        <v>49.07</v>
      </c>
      <c r="I36" s="227"/>
      <c r="J36" s="227">
        <f>SUM(J4:J35)</f>
        <v>5078.2542999999987</v>
      </c>
      <c r="K36" s="227">
        <f>SUM(K4:K35)</f>
        <v>263838.73300000001</v>
      </c>
      <c r="L36" s="227">
        <f>SUM(L4:L35)</f>
        <v>263838.73300000001</v>
      </c>
      <c r="M36" s="227"/>
      <c r="N36" s="227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CEE4-190C-4D69-94E4-049C8E7DD053}">
  <dimension ref="A1:N35"/>
  <sheetViews>
    <sheetView workbookViewId="0">
      <pane ySplit="2" topLeftCell="A3" activePane="bottomLeft" state="frozen"/>
      <selection pane="bottomLeft" activeCell="Q42" sqref="Q42"/>
    </sheetView>
  </sheetViews>
  <sheetFormatPr defaultRowHeight="15"/>
  <cols>
    <col min="1" max="1" width="5.140625" style="5" bestFit="1" customWidth="1"/>
    <col min="2" max="2" width="11.5703125" style="5" bestFit="1" customWidth="1"/>
    <col min="3" max="3" width="8" style="5" bestFit="1" customWidth="1"/>
    <col min="4" max="4" width="15.140625" style="5" customWidth="1"/>
    <col min="5" max="5" width="10.7109375" style="5" bestFit="1" customWidth="1"/>
    <col min="6" max="6" width="10.42578125" style="5" bestFit="1" customWidth="1"/>
    <col min="7" max="7" width="9.28515625" style="5" bestFit="1" customWidth="1"/>
    <col min="8" max="8" width="10.7109375" style="5" bestFit="1" customWidth="1"/>
    <col min="9" max="9" width="8" style="5" bestFit="1" customWidth="1"/>
    <col min="10" max="10" width="9.28515625" style="5" bestFit="1" customWidth="1"/>
    <col min="11" max="12" width="13.5703125" style="5" bestFit="1" customWidth="1"/>
    <col min="13" max="13" width="13.5703125" style="5" customWidth="1"/>
    <col min="14" max="14" width="19.7109375" style="5" customWidth="1"/>
    <col min="15" max="16384" width="9.140625" style="5"/>
  </cols>
  <sheetData>
    <row r="1" spans="1:14" ht="15.75" customHeight="1">
      <c r="A1" s="411" t="s">
        <v>55</v>
      </c>
      <c r="B1" s="411"/>
      <c r="C1" s="411"/>
      <c r="D1" s="411"/>
      <c r="E1" s="411"/>
      <c r="F1" s="411"/>
      <c r="G1" s="411"/>
      <c r="H1" s="411"/>
      <c r="I1" s="411"/>
      <c r="J1" s="411"/>
      <c r="K1" s="411"/>
      <c r="L1" s="411"/>
      <c r="M1" s="411"/>
      <c r="N1" s="411"/>
    </row>
    <row r="2" spans="1:14">
      <c r="A2" s="86" t="s">
        <v>91</v>
      </c>
      <c r="B2" s="86" t="s">
        <v>92</v>
      </c>
      <c r="C2" s="86" t="s">
        <v>93</v>
      </c>
      <c r="D2" s="86" t="s">
        <v>94</v>
      </c>
      <c r="E2" s="116" t="s">
        <v>95</v>
      </c>
      <c r="F2" s="116" t="s">
        <v>96</v>
      </c>
      <c r="G2" s="116" t="s">
        <v>97</v>
      </c>
      <c r="H2" s="116" t="s">
        <v>98</v>
      </c>
      <c r="I2" s="116" t="s">
        <v>96</v>
      </c>
      <c r="J2" s="116" t="s">
        <v>97</v>
      </c>
      <c r="K2" s="116" t="s">
        <v>99</v>
      </c>
      <c r="L2" s="109" t="s">
        <v>100</v>
      </c>
      <c r="M2" s="109" t="s">
        <v>101</v>
      </c>
      <c r="N2" s="86" t="s">
        <v>102</v>
      </c>
    </row>
    <row r="3" spans="1:14">
      <c r="A3" s="412" t="s">
        <v>103</v>
      </c>
      <c r="B3" s="412"/>
      <c r="C3" s="412"/>
      <c r="D3" s="412"/>
      <c r="E3" s="412"/>
      <c r="F3" s="412"/>
      <c r="G3" s="412"/>
      <c r="H3" s="412"/>
      <c r="I3" s="412"/>
      <c r="J3" s="412"/>
      <c r="K3" s="220">
        <v>0</v>
      </c>
      <c r="L3" s="127"/>
      <c r="M3" s="127">
        <f>+K3</f>
        <v>0</v>
      </c>
    </row>
    <row r="4" spans="1:14">
      <c r="A4" s="28">
        <v>1</v>
      </c>
      <c r="B4" s="29">
        <v>45717</v>
      </c>
      <c r="C4" s="6"/>
      <c r="D4" s="6"/>
      <c r="E4" s="62">
        <v>60</v>
      </c>
      <c r="F4" s="62">
        <v>89.9</v>
      </c>
      <c r="G4" s="88">
        <f>E4*F4</f>
        <v>5394</v>
      </c>
      <c r="H4" s="62">
        <v>0</v>
      </c>
      <c r="I4" s="62">
        <v>0</v>
      </c>
      <c r="J4" s="88">
        <f>H4*I4</f>
        <v>0</v>
      </c>
      <c r="K4" s="88">
        <f>G4+J4</f>
        <v>5394</v>
      </c>
      <c r="L4" s="88">
        <f>+K4</f>
        <v>5394</v>
      </c>
      <c r="M4" s="88">
        <f>M3+K4-L4</f>
        <v>0</v>
      </c>
      <c r="N4" s="6" t="s">
        <v>170</v>
      </c>
    </row>
    <row r="5" spans="1:14">
      <c r="A5" s="28">
        <v>2</v>
      </c>
      <c r="B5" s="294">
        <v>45718</v>
      </c>
      <c r="C5" s="6"/>
      <c r="D5" s="6"/>
      <c r="E5" s="62">
        <v>0</v>
      </c>
      <c r="F5" s="62">
        <v>0</v>
      </c>
      <c r="G5" s="88">
        <f t="shared" ref="G5:G34" si="0">E5*F5</f>
        <v>0</v>
      </c>
      <c r="H5" s="62">
        <v>0</v>
      </c>
      <c r="I5" s="62">
        <v>0</v>
      </c>
      <c r="J5" s="88">
        <f t="shared" ref="J5:J31" si="1">H5*I5</f>
        <v>0</v>
      </c>
      <c r="K5" s="88">
        <f t="shared" ref="K5:K31" si="2">G5+J5</f>
        <v>0</v>
      </c>
      <c r="L5" s="88">
        <f t="shared" ref="L5:L34" si="3">+K5</f>
        <v>0</v>
      </c>
      <c r="M5" s="88">
        <f t="shared" ref="M5:M31" si="4">M4+K5-L5</f>
        <v>0</v>
      </c>
      <c r="N5" s="6"/>
    </row>
    <row r="6" spans="1:14">
      <c r="A6" s="28">
        <v>3</v>
      </c>
      <c r="B6" s="29">
        <v>45719</v>
      </c>
      <c r="C6" s="6"/>
      <c r="D6" s="6"/>
      <c r="E6" s="62">
        <v>45.84</v>
      </c>
      <c r="F6" s="62">
        <v>89.9</v>
      </c>
      <c r="G6" s="88">
        <f t="shared" si="0"/>
        <v>4121.0160000000005</v>
      </c>
      <c r="H6" s="62">
        <v>0</v>
      </c>
      <c r="I6" s="62">
        <v>0</v>
      </c>
      <c r="J6" s="88">
        <f t="shared" si="1"/>
        <v>0</v>
      </c>
      <c r="K6" s="88">
        <f t="shared" si="2"/>
        <v>4121.0160000000005</v>
      </c>
      <c r="L6" s="88">
        <f t="shared" si="3"/>
        <v>4121.0160000000005</v>
      </c>
      <c r="M6" s="88">
        <f t="shared" si="4"/>
        <v>0</v>
      </c>
      <c r="N6" s="6"/>
    </row>
    <row r="7" spans="1:14">
      <c r="A7" s="28">
        <v>4</v>
      </c>
      <c r="B7" s="294">
        <v>45720</v>
      </c>
      <c r="C7" s="6"/>
      <c r="D7" s="6"/>
      <c r="E7" s="62">
        <v>20</v>
      </c>
      <c r="F7" s="62">
        <v>89.9</v>
      </c>
      <c r="G7" s="88">
        <f t="shared" si="0"/>
        <v>1798</v>
      </c>
      <c r="H7" s="62">
        <v>0</v>
      </c>
      <c r="I7" s="62">
        <v>0</v>
      </c>
      <c r="J7" s="88">
        <f t="shared" si="1"/>
        <v>0</v>
      </c>
      <c r="K7" s="88">
        <f t="shared" si="2"/>
        <v>1798</v>
      </c>
      <c r="L7" s="88">
        <f t="shared" si="3"/>
        <v>1798</v>
      </c>
      <c r="M7" s="88">
        <f t="shared" si="4"/>
        <v>0</v>
      </c>
      <c r="N7" s="6"/>
    </row>
    <row r="8" spans="1:14">
      <c r="A8" s="28">
        <v>5</v>
      </c>
      <c r="B8" s="29">
        <v>45721</v>
      </c>
      <c r="C8" s="6"/>
      <c r="D8" s="6"/>
      <c r="E8" s="62">
        <v>80</v>
      </c>
      <c r="F8" s="62">
        <v>89.9</v>
      </c>
      <c r="G8" s="88">
        <f t="shared" si="0"/>
        <v>7192</v>
      </c>
      <c r="H8" s="62">
        <v>6.16</v>
      </c>
      <c r="I8" s="62">
        <v>103.96</v>
      </c>
      <c r="J8" s="88">
        <f t="shared" si="1"/>
        <v>640.39359999999999</v>
      </c>
      <c r="K8" s="88">
        <f t="shared" si="2"/>
        <v>7832.3936000000003</v>
      </c>
      <c r="L8" s="88">
        <f t="shared" si="3"/>
        <v>7832.3936000000003</v>
      </c>
      <c r="M8" s="88">
        <f t="shared" si="4"/>
        <v>0</v>
      </c>
      <c r="N8" s="6"/>
    </row>
    <row r="9" spans="1:14">
      <c r="A9" s="28">
        <v>6</v>
      </c>
      <c r="B9" s="294">
        <v>45722</v>
      </c>
      <c r="C9" s="6"/>
      <c r="D9" s="6"/>
      <c r="E9" s="62">
        <v>100</v>
      </c>
      <c r="F9" s="62">
        <v>89.9</v>
      </c>
      <c r="G9" s="88">
        <f t="shared" si="0"/>
        <v>8990</v>
      </c>
      <c r="H9" s="62">
        <v>0</v>
      </c>
      <c r="I9" s="62">
        <v>0</v>
      </c>
      <c r="J9" s="88">
        <f t="shared" si="1"/>
        <v>0</v>
      </c>
      <c r="K9" s="88">
        <f t="shared" si="2"/>
        <v>8990</v>
      </c>
      <c r="L9" s="88">
        <f t="shared" si="3"/>
        <v>8990</v>
      </c>
      <c r="M9" s="88">
        <f t="shared" si="4"/>
        <v>0</v>
      </c>
      <c r="N9" s="6"/>
    </row>
    <row r="10" spans="1:14">
      <c r="A10" s="28">
        <v>7</v>
      </c>
      <c r="B10" s="29">
        <v>45723</v>
      </c>
      <c r="C10" s="6"/>
      <c r="D10" s="6"/>
      <c r="E10" s="62">
        <v>88</v>
      </c>
      <c r="F10" s="62">
        <v>89.9</v>
      </c>
      <c r="G10" s="88">
        <f t="shared" si="0"/>
        <v>7911.2000000000007</v>
      </c>
      <c r="H10" s="62">
        <v>0</v>
      </c>
      <c r="I10" s="62">
        <v>0</v>
      </c>
      <c r="J10" s="88">
        <f t="shared" si="1"/>
        <v>0</v>
      </c>
      <c r="K10" s="88">
        <f t="shared" si="2"/>
        <v>7911.2000000000007</v>
      </c>
      <c r="L10" s="88">
        <f t="shared" si="3"/>
        <v>7911.2000000000007</v>
      </c>
      <c r="M10" s="88">
        <f t="shared" si="4"/>
        <v>0</v>
      </c>
      <c r="N10" s="6"/>
    </row>
    <row r="11" spans="1:14">
      <c r="A11" s="28">
        <v>8</v>
      </c>
      <c r="B11" s="294">
        <v>45724</v>
      </c>
      <c r="C11" s="6"/>
      <c r="D11" s="6"/>
      <c r="E11" s="62">
        <v>76.69</v>
      </c>
      <c r="F11" s="62">
        <v>89.9</v>
      </c>
      <c r="G11" s="88">
        <f t="shared" si="0"/>
        <v>6894.4310000000005</v>
      </c>
      <c r="H11" s="62">
        <v>7.7</v>
      </c>
      <c r="I11" s="62">
        <v>103.96</v>
      </c>
      <c r="J11" s="88">
        <f t="shared" si="1"/>
        <v>800.49199999999996</v>
      </c>
      <c r="K11" s="88">
        <f t="shared" si="2"/>
        <v>7694.9230000000007</v>
      </c>
      <c r="L11" s="88">
        <f t="shared" si="3"/>
        <v>7694.9230000000007</v>
      </c>
      <c r="M11" s="88">
        <f t="shared" si="4"/>
        <v>0</v>
      </c>
      <c r="N11" s="6"/>
    </row>
    <row r="12" spans="1:14">
      <c r="A12" s="28">
        <v>9</v>
      </c>
      <c r="B12" s="29">
        <v>45725</v>
      </c>
      <c r="C12" s="6"/>
      <c r="D12" s="6"/>
      <c r="E12" s="62">
        <v>0</v>
      </c>
      <c r="F12" s="62">
        <v>0</v>
      </c>
      <c r="G12" s="88">
        <f t="shared" si="0"/>
        <v>0</v>
      </c>
      <c r="H12" s="62">
        <v>0</v>
      </c>
      <c r="I12" s="62">
        <v>0</v>
      </c>
      <c r="J12" s="88">
        <f t="shared" si="1"/>
        <v>0</v>
      </c>
      <c r="K12" s="88">
        <f t="shared" si="2"/>
        <v>0</v>
      </c>
      <c r="L12" s="88">
        <f t="shared" si="3"/>
        <v>0</v>
      </c>
      <c r="M12" s="88">
        <f t="shared" si="4"/>
        <v>0</v>
      </c>
      <c r="N12" s="6"/>
    </row>
    <row r="13" spans="1:14">
      <c r="A13" s="28">
        <v>10</v>
      </c>
      <c r="B13" s="294">
        <v>45726</v>
      </c>
      <c r="C13" s="6"/>
      <c r="D13" s="6"/>
      <c r="E13" s="62">
        <v>37.76</v>
      </c>
      <c r="F13" s="62">
        <v>89.9</v>
      </c>
      <c r="G13" s="88">
        <f t="shared" si="0"/>
        <v>3394.6240000000003</v>
      </c>
      <c r="H13" s="62">
        <v>0</v>
      </c>
      <c r="I13" s="62">
        <v>0</v>
      </c>
      <c r="J13" s="88">
        <f t="shared" si="1"/>
        <v>0</v>
      </c>
      <c r="K13" s="88">
        <f t="shared" si="2"/>
        <v>3394.6240000000003</v>
      </c>
      <c r="L13" s="88">
        <f t="shared" si="3"/>
        <v>3394.6240000000003</v>
      </c>
      <c r="M13" s="88">
        <f t="shared" si="4"/>
        <v>0</v>
      </c>
      <c r="N13" s="6"/>
    </row>
    <row r="14" spans="1:14">
      <c r="A14" s="28">
        <v>11</v>
      </c>
      <c r="B14" s="29">
        <v>45727</v>
      </c>
      <c r="C14" s="6"/>
      <c r="D14" s="6"/>
      <c r="E14" s="62">
        <v>60</v>
      </c>
      <c r="F14" s="62">
        <v>89.9</v>
      </c>
      <c r="G14" s="88">
        <f t="shared" si="0"/>
        <v>5394</v>
      </c>
      <c r="H14" s="62">
        <v>5.3</v>
      </c>
      <c r="I14" s="62">
        <v>103.96</v>
      </c>
      <c r="J14" s="88">
        <f t="shared" si="1"/>
        <v>550.98799999999994</v>
      </c>
      <c r="K14" s="88">
        <f t="shared" si="2"/>
        <v>5944.9880000000003</v>
      </c>
      <c r="L14" s="88">
        <f t="shared" si="3"/>
        <v>5944.9880000000003</v>
      </c>
      <c r="M14" s="88">
        <f t="shared" si="4"/>
        <v>0</v>
      </c>
      <c r="N14" s="6"/>
    </row>
    <row r="15" spans="1:14">
      <c r="A15" s="28">
        <v>12</v>
      </c>
      <c r="B15" s="294">
        <v>45728</v>
      </c>
      <c r="C15" s="6"/>
      <c r="D15" s="6"/>
      <c r="E15" s="62">
        <v>0</v>
      </c>
      <c r="F15" s="62">
        <v>0</v>
      </c>
      <c r="G15" s="88">
        <f t="shared" si="0"/>
        <v>0</v>
      </c>
      <c r="H15" s="62">
        <v>0</v>
      </c>
      <c r="I15" s="62">
        <v>0</v>
      </c>
      <c r="J15" s="88">
        <f t="shared" si="1"/>
        <v>0</v>
      </c>
      <c r="K15" s="88">
        <f t="shared" si="2"/>
        <v>0</v>
      </c>
      <c r="L15" s="88">
        <f t="shared" si="3"/>
        <v>0</v>
      </c>
      <c r="M15" s="88">
        <f t="shared" si="4"/>
        <v>0</v>
      </c>
      <c r="N15" s="6"/>
    </row>
    <row r="16" spans="1:14">
      <c r="A16" s="28">
        <v>13</v>
      </c>
      <c r="B16" s="29">
        <v>45729</v>
      </c>
      <c r="C16" s="6"/>
      <c r="D16" s="6"/>
      <c r="E16" s="62">
        <v>0</v>
      </c>
      <c r="F16" s="62">
        <v>0</v>
      </c>
      <c r="G16" s="88">
        <f t="shared" si="0"/>
        <v>0</v>
      </c>
      <c r="H16" s="62">
        <v>0</v>
      </c>
      <c r="I16" s="62">
        <v>0</v>
      </c>
      <c r="J16" s="88">
        <f t="shared" si="1"/>
        <v>0</v>
      </c>
      <c r="K16" s="88">
        <f t="shared" si="2"/>
        <v>0</v>
      </c>
      <c r="L16" s="88">
        <f t="shared" si="3"/>
        <v>0</v>
      </c>
      <c r="M16" s="88">
        <f t="shared" si="4"/>
        <v>0</v>
      </c>
      <c r="N16" s="6"/>
    </row>
    <row r="17" spans="1:14">
      <c r="A17" s="28">
        <v>14</v>
      </c>
      <c r="B17" s="294">
        <v>45730</v>
      </c>
      <c r="C17" s="219"/>
      <c r="D17" s="6"/>
      <c r="E17" s="62">
        <v>80</v>
      </c>
      <c r="F17" s="62">
        <v>89.9</v>
      </c>
      <c r="G17" s="88">
        <f t="shared" si="0"/>
        <v>7192</v>
      </c>
      <c r="H17" s="62">
        <v>5</v>
      </c>
      <c r="I17" s="62">
        <v>103.96</v>
      </c>
      <c r="J17" s="88">
        <f t="shared" si="1"/>
        <v>519.79999999999995</v>
      </c>
      <c r="K17" s="88">
        <f t="shared" si="2"/>
        <v>7711.8</v>
      </c>
      <c r="L17" s="88">
        <f t="shared" si="3"/>
        <v>7711.8</v>
      </c>
      <c r="M17" s="88">
        <f t="shared" si="4"/>
        <v>0</v>
      </c>
      <c r="N17" s="6"/>
    </row>
    <row r="18" spans="1:14">
      <c r="A18" s="28">
        <v>15</v>
      </c>
      <c r="B18" s="29">
        <v>45731</v>
      </c>
      <c r="C18" s="219"/>
      <c r="D18" s="6"/>
      <c r="E18" s="62">
        <v>40</v>
      </c>
      <c r="F18" s="62">
        <v>89.9</v>
      </c>
      <c r="G18" s="88">
        <f t="shared" si="0"/>
        <v>3596</v>
      </c>
      <c r="H18" s="62">
        <v>5.85</v>
      </c>
      <c r="I18" s="62">
        <v>103.96</v>
      </c>
      <c r="J18" s="88">
        <f t="shared" si="1"/>
        <v>608.16599999999994</v>
      </c>
      <c r="K18" s="88">
        <f t="shared" si="2"/>
        <v>4204.1660000000002</v>
      </c>
      <c r="L18" s="88">
        <f t="shared" si="3"/>
        <v>4204.1660000000002</v>
      </c>
      <c r="M18" s="88">
        <f t="shared" si="4"/>
        <v>0</v>
      </c>
      <c r="N18" s="6"/>
    </row>
    <row r="19" spans="1:14">
      <c r="A19" s="28">
        <v>16</v>
      </c>
      <c r="B19" s="294">
        <v>45732</v>
      </c>
      <c r="C19" s="219"/>
      <c r="D19" s="6"/>
      <c r="E19" s="62">
        <v>80</v>
      </c>
      <c r="F19" s="62">
        <v>89.9</v>
      </c>
      <c r="G19" s="88">
        <f t="shared" si="0"/>
        <v>7192</v>
      </c>
      <c r="H19" s="62">
        <v>0</v>
      </c>
      <c r="I19" s="62">
        <v>0</v>
      </c>
      <c r="J19" s="88">
        <f t="shared" si="1"/>
        <v>0</v>
      </c>
      <c r="K19" s="88">
        <f t="shared" si="2"/>
        <v>7192</v>
      </c>
      <c r="L19" s="88">
        <f t="shared" si="3"/>
        <v>7192</v>
      </c>
      <c r="M19" s="88">
        <f t="shared" si="4"/>
        <v>0</v>
      </c>
      <c r="N19" s="6"/>
    </row>
    <row r="20" spans="1:14">
      <c r="A20" s="28">
        <v>17</v>
      </c>
      <c r="B20" s="29">
        <v>45733</v>
      </c>
      <c r="C20" s="219"/>
      <c r="D20" s="6"/>
      <c r="E20" s="62">
        <v>33.69</v>
      </c>
      <c r="F20" s="62">
        <v>89.9</v>
      </c>
      <c r="G20" s="88">
        <f t="shared" si="0"/>
        <v>3028.7309999999998</v>
      </c>
      <c r="H20" s="62">
        <v>6.16</v>
      </c>
      <c r="I20" s="62">
        <v>103.96</v>
      </c>
      <c r="J20" s="88">
        <f t="shared" si="1"/>
        <v>640.39359999999999</v>
      </c>
      <c r="K20" s="88">
        <f t="shared" si="2"/>
        <v>3669.1245999999996</v>
      </c>
      <c r="L20" s="88">
        <f t="shared" si="3"/>
        <v>3669.1245999999996</v>
      </c>
      <c r="M20" s="88">
        <f t="shared" si="4"/>
        <v>0</v>
      </c>
      <c r="N20" s="6"/>
    </row>
    <row r="21" spans="1:14">
      <c r="A21" s="28">
        <v>18</v>
      </c>
      <c r="B21" s="294">
        <v>45734</v>
      </c>
      <c r="C21" s="219"/>
      <c r="D21" s="6"/>
      <c r="E21" s="62">
        <v>80</v>
      </c>
      <c r="F21" s="62">
        <v>89.9</v>
      </c>
      <c r="G21" s="88">
        <f t="shared" si="0"/>
        <v>7192</v>
      </c>
      <c r="H21" s="62">
        <v>0</v>
      </c>
      <c r="I21" s="62">
        <v>0</v>
      </c>
      <c r="J21" s="88">
        <f t="shared" si="1"/>
        <v>0</v>
      </c>
      <c r="K21" s="88">
        <f t="shared" si="2"/>
        <v>7192</v>
      </c>
      <c r="L21" s="88">
        <f t="shared" si="3"/>
        <v>7192</v>
      </c>
      <c r="M21" s="88">
        <f t="shared" si="4"/>
        <v>0</v>
      </c>
      <c r="N21" s="6"/>
    </row>
    <row r="22" spans="1:14">
      <c r="A22" s="28">
        <v>19</v>
      </c>
      <c r="B22" s="29">
        <v>45735</v>
      </c>
      <c r="C22" s="219"/>
      <c r="D22" s="6"/>
      <c r="E22" s="62">
        <v>65.69</v>
      </c>
      <c r="F22" s="62">
        <v>89.9</v>
      </c>
      <c r="G22" s="88">
        <f t="shared" si="0"/>
        <v>5905.5309999999999</v>
      </c>
      <c r="H22" s="62">
        <v>0</v>
      </c>
      <c r="I22" s="62">
        <v>0</v>
      </c>
      <c r="J22" s="88">
        <f t="shared" si="1"/>
        <v>0</v>
      </c>
      <c r="K22" s="88">
        <f t="shared" si="2"/>
        <v>5905.5309999999999</v>
      </c>
      <c r="L22" s="88">
        <f t="shared" si="3"/>
        <v>5905.5309999999999</v>
      </c>
      <c r="M22" s="88">
        <f t="shared" si="4"/>
        <v>0</v>
      </c>
      <c r="N22" s="6"/>
    </row>
    <row r="23" spans="1:14">
      <c r="A23" s="28">
        <v>20</v>
      </c>
      <c r="B23" s="294">
        <v>45736</v>
      </c>
      <c r="C23" s="219"/>
      <c r="D23" s="6"/>
      <c r="E23" s="62">
        <v>101.73</v>
      </c>
      <c r="F23" s="62">
        <v>89.9</v>
      </c>
      <c r="G23" s="88">
        <f t="shared" si="0"/>
        <v>9145.527</v>
      </c>
      <c r="H23" s="62">
        <v>5</v>
      </c>
      <c r="I23" s="62">
        <v>103.96</v>
      </c>
      <c r="J23" s="88">
        <f t="shared" si="1"/>
        <v>519.79999999999995</v>
      </c>
      <c r="K23" s="88">
        <f t="shared" si="2"/>
        <v>9665.3269999999993</v>
      </c>
      <c r="L23" s="88">
        <f t="shared" si="3"/>
        <v>9665.3269999999993</v>
      </c>
      <c r="M23" s="88">
        <f t="shared" si="4"/>
        <v>0</v>
      </c>
      <c r="N23" s="6"/>
    </row>
    <row r="24" spans="1:14">
      <c r="A24" s="28">
        <v>21</v>
      </c>
      <c r="B24" s="29">
        <v>45737</v>
      </c>
      <c r="C24" s="219"/>
      <c r="D24" s="6"/>
      <c r="E24" s="62">
        <v>60</v>
      </c>
      <c r="F24" s="62">
        <v>89.9</v>
      </c>
      <c r="G24" s="88">
        <f t="shared" si="0"/>
        <v>5394</v>
      </c>
      <c r="H24" s="62">
        <v>6.26</v>
      </c>
      <c r="I24" s="62">
        <v>103.96</v>
      </c>
      <c r="J24" s="88">
        <f t="shared" si="1"/>
        <v>650.78959999999995</v>
      </c>
      <c r="K24" s="88">
        <f t="shared" si="2"/>
        <v>6044.7896000000001</v>
      </c>
      <c r="L24" s="88">
        <f t="shared" si="3"/>
        <v>6044.7896000000001</v>
      </c>
      <c r="M24" s="88">
        <f t="shared" si="4"/>
        <v>0</v>
      </c>
      <c r="N24" s="6"/>
    </row>
    <row r="25" spans="1:14">
      <c r="A25" s="28">
        <v>22</v>
      </c>
      <c r="B25" s="294">
        <v>45738</v>
      </c>
      <c r="C25" s="219"/>
      <c r="D25" s="6"/>
      <c r="E25" s="62">
        <v>105</v>
      </c>
      <c r="F25" s="62">
        <v>89.9</v>
      </c>
      <c r="G25" s="88">
        <f t="shared" si="0"/>
        <v>9439.5</v>
      </c>
      <c r="H25" s="62">
        <v>0</v>
      </c>
      <c r="I25" s="62">
        <v>0</v>
      </c>
      <c r="J25" s="88">
        <f t="shared" si="1"/>
        <v>0</v>
      </c>
      <c r="K25" s="88">
        <f t="shared" si="2"/>
        <v>9439.5</v>
      </c>
      <c r="L25" s="88">
        <f t="shared" si="3"/>
        <v>9439.5</v>
      </c>
      <c r="M25" s="88">
        <f t="shared" si="4"/>
        <v>0</v>
      </c>
      <c r="N25" s="6"/>
    </row>
    <row r="26" spans="1:14">
      <c r="A26" s="28">
        <v>23</v>
      </c>
      <c r="B26" s="29">
        <v>45739</v>
      </c>
      <c r="C26" s="219"/>
      <c r="D26" s="6"/>
      <c r="E26" s="62">
        <v>78.040000000000006</v>
      </c>
      <c r="F26" s="62">
        <v>89.9</v>
      </c>
      <c r="G26" s="88">
        <f t="shared" si="0"/>
        <v>7015.7960000000012</v>
      </c>
      <c r="H26" s="62">
        <v>0</v>
      </c>
      <c r="I26" s="62">
        <v>0</v>
      </c>
      <c r="J26" s="88">
        <f t="shared" si="1"/>
        <v>0</v>
      </c>
      <c r="K26" s="88">
        <f t="shared" si="2"/>
        <v>7015.7960000000012</v>
      </c>
      <c r="L26" s="88">
        <f t="shared" si="3"/>
        <v>7015.7960000000012</v>
      </c>
      <c r="M26" s="88">
        <f t="shared" si="4"/>
        <v>0</v>
      </c>
      <c r="N26" s="6"/>
    </row>
    <row r="27" spans="1:14">
      <c r="A27" s="28">
        <v>24</v>
      </c>
      <c r="B27" s="294">
        <v>45740</v>
      </c>
      <c r="C27" s="219"/>
      <c r="D27" s="6"/>
      <c r="E27" s="62">
        <v>0</v>
      </c>
      <c r="F27" s="62">
        <v>0</v>
      </c>
      <c r="G27" s="88">
        <f t="shared" si="0"/>
        <v>0</v>
      </c>
      <c r="H27" s="62">
        <v>0</v>
      </c>
      <c r="I27" s="62">
        <v>0</v>
      </c>
      <c r="J27" s="88">
        <f t="shared" si="1"/>
        <v>0</v>
      </c>
      <c r="K27" s="88">
        <f t="shared" si="2"/>
        <v>0</v>
      </c>
      <c r="L27" s="88">
        <f t="shared" si="3"/>
        <v>0</v>
      </c>
      <c r="M27" s="88">
        <f t="shared" si="4"/>
        <v>0</v>
      </c>
      <c r="N27" s="6"/>
    </row>
    <row r="28" spans="1:14">
      <c r="A28" s="28">
        <v>25</v>
      </c>
      <c r="B28" s="29">
        <v>45741</v>
      </c>
      <c r="C28" s="219"/>
      <c r="D28" s="6"/>
      <c r="E28" s="62">
        <v>80</v>
      </c>
      <c r="F28" s="62">
        <v>89.9</v>
      </c>
      <c r="G28" s="88">
        <f t="shared" si="0"/>
        <v>7192</v>
      </c>
      <c r="H28" s="62">
        <v>6.45</v>
      </c>
      <c r="I28" s="62">
        <v>103.96</v>
      </c>
      <c r="J28" s="88">
        <f t="shared" si="1"/>
        <v>670.54200000000003</v>
      </c>
      <c r="K28" s="88">
        <f t="shared" si="2"/>
        <v>7862.5420000000004</v>
      </c>
      <c r="L28" s="88">
        <f t="shared" si="3"/>
        <v>7862.5420000000004</v>
      </c>
      <c r="M28" s="88">
        <f t="shared" si="4"/>
        <v>0</v>
      </c>
      <c r="N28" s="6"/>
    </row>
    <row r="29" spans="1:14">
      <c r="A29" s="28">
        <v>26</v>
      </c>
      <c r="B29" s="294">
        <v>45742</v>
      </c>
      <c r="C29" s="219"/>
      <c r="D29" s="6"/>
      <c r="E29" s="62">
        <v>82.65</v>
      </c>
      <c r="F29" s="62">
        <v>89.9</v>
      </c>
      <c r="G29" s="88">
        <f t="shared" si="0"/>
        <v>7430.2350000000006</v>
      </c>
      <c r="H29" s="62">
        <v>0</v>
      </c>
      <c r="I29" s="62">
        <v>0</v>
      </c>
      <c r="J29" s="88">
        <f t="shared" si="1"/>
        <v>0</v>
      </c>
      <c r="K29" s="88">
        <f t="shared" si="2"/>
        <v>7430.2350000000006</v>
      </c>
      <c r="L29" s="88">
        <f t="shared" si="3"/>
        <v>7430.2350000000006</v>
      </c>
      <c r="M29" s="88">
        <f t="shared" si="4"/>
        <v>0</v>
      </c>
      <c r="N29" s="6"/>
    </row>
    <row r="30" spans="1:14">
      <c r="A30" s="28">
        <v>27</v>
      </c>
      <c r="B30" s="261">
        <v>45743</v>
      </c>
      <c r="C30" s="219"/>
      <c r="D30" s="6"/>
      <c r="E30" s="62">
        <v>0</v>
      </c>
      <c r="F30" s="62">
        <v>0</v>
      </c>
      <c r="G30" s="88">
        <f t="shared" si="0"/>
        <v>0</v>
      </c>
      <c r="H30" s="62">
        <v>0</v>
      </c>
      <c r="I30" s="62">
        <v>0</v>
      </c>
      <c r="J30" s="88">
        <f t="shared" si="1"/>
        <v>0</v>
      </c>
      <c r="K30" s="88">
        <f t="shared" si="2"/>
        <v>0</v>
      </c>
      <c r="L30" s="88">
        <f t="shared" si="3"/>
        <v>0</v>
      </c>
      <c r="M30" s="88">
        <f t="shared" si="4"/>
        <v>0</v>
      </c>
      <c r="N30" s="6"/>
    </row>
    <row r="31" spans="1:14">
      <c r="A31" s="304">
        <v>28</v>
      </c>
      <c r="B31" s="305">
        <v>45744</v>
      </c>
      <c r="C31" s="219"/>
      <c r="D31" s="6"/>
      <c r="E31" s="62">
        <v>50</v>
      </c>
      <c r="F31" s="62">
        <v>89.9</v>
      </c>
      <c r="G31" s="88">
        <f t="shared" si="0"/>
        <v>4495</v>
      </c>
      <c r="H31" s="62">
        <v>0</v>
      </c>
      <c r="I31" s="62">
        <v>0</v>
      </c>
      <c r="J31" s="88">
        <f t="shared" si="1"/>
        <v>0</v>
      </c>
      <c r="K31" s="88">
        <f t="shared" si="2"/>
        <v>4495</v>
      </c>
      <c r="L31" s="88">
        <f t="shared" si="3"/>
        <v>4495</v>
      </c>
      <c r="M31" s="88">
        <f t="shared" si="4"/>
        <v>0</v>
      </c>
      <c r="N31" s="6"/>
    </row>
    <row r="32" spans="1:14">
      <c r="A32" s="28">
        <v>29</v>
      </c>
      <c r="B32" s="29">
        <v>45745</v>
      </c>
      <c r="C32" s="219"/>
      <c r="D32" s="6"/>
      <c r="E32" s="62">
        <v>75.78</v>
      </c>
      <c r="F32" s="62">
        <v>89.9</v>
      </c>
      <c r="G32" s="88">
        <f t="shared" si="0"/>
        <v>6812.6220000000003</v>
      </c>
      <c r="H32" s="62">
        <v>0</v>
      </c>
      <c r="I32" s="62">
        <v>0</v>
      </c>
      <c r="J32" s="88">
        <f t="shared" ref="J32:J34" si="5">H32*I32</f>
        <v>0</v>
      </c>
      <c r="K32" s="88">
        <f t="shared" ref="K32:K34" si="6">G32+J32</f>
        <v>6812.6220000000003</v>
      </c>
      <c r="L32" s="88">
        <f t="shared" si="3"/>
        <v>6812.6220000000003</v>
      </c>
      <c r="M32" s="88">
        <f t="shared" ref="M32:M34" si="7">M31+K32-L32</f>
        <v>0</v>
      </c>
      <c r="N32" s="6"/>
    </row>
    <row r="33" spans="1:14">
      <c r="A33" s="28">
        <v>30</v>
      </c>
      <c r="B33" s="294">
        <v>45746</v>
      </c>
      <c r="C33" s="219"/>
      <c r="D33" s="6"/>
      <c r="E33" s="62">
        <v>65.569999999999993</v>
      </c>
      <c r="F33" s="62">
        <v>89.9</v>
      </c>
      <c r="G33" s="88">
        <f t="shared" si="0"/>
        <v>5894.7429999999995</v>
      </c>
      <c r="H33" s="62">
        <v>5.95</v>
      </c>
      <c r="I33" s="62">
        <v>103.96</v>
      </c>
      <c r="J33" s="88">
        <f t="shared" si="5"/>
        <v>618.56200000000001</v>
      </c>
      <c r="K33" s="88">
        <f t="shared" si="6"/>
        <v>6513.3049999999994</v>
      </c>
      <c r="L33" s="88">
        <f t="shared" si="3"/>
        <v>6513.3049999999994</v>
      </c>
      <c r="M33" s="88">
        <f t="shared" si="7"/>
        <v>0</v>
      </c>
      <c r="N33" s="6"/>
    </row>
    <row r="34" spans="1:14">
      <c r="A34" s="28">
        <v>31</v>
      </c>
      <c r="B34" s="29">
        <v>45747</v>
      </c>
      <c r="C34" s="219"/>
      <c r="D34" s="6"/>
      <c r="E34" s="62">
        <v>40</v>
      </c>
      <c r="F34" s="62">
        <v>89.9</v>
      </c>
      <c r="G34" s="88">
        <f t="shared" si="0"/>
        <v>3596</v>
      </c>
      <c r="H34" s="62">
        <v>7.7</v>
      </c>
      <c r="I34" s="62">
        <v>103.96</v>
      </c>
      <c r="J34" s="88">
        <f t="shared" si="5"/>
        <v>800.49199999999996</v>
      </c>
      <c r="K34" s="88">
        <f t="shared" si="6"/>
        <v>4396.4920000000002</v>
      </c>
      <c r="L34" s="88">
        <f t="shared" si="3"/>
        <v>4396.4920000000002</v>
      </c>
      <c r="M34" s="88">
        <f t="shared" si="7"/>
        <v>0</v>
      </c>
      <c r="N34" s="6"/>
    </row>
    <row r="35" spans="1:14">
      <c r="A35" s="60"/>
      <c r="B35" s="60"/>
      <c r="C35" s="60"/>
      <c r="D35" s="60"/>
      <c r="E35" s="60">
        <f>SUM(E4:E34)</f>
        <v>1686.44</v>
      </c>
      <c r="F35" s="60"/>
      <c r="G35" s="60">
        <f>SUM(G4:G34)</f>
        <v>151610.95600000001</v>
      </c>
      <c r="H35" s="60">
        <f>SUM(H4:H34)</f>
        <v>67.53</v>
      </c>
      <c r="I35" s="60"/>
      <c r="J35" s="60">
        <f>SUM(J4:J34)</f>
        <v>7020.4188000000004</v>
      </c>
      <c r="K35" s="60">
        <f>SUM(K4:K34)</f>
        <v>158631.37479999999</v>
      </c>
      <c r="L35" s="60">
        <f>SUM(L4:L34)</f>
        <v>158631.37479999999</v>
      </c>
      <c r="M35" s="60"/>
      <c r="N35" s="60"/>
    </row>
  </sheetData>
  <mergeCells count="2">
    <mergeCell ref="A1:N1"/>
    <mergeCell ref="A3:J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9188-699F-49A6-A921-AB82083F0E2A}">
  <dimension ref="A1:O44"/>
  <sheetViews>
    <sheetView workbookViewId="0">
      <pane ySplit="2" topLeftCell="A18" activePane="bottomLeft" state="frozen"/>
      <selection pane="bottomLeft" activeCell="G35" sqref="G35"/>
    </sheetView>
  </sheetViews>
  <sheetFormatPr defaultRowHeight="15"/>
  <cols>
    <col min="1" max="1" width="5.140625" style="101" bestFit="1" customWidth="1"/>
    <col min="2" max="2" width="10.85546875" style="101" bestFit="1" customWidth="1"/>
    <col min="3" max="3" width="16" style="101" bestFit="1" customWidth="1"/>
    <col min="4" max="4" width="13.28515625" style="101" bestFit="1" customWidth="1"/>
    <col min="5" max="6" width="10.7109375" style="101" bestFit="1" customWidth="1"/>
    <col min="7" max="7" width="10.85546875" style="101" bestFit="1" customWidth="1"/>
    <col min="8" max="8" width="10.7109375" style="101" bestFit="1" customWidth="1"/>
    <col min="9" max="9" width="7.140625" style="101" bestFit="1" customWidth="1"/>
    <col min="10" max="10" width="9.7109375" style="101" bestFit="1" customWidth="1"/>
    <col min="11" max="12" width="13.5703125" style="101" bestFit="1" customWidth="1"/>
    <col min="13" max="13" width="15" style="101" customWidth="1"/>
    <col min="14" max="14" width="14.28515625" style="101" bestFit="1" customWidth="1"/>
    <col min="15" max="16384" width="9.140625" style="101"/>
  </cols>
  <sheetData>
    <row r="1" spans="1:15" ht="15.75">
      <c r="A1" s="372" t="s">
        <v>49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74"/>
    </row>
    <row r="2" spans="1:15">
      <c r="A2" s="123" t="s">
        <v>91</v>
      </c>
      <c r="B2" s="124" t="s">
        <v>92</v>
      </c>
      <c r="C2" s="124" t="s">
        <v>93</v>
      </c>
      <c r="D2" s="124" t="s">
        <v>165</v>
      </c>
      <c r="E2" s="124" t="s">
        <v>95</v>
      </c>
      <c r="F2" s="124" t="s">
        <v>96</v>
      </c>
      <c r="G2" s="124" t="s">
        <v>97</v>
      </c>
      <c r="H2" s="124" t="s">
        <v>98</v>
      </c>
      <c r="I2" s="124" t="s">
        <v>96</v>
      </c>
      <c r="J2" s="168" t="s">
        <v>97</v>
      </c>
      <c r="K2" s="125" t="s">
        <v>99</v>
      </c>
      <c r="L2" s="169" t="s">
        <v>100</v>
      </c>
      <c r="M2" s="174" t="s">
        <v>101</v>
      </c>
      <c r="N2" s="126" t="s">
        <v>102</v>
      </c>
      <c r="O2" s="81"/>
    </row>
    <row r="3" spans="1:15">
      <c r="A3" s="414" t="s">
        <v>103</v>
      </c>
      <c r="B3" s="415"/>
      <c r="C3" s="415"/>
      <c r="D3" s="415"/>
      <c r="E3" s="415"/>
      <c r="F3" s="415"/>
      <c r="G3" s="415"/>
      <c r="H3" s="415"/>
      <c r="I3" s="415"/>
      <c r="J3" s="416"/>
      <c r="K3" s="276">
        <v>33436.269999999997</v>
      </c>
      <c r="L3" s="249"/>
      <c r="M3" s="185">
        <f>+K3</f>
        <v>33436.269999999997</v>
      </c>
      <c r="N3" s="193"/>
      <c r="O3" s="8"/>
    </row>
    <row r="4" spans="1:15">
      <c r="A4" s="28">
        <v>1</v>
      </c>
      <c r="B4" s="29">
        <v>45717</v>
      </c>
      <c r="C4" s="27"/>
      <c r="D4" s="20"/>
      <c r="E4" s="65">
        <v>0</v>
      </c>
      <c r="F4" s="65">
        <v>0</v>
      </c>
      <c r="G4" s="8">
        <f>E4*F4</f>
        <v>0</v>
      </c>
      <c r="H4" s="65"/>
      <c r="I4" s="65"/>
      <c r="J4" s="8">
        <f>H4*I4</f>
        <v>0</v>
      </c>
      <c r="K4" s="8">
        <f>G4+J4</f>
        <v>0</v>
      </c>
      <c r="L4" s="8"/>
      <c r="M4" s="8">
        <f>M3+K4-L4</f>
        <v>33436.269999999997</v>
      </c>
      <c r="N4" s="8"/>
      <c r="O4" s="81"/>
    </row>
    <row r="5" spans="1:15">
      <c r="A5" s="28">
        <v>2</v>
      </c>
      <c r="B5" s="294">
        <v>45718</v>
      </c>
      <c r="C5" s="27"/>
      <c r="D5" s="20"/>
      <c r="E5" s="65">
        <v>0</v>
      </c>
      <c r="F5" s="65">
        <v>0</v>
      </c>
      <c r="G5" s="8">
        <f t="shared" ref="G5:G34" si="0">E5*F5</f>
        <v>0</v>
      </c>
      <c r="H5" s="65"/>
      <c r="I5" s="65"/>
      <c r="J5" s="8">
        <f t="shared" ref="J5:J34" si="1">H5*I5</f>
        <v>0</v>
      </c>
      <c r="K5" s="8">
        <f t="shared" ref="K5:K34" si="2">G5+J5</f>
        <v>0</v>
      </c>
      <c r="L5" s="8"/>
      <c r="M5" s="8">
        <f t="shared" ref="M5:M16" si="3">M4+K5-L5</f>
        <v>33436.269999999997</v>
      </c>
      <c r="N5" s="8"/>
      <c r="O5" s="81"/>
    </row>
    <row r="6" spans="1:15">
      <c r="A6" s="28">
        <v>3</v>
      </c>
      <c r="B6" s="29">
        <v>45719</v>
      </c>
      <c r="C6" s="27"/>
      <c r="D6" s="20"/>
      <c r="E6" s="65">
        <v>0</v>
      </c>
      <c r="F6" s="65">
        <v>0</v>
      </c>
      <c r="G6" s="8">
        <f t="shared" si="0"/>
        <v>0</v>
      </c>
      <c r="H6" s="65"/>
      <c r="I6" s="65"/>
      <c r="J6" s="8">
        <f t="shared" si="1"/>
        <v>0</v>
      </c>
      <c r="K6" s="8">
        <f t="shared" si="2"/>
        <v>0</v>
      </c>
      <c r="L6" s="8"/>
      <c r="M6" s="8">
        <f t="shared" si="3"/>
        <v>33436.269999999997</v>
      </c>
      <c r="N6" s="8"/>
      <c r="O6" s="81"/>
    </row>
    <row r="7" spans="1:15">
      <c r="A7" s="28">
        <v>4</v>
      </c>
      <c r="B7" s="294">
        <v>45720</v>
      </c>
      <c r="C7" s="27"/>
      <c r="D7" s="20"/>
      <c r="E7" s="65">
        <v>0</v>
      </c>
      <c r="F7" s="65">
        <v>0</v>
      </c>
      <c r="G7" s="8">
        <f t="shared" si="0"/>
        <v>0</v>
      </c>
      <c r="H7" s="65">
        <v>5</v>
      </c>
      <c r="I7" s="65">
        <v>103.73</v>
      </c>
      <c r="J7" s="8">
        <f t="shared" si="1"/>
        <v>518.65</v>
      </c>
      <c r="K7" s="8">
        <f t="shared" si="2"/>
        <v>518.65</v>
      </c>
      <c r="L7" s="8"/>
      <c r="M7" s="8">
        <f t="shared" si="3"/>
        <v>33954.92</v>
      </c>
      <c r="N7" s="8"/>
      <c r="O7" s="81"/>
    </row>
    <row r="8" spans="1:15">
      <c r="A8" s="28">
        <v>5</v>
      </c>
      <c r="B8" s="29">
        <v>45721</v>
      </c>
      <c r="C8" s="27"/>
      <c r="D8" s="20"/>
      <c r="E8" s="65">
        <v>0</v>
      </c>
      <c r="F8" s="65">
        <v>0</v>
      </c>
      <c r="G8" s="8">
        <f t="shared" si="0"/>
        <v>0</v>
      </c>
      <c r="H8" s="65"/>
      <c r="I8" s="65"/>
      <c r="J8" s="8">
        <f t="shared" si="1"/>
        <v>0</v>
      </c>
      <c r="K8" s="8">
        <f t="shared" si="2"/>
        <v>0</v>
      </c>
      <c r="L8" s="8"/>
      <c r="M8" s="8">
        <f t="shared" si="3"/>
        <v>33954.92</v>
      </c>
      <c r="N8" s="8"/>
      <c r="O8" s="81"/>
    </row>
    <row r="9" spans="1:15">
      <c r="A9" s="28">
        <v>6</v>
      </c>
      <c r="B9" s="294">
        <v>45722</v>
      </c>
      <c r="C9" s="27"/>
      <c r="D9" s="20"/>
      <c r="E9" s="65">
        <v>85.69</v>
      </c>
      <c r="F9" s="65">
        <v>89.75</v>
      </c>
      <c r="G9" s="8">
        <f t="shared" si="0"/>
        <v>7690.6774999999998</v>
      </c>
      <c r="H9" s="65"/>
      <c r="I9" s="65"/>
      <c r="J9" s="8">
        <f t="shared" si="1"/>
        <v>0</v>
      </c>
      <c r="K9" s="8">
        <f t="shared" si="2"/>
        <v>7690.6774999999998</v>
      </c>
      <c r="L9" s="8"/>
      <c r="M9" s="8">
        <f t="shared" si="3"/>
        <v>41645.597499999996</v>
      </c>
      <c r="N9" s="8"/>
      <c r="O9" s="81"/>
    </row>
    <row r="10" spans="1:15">
      <c r="A10" s="28">
        <v>7</v>
      </c>
      <c r="B10" s="29">
        <v>45723</v>
      </c>
      <c r="C10" s="27"/>
      <c r="D10" s="20"/>
      <c r="E10" s="65">
        <v>340</v>
      </c>
      <c r="F10" s="65">
        <v>89.75</v>
      </c>
      <c r="G10" s="8">
        <f t="shared" si="0"/>
        <v>30515</v>
      </c>
      <c r="H10" s="65"/>
      <c r="I10" s="65"/>
      <c r="J10" s="8">
        <f t="shared" si="1"/>
        <v>0</v>
      </c>
      <c r="K10" s="8">
        <f t="shared" si="2"/>
        <v>30515</v>
      </c>
      <c r="L10" s="8"/>
      <c r="M10" s="8">
        <f t="shared" si="3"/>
        <v>72160.597500000003</v>
      </c>
      <c r="N10" s="8"/>
      <c r="O10" s="81">
        <v>33436.271499999944</v>
      </c>
    </row>
    <row r="11" spans="1:15">
      <c r="A11" s="28">
        <v>8</v>
      </c>
      <c r="B11" s="294">
        <v>45724</v>
      </c>
      <c r="C11" s="27"/>
      <c r="D11" s="20"/>
      <c r="E11" s="65">
        <v>5</v>
      </c>
      <c r="F11" s="65">
        <v>89.75</v>
      </c>
      <c r="G11" s="8">
        <f t="shared" si="0"/>
        <v>448.75</v>
      </c>
      <c r="H11" s="65">
        <v>5</v>
      </c>
      <c r="I11" s="65">
        <v>103.73</v>
      </c>
      <c r="J11" s="8">
        <f t="shared" si="1"/>
        <v>518.65</v>
      </c>
      <c r="K11" s="8">
        <f t="shared" si="2"/>
        <v>967.4</v>
      </c>
      <c r="L11" s="8"/>
      <c r="M11" s="8">
        <f t="shared" si="3"/>
        <v>73127.997499999998</v>
      </c>
      <c r="N11" s="8"/>
      <c r="O11" s="81"/>
    </row>
    <row r="12" spans="1:15">
      <c r="A12" s="28">
        <v>9</v>
      </c>
      <c r="B12" s="29">
        <v>45725</v>
      </c>
      <c r="C12" s="27"/>
      <c r="D12" s="20"/>
      <c r="E12" s="65">
        <v>5</v>
      </c>
      <c r="F12" s="65">
        <v>89.75</v>
      </c>
      <c r="G12" s="8">
        <f t="shared" si="0"/>
        <v>448.75</v>
      </c>
      <c r="H12" s="65"/>
      <c r="I12" s="65"/>
      <c r="J12" s="8">
        <f t="shared" si="1"/>
        <v>0</v>
      </c>
      <c r="K12" s="8">
        <f t="shared" si="2"/>
        <v>448.75</v>
      </c>
      <c r="L12" s="8"/>
      <c r="M12" s="8">
        <f t="shared" si="3"/>
        <v>73576.747499999998</v>
      </c>
      <c r="N12" s="8"/>
      <c r="O12" s="81"/>
    </row>
    <row r="13" spans="1:15">
      <c r="A13" s="28">
        <v>10</v>
      </c>
      <c r="B13" s="294">
        <v>45726</v>
      </c>
      <c r="C13" s="216"/>
      <c r="D13" s="20"/>
      <c r="E13" s="65">
        <v>0</v>
      </c>
      <c r="F13" s="65">
        <v>89.75</v>
      </c>
      <c r="G13" s="8">
        <f t="shared" si="0"/>
        <v>0</v>
      </c>
      <c r="H13" s="65"/>
      <c r="I13" s="65"/>
      <c r="J13" s="8">
        <f t="shared" si="1"/>
        <v>0</v>
      </c>
      <c r="K13" s="8">
        <f t="shared" si="2"/>
        <v>0</v>
      </c>
      <c r="L13" s="8">
        <v>41645.597499999996</v>
      </c>
      <c r="M13" s="8">
        <f t="shared" si="3"/>
        <v>31931.15</v>
      </c>
      <c r="N13" s="21"/>
      <c r="O13" s="81"/>
    </row>
    <row r="14" spans="1:15">
      <c r="A14" s="28">
        <v>11</v>
      </c>
      <c r="B14" s="29">
        <v>45727</v>
      </c>
      <c r="C14" s="216"/>
      <c r="D14" s="20"/>
      <c r="E14" s="65">
        <v>30</v>
      </c>
      <c r="F14" s="65">
        <v>89.75</v>
      </c>
      <c r="G14" s="8">
        <f t="shared" si="0"/>
        <v>2692.5</v>
      </c>
      <c r="H14" s="65"/>
      <c r="I14" s="65"/>
      <c r="J14" s="8">
        <f t="shared" si="1"/>
        <v>0</v>
      </c>
      <c r="K14" s="8">
        <f t="shared" si="2"/>
        <v>2692.5</v>
      </c>
      <c r="L14" s="8"/>
      <c r="M14" s="8">
        <f t="shared" si="3"/>
        <v>34623.65</v>
      </c>
      <c r="N14" s="21"/>
      <c r="O14" s="81"/>
    </row>
    <row r="15" spans="1:15">
      <c r="A15" s="28">
        <v>12</v>
      </c>
      <c r="B15" s="294">
        <v>45728</v>
      </c>
      <c r="C15" s="216"/>
      <c r="D15" s="20"/>
      <c r="E15" s="65">
        <v>240</v>
      </c>
      <c r="F15" s="65">
        <v>89.75</v>
      </c>
      <c r="G15" s="8">
        <f t="shared" si="0"/>
        <v>21540</v>
      </c>
      <c r="H15" s="65"/>
      <c r="I15" s="65"/>
      <c r="J15" s="8">
        <f t="shared" si="1"/>
        <v>0</v>
      </c>
      <c r="K15" s="8">
        <f t="shared" si="2"/>
        <v>21540</v>
      </c>
      <c r="L15" s="8"/>
      <c r="M15" s="8">
        <f t="shared" si="3"/>
        <v>56163.65</v>
      </c>
      <c r="N15" s="21"/>
      <c r="O15" s="81"/>
    </row>
    <row r="16" spans="1:15">
      <c r="A16" s="28">
        <v>13</v>
      </c>
      <c r="B16" s="29">
        <v>45729</v>
      </c>
      <c r="C16" s="216"/>
      <c r="D16" s="20"/>
      <c r="E16" s="65">
        <v>0</v>
      </c>
      <c r="F16" s="65">
        <v>0</v>
      </c>
      <c r="G16" s="8">
        <f t="shared" si="0"/>
        <v>0</v>
      </c>
      <c r="H16" s="65">
        <v>5</v>
      </c>
      <c r="I16" s="65">
        <v>103.73</v>
      </c>
      <c r="J16" s="8">
        <f t="shared" si="1"/>
        <v>518.65</v>
      </c>
      <c r="K16" s="8">
        <f t="shared" si="2"/>
        <v>518.65</v>
      </c>
      <c r="L16" s="8"/>
      <c r="M16" s="8">
        <f>M15+K16-L16</f>
        <v>56682.3</v>
      </c>
      <c r="N16" s="21"/>
      <c r="O16" s="81"/>
    </row>
    <row r="17" spans="1:15">
      <c r="A17" s="28">
        <v>14</v>
      </c>
      <c r="B17" s="294">
        <v>45730</v>
      </c>
      <c r="C17" s="216"/>
      <c r="D17" s="20"/>
      <c r="E17" s="65">
        <v>0</v>
      </c>
      <c r="F17" s="65">
        <v>0</v>
      </c>
      <c r="G17" s="8">
        <f t="shared" si="0"/>
        <v>0</v>
      </c>
      <c r="H17" s="65"/>
      <c r="I17" s="65"/>
      <c r="J17" s="8">
        <f t="shared" si="1"/>
        <v>0</v>
      </c>
      <c r="K17" s="8">
        <f t="shared" si="2"/>
        <v>0</v>
      </c>
      <c r="L17" s="8"/>
      <c r="M17" s="8">
        <f>M16+K17-L17</f>
        <v>56682.3</v>
      </c>
      <c r="N17" s="21"/>
      <c r="O17" s="81"/>
    </row>
    <row r="18" spans="1:15">
      <c r="A18" s="28">
        <v>15</v>
      </c>
      <c r="B18" s="29">
        <v>45731</v>
      </c>
      <c r="C18" s="216"/>
      <c r="D18" s="20"/>
      <c r="E18" s="65">
        <v>42</v>
      </c>
      <c r="F18" s="65">
        <v>89.75</v>
      </c>
      <c r="G18" s="8">
        <f t="shared" si="0"/>
        <v>3769.5</v>
      </c>
      <c r="H18" s="65"/>
      <c r="I18" s="65"/>
      <c r="J18" s="8">
        <f t="shared" si="1"/>
        <v>0</v>
      </c>
      <c r="K18" s="8">
        <f t="shared" si="2"/>
        <v>3769.5</v>
      </c>
      <c r="L18" s="8"/>
      <c r="M18" s="8">
        <f>M17+K18-L18</f>
        <v>60451.8</v>
      </c>
      <c r="N18" s="21"/>
      <c r="O18" s="81"/>
    </row>
    <row r="19" spans="1:15">
      <c r="A19" s="28">
        <v>16</v>
      </c>
      <c r="B19" s="294">
        <v>45732</v>
      </c>
      <c r="C19" s="216"/>
      <c r="D19" s="20"/>
      <c r="E19" s="65">
        <v>0</v>
      </c>
      <c r="F19" s="65">
        <v>0</v>
      </c>
      <c r="G19" s="8">
        <f t="shared" si="0"/>
        <v>0</v>
      </c>
      <c r="H19" s="65"/>
      <c r="I19" s="65"/>
      <c r="J19" s="8">
        <f t="shared" si="1"/>
        <v>0</v>
      </c>
      <c r="K19" s="8">
        <f t="shared" si="2"/>
        <v>0</v>
      </c>
      <c r="L19" s="8"/>
      <c r="M19" s="8">
        <f>M18+K19-L19</f>
        <v>60451.8</v>
      </c>
      <c r="N19" s="21"/>
      <c r="O19" s="81"/>
    </row>
    <row r="20" spans="1:15">
      <c r="A20" s="28">
        <v>17</v>
      </c>
      <c r="B20" s="29">
        <v>45733</v>
      </c>
      <c r="C20" s="216"/>
      <c r="D20" s="20"/>
      <c r="E20" s="65">
        <v>240</v>
      </c>
      <c r="F20" s="65">
        <v>89.75</v>
      </c>
      <c r="G20" s="8">
        <f t="shared" si="0"/>
        <v>21540</v>
      </c>
      <c r="H20" s="65"/>
      <c r="I20" s="65"/>
      <c r="J20" s="8">
        <f t="shared" si="1"/>
        <v>0</v>
      </c>
      <c r="K20" s="8">
        <f t="shared" si="2"/>
        <v>21540</v>
      </c>
      <c r="L20" s="8"/>
      <c r="M20" s="8">
        <f>M19+K20-L20</f>
        <v>81991.8</v>
      </c>
      <c r="N20" s="21"/>
      <c r="O20" s="81"/>
    </row>
    <row r="21" spans="1:15">
      <c r="A21" s="28">
        <v>18</v>
      </c>
      <c r="B21" s="294">
        <v>45734</v>
      </c>
      <c r="C21" s="216"/>
      <c r="D21" s="20"/>
      <c r="E21" s="65">
        <v>0</v>
      </c>
      <c r="F21" s="65">
        <v>0</v>
      </c>
      <c r="G21" s="8">
        <f t="shared" si="0"/>
        <v>0</v>
      </c>
      <c r="H21" s="65">
        <v>5</v>
      </c>
      <c r="I21" s="65">
        <v>103.73</v>
      </c>
      <c r="J21" s="8">
        <f t="shared" si="1"/>
        <v>518.65</v>
      </c>
      <c r="K21" s="8">
        <f t="shared" si="2"/>
        <v>518.65</v>
      </c>
      <c r="L21" s="8"/>
      <c r="M21" s="8">
        <f>M20+K21-L21</f>
        <v>82510.45</v>
      </c>
      <c r="N21" s="21"/>
      <c r="O21" s="81"/>
    </row>
    <row r="22" spans="1:15">
      <c r="A22" s="28">
        <v>19</v>
      </c>
      <c r="B22" s="29">
        <v>45735</v>
      </c>
      <c r="C22" s="216"/>
      <c r="D22" s="20"/>
      <c r="E22" s="65">
        <v>0</v>
      </c>
      <c r="F22" s="65">
        <v>0</v>
      </c>
      <c r="G22" s="8">
        <f t="shared" si="0"/>
        <v>0</v>
      </c>
      <c r="H22" s="65"/>
      <c r="I22" s="65"/>
      <c r="J22" s="8">
        <f t="shared" si="1"/>
        <v>0</v>
      </c>
      <c r="K22" s="8">
        <f t="shared" si="2"/>
        <v>0</v>
      </c>
      <c r="L22" s="8"/>
      <c r="M22" s="8">
        <f>M21+K22-L22</f>
        <v>82510.45</v>
      </c>
      <c r="N22" s="21"/>
      <c r="O22" s="81"/>
    </row>
    <row r="23" spans="1:15">
      <c r="A23" s="28">
        <v>20</v>
      </c>
      <c r="B23" s="294">
        <v>45736</v>
      </c>
      <c r="C23" s="216"/>
      <c r="D23" s="20"/>
      <c r="E23" s="65">
        <v>249</v>
      </c>
      <c r="F23" s="65">
        <v>89.75</v>
      </c>
      <c r="G23" s="8">
        <f t="shared" si="0"/>
        <v>22347.75</v>
      </c>
      <c r="H23" s="65"/>
      <c r="I23" s="65"/>
      <c r="J23" s="8">
        <f t="shared" si="1"/>
        <v>0</v>
      </c>
      <c r="K23" s="8">
        <f t="shared" si="2"/>
        <v>22347.75</v>
      </c>
      <c r="L23" s="8"/>
      <c r="M23" s="8">
        <f>M22+K23-L23</f>
        <v>104858.2</v>
      </c>
      <c r="N23" s="21"/>
      <c r="O23" s="81"/>
    </row>
    <row r="24" spans="1:15">
      <c r="A24" s="28">
        <v>21</v>
      </c>
      <c r="B24" s="29">
        <v>45737</v>
      </c>
      <c r="C24" s="216"/>
      <c r="D24" s="20"/>
      <c r="E24" s="65">
        <v>320</v>
      </c>
      <c r="F24" s="65">
        <v>89.75</v>
      </c>
      <c r="G24" s="8">
        <f t="shared" si="0"/>
        <v>28720</v>
      </c>
      <c r="H24" s="65">
        <v>5</v>
      </c>
      <c r="I24" s="65">
        <v>103.73</v>
      </c>
      <c r="J24" s="8">
        <f t="shared" si="1"/>
        <v>518.65</v>
      </c>
      <c r="K24" s="8">
        <f t="shared" si="2"/>
        <v>29238.65</v>
      </c>
      <c r="L24" s="8"/>
      <c r="M24" s="8">
        <f>M23+K24-L24</f>
        <v>134096.85</v>
      </c>
      <c r="N24" s="21"/>
      <c r="O24" s="81"/>
    </row>
    <row r="25" spans="1:15">
      <c r="A25" s="28">
        <v>22</v>
      </c>
      <c r="B25" s="294">
        <v>45738</v>
      </c>
      <c r="C25" s="216"/>
      <c r="D25" s="20"/>
      <c r="E25" s="65">
        <v>200</v>
      </c>
      <c r="F25" s="65">
        <v>89.75</v>
      </c>
      <c r="G25" s="8">
        <f t="shared" si="0"/>
        <v>17950</v>
      </c>
      <c r="H25" s="65"/>
      <c r="I25" s="65"/>
      <c r="J25" s="8">
        <f t="shared" si="1"/>
        <v>0</v>
      </c>
      <c r="K25" s="8">
        <f t="shared" si="2"/>
        <v>17950</v>
      </c>
      <c r="L25" s="8"/>
      <c r="M25" s="8">
        <f t="shared" ref="M25:M34" si="4">M24+K25-L25</f>
        <v>152046.85</v>
      </c>
      <c r="N25" s="21"/>
      <c r="O25" s="81"/>
    </row>
    <row r="26" spans="1:15">
      <c r="A26" s="28">
        <v>23</v>
      </c>
      <c r="B26" s="29">
        <v>45739</v>
      </c>
      <c r="C26" s="216"/>
      <c r="D26" s="20"/>
      <c r="E26" s="65">
        <v>0</v>
      </c>
      <c r="F26" s="65">
        <v>0</v>
      </c>
      <c r="G26" s="8">
        <f t="shared" si="0"/>
        <v>0</v>
      </c>
      <c r="H26" s="65"/>
      <c r="I26" s="65"/>
      <c r="J26" s="8">
        <f t="shared" si="1"/>
        <v>0</v>
      </c>
      <c r="K26" s="8">
        <f t="shared" si="2"/>
        <v>0</v>
      </c>
      <c r="L26" s="8"/>
      <c r="M26" s="8">
        <f t="shared" si="4"/>
        <v>152046.85</v>
      </c>
      <c r="N26" s="21"/>
      <c r="O26" s="81"/>
    </row>
    <row r="27" spans="1:15">
      <c r="A27" s="28">
        <v>24</v>
      </c>
      <c r="B27" s="294">
        <v>45740</v>
      </c>
      <c r="C27" s="216"/>
      <c r="D27" s="20"/>
      <c r="E27" s="65">
        <v>120</v>
      </c>
      <c r="F27" s="65">
        <v>89.75</v>
      </c>
      <c r="G27" s="8">
        <f t="shared" si="0"/>
        <v>10770</v>
      </c>
      <c r="H27" s="65"/>
      <c r="I27" s="65"/>
      <c r="J27" s="8">
        <f t="shared" si="1"/>
        <v>0</v>
      </c>
      <c r="K27" s="8">
        <f t="shared" si="2"/>
        <v>10770</v>
      </c>
      <c r="L27" s="8"/>
      <c r="M27" s="8">
        <f t="shared" si="4"/>
        <v>162816.85</v>
      </c>
      <c r="N27" s="21"/>
      <c r="O27" s="81"/>
    </row>
    <row r="28" spans="1:15">
      <c r="A28" s="28">
        <v>25</v>
      </c>
      <c r="B28" s="29">
        <v>45741</v>
      </c>
      <c r="C28" s="216"/>
      <c r="D28" s="20"/>
      <c r="E28" s="65">
        <v>0</v>
      </c>
      <c r="F28" s="65">
        <v>0</v>
      </c>
      <c r="G28" s="8">
        <f t="shared" si="0"/>
        <v>0</v>
      </c>
      <c r="H28" s="65"/>
      <c r="I28" s="65"/>
      <c r="J28" s="8">
        <f t="shared" si="1"/>
        <v>0</v>
      </c>
      <c r="K28" s="8">
        <f t="shared" si="2"/>
        <v>0</v>
      </c>
      <c r="L28" s="8"/>
      <c r="M28" s="8">
        <f t="shared" si="4"/>
        <v>162816.85</v>
      </c>
      <c r="N28" s="21"/>
      <c r="O28" s="81"/>
    </row>
    <row r="29" spans="1:15">
      <c r="A29" s="28">
        <v>26</v>
      </c>
      <c r="B29" s="294">
        <v>45742</v>
      </c>
      <c r="C29" s="216"/>
      <c r="D29" s="20"/>
      <c r="E29" s="65">
        <v>0</v>
      </c>
      <c r="F29" s="65">
        <v>0</v>
      </c>
      <c r="G29" s="8">
        <f t="shared" si="0"/>
        <v>0</v>
      </c>
      <c r="H29" s="65">
        <v>5</v>
      </c>
      <c r="I29" s="65">
        <v>103.73</v>
      </c>
      <c r="J29" s="8">
        <f t="shared" si="1"/>
        <v>518.65</v>
      </c>
      <c r="K29" s="8">
        <f t="shared" si="2"/>
        <v>518.65</v>
      </c>
      <c r="L29" s="8"/>
      <c r="M29" s="8">
        <f t="shared" si="4"/>
        <v>163335.5</v>
      </c>
      <c r="N29" s="21"/>
      <c r="O29" s="81"/>
    </row>
    <row r="30" spans="1:15">
      <c r="A30" s="28">
        <v>27</v>
      </c>
      <c r="B30" s="261">
        <v>45743</v>
      </c>
      <c r="C30" s="216"/>
      <c r="D30" s="20"/>
      <c r="E30" s="65">
        <v>120.01</v>
      </c>
      <c r="F30" s="65">
        <v>89.75</v>
      </c>
      <c r="G30" s="8">
        <f t="shared" si="0"/>
        <v>10770.897500000001</v>
      </c>
      <c r="H30" s="65"/>
      <c r="I30" s="65"/>
      <c r="J30" s="8">
        <f t="shared" si="1"/>
        <v>0</v>
      </c>
      <c r="K30" s="8">
        <f t="shared" si="2"/>
        <v>10770.897500000001</v>
      </c>
      <c r="L30" s="8"/>
      <c r="M30" s="8">
        <f t="shared" si="4"/>
        <v>174106.39749999999</v>
      </c>
      <c r="N30" s="21"/>
      <c r="O30" s="81"/>
    </row>
    <row r="31" spans="1:15">
      <c r="A31" s="304">
        <v>28</v>
      </c>
      <c r="B31" s="305">
        <v>45744</v>
      </c>
      <c r="C31" s="216"/>
      <c r="D31" s="20"/>
      <c r="E31" s="65">
        <v>26</v>
      </c>
      <c r="F31" s="65">
        <v>89.75</v>
      </c>
      <c r="G31" s="8">
        <f t="shared" si="0"/>
        <v>2333.5</v>
      </c>
      <c r="H31" s="65"/>
      <c r="I31" s="65"/>
      <c r="J31" s="8">
        <f t="shared" si="1"/>
        <v>0</v>
      </c>
      <c r="K31" s="8">
        <f t="shared" si="2"/>
        <v>2333.5</v>
      </c>
      <c r="L31" s="8"/>
      <c r="M31" s="8">
        <f t="shared" si="4"/>
        <v>176439.89749999999</v>
      </c>
      <c r="N31" s="21"/>
      <c r="O31" s="81"/>
    </row>
    <row r="32" spans="1:15">
      <c r="A32" s="28">
        <v>29</v>
      </c>
      <c r="B32" s="29">
        <v>45745</v>
      </c>
      <c r="C32" s="216"/>
      <c r="D32" s="20"/>
      <c r="E32" s="65">
        <v>0</v>
      </c>
      <c r="F32" s="65">
        <v>0</v>
      </c>
      <c r="G32" s="8">
        <f t="shared" si="0"/>
        <v>0</v>
      </c>
      <c r="H32" s="65">
        <v>5</v>
      </c>
      <c r="I32" s="65">
        <v>103.73</v>
      </c>
      <c r="J32" s="8">
        <f t="shared" si="1"/>
        <v>518.65</v>
      </c>
      <c r="K32" s="8">
        <f t="shared" si="2"/>
        <v>518.65</v>
      </c>
      <c r="L32" s="8"/>
      <c r="M32" s="8">
        <f t="shared" si="4"/>
        <v>176958.54749999999</v>
      </c>
      <c r="N32" s="21"/>
      <c r="O32" s="81"/>
    </row>
    <row r="33" spans="1:15">
      <c r="A33" s="28">
        <v>30</v>
      </c>
      <c r="B33" s="294">
        <v>45746</v>
      </c>
      <c r="C33" s="216"/>
      <c r="D33" s="20"/>
      <c r="E33" s="65">
        <v>0</v>
      </c>
      <c r="F33" s="65">
        <v>0</v>
      </c>
      <c r="G33" s="8">
        <f t="shared" si="0"/>
        <v>0</v>
      </c>
      <c r="H33" s="65"/>
      <c r="I33" s="65"/>
      <c r="J33" s="8">
        <f t="shared" si="1"/>
        <v>0</v>
      </c>
      <c r="K33" s="8">
        <f t="shared" si="2"/>
        <v>0</v>
      </c>
      <c r="L33" s="8"/>
      <c r="M33" s="8">
        <f t="shared" si="4"/>
        <v>176958.54749999999</v>
      </c>
      <c r="N33" s="21"/>
      <c r="O33" s="81"/>
    </row>
    <row r="34" spans="1:15">
      <c r="A34" s="28">
        <v>31</v>
      </c>
      <c r="B34" s="29">
        <v>45747</v>
      </c>
      <c r="C34" s="216"/>
      <c r="D34" s="20"/>
      <c r="E34" s="65">
        <v>0</v>
      </c>
      <c r="F34" s="65">
        <v>0</v>
      </c>
      <c r="G34" s="8">
        <f t="shared" si="0"/>
        <v>0</v>
      </c>
      <c r="H34" s="65"/>
      <c r="I34" s="65"/>
      <c r="J34" s="8">
        <f t="shared" si="1"/>
        <v>0</v>
      </c>
      <c r="K34" s="8">
        <f t="shared" si="2"/>
        <v>0</v>
      </c>
      <c r="L34" s="8">
        <v>167464</v>
      </c>
      <c r="M34" s="8">
        <f t="shared" si="4"/>
        <v>9494.547499999986</v>
      </c>
      <c r="N34" s="21"/>
      <c r="O34" s="81"/>
    </row>
    <row r="35" spans="1:15">
      <c r="A35" s="197"/>
      <c r="B35" s="197"/>
      <c r="C35" s="197"/>
      <c r="D35" s="197"/>
      <c r="E35" s="198">
        <f>SUM(E4:E34)</f>
        <v>2022.7</v>
      </c>
      <c r="F35" s="198"/>
      <c r="G35" s="198">
        <f>SUM(G4:G34)</f>
        <v>181537.32499999998</v>
      </c>
      <c r="H35" s="198">
        <f>SUM(H4:H34)</f>
        <v>35</v>
      </c>
      <c r="I35" s="198"/>
      <c r="J35" s="198">
        <f>SUM(J4:J34)</f>
        <v>3630.55</v>
      </c>
      <c r="K35" s="198">
        <f>SUM(K4:K34)</f>
        <v>185167.87499999997</v>
      </c>
      <c r="L35" s="198">
        <f>SUM(L4:L34)</f>
        <v>209109.5975</v>
      </c>
      <c r="M35" s="198"/>
      <c r="N35" s="198"/>
      <c r="O35" s="81"/>
    </row>
    <row r="36" spans="1:15">
      <c r="A36" s="97"/>
      <c r="B36" s="97"/>
      <c r="C36" s="97"/>
      <c r="D36" s="97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81"/>
    </row>
    <row r="37" spans="1:15">
      <c r="O37" s="81"/>
    </row>
    <row r="38" spans="1:15">
      <c r="O38" s="81"/>
    </row>
    <row r="39" spans="1:15">
      <c r="O39" s="81"/>
    </row>
    <row r="40" spans="1:15">
      <c r="O40" s="81"/>
    </row>
    <row r="41" spans="1:15">
      <c r="O41" s="81"/>
    </row>
    <row r="42" spans="1:15">
      <c r="A42" s="81"/>
      <c r="B42" s="81"/>
      <c r="C42" s="81"/>
      <c r="D42" s="81"/>
      <c r="E42" s="81"/>
      <c r="F42" s="81"/>
      <c r="G42" s="105"/>
      <c r="H42" s="81"/>
      <c r="I42" s="81"/>
      <c r="J42" s="81"/>
      <c r="K42" s="81"/>
      <c r="L42" s="81"/>
      <c r="M42" s="81"/>
      <c r="N42" s="81"/>
      <c r="O42" s="99"/>
    </row>
    <row r="43" spans="1:15">
      <c r="A43" s="81"/>
      <c r="B43" s="413"/>
      <c r="C43" s="413"/>
      <c r="D43" s="413"/>
      <c r="E43" s="413"/>
      <c r="F43" s="81"/>
      <c r="G43" s="81"/>
      <c r="H43" s="81"/>
      <c r="I43" s="413"/>
      <c r="J43" s="413"/>
      <c r="K43" s="413"/>
      <c r="L43" s="413"/>
      <c r="M43" s="413"/>
      <c r="N43" s="413"/>
      <c r="O43" s="99"/>
    </row>
    <row r="44" spans="1:15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99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71A1-D77D-459B-9B4B-82B2DEA70DBC}">
  <dimension ref="A1:O44"/>
  <sheetViews>
    <sheetView workbookViewId="0">
      <pane ySplit="2" topLeftCell="A24" activePane="bottomLeft" state="frozen"/>
      <selection pane="bottomLeft" activeCell="K35" sqref="K35"/>
    </sheetView>
  </sheetViews>
  <sheetFormatPr defaultRowHeight="15"/>
  <cols>
    <col min="1" max="1" width="5.140625" style="92" bestFit="1" customWidth="1"/>
    <col min="2" max="2" width="10.85546875" style="92" bestFit="1" customWidth="1"/>
    <col min="3" max="3" width="8" style="92" bestFit="1" customWidth="1"/>
    <col min="4" max="4" width="16" style="92" bestFit="1" customWidth="1"/>
    <col min="5" max="5" width="10.7109375" style="92" bestFit="1" customWidth="1"/>
    <col min="6" max="6" width="14.5703125" style="92" bestFit="1" customWidth="1"/>
    <col min="7" max="7" width="11.85546875" style="92" bestFit="1" customWidth="1"/>
    <col min="8" max="8" width="10.7109375" style="92" bestFit="1" customWidth="1"/>
    <col min="9" max="9" width="7.140625" style="92" bestFit="1" customWidth="1"/>
    <col min="10" max="10" width="10.85546875" style="92" bestFit="1" customWidth="1"/>
    <col min="11" max="11" width="14.5703125" style="92" bestFit="1" customWidth="1"/>
    <col min="12" max="12" width="13.5703125" style="92" bestFit="1" customWidth="1"/>
    <col min="13" max="13" width="13.5703125" style="92" customWidth="1"/>
    <col min="14" max="14" width="14.140625" style="92" bestFit="1" customWidth="1"/>
    <col min="15" max="15" width="11.28515625" style="92" customWidth="1"/>
    <col min="16" max="16" width="9.140625" style="92" customWidth="1"/>
    <col min="17" max="16384" width="9.140625" style="92"/>
  </cols>
  <sheetData>
    <row r="1" spans="1:15" ht="15.75">
      <c r="A1" s="386" t="s">
        <v>51</v>
      </c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  <c r="M1" s="386"/>
      <c r="N1" s="386"/>
      <c r="O1" s="106"/>
    </row>
    <row r="2" spans="1:15">
      <c r="A2" s="86" t="s">
        <v>91</v>
      </c>
      <c r="B2" s="107" t="s">
        <v>92</v>
      </c>
      <c r="C2" s="107" t="s">
        <v>93</v>
      </c>
      <c r="D2" s="107" t="s">
        <v>94</v>
      </c>
      <c r="E2" s="107" t="s">
        <v>95</v>
      </c>
      <c r="F2" s="107" t="s">
        <v>96</v>
      </c>
      <c r="G2" s="107" t="s">
        <v>97</v>
      </c>
      <c r="H2" s="107" t="s">
        <v>98</v>
      </c>
      <c r="I2" s="107" t="s">
        <v>96</v>
      </c>
      <c r="J2" s="108" t="s">
        <v>97</v>
      </c>
      <c r="K2" s="86" t="s">
        <v>99</v>
      </c>
      <c r="L2" s="109" t="s">
        <v>100</v>
      </c>
      <c r="M2" s="109" t="s">
        <v>101</v>
      </c>
      <c r="N2" s="107" t="s">
        <v>102</v>
      </c>
      <c r="O2" s="81"/>
    </row>
    <row r="3" spans="1:15">
      <c r="A3" s="374" t="s">
        <v>103</v>
      </c>
      <c r="B3" s="375"/>
      <c r="C3" s="375"/>
      <c r="D3" s="375"/>
      <c r="E3" s="375"/>
      <c r="F3" s="375"/>
      <c r="G3" s="375"/>
      <c r="H3" s="375"/>
      <c r="I3" s="375"/>
      <c r="J3" s="389"/>
      <c r="K3" s="200">
        <v>239480.43340000015</v>
      </c>
      <c r="L3" s="89"/>
      <c r="M3" s="196">
        <f>+K3</f>
        <v>239480.43340000015</v>
      </c>
      <c r="N3" s="89"/>
      <c r="O3" s="81">
        <v>236490.39850000018</v>
      </c>
    </row>
    <row r="4" spans="1:15">
      <c r="A4" s="28">
        <v>1</v>
      </c>
      <c r="B4" s="29">
        <v>45717</v>
      </c>
      <c r="C4" s="89"/>
      <c r="D4" s="196"/>
      <c r="E4" s="201">
        <v>35</v>
      </c>
      <c r="F4" s="201">
        <v>89.91</v>
      </c>
      <c r="G4" s="8">
        <f>E4*F4</f>
        <v>3146.85</v>
      </c>
      <c r="H4" s="201">
        <v>6</v>
      </c>
      <c r="I4" s="201">
        <v>103.89</v>
      </c>
      <c r="J4" s="8">
        <f>H4*I4</f>
        <v>623.34</v>
      </c>
      <c r="K4" s="8">
        <f>G4+J4</f>
        <v>3770.19</v>
      </c>
      <c r="L4" s="202">
        <v>0</v>
      </c>
      <c r="M4" s="202">
        <f>M3+K4-L4</f>
        <v>243250.62340000016</v>
      </c>
      <c r="N4" s="53" t="s">
        <v>190</v>
      </c>
    </row>
    <row r="5" spans="1:15">
      <c r="A5" s="28">
        <v>2</v>
      </c>
      <c r="B5" s="294">
        <v>45718</v>
      </c>
      <c r="C5" s="89"/>
      <c r="D5" s="89"/>
      <c r="E5" s="201">
        <v>40</v>
      </c>
      <c r="F5" s="201">
        <v>89.91</v>
      </c>
      <c r="G5" s="8">
        <f t="shared" ref="G5:G34" si="0">E5*F5</f>
        <v>3596.3999999999996</v>
      </c>
      <c r="H5" s="201">
        <v>0</v>
      </c>
      <c r="I5" s="201">
        <v>0</v>
      </c>
      <c r="J5" s="8">
        <f t="shared" ref="J5:J34" si="1">H5*I5</f>
        <v>0</v>
      </c>
      <c r="K5" s="8">
        <f t="shared" ref="K5:K34" si="2">G5+J5</f>
        <v>3596.3999999999996</v>
      </c>
      <c r="L5" s="202">
        <v>0</v>
      </c>
      <c r="M5" s="202">
        <f>M4+K5-L5</f>
        <v>246847.02340000015</v>
      </c>
      <c r="N5" s="53"/>
    </row>
    <row r="6" spans="1:15">
      <c r="A6" s="28">
        <v>3</v>
      </c>
      <c r="B6" s="29">
        <v>45719</v>
      </c>
      <c r="C6" s="89"/>
      <c r="D6" s="89"/>
      <c r="E6" s="201">
        <v>325</v>
      </c>
      <c r="F6" s="201">
        <v>89.91</v>
      </c>
      <c r="G6" s="8">
        <f t="shared" si="0"/>
        <v>29220.75</v>
      </c>
      <c r="H6" s="201">
        <v>0</v>
      </c>
      <c r="I6" s="201">
        <v>0</v>
      </c>
      <c r="J6" s="8">
        <f t="shared" si="1"/>
        <v>0</v>
      </c>
      <c r="K6" s="8">
        <f t="shared" si="2"/>
        <v>29220.75</v>
      </c>
      <c r="L6" s="202">
        <v>0</v>
      </c>
      <c r="M6" s="202">
        <f>M5+K6-L6</f>
        <v>276067.77340000018</v>
      </c>
      <c r="N6" s="53"/>
    </row>
    <row r="7" spans="1:15">
      <c r="A7" s="28">
        <v>4</v>
      </c>
      <c r="B7" s="294">
        <v>45720</v>
      </c>
      <c r="C7" s="89"/>
      <c r="D7" s="94"/>
      <c r="E7" s="201">
        <v>35</v>
      </c>
      <c r="F7" s="201">
        <v>89.91</v>
      </c>
      <c r="G7" s="8">
        <f t="shared" si="0"/>
        <v>3146.85</v>
      </c>
      <c r="H7" s="201">
        <v>12</v>
      </c>
      <c r="I7" s="201">
        <v>103.89</v>
      </c>
      <c r="J7" s="8">
        <f t="shared" si="1"/>
        <v>1246.68</v>
      </c>
      <c r="K7" s="8">
        <f t="shared" si="2"/>
        <v>4393.53</v>
      </c>
      <c r="L7" s="202">
        <v>0</v>
      </c>
      <c r="M7" s="202">
        <f>M6+K7-L7</f>
        <v>280461.30340000021</v>
      </c>
      <c r="N7" s="53"/>
    </row>
    <row r="8" spans="1:15">
      <c r="A8" s="28">
        <v>5</v>
      </c>
      <c r="B8" s="29">
        <v>45721</v>
      </c>
      <c r="C8" s="89"/>
      <c r="D8" s="94"/>
      <c r="E8" s="201">
        <v>75</v>
      </c>
      <c r="F8" s="201">
        <v>89.91</v>
      </c>
      <c r="G8" s="8">
        <f t="shared" si="0"/>
        <v>6743.25</v>
      </c>
      <c r="H8" s="201">
        <v>6</v>
      </c>
      <c r="I8" s="201">
        <v>103.89</v>
      </c>
      <c r="J8" s="8">
        <f t="shared" si="1"/>
        <v>623.34</v>
      </c>
      <c r="K8" s="8">
        <f t="shared" si="2"/>
        <v>7366.59</v>
      </c>
      <c r="L8" s="202">
        <v>0</v>
      </c>
      <c r="M8" s="202">
        <f>M7+K8-L8</f>
        <v>287827.89340000023</v>
      </c>
      <c r="N8" s="53"/>
    </row>
    <row r="9" spans="1:15">
      <c r="A9" s="28">
        <v>6</v>
      </c>
      <c r="B9" s="294">
        <v>45722</v>
      </c>
      <c r="C9" s="89"/>
      <c r="D9" s="94"/>
      <c r="E9" s="201">
        <v>200</v>
      </c>
      <c r="F9" s="201">
        <v>89.91</v>
      </c>
      <c r="G9" s="8">
        <f t="shared" si="0"/>
        <v>17982</v>
      </c>
      <c r="H9" s="201">
        <v>6</v>
      </c>
      <c r="I9" s="201">
        <v>103.89</v>
      </c>
      <c r="J9" s="8">
        <f t="shared" si="1"/>
        <v>623.34</v>
      </c>
      <c r="K9" s="8">
        <f t="shared" si="2"/>
        <v>18605.34</v>
      </c>
      <c r="L9" s="202">
        <v>0</v>
      </c>
      <c r="M9" s="202">
        <f>M8+K9-L9</f>
        <v>306433.23340000026</v>
      </c>
      <c r="N9" s="53"/>
    </row>
    <row r="10" spans="1:15">
      <c r="A10" s="28">
        <v>7</v>
      </c>
      <c r="B10" s="29">
        <v>45723</v>
      </c>
      <c r="C10" s="89"/>
      <c r="D10" s="94"/>
      <c r="E10" s="201">
        <v>80</v>
      </c>
      <c r="F10" s="201">
        <v>89.91</v>
      </c>
      <c r="G10" s="8">
        <f t="shared" si="0"/>
        <v>7192.7999999999993</v>
      </c>
      <c r="H10" s="201">
        <v>10</v>
      </c>
      <c r="I10" s="201">
        <v>103.89</v>
      </c>
      <c r="J10" s="8">
        <f t="shared" si="1"/>
        <v>1038.9000000000001</v>
      </c>
      <c r="K10" s="8">
        <f t="shared" si="2"/>
        <v>8231.6999999999989</v>
      </c>
      <c r="L10" s="202">
        <v>0</v>
      </c>
      <c r="M10" s="202">
        <f>M9+K10-L10</f>
        <v>314664.93340000027</v>
      </c>
      <c r="N10" s="53"/>
    </row>
    <row r="11" spans="1:15">
      <c r="A11" s="28">
        <v>8</v>
      </c>
      <c r="B11" s="294">
        <v>45724</v>
      </c>
      <c r="C11" s="89"/>
      <c r="D11" s="94"/>
      <c r="E11" s="201">
        <v>80</v>
      </c>
      <c r="F11" s="201">
        <v>89.91</v>
      </c>
      <c r="G11" s="8">
        <f t="shared" si="0"/>
        <v>7192.7999999999993</v>
      </c>
      <c r="H11" s="201">
        <v>6</v>
      </c>
      <c r="I11" s="201">
        <v>103.89</v>
      </c>
      <c r="J11" s="8">
        <f t="shared" si="1"/>
        <v>623.34</v>
      </c>
      <c r="K11" s="8">
        <f t="shared" si="2"/>
        <v>7816.1399999999994</v>
      </c>
      <c r="L11" s="202">
        <v>0</v>
      </c>
      <c r="M11" s="202">
        <f>M10+K11-L11</f>
        <v>322481.07340000028</v>
      </c>
      <c r="N11" s="53"/>
    </row>
    <row r="12" spans="1:15">
      <c r="A12" s="28">
        <v>9</v>
      </c>
      <c r="B12" s="29">
        <v>45725</v>
      </c>
      <c r="C12" s="89"/>
      <c r="D12" s="94"/>
      <c r="E12" s="201">
        <v>0</v>
      </c>
      <c r="F12" s="201">
        <v>89.91</v>
      </c>
      <c r="G12" s="8">
        <f t="shared" si="0"/>
        <v>0</v>
      </c>
      <c r="H12" s="201">
        <v>5.73</v>
      </c>
      <c r="I12" s="201">
        <v>103.89</v>
      </c>
      <c r="J12" s="8">
        <f t="shared" si="1"/>
        <v>595.28970000000004</v>
      </c>
      <c r="K12" s="8">
        <f t="shared" si="2"/>
        <v>595.28970000000004</v>
      </c>
      <c r="L12" s="202">
        <v>0</v>
      </c>
      <c r="M12" s="202">
        <f>M11+K12-L12</f>
        <v>323076.36310000031</v>
      </c>
      <c r="N12" s="53"/>
    </row>
    <row r="13" spans="1:15">
      <c r="A13" s="28">
        <v>10</v>
      </c>
      <c r="B13" s="294">
        <v>45726</v>
      </c>
      <c r="C13" s="89"/>
      <c r="D13" s="94"/>
      <c r="E13" s="201">
        <v>110</v>
      </c>
      <c r="F13" s="201">
        <v>89.91</v>
      </c>
      <c r="G13" s="8">
        <f t="shared" si="0"/>
        <v>9890.1</v>
      </c>
      <c r="H13" s="201">
        <v>9.02</v>
      </c>
      <c r="I13" s="201">
        <v>103.89</v>
      </c>
      <c r="J13" s="8">
        <f t="shared" si="1"/>
        <v>937.08780000000002</v>
      </c>
      <c r="K13" s="8">
        <f t="shared" si="2"/>
        <v>10827.1878</v>
      </c>
      <c r="L13" s="202">
        <v>200000</v>
      </c>
      <c r="M13" s="202">
        <f>M12+K13-L13</f>
        <v>133903.55090000032</v>
      </c>
      <c r="N13" s="53"/>
    </row>
    <row r="14" spans="1:15">
      <c r="A14" s="28">
        <v>11</v>
      </c>
      <c r="B14" s="29">
        <v>45727</v>
      </c>
      <c r="C14" s="89"/>
      <c r="D14" s="94"/>
      <c r="E14" s="201">
        <v>179.44</v>
      </c>
      <c r="F14" s="201">
        <v>89.91</v>
      </c>
      <c r="G14" s="8">
        <f t="shared" si="0"/>
        <v>16133.4504</v>
      </c>
      <c r="H14" s="201">
        <v>5</v>
      </c>
      <c r="I14" s="201">
        <v>103.89</v>
      </c>
      <c r="J14" s="8">
        <f t="shared" si="1"/>
        <v>519.45000000000005</v>
      </c>
      <c r="K14" s="8">
        <f t="shared" si="2"/>
        <v>16652.900399999999</v>
      </c>
      <c r="L14" s="202">
        <v>0</v>
      </c>
      <c r="M14" s="202">
        <f>M13+K14-L14</f>
        <v>150556.45130000031</v>
      </c>
      <c r="N14" s="53"/>
    </row>
    <row r="15" spans="1:15">
      <c r="A15" s="28">
        <v>12</v>
      </c>
      <c r="B15" s="294">
        <v>45728</v>
      </c>
      <c r="C15" s="89"/>
      <c r="D15" s="94"/>
      <c r="E15" s="201">
        <v>200</v>
      </c>
      <c r="F15" s="201">
        <v>89.91</v>
      </c>
      <c r="G15" s="8">
        <f t="shared" si="0"/>
        <v>17982</v>
      </c>
      <c r="H15" s="201">
        <v>0</v>
      </c>
      <c r="I15" s="201">
        <v>0</v>
      </c>
      <c r="J15" s="8">
        <f t="shared" si="1"/>
        <v>0</v>
      </c>
      <c r="K15" s="8">
        <f t="shared" si="2"/>
        <v>17982</v>
      </c>
      <c r="L15" s="202">
        <v>0</v>
      </c>
      <c r="M15" s="202">
        <f>M14+K15-L15</f>
        <v>168538.45130000031</v>
      </c>
      <c r="N15" s="53"/>
    </row>
    <row r="16" spans="1:15">
      <c r="A16" s="28">
        <v>13</v>
      </c>
      <c r="B16" s="29">
        <v>45729</v>
      </c>
      <c r="C16" s="89"/>
      <c r="D16" s="94"/>
      <c r="E16" s="201">
        <v>123.21</v>
      </c>
      <c r="F16" s="201">
        <v>89.91</v>
      </c>
      <c r="G16" s="8">
        <f t="shared" si="0"/>
        <v>11077.811099999999</v>
      </c>
      <c r="H16" s="201">
        <v>12</v>
      </c>
      <c r="I16" s="201">
        <v>103.89</v>
      </c>
      <c r="J16" s="8">
        <f t="shared" si="1"/>
        <v>1246.68</v>
      </c>
      <c r="K16" s="8">
        <f t="shared" si="2"/>
        <v>12324.491099999999</v>
      </c>
      <c r="L16" s="202">
        <v>0</v>
      </c>
      <c r="M16" s="202">
        <f>M15+K16-L16</f>
        <v>180862.94240000029</v>
      </c>
      <c r="N16" s="53"/>
    </row>
    <row r="17" spans="1:14">
      <c r="A17" s="28">
        <v>14</v>
      </c>
      <c r="B17" s="294">
        <v>45730</v>
      </c>
      <c r="C17" s="89"/>
      <c r="D17" s="94"/>
      <c r="E17" s="201">
        <v>0</v>
      </c>
      <c r="F17" s="201">
        <v>0</v>
      </c>
      <c r="G17" s="8">
        <f t="shared" si="0"/>
        <v>0</v>
      </c>
      <c r="H17" s="201">
        <v>0</v>
      </c>
      <c r="I17" s="201">
        <v>0</v>
      </c>
      <c r="J17" s="8">
        <f t="shared" si="1"/>
        <v>0</v>
      </c>
      <c r="K17" s="8">
        <f t="shared" si="2"/>
        <v>0</v>
      </c>
      <c r="L17" s="202">
        <v>0</v>
      </c>
      <c r="M17" s="202">
        <f>M16+K17-L17</f>
        <v>180862.94240000029</v>
      </c>
      <c r="N17" s="53"/>
    </row>
    <row r="18" spans="1:14">
      <c r="A18" s="28">
        <v>15</v>
      </c>
      <c r="B18" s="29">
        <v>45731</v>
      </c>
      <c r="C18" s="89"/>
      <c r="D18" s="94"/>
      <c r="E18" s="201">
        <v>370.7</v>
      </c>
      <c r="F18" s="201">
        <v>89.91</v>
      </c>
      <c r="G18" s="8">
        <f>E18*F18</f>
        <v>33329.636999999995</v>
      </c>
      <c r="H18" s="201">
        <v>5</v>
      </c>
      <c r="I18" s="201">
        <v>103.89</v>
      </c>
      <c r="J18" s="8">
        <f t="shared" si="1"/>
        <v>519.45000000000005</v>
      </c>
      <c r="K18" s="8">
        <f>G18+J18</f>
        <v>33849.086999999992</v>
      </c>
      <c r="L18" s="202">
        <v>0</v>
      </c>
      <c r="M18" s="202">
        <f>M17+K18-L18</f>
        <v>214712.02940000029</v>
      </c>
      <c r="N18" s="53"/>
    </row>
    <row r="19" spans="1:14">
      <c r="A19" s="28">
        <v>16</v>
      </c>
      <c r="B19" s="294">
        <v>45732</v>
      </c>
      <c r="C19" s="89"/>
      <c r="D19" s="94"/>
      <c r="E19" s="201">
        <v>0</v>
      </c>
      <c r="F19" s="201">
        <v>0</v>
      </c>
      <c r="G19" s="8">
        <f t="shared" si="0"/>
        <v>0</v>
      </c>
      <c r="H19" s="201">
        <v>0</v>
      </c>
      <c r="I19" s="201">
        <v>0</v>
      </c>
      <c r="J19" s="8">
        <f t="shared" si="1"/>
        <v>0</v>
      </c>
      <c r="K19" s="8">
        <f t="shared" si="2"/>
        <v>0</v>
      </c>
      <c r="L19" s="202">
        <v>0</v>
      </c>
      <c r="M19" s="202">
        <f>M18+K19-L19</f>
        <v>214712.02940000029</v>
      </c>
      <c r="N19" s="53"/>
    </row>
    <row r="20" spans="1:14">
      <c r="A20" s="28">
        <v>17</v>
      </c>
      <c r="B20" s="29">
        <v>45733</v>
      </c>
      <c r="C20" s="89"/>
      <c r="D20" s="94"/>
      <c r="E20" s="201">
        <v>0</v>
      </c>
      <c r="F20" s="201">
        <v>0</v>
      </c>
      <c r="G20" s="8">
        <f t="shared" si="0"/>
        <v>0</v>
      </c>
      <c r="H20" s="201">
        <v>16</v>
      </c>
      <c r="I20" s="201">
        <v>103.89</v>
      </c>
      <c r="J20" s="8">
        <f t="shared" si="1"/>
        <v>1662.24</v>
      </c>
      <c r="K20" s="8">
        <f t="shared" si="2"/>
        <v>1662.24</v>
      </c>
      <c r="L20" s="202">
        <v>0</v>
      </c>
      <c r="M20" s="202">
        <f t="shared" ref="M20:M34" si="3">M19+K20-L20</f>
        <v>216374.26940000028</v>
      </c>
      <c r="N20" s="53"/>
    </row>
    <row r="21" spans="1:14">
      <c r="A21" s="28">
        <v>18</v>
      </c>
      <c r="B21" s="294">
        <v>45734</v>
      </c>
      <c r="C21" s="89"/>
      <c r="D21" s="94"/>
      <c r="E21" s="201">
        <v>0</v>
      </c>
      <c r="F21" s="201">
        <v>0</v>
      </c>
      <c r="G21" s="8">
        <f t="shared" si="0"/>
        <v>0</v>
      </c>
      <c r="H21" s="201">
        <v>4.8099999999999996</v>
      </c>
      <c r="I21" s="201">
        <v>103.89</v>
      </c>
      <c r="J21" s="8">
        <f t="shared" si="1"/>
        <v>499.71089999999998</v>
      </c>
      <c r="K21" s="8">
        <f t="shared" si="2"/>
        <v>499.71089999999998</v>
      </c>
      <c r="L21" s="202">
        <v>0</v>
      </c>
      <c r="M21" s="202">
        <f t="shared" si="3"/>
        <v>216873.98030000029</v>
      </c>
      <c r="N21" s="53"/>
    </row>
    <row r="22" spans="1:14">
      <c r="A22" s="28">
        <v>19</v>
      </c>
      <c r="B22" s="29">
        <v>45735</v>
      </c>
      <c r="C22" s="89"/>
      <c r="D22" s="94"/>
      <c r="E22" s="201">
        <v>165</v>
      </c>
      <c r="F22" s="201">
        <v>89.91</v>
      </c>
      <c r="G22" s="8">
        <f t="shared" si="0"/>
        <v>14835.15</v>
      </c>
      <c r="H22" s="201">
        <v>5</v>
      </c>
      <c r="I22" s="201">
        <v>103.89</v>
      </c>
      <c r="J22" s="8">
        <f t="shared" si="1"/>
        <v>519.45000000000005</v>
      </c>
      <c r="K22" s="8">
        <f t="shared" si="2"/>
        <v>15354.6</v>
      </c>
      <c r="L22" s="202">
        <v>0</v>
      </c>
      <c r="M22" s="202">
        <f t="shared" si="3"/>
        <v>232228.58030000029</v>
      </c>
      <c r="N22" s="53"/>
    </row>
    <row r="23" spans="1:14">
      <c r="A23" s="28">
        <v>20</v>
      </c>
      <c r="B23" s="294">
        <v>45736</v>
      </c>
      <c r="C23" s="89"/>
      <c r="D23" s="94"/>
      <c r="E23" s="201">
        <v>65</v>
      </c>
      <c r="F23" s="201">
        <v>89.91</v>
      </c>
      <c r="G23" s="8">
        <f t="shared" si="0"/>
        <v>5844.15</v>
      </c>
      <c r="H23" s="201">
        <v>10</v>
      </c>
      <c r="I23" s="201">
        <v>103.89</v>
      </c>
      <c r="J23" s="8">
        <f t="shared" si="1"/>
        <v>1038.9000000000001</v>
      </c>
      <c r="K23" s="8">
        <f t="shared" si="2"/>
        <v>6883.0499999999993</v>
      </c>
      <c r="L23" s="202">
        <v>0</v>
      </c>
      <c r="M23" s="202">
        <f t="shared" si="3"/>
        <v>239111.63030000028</v>
      </c>
      <c r="N23" s="53"/>
    </row>
    <row r="24" spans="1:14">
      <c r="A24" s="28">
        <v>21</v>
      </c>
      <c r="B24" s="29">
        <v>45737</v>
      </c>
      <c r="C24" s="89"/>
      <c r="D24" s="94"/>
      <c r="E24" s="201">
        <v>0</v>
      </c>
      <c r="F24" s="201">
        <v>0</v>
      </c>
      <c r="G24" s="8">
        <f t="shared" si="0"/>
        <v>0</v>
      </c>
      <c r="H24" s="201">
        <v>5</v>
      </c>
      <c r="I24" s="201">
        <v>103.89</v>
      </c>
      <c r="J24" s="8">
        <f t="shared" si="1"/>
        <v>519.45000000000005</v>
      </c>
      <c r="K24" s="8">
        <f t="shared" si="2"/>
        <v>519.45000000000005</v>
      </c>
      <c r="L24" s="202">
        <v>0</v>
      </c>
      <c r="M24" s="202">
        <f t="shared" si="3"/>
        <v>239631.08030000029</v>
      </c>
      <c r="N24" s="53"/>
    </row>
    <row r="25" spans="1:14">
      <c r="A25" s="28">
        <v>22</v>
      </c>
      <c r="B25" s="294">
        <v>45738</v>
      </c>
      <c r="C25" s="89"/>
      <c r="D25" s="94"/>
      <c r="E25" s="201">
        <v>200</v>
      </c>
      <c r="F25" s="201">
        <v>89.91</v>
      </c>
      <c r="G25" s="8">
        <f t="shared" si="0"/>
        <v>17982</v>
      </c>
      <c r="H25" s="201">
        <v>6</v>
      </c>
      <c r="I25" s="201">
        <v>103.89</v>
      </c>
      <c r="J25" s="8">
        <f t="shared" si="1"/>
        <v>623.34</v>
      </c>
      <c r="K25" s="8">
        <f t="shared" si="2"/>
        <v>18605.34</v>
      </c>
      <c r="L25" s="202">
        <v>0</v>
      </c>
      <c r="M25" s="202">
        <f t="shared" si="3"/>
        <v>258236.42030000029</v>
      </c>
      <c r="N25" s="53"/>
    </row>
    <row r="26" spans="1:14">
      <c r="A26" s="28">
        <v>23</v>
      </c>
      <c r="B26" s="29">
        <v>45739</v>
      </c>
      <c r="C26" s="89"/>
      <c r="D26" s="94"/>
      <c r="E26" s="201">
        <v>0</v>
      </c>
      <c r="F26" s="201">
        <v>0</v>
      </c>
      <c r="G26" s="8">
        <f t="shared" si="0"/>
        <v>0</v>
      </c>
      <c r="H26" s="201">
        <v>0</v>
      </c>
      <c r="I26" s="201">
        <v>0</v>
      </c>
      <c r="J26" s="8">
        <f t="shared" si="1"/>
        <v>0</v>
      </c>
      <c r="K26" s="8">
        <f t="shared" si="2"/>
        <v>0</v>
      </c>
      <c r="L26" s="202">
        <v>0</v>
      </c>
      <c r="M26" s="202">
        <f t="shared" si="3"/>
        <v>258236.42030000029</v>
      </c>
      <c r="N26" s="53"/>
    </row>
    <row r="27" spans="1:14">
      <c r="A27" s="28">
        <v>24</v>
      </c>
      <c r="B27" s="294">
        <v>45740</v>
      </c>
      <c r="C27" s="89"/>
      <c r="D27" s="94"/>
      <c r="E27" s="201">
        <v>213</v>
      </c>
      <c r="F27" s="201">
        <v>89.91</v>
      </c>
      <c r="G27" s="8">
        <f t="shared" si="0"/>
        <v>19150.829999999998</v>
      </c>
      <c r="H27" s="201">
        <v>10</v>
      </c>
      <c r="I27" s="201">
        <v>103.89</v>
      </c>
      <c r="J27" s="8">
        <f t="shared" si="1"/>
        <v>1038.9000000000001</v>
      </c>
      <c r="K27" s="8">
        <f t="shared" si="2"/>
        <v>20189.73</v>
      </c>
      <c r="L27" s="202">
        <v>0</v>
      </c>
      <c r="M27" s="202">
        <f t="shared" si="3"/>
        <v>278426.15030000027</v>
      </c>
      <c r="N27" s="53"/>
    </row>
    <row r="28" spans="1:14">
      <c r="A28" s="28">
        <v>25</v>
      </c>
      <c r="B28" s="29">
        <v>45741</v>
      </c>
      <c r="C28" s="89"/>
      <c r="D28" s="94"/>
      <c r="E28" s="201">
        <v>55</v>
      </c>
      <c r="F28" s="201">
        <v>89.91</v>
      </c>
      <c r="G28" s="8">
        <f t="shared" si="0"/>
        <v>4945.05</v>
      </c>
      <c r="H28" s="201">
        <v>6</v>
      </c>
      <c r="I28" s="201">
        <v>103.89</v>
      </c>
      <c r="J28" s="8">
        <f t="shared" si="1"/>
        <v>623.34</v>
      </c>
      <c r="K28" s="8">
        <f t="shared" si="2"/>
        <v>5568.39</v>
      </c>
      <c r="L28" s="202">
        <v>0</v>
      </c>
      <c r="M28" s="202">
        <f t="shared" si="3"/>
        <v>283994.54030000028</v>
      </c>
      <c r="N28" s="53"/>
    </row>
    <row r="29" spans="1:14">
      <c r="A29" s="28">
        <v>26</v>
      </c>
      <c r="B29" s="294">
        <v>45742</v>
      </c>
      <c r="C29" s="256"/>
      <c r="D29" s="245"/>
      <c r="E29" s="303">
        <v>286</v>
      </c>
      <c r="F29" s="201">
        <v>89.91</v>
      </c>
      <c r="G29" s="8">
        <f t="shared" si="0"/>
        <v>25714.26</v>
      </c>
      <c r="H29" s="201">
        <v>6</v>
      </c>
      <c r="I29" s="201">
        <v>103.89</v>
      </c>
      <c r="J29" s="8">
        <f t="shared" si="1"/>
        <v>623.34</v>
      </c>
      <c r="K29" s="8">
        <f t="shared" si="2"/>
        <v>26337.599999999999</v>
      </c>
      <c r="L29" s="202">
        <v>0</v>
      </c>
      <c r="M29" s="202">
        <f t="shared" si="3"/>
        <v>310332.14030000026</v>
      </c>
      <c r="N29" s="53"/>
    </row>
    <row r="30" spans="1:14">
      <c r="A30" s="28">
        <v>27</v>
      </c>
      <c r="B30" s="261">
        <v>45743</v>
      </c>
      <c r="C30" s="89"/>
      <c r="D30" s="94"/>
      <c r="E30" s="201">
        <v>0</v>
      </c>
      <c r="F30" s="302">
        <v>0</v>
      </c>
      <c r="G30" s="8">
        <f t="shared" si="0"/>
        <v>0</v>
      </c>
      <c r="H30" s="201">
        <v>0</v>
      </c>
      <c r="I30" s="201">
        <v>0</v>
      </c>
      <c r="J30" s="8">
        <f t="shared" si="1"/>
        <v>0</v>
      </c>
      <c r="K30" s="8">
        <f t="shared" si="2"/>
        <v>0</v>
      </c>
      <c r="L30" s="202">
        <v>0</v>
      </c>
      <c r="M30" s="202">
        <f t="shared" si="3"/>
        <v>310332.14030000026</v>
      </c>
      <c r="N30" s="53"/>
    </row>
    <row r="31" spans="1:14">
      <c r="A31" s="28">
        <v>28</v>
      </c>
      <c r="B31" s="301">
        <v>45744</v>
      </c>
      <c r="C31" s="89"/>
      <c r="D31" s="94"/>
      <c r="E31" s="201">
        <v>170</v>
      </c>
      <c r="F31" s="302">
        <v>89.91</v>
      </c>
      <c r="G31" s="8">
        <f t="shared" si="0"/>
        <v>15284.699999999999</v>
      </c>
      <c r="H31" s="201">
        <v>0</v>
      </c>
      <c r="I31" s="201">
        <v>0</v>
      </c>
      <c r="J31" s="8">
        <f t="shared" si="1"/>
        <v>0</v>
      </c>
      <c r="K31" s="8">
        <f t="shared" si="2"/>
        <v>15284.699999999999</v>
      </c>
      <c r="L31" s="202">
        <v>0</v>
      </c>
      <c r="M31" s="202">
        <f t="shared" si="3"/>
        <v>325616.84030000027</v>
      </c>
      <c r="N31" s="53"/>
    </row>
    <row r="32" spans="1:14">
      <c r="A32" s="28">
        <v>29</v>
      </c>
      <c r="B32" s="261">
        <v>45745</v>
      </c>
      <c r="C32" s="89"/>
      <c r="D32" s="94"/>
      <c r="E32" s="201">
        <v>95.1</v>
      </c>
      <c r="F32" s="302">
        <v>89.91</v>
      </c>
      <c r="G32" s="8">
        <f t="shared" si="0"/>
        <v>8550.4409999999989</v>
      </c>
      <c r="H32" s="201">
        <v>0</v>
      </c>
      <c r="I32" s="201">
        <v>0</v>
      </c>
      <c r="J32" s="8">
        <f t="shared" si="1"/>
        <v>0</v>
      </c>
      <c r="K32" s="8">
        <f t="shared" si="2"/>
        <v>8550.4409999999989</v>
      </c>
      <c r="L32" s="202">
        <v>322626.79690000007</v>
      </c>
      <c r="M32" s="202">
        <f t="shared" si="3"/>
        <v>11540.48440000019</v>
      </c>
      <c r="N32" s="53"/>
    </row>
    <row r="33" spans="1:15">
      <c r="A33" s="28">
        <v>30</v>
      </c>
      <c r="B33" s="301">
        <v>45746</v>
      </c>
      <c r="C33" s="89"/>
      <c r="D33" s="94"/>
      <c r="E33" s="201">
        <v>229.87</v>
      </c>
      <c r="F33" s="302">
        <v>89.91</v>
      </c>
      <c r="G33" s="8">
        <f t="shared" si="0"/>
        <v>20667.611700000001</v>
      </c>
      <c r="H33" s="201"/>
      <c r="I33" s="201"/>
      <c r="J33" s="8"/>
      <c r="K33" s="8">
        <f t="shared" si="2"/>
        <v>20667.611700000001</v>
      </c>
      <c r="L33" s="202"/>
      <c r="M33" s="202">
        <f t="shared" si="3"/>
        <v>32208.096100000192</v>
      </c>
      <c r="N33" s="53"/>
    </row>
    <row r="34" spans="1:15">
      <c r="A34" s="28">
        <v>31</v>
      </c>
      <c r="B34" s="261">
        <v>45747</v>
      </c>
      <c r="C34" s="89"/>
      <c r="D34" s="94"/>
      <c r="E34" s="201">
        <v>0</v>
      </c>
      <c r="F34" s="302">
        <v>0</v>
      </c>
      <c r="G34" s="8">
        <f t="shared" si="0"/>
        <v>0</v>
      </c>
      <c r="H34" s="201">
        <v>0</v>
      </c>
      <c r="I34" s="201">
        <v>0</v>
      </c>
      <c r="J34" s="8">
        <f t="shared" si="1"/>
        <v>0</v>
      </c>
      <c r="K34" s="8">
        <f t="shared" si="2"/>
        <v>0</v>
      </c>
      <c r="L34" s="202">
        <v>0</v>
      </c>
      <c r="M34" s="202">
        <f t="shared" si="3"/>
        <v>32208.096100000192</v>
      </c>
      <c r="N34" s="53"/>
    </row>
    <row r="35" spans="1:15">
      <c r="A35" s="197"/>
      <c r="B35" s="197"/>
      <c r="C35" s="197"/>
      <c r="D35" s="197"/>
      <c r="E35" s="198">
        <f>SUM(E4:E34)</f>
        <v>3332.32</v>
      </c>
      <c r="F35" s="198"/>
      <c r="G35" s="198">
        <f>SUM(G4:G34)</f>
        <v>299608.89119999995</v>
      </c>
      <c r="H35" s="198">
        <f>SUM(H4:H34)</f>
        <v>151.56</v>
      </c>
      <c r="I35" s="85"/>
      <c r="J35" s="198">
        <f>SUM(J4:J34)</f>
        <v>15745.568400000002</v>
      </c>
      <c r="K35" s="198">
        <f>SUM(K4:K34)</f>
        <v>315354.4596</v>
      </c>
      <c r="L35" s="198">
        <f>SUM(L4:L34)</f>
        <v>522626.79690000007</v>
      </c>
      <c r="M35" s="85"/>
      <c r="N35" s="85"/>
      <c r="O35" s="81"/>
    </row>
    <row r="36" spans="1:15">
      <c r="A36" s="96"/>
      <c r="B36" s="97"/>
      <c r="C36" s="96"/>
      <c r="D36" s="96"/>
      <c r="E36" s="98"/>
      <c r="F36" s="98"/>
      <c r="G36" s="98"/>
      <c r="H36" s="98"/>
      <c r="I36" s="98"/>
      <c r="J36" s="99"/>
      <c r="K36" s="99"/>
      <c r="L36" s="99"/>
      <c r="M36" s="99"/>
      <c r="N36" s="98"/>
    </row>
    <row r="42" spans="1:15">
      <c r="B42" s="81"/>
      <c r="G42" s="100"/>
      <c r="J42" s="81"/>
      <c r="K42" s="81"/>
      <c r="L42" s="81"/>
      <c r="M42" s="81"/>
      <c r="O42" s="98"/>
    </row>
    <row r="43" spans="1:15">
      <c r="B43" s="392"/>
      <c r="C43" s="392"/>
      <c r="D43" s="392"/>
      <c r="E43" s="392"/>
      <c r="I43" s="392"/>
      <c r="J43" s="392"/>
      <c r="K43" s="392"/>
      <c r="L43" s="392"/>
      <c r="M43" s="392"/>
      <c r="N43" s="392"/>
      <c r="O43" s="98"/>
    </row>
    <row r="44" spans="1:15">
      <c r="B44" s="81"/>
      <c r="J44" s="81"/>
      <c r="K44" s="81"/>
      <c r="L44" s="81"/>
      <c r="M44" s="81"/>
      <c r="O44" s="98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35F0-7189-4495-B3AE-C2E9CF5D0A6B}">
  <dimension ref="A1:N35"/>
  <sheetViews>
    <sheetView topLeftCell="A17" workbookViewId="0">
      <selection activeCell="J37" sqref="J37"/>
    </sheetView>
  </sheetViews>
  <sheetFormatPr defaultRowHeight="15"/>
  <cols>
    <col min="2" max="2" width="14.42578125" customWidth="1"/>
    <col min="4" max="4" width="19.140625" customWidth="1"/>
    <col min="5" max="5" width="17.7109375" customWidth="1"/>
    <col min="6" max="6" width="12.28515625" customWidth="1"/>
    <col min="7" max="7" width="12.85546875" style="24" customWidth="1"/>
    <col min="8" max="8" width="12" style="24" customWidth="1"/>
    <col min="9" max="9" width="9.140625" style="24"/>
    <col min="10" max="10" width="11.140625" style="24" customWidth="1"/>
    <col min="11" max="11" width="12" style="24" customWidth="1"/>
    <col min="12" max="12" width="11.85546875" style="24" customWidth="1"/>
    <col min="13" max="13" width="13.85546875" customWidth="1"/>
  </cols>
  <sheetData>
    <row r="1" spans="1:14" ht="15.75">
      <c r="A1" s="372" t="s">
        <v>53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</row>
    <row r="2" spans="1:14">
      <c r="A2" s="123" t="s">
        <v>91</v>
      </c>
      <c r="B2" s="124" t="s">
        <v>92</v>
      </c>
      <c r="C2" s="124" t="s">
        <v>93</v>
      </c>
      <c r="D2" s="124" t="s">
        <v>165</v>
      </c>
      <c r="E2" s="124" t="s">
        <v>95</v>
      </c>
      <c r="F2" s="124" t="s">
        <v>96</v>
      </c>
      <c r="G2" s="336" t="s">
        <v>97</v>
      </c>
      <c r="H2" s="336" t="s">
        <v>98</v>
      </c>
      <c r="I2" s="336" t="s">
        <v>96</v>
      </c>
      <c r="J2" s="336" t="s">
        <v>97</v>
      </c>
      <c r="K2" s="337" t="s">
        <v>99</v>
      </c>
      <c r="L2" s="337" t="s">
        <v>100</v>
      </c>
      <c r="M2" s="174" t="s">
        <v>101</v>
      </c>
      <c r="N2" s="126" t="s">
        <v>102</v>
      </c>
    </row>
    <row r="3" spans="1:14">
      <c r="A3" s="417" t="s">
        <v>103</v>
      </c>
      <c r="B3" s="418"/>
      <c r="C3" s="418"/>
      <c r="D3" s="418"/>
      <c r="E3" s="418"/>
      <c r="F3" s="418"/>
      <c r="G3" s="418"/>
      <c r="H3" s="418"/>
      <c r="I3" s="418"/>
      <c r="J3" s="419"/>
      <c r="K3" s="291">
        <v>0</v>
      </c>
      <c r="L3" s="291"/>
      <c r="M3" s="214">
        <f>+K3</f>
        <v>0</v>
      </c>
      <c r="N3" s="292"/>
    </row>
    <row r="4" spans="1:14">
      <c r="A4" s="28">
        <v>1</v>
      </c>
      <c r="B4" s="29">
        <v>45717</v>
      </c>
      <c r="C4" s="19"/>
      <c r="D4" s="19"/>
      <c r="E4" s="19">
        <v>60</v>
      </c>
      <c r="F4" s="19">
        <v>89.59</v>
      </c>
      <c r="G4" s="51">
        <f>E4*F4</f>
        <v>5375.4000000000005</v>
      </c>
      <c r="H4" s="51"/>
      <c r="I4" s="51"/>
      <c r="J4" s="51"/>
      <c r="K4" s="51">
        <f>G4+J4</f>
        <v>5375.4000000000005</v>
      </c>
      <c r="L4" s="51">
        <f>+K4</f>
        <v>5375.4000000000005</v>
      </c>
      <c r="M4" s="19"/>
      <c r="N4" s="19"/>
    </row>
    <row r="5" spans="1:14">
      <c r="A5" s="28">
        <v>2</v>
      </c>
      <c r="B5" s="294">
        <v>45718</v>
      </c>
      <c r="C5" s="19"/>
      <c r="D5" s="19"/>
      <c r="E5" s="19">
        <v>60</v>
      </c>
      <c r="F5" s="19">
        <v>89.59</v>
      </c>
      <c r="G5" s="51">
        <f>E5*F5</f>
        <v>5375.4000000000005</v>
      </c>
      <c r="H5" s="51"/>
      <c r="I5" s="51"/>
      <c r="J5" s="51">
        <f>H5*I5</f>
        <v>0</v>
      </c>
      <c r="K5" s="51">
        <f>G5+J5</f>
        <v>5375.4000000000005</v>
      </c>
      <c r="L5" s="51">
        <f>+K5</f>
        <v>5375.4000000000005</v>
      </c>
      <c r="M5" s="19"/>
      <c r="N5" s="19"/>
    </row>
    <row r="6" spans="1:14">
      <c r="A6" s="28">
        <v>3</v>
      </c>
      <c r="B6" s="29">
        <v>45719</v>
      </c>
      <c r="C6" s="19"/>
      <c r="D6" s="19"/>
      <c r="E6" s="19"/>
      <c r="F6" s="19"/>
      <c r="G6" s="51">
        <f t="shared" ref="G6:G17" si="0">E6*F6</f>
        <v>0</v>
      </c>
      <c r="H6" s="51"/>
      <c r="I6" s="51"/>
      <c r="J6" s="51">
        <f t="shared" ref="J6:J17" si="1">H6*I6</f>
        <v>0</v>
      </c>
      <c r="K6" s="51">
        <f t="shared" ref="K6:K17" si="2">G6+J6</f>
        <v>0</v>
      </c>
      <c r="L6" s="51">
        <f t="shared" ref="L6:L17" si="3">+K6</f>
        <v>0</v>
      </c>
      <c r="M6" s="19"/>
      <c r="N6" s="19"/>
    </row>
    <row r="7" spans="1:14">
      <c r="A7" s="28">
        <v>4</v>
      </c>
      <c r="B7" s="294">
        <v>45720</v>
      </c>
      <c r="C7" s="19"/>
      <c r="D7" s="19"/>
      <c r="E7" s="19"/>
      <c r="F7" s="19"/>
      <c r="G7" s="51">
        <f t="shared" si="0"/>
        <v>0</v>
      </c>
      <c r="H7" s="51"/>
      <c r="I7" s="51"/>
      <c r="J7" s="51">
        <f t="shared" si="1"/>
        <v>0</v>
      </c>
      <c r="K7" s="51">
        <f t="shared" si="2"/>
        <v>0</v>
      </c>
      <c r="L7" s="51">
        <f t="shared" si="3"/>
        <v>0</v>
      </c>
      <c r="M7" s="19"/>
      <c r="N7" s="19"/>
    </row>
    <row r="8" spans="1:14">
      <c r="A8" s="28">
        <v>5</v>
      </c>
      <c r="B8" s="29">
        <v>45721</v>
      </c>
      <c r="C8" s="19"/>
      <c r="D8" s="19"/>
      <c r="E8" s="19">
        <v>60</v>
      </c>
      <c r="F8" s="19">
        <v>89.58</v>
      </c>
      <c r="G8" s="51">
        <f t="shared" si="0"/>
        <v>5374.8</v>
      </c>
      <c r="H8" s="51">
        <v>5</v>
      </c>
      <c r="I8" s="51">
        <v>103.53</v>
      </c>
      <c r="J8" s="51">
        <f t="shared" si="1"/>
        <v>517.65</v>
      </c>
      <c r="K8" s="51">
        <f t="shared" si="2"/>
        <v>5892.45</v>
      </c>
      <c r="L8" s="51">
        <f t="shared" si="3"/>
        <v>5892.45</v>
      </c>
      <c r="M8" s="19"/>
      <c r="N8" s="19"/>
    </row>
    <row r="9" spans="1:14">
      <c r="A9" s="28">
        <v>6</v>
      </c>
      <c r="B9" s="294">
        <v>45722</v>
      </c>
      <c r="C9" s="19"/>
      <c r="D9" s="19"/>
      <c r="E9" s="19">
        <v>30</v>
      </c>
      <c r="F9" s="19">
        <v>89.58</v>
      </c>
      <c r="G9" s="51">
        <f t="shared" si="0"/>
        <v>2687.4</v>
      </c>
      <c r="H9" s="51"/>
      <c r="I9" s="51"/>
      <c r="J9" s="51">
        <f t="shared" si="1"/>
        <v>0</v>
      </c>
      <c r="K9" s="51">
        <f t="shared" si="2"/>
        <v>2687.4</v>
      </c>
      <c r="L9" s="51">
        <f t="shared" si="3"/>
        <v>2687.4</v>
      </c>
      <c r="M9" s="19"/>
      <c r="N9" s="19"/>
    </row>
    <row r="10" spans="1:14">
      <c r="A10" s="28">
        <v>7</v>
      </c>
      <c r="B10" s="29">
        <v>45723</v>
      </c>
      <c r="C10" s="19"/>
      <c r="D10" s="19"/>
      <c r="E10" s="19">
        <v>41.16</v>
      </c>
      <c r="F10" s="19">
        <v>89.58</v>
      </c>
      <c r="G10" s="51">
        <f t="shared" si="0"/>
        <v>3687.1127999999994</v>
      </c>
      <c r="H10" s="51"/>
      <c r="I10" s="51"/>
      <c r="J10" s="51">
        <f t="shared" si="1"/>
        <v>0</v>
      </c>
      <c r="K10" s="51">
        <f t="shared" si="2"/>
        <v>3687.1127999999994</v>
      </c>
      <c r="L10" s="51">
        <f t="shared" si="3"/>
        <v>3687.1127999999994</v>
      </c>
      <c r="M10" s="19"/>
      <c r="N10" s="19"/>
    </row>
    <row r="11" spans="1:14">
      <c r="A11" s="28">
        <v>8</v>
      </c>
      <c r="B11" s="294">
        <v>45724</v>
      </c>
      <c r="C11" s="19"/>
      <c r="D11" s="19"/>
      <c r="E11" s="19">
        <v>60</v>
      </c>
      <c r="F11" s="19">
        <v>89.58</v>
      </c>
      <c r="G11" s="51">
        <f t="shared" si="0"/>
        <v>5374.8</v>
      </c>
      <c r="H11" s="51"/>
      <c r="I11" s="51"/>
      <c r="J11" s="51">
        <f t="shared" si="1"/>
        <v>0</v>
      </c>
      <c r="K11" s="51">
        <f t="shared" si="2"/>
        <v>5374.8</v>
      </c>
      <c r="L11" s="51">
        <f t="shared" si="3"/>
        <v>5374.8</v>
      </c>
      <c r="M11" s="19"/>
      <c r="N11" s="19"/>
    </row>
    <row r="12" spans="1:14">
      <c r="A12" s="28">
        <v>9</v>
      </c>
      <c r="B12" s="29">
        <v>45725</v>
      </c>
      <c r="C12" s="19"/>
      <c r="D12" s="19"/>
      <c r="E12" s="19"/>
      <c r="F12" s="19"/>
      <c r="G12" s="51">
        <f t="shared" si="0"/>
        <v>0</v>
      </c>
      <c r="H12" s="51"/>
      <c r="I12" s="51"/>
      <c r="J12" s="51">
        <f t="shared" si="1"/>
        <v>0</v>
      </c>
      <c r="K12" s="51">
        <f t="shared" si="2"/>
        <v>0</v>
      </c>
      <c r="L12" s="51">
        <f t="shared" si="3"/>
        <v>0</v>
      </c>
      <c r="M12" s="19"/>
      <c r="N12" s="19"/>
    </row>
    <row r="13" spans="1:14">
      <c r="A13" s="28">
        <v>10</v>
      </c>
      <c r="B13" s="294">
        <v>45726</v>
      </c>
      <c r="C13" s="19"/>
      <c r="D13" s="19"/>
      <c r="E13" s="19"/>
      <c r="F13" s="19"/>
      <c r="G13" s="51">
        <f t="shared" si="0"/>
        <v>0</v>
      </c>
      <c r="H13" s="51">
        <v>6</v>
      </c>
      <c r="I13" s="51">
        <v>103.53</v>
      </c>
      <c r="J13" s="51">
        <f t="shared" si="1"/>
        <v>621.18000000000006</v>
      </c>
      <c r="K13" s="51">
        <f t="shared" si="2"/>
        <v>621.18000000000006</v>
      </c>
      <c r="L13" s="51">
        <f t="shared" si="3"/>
        <v>621.18000000000006</v>
      </c>
      <c r="M13" s="19"/>
      <c r="N13" s="19"/>
    </row>
    <row r="14" spans="1:14">
      <c r="A14" s="28">
        <v>11</v>
      </c>
      <c r="B14" s="29">
        <v>45727</v>
      </c>
      <c r="C14" s="19"/>
      <c r="D14" s="19"/>
      <c r="E14" s="19"/>
      <c r="F14" s="19"/>
      <c r="G14" s="51">
        <f t="shared" si="0"/>
        <v>0</v>
      </c>
      <c r="H14" s="51"/>
      <c r="I14" s="51"/>
      <c r="J14" s="51">
        <f t="shared" si="1"/>
        <v>0</v>
      </c>
      <c r="K14" s="51">
        <f t="shared" si="2"/>
        <v>0</v>
      </c>
      <c r="L14" s="51">
        <f t="shared" si="3"/>
        <v>0</v>
      </c>
      <c r="M14" s="19"/>
      <c r="N14" s="19"/>
    </row>
    <row r="15" spans="1:14">
      <c r="A15" s="28">
        <v>12</v>
      </c>
      <c r="B15" s="294">
        <v>45728</v>
      </c>
      <c r="C15" s="19"/>
      <c r="D15" s="19"/>
      <c r="E15" s="19"/>
      <c r="F15" s="19"/>
      <c r="G15" s="51">
        <f t="shared" si="0"/>
        <v>0</v>
      </c>
      <c r="H15" s="51"/>
      <c r="I15" s="51"/>
      <c r="J15" s="51">
        <f t="shared" si="1"/>
        <v>0</v>
      </c>
      <c r="K15" s="51">
        <f t="shared" si="2"/>
        <v>0</v>
      </c>
      <c r="L15" s="51">
        <f t="shared" si="3"/>
        <v>0</v>
      </c>
      <c r="M15" s="19"/>
      <c r="N15" s="19"/>
    </row>
    <row r="16" spans="1:14">
      <c r="A16" s="28">
        <v>13</v>
      </c>
      <c r="B16" s="29">
        <v>45729</v>
      </c>
      <c r="C16" s="19"/>
      <c r="D16" s="19"/>
      <c r="E16" s="19"/>
      <c r="F16" s="19"/>
      <c r="G16" s="51">
        <f t="shared" si="0"/>
        <v>0</v>
      </c>
      <c r="H16" s="51"/>
      <c r="I16" s="51"/>
      <c r="J16" s="51">
        <f t="shared" si="1"/>
        <v>0</v>
      </c>
      <c r="K16" s="51">
        <f t="shared" si="2"/>
        <v>0</v>
      </c>
      <c r="L16" s="51">
        <f t="shared" si="3"/>
        <v>0</v>
      </c>
      <c r="M16" s="19"/>
      <c r="N16" s="19"/>
    </row>
    <row r="17" spans="1:14">
      <c r="A17" s="28">
        <v>14</v>
      </c>
      <c r="B17" s="294">
        <v>45730</v>
      </c>
      <c r="C17" s="19"/>
      <c r="D17" s="19"/>
      <c r="E17" s="19">
        <v>30</v>
      </c>
      <c r="F17" s="19">
        <v>89.58</v>
      </c>
      <c r="G17" s="51">
        <f t="shared" si="0"/>
        <v>2687.4</v>
      </c>
      <c r="H17" s="51"/>
      <c r="I17" s="51"/>
      <c r="J17" s="51">
        <f t="shared" si="1"/>
        <v>0</v>
      </c>
      <c r="K17" s="51">
        <f t="shared" si="2"/>
        <v>2687.4</v>
      </c>
      <c r="L17" s="51">
        <f t="shared" si="3"/>
        <v>2687.4</v>
      </c>
      <c r="M17" s="19"/>
      <c r="N17" s="19"/>
    </row>
    <row r="18" spans="1:14">
      <c r="A18" s="28">
        <v>15</v>
      </c>
      <c r="B18" s="29">
        <v>45731</v>
      </c>
      <c r="C18" s="19"/>
      <c r="D18" s="19"/>
      <c r="E18" s="19"/>
      <c r="F18" s="19"/>
      <c r="G18" s="51">
        <f t="shared" ref="G18:G33" si="4">E18*F18</f>
        <v>0</v>
      </c>
      <c r="H18" s="51"/>
      <c r="I18" s="51"/>
      <c r="J18" s="51">
        <f t="shared" ref="J18:J21" si="5">H18*I18</f>
        <v>0</v>
      </c>
      <c r="K18" s="51">
        <f t="shared" ref="K18:K21" si="6">G18+J18</f>
        <v>0</v>
      </c>
      <c r="L18" s="51">
        <f t="shared" ref="L18:L21" si="7">+K18</f>
        <v>0</v>
      </c>
      <c r="M18" s="19"/>
      <c r="N18" s="19"/>
    </row>
    <row r="19" spans="1:14">
      <c r="A19" s="28">
        <v>16</v>
      </c>
      <c r="B19" s="294">
        <v>45732</v>
      </c>
      <c r="C19" s="19"/>
      <c r="D19" s="19"/>
      <c r="E19" s="19"/>
      <c r="F19" s="19"/>
      <c r="G19" s="51">
        <f t="shared" si="4"/>
        <v>0</v>
      </c>
      <c r="H19" s="51"/>
      <c r="I19" s="51"/>
      <c r="J19" s="51">
        <f t="shared" si="5"/>
        <v>0</v>
      </c>
      <c r="K19" s="51">
        <f t="shared" si="6"/>
        <v>0</v>
      </c>
      <c r="L19" s="51">
        <f t="shared" si="7"/>
        <v>0</v>
      </c>
      <c r="M19" s="19"/>
      <c r="N19" s="19"/>
    </row>
    <row r="20" spans="1:14">
      <c r="A20" s="28">
        <v>17</v>
      </c>
      <c r="B20" s="29">
        <v>45733</v>
      </c>
      <c r="C20" s="19"/>
      <c r="D20" s="19"/>
      <c r="E20" s="19">
        <v>20</v>
      </c>
      <c r="F20" s="19">
        <v>89.58</v>
      </c>
      <c r="G20" s="51">
        <f t="shared" si="4"/>
        <v>1791.6</v>
      </c>
      <c r="H20" s="51"/>
      <c r="I20" s="51"/>
      <c r="J20" s="51">
        <f t="shared" si="5"/>
        <v>0</v>
      </c>
      <c r="K20" s="51">
        <f t="shared" si="6"/>
        <v>1791.6</v>
      </c>
      <c r="L20" s="51">
        <f t="shared" si="7"/>
        <v>1791.6</v>
      </c>
      <c r="M20" s="19"/>
      <c r="N20" s="19"/>
    </row>
    <row r="21" spans="1:14">
      <c r="A21" s="28">
        <v>18</v>
      </c>
      <c r="B21" s="294">
        <v>45734</v>
      </c>
      <c r="C21" s="19"/>
      <c r="D21" s="19"/>
      <c r="E21" s="19">
        <v>40</v>
      </c>
      <c r="F21" s="19">
        <v>89.58</v>
      </c>
      <c r="G21" s="51">
        <f t="shared" si="4"/>
        <v>3583.2</v>
      </c>
      <c r="H21" s="51">
        <v>7.73</v>
      </c>
      <c r="I21" s="51">
        <v>103.53</v>
      </c>
      <c r="J21" s="51">
        <f t="shared" si="5"/>
        <v>800.28690000000006</v>
      </c>
      <c r="K21" s="51">
        <f t="shared" si="6"/>
        <v>4383.4868999999999</v>
      </c>
      <c r="L21" s="51">
        <f t="shared" si="7"/>
        <v>4383.4868999999999</v>
      </c>
      <c r="M21" s="19"/>
      <c r="N21" s="19"/>
    </row>
    <row r="22" spans="1:14">
      <c r="A22" s="28">
        <v>19</v>
      </c>
      <c r="B22" s="29">
        <v>45735</v>
      </c>
      <c r="C22" s="19"/>
      <c r="D22" s="19"/>
      <c r="E22" s="19"/>
      <c r="F22" s="19"/>
      <c r="G22" s="51">
        <f t="shared" si="4"/>
        <v>0</v>
      </c>
      <c r="H22" s="51"/>
      <c r="I22" s="51"/>
      <c r="J22" s="51"/>
      <c r="K22" s="51">
        <f t="shared" ref="K22:K24" si="8">G22+J22</f>
        <v>0</v>
      </c>
      <c r="L22" s="51">
        <f t="shared" ref="L22:L24" si="9">+K22</f>
        <v>0</v>
      </c>
      <c r="M22" s="19"/>
      <c r="N22" s="19"/>
    </row>
    <row r="23" spans="1:14">
      <c r="A23" s="28">
        <v>20</v>
      </c>
      <c r="B23" s="294">
        <v>45736</v>
      </c>
      <c r="C23" s="19"/>
      <c r="D23" s="19"/>
      <c r="E23" s="19"/>
      <c r="F23" s="19"/>
      <c r="G23" s="51">
        <f t="shared" si="4"/>
        <v>0</v>
      </c>
      <c r="H23" s="51"/>
      <c r="I23" s="51"/>
      <c r="J23" s="51"/>
      <c r="K23" s="51">
        <f t="shared" si="8"/>
        <v>0</v>
      </c>
      <c r="L23" s="51">
        <f t="shared" si="9"/>
        <v>0</v>
      </c>
      <c r="M23" s="19"/>
      <c r="N23" s="19"/>
    </row>
    <row r="24" spans="1:14">
      <c r="A24" s="28">
        <v>21</v>
      </c>
      <c r="B24" s="29">
        <v>45737</v>
      </c>
      <c r="C24" s="19"/>
      <c r="D24" s="19"/>
      <c r="E24" s="19">
        <v>20</v>
      </c>
      <c r="F24" s="19">
        <v>89.58</v>
      </c>
      <c r="G24" s="51">
        <f t="shared" si="4"/>
        <v>1791.6</v>
      </c>
      <c r="H24" s="51"/>
      <c r="I24" s="51"/>
      <c r="J24" s="51"/>
      <c r="K24" s="51">
        <f t="shared" si="8"/>
        <v>1791.6</v>
      </c>
      <c r="L24" s="51">
        <f t="shared" si="9"/>
        <v>1791.6</v>
      </c>
      <c r="M24" s="19"/>
      <c r="N24" s="19"/>
    </row>
    <row r="25" spans="1:14">
      <c r="A25" s="28">
        <v>22</v>
      </c>
      <c r="B25" s="294">
        <v>45738</v>
      </c>
      <c r="C25" s="19"/>
      <c r="D25" s="19"/>
      <c r="E25" s="19"/>
      <c r="F25" s="19"/>
      <c r="G25" s="51">
        <f t="shared" si="4"/>
        <v>0</v>
      </c>
      <c r="H25" s="51"/>
      <c r="I25" s="51"/>
      <c r="J25" s="51"/>
      <c r="K25" s="51">
        <f t="shared" ref="K25:K26" si="10">G25+J25</f>
        <v>0</v>
      </c>
      <c r="L25" s="51">
        <f t="shared" ref="L25:L26" si="11">+K25</f>
        <v>0</v>
      </c>
      <c r="M25" s="19"/>
      <c r="N25" s="19"/>
    </row>
    <row r="26" spans="1:14">
      <c r="A26" s="28">
        <v>23</v>
      </c>
      <c r="B26" s="29">
        <v>45739</v>
      </c>
      <c r="C26" s="19"/>
      <c r="D26" s="19"/>
      <c r="E26" s="19">
        <v>10</v>
      </c>
      <c r="F26" s="19">
        <v>89.58</v>
      </c>
      <c r="G26" s="51">
        <f t="shared" si="4"/>
        <v>895.8</v>
      </c>
      <c r="H26" s="51"/>
      <c r="I26" s="51"/>
      <c r="J26" s="51"/>
      <c r="K26" s="51">
        <f t="shared" si="10"/>
        <v>895.8</v>
      </c>
      <c r="L26" s="51">
        <f t="shared" si="11"/>
        <v>895.8</v>
      </c>
      <c r="M26" s="19"/>
      <c r="N26" s="19"/>
    </row>
    <row r="27" spans="1:14">
      <c r="A27" s="28">
        <v>24</v>
      </c>
      <c r="B27" s="294">
        <v>45740</v>
      </c>
      <c r="C27" s="19"/>
      <c r="D27" s="19"/>
      <c r="E27" s="19"/>
      <c r="F27" s="19"/>
      <c r="G27" s="51">
        <f t="shared" si="4"/>
        <v>0</v>
      </c>
      <c r="H27" s="51"/>
      <c r="I27" s="51"/>
      <c r="J27" s="51"/>
      <c r="K27" s="51">
        <f t="shared" ref="K27:K29" si="12">G27+J27</f>
        <v>0</v>
      </c>
      <c r="L27" s="51">
        <f t="shared" ref="L27:L29" si="13">+K27</f>
        <v>0</v>
      </c>
      <c r="M27" s="19"/>
      <c r="N27" s="19"/>
    </row>
    <row r="28" spans="1:14">
      <c r="A28" s="28">
        <v>25</v>
      </c>
      <c r="B28" s="29">
        <v>45741</v>
      </c>
      <c r="C28" s="19"/>
      <c r="D28" s="19"/>
      <c r="E28" s="19">
        <v>30</v>
      </c>
      <c r="F28" s="19">
        <v>89.58</v>
      </c>
      <c r="G28" s="51">
        <f t="shared" si="4"/>
        <v>2687.4</v>
      </c>
      <c r="H28" s="51"/>
      <c r="I28" s="51"/>
      <c r="J28" s="51"/>
      <c r="K28" s="51">
        <f t="shared" si="12"/>
        <v>2687.4</v>
      </c>
      <c r="L28" s="51">
        <f t="shared" si="13"/>
        <v>2687.4</v>
      </c>
      <c r="M28" s="19"/>
      <c r="N28" s="19"/>
    </row>
    <row r="29" spans="1:14">
      <c r="A29" s="28">
        <v>26</v>
      </c>
      <c r="B29" s="294">
        <v>45742</v>
      </c>
      <c r="C29" s="19"/>
      <c r="D29" s="19"/>
      <c r="E29" s="19">
        <v>50</v>
      </c>
      <c r="F29" s="19">
        <v>89.58</v>
      </c>
      <c r="G29" s="51">
        <f t="shared" si="4"/>
        <v>4479</v>
      </c>
      <c r="H29" s="51"/>
      <c r="I29" s="51"/>
      <c r="J29" s="51"/>
      <c r="K29" s="51">
        <f t="shared" si="12"/>
        <v>4479</v>
      </c>
      <c r="L29" s="51">
        <f t="shared" si="13"/>
        <v>4479</v>
      </c>
      <c r="M29" s="19"/>
      <c r="N29" s="19"/>
    </row>
    <row r="30" spans="1:14">
      <c r="A30" s="28">
        <v>27</v>
      </c>
      <c r="B30" s="261">
        <v>45743</v>
      </c>
      <c r="C30" s="19"/>
      <c r="D30" s="19"/>
      <c r="E30" s="19">
        <v>30</v>
      </c>
      <c r="F30" s="19">
        <v>89.58</v>
      </c>
      <c r="G30" s="51">
        <f t="shared" si="4"/>
        <v>2687.4</v>
      </c>
      <c r="H30" s="51"/>
      <c r="I30" s="51"/>
      <c r="J30" s="51"/>
      <c r="K30" s="51">
        <f t="shared" ref="K30" si="14">G30+J30</f>
        <v>2687.4</v>
      </c>
      <c r="L30" s="51">
        <f t="shared" ref="L30" si="15">+K30</f>
        <v>2687.4</v>
      </c>
      <c r="M30" s="19"/>
      <c r="N30" s="19"/>
    </row>
    <row r="31" spans="1:14">
      <c r="A31" s="304">
        <v>28</v>
      </c>
      <c r="B31" s="305">
        <v>45744</v>
      </c>
      <c r="C31" s="119"/>
      <c r="D31" s="119"/>
      <c r="E31" s="119"/>
      <c r="F31" s="119"/>
      <c r="G31" s="51">
        <f t="shared" si="4"/>
        <v>0</v>
      </c>
      <c r="H31" s="287"/>
      <c r="I31" s="287"/>
      <c r="J31" s="287"/>
      <c r="K31" s="51">
        <f t="shared" ref="K31:K33" si="16">G31+J31</f>
        <v>0</v>
      </c>
      <c r="L31" s="51">
        <f t="shared" ref="L31:L33" si="17">+K31</f>
        <v>0</v>
      </c>
      <c r="M31" s="19"/>
      <c r="N31" s="119"/>
    </row>
    <row r="32" spans="1:14">
      <c r="A32" s="28">
        <v>29</v>
      </c>
      <c r="B32" s="29">
        <v>45745</v>
      </c>
      <c r="C32" s="19"/>
      <c r="D32" s="19"/>
      <c r="E32" s="19"/>
      <c r="F32" s="19"/>
      <c r="G32" s="51">
        <f t="shared" si="4"/>
        <v>0</v>
      </c>
      <c r="H32" s="51"/>
      <c r="I32" s="51"/>
      <c r="J32" s="51"/>
      <c r="K32" s="51">
        <f t="shared" si="16"/>
        <v>0</v>
      </c>
      <c r="L32" s="51">
        <f t="shared" si="17"/>
        <v>0</v>
      </c>
      <c r="M32" s="19"/>
      <c r="N32" s="19"/>
    </row>
    <row r="33" spans="1:14">
      <c r="A33" s="28">
        <v>30</v>
      </c>
      <c r="B33" s="294">
        <v>45746</v>
      </c>
      <c r="C33" s="19"/>
      <c r="D33" s="19"/>
      <c r="E33" s="19">
        <v>21</v>
      </c>
      <c r="F33" s="19">
        <v>89.58</v>
      </c>
      <c r="G33" s="51">
        <f t="shared" si="4"/>
        <v>1881.18</v>
      </c>
      <c r="H33" s="51"/>
      <c r="I33" s="51"/>
      <c r="J33" s="51"/>
      <c r="K33" s="51">
        <f t="shared" si="16"/>
        <v>1881.18</v>
      </c>
      <c r="L33" s="51">
        <f t="shared" si="17"/>
        <v>1881.18</v>
      </c>
      <c r="M33" s="19"/>
      <c r="N33" s="19"/>
    </row>
    <row r="34" spans="1:14">
      <c r="A34" s="28">
        <v>31</v>
      </c>
      <c r="B34" s="29">
        <v>45747</v>
      </c>
      <c r="C34" s="19"/>
      <c r="D34" s="19"/>
      <c r="E34" s="19"/>
      <c r="F34" s="19"/>
      <c r="G34" s="51"/>
      <c r="H34" s="51"/>
      <c r="I34" s="51"/>
      <c r="J34" s="51"/>
      <c r="K34" s="51"/>
      <c r="L34" s="51"/>
      <c r="M34" s="19"/>
      <c r="N34" s="19"/>
    </row>
    <row r="35" spans="1:14">
      <c r="A35" s="227"/>
      <c r="B35" s="227"/>
      <c r="C35" s="227"/>
      <c r="D35" s="227"/>
      <c r="E35" s="227">
        <f>SUM(E4:E34)</f>
        <v>562.16</v>
      </c>
      <c r="F35" s="227"/>
      <c r="G35" s="227">
        <f>SUM(G4:G34)</f>
        <v>50359.492800000007</v>
      </c>
      <c r="H35" s="227">
        <f>SUM(H4:H34)</f>
        <v>18.73</v>
      </c>
      <c r="I35" s="227"/>
      <c r="J35" s="227">
        <f>SUM(J4:J34)</f>
        <v>1939.1169</v>
      </c>
      <c r="K35" s="227">
        <f>SUM(K4:K34)</f>
        <v>52298.609700000001</v>
      </c>
      <c r="L35" s="227">
        <f>SUM(L4:L34)</f>
        <v>52298.609700000001</v>
      </c>
      <c r="M35" s="227"/>
      <c r="N35" s="227"/>
    </row>
  </sheetData>
  <mergeCells count="2">
    <mergeCell ref="A1:N1"/>
    <mergeCell ref="A3:J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E2204-C6ED-4369-81D2-ED69740A2A89}">
  <dimension ref="A1:P209"/>
  <sheetViews>
    <sheetView workbookViewId="0">
      <selection activeCell="L214" sqref="L214"/>
    </sheetView>
  </sheetViews>
  <sheetFormatPr defaultRowHeight="15"/>
  <cols>
    <col min="2" max="2" width="11.5703125" customWidth="1"/>
    <col min="3" max="3" width="40.7109375" customWidth="1"/>
    <col min="4" max="4" width="19.7109375" customWidth="1"/>
    <col min="5" max="5" width="21.5703125" customWidth="1"/>
    <col min="6" max="6" width="13.42578125" customWidth="1"/>
    <col min="8" max="8" width="14.85546875" customWidth="1"/>
    <col min="10" max="10" width="15.5703125" customWidth="1"/>
    <col min="11" max="11" width="13.140625" customWidth="1"/>
    <col min="12" max="12" width="13.28515625" customWidth="1"/>
    <col min="13" max="13" width="19" customWidth="1"/>
    <col min="14" max="14" width="17.42578125" style="24" customWidth="1"/>
    <col min="15" max="15" width="19.5703125" customWidth="1"/>
    <col min="16" max="16" width="16.28515625" customWidth="1"/>
  </cols>
  <sheetData>
    <row r="1" spans="1:16" ht="15.75">
      <c r="A1" s="386" t="s">
        <v>191</v>
      </c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  <c r="M1" s="386"/>
      <c r="N1" s="386"/>
      <c r="O1" s="386"/>
      <c r="P1" s="386"/>
    </row>
    <row r="2" spans="1:16" ht="26.25" customHeight="1">
      <c r="A2" s="151" t="s">
        <v>91</v>
      </c>
      <c r="B2" s="319" t="s">
        <v>92</v>
      </c>
      <c r="C2" s="152" t="s">
        <v>192</v>
      </c>
      <c r="D2" s="152" t="s">
        <v>193</v>
      </c>
      <c r="E2" s="152" t="s">
        <v>194</v>
      </c>
      <c r="F2" s="152" t="s">
        <v>95</v>
      </c>
      <c r="G2" s="152" t="s">
        <v>96</v>
      </c>
      <c r="H2" s="290" t="s">
        <v>97</v>
      </c>
      <c r="I2" s="152" t="s">
        <v>98</v>
      </c>
      <c r="J2" s="152" t="s">
        <v>96</v>
      </c>
      <c r="K2" s="290" t="s">
        <v>97</v>
      </c>
      <c r="L2" s="151" t="s">
        <v>99</v>
      </c>
      <c r="M2" s="217" t="s">
        <v>195</v>
      </c>
      <c r="N2" s="217" t="s">
        <v>101</v>
      </c>
      <c r="O2" s="152" t="s">
        <v>102</v>
      </c>
      <c r="P2" s="152" t="s">
        <v>196</v>
      </c>
    </row>
    <row r="3" spans="1:16">
      <c r="A3" s="383" t="s">
        <v>103</v>
      </c>
      <c r="B3" s="383"/>
      <c r="C3" s="383"/>
      <c r="D3" s="383"/>
      <c r="E3" s="383"/>
      <c r="F3" s="383"/>
      <c r="G3" s="383"/>
      <c r="H3" s="383"/>
      <c r="I3" s="383"/>
      <c r="J3" s="383"/>
      <c r="K3" s="383"/>
      <c r="L3" s="318">
        <v>37954.49</v>
      </c>
      <c r="M3" s="65"/>
      <c r="N3" s="51"/>
      <c r="O3" s="19"/>
      <c r="P3" s="19"/>
    </row>
    <row r="4" spans="1:16">
      <c r="A4" s="297"/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318"/>
      <c r="M4" s="65"/>
      <c r="N4" s="51">
        <v>37954.49</v>
      </c>
      <c r="O4" s="19"/>
      <c r="P4" s="19"/>
    </row>
    <row r="5" spans="1:16">
      <c r="A5" s="167">
        <v>1</v>
      </c>
      <c r="B5" s="167" t="s">
        <v>197</v>
      </c>
      <c r="C5" s="320" t="s">
        <v>198</v>
      </c>
      <c r="D5" s="320" t="s">
        <v>199</v>
      </c>
      <c r="E5" s="321" t="s">
        <v>200</v>
      </c>
      <c r="F5" s="225">
        <v>60</v>
      </c>
      <c r="G5" s="225">
        <v>89.9</v>
      </c>
      <c r="H5" s="225">
        <f>F5*G5</f>
        <v>5394</v>
      </c>
      <c r="I5" s="225"/>
      <c r="J5" s="225">
        <v>0</v>
      </c>
      <c r="K5" s="225">
        <f>I5*J5</f>
        <v>0</v>
      </c>
      <c r="L5" s="225">
        <f>H5+K5</f>
        <v>5394</v>
      </c>
      <c r="M5" s="225">
        <v>300000</v>
      </c>
      <c r="N5" s="225">
        <f>N4+M5-L5</f>
        <v>332560.49</v>
      </c>
      <c r="O5" s="167"/>
      <c r="P5" s="167"/>
    </row>
    <row r="6" spans="1:16">
      <c r="A6" s="19">
        <v>2</v>
      </c>
      <c r="B6" s="19" t="s">
        <v>197</v>
      </c>
      <c r="C6" s="130" t="s">
        <v>201</v>
      </c>
      <c r="D6" s="130" t="s">
        <v>202</v>
      </c>
      <c r="E6" s="288" t="s">
        <v>203</v>
      </c>
      <c r="F6" s="51">
        <v>40.01</v>
      </c>
      <c r="G6" s="51">
        <v>91.47</v>
      </c>
      <c r="H6" s="51">
        <f>F6*G6</f>
        <v>3659.7147</v>
      </c>
      <c r="I6" s="51"/>
      <c r="J6" s="51">
        <v>0</v>
      </c>
      <c r="K6" s="51">
        <f t="shared" ref="K6:K58" si="0">I6*J6</f>
        <v>0</v>
      </c>
      <c r="L6" s="51">
        <f t="shared" ref="L6:L13" si="1">H6+K6</f>
        <v>3659.7147</v>
      </c>
      <c r="M6" s="51"/>
      <c r="N6" s="51">
        <f t="shared" ref="N6:N62" si="2">N5+M6-L6</f>
        <v>328900.77529999998</v>
      </c>
      <c r="O6" s="19" t="s">
        <v>204</v>
      </c>
      <c r="P6" s="19"/>
    </row>
    <row r="7" spans="1:16">
      <c r="A7" s="19">
        <v>3</v>
      </c>
      <c r="B7" s="19" t="s">
        <v>197</v>
      </c>
      <c r="C7" s="130" t="s">
        <v>205</v>
      </c>
      <c r="D7" s="130" t="s">
        <v>206</v>
      </c>
      <c r="E7" s="288" t="s">
        <v>207</v>
      </c>
      <c r="F7" s="51">
        <v>35.92</v>
      </c>
      <c r="G7" s="51">
        <v>92.98</v>
      </c>
      <c r="H7" s="51">
        <f>F7*G7</f>
        <v>3339.8416000000002</v>
      </c>
      <c r="I7" s="51"/>
      <c r="J7" s="51">
        <v>0</v>
      </c>
      <c r="K7" s="51">
        <f t="shared" si="0"/>
        <v>0</v>
      </c>
      <c r="L7" s="51">
        <f t="shared" si="1"/>
        <v>3339.8416000000002</v>
      </c>
      <c r="M7" s="51"/>
      <c r="N7" s="51">
        <f t="shared" si="2"/>
        <v>325560.93369999999</v>
      </c>
      <c r="O7" s="19"/>
      <c r="P7" s="19"/>
    </row>
    <row r="8" spans="1:16">
      <c r="A8" s="19">
        <v>4</v>
      </c>
      <c r="B8" s="19" t="s">
        <v>197</v>
      </c>
      <c r="C8" s="130" t="s">
        <v>208</v>
      </c>
      <c r="D8" s="130" t="s">
        <v>209</v>
      </c>
      <c r="E8" s="288" t="s">
        <v>210</v>
      </c>
      <c r="F8" s="51">
        <v>556.91999999999996</v>
      </c>
      <c r="G8" s="51">
        <v>89.78</v>
      </c>
      <c r="H8" s="51">
        <f>F8*G8</f>
        <v>50000.277599999994</v>
      </c>
      <c r="I8" s="51"/>
      <c r="J8" s="51">
        <v>0</v>
      </c>
      <c r="K8" s="51">
        <f t="shared" si="0"/>
        <v>0</v>
      </c>
      <c r="L8" s="51">
        <f t="shared" si="1"/>
        <v>50000.277599999994</v>
      </c>
      <c r="M8" s="51"/>
      <c r="N8" s="51">
        <f t="shared" si="2"/>
        <v>275560.65610000002</v>
      </c>
      <c r="O8" s="19"/>
      <c r="P8" s="19"/>
    </row>
    <row r="9" spans="1:16">
      <c r="A9" s="19">
        <v>5</v>
      </c>
      <c r="B9" s="19" t="s">
        <v>197</v>
      </c>
      <c r="C9" s="130" t="s">
        <v>211</v>
      </c>
      <c r="D9" s="130" t="s">
        <v>212</v>
      </c>
      <c r="E9" s="288" t="s">
        <v>213</v>
      </c>
      <c r="F9" s="51">
        <v>60</v>
      </c>
      <c r="G9" s="51">
        <v>89.58</v>
      </c>
      <c r="H9" s="51">
        <f>F9*G9</f>
        <v>5374.8</v>
      </c>
      <c r="I9" s="51"/>
      <c r="J9" s="51">
        <v>0</v>
      </c>
      <c r="K9" s="51">
        <f t="shared" si="0"/>
        <v>0</v>
      </c>
      <c r="L9" s="51">
        <f t="shared" si="1"/>
        <v>5374.8</v>
      </c>
      <c r="M9" s="51"/>
      <c r="N9" s="51">
        <f t="shared" si="2"/>
        <v>270185.85610000003</v>
      </c>
      <c r="O9" s="19"/>
      <c r="P9" s="19"/>
    </row>
    <row r="10" spans="1:16">
      <c r="A10" s="19">
        <v>6</v>
      </c>
      <c r="B10" s="19" t="s">
        <v>197</v>
      </c>
      <c r="C10" s="130" t="s">
        <v>83</v>
      </c>
      <c r="D10" s="130" t="s">
        <v>82</v>
      </c>
      <c r="E10" s="288" t="s">
        <v>214</v>
      </c>
      <c r="F10" s="51">
        <v>60</v>
      </c>
      <c r="G10" s="19">
        <v>89.22</v>
      </c>
      <c r="H10" s="51">
        <f>F10*G10</f>
        <v>5353.2</v>
      </c>
      <c r="I10" s="19"/>
      <c r="J10" s="19"/>
      <c r="K10" s="19"/>
      <c r="L10" s="51">
        <f t="shared" si="1"/>
        <v>5353.2</v>
      </c>
      <c r="M10" s="51"/>
      <c r="N10" s="51">
        <f t="shared" si="2"/>
        <v>264832.65610000002</v>
      </c>
      <c r="O10" s="19"/>
      <c r="P10" s="19"/>
    </row>
    <row r="11" spans="1:16">
      <c r="A11" s="19">
        <v>7</v>
      </c>
      <c r="B11" s="19" t="s">
        <v>197</v>
      </c>
      <c r="C11" s="130" t="s">
        <v>215</v>
      </c>
      <c r="D11" s="130" t="s">
        <v>84</v>
      </c>
      <c r="E11" s="288" t="s">
        <v>216</v>
      </c>
      <c r="F11" s="51">
        <v>78.27</v>
      </c>
      <c r="G11" s="51">
        <v>89.44</v>
      </c>
      <c r="H11" s="51">
        <f>F11*G11</f>
        <v>7000.4687999999996</v>
      </c>
      <c r="I11" s="51">
        <v>4.84</v>
      </c>
      <c r="J11" s="51">
        <v>103.39</v>
      </c>
      <c r="K11" s="51">
        <f t="shared" si="0"/>
        <v>500.4076</v>
      </c>
      <c r="L11" s="51">
        <f t="shared" si="1"/>
        <v>7500.8763999999992</v>
      </c>
      <c r="M11" s="51">
        <v>54780.88</v>
      </c>
      <c r="N11" s="51">
        <f t="shared" si="2"/>
        <v>312112.65970000002</v>
      </c>
      <c r="O11" s="19"/>
      <c r="P11" s="19"/>
    </row>
    <row r="12" spans="1:16">
      <c r="A12" s="119">
        <v>8</v>
      </c>
      <c r="B12" s="119" t="s">
        <v>197</v>
      </c>
      <c r="C12" s="325" t="s">
        <v>217</v>
      </c>
      <c r="D12" s="325" t="s">
        <v>78</v>
      </c>
      <c r="E12" s="326" t="s">
        <v>218</v>
      </c>
      <c r="F12" s="287">
        <v>48.68</v>
      </c>
      <c r="G12" s="287">
        <v>89.49</v>
      </c>
      <c r="H12" s="287">
        <f>F12*G12</f>
        <v>4356.3732</v>
      </c>
      <c r="I12" s="287"/>
      <c r="J12" s="287">
        <v>0</v>
      </c>
      <c r="K12" s="287">
        <f t="shared" si="0"/>
        <v>0</v>
      </c>
      <c r="L12" s="287">
        <f t="shared" si="1"/>
        <v>4356.3732</v>
      </c>
      <c r="M12" s="287"/>
      <c r="N12" s="287">
        <f t="shared" si="2"/>
        <v>307756.28650000005</v>
      </c>
      <c r="O12" s="119"/>
      <c r="P12" s="119"/>
    </row>
    <row r="13" spans="1:16">
      <c r="A13" s="19">
        <v>9</v>
      </c>
      <c r="B13" s="19" t="s">
        <v>197</v>
      </c>
      <c r="C13" s="130" t="s">
        <v>219</v>
      </c>
      <c r="D13" s="130" t="s">
        <v>220</v>
      </c>
      <c r="E13" s="288" t="s">
        <v>221</v>
      </c>
      <c r="F13" s="51">
        <v>150</v>
      </c>
      <c r="G13" s="51">
        <v>90.02</v>
      </c>
      <c r="H13" s="51">
        <f>F13*G13</f>
        <v>13503</v>
      </c>
      <c r="I13" s="51">
        <v>5</v>
      </c>
      <c r="J13" s="51">
        <v>104.02</v>
      </c>
      <c r="K13" s="51">
        <f t="shared" si="0"/>
        <v>520.1</v>
      </c>
      <c r="L13" s="51">
        <f t="shared" si="1"/>
        <v>14023.1</v>
      </c>
      <c r="M13" s="51"/>
      <c r="N13" s="51">
        <f t="shared" si="2"/>
        <v>293733.18650000007</v>
      </c>
      <c r="O13" s="19"/>
      <c r="P13" s="19"/>
    </row>
    <row r="14" spans="1:16">
      <c r="A14" s="19">
        <v>10</v>
      </c>
      <c r="B14" s="19" t="s">
        <v>222</v>
      </c>
      <c r="C14" s="130" t="s">
        <v>219</v>
      </c>
      <c r="D14" s="130" t="s">
        <v>220</v>
      </c>
      <c r="E14" s="288" t="s">
        <v>221</v>
      </c>
      <c r="F14" s="51">
        <v>230</v>
      </c>
      <c r="G14" s="51">
        <v>90.02</v>
      </c>
      <c r="H14" s="51">
        <f>F14*G14</f>
        <v>20704.599999999999</v>
      </c>
      <c r="I14" s="51"/>
      <c r="J14" s="51"/>
      <c r="K14" s="51">
        <f t="shared" si="0"/>
        <v>0</v>
      </c>
      <c r="L14" s="51">
        <f>H14+K14</f>
        <v>20704.599999999999</v>
      </c>
      <c r="M14" s="51"/>
      <c r="N14" s="51">
        <f t="shared" si="2"/>
        <v>273028.58650000009</v>
      </c>
      <c r="O14" s="19"/>
      <c r="P14" s="19"/>
    </row>
    <row r="15" spans="1:16">
      <c r="A15" s="19">
        <v>11</v>
      </c>
      <c r="B15" s="19" t="s">
        <v>222</v>
      </c>
      <c r="C15" s="130" t="s">
        <v>211</v>
      </c>
      <c r="D15" s="130" t="s">
        <v>212</v>
      </c>
      <c r="E15" s="288" t="s">
        <v>213</v>
      </c>
      <c r="F15" s="51">
        <v>60</v>
      </c>
      <c r="G15" s="51">
        <v>89.58</v>
      </c>
      <c r="H15" s="51">
        <f>F15*G15</f>
        <v>5374.8</v>
      </c>
      <c r="I15" s="51"/>
      <c r="J15" s="51"/>
      <c r="K15" s="51">
        <f t="shared" si="0"/>
        <v>0</v>
      </c>
      <c r="L15" s="51">
        <f>H15+K15</f>
        <v>5374.8</v>
      </c>
      <c r="M15" s="51"/>
      <c r="N15" s="51">
        <f t="shared" si="2"/>
        <v>267653.7865000001</v>
      </c>
      <c r="O15" s="19"/>
      <c r="P15" s="19"/>
    </row>
    <row r="16" spans="1:16">
      <c r="A16" s="19">
        <v>12</v>
      </c>
      <c r="B16" s="19" t="s">
        <v>223</v>
      </c>
      <c r="C16" s="130" t="s">
        <v>198</v>
      </c>
      <c r="D16" s="130" t="s">
        <v>199</v>
      </c>
      <c r="E16" s="288" t="s">
        <v>200</v>
      </c>
      <c r="F16" s="51">
        <v>45.84</v>
      </c>
      <c r="G16" s="51">
        <v>89.9</v>
      </c>
      <c r="H16" s="51">
        <f>F16*G16</f>
        <v>4121.0160000000005</v>
      </c>
      <c r="I16" s="51"/>
      <c r="J16" s="51"/>
      <c r="K16" s="51">
        <f t="shared" si="0"/>
        <v>0</v>
      </c>
      <c r="L16" s="51">
        <f t="shared" ref="L16:L58" si="3">H16+K16</f>
        <v>4121.0160000000005</v>
      </c>
      <c r="M16" s="51"/>
      <c r="N16" s="51">
        <f t="shared" si="2"/>
        <v>263532.7705000001</v>
      </c>
      <c r="O16" s="19"/>
      <c r="P16" s="19"/>
    </row>
    <row r="17" spans="1:16">
      <c r="A17" s="19">
        <v>13</v>
      </c>
      <c r="B17" s="19" t="s">
        <v>223</v>
      </c>
      <c r="C17" s="130" t="s">
        <v>224</v>
      </c>
      <c r="D17" s="130" t="s">
        <v>225</v>
      </c>
      <c r="E17" s="288" t="s">
        <v>226</v>
      </c>
      <c r="F17" s="19">
        <v>2020</v>
      </c>
      <c r="G17" s="19">
        <v>89.29</v>
      </c>
      <c r="H17" s="51">
        <f>F17*G17</f>
        <v>180365.80000000002</v>
      </c>
      <c r="I17" s="19">
        <v>190</v>
      </c>
      <c r="J17" s="19">
        <v>103.24</v>
      </c>
      <c r="K17" s="51">
        <f t="shared" si="0"/>
        <v>19615.599999999999</v>
      </c>
      <c r="L17" s="51">
        <f t="shared" si="3"/>
        <v>199981.40000000002</v>
      </c>
      <c r="M17" s="19">
        <v>400000</v>
      </c>
      <c r="N17" s="51">
        <f t="shared" si="2"/>
        <v>463551.37050000008</v>
      </c>
      <c r="O17" s="19"/>
      <c r="P17" s="19"/>
    </row>
    <row r="18" spans="1:16">
      <c r="A18" s="19">
        <v>14</v>
      </c>
      <c r="B18" s="19" t="s">
        <v>223</v>
      </c>
      <c r="C18" s="130" t="s">
        <v>227</v>
      </c>
      <c r="D18" s="130" t="s">
        <v>228</v>
      </c>
      <c r="E18" s="288" t="s">
        <v>229</v>
      </c>
      <c r="F18" s="19">
        <v>330</v>
      </c>
      <c r="G18" s="19">
        <v>90.23</v>
      </c>
      <c r="H18" s="51">
        <f>F18*G18</f>
        <v>29775.9</v>
      </c>
      <c r="I18" s="19"/>
      <c r="J18" s="19"/>
      <c r="K18" s="51">
        <f t="shared" si="0"/>
        <v>0</v>
      </c>
      <c r="L18" s="51">
        <f t="shared" si="3"/>
        <v>29775.9</v>
      </c>
      <c r="M18" s="19"/>
      <c r="N18" s="51">
        <f t="shared" si="2"/>
        <v>433775.47050000005</v>
      </c>
      <c r="O18" s="19"/>
      <c r="P18" s="19"/>
    </row>
    <row r="19" spans="1:16">
      <c r="A19" s="19">
        <v>15</v>
      </c>
      <c r="B19" s="19" t="s">
        <v>223</v>
      </c>
      <c r="C19" s="130" t="s">
        <v>230</v>
      </c>
      <c r="D19" s="130" t="s">
        <v>231</v>
      </c>
      <c r="E19" s="288" t="s">
        <v>232</v>
      </c>
      <c r="F19" s="19">
        <v>30</v>
      </c>
      <c r="G19" s="19">
        <v>89.73</v>
      </c>
      <c r="H19" s="51">
        <f>F19*G19</f>
        <v>2691.9</v>
      </c>
      <c r="I19" s="19"/>
      <c r="J19" s="19"/>
      <c r="K19" s="51">
        <f t="shared" si="0"/>
        <v>0</v>
      </c>
      <c r="L19" s="51">
        <f t="shared" si="3"/>
        <v>2691.9</v>
      </c>
      <c r="M19" s="19"/>
      <c r="N19" s="51">
        <f t="shared" si="2"/>
        <v>431083.57050000003</v>
      </c>
      <c r="O19" s="19"/>
      <c r="P19" s="19"/>
    </row>
    <row r="20" spans="1:16">
      <c r="A20" s="19">
        <v>16</v>
      </c>
      <c r="B20" s="19" t="s">
        <v>223</v>
      </c>
      <c r="C20" s="130" t="s">
        <v>233</v>
      </c>
      <c r="D20" s="130" t="s">
        <v>234</v>
      </c>
      <c r="E20" s="288" t="s">
        <v>207</v>
      </c>
      <c r="F20" s="19">
        <v>33</v>
      </c>
      <c r="G20" s="19">
        <v>88.99</v>
      </c>
      <c r="H20" s="51">
        <f>F20*G20</f>
        <v>2936.6699999999996</v>
      </c>
      <c r="I20" s="19"/>
      <c r="J20" s="19"/>
      <c r="K20" s="51">
        <f t="shared" si="0"/>
        <v>0</v>
      </c>
      <c r="L20" s="51">
        <f t="shared" si="3"/>
        <v>2936.6699999999996</v>
      </c>
      <c r="M20" s="19"/>
      <c r="N20" s="51">
        <f t="shared" si="2"/>
        <v>428146.90050000005</v>
      </c>
      <c r="O20" s="19"/>
      <c r="P20" s="19"/>
    </row>
    <row r="21" spans="1:16">
      <c r="A21" s="19">
        <v>17</v>
      </c>
      <c r="B21" s="19" t="s">
        <v>223</v>
      </c>
      <c r="C21" s="130" t="s">
        <v>83</v>
      </c>
      <c r="D21" s="130" t="s">
        <v>82</v>
      </c>
      <c r="E21" s="288" t="s">
        <v>214</v>
      </c>
      <c r="F21" s="19">
        <v>50</v>
      </c>
      <c r="G21" s="19">
        <v>89.22</v>
      </c>
      <c r="H21" s="51">
        <f>F21*G21</f>
        <v>4461</v>
      </c>
      <c r="I21" s="19"/>
      <c r="J21" s="19"/>
      <c r="K21" s="51">
        <f t="shared" si="0"/>
        <v>0</v>
      </c>
      <c r="L21" s="51">
        <f t="shared" si="3"/>
        <v>4461</v>
      </c>
      <c r="M21" s="19"/>
      <c r="N21" s="51">
        <f t="shared" si="2"/>
        <v>423685.90050000005</v>
      </c>
      <c r="O21" s="19"/>
      <c r="P21" s="19"/>
    </row>
    <row r="22" spans="1:16">
      <c r="A22" s="19">
        <v>18</v>
      </c>
      <c r="B22" s="19" t="s">
        <v>223</v>
      </c>
      <c r="C22" s="130" t="s">
        <v>235</v>
      </c>
      <c r="D22" s="130" t="s">
        <v>236</v>
      </c>
      <c r="E22" s="288" t="s">
        <v>214</v>
      </c>
      <c r="F22" s="19">
        <v>70</v>
      </c>
      <c r="G22" s="51">
        <v>89.33</v>
      </c>
      <c r="H22" s="51">
        <f>F22*G22</f>
        <v>6253.0999999999995</v>
      </c>
      <c r="I22" s="51">
        <v>4.84</v>
      </c>
      <c r="J22" s="51">
        <v>103.26</v>
      </c>
      <c r="K22" s="51">
        <f t="shared" si="0"/>
        <v>499.77840000000003</v>
      </c>
      <c r="L22" s="51">
        <f t="shared" si="3"/>
        <v>6752.8783999999996</v>
      </c>
      <c r="M22" s="51"/>
      <c r="N22" s="51">
        <f t="shared" si="2"/>
        <v>416933.02210000006</v>
      </c>
      <c r="O22" s="19"/>
      <c r="P22" s="19"/>
    </row>
    <row r="23" spans="1:16">
      <c r="A23" s="19">
        <v>19</v>
      </c>
      <c r="B23" s="19" t="s">
        <v>223</v>
      </c>
      <c r="C23" s="130" t="s">
        <v>215</v>
      </c>
      <c r="D23" s="130" t="s">
        <v>84</v>
      </c>
      <c r="E23" s="288" t="s">
        <v>216</v>
      </c>
      <c r="F23" s="19">
        <v>78.27</v>
      </c>
      <c r="G23" s="19">
        <v>89.44</v>
      </c>
      <c r="H23" s="51">
        <f>F23*G23</f>
        <v>7000.4687999999996</v>
      </c>
      <c r="I23" s="19"/>
      <c r="J23" s="19"/>
      <c r="K23" s="51">
        <f t="shared" si="0"/>
        <v>0</v>
      </c>
      <c r="L23" s="51">
        <f t="shared" si="3"/>
        <v>7000.4687999999996</v>
      </c>
      <c r="M23" s="19"/>
      <c r="N23" s="51">
        <f t="shared" si="2"/>
        <v>409932.55330000009</v>
      </c>
      <c r="O23" s="19"/>
      <c r="P23" s="19"/>
    </row>
    <row r="24" spans="1:16">
      <c r="A24" s="19">
        <v>20</v>
      </c>
      <c r="B24" s="19" t="s">
        <v>223</v>
      </c>
      <c r="C24" s="130" t="s">
        <v>219</v>
      </c>
      <c r="D24" s="130" t="s">
        <v>220</v>
      </c>
      <c r="E24" s="288" t="s">
        <v>221</v>
      </c>
      <c r="F24" s="19">
        <v>45.69</v>
      </c>
      <c r="G24" s="19">
        <v>90.02</v>
      </c>
      <c r="H24" s="51">
        <f>F24*G24</f>
        <v>4113.0137999999997</v>
      </c>
      <c r="I24" s="19">
        <v>5</v>
      </c>
      <c r="J24" s="19">
        <v>104.02</v>
      </c>
      <c r="K24" s="51">
        <f t="shared" si="0"/>
        <v>520.1</v>
      </c>
      <c r="L24" s="51">
        <f t="shared" si="3"/>
        <v>4633.1138000000001</v>
      </c>
      <c r="M24" s="19"/>
      <c r="N24" s="51">
        <f t="shared" si="2"/>
        <v>405299.43950000009</v>
      </c>
      <c r="O24" s="19"/>
      <c r="P24" s="19"/>
    </row>
    <row r="25" spans="1:16">
      <c r="A25" s="119">
        <v>21</v>
      </c>
      <c r="B25" s="119" t="s">
        <v>223</v>
      </c>
      <c r="C25" s="325" t="s">
        <v>237</v>
      </c>
      <c r="D25" s="325" t="s">
        <v>238</v>
      </c>
      <c r="E25" s="326" t="s">
        <v>239</v>
      </c>
      <c r="F25" s="119">
        <v>2075.56</v>
      </c>
      <c r="G25" s="119">
        <v>96.36</v>
      </c>
      <c r="H25" s="287">
        <f>F25*G25</f>
        <v>200000.96159999998</v>
      </c>
      <c r="I25" s="119"/>
      <c r="J25" s="119"/>
      <c r="K25" s="287">
        <f t="shared" si="0"/>
        <v>0</v>
      </c>
      <c r="L25" s="287">
        <f t="shared" si="3"/>
        <v>200000.96159999998</v>
      </c>
      <c r="M25" s="119"/>
      <c r="N25" s="287">
        <f t="shared" si="2"/>
        <v>205298.47790000011</v>
      </c>
      <c r="O25" s="119"/>
      <c r="P25" s="119"/>
    </row>
    <row r="26" spans="1:16">
      <c r="A26" s="19">
        <v>22</v>
      </c>
      <c r="B26" s="19" t="s">
        <v>171</v>
      </c>
      <c r="C26" s="130" t="s">
        <v>198</v>
      </c>
      <c r="D26" s="130" t="s">
        <v>199</v>
      </c>
      <c r="E26" s="288" t="s">
        <v>200</v>
      </c>
      <c r="F26" s="19">
        <v>20</v>
      </c>
      <c r="G26" s="19">
        <v>89.9</v>
      </c>
      <c r="H26" s="51">
        <f t="shared" ref="H26:H91" si="4">F26*G26</f>
        <v>1798</v>
      </c>
      <c r="I26" s="19"/>
      <c r="J26" s="19"/>
      <c r="K26" s="51">
        <f t="shared" si="0"/>
        <v>0</v>
      </c>
      <c r="L26" s="51">
        <f t="shared" si="3"/>
        <v>1798</v>
      </c>
      <c r="M26" s="19"/>
      <c r="N26" s="51">
        <f t="shared" si="2"/>
        <v>203500.47790000011</v>
      </c>
      <c r="O26" s="19"/>
      <c r="P26" s="19"/>
    </row>
    <row r="27" spans="1:16">
      <c r="A27" s="19">
        <v>23</v>
      </c>
      <c r="B27" s="19" t="s">
        <v>171</v>
      </c>
      <c r="C27" s="19" t="s">
        <v>230</v>
      </c>
      <c r="D27" s="19" t="s">
        <v>231</v>
      </c>
      <c r="E27" s="328" t="s">
        <v>232</v>
      </c>
      <c r="F27" s="19">
        <v>30</v>
      </c>
      <c r="G27" s="19">
        <v>89.73</v>
      </c>
      <c r="H27" s="51">
        <f t="shared" si="4"/>
        <v>2691.9</v>
      </c>
      <c r="I27" s="19"/>
      <c r="J27" s="19"/>
      <c r="K27" s="51">
        <f t="shared" si="0"/>
        <v>0</v>
      </c>
      <c r="L27" s="51">
        <f t="shared" si="3"/>
        <v>2691.9</v>
      </c>
      <c r="M27" s="19"/>
      <c r="N27" s="51">
        <f t="shared" si="2"/>
        <v>200808.57790000012</v>
      </c>
      <c r="O27" s="19"/>
      <c r="P27" s="19"/>
    </row>
    <row r="28" spans="1:16">
      <c r="A28" s="19">
        <v>24</v>
      </c>
      <c r="B28" s="19" t="s">
        <v>171</v>
      </c>
      <c r="C28" s="19" t="s">
        <v>240</v>
      </c>
      <c r="D28" s="19" t="s">
        <v>231</v>
      </c>
      <c r="E28" s="328" t="s">
        <v>232</v>
      </c>
      <c r="F28" s="19">
        <v>113.79</v>
      </c>
      <c r="G28" s="19">
        <v>89.73</v>
      </c>
      <c r="H28" s="51">
        <f t="shared" si="4"/>
        <v>10210.376700000001</v>
      </c>
      <c r="I28" s="19"/>
      <c r="J28" s="19"/>
      <c r="K28" s="51">
        <f t="shared" si="0"/>
        <v>0</v>
      </c>
      <c r="L28" s="51">
        <f t="shared" si="3"/>
        <v>10210.376700000001</v>
      </c>
      <c r="M28" s="19"/>
      <c r="N28" s="51">
        <f t="shared" si="2"/>
        <v>190598.20120000013</v>
      </c>
      <c r="O28" s="19"/>
      <c r="P28" s="19"/>
    </row>
    <row r="29" spans="1:16">
      <c r="A29" s="119">
        <v>25</v>
      </c>
      <c r="B29" s="119" t="s">
        <v>171</v>
      </c>
      <c r="C29" s="325" t="s">
        <v>83</v>
      </c>
      <c r="D29" s="325" t="s">
        <v>82</v>
      </c>
      <c r="E29" s="326" t="s">
        <v>214</v>
      </c>
      <c r="F29" s="119">
        <v>11.21</v>
      </c>
      <c r="G29" s="119">
        <v>89.22</v>
      </c>
      <c r="H29" s="287">
        <f t="shared" si="4"/>
        <v>1000.1562</v>
      </c>
      <c r="I29" s="119"/>
      <c r="J29" s="119"/>
      <c r="K29" s="287">
        <f t="shared" si="0"/>
        <v>0</v>
      </c>
      <c r="L29" s="287">
        <f t="shared" si="3"/>
        <v>1000.1562</v>
      </c>
      <c r="M29" s="119"/>
      <c r="N29" s="287">
        <f t="shared" si="2"/>
        <v>189598.04500000013</v>
      </c>
      <c r="O29" s="119"/>
      <c r="P29" s="119"/>
    </row>
    <row r="30" spans="1:16">
      <c r="A30" s="19">
        <v>26</v>
      </c>
      <c r="B30" s="19" t="s">
        <v>171</v>
      </c>
      <c r="C30" s="130" t="s">
        <v>217</v>
      </c>
      <c r="D30" s="130" t="s">
        <v>78</v>
      </c>
      <c r="E30" s="288" t="s">
        <v>218</v>
      </c>
      <c r="F30" s="19">
        <v>10</v>
      </c>
      <c r="G30" s="19">
        <v>89.49</v>
      </c>
      <c r="H30" s="51">
        <f t="shared" si="4"/>
        <v>894.9</v>
      </c>
      <c r="I30" s="19"/>
      <c r="J30" s="19"/>
      <c r="K30" s="51">
        <f t="shared" si="0"/>
        <v>0</v>
      </c>
      <c r="L30" s="51">
        <f t="shared" si="3"/>
        <v>894.9</v>
      </c>
      <c r="M30" s="19"/>
      <c r="N30" s="51">
        <f t="shared" si="2"/>
        <v>188703.14500000014</v>
      </c>
      <c r="O30" s="19"/>
      <c r="P30" s="19"/>
    </row>
    <row r="31" spans="1:16">
      <c r="A31" s="19">
        <v>27</v>
      </c>
      <c r="B31" s="19" t="s">
        <v>171</v>
      </c>
      <c r="C31" s="130" t="s">
        <v>241</v>
      </c>
      <c r="D31" s="130" t="s">
        <v>242</v>
      </c>
      <c r="E31" s="288" t="s">
        <v>243</v>
      </c>
      <c r="F31" s="19"/>
      <c r="G31" s="19"/>
      <c r="H31" s="51">
        <f t="shared" si="4"/>
        <v>0</v>
      </c>
      <c r="I31" s="19">
        <v>5</v>
      </c>
      <c r="J31" s="19">
        <v>103.76</v>
      </c>
      <c r="K31" s="51">
        <f t="shared" si="0"/>
        <v>518.80000000000007</v>
      </c>
      <c r="L31" s="51">
        <f t="shared" si="3"/>
        <v>518.80000000000007</v>
      </c>
      <c r="M31" s="19"/>
      <c r="N31" s="51">
        <f t="shared" si="2"/>
        <v>188184.34500000015</v>
      </c>
      <c r="O31" s="19"/>
      <c r="P31" s="19"/>
    </row>
    <row r="32" spans="1:16">
      <c r="A32" s="19">
        <v>28</v>
      </c>
      <c r="B32" s="19" t="s">
        <v>171</v>
      </c>
      <c r="C32" s="130" t="s">
        <v>237</v>
      </c>
      <c r="D32" s="130" t="s">
        <v>238</v>
      </c>
      <c r="E32" s="288" t="s">
        <v>239</v>
      </c>
      <c r="F32" s="19">
        <v>1037.78</v>
      </c>
      <c r="G32" s="19">
        <v>96.36</v>
      </c>
      <c r="H32" s="51">
        <f t="shared" si="4"/>
        <v>100000.48079999999</v>
      </c>
      <c r="I32" s="19"/>
      <c r="J32" s="19"/>
      <c r="K32" s="51">
        <f t="shared" si="0"/>
        <v>0</v>
      </c>
      <c r="L32" s="51">
        <f t="shared" si="3"/>
        <v>100000.48079999999</v>
      </c>
      <c r="M32" s="19"/>
      <c r="N32" s="51">
        <f t="shared" si="2"/>
        <v>88183.864200000156</v>
      </c>
      <c r="O32" s="19"/>
      <c r="P32" s="19"/>
    </row>
    <row r="33" spans="1:16">
      <c r="A33" s="19">
        <v>29</v>
      </c>
      <c r="B33" s="19" t="s">
        <v>172</v>
      </c>
      <c r="C33" s="19" t="s">
        <v>240</v>
      </c>
      <c r="D33" s="19" t="s">
        <v>231</v>
      </c>
      <c r="E33" s="328" t="s">
        <v>232</v>
      </c>
      <c r="F33" s="19">
        <v>80</v>
      </c>
      <c r="G33" s="19">
        <v>89.9</v>
      </c>
      <c r="H33" s="51">
        <f t="shared" si="4"/>
        <v>7192</v>
      </c>
      <c r="I33" s="19">
        <v>6.16</v>
      </c>
      <c r="J33" s="19">
        <v>103.96</v>
      </c>
      <c r="K33" s="51">
        <f t="shared" si="0"/>
        <v>640.39359999999999</v>
      </c>
      <c r="L33" s="51">
        <f t="shared" si="3"/>
        <v>7832.3936000000003</v>
      </c>
      <c r="M33" s="19"/>
      <c r="N33" s="51">
        <f t="shared" si="2"/>
        <v>80351.470600000161</v>
      </c>
      <c r="O33" s="19"/>
      <c r="P33" s="19"/>
    </row>
    <row r="34" spans="1:16">
      <c r="A34" s="19">
        <v>30</v>
      </c>
      <c r="B34" s="19" t="s">
        <v>172</v>
      </c>
      <c r="C34" s="19" t="s">
        <v>244</v>
      </c>
      <c r="D34" s="19" t="s">
        <v>76</v>
      </c>
      <c r="E34" s="328" t="s">
        <v>245</v>
      </c>
      <c r="F34" s="19"/>
      <c r="G34" s="19"/>
      <c r="H34" s="51">
        <f t="shared" si="4"/>
        <v>0</v>
      </c>
      <c r="I34" s="19">
        <v>5</v>
      </c>
      <c r="J34" s="19">
        <v>103.5</v>
      </c>
      <c r="K34" s="51">
        <f t="shared" si="0"/>
        <v>517.5</v>
      </c>
      <c r="L34" s="51">
        <f t="shared" si="3"/>
        <v>517.5</v>
      </c>
      <c r="M34" s="19"/>
      <c r="N34" s="51">
        <f t="shared" si="2"/>
        <v>79833.970600000161</v>
      </c>
      <c r="O34" s="19"/>
      <c r="P34" s="19"/>
    </row>
    <row r="35" spans="1:16">
      <c r="A35" s="19">
        <v>31</v>
      </c>
      <c r="B35" s="19" t="s">
        <v>172</v>
      </c>
      <c r="C35" s="19" t="s">
        <v>201</v>
      </c>
      <c r="D35" s="19" t="s">
        <v>202</v>
      </c>
      <c r="E35" s="328" t="s">
        <v>203</v>
      </c>
      <c r="F35" s="19">
        <v>31.43</v>
      </c>
      <c r="G35" s="19">
        <v>91.47</v>
      </c>
      <c r="H35" s="51">
        <f t="shared" si="4"/>
        <v>2874.9020999999998</v>
      </c>
      <c r="I35" s="19"/>
      <c r="J35" s="19"/>
      <c r="K35" s="51">
        <f t="shared" si="0"/>
        <v>0</v>
      </c>
      <c r="L35" s="51">
        <f t="shared" si="3"/>
        <v>2874.9020999999998</v>
      </c>
      <c r="M35" s="19"/>
      <c r="N35" s="51">
        <f t="shared" si="2"/>
        <v>76959.068500000154</v>
      </c>
      <c r="O35" s="19"/>
      <c r="P35" s="19"/>
    </row>
    <row r="36" spans="1:16">
      <c r="A36" s="19">
        <v>32</v>
      </c>
      <c r="B36" s="19" t="s">
        <v>172</v>
      </c>
      <c r="C36" s="19" t="s">
        <v>246</v>
      </c>
      <c r="D36" s="19" t="s">
        <v>88</v>
      </c>
      <c r="E36" s="328" t="s">
        <v>247</v>
      </c>
      <c r="F36" s="19">
        <v>0</v>
      </c>
      <c r="G36" s="19"/>
      <c r="H36" s="51">
        <f t="shared" si="4"/>
        <v>0</v>
      </c>
      <c r="I36" s="19">
        <v>6.05</v>
      </c>
      <c r="J36" s="19">
        <v>102.46</v>
      </c>
      <c r="K36" s="51">
        <f t="shared" si="0"/>
        <v>619.88299999999992</v>
      </c>
      <c r="L36" s="51">
        <f t="shared" si="3"/>
        <v>619.88299999999992</v>
      </c>
      <c r="M36" s="19"/>
      <c r="N36" s="51">
        <f t="shared" si="2"/>
        <v>76339.185500000152</v>
      </c>
      <c r="O36" s="19"/>
      <c r="P36" s="19"/>
    </row>
    <row r="37" spans="1:16">
      <c r="A37" s="19">
        <v>33</v>
      </c>
      <c r="B37" s="19" t="s">
        <v>172</v>
      </c>
      <c r="C37" s="19" t="s">
        <v>230</v>
      </c>
      <c r="D37" s="19" t="s">
        <v>231</v>
      </c>
      <c r="E37" s="328" t="s">
        <v>232</v>
      </c>
      <c r="F37" s="19">
        <v>50</v>
      </c>
      <c r="G37" s="19">
        <v>89.73</v>
      </c>
      <c r="H37" s="51">
        <f t="shared" si="4"/>
        <v>4486.5</v>
      </c>
      <c r="I37" s="19"/>
      <c r="J37" s="19"/>
      <c r="K37" s="51">
        <f t="shared" si="0"/>
        <v>0</v>
      </c>
      <c r="L37" s="51">
        <f t="shared" si="3"/>
        <v>4486.5</v>
      </c>
      <c r="M37" s="19"/>
      <c r="N37" s="51">
        <f t="shared" si="2"/>
        <v>71852.685500000152</v>
      </c>
      <c r="O37" s="19"/>
      <c r="P37" s="19"/>
    </row>
    <row r="38" spans="1:16">
      <c r="A38" s="19">
        <v>34</v>
      </c>
      <c r="B38" s="19" t="s">
        <v>172</v>
      </c>
      <c r="C38" s="19" t="s">
        <v>211</v>
      </c>
      <c r="D38" s="19" t="s">
        <v>212</v>
      </c>
      <c r="E38" s="328" t="s">
        <v>213</v>
      </c>
      <c r="F38" s="19">
        <v>60</v>
      </c>
      <c r="G38" s="19">
        <v>89.58</v>
      </c>
      <c r="H38" s="51">
        <f t="shared" si="4"/>
        <v>5374.8</v>
      </c>
      <c r="I38" s="19">
        <v>5</v>
      </c>
      <c r="J38" s="19">
        <v>103.53</v>
      </c>
      <c r="K38" s="51">
        <f t="shared" si="0"/>
        <v>517.65</v>
      </c>
      <c r="L38" s="51">
        <f t="shared" si="3"/>
        <v>5892.45</v>
      </c>
      <c r="M38" s="19"/>
      <c r="N38" s="51">
        <f t="shared" si="2"/>
        <v>65960.235500000155</v>
      </c>
      <c r="O38" s="19"/>
      <c r="P38" s="19"/>
    </row>
    <row r="39" spans="1:16">
      <c r="A39" s="19">
        <v>35</v>
      </c>
      <c r="B39" s="19" t="s">
        <v>172</v>
      </c>
      <c r="C39" s="19" t="s">
        <v>83</v>
      </c>
      <c r="D39" s="19" t="s">
        <v>82</v>
      </c>
      <c r="E39" s="328" t="s">
        <v>214</v>
      </c>
      <c r="F39" s="19">
        <v>190</v>
      </c>
      <c r="G39" s="19">
        <v>89.22</v>
      </c>
      <c r="H39" s="51">
        <f t="shared" si="4"/>
        <v>16951.8</v>
      </c>
      <c r="I39" s="19">
        <v>0</v>
      </c>
      <c r="J39" s="19">
        <v>0</v>
      </c>
      <c r="K39" s="51">
        <f t="shared" si="0"/>
        <v>0</v>
      </c>
      <c r="L39" s="51">
        <f t="shared" si="3"/>
        <v>16951.8</v>
      </c>
      <c r="M39" s="19"/>
      <c r="N39" s="51">
        <f t="shared" si="2"/>
        <v>49008.435500000152</v>
      </c>
      <c r="O39" s="19"/>
      <c r="P39" s="19"/>
    </row>
    <row r="40" spans="1:16">
      <c r="A40" s="19">
        <v>36</v>
      </c>
      <c r="B40" s="19" t="s">
        <v>172</v>
      </c>
      <c r="C40" s="19" t="s">
        <v>248</v>
      </c>
      <c r="D40" s="19" t="s">
        <v>249</v>
      </c>
      <c r="E40" s="328" t="s">
        <v>214</v>
      </c>
      <c r="F40" s="19"/>
      <c r="G40" s="19"/>
      <c r="H40" s="51">
        <f t="shared" si="4"/>
        <v>0</v>
      </c>
      <c r="I40" s="19">
        <v>4.8499999999999996</v>
      </c>
      <c r="J40" s="19">
        <v>103.15</v>
      </c>
      <c r="K40" s="51">
        <f t="shared" si="0"/>
        <v>500.27749999999997</v>
      </c>
      <c r="L40" s="51">
        <f t="shared" si="3"/>
        <v>500.27749999999997</v>
      </c>
      <c r="M40" s="19"/>
      <c r="N40" s="51">
        <f t="shared" si="2"/>
        <v>48508.158000000156</v>
      </c>
      <c r="O40" s="19"/>
      <c r="P40" s="19"/>
    </row>
    <row r="41" spans="1:16">
      <c r="A41" s="19">
        <v>37</v>
      </c>
      <c r="B41" s="19" t="s">
        <v>172</v>
      </c>
      <c r="C41" s="19" t="s">
        <v>215</v>
      </c>
      <c r="D41" s="19" t="s">
        <v>84</v>
      </c>
      <c r="E41" s="328" t="s">
        <v>216</v>
      </c>
      <c r="F41" s="19">
        <v>22.36</v>
      </c>
      <c r="G41" s="19">
        <v>89.44</v>
      </c>
      <c r="H41" s="51">
        <f t="shared" si="4"/>
        <v>1999.8783999999998</v>
      </c>
      <c r="I41" s="19"/>
      <c r="J41" s="19"/>
      <c r="K41" s="51">
        <f t="shared" si="0"/>
        <v>0</v>
      </c>
      <c r="L41" s="51">
        <f t="shared" si="3"/>
        <v>1999.8783999999998</v>
      </c>
      <c r="M41" s="19"/>
      <c r="N41" s="51">
        <f t="shared" si="2"/>
        <v>46508.279600000154</v>
      </c>
      <c r="O41" s="19"/>
      <c r="P41" s="19"/>
    </row>
    <row r="42" spans="1:16">
      <c r="A42" s="19">
        <v>38</v>
      </c>
      <c r="B42" s="19" t="s">
        <v>172</v>
      </c>
      <c r="C42" s="19" t="s">
        <v>217</v>
      </c>
      <c r="D42" s="19" t="s">
        <v>78</v>
      </c>
      <c r="E42" s="328" t="s">
        <v>218</v>
      </c>
      <c r="F42" s="19">
        <v>48.98</v>
      </c>
      <c r="G42" s="19">
        <v>89.49</v>
      </c>
      <c r="H42" s="51">
        <f t="shared" si="4"/>
        <v>4383.2201999999997</v>
      </c>
      <c r="I42" s="19">
        <v>4.83</v>
      </c>
      <c r="J42" s="19">
        <v>103.44</v>
      </c>
      <c r="K42" s="51">
        <f t="shared" si="0"/>
        <v>499.61520000000002</v>
      </c>
      <c r="L42" s="51">
        <f t="shared" si="3"/>
        <v>4882.8353999999999</v>
      </c>
      <c r="M42" s="19"/>
      <c r="N42" s="51">
        <f t="shared" si="2"/>
        <v>41625.444200000158</v>
      </c>
      <c r="O42" s="19"/>
      <c r="P42" s="19"/>
    </row>
    <row r="43" spans="1:16">
      <c r="A43" s="119">
        <v>39</v>
      </c>
      <c r="B43" s="119" t="s">
        <v>172</v>
      </c>
      <c r="C43" s="119" t="s">
        <v>219</v>
      </c>
      <c r="D43" s="119" t="s">
        <v>220</v>
      </c>
      <c r="E43" s="334" t="s">
        <v>221</v>
      </c>
      <c r="F43" s="119">
        <v>30</v>
      </c>
      <c r="G43" s="119">
        <v>90.02</v>
      </c>
      <c r="H43" s="287">
        <f t="shared" si="4"/>
        <v>2700.6</v>
      </c>
      <c r="I43" s="119">
        <v>5</v>
      </c>
      <c r="J43" s="119">
        <v>104.02</v>
      </c>
      <c r="K43" s="287">
        <f t="shared" si="0"/>
        <v>520.1</v>
      </c>
      <c r="L43" s="287">
        <f t="shared" si="3"/>
        <v>3220.7</v>
      </c>
      <c r="M43" s="119"/>
      <c r="N43" s="287">
        <f t="shared" si="2"/>
        <v>38404.744200000161</v>
      </c>
      <c r="O43" s="119"/>
      <c r="P43" s="119"/>
    </row>
    <row r="44" spans="1:16">
      <c r="A44" s="19">
        <v>40</v>
      </c>
      <c r="B44" s="19" t="s">
        <v>173</v>
      </c>
      <c r="C44" s="130" t="s">
        <v>198</v>
      </c>
      <c r="D44" s="130" t="s">
        <v>199</v>
      </c>
      <c r="E44" s="288" t="s">
        <v>200</v>
      </c>
      <c r="F44" s="19">
        <v>100</v>
      </c>
      <c r="G44" s="19">
        <v>89.9</v>
      </c>
      <c r="H44" s="51">
        <f t="shared" si="4"/>
        <v>8990</v>
      </c>
      <c r="I44" s="19"/>
      <c r="J44" s="19"/>
      <c r="K44" s="51">
        <f t="shared" si="0"/>
        <v>0</v>
      </c>
      <c r="L44" s="51">
        <f t="shared" si="3"/>
        <v>8990</v>
      </c>
      <c r="M44" s="19"/>
      <c r="N44" s="51">
        <f t="shared" si="2"/>
        <v>29414.744200000161</v>
      </c>
      <c r="O44" s="19"/>
      <c r="P44" s="19"/>
    </row>
    <row r="45" spans="1:16">
      <c r="A45" s="19">
        <v>41</v>
      </c>
      <c r="B45" s="19" t="s">
        <v>173</v>
      </c>
      <c r="C45" s="19" t="s">
        <v>244</v>
      </c>
      <c r="D45" s="19" t="s">
        <v>76</v>
      </c>
      <c r="E45" s="328" t="s">
        <v>245</v>
      </c>
      <c r="F45" s="19"/>
      <c r="G45" s="19"/>
      <c r="H45" s="51">
        <f t="shared" si="4"/>
        <v>0</v>
      </c>
      <c r="I45" s="19">
        <v>5</v>
      </c>
      <c r="J45" s="19">
        <v>103.05</v>
      </c>
      <c r="K45" s="51">
        <f t="shared" si="0"/>
        <v>515.25</v>
      </c>
      <c r="L45" s="51">
        <f t="shared" si="3"/>
        <v>515.25</v>
      </c>
      <c r="M45" s="19"/>
      <c r="N45" s="51">
        <f t="shared" si="2"/>
        <v>28899.494200000161</v>
      </c>
      <c r="O45" s="19"/>
      <c r="P45" s="19"/>
    </row>
    <row r="46" spans="1:16">
      <c r="A46" s="167">
        <v>42</v>
      </c>
      <c r="B46" s="167" t="s">
        <v>173</v>
      </c>
      <c r="C46" s="167" t="s">
        <v>211</v>
      </c>
      <c r="D46" s="167" t="s">
        <v>212</v>
      </c>
      <c r="E46" s="335" t="s">
        <v>213</v>
      </c>
      <c r="F46" s="167">
        <v>30</v>
      </c>
      <c r="G46" s="167">
        <v>89.5</v>
      </c>
      <c r="H46" s="225">
        <f t="shared" si="4"/>
        <v>2685</v>
      </c>
      <c r="I46" s="167"/>
      <c r="J46" s="167"/>
      <c r="K46" s="225">
        <f t="shared" si="0"/>
        <v>0</v>
      </c>
      <c r="L46" s="225">
        <f t="shared" si="3"/>
        <v>2685</v>
      </c>
      <c r="M46" s="167"/>
      <c r="N46" s="225">
        <f t="shared" si="2"/>
        <v>26214.494200000161</v>
      </c>
      <c r="O46" s="167"/>
      <c r="P46" s="167"/>
    </row>
    <row r="47" spans="1:16">
      <c r="A47" s="19">
        <v>43</v>
      </c>
      <c r="B47" s="19" t="s">
        <v>173</v>
      </c>
      <c r="C47" s="130" t="s">
        <v>83</v>
      </c>
      <c r="D47" s="130" t="s">
        <v>82</v>
      </c>
      <c r="E47" s="288" t="s">
        <v>214</v>
      </c>
      <c r="F47" s="19">
        <v>60</v>
      </c>
      <c r="G47" s="19">
        <v>89.22</v>
      </c>
      <c r="H47" s="51">
        <f t="shared" si="4"/>
        <v>5353.2</v>
      </c>
      <c r="I47" s="19"/>
      <c r="J47" s="19"/>
      <c r="K47" s="51">
        <f t="shared" si="0"/>
        <v>0</v>
      </c>
      <c r="L47" s="51">
        <f t="shared" si="3"/>
        <v>5353.2</v>
      </c>
      <c r="M47" s="19"/>
      <c r="N47" s="51">
        <f t="shared" si="2"/>
        <v>20861.29420000016</v>
      </c>
      <c r="O47" s="19"/>
      <c r="P47" s="19"/>
    </row>
    <row r="48" spans="1:16">
      <c r="A48" s="119">
        <v>44</v>
      </c>
      <c r="B48" s="119" t="s">
        <v>173</v>
      </c>
      <c r="C48" s="119" t="s">
        <v>215</v>
      </c>
      <c r="D48" s="119" t="s">
        <v>84</v>
      </c>
      <c r="E48" s="334" t="s">
        <v>216</v>
      </c>
      <c r="F48" s="119">
        <v>33.54</v>
      </c>
      <c r="G48" s="119">
        <v>89.44</v>
      </c>
      <c r="H48" s="287">
        <f t="shared" si="4"/>
        <v>2999.8175999999999</v>
      </c>
      <c r="I48" s="119"/>
      <c r="J48" s="119"/>
      <c r="K48" s="287">
        <f t="shared" si="0"/>
        <v>0</v>
      </c>
      <c r="L48" s="287">
        <f t="shared" si="3"/>
        <v>2999.8175999999999</v>
      </c>
      <c r="M48" s="119"/>
      <c r="N48" s="287">
        <f t="shared" si="2"/>
        <v>17861.476600000162</v>
      </c>
      <c r="O48" s="119"/>
      <c r="P48" s="119"/>
    </row>
    <row r="49" spans="1:16">
      <c r="A49" s="19">
        <v>45</v>
      </c>
      <c r="B49" s="19" t="s">
        <v>173</v>
      </c>
      <c r="C49" s="19" t="s">
        <v>217</v>
      </c>
      <c r="D49" s="19" t="s">
        <v>78</v>
      </c>
      <c r="E49" s="328" t="s">
        <v>218</v>
      </c>
      <c r="F49" s="19">
        <v>0</v>
      </c>
      <c r="G49" s="19"/>
      <c r="H49" s="287">
        <f t="shared" si="4"/>
        <v>0</v>
      </c>
      <c r="I49" s="19">
        <v>4.83</v>
      </c>
      <c r="J49" s="19">
        <v>103.44</v>
      </c>
      <c r="K49" s="51">
        <f t="shared" si="0"/>
        <v>499.61520000000002</v>
      </c>
      <c r="L49" s="51">
        <f t="shared" si="3"/>
        <v>499.61520000000002</v>
      </c>
      <c r="M49" s="19"/>
      <c r="N49" s="51">
        <f t="shared" si="2"/>
        <v>17361.861400000162</v>
      </c>
      <c r="O49" s="19"/>
      <c r="P49" s="19"/>
    </row>
    <row r="50" spans="1:16">
      <c r="A50" s="119">
        <v>46</v>
      </c>
      <c r="B50" s="119" t="s">
        <v>173</v>
      </c>
      <c r="C50" s="325" t="s">
        <v>208</v>
      </c>
      <c r="D50" s="325" t="s">
        <v>209</v>
      </c>
      <c r="E50" s="326" t="s">
        <v>210</v>
      </c>
      <c r="F50" s="119">
        <v>0</v>
      </c>
      <c r="G50" s="119"/>
      <c r="H50" s="287">
        <f t="shared" si="4"/>
        <v>0</v>
      </c>
      <c r="I50" s="119">
        <v>60</v>
      </c>
      <c r="J50" s="119">
        <v>104</v>
      </c>
      <c r="K50" s="287">
        <f t="shared" si="0"/>
        <v>6240</v>
      </c>
      <c r="L50" s="287">
        <f t="shared" si="3"/>
        <v>6240</v>
      </c>
      <c r="M50" s="119"/>
      <c r="N50" s="287">
        <f t="shared" si="2"/>
        <v>11121.861400000162</v>
      </c>
      <c r="O50" s="119"/>
      <c r="P50" s="119"/>
    </row>
    <row r="51" spans="1:16">
      <c r="A51" s="19">
        <v>47</v>
      </c>
      <c r="B51" s="19" t="s">
        <v>174</v>
      </c>
      <c r="C51" s="130" t="s">
        <v>198</v>
      </c>
      <c r="D51" s="130" t="s">
        <v>199</v>
      </c>
      <c r="E51" s="288" t="s">
        <v>200</v>
      </c>
      <c r="F51" s="19">
        <v>88</v>
      </c>
      <c r="G51" s="19">
        <v>89.9</v>
      </c>
      <c r="H51" s="51">
        <f t="shared" si="4"/>
        <v>7911.2000000000007</v>
      </c>
      <c r="I51" s="19"/>
      <c r="J51" s="19"/>
      <c r="K51" s="51">
        <f t="shared" si="0"/>
        <v>0</v>
      </c>
      <c r="L51" s="51">
        <f t="shared" si="3"/>
        <v>7911.2000000000007</v>
      </c>
      <c r="M51" s="19"/>
      <c r="N51" s="51">
        <f t="shared" si="2"/>
        <v>3210.6614000001609</v>
      </c>
      <c r="O51" s="19"/>
      <c r="P51" s="19"/>
    </row>
    <row r="52" spans="1:16">
      <c r="A52" s="19">
        <v>48</v>
      </c>
      <c r="B52" s="19" t="s">
        <v>174</v>
      </c>
      <c r="C52" s="19" t="s">
        <v>227</v>
      </c>
      <c r="D52" s="19" t="s">
        <v>228</v>
      </c>
      <c r="E52" s="328" t="s">
        <v>229</v>
      </c>
      <c r="F52" s="19">
        <v>290</v>
      </c>
      <c r="G52" s="19">
        <v>90.23</v>
      </c>
      <c r="H52" s="51">
        <f t="shared" si="4"/>
        <v>26166.7</v>
      </c>
      <c r="I52" s="19">
        <v>35</v>
      </c>
      <c r="J52" s="19">
        <v>104.13</v>
      </c>
      <c r="K52" s="51">
        <f t="shared" si="0"/>
        <v>3644.5499999999997</v>
      </c>
      <c r="L52" s="51">
        <f t="shared" si="3"/>
        <v>29811.25</v>
      </c>
      <c r="M52" s="19">
        <v>100000</v>
      </c>
      <c r="N52" s="51">
        <f t="shared" si="2"/>
        <v>73399.411400000157</v>
      </c>
      <c r="O52" s="19"/>
      <c r="P52" s="19"/>
    </row>
    <row r="53" spans="1:16">
      <c r="A53" s="19">
        <v>49</v>
      </c>
      <c r="B53" s="19" t="s">
        <v>174</v>
      </c>
      <c r="C53" s="19" t="s">
        <v>211</v>
      </c>
      <c r="D53" s="19" t="s">
        <v>212</v>
      </c>
      <c r="E53" s="328" t="s">
        <v>213</v>
      </c>
      <c r="F53" s="19">
        <v>11.16</v>
      </c>
      <c r="G53" s="19">
        <v>89.58</v>
      </c>
      <c r="H53" s="51">
        <f t="shared" si="4"/>
        <v>999.71280000000002</v>
      </c>
      <c r="I53" s="19"/>
      <c r="J53" s="19"/>
      <c r="K53" s="51">
        <f t="shared" si="0"/>
        <v>0</v>
      </c>
      <c r="L53" s="51">
        <f t="shared" si="3"/>
        <v>999.71280000000002</v>
      </c>
      <c r="M53" s="19">
        <v>50000</v>
      </c>
      <c r="N53" s="51">
        <f t="shared" si="2"/>
        <v>122399.69860000016</v>
      </c>
      <c r="O53" s="19"/>
      <c r="P53" s="19"/>
    </row>
    <row r="54" spans="1:16">
      <c r="A54" s="19">
        <v>50</v>
      </c>
      <c r="B54" s="19" t="s">
        <v>174</v>
      </c>
      <c r="C54" s="130" t="s">
        <v>83</v>
      </c>
      <c r="D54" s="130" t="s">
        <v>82</v>
      </c>
      <c r="E54" s="288" t="s">
        <v>214</v>
      </c>
      <c r="F54" s="19">
        <v>30</v>
      </c>
      <c r="G54" s="19">
        <v>89.22</v>
      </c>
      <c r="H54" s="51">
        <f t="shared" si="4"/>
        <v>2676.6</v>
      </c>
      <c r="I54" s="19"/>
      <c r="J54" s="19"/>
      <c r="K54" s="51">
        <f t="shared" si="0"/>
        <v>0</v>
      </c>
      <c r="L54" s="51">
        <f t="shared" si="3"/>
        <v>2676.6</v>
      </c>
      <c r="M54" s="19"/>
      <c r="N54" s="51">
        <f t="shared" si="2"/>
        <v>119723.09860000016</v>
      </c>
      <c r="O54" s="19"/>
      <c r="P54" s="19"/>
    </row>
    <row r="55" spans="1:16">
      <c r="A55" s="19">
        <v>51</v>
      </c>
      <c r="B55" s="19" t="s">
        <v>174</v>
      </c>
      <c r="C55" s="19" t="s">
        <v>235</v>
      </c>
      <c r="D55" s="130" t="s">
        <v>236</v>
      </c>
      <c r="E55" s="288" t="s">
        <v>214</v>
      </c>
      <c r="F55" s="19">
        <v>139.53</v>
      </c>
      <c r="G55" s="19">
        <v>89.33</v>
      </c>
      <c r="H55" s="51">
        <f t="shared" si="4"/>
        <v>12464.214899999999</v>
      </c>
      <c r="I55" s="19"/>
      <c r="J55" s="19"/>
      <c r="K55" s="51">
        <f t="shared" si="0"/>
        <v>0</v>
      </c>
      <c r="L55" s="51">
        <f t="shared" si="3"/>
        <v>12464.214899999999</v>
      </c>
      <c r="M55" s="19"/>
      <c r="N55" s="51">
        <f t="shared" si="2"/>
        <v>107258.88370000015</v>
      </c>
      <c r="O55" s="19"/>
      <c r="P55" s="19"/>
    </row>
    <row r="56" spans="1:16">
      <c r="A56" s="19">
        <v>52</v>
      </c>
      <c r="B56" s="19" t="s">
        <v>174</v>
      </c>
      <c r="C56" s="19" t="s">
        <v>215</v>
      </c>
      <c r="D56" s="19" t="s">
        <v>84</v>
      </c>
      <c r="E56" s="328" t="s">
        <v>216</v>
      </c>
      <c r="F56" s="19">
        <v>44.72</v>
      </c>
      <c r="G56" s="19">
        <v>89.44</v>
      </c>
      <c r="H56" s="51">
        <f t="shared" si="4"/>
        <v>3999.7567999999997</v>
      </c>
      <c r="I56" s="19">
        <v>4.84</v>
      </c>
      <c r="J56" s="19">
        <v>103.39</v>
      </c>
      <c r="K56" s="51">
        <f t="shared" si="0"/>
        <v>500.4076</v>
      </c>
      <c r="L56" s="51">
        <f t="shared" si="3"/>
        <v>4500.1643999999997</v>
      </c>
      <c r="M56" s="19"/>
      <c r="N56" s="51">
        <f t="shared" si="2"/>
        <v>102758.71930000016</v>
      </c>
      <c r="O56" s="19"/>
      <c r="P56" s="19"/>
    </row>
    <row r="57" spans="1:16">
      <c r="A57" s="119">
        <v>53</v>
      </c>
      <c r="B57" s="119" t="s">
        <v>174</v>
      </c>
      <c r="C57" s="325" t="s">
        <v>241</v>
      </c>
      <c r="D57" s="325" t="s">
        <v>242</v>
      </c>
      <c r="E57" s="326" t="s">
        <v>243</v>
      </c>
      <c r="F57" s="119">
        <v>30</v>
      </c>
      <c r="G57" s="119">
        <v>89.78</v>
      </c>
      <c r="H57" s="287">
        <f t="shared" si="4"/>
        <v>2693.4</v>
      </c>
      <c r="I57" s="119"/>
      <c r="J57" s="119"/>
      <c r="K57" s="287">
        <f t="shared" si="0"/>
        <v>0</v>
      </c>
      <c r="L57" s="287">
        <f t="shared" si="3"/>
        <v>2693.4</v>
      </c>
      <c r="M57" s="119"/>
      <c r="N57" s="287">
        <f t="shared" si="2"/>
        <v>100065.31930000016</v>
      </c>
      <c r="O57" s="119"/>
      <c r="P57" s="119"/>
    </row>
    <row r="58" spans="1:16">
      <c r="A58" s="19">
        <v>54</v>
      </c>
      <c r="B58" s="19" t="s">
        <v>175</v>
      </c>
      <c r="C58" s="130" t="s">
        <v>198</v>
      </c>
      <c r="D58" s="130" t="s">
        <v>199</v>
      </c>
      <c r="E58" s="288" t="s">
        <v>200</v>
      </c>
      <c r="F58" s="19">
        <v>76.69</v>
      </c>
      <c r="G58" s="19">
        <v>89.9</v>
      </c>
      <c r="H58" s="51">
        <f t="shared" si="4"/>
        <v>6894.4310000000005</v>
      </c>
      <c r="I58" s="19">
        <v>7.7</v>
      </c>
      <c r="J58" s="19">
        <v>103.96</v>
      </c>
      <c r="K58" s="51">
        <f t="shared" si="0"/>
        <v>800.49199999999996</v>
      </c>
      <c r="L58" s="51">
        <f t="shared" si="3"/>
        <v>7694.9230000000007</v>
      </c>
      <c r="M58" s="19"/>
      <c r="N58" s="51">
        <f t="shared" si="2"/>
        <v>92370.396300000168</v>
      </c>
      <c r="O58" s="19"/>
      <c r="P58" s="19"/>
    </row>
    <row r="59" spans="1:16">
      <c r="A59" s="19">
        <v>55</v>
      </c>
      <c r="B59" s="19" t="s">
        <v>175</v>
      </c>
      <c r="C59" s="19" t="s">
        <v>201</v>
      </c>
      <c r="D59" s="19" t="s">
        <v>202</v>
      </c>
      <c r="E59" s="19" t="s">
        <v>203</v>
      </c>
      <c r="F59" s="19">
        <v>49.21</v>
      </c>
      <c r="G59" s="19">
        <v>91.47</v>
      </c>
      <c r="H59" s="51">
        <f t="shared" si="4"/>
        <v>4501.2386999999999</v>
      </c>
      <c r="I59" s="19"/>
      <c r="J59" s="19"/>
      <c r="K59" s="51">
        <f t="shared" ref="K59:K62" si="5">I59*J59</f>
        <v>0</v>
      </c>
      <c r="L59" s="51">
        <f t="shared" ref="L59:L62" si="6">H59+K59</f>
        <v>4501.2386999999999</v>
      </c>
      <c r="M59" s="19"/>
      <c r="N59" s="51">
        <f t="shared" si="2"/>
        <v>87869.157600000166</v>
      </c>
      <c r="O59" s="19"/>
      <c r="P59" s="19"/>
    </row>
    <row r="60" spans="1:16">
      <c r="A60" s="19">
        <v>56</v>
      </c>
      <c r="B60" s="19" t="s">
        <v>175</v>
      </c>
      <c r="C60" s="19" t="s">
        <v>211</v>
      </c>
      <c r="D60" s="19" t="s">
        <v>212</v>
      </c>
      <c r="E60" s="19" t="s">
        <v>213</v>
      </c>
      <c r="F60" s="19">
        <v>90</v>
      </c>
      <c r="G60" s="19">
        <v>89.58</v>
      </c>
      <c r="H60" s="51">
        <f t="shared" si="4"/>
        <v>8062.2</v>
      </c>
      <c r="I60" s="19"/>
      <c r="J60" s="19"/>
      <c r="K60" s="51">
        <f t="shared" si="5"/>
        <v>0</v>
      </c>
      <c r="L60" s="51">
        <f t="shared" si="6"/>
        <v>8062.2</v>
      </c>
      <c r="M60" s="19"/>
      <c r="N60" s="51">
        <f t="shared" si="2"/>
        <v>79806.957600000169</v>
      </c>
      <c r="O60" s="19"/>
      <c r="P60" s="19"/>
    </row>
    <row r="61" spans="1:16">
      <c r="A61" s="19">
        <v>57</v>
      </c>
      <c r="B61" s="19" t="s">
        <v>175</v>
      </c>
      <c r="C61" s="19" t="s">
        <v>215</v>
      </c>
      <c r="D61" s="19" t="s">
        <v>84</v>
      </c>
      <c r="E61" s="328" t="s">
        <v>216</v>
      </c>
      <c r="F61" s="19"/>
      <c r="G61" s="19"/>
      <c r="H61" s="51">
        <f t="shared" si="4"/>
        <v>0</v>
      </c>
      <c r="I61" s="19">
        <v>9.68</v>
      </c>
      <c r="J61" s="19">
        <v>103.39</v>
      </c>
      <c r="K61" s="51">
        <f t="shared" si="5"/>
        <v>1000.8152</v>
      </c>
      <c r="L61" s="51">
        <f t="shared" si="6"/>
        <v>1000.8152</v>
      </c>
      <c r="M61" s="19"/>
      <c r="N61" s="51">
        <f t="shared" si="2"/>
        <v>78806.142400000172</v>
      </c>
      <c r="O61" s="19"/>
      <c r="P61" s="19"/>
    </row>
    <row r="62" spans="1:16">
      <c r="A62" s="19">
        <v>58</v>
      </c>
      <c r="B62" s="19" t="s">
        <v>175</v>
      </c>
      <c r="C62" s="19" t="s">
        <v>217</v>
      </c>
      <c r="D62" s="19" t="s">
        <v>78</v>
      </c>
      <c r="E62" s="19" t="s">
        <v>218</v>
      </c>
      <c r="F62" s="19">
        <v>92.93</v>
      </c>
      <c r="G62" s="19">
        <v>89.49</v>
      </c>
      <c r="H62" s="51">
        <f t="shared" si="4"/>
        <v>8316.3057000000008</v>
      </c>
      <c r="I62" s="19">
        <v>4.83</v>
      </c>
      <c r="J62" s="19">
        <v>103.44</v>
      </c>
      <c r="K62" s="51">
        <f t="shared" si="5"/>
        <v>499.61520000000002</v>
      </c>
      <c r="L62" s="51">
        <f t="shared" si="6"/>
        <v>8815.920900000001</v>
      </c>
      <c r="M62" s="19"/>
      <c r="N62" s="51">
        <f t="shared" si="2"/>
        <v>69990.221500000174</v>
      </c>
      <c r="O62" s="19"/>
      <c r="P62" s="19"/>
    </row>
    <row r="63" spans="1:16">
      <c r="A63" s="19">
        <v>59</v>
      </c>
      <c r="B63" s="19" t="s">
        <v>175</v>
      </c>
      <c r="C63" s="19" t="s">
        <v>241</v>
      </c>
      <c r="D63" s="19" t="s">
        <v>242</v>
      </c>
      <c r="E63" s="19" t="s">
        <v>243</v>
      </c>
      <c r="F63" s="19">
        <v>75</v>
      </c>
      <c r="G63" s="19">
        <v>89.78</v>
      </c>
      <c r="H63" s="51">
        <f t="shared" si="4"/>
        <v>6733.5</v>
      </c>
      <c r="I63" s="19"/>
      <c r="J63" s="19"/>
      <c r="K63" s="51">
        <f t="shared" ref="K63:K64" si="7">I63*J63</f>
        <v>0</v>
      </c>
      <c r="L63" s="51">
        <f t="shared" ref="L63:L64" si="8">H63+K63</f>
        <v>6733.5</v>
      </c>
      <c r="M63" s="19"/>
      <c r="N63" s="51">
        <f t="shared" ref="N63:N64" si="9">N62+M63-L63</f>
        <v>63256.721500000174</v>
      </c>
      <c r="O63" s="19"/>
      <c r="P63" s="19"/>
    </row>
    <row r="64" spans="1:16">
      <c r="A64" s="19">
        <v>60</v>
      </c>
      <c r="B64" s="19" t="s">
        <v>175</v>
      </c>
      <c r="C64" s="19" t="s">
        <v>219</v>
      </c>
      <c r="D64" s="19" t="s">
        <v>220</v>
      </c>
      <c r="E64" s="19" t="s">
        <v>221</v>
      </c>
      <c r="F64" s="19">
        <v>134.68</v>
      </c>
      <c r="G64" s="19">
        <v>90.02</v>
      </c>
      <c r="H64" s="51">
        <f t="shared" si="4"/>
        <v>12123.893599999999</v>
      </c>
      <c r="I64" s="19">
        <v>5</v>
      </c>
      <c r="J64" s="19">
        <v>104.02</v>
      </c>
      <c r="K64" s="51">
        <f t="shared" si="7"/>
        <v>520.1</v>
      </c>
      <c r="L64" s="51">
        <f t="shared" si="8"/>
        <v>12643.9936</v>
      </c>
      <c r="M64" s="19"/>
      <c r="N64" s="51">
        <f t="shared" si="9"/>
        <v>50612.727900000173</v>
      </c>
      <c r="O64" s="19"/>
      <c r="P64" s="19"/>
    </row>
    <row r="65" spans="1:16">
      <c r="A65" s="119">
        <v>61</v>
      </c>
      <c r="B65" s="119" t="s">
        <v>176</v>
      </c>
      <c r="C65" s="119" t="s">
        <v>215</v>
      </c>
      <c r="D65" s="119" t="s">
        <v>84</v>
      </c>
      <c r="E65" s="334" t="s">
        <v>216</v>
      </c>
      <c r="F65" s="119">
        <v>44.72</v>
      </c>
      <c r="G65" s="119">
        <v>89.44</v>
      </c>
      <c r="H65" s="287">
        <f t="shared" si="4"/>
        <v>3999.7567999999997</v>
      </c>
      <c r="I65" s="119"/>
      <c r="J65" s="119"/>
      <c r="K65" s="287">
        <f t="shared" ref="K65:K67" si="10">I65*J65</f>
        <v>0</v>
      </c>
      <c r="L65" s="287">
        <f t="shared" ref="L65:L67" si="11">H65+K65</f>
        <v>3999.7567999999997</v>
      </c>
      <c r="M65" s="119"/>
      <c r="N65" s="287">
        <f t="shared" ref="N65:N98" si="12">N64+M65-L65</f>
        <v>46612.97110000017</v>
      </c>
      <c r="O65" s="119"/>
      <c r="P65" s="119"/>
    </row>
    <row r="66" spans="1:16">
      <c r="A66" s="19">
        <v>62</v>
      </c>
      <c r="B66" s="19" t="s">
        <v>176</v>
      </c>
      <c r="C66" s="19" t="s">
        <v>217</v>
      </c>
      <c r="D66" s="19" t="s">
        <v>78</v>
      </c>
      <c r="E66" s="19" t="s">
        <v>218</v>
      </c>
      <c r="F66" s="19">
        <v>60.34</v>
      </c>
      <c r="G66" s="19">
        <v>89.49</v>
      </c>
      <c r="H66" s="51">
        <f t="shared" si="4"/>
        <v>5399.8266000000003</v>
      </c>
      <c r="I66" s="19"/>
      <c r="J66" s="19"/>
      <c r="K66" s="51">
        <f t="shared" si="10"/>
        <v>0</v>
      </c>
      <c r="L66" s="51">
        <f t="shared" si="11"/>
        <v>5399.8266000000003</v>
      </c>
      <c r="M66" s="19"/>
      <c r="N66" s="51">
        <f t="shared" si="12"/>
        <v>41213.14450000017</v>
      </c>
      <c r="O66" s="19"/>
      <c r="P66" s="19"/>
    </row>
    <row r="67" spans="1:16">
      <c r="A67" s="19">
        <v>63</v>
      </c>
      <c r="B67" s="19" t="s">
        <v>176</v>
      </c>
      <c r="C67" s="130" t="s">
        <v>241</v>
      </c>
      <c r="D67" s="130" t="s">
        <v>242</v>
      </c>
      <c r="E67" s="288" t="s">
        <v>243</v>
      </c>
      <c r="F67" s="19">
        <v>40</v>
      </c>
      <c r="G67" s="19">
        <v>89.78</v>
      </c>
      <c r="H67" s="51">
        <f t="shared" si="4"/>
        <v>3591.2</v>
      </c>
      <c r="I67" s="19">
        <v>5</v>
      </c>
      <c r="J67" s="19">
        <v>103.76</v>
      </c>
      <c r="K67" s="51">
        <f t="shared" si="10"/>
        <v>518.80000000000007</v>
      </c>
      <c r="L67" s="51">
        <f t="shared" si="11"/>
        <v>4110</v>
      </c>
      <c r="M67" s="19"/>
      <c r="N67" s="51">
        <f t="shared" si="12"/>
        <v>37103.14450000017</v>
      </c>
      <c r="O67" s="19"/>
      <c r="P67" s="19"/>
    </row>
    <row r="68" spans="1:16">
      <c r="A68" s="19">
        <v>64</v>
      </c>
      <c r="B68" s="19" t="s">
        <v>250</v>
      </c>
      <c r="C68" s="19" t="s">
        <v>198</v>
      </c>
      <c r="D68" s="19" t="s">
        <v>199</v>
      </c>
      <c r="E68" s="328" t="s">
        <v>200</v>
      </c>
      <c r="F68" s="19">
        <v>37.76</v>
      </c>
      <c r="G68" s="19">
        <v>89.9</v>
      </c>
      <c r="H68" s="51">
        <f t="shared" si="4"/>
        <v>3394.6240000000003</v>
      </c>
      <c r="I68" s="19"/>
      <c r="J68" s="19"/>
      <c r="K68" s="51">
        <f t="shared" ref="K68:K91" si="13">I68*J68</f>
        <v>0</v>
      </c>
      <c r="L68" s="51">
        <f t="shared" ref="L68:L93" si="14">H68+K68</f>
        <v>3394.6240000000003</v>
      </c>
      <c r="M68" s="19">
        <v>1107263</v>
      </c>
      <c r="N68" s="51">
        <f t="shared" si="12"/>
        <v>1140971.5205000001</v>
      </c>
      <c r="O68" s="19"/>
      <c r="P68" s="19"/>
    </row>
    <row r="69" spans="1:16">
      <c r="A69" s="19">
        <v>65</v>
      </c>
      <c r="B69" s="19" t="s">
        <v>250</v>
      </c>
      <c r="C69" s="19" t="s">
        <v>201</v>
      </c>
      <c r="D69" s="19" t="s">
        <v>202</v>
      </c>
      <c r="E69" s="328" t="s">
        <v>203</v>
      </c>
      <c r="F69" s="19">
        <v>35.869999999999997</v>
      </c>
      <c r="G69" s="19">
        <v>91.47</v>
      </c>
      <c r="H69" s="51">
        <f t="shared" si="4"/>
        <v>3281.0288999999998</v>
      </c>
      <c r="I69" s="19"/>
      <c r="J69" s="19"/>
      <c r="K69" s="51">
        <f t="shared" si="13"/>
        <v>0</v>
      </c>
      <c r="L69" s="51">
        <f t="shared" si="14"/>
        <v>3281.0288999999998</v>
      </c>
      <c r="M69" s="19"/>
      <c r="N69" s="51">
        <f t="shared" si="12"/>
        <v>1137690.4916000001</v>
      </c>
      <c r="O69" s="19"/>
      <c r="P69" s="19"/>
    </row>
    <row r="70" spans="1:16">
      <c r="A70" s="19">
        <v>66</v>
      </c>
      <c r="B70" s="19" t="s">
        <v>250</v>
      </c>
      <c r="C70" s="19" t="s">
        <v>224</v>
      </c>
      <c r="D70" s="19" t="s">
        <v>225</v>
      </c>
      <c r="E70" s="328" t="s">
        <v>226</v>
      </c>
      <c r="F70" s="19">
        <v>3760</v>
      </c>
      <c r="G70" s="19">
        <v>89.29</v>
      </c>
      <c r="H70" s="51">
        <f t="shared" si="4"/>
        <v>335730.4</v>
      </c>
      <c r="I70" s="19">
        <v>138</v>
      </c>
      <c r="J70" s="19">
        <v>103.24</v>
      </c>
      <c r="K70" s="51">
        <f t="shared" si="13"/>
        <v>14247.119999999999</v>
      </c>
      <c r="L70" s="51">
        <f t="shared" si="14"/>
        <v>349977.52</v>
      </c>
      <c r="M70" s="19"/>
      <c r="N70" s="51">
        <f t="shared" si="12"/>
        <v>787712.97160000005</v>
      </c>
      <c r="O70" s="19"/>
      <c r="P70" s="19"/>
    </row>
    <row r="71" spans="1:16">
      <c r="A71" s="19">
        <v>67</v>
      </c>
      <c r="B71" s="19" t="s">
        <v>250</v>
      </c>
      <c r="C71" s="19" t="s">
        <v>211</v>
      </c>
      <c r="D71" s="19" t="s">
        <v>212</v>
      </c>
      <c r="E71" s="328" t="s">
        <v>213</v>
      </c>
      <c r="F71" s="19"/>
      <c r="G71" s="19"/>
      <c r="H71" s="51">
        <f t="shared" si="4"/>
        <v>0</v>
      </c>
      <c r="I71" s="19">
        <v>6</v>
      </c>
      <c r="J71" s="19">
        <v>103.53</v>
      </c>
      <c r="K71" s="51">
        <f t="shared" si="13"/>
        <v>621.18000000000006</v>
      </c>
      <c r="L71" s="51">
        <f t="shared" si="14"/>
        <v>621.18000000000006</v>
      </c>
      <c r="M71" s="19"/>
      <c r="N71" s="51">
        <f t="shared" si="12"/>
        <v>787091.7916</v>
      </c>
      <c r="O71" s="19"/>
      <c r="P71" s="19"/>
    </row>
    <row r="72" spans="1:16">
      <c r="A72" s="19">
        <v>68</v>
      </c>
      <c r="B72" s="19" t="s">
        <v>250</v>
      </c>
      <c r="C72" s="19" t="s">
        <v>235</v>
      </c>
      <c r="D72" s="130" t="s">
        <v>236</v>
      </c>
      <c r="E72" s="288" t="s">
        <v>214</v>
      </c>
      <c r="F72" s="19">
        <v>55.71</v>
      </c>
      <c r="G72" s="19">
        <v>89.33</v>
      </c>
      <c r="H72" s="51">
        <f t="shared" si="4"/>
        <v>4976.5743000000002</v>
      </c>
      <c r="I72" s="19">
        <v>5</v>
      </c>
      <c r="J72" s="19">
        <v>103.26</v>
      </c>
      <c r="K72" s="51">
        <f t="shared" si="13"/>
        <v>516.30000000000007</v>
      </c>
      <c r="L72" s="51">
        <f t="shared" si="14"/>
        <v>5492.8743000000004</v>
      </c>
      <c r="M72" s="19"/>
      <c r="N72" s="51">
        <f t="shared" si="12"/>
        <v>781598.91729999997</v>
      </c>
      <c r="O72" s="19"/>
      <c r="P72" s="19"/>
    </row>
    <row r="73" spans="1:16">
      <c r="A73" s="119">
        <v>69</v>
      </c>
      <c r="B73" s="119" t="s">
        <v>250</v>
      </c>
      <c r="C73" s="119" t="s">
        <v>241</v>
      </c>
      <c r="D73" s="119" t="s">
        <v>242</v>
      </c>
      <c r="E73" s="334" t="s">
        <v>243</v>
      </c>
      <c r="F73" s="119">
        <v>135</v>
      </c>
      <c r="G73" s="119">
        <v>89.78</v>
      </c>
      <c r="H73" s="287">
        <f t="shared" si="4"/>
        <v>12120.3</v>
      </c>
      <c r="I73" s="119">
        <v>5</v>
      </c>
      <c r="J73" s="119">
        <v>103.76</v>
      </c>
      <c r="K73" s="287">
        <f t="shared" si="13"/>
        <v>518.80000000000007</v>
      </c>
      <c r="L73" s="287">
        <f t="shared" si="14"/>
        <v>12639.099999999999</v>
      </c>
      <c r="M73" s="119"/>
      <c r="N73" s="287">
        <f t="shared" si="12"/>
        <v>768959.8173</v>
      </c>
      <c r="O73" s="119"/>
      <c r="P73" s="119"/>
    </row>
    <row r="74" spans="1:16">
      <c r="A74" s="19">
        <v>70</v>
      </c>
      <c r="B74" s="19" t="s">
        <v>251</v>
      </c>
      <c r="C74" s="19" t="s">
        <v>198</v>
      </c>
      <c r="D74" s="19" t="s">
        <v>199</v>
      </c>
      <c r="E74" s="328" t="s">
        <v>200</v>
      </c>
      <c r="F74" s="19">
        <v>60</v>
      </c>
      <c r="G74" s="19">
        <v>89.9</v>
      </c>
      <c r="H74" s="51">
        <f t="shared" si="4"/>
        <v>5394</v>
      </c>
      <c r="I74" s="19">
        <v>5.3</v>
      </c>
      <c r="J74" s="19">
        <v>103.96</v>
      </c>
      <c r="K74" s="51">
        <f t="shared" si="13"/>
        <v>550.98799999999994</v>
      </c>
      <c r="L74" s="51">
        <f t="shared" si="14"/>
        <v>5944.9880000000003</v>
      </c>
      <c r="M74" s="19"/>
      <c r="N74" s="51">
        <f t="shared" si="12"/>
        <v>763014.82929999998</v>
      </c>
      <c r="O74" s="19"/>
      <c r="P74" s="19"/>
    </row>
    <row r="75" spans="1:16">
      <c r="A75" s="19">
        <v>71</v>
      </c>
      <c r="B75" s="19" t="s">
        <v>251</v>
      </c>
      <c r="C75" s="130" t="s">
        <v>201</v>
      </c>
      <c r="D75" s="130" t="s">
        <v>202</v>
      </c>
      <c r="E75" s="288" t="s">
        <v>203</v>
      </c>
      <c r="F75" s="19">
        <v>37.76</v>
      </c>
      <c r="G75" s="19">
        <v>91.47</v>
      </c>
      <c r="H75" s="51">
        <f t="shared" si="4"/>
        <v>3453.9071999999996</v>
      </c>
      <c r="I75" s="19"/>
      <c r="J75" s="19"/>
      <c r="K75" s="51">
        <f t="shared" si="13"/>
        <v>0</v>
      </c>
      <c r="L75" s="51">
        <f t="shared" si="14"/>
        <v>3453.9071999999996</v>
      </c>
      <c r="M75" s="19"/>
      <c r="N75" s="51">
        <f t="shared" si="12"/>
        <v>759560.92209999997</v>
      </c>
      <c r="O75" s="19"/>
      <c r="P75" s="19"/>
    </row>
    <row r="76" spans="1:16">
      <c r="A76" s="19">
        <v>72</v>
      </c>
      <c r="B76" s="19" t="s">
        <v>251</v>
      </c>
      <c r="C76" s="130" t="s">
        <v>252</v>
      </c>
      <c r="D76" s="130" t="s">
        <v>253</v>
      </c>
      <c r="E76" s="288" t="s">
        <v>254</v>
      </c>
      <c r="F76" s="19">
        <v>1329.94</v>
      </c>
      <c r="G76" s="19">
        <v>90.23</v>
      </c>
      <c r="H76" s="51">
        <f t="shared" si="4"/>
        <v>120000.48620000001</v>
      </c>
      <c r="I76" s="19"/>
      <c r="J76" s="19"/>
      <c r="K76" s="51">
        <f t="shared" si="13"/>
        <v>0</v>
      </c>
      <c r="L76" s="51">
        <f t="shared" si="14"/>
        <v>120000.48620000001</v>
      </c>
      <c r="M76" s="19"/>
      <c r="N76" s="51">
        <f t="shared" si="12"/>
        <v>639560.43589999992</v>
      </c>
      <c r="O76" s="19"/>
      <c r="P76" s="19"/>
    </row>
    <row r="77" spans="1:16">
      <c r="A77" s="19">
        <v>73</v>
      </c>
      <c r="B77" s="19" t="s">
        <v>251</v>
      </c>
      <c r="C77" s="19" t="s">
        <v>227</v>
      </c>
      <c r="D77" s="19" t="s">
        <v>228</v>
      </c>
      <c r="E77" s="328" t="s">
        <v>229</v>
      </c>
      <c r="F77" s="19">
        <v>330</v>
      </c>
      <c r="G77" s="19">
        <v>90.23</v>
      </c>
      <c r="H77" s="51">
        <f t="shared" si="4"/>
        <v>29775.9</v>
      </c>
      <c r="I77" s="19"/>
      <c r="J77" s="19"/>
      <c r="K77" s="51">
        <f t="shared" si="13"/>
        <v>0</v>
      </c>
      <c r="L77" s="51">
        <f t="shared" si="14"/>
        <v>29775.9</v>
      </c>
      <c r="M77" s="19"/>
      <c r="N77" s="51">
        <f t="shared" si="12"/>
        <v>609784.5358999999</v>
      </c>
      <c r="O77" s="19"/>
      <c r="P77" s="19"/>
    </row>
    <row r="78" spans="1:16">
      <c r="A78" s="19">
        <v>74</v>
      </c>
      <c r="B78" s="19" t="s">
        <v>251</v>
      </c>
      <c r="C78" s="19" t="s">
        <v>40</v>
      </c>
      <c r="D78" s="19" t="s">
        <v>255</v>
      </c>
      <c r="E78" s="328" t="s">
        <v>256</v>
      </c>
      <c r="F78" s="19">
        <v>1108.1600000000001</v>
      </c>
      <c r="G78" s="19">
        <v>90.24</v>
      </c>
      <c r="H78" s="51">
        <f t="shared" si="4"/>
        <v>100000.3584</v>
      </c>
      <c r="I78" s="19"/>
      <c r="J78" s="19"/>
      <c r="K78" s="51">
        <f t="shared" si="13"/>
        <v>0</v>
      </c>
      <c r="L78" s="51">
        <f t="shared" si="14"/>
        <v>100000.3584</v>
      </c>
      <c r="M78" s="19"/>
      <c r="N78" s="51">
        <f t="shared" si="12"/>
        <v>509784.17749999987</v>
      </c>
      <c r="O78" s="19"/>
      <c r="P78" s="19"/>
    </row>
    <row r="79" spans="1:16">
      <c r="A79" s="19">
        <v>75</v>
      </c>
      <c r="B79" s="19" t="s">
        <v>251</v>
      </c>
      <c r="C79" s="19" t="s">
        <v>208</v>
      </c>
      <c r="D79" s="19" t="s">
        <v>209</v>
      </c>
      <c r="E79" s="328" t="s">
        <v>210</v>
      </c>
      <c r="F79" s="19">
        <v>5037.46</v>
      </c>
      <c r="G79" s="19">
        <v>89.78</v>
      </c>
      <c r="H79" s="51">
        <f t="shared" si="4"/>
        <v>452263.15880000003</v>
      </c>
      <c r="I79" s="19">
        <v>73.08</v>
      </c>
      <c r="J79" s="19">
        <v>104</v>
      </c>
      <c r="K79" s="51">
        <f t="shared" si="13"/>
        <v>7600.32</v>
      </c>
      <c r="L79" s="51">
        <f t="shared" si="14"/>
        <v>459863.47880000004</v>
      </c>
      <c r="M79" s="19"/>
      <c r="N79" s="51">
        <f t="shared" si="12"/>
        <v>49920.698699999833</v>
      </c>
      <c r="O79" s="19"/>
      <c r="P79" s="19"/>
    </row>
    <row r="80" spans="1:16">
      <c r="A80" s="19">
        <v>76</v>
      </c>
      <c r="B80" s="19" t="s">
        <v>251</v>
      </c>
      <c r="C80" s="19" t="s">
        <v>235</v>
      </c>
      <c r="D80" s="19" t="s">
        <v>236</v>
      </c>
      <c r="E80" s="328" t="s">
        <v>214</v>
      </c>
      <c r="F80" s="19">
        <v>7.84</v>
      </c>
      <c r="G80" s="19">
        <v>89.33</v>
      </c>
      <c r="H80" s="51">
        <f t="shared" si="4"/>
        <v>700.34719999999993</v>
      </c>
      <c r="I80" s="19">
        <v>4.84</v>
      </c>
      <c r="J80" s="19">
        <v>103.26</v>
      </c>
      <c r="K80" s="51">
        <f t="shared" si="13"/>
        <v>499.77840000000003</v>
      </c>
      <c r="L80" s="51">
        <f t="shared" si="14"/>
        <v>1200.1255999999998</v>
      </c>
      <c r="M80" s="19"/>
      <c r="N80" s="51">
        <f t="shared" si="12"/>
        <v>48720.573099999834</v>
      </c>
      <c r="O80" s="19"/>
      <c r="P80" s="19"/>
    </row>
    <row r="81" spans="1:16">
      <c r="A81" s="19">
        <v>77</v>
      </c>
      <c r="B81" s="19" t="s">
        <v>251</v>
      </c>
      <c r="C81" s="19" t="s">
        <v>257</v>
      </c>
      <c r="D81" s="19" t="s">
        <v>258</v>
      </c>
      <c r="E81" s="328" t="s">
        <v>216</v>
      </c>
      <c r="F81" s="19">
        <v>120</v>
      </c>
      <c r="G81" s="19">
        <v>89.61</v>
      </c>
      <c r="H81" s="51">
        <f t="shared" si="4"/>
        <v>10753.2</v>
      </c>
      <c r="I81" s="19"/>
      <c r="J81" s="19"/>
      <c r="K81" s="51">
        <f t="shared" si="13"/>
        <v>0</v>
      </c>
      <c r="L81" s="51">
        <f t="shared" si="14"/>
        <v>10753.2</v>
      </c>
      <c r="M81" s="19"/>
      <c r="N81" s="51">
        <f t="shared" si="12"/>
        <v>37967.373099999837</v>
      </c>
      <c r="O81" s="19"/>
      <c r="P81" s="19"/>
    </row>
    <row r="82" spans="1:16">
      <c r="A82" s="119">
        <v>78</v>
      </c>
      <c r="B82" s="119" t="s">
        <v>251</v>
      </c>
      <c r="C82" s="119" t="s">
        <v>241</v>
      </c>
      <c r="D82" s="119" t="s">
        <v>242</v>
      </c>
      <c r="E82" s="334" t="s">
        <v>243</v>
      </c>
      <c r="F82" s="119">
        <v>110</v>
      </c>
      <c r="G82" s="119">
        <v>89.78</v>
      </c>
      <c r="H82" s="287">
        <f t="shared" si="4"/>
        <v>9875.7999999999993</v>
      </c>
      <c r="I82" s="119"/>
      <c r="J82" s="119"/>
      <c r="K82" s="287">
        <f t="shared" si="13"/>
        <v>0</v>
      </c>
      <c r="L82" s="287">
        <f t="shared" si="14"/>
        <v>9875.7999999999993</v>
      </c>
      <c r="M82" s="119"/>
      <c r="N82" s="287">
        <f t="shared" si="12"/>
        <v>28091.573099999838</v>
      </c>
      <c r="O82" s="119"/>
      <c r="P82" s="119"/>
    </row>
    <row r="83" spans="1:16">
      <c r="A83" s="19">
        <v>79</v>
      </c>
      <c r="B83" s="19" t="s">
        <v>177</v>
      </c>
      <c r="C83" s="19" t="s">
        <v>259</v>
      </c>
      <c r="D83" s="19" t="s">
        <v>260</v>
      </c>
      <c r="E83" s="328" t="s">
        <v>261</v>
      </c>
      <c r="F83" s="19">
        <v>425.65</v>
      </c>
      <c r="G83" s="19">
        <v>89.47</v>
      </c>
      <c r="H83" s="51">
        <f t="shared" si="4"/>
        <v>38082.905500000001</v>
      </c>
      <c r="I83" s="19">
        <v>15</v>
      </c>
      <c r="J83" s="19">
        <v>103.4</v>
      </c>
      <c r="K83" s="51">
        <f t="shared" si="13"/>
        <v>1551</v>
      </c>
      <c r="L83" s="51">
        <f t="shared" si="14"/>
        <v>39633.905500000001</v>
      </c>
      <c r="M83" s="19">
        <v>200000</v>
      </c>
      <c r="N83" s="51">
        <f t="shared" si="12"/>
        <v>188457.66759999984</v>
      </c>
      <c r="O83" s="19"/>
      <c r="P83" s="19"/>
    </row>
    <row r="84" spans="1:16">
      <c r="A84" s="19">
        <v>80</v>
      </c>
      <c r="B84" s="19" t="s">
        <v>177</v>
      </c>
      <c r="C84" s="130" t="s">
        <v>230</v>
      </c>
      <c r="D84" s="130" t="s">
        <v>231</v>
      </c>
      <c r="E84" s="288" t="s">
        <v>232</v>
      </c>
      <c r="F84" s="19">
        <v>50</v>
      </c>
      <c r="G84" s="19">
        <v>89.47</v>
      </c>
      <c r="H84" s="51">
        <f t="shared" si="4"/>
        <v>4473.5</v>
      </c>
      <c r="I84" s="19"/>
      <c r="J84" s="19"/>
      <c r="K84" s="51">
        <f t="shared" si="13"/>
        <v>0</v>
      </c>
      <c r="L84" s="51">
        <f t="shared" si="14"/>
        <v>4473.5</v>
      </c>
      <c r="M84" s="19"/>
      <c r="N84" s="51">
        <f t="shared" si="12"/>
        <v>183984.16759999984</v>
      </c>
      <c r="O84" s="19"/>
      <c r="P84" s="19"/>
    </row>
    <row r="85" spans="1:16">
      <c r="A85" s="119">
        <v>81</v>
      </c>
      <c r="B85" s="19" t="s">
        <v>177</v>
      </c>
      <c r="C85" s="130" t="s">
        <v>235</v>
      </c>
      <c r="D85" s="130" t="s">
        <v>236</v>
      </c>
      <c r="E85" s="288" t="s">
        <v>214</v>
      </c>
      <c r="F85" s="19">
        <v>35.6</v>
      </c>
      <c r="G85" s="19">
        <v>89.33</v>
      </c>
      <c r="H85" s="51">
        <f t="shared" si="4"/>
        <v>3180.1480000000001</v>
      </c>
      <c r="I85" s="19"/>
      <c r="J85" s="19"/>
      <c r="K85" s="51">
        <f t="shared" si="13"/>
        <v>0</v>
      </c>
      <c r="L85" s="51">
        <f t="shared" si="14"/>
        <v>3180.1480000000001</v>
      </c>
      <c r="M85" s="19"/>
      <c r="N85" s="51">
        <f t="shared" si="12"/>
        <v>180804.01959999985</v>
      </c>
      <c r="O85" s="19"/>
      <c r="P85" s="19"/>
    </row>
    <row r="86" spans="1:16">
      <c r="A86" s="19">
        <v>82</v>
      </c>
      <c r="B86" s="19" t="s">
        <v>177</v>
      </c>
      <c r="C86" s="19" t="s">
        <v>215</v>
      </c>
      <c r="D86" s="19" t="s">
        <v>84</v>
      </c>
      <c r="E86" s="328" t="s">
        <v>216</v>
      </c>
      <c r="F86" s="19">
        <v>55.9</v>
      </c>
      <c r="G86" s="19">
        <v>89.44</v>
      </c>
      <c r="H86" s="51">
        <f t="shared" si="4"/>
        <v>4999.6959999999999</v>
      </c>
      <c r="I86" s="19">
        <v>10.16</v>
      </c>
      <c r="J86" s="19">
        <v>103.39</v>
      </c>
      <c r="K86" s="51">
        <f t="shared" si="13"/>
        <v>1050.4423999999999</v>
      </c>
      <c r="L86" s="51">
        <f t="shared" si="14"/>
        <v>6050.1383999999998</v>
      </c>
      <c r="M86" s="19"/>
      <c r="N86" s="51">
        <f t="shared" si="12"/>
        <v>174753.88119999986</v>
      </c>
      <c r="O86" s="19"/>
      <c r="P86" s="19"/>
    </row>
    <row r="87" spans="1:16">
      <c r="A87" s="119">
        <v>83</v>
      </c>
      <c r="B87" s="119" t="s">
        <v>177</v>
      </c>
      <c r="C87" s="119" t="s">
        <v>217</v>
      </c>
      <c r="D87" s="19" t="s">
        <v>78</v>
      </c>
      <c r="E87" s="328" t="s">
        <v>218</v>
      </c>
      <c r="F87" s="19">
        <v>45</v>
      </c>
      <c r="G87" s="19">
        <v>89.49</v>
      </c>
      <c r="H87" s="51">
        <f t="shared" si="4"/>
        <v>4027.0499999999997</v>
      </c>
      <c r="I87" s="19"/>
      <c r="J87" s="19"/>
      <c r="K87" s="51">
        <f t="shared" si="13"/>
        <v>0</v>
      </c>
      <c r="L87" s="51">
        <f t="shared" si="14"/>
        <v>4027.0499999999997</v>
      </c>
      <c r="M87" s="19"/>
      <c r="N87" s="51">
        <f t="shared" si="12"/>
        <v>170726.83119999987</v>
      </c>
      <c r="O87" s="19"/>
      <c r="P87" s="19"/>
    </row>
    <row r="88" spans="1:16">
      <c r="A88" s="119">
        <v>84</v>
      </c>
      <c r="B88" s="119" t="s">
        <v>177</v>
      </c>
      <c r="C88" s="119" t="s">
        <v>241</v>
      </c>
      <c r="D88" s="342" t="s">
        <v>242</v>
      </c>
      <c r="E88" s="334" t="s">
        <v>243</v>
      </c>
      <c r="F88" s="119">
        <v>40</v>
      </c>
      <c r="G88" s="119">
        <v>89.49</v>
      </c>
      <c r="H88" s="287">
        <f t="shared" si="4"/>
        <v>3579.6</v>
      </c>
      <c r="I88" s="119"/>
      <c r="J88" s="119"/>
      <c r="K88" s="287">
        <f t="shared" si="13"/>
        <v>0</v>
      </c>
      <c r="L88" s="287">
        <f t="shared" si="14"/>
        <v>3579.6</v>
      </c>
      <c r="M88" s="119"/>
      <c r="N88" s="287">
        <f t="shared" si="12"/>
        <v>167147.23119999986</v>
      </c>
      <c r="O88" s="119"/>
      <c r="P88" s="119"/>
    </row>
    <row r="89" spans="1:16">
      <c r="A89" s="19">
        <v>85</v>
      </c>
      <c r="B89" s="19" t="s">
        <v>262</v>
      </c>
      <c r="C89" s="19" t="s">
        <v>198</v>
      </c>
      <c r="D89" s="19" t="s">
        <v>199</v>
      </c>
      <c r="E89" s="328" t="s">
        <v>200</v>
      </c>
      <c r="F89" s="19">
        <v>80</v>
      </c>
      <c r="G89" s="19">
        <v>89.9</v>
      </c>
      <c r="H89" s="51">
        <f t="shared" si="4"/>
        <v>7192</v>
      </c>
      <c r="I89" s="19"/>
      <c r="J89" s="19"/>
      <c r="K89" s="51">
        <f t="shared" si="13"/>
        <v>0</v>
      </c>
      <c r="L89" s="51">
        <f t="shared" si="14"/>
        <v>7192</v>
      </c>
      <c r="M89" s="19"/>
      <c r="N89" s="51">
        <f t="shared" si="12"/>
        <v>159955.23119999986</v>
      </c>
      <c r="O89" s="19"/>
      <c r="P89" s="19"/>
    </row>
    <row r="90" spans="1:16">
      <c r="A90" s="19">
        <v>86</v>
      </c>
      <c r="B90" s="19" t="s">
        <v>262</v>
      </c>
      <c r="C90" s="19" t="s">
        <v>201</v>
      </c>
      <c r="D90" s="19" t="s">
        <v>202</v>
      </c>
      <c r="E90" s="328" t="s">
        <v>203</v>
      </c>
      <c r="F90" s="19">
        <v>30.61</v>
      </c>
      <c r="G90" s="19">
        <v>91.47</v>
      </c>
      <c r="H90" s="51">
        <f t="shared" si="4"/>
        <v>2799.8966999999998</v>
      </c>
      <c r="I90" s="19"/>
      <c r="J90" s="19"/>
      <c r="K90" s="51">
        <f t="shared" si="13"/>
        <v>0</v>
      </c>
      <c r="L90" s="51">
        <f t="shared" si="14"/>
        <v>2799.8966999999998</v>
      </c>
      <c r="M90" s="19"/>
      <c r="N90" s="51">
        <f t="shared" si="12"/>
        <v>157155.33449999985</v>
      </c>
      <c r="O90" s="19"/>
      <c r="P90" s="19"/>
    </row>
    <row r="91" spans="1:16">
      <c r="A91" s="119">
        <v>87</v>
      </c>
      <c r="B91" s="119" t="s">
        <v>262</v>
      </c>
      <c r="C91" s="119" t="s">
        <v>246</v>
      </c>
      <c r="D91" s="119" t="s">
        <v>88</v>
      </c>
      <c r="E91" s="334" t="s">
        <v>247</v>
      </c>
      <c r="F91" s="119"/>
      <c r="G91" s="119"/>
      <c r="H91" s="287">
        <f t="shared" si="4"/>
        <v>0</v>
      </c>
      <c r="I91" s="119">
        <v>6.83</v>
      </c>
      <c r="J91" s="119">
        <v>102.46</v>
      </c>
      <c r="K91" s="287">
        <f t="shared" si="13"/>
        <v>699.80179999999996</v>
      </c>
      <c r="L91" s="287">
        <f t="shared" si="14"/>
        <v>699.80179999999996</v>
      </c>
      <c r="M91" s="119"/>
      <c r="N91" s="287">
        <f t="shared" si="12"/>
        <v>156455.53269999987</v>
      </c>
      <c r="O91" s="119"/>
      <c r="P91" s="119"/>
    </row>
    <row r="92" spans="1:16">
      <c r="A92" s="19">
        <v>88</v>
      </c>
      <c r="B92" s="19" t="s">
        <v>262</v>
      </c>
      <c r="C92" s="19" t="s">
        <v>83</v>
      </c>
      <c r="D92" s="19" t="s">
        <v>82</v>
      </c>
      <c r="E92" s="328" t="s">
        <v>214</v>
      </c>
      <c r="F92" s="19">
        <v>60</v>
      </c>
      <c r="G92" s="19">
        <v>89.22</v>
      </c>
      <c r="H92" s="51">
        <f t="shared" ref="H92:H162" si="15">F92*G92</f>
        <v>5353.2</v>
      </c>
      <c r="I92" s="19"/>
      <c r="J92" s="19"/>
      <c r="K92" s="51">
        <f t="shared" ref="K92:K101" si="16">I92*J92</f>
        <v>0</v>
      </c>
      <c r="L92" s="51">
        <f t="shared" ref="L92:L98" si="17">H92+K92</f>
        <v>5353.2</v>
      </c>
      <c r="M92" s="19"/>
      <c r="N92" s="51">
        <f t="shared" si="12"/>
        <v>151102.33269999985</v>
      </c>
      <c r="O92" s="19"/>
      <c r="P92" s="19"/>
    </row>
    <row r="93" spans="1:16">
      <c r="A93" s="19">
        <v>89</v>
      </c>
      <c r="B93" s="19" t="s">
        <v>262</v>
      </c>
      <c r="C93" s="19" t="s">
        <v>263</v>
      </c>
      <c r="D93" s="19" t="s">
        <v>258</v>
      </c>
      <c r="E93" s="328" t="s">
        <v>216</v>
      </c>
      <c r="F93" s="19">
        <v>103.48</v>
      </c>
      <c r="G93" s="19">
        <v>89.61</v>
      </c>
      <c r="H93" s="51">
        <f t="shared" si="15"/>
        <v>9272.8428000000004</v>
      </c>
      <c r="I93" s="19"/>
      <c r="J93" s="19"/>
      <c r="K93" s="51">
        <f t="shared" si="16"/>
        <v>0</v>
      </c>
      <c r="L93" s="51">
        <f t="shared" si="17"/>
        <v>9272.8428000000004</v>
      </c>
      <c r="M93" s="19"/>
      <c r="N93" s="51">
        <f t="shared" si="12"/>
        <v>141829.48989999984</v>
      </c>
      <c r="O93" s="19"/>
      <c r="P93" s="19"/>
    </row>
    <row r="94" spans="1:16">
      <c r="A94" s="19">
        <v>90</v>
      </c>
      <c r="B94" s="19" t="s">
        <v>264</v>
      </c>
      <c r="C94" s="19" t="s">
        <v>198</v>
      </c>
      <c r="D94" s="19" t="s">
        <v>199</v>
      </c>
      <c r="E94" s="328" t="s">
        <v>200</v>
      </c>
      <c r="F94" s="19">
        <v>80</v>
      </c>
      <c r="G94" s="19">
        <v>89.9</v>
      </c>
      <c r="H94" s="51">
        <f t="shared" si="15"/>
        <v>7192</v>
      </c>
      <c r="I94" s="19">
        <v>5</v>
      </c>
      <c r="J94" s="19">
        <v>103.96</v>
      </c>
      <c r="K94" s="51">
        <f t="shared" si="16"/>
        <v>519.79999999999995</v>
      </c>
      <c r="L94" s="51">
        <f t="shared" si="17"/>
        <v>7711.8</v>
      </c>
      <c r="M94" s="19"/>
      <c r="N94" s="51">
        <f t="shared" si="12"/>
        <v>134117.68989999985</v>
      </c>
      <c r="O94" s="19"/>
      <c r="P94" s="19"/>
    </row>
    <row r="95" spans="1:16">
      <c r="A95" s="19">
        <v>91</v>
      </c>
      <c r="B95" s="19" t="s">
        <v>264</v>
      </c>
      <c r="C95" s="19" t="s">
        <v>244</v>
      </c>
      <c r="D95" s="19" t="s">
        <v>76</v>
      </c>
      <c r="E95" s="328" t="s">
        <v>245</v>
      </c>
      <c r="F95" s="19">
        <v>33.659999999999997</v>
      </c>
      <c r="G95" s="19">
        <v>89.14</v>
      </c>
      <c r="H95" s="51">
        <f t="shared" si="15"/>
        <v>3000.4523999999997</v>
      </c>
      <c r="I95" s="19">
        <v>10</v>
      </c>
      <c r="J95" s="19">
        <v>103.5</v>
      </c>
      <c r="K95" s="51">
        <f t="shared" si="16"/>
        <v>1035</v>
      </c>
      <c r="L95" s="51">
        <f t="shared" si="17"/>
        <v>4035.4523999999997</v>
      </c>
      <c r="M95" s="19"/>
      <c r="N95" s="51">
        <f t="shared" si="12"/>
        <v>130082.23749999986</v>
      </c>
      <c r="O95" s="19"/>
      <c r="P95" s="19"/>
    </row>
    <row r="96" spans="1:16">
      <c r="A96" s="19">
        <v>92</v>
      </c>
      <c r="B96" s="19" t="s">
        <v>264</v>
      </c>
      <c r="C96" s="19" t="s">
        <v>252</v>
      </c>
      <c r="D96" s="19" t="s">
        <v>265</v>
      </c>
      <c r="E96" s="328" t="s">
        <v>254</v>
      </c>
      <c r="F96" s="19">
        <v>221.66</v>
      </c>
      <c r="G96" s="19">
        <v>90.23</v>
      </c>
      <c r="H96" s="51">
        <f t="shared" si="15"/>
        <v>20000.381799999999</v>
      </c>
      <c r="I96" s="19"/>
      <c r="J96" s="19"/>
      <c r="K96" s="51">
        <f t="shared" si="16"/>
        <v>0</v>
      </c>
      <c r="L96" s="51">
        <f t="shared" si="17"/>
        <v>20000.381799999999</v>
      </c>
      <c r="M96" s="19"/>
      <c r="N96" s="51">
        <f t="shared" si="12"/>
        <v>110081.85569999985</v>
      </c>
      <c r="O96" s="19"/>
      <c r="P96" s="19"/>
    </row>
    <row r="97" spans="1:16">
      <c r="A97" s="19">
        <v>93</v>
      </c>
      <c r="B97" s="19" t="s">
        <v>264</v>
      </c>
      <c r="C97" s="19" t="s">
        <v>211</v>
      </c>
      <c r="D97" s="19" t="s">
        <v>212</v>
      </c>
      <c r="E97" s="328" t="s">
        <v>213</v>
      </c>
      <c r="F97" s="19">
        <v>30</v>
      </c>
      <c r="G97" s="19">
        <v>89.58</v>
      </c>
      <c r="H97" s="51">
        <f t="shared" si="15"/>
        <v>2687.4</v>
      </c>
      <c r="I97" s="19"/>
      <c r="J97" s="19"/>
      <c r="K97" s="51">
        <f t="shared" si="16"/>
        <v>0</v>
      </c>
      <c r="L97" s="51">
        <f t="shared" si="17"/>
        <v>2687.4</v>
      </c>
      <c r="M97" s="19"/>
      <c r="N97" s="51">
        <f t="shared" si="12"/>
        <v>107394.45569999986</v>
      </c>
      <c r="O97" s="19"/>
      <c r="P97" s="19"/>
    </row>
    <row r="98" spans="1:16">
      <c r="A98" s="19">
        <v>94</v>
      </c>
      <c r="B98" s="19" t="s">
        <v>264</v>
      </c>
      <c r="C98" s="19" t="s">
        <v>241</v>
      </c>
      <c r="D98" s="19" t="s">
        <v>242</v>
      </c>
      <c r="E98" s="328" t="s">
        <v>243</v>
      </c>
      <c r="F98" s="19">
        <v>35</v>
      </c>
      <c r="G98" s="19">
        <v>89.78</v>
      </c>
      <c r="H98" s="51">
        <f t="shared" si="15"/>
        <v>3142.3</v>
      </c>
      <c r="I98" s="19"/>
      <c r="J98" s="19"/>
      <c r="K98" s="51">
        <f t="shared" si="16"/>
        <v>0</v>
      </c>
      <c r="L98" s="51">
        <f t="shared" si="17"/>
        <v>3142.3</v>
      </c>
      <c r="M98" s="19"/>
      <c r="N98" s="51">
        <f t="shared" si="12"/>
        <v>104252.15569999986</v>
      </c>
      <c r="O98" s="19"/>
      <c r="P98" s="19"/>
    </row>
    <row r="99" spans="1:16">
      <c r="A99" s="119">
        <v>95</v>
      </c>
      <c r="B99" s="119" t="s">
        <v>264</v>
      </c>
      <c r="C99" s="119" t="s">
        <v>219</v>
      </c>
      <c r="D99" s="119" t="s">
        <v>220</v>
      </c>
      <c r="E99" s="334" t="s">
        <v>221</v>
      </c>
      <c r="F99" s="119">
        <v>30</v>
      </c>
      <c r="G99" s="119">
        <v>90.02</v>
      </c>
      <c r="H99" s="287">
        <f t="shared" si="15"/>
        <v>2700.6</v>
      </c>
      <c r="I99" s="119">
        <v>10</v>
      </c>
      <c r="J99" s="119">
        <v>104.02</v>
      </c>
      <c r="K99" s="287">
        <f t="shared" si="16"/>
        <v>1040.2</v>
      </c>
      <c r="L99" s="287">
        <f t="shared" ref="L99:L101" si="18">H99+K99</f>
        <v>3740.8</v>
      </c>
      <c r="M99" s="119"/>
      <c r="N99" s="287">
        <f t="shared" ref="N99:N136" si="19">N98+M99-L99</f>
        <v>100511.35569999985</v>
      </c>
      <c r="O99" s="119"/>
      <c r="P99" s="119"/>
    </row>
    <row r="100" spans="1:16">
      <c r="A100" s="19">
        <v>96</v>
      </c>
      <c r="B100" s="19" t="s">
        <v>266</v>
      </c>
      <c r="C100" s="19" t="s">
        <v>198</v>
      </c>
      <c r="D100" s="19" t="s">
        <v>199</v>
      </c>
      <c r="E100" s="328" t="s">
        <v>200</v>
      </c>
      <c r="F100" s="19">
        <v>40</v>
      </c>
      <c r="G100" s="19">
        <v>89.9</v>
      </c>
      <c r="H100" s="51">
        <f t="shared" si="15"/>
        <v>3596</v>
      </c>
      <c r="I100" s="19">
        <v>5.85</v>
      </c>
      <c r="J100" s="19">
        <v>103.96</v>
      </c>
      <c r="K100" s="51">
        <f t="shared" si="16"/>
        <v>608.16599999999994</v>
      </c>
      <c r="L100" s="51">
        <f t="shared" si="18"/>
        <v>4204.1660000000002</v>
      </c>
      <c r="M100" s="19">
        <v>200000</v>
      </c>
      <c r="N100" s="51">
        <f t="shared" si="19"/>
        <v>296307.18969999981</v>
      </c>
      <c r="O100" s="19"/>
      <c r="P100" s="19"/>
    </row>
    <row r="101" spans="1:16">
      <c r="A101" s="19">
        <v>97</v>
      </c>
      <c r="B101" s="19" t="s">
        <v>266</v>
      </c>
      <c r="C101" s="19" t="s">
        <v>224</v>
      </c>
      <c r="D101" s="19" t="s">
        <v>225</v>
      </c>
      <c r="E101" s="328" t="s">
        <v>226</v>
      </c>
      <c r="F101" s="19">
        <v>1249</v>
      </c>
      <c r="G101" s="19">
        <v>89.29</v>
      </c>
      <c r="H101" s="51">
        <f t="shared" si="15"/>
        <v>111523.21</v>
      </c>
      <c r="I101" s="19">
        <v>82</v>
      </c>
      <c r="J101" s="19">
        <v>103.24</v>
      </c>
      <c r="K101" s="51">
        <f t="shared" si="16"/>
        <v>8465.68</v>
      </c>
      <c r="L101" s="51">
        <f t="shared" si="18"/>
        <v>119988.89000000001</v>
      </c>
      <c r="M101" s="19"/>
      <c r="N101" s="51">
        <f t="shared" si="19"/>
        <v>176318.2996999998</v>
      </c>
      <c r="O101" s="19"/>
      <c r="P101" s="19"/>
    </row>
    <row r="102" spans="1:16">
      <c r="A102" s="119">
        <v>98</v>
      </c>
      <c r="B102" s="119" t="s">
        <v>266</v>
      </c>
      <c r="C102" s="119" t="s">
        <v>263</v>
      </c>
      <c r="D102" s="119" t="s">
        <v>258</v>
      </c>
      <c r="E102" s="334" t="s">
        <v>216</v>
      </c>
      <c r="F102" s="119">
        <v>30</v>
      </c>
      <c r="G102" s="119">
        <v>89.61</v>
      </c>
      <c r="H102" s="287">
        <f t="shared" si="15"/>
        <v>2688.3</v>
      </c>
      <c r="I102" s="119"/>
      <c r="J102" s="119"/>
      <c r="K102" s="287">
        <f t="shared" ref="K102:K103" si="20">I102*J102</f>
        <v>0</v>
      </c>
      <c r="L102" s="287">
        <f t="shared" ref="L102:L103" si="21">H102+K102</f>
        <v>2688.3</v>
      </c>
      <c r="M102" s="119"/>
      <c r="N102" s="287">
        <f t="shared" si="19"/>
        <v>173629.99969999981</v>
      </c>
      <c r="O102" s="119"/>
      <c r="P102" s="119"/>
    </row>
    <row r="103" spans="1:16">
      <c r="A103" s="119">
        <v>99</v>
      </c>
      <c r="B103" s="119" t="s">
        <v>266</v>
      </c>
      <c r="C103" s="119" t="s">
        <v>241</v>
      </c>
      <c r="D103" s="119" t="s">
        <v>242</v>
      </c>
      <c r="E103" s="334" t="s">
        <v>243</v>
      </c>
      <c r="F103" s="119"/>
      <c r="G103" s="119"/>
      <c r="H103" s="287">
        <f t="shared" si="15"/>
        <v>0</v>
      </c>
      <c r="I103" s="119">
        <v>10</v>
      </c>
      <c r="J103" s="119">
        <v>103.76</v>
      </c>
      <c r="K103" s="287">
        <f t="shared" si="20"/>
        <v>1037.6000000000001</v>
      </c>
      <c r="L103" s="287">
        <f t="shared" si="21"/>
        <v>1037.6000000000001</v>
      </c>
      <c r="M103" s="119"/>
      <c r="N103" s="287">
        <f t="shared" si="19"/>
        <v>172592.39969999981</v>
      </c>
      <c r="O103" s="119"/>
      <c r="P103" s="119"/>
    </row>
    <row r="104" spans="1:16">
      <c r="A104" s="19">
        <v>100</v>
      </c>
      <c r="B104" s="19" t="s">
        <v>178</v>
      </c>
      <c r="C104" s="19" t="s">
        <v>198</v>
      </c>
      <c r="D104" s="19" t="s">
        <v>199</v>
      </c>
      <c r="E104" s="328" t="s">
        <v>200</v>
      </c>
      <c r="F104" s="19">
        <v>80</v>
      </c>
      <c r="G104" s="19">
        <v>89.9</v>
      </c>
      <c r="H104" s="51">
        <f t="shared" si="15"/>
        <v>7192</v>
      </c>
      <c r="I104" s="19"/>
      <c r="J104" s="19"/>
      <c r="K104" s="51">
        <f t="shared" ref="K104:K113" si="22">I104*J104</f>
        <v>0</v>
      </c>
      <c r="L104" s="51">
        <f t="shared" ref="L104:L112" si="23">H104+K104</f>
        <v>7192</v>
      </c>
      <c r="M104" s="19"/>
      <c r="N104" s="51">
        <f t="shared" si="19"/>
        <v>165400.39969999981</v>
      </c>
      <c r="O104" s="19"/>
      <c r="P104" s="19"/>
    </row>
    <row r="105" spans="1:16">
      <c r="A105" s="19">
        <v>101</v>
      </c>
      <c r="B105" s="19" t="s">
        <v>178</v>
      </c>
      <c r="C105" s="19" t="s">
        <v>244</v>
      </c>
      <c r="D105" s="19" t="s">
        <v>76</v>
      </c>
      <c r="E105" s="328" t="s">
        <v>245</v>
      </c>
      <c r="F105" s="19">
        <v>73.66</v>
      </c>
      <c r="G105" s="19">
        <v>89.14</v>
      </c>
      <c r="H105" s="51">
        <f t="shared" si="15"/>
        <v>6566.0523999999996</v>
      </c>
      <c r="I105" s="19"/>
      <c r="J105" s="19"/>
      <c r="K105" s="51">
        <f t="shared" si="22"/>
        <v>0</v>
      </c>
      <c r="L105" s="51">
        <f t="shared" si="23"/>
        <v>6566.0523999999996</v>
      </c>
      <c r="M105" s="19"/>
      <c r="N105" s="51">
        <f t="shared" si="19"/>
        <v>158834.34729999982</v>
      </c>
      <c r="O105" s="19"/>
      <c r="P105" s="19"/>
    </row>
    <row r="106" spans="1:16">
      <c r="A106" s="19">
        <v>102</v>
      </c>
      <c r="B106" s="119" t="s">
        <v>178</v>
      </c>
      <c r="C106" s="119" t="s">
        <v>219</v>
      </c>
      <c r="D106" s="119" t="s">
        <v>220</v>
      </c>
      <c r="E106" s="334" t="s">
        <v>221</v>
      </c>
      <c r="F106" s="119">
        <v>20</v>
      </c>
      <c r="G106" s="119">
        <v>90.02</v>
      </c>
      <c r="H106" s="287">
        <f t="shared" si="15"/>
        <v>1800.3999999999999</v>
      </c>
      <c r="I106" s="119">
        <v>10</v>
      </c>
      <c r="J106" s="119">
        <v>104.02</v>
      </c>
      <c r="K106" s="287">
        <f t="shared" si="22"/>
        <v>1040.2</v>
      </c>
      <c r="L106" s="287">
        <f t="shared" si="23"/>
        <v>2840.6</v>
      </c>
      <c r="M106" s="119"/>
      <c r="N106" s="287">
        <f t="shared" si="19"/>
        <v>155993.74729999981</v>
      </c>
      <c r="O106" s="119"/>
      <c r="P106" s="119"/>
    </row>
    <row r="107" spans="1:16">
      <c r="A107" s="122">
        <v>103</v>
      </c>
      <c r="B107" s="19" t="s">
        <v>151</v>
      </c>
      <c r="C107" s="19" t="s">
        <v>198</v>
      </c>
      <c r="D107" s="19" t="s">
        <v>199</v>
      </c>
      <c r="E107" s="328" t="s">
        <v>200</v>
      </c>
      <c r="F107" s="19">
        <v>33.69</v>
      </c>
      <c r="G107" s="19">
        <v>89.9</v>
      </c>
      <c r="H107" s="51">
        <f t="shared" si="15"/>
        <v>3028.7309999999998</v>
      </c>
      <c r="I107" s="19">
        <v>6.16</v>
      </c>
      <c r="J107" s="19">
        <v>103.96</v>
      </c>
      <c r="K107" s="51">
        <f t="shared" si="22"/>
        <v>640.39359999999999</v>
      </c>
      <c r="L107" s="51">
        <f t="shared" si="23"/>
        <v>3669.1245999999996</v>
      </c>
      <c r="M107" s="19"/>
      <c r="N107" s="51">
        <f t="shared" si="19"/>
        <v>152324.6226999998</v>
      </c>
      <c r="O107" s="19"/>
      <c r="P107" s="19"/>
    </row>
    <row r="108" spans="1:16">
      <c r="A108" s="122">
        <v>104</v>
      </c>
      <c r="B108" s="19" t="s">
        <v>151</v>
      </c>
      <c r="C108" s="19" t="s">
        <v>201</v>
      </c>
      <c r="D108" s="19" t="s">
        <v>202</v>
      </c>
      <c r="E108" s="328" t="s">
        <v>203</v>
      </c>
      <c r="F108" s="19">
        <v>39.53</v>
      </c>
      <c r="G108" s="19">
        <v>91.47</v>
      </c>
      <c r="H108" s="51">
        <f t="shared" si="15"/>
        <v>3615.8090999999999</v>
      </c>
      <c r="I108" s="19"/>
      <c r="J108" s="19"/>
      <c r="K108" s="51">
        <f t="shared" si="22"/>
        <v>0</v>
      </c>
      <c r="L108" s="51">
        <f t="shared" si="23"/>
        <v>3615.8090999999999</v>
      </c>
      <c r="M108" s="19"/>
      <c r="N108" s="51">
        <f t="shared" si="19"/>
        <v>148708.81359999979</v>
      </c>
      <c r="O108" s="19"/>
      <c r="P108" s="19"/>
    </row>
    <row r="109" spans="1:16">
      <c r="A109" s="122">
        <v>105</v>
      </c>
      <c r="B109" s="19" t="s">
        <v>151</v>
      </c>
      <c r="C109" s="19" t="s">
        <v>252</v>
      </c>
      <c r="D109" s="19" t="s">
        <v>265</v>
      </c>
      <c r="E109" s="328" t="s">
        <v>254</v>
      </c>
      <c r="F109" s="19">
        <v>443.31</v>
      </c>
      <c r="G109" s="19">
        <v>90.23</v>
      </c>
      <c r="H109" s="51">
        <f t="shared" si="15"/>
        <v>39999.861300000004</v>
      </c>
      <c r="I109" s="19"/>
      <c r="J109" s="19"/>
      <c r="K109" s="51">
        <f t="shared" si="22"/>
        <v>0</v>
      </c>
      <c r="L109" s="51">
        <f t="shared" si="23"/>
        <v>39999.861300000004</v>
      </c>
      <c r="M109" s="19"/>
      <c r="N109" s="51">
        <f t="shared" si="19"/>
        <v>108708.95229999979</v>
      </c>
      <c r="O109" s="19"/>
      <c r="P109" s="19"/>
    </row>
    <row r="110" spans="1:16">
      <c r="A110" s="122">
        <v>106</v>
      </c>
      <c r="B110" s="19" t="s">
        <v>151</v>
      </c>
      <c r="C110" s="19" t="s">
        <v>211</v>
      </c>
      <c r="D110" s="19" t="s">
        <v>212</v>
      </c>
      <c r="E110" s="328" t="s">
        <v>213</v>
      </c>
      <c r="F110" s="19">
        <v>20</v>
      </c>
      <c r="G110" s="19">
        <v>89.58</v>
      </c>
      <c r="H110" s="51">
        <f t="shared" si="15"/>
        <v>1791.6</v>
      </c>
      <c r="I110" s="19"/>
      <c r="J110" s="19"/>
      <c r="K110" s="51">
        <f t="shared" si="22"/>
        <v>0</v>
      </c>
      <c r="L110" s="51">
        <f t="shared" si="23"/>
        <v>1791.6</v>
      </c>
      <c r="M110" s="19"/>
      <c r="N110" s="51">
        <f t="shared" si="19"/>
        <v>106917.35229999978</v>
      </c>
      <c r="O110" s="19"/>
      <c r="P110" s="19"/>
    </row>
    <row r="111" spans="1:16">
      <c r="A111" s="122">
        <v>107</v>
      </c>
      <c r="B111" s="119" t="s">
        <v>151</v>
      </c>
      <c r="C111" s="119" t="s">
        <v>241</v>
      </c>
      <c r="D111" s="119" t="s">
        <v>242</v>
      </c>
      <c r="E111" s="334" t="s">
        <v>243</v>
      </c>
      <c r="F111" s="119">
        <v>75</v>
      </c>
      <c r="G111" s="119">
        <v>89.78</v>
      </c>
      <c r="H111" s="287">
        <f t="shared" si="15"/>
        <v>6733.5</v>
      </c>
      <c r="I111" s="119"/>
      <c r="J111" s="119"/>
      <c r="K111" s="287">
        <f t="shared" si="22"/>
        <v>0</v>
      </c>
      <c r="L111" s="287">
        <f t="shared" si="23"/>
        <v>6733.5</v>
      </c>
      <c r="M111" s="119"/>
      <c r="N111" s="287">
        <f t="shared" si="19"/>
        <v>100183.85229999978</v>
      </c>
      <c r="O111" s="119"/>
      <c r="P111" s="119"/>
    </row>
    <row r="112" spans="1:16">
      <c r="A112" s="122">
        <v>108</v>
      </c>
      <c r="B112" s="19" t="s">
        <v>179</v>
      </c>
      <c r="C112" s="19" t="s">
        <v>198</v>
      </c>
      <c r="D112" s="19" t="s">
        <v>199</v>
      </c>
      <c r="E112" s="328" t="s">
        <v>200</v>
      </c>
      <c r="F112" s="19">
        <v>80</v>
      </c>
      <c r="G112" s="19">
        <v>89.9</v>
      </c>
      <c r="H112" s="51">
        <f t="shared" si="15"/>
        <v>7192</v>
      </c>
      <c r="I112" s="19"/>
      <c r="J112" s="19"/>
      <c r="K112" s="51">
        <f t="shared" si="22"/>
        <v>0</v>
      </c>
      <c r="L112" s="51">
        <f t="shared" ref="L112:L117" si="24">H112+K112</f>
        <v>7192</v>
      </c>
      <c r="M112" s="19"/>
      <c r="N112" s="51">
        <f t="shared" si="19"/>
        <v>92991.85229999978</v>
      </c>
      <c r="O112" s="19"/>
      <c r="P112" s="19"/>
    </row>
    <row r="113" spans="1:16">
      <c r="A113" s="122">
        <v>109</v>
      </c>
      <c r="B113" s="19" t="s">
        <v>179</v>
      </c>
      <c r="C113" s="19" t="s">
        <v>244</v>
      </c>
      <c r="D113" s="19" t="s">
        <v>76</v>
      </c>
      <c r="E113" s="328" t="s">
        <v>245</v>
      </c>
      <c r="F113" s="328">
        <v>38.659999999999997</v>
      </c>
      <c r="G113" s="19">
        <v>89.14</v>
      </c>
      <c r="H113" s="51">
        <f t="shared" si="15"/>
        <v>3446.1523999999999</v>
      </c>
      <c r="I113" s="19">
        <v>9.85</v>
      </c>
      <c r="J113" s="19">
        <v>103.05</v>
      </c>
      <c r="K113" s="51">
        <f>I113*J113</f>
        <v>1015.0424999999999</v>
      </c>
      <c r="L113" s="51">
        <f t="shared" si="24"/>
        <v>4461.1948999999995</v>
      </c>
      <c r="M113" s="19"/>
      <c r="N113" s="51">
        <f t="shared" si="19"/>
        <v>88530.657399999778</v>
      </c>
      <c r="O113" s="19"/>
      <c r="P113" s="19"/>
    </row>
    <row r="114" spans="1:16">
      <c r="A114" s="122">
        <v>110</v>
      </c>
      <c r="B114" s="19" t="s">
        <v>179</v>
      </c>
      <c r="C114" s="19" t="s">
        <v>246</v>
      </c>
      <c r="D114" s="19" t="s">
        <v>88</v>
      </c>
      <c r="E114" s="328" t="s">
        <v>247</v>
      </c>
      <c r="F114" s="19"/>
      <c r="G114" s="19"/>
      <c r="H114" s="51">
        <f t="shared" si="15"/>
        <v>0</v>
      </c>
      <c r="I114" s="19">
        <v>4.88</v>
      </c>
      <c r="J114" s="19">
        <v>102.46</v>
      </c>
      <c r="K114" s="51">
        <f>I114*J114</f>
        <v>500.00479999999993</v>
      </c>
      <c r="L114" s="51">
        <f t="shared" si="24"/>
        <v>500.00479999999993</v>
      </c>
      <c r="M114" s="19"/>
      <c r="N114" s="51">
        <f t="shared" si="19"/>
        <v>88030.652599999783</v>
      </c>
      <c r="O114" s="19"/>
      <c r="P114" s="19"/>
    </row>
    <row r="115" spans="1:16">
      <c r="A115" s="122">
        <v>111</v>
      </c>
      <c r="B115" s="19" t="s">
        <v>179</v>
      </c>
      <c r="C115" s="19" t="s">
        <v>211</v>
      </c>
      <c r="D115" s="19" t="s">
        <v>212</v>
      </c>
      <c r="E115" s="328" t="s">
        <v>213</v>
      </c>
      <c r="F115" s="19">
        <v>40</v>
      </c>
      <c r="G115" s="19">
        <v>89.58</v>
      </c>
      <c r="H115" s="51">
        <f t="shared" si="15"/>
        <v>3583.2</v>
      </c>
      <c r="I115" s="19">
        <v>7.73</v>
      </c>
      <c r="J115" s="19">
        <v>103.53</v>
      </c>
      <c r="K115" s="51">
        <f>I115*J115</f>
        <v>800.28690000000006</v>
      </c>
      <c r="L115" s="51">
        <f t="shared" si="24"/>
        <v>4383.4868999999999</v>
      </c>
      <c r="M115" s="19"/>
      <c r="N115" s="51">
        <f t="shared" si="19"/>
        <v>83647.165699999779</v>
      </c>
      <c r="O115" s="19"/>
      <c r="P115" s="19"/>
    </row>
    <row r="116" spans="1:16">
      <c r="A116" s="122">
        <v>112</v>
      </c>
      <c r="B116" s="19" t="s">
        <v>179</v>
      </c>
      <c r="C116" s="19" t="s">
        <v>217</v>
      </c>
      <c r="D116" s="19" t="s">
        <v>78</v>
      </c>
      <c r="E116" s="328" t="s">
        <v>218</v>
      </c>
      <c r="F116" s="19">
        <v>33.950000000000003</v>
      </c>
      <c r="G116" s="19">
        <v>89.49</v>
      </c>
      <c r="H116" s="51">
        <f t="shared" si="15"/>
        <v>3038.1855</v>
      </c>
      <c r="I116" s="19">
        <v>10.72</v>
      </c>
      <c r="J116" s="19">
        <v>103.44</v>
      </c>
      <c r="K116" s="51">
        <f>I116*J116</f>
        <v>1108.8768</v>
      </c>
      <c r="L116" s="51">
        <f t="shared" si="24"/>
        <v>4147.0622999999996</v>
      </c>
      <c r="M116" s="19"/>
      <c r="N116" s="51">
        <f t="shared" si="19"/>
        <v>79500.103399999774</v>
      </c>
      <c r="O116" s="19"/>
      <c r="P116" s="19"/>
    </row>
    <row r="117" spans="1:16">
      <c r="A117" s="122">
        <v>113</v>
      </c>
      <c r="B117" s="119" t="s">
        <v>179</v>
      </c>
      <c r="C117" s="119" t="s">
        <v>241</v>
      </c>
      <c r="D117" s="119" t="s">
        <v>242</v>
      </c>
      <c r="E117" s="334" t="s">
        <v>243</v>
      </c>
      <c r="F117" s="119">
        <v>40</v>
      </c>
      <c r="G117" s="119">
        <v>89.78</v>
      </c>
      <c r="H117" s="287">
        <f t="shared" si="15"/>
        <v>3591.2</v>
      </c>
      <c r="I117" s="119">
        <v>5</v>
      </c>
      <c r="J117" s="119">
        <v>103.76</v>
      </c>
      <c r="K117" s="287">
        <f>I117*J117</f>
        <v>518.80000000000007</v>
      </c>
      <c r="L117" s="287">
        <f t="shared" si="24"/>
        <v>4110</v>
      </c>
      <c r="M117" s="119"/>
      <c r="N117" s="287">
        <f t="shared" si="19"/>
        <v>75390.103399999774</v>
      </c>
      <c r="O117" s="119"/>
      <c r="P117" s="119"/>
    </row>
    <row r="118" spans="1:16">
      <c r="A118" s="122">
        <v>114</v>
      </c>
      <c r="B118" s="19" t="s">
        <v>154</v>
      </c>
      <c r="C118" s="19" t="s">
        <v>198</v>
      </c>
      <c r="D118" s="19" t="s">
        <v>199</v>
      </c>
      <c r="E118" s="328" t="s">
        <v>200</v>
      </c>
      <c r="F118" s="19">
        <v>65.69</v>
      </c>
      <c r="G118" s="19">
        <v>89.9</v>
      </c>
      <c r="H118" s="51">
        <f t="shared" si="15"/>
        <v>5905.5309999999999</v>
      </c>
      <c r="I118" s="19"/>
      <c r="J118" s="19"/>
      <c r="K118" s="51">
        <f t="shared" ref="K118:K119" si="25">I118*J118</f>
        <v>0</v>
      </c>
      <c r="L118" s="51">
        <f t="shared" ref="L118:L119" si="26">H118+K118</f>
        <v>5905.5309999999999</v>
      </c>
      <c r="M118" s="19">
        <v>100000</v>
      </c>
      <c r="N118" s="51">
        <f t="shared" si="19"/>
        <v>169484.5723999998</v>
      </c>
      <c r="O118" s="19"/>
      <c r="P118" s="19"/>
    </row>
    <row r="119" spans="1:16">
      <c r="A119" s="122">
        <v>115</v>
      </c>
      <c r="B119" s="19" t="s">
        <v>154</v>
      </c>
      <c r="C119" s="19" t="s">
        <v>227</v>
      </c>
      <c r="D119" s="19" t="s">
        <v>228</v>
      </c>
      <c r="E119" s="328" t="s">
        <v>229</v>
      </c>
      <c r="F119" s="19">
        <v>290</v>
      </c>
      <c r="G119" s="19">
        <v>90.23</v>
      </c>
      <c r="H119" s="51">
        <f t="shared" si="15"/>
        <v>26166.7</v>
      </c>
      <c r="I119" s="19">
        <v>35</v>
      </c>
      <c r="J119" s="19">
        <v>104.13</v>
      </c>
      <c r="K119" s="51">
        <f t="shared" si="25"/>
        <v>3644.5499999999997</v>
      </c>
      <c r="L119" s="51">
        <f t="shared" si="26"/>
        <v>29811.25</v>
      </c>
      <c r="M119" s="19"/>
      <c r="N119" s="51">
        <f t="shared" si="19"/>
        <v>139673.3223999998</v>
      </c>
      <c r="O119" s="19"/>
      <c r="P119" s="19"/>
    </row>
    <row r="120" spans="1:16">
      <c r="A120" s="122">
        <v>116</v>
      </c>
      <c r="B120" s="19" t="s">
        <v>154</v>
      </c>
      <c r="C120" s="19" t="s">
        <v>263</v>
      </c>
      <c r="D120" s="19" t="s">
        <v>258</v>
      </c>
      <c r="E120" s="328" t="s">
        <v>216</v>
      </c>
      <c r="F120" s="19">
        <v>180</v>
      </c>
      <c r="G120" s="19">
        <v>89.61</v>
      </c>
      <c r="H120" s="51">
        <f t="shared" si="15"/>
        <v>16129.8</v>
      </c>
      <c r="I120" s="19">
        <v>13.83</v>
      </c>
      <c r="J120" s="19">
        <v>103.57</v>
      </c>
      <c r="K120" s="51">
        <f t="shared" ref="K120" si="27">I120*J120</f>
        <v>1432.3731</v>
      </c>
      <c r="L120" s="51">
        <f t="shared" ref="L120:L121" si="28">H120+K120</f>
        <v>17562.1731</v>
      </c>
      <c r="M120" s="19"/>
      <c r="N120" s="51">
        <f t="shared" si="19"/>
        <v>122111.1492999998</v>
      </c>
      <c r="O120" s="19"/>
      <c r="P120" s="19"/>
    </row>
    <row r="121" spans="1:16">
      <c r="A121" s="122">
        <v>117</v>
      </c>
      <c r="B121" s="119" t="s">
        <v>154</v>
      </c>
      <c r="C121" s="119" t="s">
        <v>241</v>
      </c>
      <c r="D121" s="119" t="s">
        <v>242</v>
      </c>
      <c r="E121" s="334" t="s">
        <v>243</v>
      </c>
      <c r="F121" s="119">
        <v>40</v>
      </c>
      <c r="G121" s="119">
        <v>89.78</v>
      </c>
      <c r="H121" s="287">
        <f t="shared" si="15"/>
        <v>3591.2</v>
      </c>
      <c r="I121" s="119"/>
      <c r="J121" s="119"/>
      <c r="K121" s="287">
        <f t="shared" ref="K121:K122" si="29">I121*J121</f>
        <v>0</v>
      </c>
      <c r="L121" s="287">
        <f t="shared" ref="L121:L122" si="30">H121+K121</f>
        <v>3591.2</v>
      </c>
      <c r="M121" s="119"/>
      <c r="N121" s="287">
        <f t="shared" si="19"/>
        <v>118519.9492999998</v>
      </c>
      <c r="O121" s="119"/>
      <c r="P121" s="119"/>
    </row>
    <row r="122" spans="1:16">
      <c r="A122" s="122">
        <v>118</v>
      </c>
      <c r="B122" s="19" t="s">
        <v>267</v>
      </c>
      <c r="C122" s="19" t="s">
        <v>198</v>
      </c>
      <c r="D122" s="19" t="s">
        <v>199</v>
      </c>
      <c r="E122" s="328" t="s">
        <v>200</v>
      </c>
      <c r="F122" s="19">
        <v>101.73</v>
      </c>
      <c r="G122" s="19">
        <v>89.9</v>
      </c>
      <c r="H122" s="51">
        <f t="shared" si="15"/>
        <v>9145.527</v>
      </c>
      <c r="I122" s="19">
        <v>5</v>
      </c>
      <c r="J122" s="19">
        <v>103.96</v>
      </c>
      <c r="K122" s="51">
        <f t="shared" si="29"/>
        <v>519.79999999999995</v>
      </c>
      <c r="L122" s="51">
        <f t="shared" si="30"/>
        <v>9665.3269999999993</v>
      </c>
      <c r="M122" s="19">
        <v>100000</v>
      </c>
      <c r="N122" s="287">
        <f t="shared" si="19"/>
        <v>208854.62229999981</v>
      </c>
      <c r="O122" s="19"/>
      <c r="P122" s="19"/>
    </row>
    <row r="123" spans="1:16">
      <c r="A123" s="122">
        <v>119</v>
      </c>
      <c r="B123" s="19" t="s">
        <v>267</v>
      </c>
      <c r="C123" s="19" t="s">
        <v>244</v>
      </c>
      <c r="D123" s="19" t="s">
        <v>76</v>
      </c>
      <c r="E123" s="328" t="s">
        <v>245</v>
      </c>
      <c r="F123" s="19">
        <v>67.319999999999993</v>
      </c>
      <c r="G123" s="19">
        <v>89.14</v>
      </c>
      <c r="H123" s="51">
        <f t="shared" si="15"/>
        <v>6000.9047999999993</v>
      </c>
      <c r="I123" s="19"/>
      <c r="J123" s="19"/>
      <c r="K123" s="51">
        <f t="shared" ref="K123:K125" si="31">I123*J123</f>
        <v>0</v>
      </c>
      <c r="L123" s="51">
        <f t="shared" ref="L123:L125" si="32">H123+K123</f>
        <v>6000.9047999999993</v>
      </c>
      <c r="M123" s="19"/>
      <c r="N123" s="287">
        <f t="shared" si="19"/>
        <v>202853.71749999982</v>
      </c>
      <c r="O123" s="19"/>
      <c r="P123" s="19"/>
    </row>
    <row r="124" spans="1:16">
      <c r="A124" s="122">
        <v>120</v>
      </c>
      <c r="B124" s="19" t="s">
        <v>267</v>
      </c>
      <c r="C124" s="19" t="s">
        <v>224</v>
      </c>
      <c r="D124" s="19" t="s">
        <v>225</v>
      </c>
      <c r="E124" s="328" t="s">
        <v>226</v>
      </c>
      <c r="F124" s="19">
        <v>1231.22</v>
      </c>
      <c r="G124" s="19">
        <v>89.29</v>
      </c>
      <c r="H124" s="51">
        <f t="shared" si="15"/>
        <v>109935.63380000001</v>
      </c>
      <c r="I124" s="19"/>
      <c r="J124" s="19"/>
      <c r="K124" s="51">
        <f t="shared" si="31"/>
        <v>0</v>
      </c>
      <c r="L124" s="51">
        <f t="shared" si="32"/>
        <v>109935.63380000001</v>
      </c>
      <c r="M124" s="19"/>
      <c r="N124" s="287">
        <f t="shared" si="19"/>
        <v>92918.083699999814</v>
      </c>
      <c r="O124" s="19"/>
      <c r="P124" s="19"/>
    </row>
    <row r="125" spans="1:16">
      <c r="A125" s="122">
        <v>121</v>
      </c>
      <c r="B125" s="119" t="s">
        <v>267</v>
      </c>
      <c r="C125" s="119" t="s">
        <v>241</v>
      </c>
      <c r="D125" s="119" t="s">
        <v>242</v>
      </c>
      <c r="E125" s="334" t="s">
        <v>243</v>
      </c>
      <c r="F125" s="119">
        <v>40</v>
      </c>
      <c r="G125" s="119">
        <v>89.78</v>
      </c>
      <c r="H125" s="287">
        <f t="shared" si="15"/>
        <v>3591.2</v>
      </c>
      <c r="I125" s="119"/>
      <c r="J125" s="119"/>
      <c r="K125" s="287">
        <f t="shared" si="31"/>
        <v>0</v>
      </c>
      <c r="L125" s="287">
        <f t="shared" si="32"/>
        <v>3591.2</v>
      </c>
      <c r="M125" s="119"/>
      <c r="N125" s="287">
        <f t="shared" si="19"/>
        <v>89326.883699999817</v>
      </c>
      <c r="O125" s="119"/>
      <c r="P125" s="119"/>
    </row>
    <row r="126" spans="1:16">
      <c r="A126" s="122">
        <v>122</v>
      </c>
      <c r="B126" s="19" t="s">
        <v>180</v>
      </c>
      <c r="C126" s="130" t="s">
        <v>198</v>
      </c>
      <c r="D126" s="130" t="s">
        <v>199</v>
      </c>
      <c r="E126" s="288" t="s">
        <v>200</v>
      </c>
      <c r="F126" s="19">
        <v>60</v>
      </c>
      <c r="G126" s="19">
        <v>89.9</v>
      </c>
      <c r="H126" s="51">
        <f t="shared" si="15"/>
        <v>5394</v>
      </c>
      <c r="I126" s="19">
        <v>6.26</v>
      </c>
      <c r="J126" s="19">
        <v>103.96</v>
      </c>
      <c r="K126" s="51">
        <f t="shared" ref="K126:K127" si="33">I126*J126</f>
        <v>650.78959999999995</v>
      </c>
      <c r="L126" s="51">
        <f t="shared" ref="L126:L127" si="34">H126+K126</f>
        <v>6044.7896000000001</v>
      </c>
      <c r="M126" s="19"/>
      <c r="N126" s="287">
        <f t="shared" si="19"/>
        <v>83282.094099999813</v>
      </c>
      <c r="O126" s="19"/>
      <c r="P126" s="19"/>
    </row>
    <row r="127" spans="1:16">
      <c r="A127" s="122">
        <v>123</v>
      </c>
      <c r="B127" s="19" t="s">
        <v>180</v>
      </c>
      <c r="C127" s="19" t="s">
        <v>244</v>
      </c>
      <c r="D127" s="19" t="s">
        <v>76</v>
      </c>
      <c r="E127" s="328" t="s">
        <v>245</v>
      </c>
      <c r="F127" s="19"/>
      <c r="G127" s="19"/>
      <c r="H127" s="51">
        <f t="shared" si="15"/>
        <v>0</v>
      </c>
      <c r="I127" s="19">
        <v>5</v>
      </c>
      <c r="J127" s="19">
        <v>103.05</v>
      </c>
      <c r="K127" s="51">
        <f t="shared" si="33"/>
        <v>515.25</v>
      </c>
      <c r="L127" s="51">
        <f t="shared" si="34"/>
        <v>515.25</v>
      </c>
      <c r="M127" s="19"/>
      <c r="N127" s="287">
        <f t="shared" si="19"/>
        <v>82766.844099999813</v>
      </c>
      <c r="O127" s="19"/>
      <c r="P127" s="19"/>
    </row>
    <row r="128" spans="1:16">
      <c r="A128" s="122">
        <v>124</v>
      </c>
      <c r="B128" s="19" t="s">
        <v>180</v>
      </c>
      <c r="C128" s="19" t="s">
        <v>201</v>
      </c>
      <c r="D128" s="19" t="s">
        <v>202</v>
      </c>
      <c r="E128" s="328" t="s">
        <v>203</v>
      </c>
      <c r="F128" s="19">
        <v>47.87</v>
      </c>
      <c r="G128" s="19">
        <v>91.47</v>
      </c>
      <c r="H128" s="51">
        <f t="shared" si="15"/>
        <v>4378.6688999999997</v>
      </c>
      <c r="I128" s="19"/>
      <c r="J128" s="19"/>
      <c r="K128" s="51">
        <f t="shared" ref="K128:K129" si="35">I128*J128</f>
        <v>0</v>
      </c>
      <c r="L128" s="51">
        <f t="shared" ref="L128:L129" si="36">H128+K128</f>
        <v>4378.6688999999997</v>
      </c>
      <c r="M128" s="19"/>
      <c r="N128" s="287">
        <f t="shared" si="19"/>
        <v>78388.175199999809</v>
      </c>
      <c r="O128" s="19"/>
      <c r="P128" s="19"/>
    </row>
    <row r="129" spans="1:16">
      <c r="A129" s="122">
        <v>125</v>
      </c>
      <c r="B129" s="19" t="s">
        <v>180</v>
      </c>
      <c r="C129" s="130" t="s">
        <v>40</v>
      </c>
      <c r="D129" s="130" t="s">
        <v>255</v>
      </c>
      <c r="E129" s="288" t="s">
        <v>256</v>
      </c>
      <c r="F129" s="19">
        <v>150</v>
      </c>
      <c r="G129" s="19">
        <v>90.24</v>
      </c>
      <c r="H129" s="51">
        <f t="shared" si="15"/>
        <v>13536</v>
      </c>
      <c r="I129" s="19">
        <v>62.07</v>
      </c>
      <c r="J129" s="19">
        <v>104.14</v>
      </c>
      <c r="K129" s="51">
        <f t="shared" si="35"/>
        <v>6463.9697999999999</v>
      </c>
      <c r="L129" s="51">
        <f t="shared" si="36"/>
        <v>19999.969799999999</v>
      </c>
      <c r="M129" s="19"/>
      <c r="N129" s="287">
        <f t="shared" si="19"/>
        <v>58388.20539999981</v>
      </c>
      <c r="O129" s="19"/>
      <c r="P129" s="19"/>
    </row>
    <row r="130" spans="1:16">
      <c r="A130" s="122">
        <v>126</v>
      </c>
      <c r="B130" s="19" t="s">
        <v>180</v>
      </c>
      <c r="C130" s="130" t="s">
        <v>211</v>
      </c>
      <c r="D130" s="130" t="s">
        <v>212</v>
      </c>
      <c r="E130" s="288" t="s">
        <v>213</v>
      </c>
      <c r="F130" s="19">
        <v>20</v>
      </c>
      <c r="G130" s="19">
        <v>89.58</v>
      </c>
      <c r="H130" s="51">
        <f t="shared" si="15"/>
        <v>1791.6</v>
      </c>
      <c r="I130" s="19"/>
      <c r="J130" s="19"/>
      <c r="K130" s="51">
        <f t="shared" ref="K130:K132" si="37">I130*J130</f>
        <v>0</v>
      </c>
      <c r="L130" s="51">
        <f t="shared" ref="L130:L141" si="38">H130+K130</f>
        <v>1791.6</v>
      </c>
      <c r="M130" s="19"/>
      <c r="N130" s="287">
        <f t="shared" si="19"/>
        <v>56596.605399999811</v>
      </c>
      <c r="O130" s="19"/>
      <c r="P130" s="19"/>
    </row>
    <row r="131" spans="1:16">
      <c r="A131" s="122">
        <v>127</v>
      </c>
      <c r="B131" s="19" t="s">
        <v>180</v>
      </c>
      <c r="C131" s="130" t="s">
        <v>217</v>
      </c>
      <c r="D131" s="130" t="s">
        <v>78</v>
      </c>
      <c r="E131" s="288" t="s">
        <v>218</v>
      </c>
      <c r="F131" s="19">
        <v>44.7</v>
      </c>
      <c r="G131" s="19">
        <v>89.49</v>
      </c>
      <c r="H131" s="51">
        <f t="shared" si="15"/>
        <v>4000.203</v>
      </c>
      <c r="I131" s="19"/>
      <c r="J131" s="19"/>
      <c r="K131" s="51">
        <f t="shared" si="37"/>
        <v>0</v>
      </c>
      <c r="L131" s="51">
        <f t="shared" si="38"/>
        <v>4000.203</v>
      </c>
      <c r="M131" s="19"/>
      <c r="N131" s="287">
        <f t="shared" si="19"/>
        <v>52596.40239999981</v>
      </c>
      <c r="O131" s="19"/>
      <c r="P131" s="19"/>
    </row>
    <row r="132" spans="1:16">
      <c r="A132" s="348">
        <v>128</v>
      </c>
      <c r="B132" s="119" t="s">
        <v>180</v>
      </c>
      <c r="C132" s="325" t="s">
        <v>241</v>
      </c>
      <c r="D132" s="325" t="s">
        <v>242</v>
      </c>
      <c r="E132" s="326" t="s">
        <v>243</v>
      </c>
      <c r="F132" s="119">
        <v>105</v>
      </c>
      <c r="G132" s="119">
        <v>89.78</v>
      </c>
      <c r="H132" s="287">
        <f t="shared" si="15"/>
        <v>9426.9</v>
      </c>
      <c r="I132" s="119"/>
      <c r="J132" s="119"/>
      <c r="K132" s="287">
        <f t="shared" si="37"/>
        <v>0</v>
      </c>
      <c r="L132" s="287">
        <f t="shared" si="38"/>
        <v>9426.9</v>
      </c>
      <c r="M132" s="119"/>
      <c r="N132" s="287">
        <f t="shared" si="19"/>
        <v>43169.502399999808</v>
      </c>
      <c r="O132" s="119"/>
      <c r="P132" s="119"/>
    </row>
    <row r="133" spans="1:16">
      <c r="A133" s="19">
        <v>129</v>
      </c>
      <c r="B133" s="19" t="s">
        <v>157</v>
      </c>
      <c r="C133" s="130" t="s">
        <v>198</v>
      </c>
      <c r="D133" s="130" t="s">
        <v>199</v>
      </c>
      <c r="E133" s="288" t="s">
        <v>200</v>
      </c>
      <c r="F133" s="19">
        <v>105</v>
      </c>
      <c r="G133" s="19">
        <v>89.9</v>
      </c>
      <c r="H133" s="51">
        <f t="shared" si="15"/>
        <v>9439.5</v>
      </c>
      <c r="I133" s="19"/>
      <c r="J133" s="19"/>
      <c r="K133" s="51">
        <f t="shared" ref="K133:K136" si="39">I133*J133</f>
        <v>0</v>
      </c>
      <c r="L133" s="287">
        <f t="shared" si="38"/>
        <v>9439.5</v>
      </c>
      <c r="M133" s="19">
        <v>700000</v>
      </c>
      <c r="N133" s="51">
        <f t="shared" si="19"/>
        <v>733730.00239999976</v>
      </c>
      <c r="O133" s="19"/>
      <c r="P133" s="19"/>
    </row>
    <row r="134" spans="1:16">
      <c r="A134" s="19">
        <v>130</v>
      </c>
      <c r="B134" s="19" t="s">
        <v>157</v>
      </c>
      <c r="C134" s="19" t="s">
        <v>244</v>
      </c>
      <c r="D134" s="19" t="s">
        <v>76</v>
      </c>
      <c r="E134" s="328" t="s">
        <v>245</v>
      </c>
      <c r="F134" s="19">
        <v>66.739999999999995</v>
      </c>
      <c r="G134" s="19">
        <v>89.14</v>
      </c>
      <c r="H134" s="51">
        <f t="shared" si="15"/>
        <v>5949.2035999999998</v>
      </c>
      <c r="I134" s="19"/>
      <c r="J134" s="19"/>
      <c r="K134" s="51">
        <f t="shared" si="39"/>
        <v>0</v>
      </c>
      <c r="L134" s="287">
        <f t="shared" si="38"/>
        <v>5949.2035999999998</v>
      </c>
      <c r="M134" s="19"/>
      <c r="N134" s="51">
        <f t="shared" si="19"/>
        <v>727780.79879999976</v>
      </c>
      <c r="O134" s="19"/>
      <c r="P134" s="19"/>
    </row>
    <row r="135" spans="1:16">
      <c r="A135" s="19">
        <v>131</v>
      </c>
      <c r="B135" s="19" t="s">
        <v>157</v>
      </c>
      <c r="C135" s="19" t="s">
        <v>268</v>
      </c>
      <c r="D135" s="19" t="s">
        <v>269</v>
      </c>
      <c r="E135" s="328" t="s">
        <v>270</v>
      </c>
      <c r="F135" s="19">
        <v>207.4</v>
      </c>
      <c r="G135" s="19">
        <v>96.43</v>
      </c>
      <c r="H135" s="51">
        <f t="shared" si="15"/>
        <v>19999.582000000002</v>
      </c>
      <c r="I135" s="19"/>
      <c r="J135" s="19"/>
      <c r="K135" s="51">
        <f t="shared" si="39"/>
        <v>0</v>
      </c>
      <c r="L135" s="287">
        <f t="shared" si="38"/>
        <v>19999.582000000002</v>
      </c>
      <c r="M135" s="19"/>
      <c r="N135" s="51">
        <f t="shared" si="19"/>
        <v>707781.2167999997</v>
      </c>
      <c r="O135" s="19"/>
      <c r="P135" s="19"/>
    </row>
    <row r="136" spans="1:16">
      <c r="A136" s="19">
        <v>132</v>
      </c>
      <c r="B136" s="19" t="s">
        <v>157</v>
      </c>
      <c r="C136" s="19" t="s">
        <v>217</v>
      </c>
      <c r="D136" s="19" t="s">
        <v>78</v>
      </c>
      <c r="E136" s="328" t="s">
        <v>218</v>
      </c>
      <c r="F136" s="19"/>
      <c r="G136" s="19"/>
      <c r="H136" s="51">
        <f t="shared" si="15"/>
        <v>0</v>
      </c>
      <c r="I136" s="19">
        <v>4.83</v>
      </c>
      <c r="J136" s="19">
        <v>103.44</v>
      </c>
      <c r="K136" s="51">
        <f>I136*J136</f>
        <v>499.61520000000002</v>
      </c>
      <c r="L136" s="287">
        <f t="shared" si="38"/>
        <v>499.61520000000002</v>
      </c>
      <c r="M136" s="19"/>
      <c r="N136" s="51">
        <f t="shared" si="19"/>
        <v>707281.6015999997</v>
      </c>
      <c r="O136" s="19"/>
      <c r="P136" s="19"/>
    </row>
    <row r="137" spans="1:16">
      <c r="A137" s="19">
        <v>133</v>
      </c>
      <c r="B137" s="19" t="s">
        <v>271</v>
      </c>
      <c r="C137" s="19" t="s">
        <v>198</v>
      </c>
      <c r="D137" s="19" t="s">
        <v>199</v>
      </c>
      <c r="E137" s="328" t="s">
        <v>200</v>
      </c>
      <c r="F137" s="19">
        <v>78.040000000000006</v>
      </c>
      <c r="G137" s="19">
        <v>89.9</v>
      </c>
      <c r="H137" s="51">
        <f t="shared" si="15"/>
        <v>7015.7960000000012</v>
      </c>
      <c r="I137" s="19"/>
      <c r="J137" s="19"/>
      <c r="K137" s="51">
        <f t="shared" ref="K137:K138" si="40">I137*J137</f>
        <v>0</v>
      </c>
      <c r="L137" s="287">
        <f t="shared" si="38"/>
        <v>7015.7960000000012</v>
      </c>
      <c r="M137" s="19"/>
      <c r="N137" s="51">
        <f t="shared" ref="N137:N139" si="41">N136+M137-L137</f>
        <v>700265.80559999973</v>
      </c>
      <c r="O137" s="19"/>
      <c r="P137" s="19"/>
    </row>
    <row r="138" spans="1:16">
      <c r="A138" s="19">
        <v>134</v>
      </c>
      <c r="B138" s="19" t="s">
        <v>271</v>
      </c>
      <c r="C138" s="19" t="s">
        <v>244</v>
      </c>
      <c r="D138" s="19" t="s">
        <v>76</v>
      </c>
      <c r="E138" s="328" t="s">
        <v>245</v>
      </c>
      <c r="F138" s="19"/>
      <c r="G138" s="19"/>
      <c r="H138" s="51">
        <f t="shared" si="15"/>
        <v>0</v>
      </c>
      <c r="I138" s="19">
        <v>5</v>
      </c>
      <c r="J138" s="19">
        <v>103.05</v>
      </c>
      <c r="K138" s="51">
        <f t="shared" si="40"/>
        <v>515.25</v>
      </c>
      <c r="L138" s="287">
        <f t="shared" si="38"/>
        <v>515.25</v>
      </c>
      <c r="M138" s="19"/>
      <c r="N138" s="51">
        <f t="shared" si="41"/>
        <v>699750.55559999973</v>
      </c>
      <c r="O138" s="19"/>
      <c r="P138" s="19"/>
    </row>
    <row r="139" spans="1:16">
      <c r="A139" s="19">
        <v>135</v>
      </c>
      <c r="B139" s="19" t="s">
        <v>271</v>
      </c>
      <c r="C139" s="19" t="s">
        <v>252</v>
      </c>
      <c r="D139" s="19" t="s">
        <v>272</v>
      </c>
      <c r="E139" s="328" t="s">
        <v>254</v>
      </c>
      <c r="F139" s="19">
        <v>498.73</v>
      </c>
      <c r="G139" s="19">
        <v>90.23</v>
      </c>
      <c r="H139" s="51">
        <f t="shared" si="15"/>
        <v>45000.407900000006</v>
      </c>
      <c r="I139" s="19">
        <v>35</v>
      </c>
      <c r="J139" s="19">
        <v>104.15</v>
      </c>
      <c r="K139" s="51">
        <f t="shared" ref="K139" si="42">I139*J139</f>
        <v>3645.25</v>
      </c>
      <c r="L139" s="287">
        <f t="shared" si="38"/>
        <v>48645.657900000006</v>
      </c>
      <c r="M139" s="19"/>
      <c r="N139" s="51">
        <f t="shared" si="41"/>
        <v>651104.89769999974</v>
      </c>
      <c r="O139" s="19"/>
      <c r="P139" s="19"/>
    </row>
    <row r="140" spans="1:16">
      <c r="A140" s="19">
        <v>136</v>
      </c>
      <c r="B140" s="19" t="s">
        <v>271</v>
      </c>
      <c r="C140" s="19" t="s">
        <v>273</v>
      </c>
      <c r="D140" s="19" t="s">
        <v>274</v>
      </c>
      <c r="E140" s="328" t="s">
        <v>207</v>
      </c>
      <c r="F140" s="19">
        <v>11.29</v>
      </c>
      <c r="G140" s="19">
        <v>88.58</v>
      </c>
      <c r="H140" s="51">
        <f t="shared" si="15"/>
        <v>1000.0681999999999</v>
      </c>
      <c r="I140" s="19"/>
      <c r="J140" s="19"/>
      <c r="K140" s="51">
        <f t="shared" ref="K140:K143" si="43">I140*J140</f>
        <v>0</v>
      </c>
      <c r="L140" s="287">
        <f t="shared" ref="L140:L143" si="44">H140+K140</f>
        <v>1000.0681999999999</v>
      </c>
      <c r="M140" s="19"/>
      <c r="N140" s="51">
        <f t="shared" ref="N140:N141" si="45">N139+M140-L140</f>
        <v>650104.82949999976</v>
      </c>
      <c r="O140" s="19"/>
      <c r="P140" s="19"/>
    </row>
    <row r="141" spans="1:16">
      <c r="A141" s="19">
        <v>137</v>
      </c>
      <c r="B141" s="19" t="s">
        <v>271</v>
      </c>
      <c r="C141" s="19" t="s">
        <v>208</v>
      </c>
      <c r="D141" s="19" t="s">
        <v>209</v>
      </c>
      <c r="E141" s="328" t="s">
        <v>210</v>
      </c>
      <c r="F141" s="19">
        <v>1670.75</v>
      </c>
      <c r="G141" s="19">
        <v>89.78</v>
      </c>
      <c r="H141" s="51">
        <f t="shared" si="15"/>
        <v>149999.935</v>
      </c>
      <c r="I141" s="19"/>
      <c r="J141" s="19"/>
      <c r="K141" s="51">
        <f t="shared" si="43"/>
        <v>0</v>
      </c>
      <c r="L141" s="287">
        <f t="shared" si="44"/>
        <v>149999.935</v>
      </c>
      <c r="M141" s="19"/>
      <c r="N141" s="51">
        <f t="shared" si="45"/>
        <v>500104.89449999976</v>
      </c>
      <c r="O141" s="19"/>
      <c r="P141" s="19"/>
    </row>
    <row r="142" spans="1:16">
      <c r="A142" s="19">
        <v>138</v>
      </c>
      <c r="B142" s="119" t="s">
        <v>271</v>
      </c>
      <c r="C142" s="119" t="s">
        <v>211</v>
      </c>
      <c r="D142" s="119" t="s">
        <v>212</v>
      </c>
      <c r="E142" s="334" t="s">
        <v>213</v>
      </c>
      <c r="F142" s="119">
        <v>10</v>
      </c>
      <c r="G142" s="119">
        <v>89.58</v>
      </c>
      <c r="H142" s="287">
        <f t="shared" si="15"/>
        <v>895.8</v>
      </c>
      <c r="I142" s="119"/>
      <c r="J142" s="119"/>
      <c r="K142" s="287">
        <f t="shared" si="43"/>
        <v>0</v>
      </c>
      <c r="L142" s="287">
        <f t="shared" si="44"/>
        <v>895.8</v>
      </c>
      <c r="M142" s="119"/>
      <c r="N142" s="287">
        <f t="shared" ref="N142:N203" si="46">N141+M142-L142</f>
        <v>499209.09449999977</v>
      </c>
      <c r="O142" s="119"/>
      <c r="P142" s="119"/>
    </row>
    <row r="143" spans="1:16">
      <c r="A143" s="122">
        <v>139</v>
      </c>
      <c r="B143" s="19" t="s">
        <v>159</v>
      </c>
      <c r="C143" s="19" t="s">
        <v>244</v>
      </c>
      <c r="D143" s="19" t="s">
        <v>76</v>
      </c>
      <c r="E143" s="328" t="s">
        <v>245</v>
      </c>
      <c r="F143" s="19">
        <v>65.22</v>
      </c>
      <c r="G143" s="19">
        <v>89.14</v>
      </c>
      <c r="H143" s="51">
        <f t="shared" si="15"/>
        <v>5813.7107999999998</v>
      </c>
      <c r="I143" s="19">
        <v>5</v>
      </c>
      <c r="J143" s="19">
        <v>103.05</v>
      </c>
      <c r="K143" s="51">
        <f t="shared" si="43"/>
        <v>515.25</v>
      </c>
      <c r="L143" s="51">
        <f t="shared" si="44"/>
        <v>6328.9607999999998</v>
      </c>
      <c r="M143" s="19"/>
      <c r="N143" s="51">
        <f t="shared" si="46"/>
        <v>492880.13369999977</v>
      </c>
      <c r="O143" s="19"/>
      <c r="P143" s="19"/>
    </row>
    <row r="144" spans="1:16">
      <c r="A144" s="122">
        <v>140</v>
      </c>
      <c r="B144" s="19" t="s">
        <v>159</v>
      </c>
      <c r="C144" s="19" t="s">
        <v>201</v>
      </c>
      <c r="D144" s="19" t="s">
        <v>202</v>
      </c>
      <c r="E144" s="328" t="s">
        <v>203</v>
      </c>
      <c r="F144" s="19">
        <v>91.68</v>
      </c>
      <c r="G144" s="19">
        <v>91.47</v>
      </c>
      <c r="H144" s="51">
        <f t="shared" si="15"/>
        <v>8385.9696000000004</v>
      </c>
      <c r="I144" s="19"/>
      <c r="J144" s="19"/>
      <c r="K144" s="51">
        <f t="shared" ref="K144:K149" si="47">I144*J144</f>
        <v>0</v>
      </c>
      <c r="L144" s="51">
        <f t="shared" ref="L144:L151" si="48">H144+K144</f>
        <v>8385.9696000000004</v>
      </c>
      <c r="M144" s="19"/>
      <c r="N144" s="51">
        <f t="shared" si="46"/>
        <v>484494.16409999976</v>
      </c>
      <c r="O144" s="19"/>
      <c r="P144" s="19"/>
    </row>
    <row r="145" spans="1:16">
      <c r="A145" s="122">
        <v>141</v>
      </c>
      <c r="B145" s="19" t="s">
        <v>159</v>
      </c>
      <c r="C145" s="19" t="s">
        <v>259</v>
      </c>
      <c r="D145" s="19" t="s">
        <v>260</v>
      </c>
      <c r="E145" s="328" t="s">
        <v>261</v>
      </c>
      <c r="F145" s="19">
        <v>894.15</v>
      </c>
      <c r="G145" s="19">
        <v>89.47</v>
      </c>
      <c r="H145" s="51">
        <f t="shared" si="15"/>
        <v>79999.6005</v>
      </c>
      <c r="I145" s="19"/>
      <c r="J145" s="19"/>
      <c r="K145" s="51">
        <f t="shared" si="47"/>
        <v>0</v>
      </c>
      <c r="L145" s="51">
        <f t="shared" si="48"/>
        <v>79999.6005</v>
      </c>
      <c r="M145" s="19"/>
      <c r="N145" s="51">
        <f t="shared" si="46"/>
        <v>404494.56359999976</v>
      </c>
      <c r="O145" s="19"/>
      <c r="P145" s="19"/>
    </row>
    <row r="146" spans="1:16">
      <c r="A146" s="122">
        <v>142</v>
      </c>
      <c r="B146" s="19" t="s">
        <v>159</v>
      </c>
      <c r="C146" s="19" t="s">
        <v>252</v>
      </c>
      <c r="D146" s="19" t="s">
        <v>275</v>
      </c>
      <c r="E146" s="328" t="s">
        <v>254</v>
      </c>
      <c r="F146" s="19">
        <v>664.97</v>
      </c>
      <c r="G146" s="19">
        <v>90.23</v>
      </c>
      <c r="H146" s="51">
        <f t="shared" si="15"/>
        <v>60000.243100000007</v>
      </c>
      <c r="I146" s="19"/>
      <c r="J146" s="19"/>
      <c r="K146" s="51">
        <f t="shared" si="47"/>
        <v>0</v>
      </c>
      <c r="L146" s="51">
        <f t="shared" si="48"/>
        <v>60000.243100000007</v>
      </c>
      <c r="M146" s="19"/>
      <c r="N146" s="51">
        <f t="shared" si="46"/>
        <v>344494.32049999974</v>
      </c>
      <c r="O146" s="19"/>
      <c r="P146" s="19"/>
    </row>
    <row r="147" spans="1:16">
      <c r="A147" s="348">
        <v>143</v>
      </c>
      <c r="B147" s="119" t="s">
        <v>159</v>
      </c>
      <c r="C147" s="119" t="s">
        <v>215</v>
      </c>
      <c r="D147" s="119" t="s">
        <v>84</v>
      </c>
      <c r="E147" s="334" t="s">
        <v>216</v>
      </c>
      <c r="F147" s="119">
        <v>145.35</v>
      </c>
      <c r="G147" s="119">
        <v>89.44</v>
      </c>
      <c r="H147" s="287">
        <f t="shared" si="15"/>
        <v>13000.103999999999</v>
      </c>
      <c r="I147" s="119"/>
      <c r="J147" s="119"/>
      <c r="K147" s="287">
        <f t="shared" si="47"/>
        <v>0</v>
      </c>
      <c r="L147" s="287">
        <f t="shared" si="48"/>
        <v>13000.103999999999</v>
      </c>
      <c r="M147" s="119"/>
      <c r="N147" s="287">
        <f t="shared" si="46"/>
        <v>331494.21649999975</v>
      </c>
      <c r="O147" s="119"/>
      <c r="P147" s="119"/>
    </row>
    <row r="148" spans="1:16">
      <c r="A148" s="19">
        <v>144</v>
      </c>
      <c r="B148" s="19" t="s">
        <v>159</v>
      </c>
      <c r="C148" s="19" t="s">
        <v>241</v>
      </c>
      <c r="D148" s="19" t="s">
        <v>242</v>
      </c>
      <c r="E148" s="328" t="s">
        <v>243</v>
      </c>
      <c r="F148" s="19">
        <v>45</v>
      </c>
      <c r="G148" s="19">
        <v>89.78</v>
      </c>
      <c r="H148" s="51">
        <f t="shared" si="15"/>
        <v>4040.1</v>
      </c>
      <c r="I148" s="19"/>
      <c r="J148" s="19"/>
      <c r="K148" s="51">
        <f t="shared" si="47"/>
        <v>0</v>
      </c>
      <c r="L148" s="51">
        <f t="shared" si="48"/>
        <v>4040.1</v>
      </c>
      <c r="M148" s="19"/>
      <c r="N148" s="51">
        <f t="shared" si="46"/>
        <v>327454.11649999977</v>
      </c>
      <c r="O148" s="19"/>
      <c r="P148" s="19"/>
    </row>
    <row r="149" spans="1:16">
      <c r="A149" s="19">
        <v>145</v>
      </c>
      <c r="B149" s="19" t="s">
        <v>160</v>
      </c>
      <c r="C149" s="19" t="s">
        <v>198</v>
      </c>
      <c r="D149" s="19" t="s">
        <v>199</v>
      </c>
      <c r="E149" s="328" t="s">
        <v>200</v>
      </c>
      <c r="F149" s="19">
        <v>80</v>
      </c>
      <c r="G149" s="19">
        <v>89.9</v>
      </c>
      <c r="H149" s="51">
        <f t="shared" si="15"/>
        <v>7192</v>
      </c>
      <c r="I149" s="19">
        <v>6.45</v>
      </c>
      <c r="J149" s="19">
        <v>103.96</v>
      </c>
      <c r="K149" s="51">
        <f t="shared" si="47"/>
        <v>670.54200000000003</v>
      </c>
      <c r="L149" s="51">
        <f t="shared" si="48"/>
        <v>7862.5420000000004</v>
      </c>
      <c r="M149" s="19"/>
      <c r="N149" s="51">
        <f t="shared" si="46"/>
        <v>319591.57449999976</v>
      </c>
      <c r="O149" s="19"/>
      <c r="P149" s="19"/>
    </row>
    <row r="150" spans="1:16">
      <c r="A150" s="19">
        <v>146</v>
      </c>
      <c r="B150" s="19" t="s">
        <v>160</v>
      </c>
      <c r="C150" s="19" t="s">
        <v>201</v>
      </c>
      <c r="D150" s="19" t="s">
        <v>202</v>
      </c>
      <c r="E150" s="328" t="s">
        <v>203</v>
      </c>
      <c r="F150" s="19">
        <v>42.97</v>
      </c>
      <c r="G150" s="19">
        <v>91.47</v>
      </c>
      <c r="H150" s="51">
        <f t="shared" si="15"/>
        <v>3930.4658999999997</v>
      </c>
      <c r="I150" s="19"/>
      <c r="J150" s="19"/>
      <c r="K150" s="51">
        <f t="shared" ref="K150:K156" si="49">I150*J150</f>
        <v>0</v>
      </c>
      <c r="L150" s="51">
        <f t="shared" ref="L150:L156" si="50">H150+K150</f>
        <v>3930.4658999999997</v>
      </c>
      <c r="M150" s="19"/>
      <c r="N150" s="51">
        <f t="shared" si="46"/>
        <v>315661.10859999974</v>
      </c>
      <c r="O150" s="19"/>
      <c r="P150" s="19"/>
    </row>
    <row r="151" spans="1:16">
      <c r="A151" s="19">
        <v>147</v>
      </c>
      <c r="B151" s="19" t="s">
        <v>160</v>
      </c>
      <c r="C151" s="19" t="s">
        <v>276</v>
      </c>
      <c r="D151" s="19" t="s">
        <v>277</v>
      </c>
      <c r="E151" s="328" t="s">
        <v>203</v>
      </c>
      <c r="F151" s="19">
        <v>198.37</v>
      </c>
      <c r="G151" s="19">
        <v>90.74</v>
      </c>
      <c r="H151" s="51">
        <f t="shared" si="15"/>
        <v>18000.093799999999</v>
      </c>
      <c r="I151" s="19"/>
      <c r="J151" s="19"/>
      <c r="K151" s="51">
        <f t="shared" si="49"/>
        <v>0</v>
      </c>
      <c r="L151" s="51">
        <f t="shared" si="50"/>
        <v>18000.093799999999</v>
      </c>
      <c r="M151" s="19"/>
      <c r="N151" s="51">
        <f t="shared" si="46"/>
        <v>297661.01479999977</v>
      </c>
      <c r="O151" s="19"/>
      <c r="P151" s="19"/>
    </row>
    <row r="152" spans="1:16">
      <c r="A152" s="19">
        <v>148</v>
      </c>
      <c r="B152" s="19" t="s">
        <v>160</v>
      </c>
      <c r="C152" s="19" t="s">
        <v>224</v>
      </c>
      <c r="D152" s="19" t="s">
        <v>225</v>
      </c>
      <c r="E152" s="328" t="s">
        <v>226</v>
      </c>
      <c r="F152" s="19">
        <v>986</v>
      </c>
      <c r="G152" s="19">
        <v>89.29</v>
      </c>
      <c r="H152" s="51">
        <f t="shared" si="15"/>
        <v>88039.94</v>
      </c>
      <c r="I152" s="19">
        <v>115</v>
      </c>
      <c r="J152" s="19">
        <v>103.24</v>
      </c>
      <c r="K152" s="51">
        <f t="shared" si="49"/>
        <v>11872.599999999999</v>
      </c>
      <c r="L152" s="51">
        <f t="shared" si="50"/>
        <v>99912.540000000008</v>
      </c>
      <c r="M152" s="19"/>
      <c r="N152" s="51">
        <f t="shared" si="46"/>
        <v>197748.47479999976</v>
      </c>
      <c r="O152" s="19"/>
      <c r="P152" s="19"/>
    </row>
    <row r="153" spans="1:16">
      <c r="A153" s="19">
        <v>149</v>
      </c>
      <c r="B153" s="19" t="s">
        <v>160</v>
      </c>
      <c r="C153" s="19" t="s">
        <v>40</v>
      </c>
      <c r="D153" s="19" t="s">
        <v>255</v>
      </c>
      <c r="E153" s="328" t="s">
        <v>256</v>
      </c>
      <c r="F153" s="19">
        <v>110.82</v>
      </c>
      <c r="G153" s="19">
        <v>90.24</v>
      </c>
      <c r="H153" s="51">
        <f t="shared" si="15"/>
        <v>10000.396799999999</v>
      </c>
      <c r="I153" s="19"/>
      <c r="J153" s="19"/>
      <c r="K153" s="51">
        <f t="shared" si="49"/>
        <v>0</v>
      </c>
      <c r="L153" s="51">
        <f t="shared" si="50"/>
        <v>10000.396799999999</v>
      </c>
      <c r="M153" s="19"/>
      <c r="N153" s="51">
        <f t="shared" si="46"/>
        <v>187748.07799999978</v>
      </c>
      <c r="O153" s="19"/>
      <c r="P153" s="19"/>
    </row>
    <row r="154" spans="1:16">
      <c r="A154" s="19">
        <v>150</v>
      </c>
      <c r="B154" s="19" t="s">
        <v>160</v>
      </c>
      <c r="C154" s="19" t="s">
        <v>211</v>
      </c>
      <c r="D154" s="19" t="s">
        <v>212</v>
      </c>
      <c r="E154" s="328" t="s">
        <v>213</v>
      </c>
      <c r="F154" s="19">
        <v>30</v>
      </c>
      <c r="G154" s="19">
        <v>89.58</v>
      </c>
      <c r="H154" s="51">
        <f t="shared" si="15"/>
        <v>2687.4</v>
      </c>
      <c r="I154" s="19"/>
      <c r="J154" s="19"/>
      <c r="K154" s="51">
        <f t="shared" si="49"/>
        <v>0</v>
      </c>
      <c r="L154" s="51">
        <f t="shared" si="50"/>
        <v>2687.4</v>
      </c>
      <c r="M154" s="19"/>
      <c r="N154" s="51">
        <f t="shared" si="46"/>
        <v>185060.67799999978</v>
      </c>
      <c r="O154" s="19"/>
      <c r="P154" s="19"/>
    </row>
    <row r="155" spans="1:16">
      <c r="A155" s="19">
        <v>151</v>
      </c>
      <c r="B155" s="19" t="s">
        <v>160</v>
      </c>
      <c r="C155" s="351" t="s">
        <v>278</v>
      </c>
      <c r="D155" s="130" t="s">
        <v>269</v>
      </c>
      <c r="E155" s="288" t="s">
        <v>270</v>
      </c>
      <c r="F155" s="19">
        <v>1037.02</v>
      </c>
      <c r="G155" s="19">
        <v>96.43</v>
      </c>
      <c r="H155" s="51">
        <f t="shared" si="15"/>
        <v>99999.838600000003</v>
      </c>
      <c r="I155" s="19"/>
      <c r="J155" s="19"/>
      <c r="K155" s="51">
        <f t="shared" si="49"/>
        <v>0</v>
      </c>
      <c r="L155" s="51">
        <f t="shared" si="50"/>
        <v>99999.838600000003</v>
      </c>
      <c r="M155" s="19"/>
      <c r="N155" s="51">
        <f t="shared" si="46"/>
        <v>85060.839399999779</v>
      </c>
      <c r="O155" s="19"/>
      <c r="P155" s="19"/>
    </row>
    <row r="156" spans="1:16">
      <c r="A156" s="19">
        <v>152</v>
      </c>
      <c r="B156" s="19" t="s">
        <v>160</v>
      </c>
      <c r="C156" s="130" t="s">
        <v>235</v>
      </c>
      <c r="D156" s="130" t="s">
        <v>236</v>
      </c>
      <c r="E156" s="288" t="s">
        <v>214</v>
      </c>
      <c r="F156" s="19">
        <v>200</v>
      </c>
      <c r="G156" s="19">
        <v>89.33</v>
      </c>
      <c r="H156" s="51">
        <f t="shared" si="15"/>
        <v>17866</v>
      </c>
      <c r="I156" s="19">
        <v>9.84</v>
      </c>
      <c r="J156" s="19">
        <v>103.26</v>
      </c>
      <c r="K156" s="51">
        <f t="shared" si="49"/>
        <v>1016.0784</v>
      </c>
      <c r="L156" s="51">
        <f t="shared" si="50"/>
        <v>18882.078399999999</v>
      </c>
      <c r="M156" s="19"/>
      <c r="N156" s="51">
        <f t="shared" si="46"/>
        <v>66178.76099999978</v>
      </c>
      <c r="O156" s="19"/>
      <c r="P156" s="19"/>
    </row>
    <row r="157" spans="1:16">
      <c r="A157" s="19">
        <v>153</v>
      </c>
      <c r="B157" s="19" t="s">
        <v>160</v>
      </c>
      <c r="C157" s="130" t="s">
        <v>217</v>
      </c>
      <c r="D157" s="130" t="s">
        <v>78</v>
      </c>
      <c r="E157" s="288" t="s">
        <v>218</v>
      </c>
      <c r="F157" s="19">
        <v>34.619999999999997</v>
      </c>
      <c r="G157" s="19">
        <v>89.49</v>
      </c>
      <c r="H157" s="51">
        <f t="shared" si="15"/>
        <v>3098.1437999999994</v>
      </c>
      <c r="I157" s="19"/>
      <c r="J157" s="19"/>
      <c r="K157" s="51">
        <f t="shared" ref="K157:K162" si="51">I157*J157</f>
        <v>0</v>
      </c>
      <c r="L157" s="51">
        <f t="shared" ref="L157:L163" si="52">H157+K157</f>
        <v>3098.1437999999994</v>
      </c>
      <c r="M157" s="19"/>
      <c r="N157" s="51">
        <f t="shared" si="46"/>
        <v>63080.617199999782</v>
      </c>
      <c r="O157" s="19"/>
      <c r="P157" s="19"/>
    </row>
    <row r="158" spans="1:16">
      <c r="A158" s="19">
        <v>154</v>
      </c>
      <c r="B158" s="19" t="s">
        <v>160</v>
      </c>
      <c r="C158" s="19" t="s">
        <v>241</v>
      </c>
      <c r="D158" s="19" t="s">
        <v>242</v>
      </c>
      <c r="E158" s="328" t="s">
        <v>243</v>
      </c>
      <c r="F158" s="19">
        <v>60</v>
      </c>
      <c r="G158" s="19">
        <v>89.78</v>
      </c>
      <c r="H158" s="51">
        <f t="shared" si="15"/>
        <v>5386.8</v>
      </c>
      <c r="I158" s="19">
        <v>10</v>
      </c>
      <c r="J158" s="19">
        <v>103.76</v>
      </c>
      <c r="K158" s="51">
        <f t="shared" si="51"/>
        <v>1037.6000000000001</v>
      </c>
      <c r="L158" s="51">
        <f t="shared" si="52"/>
        <v>6424.4000000000005</v>
      </c>
      <c r="M158" s="19"/>
      <c r="N158" s="51">
        <f t="shared" si="46"/>
        <v>56656.217199999781</v>
      </c>
      <c r="O158" s="19"/>
      <c r="P158" s="19"/>
    </row>
    <row r="159" spans="1:16">
      <c r="A159" s="119">
        <v>155</v>
      </c>
      <c r="B159" s="119" t="s">
        <v>160</v>
      </c>
      <c r="C159" s="353" t="s">
        <v>257</v>
      </c>
      <c r="D159" s="119" t="s">
        <v>258</v>
      </c>
      <c r="E159" s="334" t="s">
        <v>216</v>
      </c>
      <c r="F159" s="119">
        <v>185.58</v>
      </c>
      <c r="G159" s="119">
        <v>89.61</v>
      </c>
      <c r="H159" s="287">
        <f t="shared" si="15"/>
        <v>16629.823800000002</v>
      </c>
      <c r="I159" s="119"/>
      <c r="J159" s="119"/>
      <c r="K159" s="287">
        <f t="shared" si="51"/>
        <v>0</v>
      </c>
      <c r="L159" s="287">
        <f t="shared" si="52"/>
        <v>16629.823800000002</v>
      </c>
      <c r="M159" s="119"/>
      <c r="N159" s="287">
        <f t="shared" si="46"/>
        <v>40026.393399999783</v>
      </c>
      <c r="O159" s="119"/>
      <c r="P159" s="119"/>
    </row>
    <row r="160" spans="1:16">
      <c r="A160" s="19">
        <v>156</v>
      </c>
      <c r="B160" s="19" t="s">
        <v>181</v>
      </c>
      <c r="C160" s="19" t="s">
        <v>198</v>
      </c>
      <c r="D160" s="19" t="s">
        <v>199</v>
      </c>
      <c r="E160" s="328" t="s">
        <v>200</v>
      </c>
      <c r="F160" s="19">
        <v>92.65</v>
      </c>
      <c r="G160" s="19">
        <v>89.9</v>
      </c>
      <c r="H160" s="51">
        <f t="shared" si="15"/>
        <v>8329.2350000000006</v>
      </c>
      <c r="I160" s="19"/>
      <c r="J160" s="19"/>
      <c r="K160" s="51">
        <f t="shared" si="51"/>
        <v>0</v>
      </c>
      <c r="L160" s="51">
        <f t="shared" si="52"/>
        <v>8329.2350000000006</v>
      </c>
      <c r="M160" s="19">
        <v>4000000</v>
      </c>
      <c r="N160" s="51">
        <f t="shared" si="46"/>
        <v>4031697.1584000001</v>
      </c>
      <c r="O160" s="19"/>
      <c r="P160" s="19"/>
    </row>
    <row r="161" spans="1:16">
      <c r="A161" s="19">
        <v>157</v>
      </c>
      <c r="B161" s="19" t="s">
        <v>181</v>
      </c>
      <c r="C161" s="19" t="s">
        <v>244</v>
      </c>
      <c r="D161" s="19" t="s">
        <v>76</v>
      </c>
      <c r="E161" s="328" t="s">
        <v>245</v>
      </c>
      <c r="F161" s="19">
        <v>19.86</v>
      </c>
      <c r="G161" s="19">
        <v>89.14</v>
      </c>
      <c r="H161" s="51">
        <f t="shared" si="15"/>
        <v>1770.3204000000001</v>
      </c>
      <c r="I161" s="19">
        <v>5</v>
      </c>
      <c r="J161" s="19">
        <v>103.05</v>
      </c>
      <c r="K161" s="51">
        <f t="shared" si="51"/>
        <v>515.25</v>
      </c>
      <c r="L161" s="51">
        <f t="shared" si="52"/>
        <v>2285.5704000000001</v>
      </c>
      <c r="M161" s="19"/>
      <c r="N161" s="51">
        <f t="shared" si="46"/>
        <v>4029411.588</v>
      </c>
      <c r="O161" s="19"/>
      <c r="P161" s="19"/>
    </row>
    <row r="162" spans="1:16">
      <c r="A162" s="19">
        <v>158</v>
      </c>
      <c r="B162" s="19" t="s">
        <v>181</v>
      </c>
      <c r="C162" s="19" t="s">
        <v>246</v>
      </c>
      <c r="D162" s="19" t="s">
        <v>88</v>
      </c>
      <c r="E162" s="328" t="s">
        <v>247</v>
      </c>
      <c r="F162" s="19"/>
      <c r="G162" s="19"/>
      <c r="H162" s="51">
        <f t="shared" si="15"/>
        <v>0</v>
      </c>
      <c r="I162" s="19">
        <v>8.7899999999999991</v>
      </c>
      <c r="J162" s="19">
        <v>102.46</v>
      </c>
      <c r="K162" s="51">
        <f t="shared" si="51"/>
        <v>900.62339999999983</v>
      </c>
      <c r="L162" s="51">
        <f t="shared" si="52"/>
        <v>900.62339999999983</v>
      </c>
      <c r="M162" s="19"/>
      <c r="N162" s="51">
        <f t="shared" si="46"/>
        <v>4028510.9646000001</v>
      </c>
      <c r="O162" s="19"/>
      <c r="P162" s="19"/>
    </row>
    <row r="163" spans="1:16">
      <c r="A163" s="19">
        <v>159</v>
      </c>
      <c r="B163" s="19" t="s">
        <v>181</v>
      </c>
      <c r="C163" s="19" t="s">
        <v>40</v>
      </c>
      <c r="D163" s="19" t="s">
        <v>255</v>
      </c>
      <c r="E163" s="328" t="s">
        <v>256</v>
      </c>
      <c r="F163" s="19">
        <v>2216.3200000000002</v>
      </c>
      <c r="G163" s="19">
        <v>90.24</v>
      </c>
      <c r="H163" s="51">
        <f t="shared" ref="H163:H168" si="53">F163*G163</f>
        <v>200000.71679999999</v>
      </c>
      <c r="I163" s="19"/>
      <c r="J163" s="19"/>
      <c r="K163" s="51">
        <f t="shared" ref="K163:K165" si="54">I163*J163</f>
        <v>0</v>
      </c>
      <c r="L163" s="51">
        <f t="shared" ref="L163:L166" si="55">H163+K163</f>
        <v>200000.71679999999</v>
      </c>
      <c r="M163" s="19"/>
      <c r="N163" s="51">
        <f t="shared" si="46"/>
        <v>3828510.2478</v>
      </c>
      <c r="O163" s="19"/>
      <c r="P163" s="19"/>
    </row>
    <row r="164" spans="1:16">
      <c r="A164" s="19">
        <v>160</v>
      </c>
      <c r="B164" s="19" t="s">
        <v>181</v>
      </c>
      <c r="C164" s="19" t="s">
        <v>211</v>
      </c>
      <c r="D164" s="19" t="s">
        <v>212</v>
      </c>
      <c r="E164" s="328" t="s">
        <v>213</v>
      </c>
      <c r="F164" s="19">
        <v>50</v>
      </c>
      <c r="G164" s="19">
        <v>89.58</v>
      </c>
      <c r="H164" s="51">
        <f t="shared" si="53"/>
        <v>4479</v>
      </c>
      <c r="I164" s="19"/>
      <c r="J164" s="19"/>
      <c r="K164" s="51">
        <f t="shared" si="54"/>
        <v>0</v>
      </c>
      <c r="L164" s="51">
        <f t="shared" si="55"/>
        <v>4479</v>
      </c>
      <c r="M164" s="19"/>
      <c r="N164" s="51">
        <f t="shared" si="46"/>
        <v>3824031.2478</v>
      </c>
      <c r="O164" s="19"/>
      <c r="P164" s="19"/>
    </row>
    <row r="165" spans="1:16">
      <c r="A165" s="19">
        <v>161</v>
      </c>
      <c r="B165" s="19" t="s">
        <v>181</v>
      </c>
      <c r="C165" s="19" t="s">
        <v>217</v>
      </c>
      <c r="D165" s="19" t="s">
        <v>78</v>
      </c>
      <c r="E165" s="328" t="s">
        <v>218</v>
      </c>
      <c r="F165" s="19">
        <v>59.61</v>
      </c>
      <c r="G165" s="19">
        <v>89.49</v>
      </c>
      <c r="H165" s="51">
        <f t="shared" si="53"/>
        <v>5334.4988999999996</v>
      </c>
      <c r="I165" s="19">
        <v>9.66</v>
      </c>
      <c r="J165" s="19">
        <v>103.44</v>
      </c>
      <c r="K165" s="51">
        <f t="shared" si="54"/>
        <v>999.23040000000003</v>
      </c>
      <c r="L165" s="51">
        <f t="shared" si="55"/>
        <v>6333.7293</v>
      </c>
      <c r="M165" s="19"/>
      <c r="N165" s="51">
        <f t="shared" si="46"/>
        <v>3817697.5185000002</v>
      </c>
      <c r="O165" s="19"/>
      <c r="P165" s="19"/>
    </row>
    <row r="166" spans="1:16">
      <c r="A166" s="19">
        <v>162</v>
      </c>
      <c r="B166" s="19" t="s">
        <v>181</v>
      </c>
      <c r="C166" s="19" t="s">
        <v>241</v>
      </c>
      <c r="D166" s="19" t="s">
        <v>242</v>
      </c>
      <c r="E166" s="328" t="s">
        <v>243</v>
      </c>
      <c r="F166" s="19">
        <v>50</v>
      </c>
      <c r="G166" s="19">
        <v>89.78</v>
      </c>
      <c r="H166" s="51">
        <f t="shared" si="53"/>
        <v>4489</v>
      </c>
      <c r="I166" s="19"/>
      <c r="J166" s="19"/>
      <c r="K166" s="51">
        <f t="shared" ref="K166:K167" si="56">I166*J166</f>
        <v>0</v>
      </c>
      <c r="L166" s="51">
        <f t="shared" ref="L166:L167" si="57">H166+K166</f>
        <v>4489</v>
      </c>
      <c r="M166" s="19"/>
      <c r="N166" s="51">
        <f t="shared" si="46"/>
        <v>3813208.5185000002</v>
      </c>
      <c r="O166" s="19"/>
      <c r="P166" s="19"/>
    </row>
    <row r="167" spans="1:16">
      <c r="A167" s="19">
        <v>163</v>
      </c>
      <c r="B167" s="19" t="s">
        <v>181</v>
      </c>
      <c r="C167" s="19" t="s">
        <v>219</v>
      </c>
      <c r="D167" s="19" t="s">
        <v>220</v>
      </c>
      <c r="E167" s="328" t="s">
        <v>221</v>
      </c>
      <c r="F167" s="19">
        <v>58.84</v>
      </c>
      <c r="G167" s="19">
        <v>90.02</v>
      </c>
      <c r="H167" s="51">
        <f t="shared" si="53"/>
        <v>5296.7767999999996</v>
      </c>
      <c r="I167" s="19">
        <v>15</v>
      </c>
      <c r="J167" s="19">
        <v>104.02</v>
      </c>
      <c r="K167" s="51">
        <f t="shared" si="56"/>
        <v>1560.3</v>
      </c>
      <c r="L167" s="51">
        <f t="shared" si="57"/>
        <v>6857.0767999999998</v>
      </c>
      <c r="M167" s="19"/>
      <c r="N167" s="51">
        <f t="shared" si="46"/>
        <v>3806351.4417000003</v>
      </c>
      <c r="O167" s="19"/>
      <c r="P167" s="19"/>
    </row>
    <row r="168" spans="1:16">
      <c r="A168" s="19">
        <v>164</v>
      </c>
      <c r="B168" s="119" t="s">
        <v>181</v>
      </c>
      <c r="C168" s="119" t="s">
        <v>279</v>
      </c>
      <c r="D168" s="119" t="s">
        <v>280</v>
      </c>
      <c r="E168" s="334" t="s">
        <v>281</v>
      </c>
      <c r="F168" s="119">
        <v>10449.299999999999</v>
      </c>
      <c r="G168" s="119">
        <v>95.7</v>
      </c>
      <c r="H168" s="287">
        <f>F168*G168</f>
        <v>999998.01</v>
      </c>
      <c r="I168" s="119"/>
      <c r="J168" s="119"/>
      <c r="K168" s="287">
        <f t="shared" ref="K168:K169" si="58">I168*J168</f>
        <v>0</v>
      </c>
      <c r="L168" s="287">
        <f t="shared" ref="L168:L169" si="59">H168+K168</f>
        <v>999998.01</v>
      </c>
      <c r="M168" s="119"/>
      <c r="N168" s="287">
        <f t="shared" si="46"/>
        <v>2806353.4317000005</v>
      </c>
      <c r="O168" s="119"/>
      <c r="P168" s="119"/>
    </row>
    <row r="169" spans="1:16">
      <c r="A169" s="122">
        <v>165</v>
      </c>
      <c r="B169" s="19" t="s">
        <v>161</v>
      </c>
      <c r="C169" s="19" t="s">
        <v>244</v>
      </c>
      <c r="D169" s="19" t="s">
        <v>76</v>
      </c>
      <c r="E169" s="328" t="s">
        <v>245</v>
      </c>
      <c r="F169" s="19">
        <v>67.319999999999993</v>
      </c>
      <c r="G169" s="19">
        <v>89.14</v>
      </c>
      <c r="H169" s="51">
        <f>F169*G169</f>
        <v>6000.9047999999993</v>
      </c>
      <c r="I169" s="19">
        <v>5</v>
      </c>
      <c r="J169" s="19">
        <v>103.05</v>
      </c>
      <c r="K169" s="51">
        <f t="shared" si="58"/>
        <v>515.25</v>
      </c>
      <c r="L169" s="51">
        <f t="shared" si="59"/>
        <v>6516.1547999999993</v>
      </c>
      <c r="M169" s="19"/>
      <c r="N169" s="51">
        <f t="shared" si="46"/>
        <v>2799837.2769000004</v>
      </c>
      <c r="O169" s="19"/>
      <c r="P169" s="19"/>
    </row>
    <row r="170" spans="1:16">
      <c r="A170" s="122">
        <v>166</v>
      </c>
      <c r="B170" s="19" t="s">
        <v>161</v>
      </c>
      <c r="C170" s="19" t="s">
        <v>282</v>
      </c>
      <c r="D170" s="19" t="s">
        <v>283</v>
      </c>
      <c r="E170" s="328" t="s">
        <v>203</v>
      </c>
      <c r="F170" s="19">
        <v>10.91</v>
      </c>
      <c r="G170" s="19">
        <v>91.7</v>
      </c>
      <c r="H170" s="51">
        <f>F170*G170</f>
        <v>1000.447</v>
      </c>
      <c r="I170" s="19"/>
      <c r="J170" s="19"/>
      <c r="K170" s="51">
        <f t="shared" ref="K170:K181" si="60">I170*J170</f>
        <v>0</v>
      </c>
      <c r="L170" s="51">
        <f t="shared" ref="L170:L181" si="61">H170+K170</f>
        <v>1000.447</v>
      </c>
      <c r="M170" s="19"/>
      <c r="N170" s="51">
        <f t="shared" si="46"/>
        <v>2798836.8299000002</v>
      </c>
      <c r="O170" s="19"/>
      <c r="P170" s="19"/>
    </row>
    <row r="171" spans="1:16">
      <c r="A171" s="122">
        <v>167</v>
      </c>
      <c r="B171" s="19" t="s">
        <v>161</v>
      </c>
      <c r="C171" s="130" t="s">
        <v>224</v>
      </c>
      <c r="D171" s="130" t="s">
        <v>225</v>
      </c>
      <c r="E171" s="288" t="s">
        <v>226</v>
      </c>
      <c r="F171" s="19">
        <v>1580</v>
      </c>
      <c r="G171" s="19">
        <v>89.29</v>
      </c>
      <c r="H171" s="51">
        <f>F171*G171</f>
        <v>141078.20000000001</v>
      </c>
      <c r="I171" s="19">
        <v>80</v>
      </c>
      <c r="J171" s="19">
        <v>103.24</v>
      </c>
      <c r="K171" s="51">
        <f t="shared" si="60"/>
        <v>8259.1999999999989</v>
      </c>
      <c r="L171" s="51">
        <f t="shared" si="61"/>
        <v>149337.40000000002</v>
      </c>
      <c r="M171" s="19"/>
      <c r="N171" s="51">
        <f t="shared" si="46"/>
        <v>2649499.4299000003</v>
      </c>
      <c r="O171" s="19"/>
      <c r="P171" s="19"/>
    </row>
    <row r="172" spans="1:16">
      <c r="A172" s="122">
        <v>168</v>
      </c>
      <c r="B172" s="19" t="s">
        <v>161</v>
      </c>
      <c r="C172" s="19" t="s">
        <v>227</v>
      </c>
      <c r="D172" s="19" t="s">
        <v>228</v>
      </c>
      <c r="E172" s="328" t="s">
        <v>229</v>
      </c>
      <c r="F172" s="19">
        <v>330</v>
      </c>
      <c r="G172" s="19">
        <v>90.23</v>
      </c>
      <c r="H172" s="51">
        <f>F172*G172</f>
        <v>29775.9</v>
      </c>
      <c r="I172" s="19"/>
      <c r="J172" s="19"/>
      <c r="K172" s="51">
        <f t="shared" si="60"/>
        <v>0</v>
      </c>
      <c r="L172" s="51">
        <f t="shared" si="61"/>
        <v>29775.9</v>
      </c>
      <c r="M172" s="19"/>
      <c r="N172" s="51">
        <f t="shared" si="46"/>
        <v>2619723.5299000004</v>
      </c>
      <c r="O172" s="19"/>
      <c r="P172" s="19"/>
    </row>
    <row r="173" spans="1:16">
      <c r="A173" s="122">
        <v>169</v>
      </c>
      <c r="B173" s="19" t="s">
        <v>161</v>
      </c>
      <c r="C173" s="19" t="s">
        <v>40</v>
      </c>
      <c r="D173" s="19" t="s">
        <v>255</v>
      </c>
      <c r="E173" s="328" t="s">
        <v>256</v>
      </c>
      <c r="F173" s="19">
        <v>1488.31</v>
      </c>
      <c r="G173" s="19">
        <v>90.24</v>
      </c>
      <c r="H173" s="51">
        <f>F173*G173</f>
        <v>134305.0944</v>
      </c>
      <c r="I173" s="19"/>
      <c r="J173" s="19"/>
      <c r="K173" s="51">
        <f t="shared" si="60"/>
        <v>0</v>
      </c>
      <c r="L173" s="51">
        <f t="shared" si="61"/>
        <v>134305.0944</v>
      </c>
      <c r="M173" s="19"/>
      <c r="N173" s="51">
        <f t="shared" si="46"/>
        <v>2485418.4355000006</v>
      </c>
      <c r="O173" s="19"/>
      <c r="P173" s="19"/>
    </row>
    <row r="174" spans="1:16">
      <c r="A174" s="122">
        <v>170</v>
      </c>
      <c r="B174" s="19" t="s">
        <v>161</v>
      </c>
      <c r="C174" s="19" t="s">
        <v>211</v>
      </c>
      <c r="D174" s="19" t="s">
        <v>212</v>
      </c>
      <c r="E174" s="328" t="s">
        <v>213</v>
      </c>
      <c r="F174" s="19">
        <v>30</v>
      </c>
      <c r="G174" s="19">
        <v>89.58</v>
      </c>
      <c r="H174" s="51">
        <f>F174*G174</f>
        <v>2687.4</v>
      </c>
      <c r="I174" s="19"/>
      <c r="J174" s="19"/>
      <c r="K174" s="51">
        <f t="shared" si="60"/>
        <v>0</v>
      </c>
      <c r="L174" s="51">
        <f t="shared" si="61"/>
        <v>2687.4</v>
      </c>
      <c r="M174" s="19"/>
      <c r="N174" s="51">
        <f t="shared" si="46"/>
        <v>2482731.0355000007</v>
      </c>
      <c r="O174" s="19"/>
      <c r="P174" s="19"/>
    </row>
    <row r="175" spans="1:16">
      <c r="A175" s="122">
        <v>171</v>
      </c>
      <c r="B175" s="19" t="s">
        <v>161</v>
      </c>
      <c r="C175" s="350" t="s">
        <v>284</v>
      </c>
      <c r="D175" s="19" t="s">
        <v>269</v>
      </c>
      <c r="E175" s="328" t="s">
        <v>270</v>
      </c>
      <c r="F175" s="19">
        <v>1037.02</v>
      </c>
      <c r="G175" s="19">
        <v>96.43</v>
      </c>
      <c r="H175" s="51">
        <f>F175*G175</f>
        <v>99999.838600000003</v>
      </c>
      <c r="I175" s="19"/>
      <c r="J175" s="19"/>
      <c r="K175" s="51">
        <f t="shared" si="60"/>
        <v>0</v>
      </c>
      <c r="L175" s="51">
        <f t="shared" si="61"/>
        <v>99999.838600000003</v>
      </c>
      <c r="M175" s="19"/>
      <c r="N175" s="51">
        <f t="shared" si="46"/>
        <v>2382731.1969000008</v>
      </c>
      <c r="O175" s="19"/>
      <c r="P175" s="19"/>
    </row>
    <row r="176" spans="1:16">
      <c r="A176" s="122">
        <v>172</v>
      </c>
      <c r="B176" s="19" t="s">
        <v>161</v>
      </c>
      <c r="C176" s="19" t="s">
        <v>235</v>
      </c>
      <c r="D176" s="19" t="s">
        <v>236</v>
      </c>
      <c r="E176" s="328" t="s">
        <v>214</v>
      </c>
      <c r="F176" s="19">
        <v>470</v>
      </c>
      <c r="G176" s="19">
        <v>89.33</v>
      </c>
      <c r="H176" s="51">
        <f>F176*G176</f>
        <v>41985.1</v>
      </c>
      <c r="I176" s="19">
        <v>24.2</v>
      </c>
      <c r="J176" s="19">
        <v>103.29</v>
      </c>
      <c r="K176" s="51">
        <f t="shared" si="60"/>
        <v>2499.6179999999999</v>
      </c>
      <c r="L176" s="51">
        <f t="shared" si="61"/>
        <v>44484.718000000001</v>
      </c>
      <c r="M176" s="19"/>
      <c r="N176" s="51">
        <f t="shared" si="46"/>
        <v>2338246.4789000009</v>
      </c>
      <c r="O176" s="19"/>
      <c r="P176" s="19"/>
    </row>
    <row r="177" spans="1:16">
      <c r="A177" s="122">
        <v>173</v>
      </c>
      <c r="B177" s="19" t="s">
        <v>161</v>
      </c>
      <c r="C177" s="19" t="s">
        <v>215</v>
      </c>
      <c r="D177" s="19" t="s">
        <v>84</v>
      </c>
      <c r="E177" s="328" t="s">
        <v>216</v>
      </c>
      <c r="F177" s="19">
        <v>134.16</v>
      </c>
      <c r="G177" s="19">
        <v>89.44</v>
      </c>
      <c r="H177" s="51">
        <f>F177*G177</f>
        <v>11999.270399999999</v>
      </c>
      <c r="I177" s="19"/>
      <c r="J177" s="19"/>
      <c r="K177" s="51">
        <f t="shared" si="60"/>
        <v>0</v>
      </c>
      <c r="L177" s="51">
        <f t="shared" si="61"/>
        <v>11999.270399999999</v>
      </c>
      <c r="M177" s="19"/>
      <c r="N177" s="51">
        <f t="shared" si="46"/>
        <v>2326247.2085000011</v>
      </c>
      <c r="O177" s="19"/>
      <c r="P177" s="19"/>
    </row>
    <row r="178" spans="1:16">
      <c r="A178" s="122">
        <v>174</v>
      </c>
      <c r="B178" s="19" t="s">
        <v>161</v>
      </c>
      <c r="C178" s="19" t="s">
        <v>217</v>
      </c>
      <c r="D178" s="19" t="s">
        <v>78</v>
      </c>
      <c r="E178" s="328" t="s">
        <v>218</v>
      </c>
      <c r="F178" s="19">
        <v>30</v>
      </c>
      <c r="G178" s="19">
        <v>89.49</v>
      </c>
      <c r="H178" s="51">
        <f>F178*G178</f>
        <v>2684.7</v>
      </c>
      <c r="I178" s="19"/>
      <c r="J178" s="19"/>
      <c r="K178" s="51">
        <f t="shared" si="60"/>
        <v>0</v>
      </c>
      <c r="L178" s="51">
        <f t="shared" si="61"/>
        <v>2684.7</v>
      </c>
      <c r="M178" s="19"/>
      <c r="N178" s="51">
        <f t="shared" si="46"/>
        <v>2323562.5085000009</v>
      </c>
      <c r="O178" s="19"/>
      <c r="P178" s="19"/>
    </row>
    <row r="179" spans="1:16">
      <c r="A179" s="122">
        <v>175</v>
      </c>
      <c r="B179" s="19" t="s">
        <v>161</v>
      </c>
      <c r="C179" s="19" t="s">
        <v>241</v>
      </c>
      <c r="D179" s="19" t="s">
        <v>242</v>
      </c>
      <c r="E179" s="328" t="s">
        <v>243</v>
      </c>
      <c r="F179" s="19">
        <v>105</v>
      </c>
      <c r="G179" s="19">
        <v>89.78</v>
      </c>
      <c r="H179" s="51">
        <f>F179*G179</f>
        <v>9426.9</v>
      </c>
      <c r="I179" s="19"/>
      <c r="J179" s="19"/>
      <c r="K179" s="51">
        <f t="shared" si="60"/>
        <v>0</v>
      </c>
      <c r="L179" s="51">
        <f t="shared" si="61"/>
        <v>9426.9</v>
      </c>
      <c r="M179" s="19"/>
      <c r="N179" s="51">
        <f t="shared" si="46"/>
        <v>2314135.608500001</v>
      </c>
      <c r="O179" s="19"/>
      <c r="P179" s="19"/>
    </row>
    <row r="180" spans="1:16">
      <c r="A180" s="122">
        <v>176</v>
      </c>
      <c r="B180" s="19" t="s">
        <v>161</v>
      </c>
      <c r="C180" s="19" t="s">
        <v>241</v>
      </c>
      <c r="D180" s="19" t="s">
        <v>242</v>
      </c>
      <c r="E180" s="328" t="s">
        <v>243</v>
      </c>
      <c r="F180" s="19">
        <v>10449.299999999999</v>
      </c>
      <c r="G180" s="19">
        <v>95.7</v>
      </c>
      <c r="H180" s="51">
        <f>F180*G180</f>
        <v>999998.01</v>
      </c>
      <c r="I180" s="19"/>
      <c r="J180" s="19"/>
      <c r="K180" s="51">
        <f t="shared" si="60"/>
        <v>0</v>
      </c>
      <c r="L180" s="51">
        <f t="shared" si="61"/>
        <v>999998.01</v>
      </c>
      <c r="M180" s="119"/>
      <c r="N180" s="287">
        <f t="shared" si="46"/>
        <v>1314137.598500001</v>
      </c>
      <c r="O180" s="119"/>
      <c r="P180" s="119"/>
    </row>
    <row r="181" spans="1:16">
      <c r="A181" s="122">
        <v>177</v>
      </c>
      <c r="B181" s="119" t="s">
        <v>161</v>
      </c>
      <c r="C181" s="119" t="s">
        <v>263</v>
      </c>
      <c r="D181" s="119" t="s">
        <v>258</v>
      </c>
      <c r="E181" s="334" t="s">
        <v>285</v>
      </c>
      <c r="F181" s="119">
        <v>0</v>
      </c>
      <c r="G181" s="119"/>
      <c r="H181" s="287">
        <f t="shared" ref="H181:H203" si="62">F181*G181</f>
        <v>0</v>
      </c>
      <c r="I181" s="119">
        <v>5.58</v>
      </c>
      <c r="J181" s="119">
        <v>89.61</v>
      </c>
      <c r="K181" s="287">
        <f t="shared" si="60"/>
        <v>500.02379999999999</v>
      </c>
      <c r="L181" s="360">
        <f t="shared" si="61"/>
        <v>500.02379999999999</v>
      </c>
      <c r="M181" s="19"/>
      <c r="N181" s="51">
        <f t="shared" si="46"/>
        <v>1313637.5747000009</v>
      </c>
      <c r="O181" s="19"/>
      <c r="P181" s="19"/>
    </row>
    <row r="182" spans="1:16">
      <c r="A182" s="122">
        <v>178</v>
      </c>
      <c r="B182" s="19" t="s">
        <v>182</v>
      </c>
      <c r="C182" s="19" t="s">
        <v>198</v>
      </c>
      <c r="D182" s="19" t="s">
        <v>199</v>
      </c>
      <c r="E182" s="328" t="s">
        <v>200</v>
      </c>
      <c r="F182" s="19">
        <v>50</v>
      </c>
      <c r="G182" s="19">
        <v>89.9</v>
      </c>
      <c r="H182" s="51">
        <f t="shared" si="62"/>
        <v>4495</v>
      </c>
      <c r="I182" s="19"/>
      <c r="J182" s="19"/>
      <c r="K182" s="287">
        <f t="shared" ref="K182:K193" si="63">I182*J182</f>
        <v>0</v>
      </c>
      <c r="L182" s="360">
        <f t="shared" ref="L182:L193" si="64">H182+K182</f>
        <v>4495</v>
      </c>
      <c r="M182" s="19"/>
      <c r="N182" s="51">
        <f t="shared" si="46"/>
        <v>1309142.5747000009</v>
      </c>
      <c r="O182" s="19"/>
      <c r="P182" s="19"/>
    </row>
    <row r="183" spans="1:16">
      <c r="A183" s="348">
        <v>179</v>
      </c>
      <c r="B183" s="119" t="s">
        <v>182</v>
      </c>
      <c r="C183" s="119" t="s">
        <v>201</v>
      </c>
      <c r="D183" s="119" t="s">
        <v>202</v>
      </c>
      <c r="E183" s="334" t="s">
        <v>203</v>
      </c>
      <c r="F183" s="119">
        <v>132.62</v>
      </c>
      <c r="G183" s="119">
        <v>91.47</v>
      </c>
      <c r="H183" s="287">
        <f t="shared" si="62"/>
        <v>12130.751400000001</v>
      </c>
      <c r="I183" s="119"/>
      <c r="J183" s="119"/>
      <c r="K183" s="287">
        <f t="shared" si="63"/>
        <v>0</v>
      </c>
      <c r="L183" s="360">
        <f t="shared" si="64"/>
        <v>12130.751400000001</v>
      </c>
      <c r="M183" s="119"/>
      <c r="N183" s="51">
        <f t="shared" si="46"/>
        <v>1297011.823300001</v>
      </c>
      <c r="O183" s="119"/>
      <c r="P183" s="119"/>
    </row>
    <row r="184" spans="1:16">
      <c r="A184" s="19">
        <v>180</v>
      </c>
      <c r="B184" s="19" t="s">
        <v>182</v>
      </c>
      <c r="C184" s="19" t="s">
        <v>215</v>
      </c>
      <c r="D184" s="19" t="s">
        <v>84</v>
      </c>
      <c r="E184" s="328" t="s">
        <v>216</v>
      </c>
      <c r="F184" s="19">
        <v>67.08</v>
      </c>
      <c r="G184" s="19">
        <v>89.44</v>
      </c>
      <c r="H184" s="51">
        <f t="shared" si="62"/>
        <v>5999.6351999999997</v>
      </c>
      <c r="I184" s="19"/>
      <c r="J184" s="19"/>
      <c r="K184" s="51">
        <f t="shared" si="63"/>
        <v>0</v>
      </c>
      <c r="L184" s="51">
        <f t="shared" si="64"/>
        <v>5999.6351999999997</v>
      </c>
      <c r="M184" s="19"/>
      <c r="N184" s="51">
        <f t="shared" si="46"/>
        <v>1291012.1881000011</v>
      </c>
      <c r="O184" s="19"/>
      <c r="P184" s="19"/>
    </row>
    <row r="185" spans="1:16">
      <c r="A185" s="19">
        <v>181</v>
      </c>
      <c r="B185" s="19" t="s">
        <v>182</v>
      </c>
      <c r="C185" s="19" t="s">
        <v>217</v>
      </c>
      <c r="D185" s="19" t="s">
        <v>78</v>
      </c>
      <c r="E185" s="328" t="s">
        <v>218</v>
      </c>
      <c r="F185" s="19">
        <v>70.53</v>
      </c>
      <c r="G185" s="19">
        <v>89.49</v>
      </c>
      <c r="H185" s="51">
        <f t="shared" si="62"/>
        <v>6311.7296999999999</v>
      </c>
      <c r="I185" s="19"/>
      <c r="J185" s="19"/>
      <c r="K185" s="51">
        <f t="shared" si="63"/>
        <v>0</v>
      </c>
      <c r="L185" s="51">
        <f t="shared" si="64"/>
        <v>6311.7296999999999</v>
      </c>
      <c r="M185" s="19"/>
      <c r="N185" s="51">
        <f t="shared" si="46"/>
        <v>1284700.4584000011</v>
      </c>
      <c r="O185" s="19"/>
      <c r="P185" s="19"/>
    </row>
    <row r="186" spans="1:16">
      <c r="A186" s="19">
        <v>182</v>
      </c>
      <c r="B186" s="19" t="s">
        <v>182</v>
      </c>
      <c r="C186" s="19" t="s">
        <v>241</v>
      </c>
      <c r="D186" s="19" t="s">
        <v>242</v>
      </c>
      <c r="E186" s="328" t="s">
        <v>243</v>
      </c>
      <c r="F186" s="19">
        <v>65</v>
      </c>
      <c r="G186" s="19">
        <v>89.78</v>
      </c>
      <c r="H186" s="51">
        <f t="shared" si="62"/>
        <v>5835.7</v>
      </c>
      <c r="I186" s="19"/>
      <c r="J186" s="19"/>
      <c r="K186" s="51">
        <f t="shared" si="63"/>
        <v>0</v>
      </c>
      <c r="L186" s="51">
        <f t="shared" si="64"/>
        <v>5835.7</v>
      </c>
      <c r="M186" s="19"/>
      <c r="N186" s="51">
        <f t="shared" si="46"/>
        <v>1278864.7584000011</v>
      </c>
      <c r="O186" s="19"/>
      <c r="P186" s="19"/>
    </row>
    <row r="187" spans="1:16">
      <c r="A187" s="19">
        <v>183</v>
      </c>
      <c r="B187" s="19" t="s">
        <v>182</v>
      </c>
      <c r="C187" s="19" t="s">
        <v>279</v>
      </c>
      <c r="D187" s="19" t="s">
        <v>280</v>
      </c>
      <c r="E187" s="328" t="s">
        <v>281</v>
      </c>
      <c r="F187" s="19">
        <v>10449.299999999999</v>
      </c>
      <c r="G187" s="19">
        <v>95.7</v>
      </c>
      <c r="H187" s="51">
        <f t="shared" si="62"/>
        <v>999998.01</v>
      </c>
      <c r="I187" s="19"/>
      <c r="J187" s="19"/>
      <c r="K187" s="51">
        <f t="shared" si="63"/>
        <v>0</v>
      </c>
      <c r="L187" s="51">
        <f t="shared" si="64"/>
        <v>999998.01</v>
      </c>
      <c r="M187" s="19"/>
      <c r="N187" s="51">
        <f t="shared" si="46"/>
        <v>278866.74840000109</v>
      </c>
      <c r="O187" s="19"/>
      <c r="P187" s="19"/>
    </row>
    <row r="188" spans="1:16">
      <c r="A188" s="19">
        <v>184</v>
      </c>
      <c r="B188" s="19" t="s">
        <v>183</v>
      </c>
      <c r="C188" s="19" t="s">
        <v>198</v>
      </c>
      <c r="D188" s="19" t="s">
        <v>199</v>
      </c>
      <c r="E188" s="328" t="s">
        <v>200</v>
      </c>
      <c r="F188" s="19">
        <v>75.78</v>
      </c>
      <c r="G188" s="19">
        <v>89.9</v>
      </c>
      <c r="H188" s="51">
        <f t="shared" si="62"/>
        <v>6812.6220000000003</v>
      </c>
      <c r="I188" s="19"/>
      <c r="J188" s="19"/>
      <c r="K188" s="51">
        <f t="shared" si="63"/>
        <v>0</v>
      </c>
      <c r="L188" s="51">
        <f t="shared" si="64"/>
        <v>6812.6220000000003</v>
      </c>
      <c r="M188" s="19">
        <v>300000</v>
      </c>
      <c r="N188" s="51">
        <f t="shared" si="46"/>
        <v>572054.12640000111</v>
      </c>
      <c r="O188" s="19"/>
      <c r="P188" s="19"/>
    </row>
    <row r="189" spans="1:16">
      <c r="A189" s="19">
        <v>185</v>
      </c>
      <c r="B189" s="19" t="s">
        <v>183</v>
      </c>
      <c r="C189" s="19" t="s">
        <v>252</v>
      </c>
      <c r="D189" s="350" t="s">
        <v>275</v>
      </c>
      <c r="E189" s="328" t="s">
        <v>254</v>
      </c>
      <c r="F189" s="19">
        <v>964.2</v>
      </c>
      <c r="G189" s="19">
        <v>90.23</v>
      </c>
      <c r="H189" s="51">
        <f t="shared" si="62"/>
        <v>86999.766000000003</v>
      </c>
      <c r="I189" s="19"/>
      <c r="J189" s="19"/>
      <c r="K189" s="51">
        <f t="shared" si="63"/>
        <v>0</v>
      </c>
      <c r="L189" s="51">
        <f t="shared" si="64"/>
        <v>86999.766000000003</v>
      </c>
      <c r="M189" s="19">
        <v>1000000</v>
      </c>
      <c r="N189" s="51">
        <f t="shared" si="46"/>
        <v>1485054.3604000011</v>
      </c>
      <c r="O189" s="19"/>
      <c r="P189" s="19"/>
    </row>
    <row r="190" spans="1:16">
      <c r="A190" s="19">
        <v>186</v>
      </c>
      <c r="B190" s="19" t="s">
        <v>183</v>
      </c>
      <c r="C190" s="19" t="s">
        <v>224</v>
      </c>
      <c r="D190" s="19" t="s">
        <v>225</v>
      </c>
      <c r="E190" s="328" t="s">
        <v>226</v>
      </c>
      <c r="F190" s="19">
        <v>1200</v>
      </c>
      <c r="G190" s="19">
        <v>89.29</v>
      </c>
      <c r="H190" s="51">
        <f t="shared" si="62"/>
        <v>107148.00000000001</v>
      </c>
      <c r="I190" s="19"/>
      <c r="J190" s="19"/>
      <c r="K190" s="51">
        <f t="shared" si="63"/>
        <v>0</v>
      </c>
      <c r="L190" s="51">
        <f t="shared" si="64"/>
        <v>107148.00000000001</v>
      </c>
      <c r="M190" s="19"/>
      <c r="N190" s="51">
        <f t="shared" si="46"/>
        <v>1377906.3604000011</v>
      </c>
      <c r="O190" s="19"/>
      <c r="P190" s="19"/>
    </row>
    <row r="191" spans="1:16">
      <c r="A191" s="19">
        <v>187</v>
      </c>
      <c r="B191" s="19" t="s">
        <v>183</v>
      </c>
      <c r="C191" s="19" t="s">
        <v>40</v>
      </c>
      <c r="D191" s="19" t="s">
        <v>255</v>
      </c>
      <c r="E191" s="328" t="s">
        <v>256</v>
      </c>
      <c r="F191" s="19">
        <v>230.79</v>
      </c>
      <c r="G191" s="19">
        <v>90.24</v>
      </c>
      <c r="H191" s="51">
        <f t="shared" si="62"/>
        <v>20826.489599999997</v>
      </c>
      <c r="I191" s="19"/>
      <c r="J191" s="19"/>
      <c r="K191" s="51">
        <f t="shared" si="63"/>
        <v>0</v>
      </c>
      <c r="L191" s="51">
        <f t="shared" si="64"/>
        <v>20826.489599999997</v>
      </c>
      <c r="M191" s="19"/>
      <c r="N191" s="51">
        <f t="shared" si="46"/>
        <v>1357079.8708000011</v>
      </c>
      <c r="O191" s="19"/>
      <c r="P191" s="19"/>
    </row>
    <row r="192" spans="1:16">
      <c r="A192" s="19">
        <v>188</v>
      </c>
      <c r="B192" s="19" t="s">
        <v>183</v>
      </c>
      <c r="C192" s="19" t="s">
        <v>211</v>
      </c>
      <c r="D192" s="19" t="s">
        <v>212</v>
      </c>
      <c r="E192" s="328" t="s">
        <v>213</v>
      </c>
      <c r="F192" s="19">
        <v>21</v>
      </c>
      <c r="G192" s="19">
        <v>89.58</v>
      </c>
      <c r="H192" s="51">
        <f t="shared" si="62"/>
        <v>1881.18</v>
      </c>
      <c r="I192" s="19"/>
      <c r="J192" s="19"/>
      <c r="K192" s="51">
        <f t="shared" si="63"/>
        <v>0</v>
      </c>
      <c r="L192" s="51">
        <f t="shared" si="64"/>
        <v>1881.18</v>
      </c>
      <c r="M192" s="19"/>
      <c r="N192" s="51">
        <f t="shared" si="46"/>
        <v>1355198.6908000011</v>
      </c>
      <c r="O192" s="19"/>
      <c r="P192" s="19"/>
    </row>
    <row r="193" spans="1:16">
      <c r="A193" s="19">
        <v>189</v>
      </c>
      <c r="B193" s="19" t="s">
        <v>183</v>
      </c>
      <c r="C193" s="19" t="s">
        <v>241</v>
      </c>
      <c r="D193" s="19" t="s">
        <v>242</v>
      </c>
      <c r="E193" s="328" t="s">
        <v>243</v>
      </c>
      <c r="F193" s="19"/>
      <c r="G193" s="19"/>
      <c r="H193" s="51">
        <f t="shared" si="62"/>
        <v>0</v>
      </c>
      <c r="I193" s="19">
        <v>5</v>
      </c>
      <c r="J193" s="19">
        <v>103.76</v>
      </c>
      <c r="K193" s="51">
        <f t="shared" si="63"/>
        <v>518.80000000000007</v>
      </c>
      <c r="L193" s="51">
        <f t="shared" si="64"/>
        <v>518.80000000000007</v>
      </c>
      <c r="M193" s="19"/>
      <c r="N193" s="51">
        <f t="shared" si="46"/>
        <v>1354679.8908000011</v>
      </c>
      <c r="O193" s="19"/>
      <c r="P193" s="19"/>
    </row>
    <row r="194" spans="1:16">
      <c r="A194" s="19">
        <v>190</v>
      </c>
      <c r="B194" s="19" t="s">
        <v>183</v>
      </c>
      <c r="C194" s="19" t="s">
        <v>279</v>
      </c>
      <c r="D194" s="19" t="s">
        <v>280</v>
      </c>
      <c r="E194" s="328" t="s">
        <v>281</v>
      </c>
      <c r="F194" s="19">
        <v>10449.299999999999</v>
      </c>
      <c r="G194" s="19">
        <v>95.7</v>
      </c>
      <c r="H194" s="51">
        <f t="shared" si="62"/>
        <v>999998.01</v>
      </c>
      <c r="I194" s="19"/>
      <c r="J194" s="19"/>
      <c r="K194" s="51">
        <f t="shared" ref="K194:K200" si="65">I194*J194</f>
        <v>0</v>
      </c>
      <c r="L194" s="51">
        <f t="shared" ref="L194:L203" si="66">H194+K194</f>
        <v>999998.01</v>
      </c>
      <c r="M194" s="19"/>
      <c r="N194" s="51">
        <f t="shared" si="46"/>
        <v>354681.88080000109</v>
      </c>
      <c r="O194" s="19"/>
      <c r="P194" s="19"/>
    </row>
    <row r="195" spans="1:16">
      <c r="A195" s="19">
        <v>191</v>
      </c>
      <c r="B195" s="19" t="s">
        <v>184</v>
      </c>
      <c r="C195" s="19" t="s">
        <v>198</v>
      </c>
      <c r="D195" s="19" t="s">
        <v>199</v>
      </c>
      <c r="E195" s="328" t="s">
        <v>200</v>
      </c>
      <c r="F195" s="19">
        <v>65.569999999999993</v>
      </c>
      <c r="G195" s="19">
        <v>89.9</v>
      </c>
      <c r="H195" s="51">
        <f t="shared" si="62"/>
        <v>5894.7429999999995</v>
      </c>
      <c r="I195" s="19">
        <v>103.96</v>
      </c>
      <c r="J195" s="19">
        <v>5.95</v>
      </c>
      <c r="K195" s="51">
        <f t="shared" si="65"/>
        <v>618.56200000000001</v>
      </c>
      <c r="L195" s="51">
        <f t="shared" si="66"/>
        <v>6513.3049999999994</v>
      </c>
      <c r="M195" s="19"/>
      <c r="N195" s="51">
        <f t="shared" si="46"/>
        <v>348168.5758000011</v>
      </c>
      <c r="O195" s="19"/>
      <c r="P195" s="19"/>
    </row>
    <row r="196" spans="1:16">
      <c r="A196" s="19">
        <v>192</v>
      </c>
      <c r="B196" s="19" t="s">
        <v>184</v>
      </c>
      <c r="C196" s="19" t="s">
        <v>244</v>
      </c>
      <c r="D196" s="19" t="s">
        <v>76</v>
      </c>
      <c r="E196" s="328" t="s">
        <v>245</v>
      </c>
      <c r="F196" s="19">
        <v>56.1</v>
      </c>
      <c r="G196" s="19">
        <v>89.14</v>
      </c>
      <c r="H196" s="51">
        <f t="shared" si="62"/>
        <v>5000.7539999999999</v>
      </c>
      <c r="I196" s="19"/>
      <c r="J196" s="19"/>
      <c r="K196" s="51">
        <f t="shared" si="65"/>
        <v>0</v>
      </c>
      <c r="L196" s="51">
        <f t="shared" si="66"/>
        <v>5000.7539999999999</v>
      </c>
      <c r="M196" s="19"/>
      <c r="N196" s="51">
        <f t="shared" si="46"/>
        <v>343167.82180000108</v>
      </c>
      <c r="O196" s="19"/>
      <c r="P196" s="19"/>
    </row>
    <row r="197" spans="1:16">
      <c r="A197" s="19">
        <v>193</v>
      </c>
      <c r="B197" s="19" t="s">
        <v>184</v>
      </c>
      <c r="C197" s="19" t="s">
        <v>208</v>
      </c>
      <c r="D197" s="19" t="s">
        <v>209</v>
      </c>
      <c r="E197" s="328" t="s">
        <v>210</v>
      </c>
      <c r="F197" s="19">
        <v>1670.75</v>
      </c>
      <c r="G197" s="19">
        <v>89.78</v>
      </c>
      <c r="H197" s="51">
        <f t="shared" si="62"/>
        <v>149999.935</v>
      </c>
      <c r="I197" s="19">
        <v>192.31</v>
      </c>
      <c r="J197" s="19">
        <v>104</v>
      </c>
      <c r="K197" s="51">
        <f t="shared" si="65"/>
        <v>20000.240000000002</v>
      </c>
      <c r="L197" s="51">
        <f t="shared" si="66"/>
        <v>170000.17499999999</v>
      </c>
      <c r="M197" s="19"/>
      <c r="N197" s="51">
        <f t="shared" si="46"/>
        <v>173167.64680000109</v>
      </c>
      <c r="O197" s="19"/>
      <c r="P197" s="19"/>
    </row>
    <row r="198" spans="1:16">
      <c r="A198" s="119">
        <v>194</v>
      </c>
      <c r="B198" s="119" t="s">
        <v>184</v>
      </c>
      <c r="C198" s="119" t="s">
        <v>217</v>
      </c>
      <c r="D198" s="119" t="s">
        <v>78</v>
      </c>
      <c r="E198" s="334" t="s">
        <v>218</v>
      </c>
      <c r="F198" s="119">
        <v>40.86</v>
      </c>
      <c r="G198" s="119">
        <v>89.49</v>
      </c>
      <c r="H198" s="287">
        <f t="shared" si="62"/>
        <v>3656.5613999999996</v>
      </c>
      <c r="I198" s="119"/>
      <c r="J198" s="119"/>
      <c r="K198" s="287">
        <f t="shared" si="65"/>
        <v>0</v>
      </c>
      <c r="L198" s="287">
        <f t="shared" si="66"/>
        <v>3656.5613999999996</v>
      </c>
      <c r="M198" s="119"/>
      <c r="N198" s="287">
        <f t="shared" si="46"/>
        <v>169511.08540000109</v>
      </c>
      <c r="O198" s="119"/>
      <c r="P198" s="119"/>
    </row>
    <row r="199" spans="1:16">
      <c r="A199" s="19">
        <v>195</v>
      </c>
      <c r="B199" s="19" t="s">
        <v>147</v>
      </c>
      <c r="C199" s="19" t="s">
        <v>198</v>
      </c>
      <c r="D199" s="19" t="s">
        <v>199</v>
      </c>
      <c r="E199" s="328" t="s">
        <v>200</v>
      </c>
      <c r="F199" s="19">
        <v>40</v>
      </c>
      <c r="G199" s="19">
        <v>89.9</v>
      </c>
      <c r="H199" s="51">
        <f t="shared" si="62"/>
        <v>3596</v>
      </c>
      <c r="I199" s="19">
        <v>7.7</v>
      </c>
      <c r="J199" s="19">
        <v>103.96</v>
      </c>
      <c r="K199" s="51">
        <f t="shared" si="65"/>
        <v>800.49199999999996</v>
      </c>
      <c r="L199" s="51">
        <f t="shared" si="66"/>
        <v>4396.4920000000002</v>
      </c>
      <c r="M199" s="19"/>
      <c r="N199" s="51">
        <f t="shared" si="46"/>
        <v>165114.59340000109</v>
      </c>
      <c r="O199" s="19"/>
      <c r="P199" s="19"/>
    </row>
    <row r="200" spans="1:16">
      <c r="A200" s="19">
        <v>196</v>
      </c>
      <c r="B200" s="19" t="s">
        <v>147</v>
      </c>
      <c r="C200" s="19" t="s">
        <v>244</v>
      </c>
      <c r="D200" s="19" t="s">
        <v>76</v>
      </c>
      <c r="E200" s="328" t="s">
        <v>245</v>
      </c>
      <c r="F200" s="19"/>
      <c r="G200" s="19"/>
      <c r="H200" s="51">
        <f t="shared" si="62"/>
        <v>0</v>
      </c>
      <c r="I200" s="19">
        <v>5</v>
      </c>
      <c r="J200" s="19">
        <v>103.05</v>
      </c>
      <c r="K200" s="51">
        <f t="shared" si="65"/>
        <v>515.25</v>
      </c>
      <c r="L200" s="51">
        <f t="shared" si="66"/>
        <v>515.25</v>
      </c>
      <c r="M200" s="19"/>
      <c r="N200" s="51">
        <f t="shared" si="46"/>
        <v>164599.34340000109</v>
      </c>
      <c r="O200" s="19"/>
      <c r="P200" s="19"/>
    </row>
    <row r="201" spans="1:16">
      <c r="A201" s="19">
        <v>197</v>
      </c>
      <c r="B201" s="19" t="s">
        <v>147</v>
      </c>
      <c r="C201" s="19" t="s">
        <v>201</v>
      </c>
      <c r="D201" s="19" t="s">
        <v>202</v>
      </c>
      <c r="E201" s="328" t="s">
        <v>203</v>
      </c>
      <c r="F201" s="19">
        <v>46.66</v>
      </c>
      <c r="G201" s="19">
        <v>91.47</v>
      </c>
      <c r="H201" s="51">
        <f t="shared" si="62"/>
        <v>4267.9901999999993</v>
      </c>
      <c r="I201" s="19"/>
      <c r="J201" s="19"/>
      <c r="K201" s="19"/>
      <c r="L201" s="51">
        <f t="shared" si="66"/>
        <v>4267.9901999999993</v>
      </c>
      <c r="M201" s="19"/>
      <c r="N201" s="51">
        <f t="shared" si="46"/>
        <v>160331.35320000109</v>
      </c>
      <c r="O201" s="19"/>
      <c r="P201" s="19"/>
    </row>
    <row r="202" spans="1:16">
      <c r="A202" s="19">
        <v>198</v>
      </c>
      <c r="B202" s="19" t="s">
        <v>147</v>
      </c>
      <c r="C202" s="19" t="s">
        <v>259</v>
      </c>
      <c r="D202" s="19" t="s">
        <v>260</v>
      </c>
      <c r="E202" s="328" t="s">
        <v>261</v>
      </c>
      <c r="F202" s="19">
        <v>304.82</v>
      </c>
      <c r="G202" s="19">
        <v>89.47</v>
      </c>
      <c r="H202" s="51">
        <f t="shared" si="62"/>
        <v>27272.2454</v>
      </c>
      <c r="I202" s="19"/>
      <c r="J202" s="19"/>
      <c r="K202" s="19"/>
      <c r="L202" s="51">
        <f t="shared" si="66"/>
        <v>27272.2454</v>
      </c>
      <c r="M202" s="19"/>
      <c r="N202" s="51">
        <f t="shared" si="46"/>
        <v>133059.1078000011</v>
      </c>
      <c r="O202" s="19"/>
      <c r="P202" s="19"/>
    </row>
    <row r="203" spans="1:16">
      <c r="A203" s="19">
        <v>199</v>
      </c>
      <c r="B203" s="19" t="s">
        <v>147</v>
      </c>
      <c r="C203" s="19" t="s">
        <v>83</v>
      </c>
      <c r="D203" s="19" t="s">
        <v>82</v>
      </c>
      <c r="E203" s="328" t="s">
        <v>214</v>
      </c>
      <c r="F203" s="19">
        <v>5</v>
      </c>
      <c r="G203" s="19">
        <v>89.22</v>
      </c>
      <c r="H203" s="51">
        <f t="shared" si="62"/>
        <v>446.1</v>
      </c>
      <c r="I203" s="19"/>
      <c r="J203" s="19"/>
      <c r="K203" s="19"/>
      <c r="L203" s="51">
        <f t="shared" si="66"/>
        <v>446.1</v>
      </c>
      <c r="M203" s="19"/>
      <c r="N203" s="51">
        <f t="shared" si="46"/>
        <v>132613.0078000011</v>
      </c>
      <c r="O203" s="19"/>
      <c r="P203" s="19"/>
    </row>
    <row r="207" spans="1:16">
      <c r="N207" s="24">
        <v>132613.01</v>
      </c>
    </row>
    <row r="208" spans="1:16">
      <c r="N208" s="24">
        <v>132594.57999999999</v>
      </c>
    </row>
    <row r="209" spans="14:14">
      <c r="N209" s="24">
        <f>N207-N208</f>
        <v>18.430000000022119</v>
      </c>
    </row>
  </sheetData>
  <mergeCells count="2">
    <mergeCell ref="A1:P1"/>
    <mergeCell ref="A3:K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B0F2-641D-4F53-BA0F-B63DE3F29F26}">
  <dimension ref="A1:O79"/>
  <sheetViews>
    <sheetView workbookViewId="0">
      <selection activeCell="A7" sqref="A7:XFD7"/>
    </sheetView>
  </sheetViews>
  <sheetFormatPr defaultRowHeight="15"/>
  <cols>
    <col min="2" max="2" width="16.28515625" customWidth="1"/>
    <col min="3" max="3" width="31.5703125" customWidth="1"/>
    <col min="4" max="4" width="15.5703125" customWidth="1"/>
    <col min="5" max="5" width="12.28515625" customWidth="1"/>
    <col min="6" max="6" width="12.85546875" customWidth="1"/>
    <col min="7" max="7" width="11.42578125" bestFit="1" customWidth="1"/>
    <col min="8" max="8" width="12.5703125" customWidth="1"/>
    <col min="11" max="11" width="18.7109375" customWidth="1"/>
    <col min="12" max="12" width="24.140625" customWidth="1"/>
    <col min="13" max="13" width="16.5703125" customWidth="1"/>
    <col min="14" max="14" width="19.85546875" customWidth="1"/>
    <col min="15" max="15" width="13.42578125" customWidth="1"/>
  </cols>
  <sheetData>
    <row r="1" spans="1:15" ht="15.75">
      <c r="A1" s="386" t="s">
        <v>286</v>
      </c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  <c r="M1" s="386"/>
      <c r="N1" s="386"/>
      <c r="O1" s="386"/>
    </row>
    <row r="2" spans="1:15" ht="26.25" customHeight="1">
      <c r="A2" s="86" t="s">
        <v>91</v>
      </c>
      <c r="B2" s="107" t="s">
        <v>92</v>
      </c>
      <c r="C2" s="107" t="s">
        <v>192</v>
      </c>
      <c r="D2" s="107" t="s">
        <v>194</v>
      </c>
      <c r="E2" s="107" t="s">
        <v>95</v>
      </c>
      <c r="F2" s="107" t="s">
        <v>96</v>
      </c>
      <c r="G2" s="115" t="s">
        <v>97</v>
      </c>
      <c r="H2" s="107" t="s">
        <v>98</v>
      </c>
      <c r="I2" s="107" t="s">
        <v>96</v>
      </c>
      <c r="J2" s="115" t="s">
        <v>97</v>
      </c>
      <c r="K2" s="86" t="s">
        <v>99</v>
      </c>
      <c r="L2" s="116" t="s">
        <v>195</v>
      </c>
      <c r="M2" s="109" t="s">
        <v>101</v>
      </c>
      <c r="N2" s="107" t="s">
        <v>102</v>
      </c>
      <c r="O2" s="107" t="s">
        <v>196</v>
      </c>
    </row>
    <row r="3" spans="1:15">
      <c r="A3" s="420" t="s">
        <v>103</v>
      </c>
      <c r="B3" s="420"/>
      <c r="C3" s="420"/>
      <c r="D3" s="420"/>
      <c r="E3" s="420"/>
      <c r="F3" s="420"/>
      <c r="G3" s="420"/>
      <c r="H3" s="420"/>
      <c r="I3" s="420"/>
      <c r="J3" s="420"/>
      <c r="K3" s="323">
        <v>15085.91</v>
      </c>
      <c r="L3" s="207"/>
      <c r="M3" s="119"/>
      <c r="N3" s="119"/>
      <c r="O3" s="119"/>
    </row>
    <row r="4" spans="1:15">
      <c r="A4" s="204">
        <v>1</v>
      </c>
      <c r="B4" s="322"/>
      <c r="C4" s="205"/>
      <c r="D4" s="204"/>
      <c r="E4" s="206"/>
      <c r="F4" s="206"/>
      <c r="G4" s="206"/>
      <c r="H4" s="206"/>
      <c r="I4" s="206"/>
      <c r="J4" s="206"/>
      <c r="K4" s="206"/>
      <c r="L4" s="206"/>
      <c r="M4" s="206">
        <f>K3+L4-K4</f>
        <v>15085.91</v>
      </c>
      <c r="N4" s="206"/>
      <c r="O4" s="206"/>
    </row>
    <row r="5" spans="1:15">
      <c r="A5" s="19">
        <v>2</v>
      </c>
      <c r="B5" s="19" t="s">
        <v>197</v>
      </c>
      <c r="C5" s="130" t="s">
        <v>287</v>
      </c>
      <c r="D5" s="19" t="s">
        <v>288</v>
      </c>
      <c r="E5" s="51">
        <v>20</v>
      </c>
      <c r="F5" s="51">
        <v>89.26</v>
      </c>
      <c r="G5" s="51">
        <f>E5*F5</f>
        <v>1785.2</v>
      </c>
      <c r="H5" s="51">
        <v>6</v>
      </c>
      <c r="I5" s="51">
        <v>103.18</v>
      </c>
      <c r="J5" s="51">
        <f>H5*I5</f>
        <v>619.08000000000004</v>
      </c>
      <c r="K5" s="51">
        <f>G5+J5</f>
        <v>2404.2800000000002</v>
      </c>
      <c r="L5" s="51"/>
      <c r="M5" s="51">
        <f>M4+L5-K5</f>
        <v>12681.63</v>
      </c>
      <c r="N5" s="51"/>
      <c r="O5" s="51"/>
    </row>
    <row r="6" spans="1:15">
      <c r="A6" s="19">
        <v>3</v>
      </c>
      <c r="B6" s="19" t="s">
        <v>197</v>
      </c>
      <c r="C6" s="130" t="s">
        <v>289</v>
      </c>
      <c r="D6" s="130" t="s">
        <v>290</v>
      </c>
      <c r="E6" s="51"/>
      <c r="F6" s="51"/>
      <c r="G6" s="51">
        <f t="shared" ref="G6:G61" si="0">E6*F6</f>
        <v>0</v>
      </c>
      <c r="H6" s="51">
        <v>4.87</v>
      </c>
      <c r="I6" s="51">
        <v>102.77</v>
      </c>
      <c r="J6" s="51">
        <f>H6*I6</f>
        <v>500.48989999999998</v>
      </c>
      <c r="K6" s="51">
        <f>G6+J6</f>
        <v>500.48989999999998</v>
      </c>
      <c r="L6" s="51">
        <v>210212</v>
      </c>
      <c r="M6" s="51">
        <f t="shared" ref="M6:M54" si="1">M5+L6-K6</f>
        <v>222393.14010000002</v>
      </c>
      <c r="N6" s="51"/>
      <c r="O6" s="51"/>
    </row>
    <row r="7" spans="1:15">
      <c r="A7" s="19">
        <v>4</v>
      </c>
      <c r="B7" s="19" t="s">
        <v>197</v>
      </c>
      <c r="C7" s="130" t="s">
        <v>291</v>
      </c>
      <c r="D7" s="19" t="s">
        <v>292</v>
      </c>
      <c r="E7" s="51">
        <v>200</v>
      </c>
      <c r="F7" s="51">
        <v>89.55</v>
      </c>
      <c r="G7" s="51">
        <f t="shared" si="0"/>
        <v>17910</v>
      </c>
      <c r="H7" s="51">
        <v>5.01</v>
      </c>
      <c r="I7" s="51">
        <v>103.49</v>
      </c>
      <c r="J7" s="51">
        <f>H7*I7</f>
        <v>518.48489999999993</v>
      </c>
      <c r="K7" s="51">
        <f>G7+J7</f>
        <v>18428.484899999999</v>
      </c>
      <c r="L7" s="51"/>
      <c r="M7" s="51">
        <f t="shared" si="1"/>
        <v>203964.65520000001</v>
      </c>
      <c r="N7" s="51"/>
      <c r="O7" s="51"/>
    </row>
    <row r="8" spans="1:15">
      <c r="A8" s="19">
        <v>5</v>
      </c>
      <c r="B8" s="19" t="s">
        <v>293</v>
      </c>
      <c r="C8" s="130" t="s">
        <v>294</v>
      </c>
      <c r="D8" s="19" t="s">
        <v>295</v>
      </c>
      <c r="E8" s="51">
        <v>15670.76</v>
      </c>
      <c r="F8" s="51">
        <v>95.72</v>
      </c>
      <c r="G8" s="51">
        <f t="shared" si="0"/>
        <v>1500005.1472</v>
      </c>
      <c r="H8" s="51">
        <v>0</v>
      </c>
      <c r="I8" s="51"/>
      <c r="J8" s="51">
        <f t="shared" ref="J8:J64" si="2">H8*I8</f>
        <v>0</v>
      </c>
      <c r="K8" s="51">
        <f>G8+J8</f>
        <v>1500005.1472</v>
      </c>
      <c r="L8" s="51">
        <v>1500000</v>
      </c>
      <c r="M8" s="51">
        <f t="shared" si="1"/>
        <v>203959.50799999991</v>
      </c>
      <c r="N8" s="51"/>
      <c r="O8" s="51"/>
    </row>
    <row r="9" spans="1:15">
      <c r="A9" s="19">
        <v>6</v>
      </c>
      <c r="B9" s="19" t="s">
        <v>293</v>
      </c>
      <c r="C9" s="130" t="s">
        <v>287</v>
      </c>
      <c r="D9" s="19" t="s">
        <v>288</v>
      </c>
      <c r="E9" s="51">
        <v>140</v>
      </c>
      <c r="F9" s="51">
        <v>89.26</v>
      </c>
      <c r="G9" s="51">
        <f t="shared" si="0"/>
        <v>12496.400000000001</v>
      </c>
      <c r="H9" s="51">
        <v>0</v>
      </c>
      <c r="I9" s="51"/>
      <c r="J9" s="51">
        <f t="shared" si="2"/>
        <v>0</v>
      </c>
      <c r="K9" s="51">
        <f t="shared" ref="K9:K54" si="3">G9+J9</f>
        <v>12496.400000000001</v>
      </c>
      <c r="L9" s="51"/>
      <c r="M9" s="51">
        <f t="shared" si="1"/>
        <v>191463.10799999992</v>
      </c>
      <c r="N9" s="51"/>
      <c r="O9" s="51"/>
    </row>
    <row r="10" spans="1:15">
      <c r="A10" s="119">
        <v>7</v>
      </c>
      <c r="B10" s="119" t="s">
        <v>293</v>
      </c>
      <c r="C10" s="325" t="s">
        <v>291</v>
      </c>
      <c r="D10" s="119" t="s">
        <v>292</v>
      </c>
      <c r="E10" s="287">
        <v>450</v>
      </c>
      <c r="F10" s="287">
        <v>89.55</v>
      </c>
      <c r="G10" s="287">
        <f t="shared" si="0"/>
        <v>40297.5</v>
      </c>
      <c r="H10" s="287">
        <v>0</v>
      </c>
      <c r="I10" s="287"/>
      <c r="J10" s="287">
        <f t="shared" si="2"/>
        <v>0</v>
      </c>
      <c r="K10" s="287">
        <f t="shared" si="3"/>
        <v>40297.5</v>
      </c>
      <c r="L10" s="287"/>
      <c r="M10" s="287">
        <f t="shared" si="1"/>
        <v>151165.60799999992</v>
      </c>
      <c r="N10" s="287"/>
      <c r="O10" s="287"/>
    </row>
    <row r="11" spans="1:15">
      <c r="A11" s="119">
        <v>8</v>
      </c>
      <c r="B11" s="119" t="s">
        <v>223</v>
      </c>
      <c r="C11" s="325" t="s">
        <v>287</v>
      </c>
      <c r="D11" s="119" t="s">
        <v>288</v>
      </c>
      <c r="E11" s="287">
        <v>210</v>
      </c>
      <c r="F11" s="287">
        <v>89.26</v>
      </c>
      <c r="G11" s="287">
        <f t="shared" si="0"/>
        <v>18744.600000000002</v>
      </c>
      <c r="H11" s="287"/>
      <c r="I11" s="287"/>
      <c r="J11" s="287">
        <f t="shared" si="2"/>
        <v>0</v>
      </c>
      <c r="K11" s="287">
        <f t="shared" si="3"/>
        <v>18744.600000000002</v>
      </c>
      <c r="L11" s="287"/>
      <c r="M11" s="287">
        <f t="shared" si="1"/>
        <v>132421.00799999991</v>
      </c>
      <c r="N11" s="287"/>
      <c r="O11" s="287"/>
    </row>
    <row r="12" spans="1:15">
      <c r="A12" s="119">
        <v>9</v>
      </c>
      <c r="B12" s="119" t="s">
        <v>223</v>
      </c>
      <c r="C12" s="325" t="s">
        <v>291</v>
      </c>
      <c r="D12" s="119" t="s">
        <v>292</v>
      </c>
      <c r="E12" s="287">
        <v>455.76</v>
      </c>
      <c r="F12" s="287">
        <v>89.55</v>
      </c>
      <c r="G12" s="287">
        <f t="shared" si="0"/>
        <v>40813.307999999997</v>
      </c>
      <c r="H12" s="287"/>
      <c r="I12" s="287"/>
      <c r="J12" s="287">
        <f t="shared" si="2"/>
        <v>0</v>
      </c>
      <c r="K12" s="287">
        <f t="shared" si="3"/>
        <v>40813.307999999997</v>
      </c>
      <c r="L12" s="287"/>
      <c r="M12" s="287">
        <f t="shared" si="1"/>
        <v>91607.699999999924</v>
      </c>
      <c r="N12" s="287"/>
      <c r="O12" s="287"/>
    </row>
    <row r="13" spans="1:15">
      <c r="A13" s="19">
        <v>10</v>
      </c>
      <c r="B13" s="19" t="s">
        <v>171</v>
      </c>
      <c r="C13" s="130" t="s">
        <v>287</v>
      </c>
      <c r="D13" s="19" t="s">
        <v>288</v>
      </c>
      <c r="E13" s="51">
        <v>109.99</v>
      </c>
      <c r="F13" s="51">
        <v>89.26</v>
      </c>
      <c r="G13" s="51">
        <f t="shared" si="0"/>
        <v>9817.7073999999993</v>
      </c>
      <c r="H13" s="51">
        <v>12</v>
      </c>
      <c r="I13" s="51">
        <v>103.18</v>
      </c>
      <c r="J13" s="51">
        <f t="shared" si="2"/>
        <v>1238.1600000000001</v>
      </c>
      <c r="K13" s="51">
        <f t="shared" si="3"/>
        <v>11055.867399999999</v>
      </c>
      <c r="L13" s="51"/>
      <c r="M13" s="51">
        <f t="shared" si="1"/>
        <v>80551.832599999922</v>
      </c>
      <c r="N13" s="51"/>
      <c r="O13" s="51"/>
    </row>
    <row r="14" spans="1:15">
      <c r="A14" s="19">
        <v>11</v>
      </c>
      <c r="B14" s="19" t="s">
        <v>171</v>
      </c>
      <c r="C14" s="130" t="s">
        <v>289</v>
      </c>
      <c r="D14" s="130" t="s">
        <v>290</v>
      </c>
      <c r="E14" s="51">
        <v>67.5</v>
      </c>
      <c r="F14" s="51">
        <v>88.89</v>
      </c>
      <c r="G14" s="51">
        <f t="shared" si="0"/>
        <v>6000.0749999999998</v>
      </c>
      <c r="H14" s="51">
        <v>4.87</v>
      </c>
      <c r="I14" s="51">
        <v>102.77</v>
      </c>
      <c r="J14" s="51">
        <f t="shared" si="2"/>
        <v>500.48989999999998</v>
      </c>
      <c r="K14" s="51">
        <f t="shared" si="3"/>
        <v>6500.5648999999994</v>
      </c>
      <c r="L14" s="51"/>
      <c r="M14" s="51">
        <f t="shared" si="1"/>
        <v>74051.267699999924</v>
      </c>
      <c r="N14" s="51"/>
      <c r="O14" s="51"/>
    </row>
    <row r="15" spans="1:15">
      <c r="A15" s="19">
        <v>12</v>
      </c>
      <c r="B15" s="19" t="s">
        <v>171</v>
      </c>
      <c r="C15" s="130" t="s">
        <v>291</v>
      </c>
      <c r="D15" s="19" t="s">
        <v>292</v>
      </c>
      <c r="E15" s="51">
        <v>775.61</v>
      </c>
      <c r="F15" s="51">
        <v>89.55</v>
      </c>
      <c r="G15" s="51">
        <f t="shared" si="0"/>
        <v>69455.875499999995</v>
      </c>
      <c r="H15" s="51">
        <v>10</v>
      </c>
      <c r="I15" s="51">
        <v>103.49</v>
      </c>
      <c r="J15" s="51">
        <f t="shared" si="2"/>
        <v>1034.8999999999999</v>
      </c>
      <c r="K15" s="51">
        <f t="shared" si="3"/>
        <v>70490.775499999989</v>
      </c>
      <c r="L15" s="51"/>
      <c r="M15" s="51">
        <f t="shared" si="1"/>
        <v>3560.4921999999351</v>
      </c>
      <c r="N15" s="51"/>
      <c r="O15" s="51"/>
    </row>
    <row r="16" spans="1:15">
      <c r="A16" s="19">
        <v>13</v>
      </c>
      <c r="B16" s="19" t="s">
        <v>172</v>
      </c>
      <c r="C16" s="130" t="s">
        <v>287</v>
      </c>
      <c r="D16" s="19" t="s">
        <v>288</v>
      </c>
      <c r="E16" s="51">
        <v>33.99</v>
      </c>
      <c r="F16" s="51">
        <v>89.26</v>
      </c>
      <c r="G16" s="51">
        <f t="shared" si="0"/>
        <v>3033.9474000000005</v>
      </c>
      <c r="H16" s="51"/>
      <c r="I16" s="51"/>
      <c r="J16" s="51">
        <f t="shared" si="2"/>
        <v>0</v>
      </c>
      <c r="K16" s="51">
        <f t="shared" si="3"/>
        <v>3033.9474000000005</v>
      </c>
      <c r="L16" s="51">
        <v>100000</v>
      </c>
      <c r="M16" s="51">
        <f t="shared" si="1"/>
        <v>100526.54479999993</v>
      </c>
      <c r="N16" s="51"/>
      <c r="O16" s="51"/>
    </row>
    <row r="17" spans="1:15">
      <c r="A17" s="19">
        <v>14</v>
      </c>
      <c r="B17" s="19" t="s">
        <v>172</v>
      </c>
      <c r="C17" s="19" t="s">
        <v>296</v>
      </c>
      <c r="D17" s="19" t="s">
        <v>297</v>
      </c>
      <c r="E17" s="51"/>
      <c r="F17" s="51"/>
      <c r="G17" s="51">
        <f t="shared" si="0"/>
        <v>0</v>
      </c>
      <c r="H17" s="51">
        <v>4.22</v>
      </c>
      <c r="I17" s="51">
        <v>107.46</v>
      </c>
      <c r="J17" s="51">
        <f t="shared" si="2"/>
        <v>453.48119999999994</v>
      </c>
      <c r="K17" s="51">
        <f t="shared" si="3"/>
        <v>453.48119999999994</v>
      </c>
      <c r="L17" s="51"/>
      <c r="M17" s="51">
        <f t="shared" si="1"/>
        <v>100073.06359999994</v>
      </c>
      <c r="N17" s="51"/>
      <c r="O17" s="51"/>
    </row>
    <row r="18" spans="1:15">
      <c r="A18" s="119">
        <v>15</v>
      </c>
      <c r="B18" s="119" t="s">
        <v>172</v>
      </c>
      <c r="C18" s="325" t="s">
        <v>291</v>
      </c>
      <c r="D18" s="119" t="s">
        <v>292</v>
      </c>
      <c r="E18" s="287">
        <v>52.05</v>
      </c>
      <c r="F18" s="287">
        <v>89.55</v>
      </c>
      <c r="G18" s="287">
        <f t="shared" si="0"/>
        <v>4661.0774999999994</v>
      </c>
      <c r="H18" s="287"/>
      <c r="I18" s="287"/>
      <c r="J18" s="287">
        <f t="shared" si="2"/>
        <v>0</v>
      </c>
      <c r="K18" s="287">
        <f t="shared" si="3"/>
        <v>4661.0774999999994</v>
      </c>
      <c r="L18" s="287"/>
      <c r="M18" s="287">
        <f t="shared" si="1"/>
        <v>95411.986099999936</v>
      </c>
      <c r="N18" s="287"/>
      <c r="O18" s="287"/>
    </row>
    <row r="19" spans="1:15">
      <c r="A19" s="19">
        <v>16</v>
      </c>
      <c r="B19" s="19" t="s">
        <v>173</v>
      </c>
      <c r="C19" s="130" t="s">
        <v>287</v>
      </c>
      <c r="D19" s="19" t="s">
        <v>288</v>
      </c>
      <c r="E19" s="51">
        <v>90</v>
      </c>
      <c r="F19" s="51">
        <v>89.26</v>
      </c>
      <c r="G19" s="51">
        <f t="shared" si="0"/>
        <v>8033.4000000000005</v>
      </c>
      <c r="H19" s="51"/>
      <c r="I19" s="51"/>
      <c r="J19" s="51">
        <f t="shared" si="2"/>
        <v>0</v>
      </c>
      <c r="K19" s="51">
        <f t="shared" si="3"/>
        <v>8033.4000000000005</v>
      </c>
      <c r="L19" s="51"/>
      <c r="M19" s="51">
        <f t="shared" si="1"/>
        <v>87378.586099999942</v>
      </c>
      <c r="N19" s="51"/>
      <c r="O19" s="51"/>
    </row>
    <row r="20" spans="1:15">
      <c r="A20" s="19">
        <v>17</v>
      </c>
      <c r="B20" s="19" t="s">
        <v>173</v>
      </c>
      <c r="C20" s="130" t="s">
        <v>289</v>
      </c>
      <c r="D20" s="130" t="s">
        <v>290</v>
      </c>
      <c r="E20" s="51">
        <v>56.25</v>
      </c>
      <c r="F20" s="51">
        <v>88.89</v>
      </c>
      <c r="G20" s="51">
        <f t="shared" si="0"/>
        <v>5000.0625</v>
      </c>
      <c r="H20" s="51">
        <v>4.78</v>
      </c>
      <c r="I20" s="51">
        <v>102.77</v>
      </c>
      <c r="J20" s="51">
        <f t="shared" si="2"/>
        <v>491.24060000000003</v>
      </c>
      <c r="K20" s="51">
        <f t="shared" si="3"/>
        <v>5491.3031000000001</v>
      </c>
      <c r="L20" s="51"/>
      <c r="M20" s="51">
        <f t="shared" si="1"/>
        <v>81887.282999999938</v>
      </c>
      <c r="N20" s="51"/>
      <c r="O20" s="51"/>
    </row>
    <row r="21" spans="1:15">
      <c r="A21" s="119">
        <v>18</v>
      </c>
      <c r="B21" s="119" t="s">
        <v>173</v>
      </c>
      <c r="C21" s="119" t="s">
        <v>291</v>
      </c>
      <c r="D21" s="119" t="s">
        <v>292</v>
      </c>
      <c r="E21" s="287">
        <v>167.5</v>
      </c>
      <c r="F21" s="287">
        <v>89.55</v>
      </c>
      <c r="G21" s="287">
        <f t="shared" si="0"/>
        <v>14999.625</v>
      </c>
      <c r="H21" s="287">
        <v>4.83</v>
      </c>
      <c r="I21" s="287">
        <v>103.49</v>
      </c>
      <c r="J21" s="287">
        <f t="shared" si="2"/>
        <v>499.85669999999999</v>
      </c>
      <c r="K21" s="287">
        <f t="shared" si="3"/>
        <v>15499.4817</v>
      </c>
      <c r="L21" s="287"/>
      <c r="M21" s="287">
        <f t="shared" si="1"/>
        <v>66387.801299999934</v>
      </c>
      <c r="N21" s="287"/>
      <c r="O21" s="287"/>
    </row>
    <row r="22" spans="1:15">
      <c r="A22" s="19">
        <v>19</v>
      </c>
      <c r="B22" s="19" t="s">
        <v>174</v>
      </c>
      <c r="C22" s="130" t="s">
        <v>287</v>
      </c>
      <c r="D22" s="19" t="s">
        <v>288</v>
      </c>
      <c r="E22" s="51">
        <v>168.44</v>
      </c>
      <c r="F22" s="51">
        <v>89.26</v>
      </c>
      <c r="G22" s="51">
        <f t="shared" si="0"/>
        <v>15034.954400000001</v>
      </c>
      <c r="H22" s="51"/>
      <c r="I22" s="51"/>
      <c r="J22" s="51">
        <f t="shared" si="2"/>
        <v>0</v>
      </c>
      <c r="K22" s="51">
        <f t="shared" si="3"/>
        <v>15034.954400000001</v>
      </c>
      <c r="L22" s="51">
        <v>100000</v>
      </c>
      <c r="M22" s="51">
        <f t="shared" si="1"/>
        <v>151352.84689999995</v>
      </c>
      <c r="N22" s="51"/>
      <c r="O22" s="51"/>
    </row>
    <row r="23" spans="1:15">
      <c r="A23" s="119">
        <v>20</v>
      </c>
      <c r="B23" s="119" t="s">
        <v>174</v>
      </c>
      <c r="C23" s="119" t="s">
        <v>298</v>
      </c>
      <c r="D23" s="119" t="s">
        <v>288</v>
      </c>
      <c r="E23" s="287">
        <v>15</v>
      </c>
      <c r="F23" s="287">
        <v>89.4</v>
      </c>
      <c r="G23" s="287">
        <f t="shared" si="0"/>
        <v>1341</v>
      </c>
      <c r="H23" s="287"/>
      <c r="I23" s="287"/>
      <c r="J23" s="287">
        <f t="shared" si="2"/>
        <v>0</v>
      </c>
      <c r="K23" s="287">
        <f t="shared" si="3"/>
        <v>1341</v>
      </c>
      <c r="L23" s="287"/>
      <c r="M23" s="287">
        <f t="shared" si="1"/>
        <v>150011.84689999995</v>
      </c>
      <c r="N23" s="287"/>
      <c r="O23" s="287"/>
    </row>
    <row r="24" spans="1:15">
      <c r="A24" s="19">
        <v>21</v>
      </c>
      <c r="B24" s="19" t="s">
        <v>174</v>
      </c>
      <c r="C24" s="130" t="s">
        <v>289</v>
      </c>
      <c r="D24" s="130" t="s">
        <v>290</v>
      </c>
      <c r="E24" s="51">
        <v>56.25</v>
      </c>
      <c r="F24" s="51">
        <v>88.89</v>
      </c>
      <c r="G24" s="51">
        <f t="shared" si="0"/>
        <v>5000.0625</v>
      </c>
      <c r="H24" s="51">
        <v>4.87</v>
      </c>
      <c r="I24" s="51">
        <v>102.77</v>
      </c>
      <c r="J24" s="51">
        <f t="shared" si="2"/>
        <v>500.48989999999998</v>
      </c>
      <c r="K24" s="51">
        <f t="shared" si="3"/>
        <v>5500.5523999999996</v>
      </c>
      <c r="L24" s="51"/>
      <c r="M24" s="51">
        <f t="shared" si="1"/>
        <v>144511.29449999996</v>
      </c>
      <c r="N24" s="51"/>
      <c r="O24" s="51"/>
    </row>
    <row r="25" spans="1:15">
      <c r="A25" s="19">
        <v>22</v>
      </c>
      <c r="B25" s="19" t="s">
        <v>174</v>
      </c>
      <c r="C25" s="130" t="s">
        <v>291</v>
      </c>
      <c r="D25" s="19" t="s">
        <v>292</v>
      </c>
      <c r="E25" s="51">
        <v>129.99</v>
      </c>
      <c r="F25" s="51">
        <v>89.55</v>
      </c>
      <c r="G25" s="51">
        <f t="shared" si="0"/>
        <v>11640.604500000001</v>
      </c>
      <c r="H25" s="51"/>
      <c r="I25" s="51"/>
      <c r="J25" s="51">
        <f t="shared" si="2"/>
        <v>0</v>
      </c>
      <c r="K25" s="51">
        <f t="shared" si="3"/>
        <v>11640.604500000001</v>
      </c>
      <c r="L25" s="51"/>
      <c r="M25" s="51">
        <f t="shared" si="1"/>
        <v>132870.68999999994</v>
      </c>
      <c r="N25" s="51"/>
      <c r="O25" s="51"/>
    </row>
    <row r="26" spans="1:15">
      <c r="A26" s="19">
        <v>23</v>
      </c>
      <c r="B26" s="19" t="s">
        <v>175</v>
      </c>
      <c r="C26" s="130" t="s">
        <v>287</v>
      </c>
      <c r="D26" s="19" t="s">
        <v>288</v>
      </c>
      <c r="E26" s="51">
        <v>214.9</v>
      </c>
      <c r="F26" s="51">
        <v>89.26</v>
      </c>
      <c r="G26" s="51">
        <f t="shared" si="0"/>
        <v>19181.974000000002</v>
      </c>
      <c r="H26" s="51"/>
      <c r="I26" s="51"/>
      <c r="J26" s="51">
        <f t="shared" si="2"/>
        <v>0</v>
      </c>
      <c r="K26" s="51">
        <f t="shared" si="3"/>
        <v>19181.974000000002</v>
      </c>
      <c r="L26" s="51"/>
      <c r="M26" s="51">
        <f t="shared" si="1"/>
        <v>113688.71599999994</v>
      </c>
      <c r="N26" s="51"/>
      <c r="O26" s="51"/>
    </row>
    <row r="27" spans="1:15">
      <c r="A27" s="19">
        <v>24</v>
      </c>
      <c r="B27" s="19" t="s">
        <v>175</v>
      </c>
      <c r="C27" s="130" t="s">
        <v>289</v>
      </c>
      <c r="D27" s="130" t="s">
        <v>290</v>
      </c>
      <c r="E27" s="51">
        <v>56.25</v>
      </c>
      <c r="F27" s="51">
        <v>88.89</v>
      </c>
      <c r="G27" s="51">
        <f t="shared" si="0"/>
        <v>5000.0625</v>
      </c>
      <c r="H27" s="51"/>
      <c r="I27" s="51"/>
      <c r="J27" s="51">
        <f t="shared" si="2"/>
        <v>0</v>
      </c>
      <c r="K27" s="51">
        <f t="shared" si="3"/>
        <v>5000.0625</v>
      </c>
      <c r="L27" s="51"/>
      <c r="M27" s="51">
        <f t="shared" si="1"/>
        <v>108688.65349999994</v>
      </c>
      <c r="N27" s="51"/>
      <c r="O27" s="51"/>
    </row>
    <row r="28" spans="1:15">
      <c r="A28" s="119">
        <v>25</v>
      </c>
      <c r="B28" s="119" t="s">
        <v>175</v>
      </c>
      <c r="C28" s="325" t="s">
        <v>291</v>
      </c>
      <c r="D28" s="119" t="s">
        <v>292</v>
      </c>
      <c r="E28" s="287">
        <v>120.02</v>
      </c>
      <c r="F28" s="287">
        <v>89.55</v>
      </c>
      <c r="G28" s="287">
        <f t="shared" si="0"/>
        <v>10747.790999999999</v>
      </c>
      <c r="H28" s="287"/>
      <c r="I28" s="287"/>
      <c r="J28" s="287">
        <f t="shared" si="2"/>
        <v>0</v>
      </c>
      <c r="K28" s="287">
        <f t="shared" si="3"/>
        <v>10747.790999999999</v>
      </c>
      <c r="L28" s="287"/>
      <c r="M28" s="287">
        <f t="shared" si="1"/>
        <v>97940.862499999945</v>
      </c>
      <c r="N28" s="287"/>
      <c r="O28" s="287"/>
    </row>
    <row r="29" spans="1:15">
      <c r="A29" s="19">
        <v>26</v>
      </c>
      <c r="B29" s="19" t="s">
        <v>175</v>
      </c>
      <c r="C29" s="19" t="s">
        <v>299</v>
      </c>
      <c r="D29" s="19" t="s">
        <v>292</v>
      </c>
      <c r="E29" s="51">
        <v>250</v>
      </c>
      <c r="F29" s="51">
        <v>89.76</v>
      </c>
      <c r="G29" s="51">
        <f t="shared" si="0"/>
        <v>22440</v>
      </c>
      <c r="H29" s="51"/>
      <c r="I29" s="51"/>
      <c r="J29" s="51">
        <f t="shared" si="2"/>
        <v>0</v>
      </c>
      <c r="K29" s="51">
        <f t="shared" si="3"/>
        <v>22440</v>
      </c>
      <c r="L29" s="51"/>
      <c r="M29" s="51">
        <f t="shared" si="1"/>
        <v>75500.862499999945</v>
      </c>
      <c r="N29" s="51"/>
      <c r="O29" s="51"/>
    </row>
    <row r="30" spans="1:15">
      <c r="A30" s="19">
        <v>27</v>
      </c>
      <c r="B30" s="19" t="s">
        <v>176</v>
      </c>
      <c r="C30" s="130" t="s">
        <v>287</v>
      </c>
      <c r="D30" s="19" t="s">
        <v>288</v>
      </c>
      <c r="E30" s="51">
        <v>206.93</v>
      </c>
      <c r="F30" s="51">
        <v>89.26</v>
      </c>
      <c r="G30" s="51">
        <f t="shared" si="0"/>
        <v>18470.571800000002</v>
      </c>
      <c r="H30" s="51"/>
      <c r="I30" s="51"/>
      <c r="J30" s="51">
        <f t="shared" si="2"/>
        <v>0</v>
      </c>
      <c r="K30" s="51">
        <f t="shared" si="3"/>
        <v>18470.571800000002</v>
      </c>
      <c r="L30" s="51"/>
      <c r="M30" s="51">
        <f t="shared" si="1"/>
        <v>57030.29069999994</v>
      </c>
      <c r="N30" s="51"/>
      <c r="O30" s="51"/>
    </row>
    <row r="31" spans="1:15">
      <c r="A31" s="19">
        <v>28</v>
      </c>
      <c r="B31" s="19" t="s">
        <v>250</v>
      </c>
      <c r="C31" s="19" t="s">
        <v>300</v>
      </c>
      <c r="D31" s="130" t="s">
        <v>297</v>
      </c>
      <c r="E31" s="51">
        <v>0</v>
      </c>
      <c r="F31" s="51"/>
      <c r="G31" s="51">
        <f t="shared" si="0"/>
        <v>0</v>
      </c>
      <c r="H31" s="51">
        <v>4.53</v>
      </c>
      <c r="I31" s="51">
        <v>107.46</v>
      </c>
      <c r="J31" s="51">
        <f t="shared" si="2"/>
        <v>486.79379999999998</v>
      </c>
      <c r="K31" s="51">
        <f t="shared" si="3"/>
        <v>486.79379999999998</v>
      </c>
      <c r="L31" s="51">
        <v>600000</v>
      </c>
      <c r="M31" s="51">
        <f t="shared" si="1"/>
        <v>656543.49689999991</v>
      </c>
      <c r="N31" s="51"/>
      <c r="O31" s="51"/>
    </row>
    <row r="32" spans="1:15">
      <c r="A32" s="19">
        <v>29</v>
      </c>
      <c r="B32" s="19" t="s">
        <v>250</v>
      </c>
      <c r="C32" s="130" t="s">
        <v>287</v>
      </c>
      <c r="D32" s="19" t="s">
        <v>288</v>
      </c>
      <c r="E32" s="51">
        <v>182.99</v>
      </c>
      <c r="F32" s="51">
        <v>89.26</v>
      </c>
      <c r="G32" s="51">
        <f t="shared" si="0"/>
        <v>16333.687400000003</v>
      </c>
      <c r="H32" s="51"/>
      <c r="I32" s="51"/>
      <c r="J32" s="51">
        <f t="shared" si="2"/>
        <v>0</v>
      </c>
      <c r="K32" s="51">
        <f t="shared" si="3"/>
        <v>16333.687400000003</v>
      </c>
      <c r="L32" s="51"/>
      <c r="M32" s="51">
        <f t="shared" si="1"/>
        <v>640209.80949999986</v>
      </c>
      <c r="N32" s="51"/>
      <c r="O32" s="51"/>
    </row>
    <row r="33" spans="1:15">
      <c r="A33" s="119">
        <v>30</v>
      </c>
      <c r="B33" s="119" t="s">
        <v>250</v>
      </c>
      <c r="C33" s="325" t="s">
        <v>291</v>
      </c>
      <c r="D33" s="119" t="s">
        <v>292</v>
      </c>
      <c r="E33" s="287">
        <v>110</v>
      </c>
      <c r="F33" s="287">
        <v>89.55</v>
      </c>
      <c r="G33" s="287">
        <f t="shared" si="0"/>
        <v>9850.5</v>
      </c>
      <c r="H33" s="287">
        <v>10</v>
      </c>
      <c r="I33" s="287">
        <v>103.49</v>
      </c>
      <c r="J33" s="287">
        <f t="shared" si="2"/>
        <v>1034.8999999999999</v>
      </c>
      <c r="K33" s="287">
        <f t="shared" si="3"/>
        <v>10885.4</v>
      </c>
      <c r="L33" s="287"/>
      <c r="M33" s="287">
        <f t="shared" si="1"/>
        <v>629324.40949999983</v>
      </c>
      <c r="N33" s="287"/>
      <c r="O33" s="287"/>
    </row>
    <row r="34" spans="1:15">
      <c r="A34" s="19">
        <v>31</v>
      </c>
      <c r="B34" s="19" t="s">
        <v>250</v>
      </c>
      <c r="C34" s="19" t="s">
        <v>299</v>
      </c>
      <c r="D34" s="19" t="s">
        <v>292</v>
      </c>
      <c r="E34" s="51">
        <v>150</v>
      </c>
      <c r="F34" s="51">
        <v>89.76</v>
      </c>
      <c r="G34" s="51">
        <f t="shared" si="0"/>
        <v>13464</v>
      </c>
      <c r="H34" s="51"/>
      <c r="I34" s="51"/>
      <c r="J34" s="51">
        <f t="shared" si="2"/>
        <v>0</v>
      </c>
      <c r="K34" s="51">
        <f t="shared" si="3"/>
        <v>13464</v>
      </c>
      <c r="L34" s="51"/>
      <c r="M34" s="51">
        <f t="shared" si="1"/>
        <v>615860.40949999983</v>
      </c>
      <c r="N34" s="51"/>
      <c r="O34" s="51"/>
    </row>
    <row r="35" spans="1:15">
      <c r="A35" s="19">
        <v>32</v>
      </c>
      <c r="B35" s="19" t="s">
        <v>251</v>
      </c>
      <c r="C35" s="19" t="s">
        <v>301</v>
      </c>
      <c r="D35" s="19" t="s">
        <v>302</v>
      </c>
      <c r="E35" s="51">
        <v>5486.06</v>
      </c>
      <c r="F35" s="51">
        <v>91.14</v>
      </c>
      <c r="G35" s="51">
        <f t="shared" si="0"/>
        <v>499999.50840000005</v>
      </c>
      <c r="H35" s="51"/>
      <c r="I35" s="51"/>
      <c r="J35" s="51">
        <f t="shared" si="2"/>
        <v>0</v>
      </c>
      <c r="K35" s="51">
        <f t="shared" si="3"/>
        <v>499999.50840000005</v>
      </c>
      <c r="L35" s="51"/>
      <c r="M35" s="51">
        <f t="shared" si="1"/>
        <v>115860.90109999978</v>
      </c>
      <c r="N35" s="51"/>
      <c r="O35" s="51"/>
    </row>
    <row r="36" spans="1:15">
      <c r="A36" s="19">
        <v>33</v>
      </c>
      <c r="B36" s="19" t="s">
        <v>251</v>
      </c>
      <c r="C36" s="19" t="s">
        <v>303</v>
      </c>
      <c r="D36" s="130" t="s">
        <v>297</v>
      </c>
      <c r="E36" s="51"/>
      <c r="F36" s="51"/>
      <c r="G36" s="51">
        <f t="shared" si="0"/>
        <v>0</v>
      </c>
      <c r="H36" s="51">
        <v>2.79</v>
      </c>
      <c r="I36" s="51">
        <v>107.46</v>
      </c>
      <c r="J36" s="51">
        <f t="shared" si="2"/>
        <v>299.8134</v>
      </c>
      <c r="K36" s="51">
        <f t="shared" si="3"/>
        <v>299.8134</v>
      </c>
      <c r="L36" s="51"/>
      <c r="M36" s="51">
        <f t="shared" si="1"/>
        <v>115561.08769999979</v>
      </c>
      <c r="N36" s="51"/>
      <c r="O36" s="51"/>
    </row>
    <row r="37" spans="1:15">
      <c r="A37" s="19">
        <v>34</v>
      </c>
      <c r="B37" s="19" t="s">
        <v>251</v>
      </c>
      <c r="C37" s="130" t="s">
        <v>287</v>
      </c>
      <c r="D37" s="19" t="s">
        <v>288</v>
      </c>
      <c r="E37" s="51">
        <v>194.99</v>
      </c>
      <c r="F37" s="51">
        <v>89.26</v>
      </c>
      <c r="G37" s="51">
        <f t="shared" si="0"/>
        <v>17404.807400000002</v>
      </c>
      <c r="H37" s="51">
        <v>12</v>
      </c>
      <c r="I37" s="51">
        <v>103.18</v>
      </c>
      <c r="J37" s="51">
        <f t="shared" si="2"/>
        <v>1238.1600000000001</v>
      </c>
      <c r="K37" s="51">
        <f t="shared" si="3"/>
        <v>18642.967400000001</v>
      </c>
      <c r="L37" s="51"/>
      <c r="M37" s="51">
        <f t="shared" si="1"/>
        <v>96918.120299999777</v>
      </c>
      <c r="N37" s="51"/>
      <c r="O37" s="51"/>
    </row>
    <row r="38" spans="1:15">
      <c r="A38" s="19">
        <v>35</v>
      </c>
      <c r="B38" s="19" t="s">
        <v>251</v>
      </c>
      <c r="C38" s="130" t="s">
        <v>289</v>
      </c>
      <c r="D38" s="130" t="s">
        <v>290</v>
      </c>
      <c r="E38" s="51">
        <v>67.5</v>
      </c>
      <c r="F38" s="51">
        <v>88.89</v>
      </c>
      <c r="G38" s="51">
        <f t="shared" si="0"/>
        <v>6000.0749999999998</v>
      </c>
      <c r="H38" s="51"/>
      <c r="I38" s="51"/>
      <c r="J38" s="51">
        <f t="shared" si="2"/>
        <v>0</v>
      </c>
      <c r="K38" s="51">
        <f t="shared" si="3"/>
        <v>6000.0749999999998</v>
      </c>
      <c r="L38" s="51"/>
      <c r="M38" s="51">
        <f t="shared" si="1"/>
        <v>90918.04529999978</v>
      </c>
      <c r="N38" s="51"/>
      <c r="O38" s="51"/>
    </row>
    <row r="39" spans="1:15">
      <c r="A39" s="119">
        <v>36</v>
      </c>
      <c r="B39" s="119" t="s">
        <v>251</v>
      </c>
      <c r="C39" s="325" t="s">
        <v>291</v>
      </c>
      <c r="D39" s="119" t="s">
        <v>292</v>
      </c>
      <c r="E39" s="287">
        <v>159.63</v>
      </c>
      <c r="F39" s="287">
        <v>89.55</v>
      </c>
      <c r="G39" s="287">
        <f t="shared" si="0"/>
        <v>14294.866499999998</v>
      </c>
      <c r="H39" s="287">
        <v>5</v>
      </c>
      <c r="I39" s="287">
        <v>103.49</v>
      </c>
      <c r="J39" s="287">
        <f t="shared" si="2"/>
        <v>517.44999999999993</v>
      </c>
      <c r="K39" s="287">
        <f t="shared" si="3"/>
        <v>14812.316499999999</v>
      </c>
      <c r="L39" s="287"/>
      <c r="M39" s="287">
        <f t="shared" si="1"/>
        <v>76105.728799999779</v>
      </c>
      <c r="N39" s="287"/>
      <c r="O39" s="287"/>
    </row>
    <row r="40" spans="1:15">
      <c r="A40" s="119">
        <v>37</v>
      </c>
      <c r="B40" s="119" t="s">
        <v>177</v>
      </c>
      <c r="C40" s="325" t="s">
        <v>287</v>
      </c>
      <c r="D40" s="119" t="s">
        <v>288</v>
      </c>
      <c r="E40" s="287">
        <v>100</v>
      </c>
      <c r="F40" s="287">
        <v>89.26</v>
      </c>
      <c r="G40" s="287">
        <f t="shared" si="0"/>
        <v>8926</v>
      </c>
      <c r="H40" s="287"/>
      <c r="I40" s="287"/>
      <c r="J40" s="287">
        <f t="shared" si="2"/>
        <v>0</v>
      </c>
      <c r="K40" s="287">
        <f t="shared" si="3"/>
        <v>8926</v>
      </c>
      <c r="L40" s="287"/>
      <c r="M40" s="287">
        <f t="shared" si="1"/>
        <v>67179.728799999779</v>
      </c>
      <c r="N40" s="287"/>
      <c r="O40" s="287"/>
    </row>
    <row r="41" spans="1:15">
      <c r="A41" s="19">
        <v>38</v>
      </c>
      <c r="B41" s="19" t="s">
        <v>177</v>
      </c>
      <c r="C41" s="130" t="s">
        <v>289</v>
      </c>
      <c r="D41" s="130" t="s">
        <v>290</v>
      </c>
      <c r="E41" s="51"/>
      <c r="F41" s="51"/>
      <c r="G41" s="51">
        <f t="shared" si="0"/>
        <v>0</v>
      </c>
      <c r="H41" s="51">
        <v>4.87</v>
      </c>
      <c r="I41" s="51">
        <v>102.77</v>
      </c>
      <c r="J41" s="51">
        <f t="shared" si="2"/>
        <v>500.48989999999998</v>
      </c>
      <c r="K41" s="51">
        <f t="shared" si="3"/>
        <v>500.48989999999998</v>
      </c>
      <c r="L41" s="51"/>
      <c r="M41" s="51">
        <f t="shared" si="1"/>
        <v>66679.238899999778</v>
      </c>
      <c r="N41" s="51"/>
      <c r="O41" s="51"/>
    </row>
    <row r="42" spans="1:15">
      <c r="A42" s="19">
        <v>39</v>
      </c>
      <c r="B42" s="19" t="s">
        <v>304</v>
      </c>
      <c r="C42" s="130" t="s">
        <v>287</v>
      </c>
      <c r="D42" s="19" t="s">
        <v>288</v>
      </c>
      <c r="E42" s="51">
        <v>105</v>
      </c>
      <c r="F42" s="51">
        <v>89.26</v>
      </c>
      <c r="G42" s="51">
        <f t="shared" si="0"/>
        <v>9372.3000000000011</v>
      </c>
      <c r="H42" s="51"/>
      <c r="I42" s="51"/>
      <c r="J42" s="51">
        <f t="shared" si="2"/>
        <v>0</v>
      </c>
      <c r="K42" s="51">
        <f t="shared" si="3"/>
        <v>9372.3000000000011</v>
      </c>
      <c r="L42" s="51"/>
      <c r="M42" s="51">
        <f t="shared" si="1"/>
        <v>57306.938899999775</v>
      </c>
      <c r="N42" s="51"/>
      <c r="O42" s="51"/>
    </row>
    <row r="43" spans="1:15">
      <c r="A43" s="119">
        <v>40</v>
      </c>
      <c r="B43" s="119" t="s">
        <v>304</v>
      </c>
      <c r="C43" s="325" t="s">
        <v>289</v>
      </c>
      <c r="D43" s="325" t="s">
        <v>290</v>
      </c>
      <c r="E43" s="287"/>
      <c r="F43" s="287"/>
      <c r="G43" s="287">
        <f t="shared" si="0"/>
        <v>0</v>
      </c>
      <c r="H43" s="287">
        <v>9.73</v>
      </c>
      <c r="I43" s="287">
        <v>102.77</v>
      </c>
      <c r="J43" s="287">
        <f t="shared" si="2"/>
        <v>999.95209999999997</v>
      </c>
      <c r="K43" s="287">
        <f t="shared" si="3"/>
        <v>999.95209999999997</v>
      </c>
      <c r="L43" s="287"/>
      <c r="M43" s="287">
        <f t="shared" si="1"/>
        <v>56306.986799999773</v>
      </c>
      <c r="N43" s="287"/>
      <c r="O43" s="287"/>
    </row>
    <row r="44" spans="1:15">
      <c r="A44" s="119">
        <v>41</v>
      </c>
      <c r="B44" s="119" t="s">
        <v>304</v>
      </c>
      <c r="C44" s="325" t="s">
        <v>305</v>
      </c>
      <c r="D44" s="325" t="s">
        <v>306</v>
      </c>
      <c r="E44" s="287"/>
      <c r="F44" s="287"/>
      <c r="G44" s="287">
        <f t="shared" si="0"/>
        <v>0</v>
      </c>
      <c r="H44" s="287">
        <v>4.17</v>
      </c>
      <c r="I44" s="287">
        <v>107.46</v>
      </c>
      <c r="J44" s="287">
        <f t="shared" si="2"/>
        <v>448.10819999999995</v>
      </c>
      <c r="K44" s="287">
        <f t="shared" si="3"/>
        <v>448.10819999999995</v>
      </c>
      <c r="L44" s="287"/>
      <c r="M44" s="287">
        <f t="shared" si="1"/>
        <v>55858.878599999771</v>
      </c>
      <c r="N44" s="287"/>
      <c r="O44" s="287"/>
    </row>
    <row r="45" spans="1:15">
      <c r="A45" s="19">
        <v>42</v>
      </c>
      <c r="B45" s="19" t="s">
        <v>264</v>
      </c>
      <c r="C45" s="130" t="s">
        <v>287</v>
      </c>
      <c r="D45" s="19" t="s">
        <v>288</v>
      </c>
      <c r="E45" s="51">
        <v>120</v>
      </c>
      <c r="F45" s="51">
        <v>89.26</v>
      </c>
      <c r="G45" s="51">
        <f t="shared" si="0"/>
        <v>10711.2</v>
      </c>
      <c r="H45" s="51"/>
      <c r="I45" s="51"/>
      <c r="J45" s="287">
        <f t="shared" si="2"/>
        <v>0</v>
      </c>
      <c r="K45" s="51">
        <f t="shared" si="3"/>
        <v>10711.2</v>
      </c>
      <c r="L45" s="51"/>
      <c r="M45" s="51">
        <f t="shared" si="1"/>
        <v>45147.678599999766</v>
      </c>
      <c r="N45" s="51"/>
      <c r="O45" s="51"/>
    </row>
    <row r="46" spans="1:15">
      <c r="A46" s="19">
        <v>43</v>
      </c>
      <c r="B46" s="19" t="s">
        <v>266</v>
      </c>
      <c r="C46" s="130" t="s">
        <v>289</v>
      </c>
      <c r="D46" s="130" t="s">
        <v>290</v>
      </c>
      <c r="E46" s="51">
        <v>45</v>
      </c>
      <c r="F46" s="51">
        <v>88.89</v>
      </c>
      <c r="G46" s="51">
        <f t="shared" si="0"/>
        <v>4000.05</v>
      </c>
      <c r="H46" s="51"/>
      <c r="I46" s="51"/>
      <c r="J46" s="287">
        <f t="shared" si="2"/>
        <v>0</v>
      </c>
      <c r="K46" s="51">
        <f t="shared" si="3"/>
        <v>4000.05</v>
      </c>
      <c r="L46" s="51"/>
      <c r="M46" s="51">
        <f t="shared" si="1"/>
        <v>41147.628599999764</v>
      </c>
      <c r="N46" s="51"/>
      <c r="O46" s="51"/>
    </row>
    <row r="47" spans="1:15">
      <c r="A47" s="19">
        <v>44</v>
      </c>
      <c r="B47" s="19" t="s">
        <v>178</v>
      </c>
      <c r="C47" s="130" t="s">
        <v>287</v>
      </c>
      <c r="D47" s="19" t="s">
        <v>288</v>
      </c>
      <c r="E47" s="51">
        <v>94</v>
      </c>
      <c r="F47" s="51">
        <v>89.26</v>
      </c>
      <c r="G47" s="51">
        <f t="shared" si="0"/>
        <v>8390.44</v>
      </c>
      <c r="H47" s="51"/>
      <c r="I47" s="51"/>
      <c r="J47" s="287">
        <f t="shared" si="2"/>
        <v>0</v>
      </c>
      <c r="K47" s="51">
        <f t="shared" si="3"/>
        <v>8390.44</v>
      </c>
      <c r="L47" s="51"/>
      <c r="M47" s="51">
        <f t="shared" si="1"/>
        <v>32757.188599999761</v>
      </c>
      <c r="N47" s="51"/>
      <c r="O47" s="51"/>
    </row>
    <row r="48" spans="1:15">
      <c r="A48" s="19">
        <v>45</v>
      </c>
      <c r="B48" s="19" t="s">
        <v>151</v>
      </c>
      <c r="C48" s="130" t="s">
        <v>287</v>
      </c>
      <c r="D48" s="19" t="s">
        <v>288</v>
      </c>
      <c r="E48" s="51">
        <v>97</v>
      </c>
      <c r="F48" s="51">
        <v>89.26</v>
      </c>
      <c r="G48" s="51">
        <f t="shared" si="0"/>
        <v>8658.2200000000012</v>
      </c>
      <c r="H48" s="51"/>
      <c r="I48" s="51"/>
      <c r="J48" s="287">
        <f t="shared" si="2"/>
        <v>0</v>
      </c>
      <c r="K48" s="51">
        <f t="shared" si="3"/>
        <v>8658.2200000000012</v>
      </c>
      <c r="L48" s="51"/>
      <c r="M48" s="51">
        <f t="shared" si="1"/>
        <v>24098.96859999976</v>
      </c>
      <c r="N48" s="51"/>
      <c r="O48" s="51"/>
    </row>
    <row r="49" spans="1:15">
      <c r="A49" s="119">
        <v>46</v>
      </c>
      <c r="B49" s="119" t="s">
        <v>151</v>
      </c>
      <c r="C49" s="325" t="s">
        <v>291</v>
      </c>
      <c r="D49" s="119" t="s">
        <v>292</v>
      </c>
      <c r="E49" s="287">
        <v>39.08</v>
      </c>
      <c r="F49" s="287">
        <v>89.55</v>
      </c>
      <c r="G49" s="287">
        <f t="shared" si="0"/>
        <v>3499.6139999999996</v>
      </c>
      <c r="H49" s="287"/>
      <c r="I49" s="287"/>
      <c r="J49" s="287">
        <f t="shared" si="2"/>
        <v>0</v>
      </c>
      <c r="K49" s="287">
        <f t="shared" si="3"/>
        <v>3499.6139999999996</v>
      </c>
      <c r="L49" s="287"/>
      <c r="M49" s="287">
        <f t="shared" si="1"/>
        <v>20599.354599999759</v>
      </c>
      <c r="N49" s="287"/>
      <c r="O49" s="287"/>
    </row>
    <row r="50" spans="1:15">
      <c r="A50" s="19">
        <v>47</v>
      </c>
      <c r="B50" s="19" t="s">
        <v>151</v>
      </c>
      <c r="C50" s="19" t="s">
        <v>307</v>
      </c>
      <c r="D50" s="19" t="s">
        <v>297</v>
      </c>
      <c r="E50" s="51">
        <v>5.22</v>
      </c>
      <c r="F50" s="51">
        <v>95.84</v>
      </c>
      <c r="G50" s="51">
        <f t="shared" si="0"/>
        <v>500.28480000000002</v>
      </c>
      <c r="H50" s="51">
        <v>0</v>
      </c>
      <c r="I50" s="51"/>
      <c r="J50" s="51">
        <f t="shared" si="2"/>
        <v>0</v>
      </c>
      <c r="K50" s="51">
        <f t="shared" si="3"/>
        <v>500.28480000000002</v>
      </c>
      <c r="L50" s="51"/>
      <c r="M50" s="51">
        <f t="shared" si="1"/>
        <v>20099.069799999757</v>
      </c>
      <c r="N50" s="51"/>
      <c r="O50" s="51"/>
    </row>
    <row r="51" spans="1:15">
      <c r="A51" s="119">
        <v>48</v>
      </c>
      <c r="B51" s="119" t="s">
        <v>179</v>
      </c>
      <c r="C51" s="119" t="s">
        <v>308</v>
      </c>
      <c r="D51" s="119" t="s">
        <v>288</v>
      </c>
      <c r="E51" s="287">
        <v>90</v>
      </c>
      <c r="F51" s="287">
        <v>89.4</v>
      </c>
      <c r="G51" s="287">
        <f t="shared" si="0"/>
        <v>8046.0000000000009</v>
      </c>
      <c r="H51" s="287"/>
      <c r="I51" s="287"/>
      <c r="J51" s="287">
        <f t="shared" si="2"/>
        <v>0</v>
      </c>
      <c r="K51" s="287">
        <f t="shared" si="3"/>
        <v>8046.0000000000009</v>
      </c>
      <c r="L51" s="287"/>
      <c r="M51" s="287">
        <f t="shared" si="1"/>
        <v>12053.069799999757</v>
      </c>
      <c r="N51" s="287"/>
      <c r="O51" s="287"/>
    </row>
    <row r="52" spans="1:15">
      <c r="A52" s="19">
        <v>49</v>
      </c>
      <c r="B52" s="19" t="s">
        <v>179</v>
      </c>
      <c r="C52" s="19" t="s">
        <v>309</v>
      </c>
      <c r="D52" s="19" t="s">
        <v>297</v>
      </c>
      <c r="E52" s="51"/>
      <c r="F52" s="51"/>
      <c r="G52" s="51">
        <f t="shared" si="0"/>
        <v>0</v>
      </c>
      <c r="H52" s="51">
        <v>4.18</v>
      </c>
      <c r="I52" s="51">
        <v>107.51</v>
      </c>
      <c r="J52" s="51">
        <f t="shared" si="2"/>
        <v>449.39179999999999</v>
      </c>
      <c r="K52" s="51">
        <f t="shared" si="3"/>
        <v>449.39179999999999</v>
      </c>
      <c r="L52" s="51"/>
      <c r="M52" s="51">
        <f t="shared" si="1"/>
        <v>11603.677999999758</v>
      </c>
      <c r="N52" s="51"/>
      <c r="O52" s="51"/>
    </row>
    <row r="53" spans="1:15">
      <c r="A53" s="19">
        <v>50</v>
      </c>
      <c r="B53" s="19" t="s">
        <v>154</v>
      </c>
      <c r="C53" s="130" t="s">
        <v>287</v>
      </c>
      <c r="D53" s="19" t="s">
        <v>288</v>
      </c>
      <c r="E53" s="51"/>
      <c r="F53" s="51"/>
      <c r="G53" s="51">
        <f t="shared" si="0"/>
        <v>0</v>
      </c>
      <c r="H53" s="51">
        <v>12</v>
      </c>
      <c r="I53" s="51">
        <v>103.18</v>
      </c>
      <c r="J53" s="51">
        <f t="shared" si="2"/>
        <v>1238.1600000000001</v>
      </c>
      <c r="K53" s="51">
        <f t="shared" si="3"/>
        <v>1238.1600000000001</v>
      </c>
      <c r="L53" s="51">
        <v>100000</v>
      </c>
      <c r="M53" s="51">
        <f t="shared" si="1"/>
        <v>110365.51799999975</v>
      </c>
      <c r="N53" s="51"/>
      <c r="O53" s="51"/>
    </row>
    <row r="54" spans="1:15">
      <c r="A54" s="19">
        <v>51</v>
      </c>
      <c r="B54" s="19" t="s">
        <v>267</v>
      </c>
      <c r="C54" s="130" t="s">
        <v>287</v>
      </c>
      <c r="D54" s="19" t="s">
        <v>288</v>
      </c>
      <c r="E54" s="51">
        <v>247.99</v>
      </c>
      <c r="F54" s="51">
        <v>89.26</v>
      </c>
      <c r="G54" s="51">
        <f t="shared" si="0"/>
        <v>22135.5874</v>
      </c>
      <c r="H54" s="51"/>
      <c r="I54" s="51"/>
      <c r="J54" s="51">
        <f t="shared" si="2"/>
        <v>0</v>
      </c>
      <c r="K54" s="51">
        <f t="shared" si="3"/>
        <v>22135.5874</v>
      </c>
      <c r="L54" s="51"/>
      <c r="M54" s="51">
        <f t="shared" si="1"/>
        <v>88229.930599999745</v>
      </c>
      <c r="N54" s="51"/>
      <c r="O54" s="51"/>
    </row>
    <row r="55" spans="1:15">
      <c r="A55" s="19">
        <v>52</v>
      </c>
      <c r="B55" s="19" t="s">
        <v>180</v>
      </c>
      <c r="C55" s="19" t="s">
        <v>310</v>
      </c>
      <c r="D55" s="130" t="s">
        <v>311</v>
      </c>
      <c r="E55" s="19">
        <v>314.99</v>
      </c>
      <c r="F55" s="19">
        <v>96.42</v>
      </c>
      <c r="G55" s="51">
        <f t="shared" si="0"/>
        <v>30371.335800000001</v>
      </c>
      <c r="H55" s="19"/>
      <c r="I55" s="19"/>
      <c r="J55" s="51">
        <f t="shared" si="2"/>
        <v>0</v>
      </c>
      <c r="K55" s="51">
        <f t="shared" ref="K55:K59" si="4">G55+J55</f>
        <v>30371.335800000001</v>
      </c>
      <c r="L55" s="51"/>
      <c r="M55" s="51">
        <f t="shared" ref="M55:M59" si="5">M54+L55-K55</f>
        <v>57858.594799999744</v>
      </c>
      <c r="N55" s="19"/>
      <c r="O55" s="19"/>
    </row>
    <row r="56" spans="1:15">
      <c r="A56" s="19">
        <v>53</v>
      </c>
      <c r="B56" s="19" t="s">
        <v>180</v>
      </c>
      <c r="C56" s="19" t="s">
        <v>312</v>
      </c>
      <c r="D56" s="130" t="s">
        <v>297</v>
      </c>
      <c r="E56" s="19"/>
      <c r="F56" s="19"/>
      <c r="G56" s="51">
        <f t="shared" si="0"/>
        <v>0</v>
      </c>
      <c r="H56" s="19">
        <v>3.26</v>
      </c>
      <c r="I56" s="19">
        <v>107.46</v>
      </c>
      <c r="J56" s="51">
        <f t="shared" si="2"/>
        <v>350.31959999999998</v>
      </c>
      <c r="K56" s="51">
        <f t="shared" si="4"/>
        <v>350.31959999999998</v>
      </c>
      <c r="L56" s="51"/>
      <c r="M56" s="51">
        <f t="shared" si="5"/>
        <v>57508.275199999742</v>
      </c>
      <c r="N56" s="19"/>
      <c r="O56" s="19"/>
    </row>
    <row r="57" spans="1:15">
      <c r="A57" s="19">
        <v>54</v>
      </c>
      <c r="B57" s="19" t="s">
        <v>180</v>
      </c>
      <c r="C57" s="130" t="s">
        <v>287</v>
      </c>
      <c r="D57" s="19" t="s">
        <v>288</v>
      </c>
      <c r="E57" s="19">
        <v>109.99</v>
      </c>
      <c r="F57" s="19">
        <v>89.26</v>
      </c>
      <c r="G57" s="51">
        <f t="shared" si="0"/>
        <v>9817.7073999999993</v>
      </c>
      <c r="H57" s="19"/>
      <c r="I57" s="19"/>
      <c r="J57" s="51">
        <f t="shared" si="2"/>
        <v>0</v>
      </c>
      <c r="K57" s="51">
        <f t="shared" si="4"/>
        <v>9817.7073999999993</v>
      </c>
      <c r="L57" s="19"/>
      <c r="M57" s="51">
        <f t="shared" si="5"/>
        <v>47690.567799999742</v>
      </c>
      <c r="N57" s="19"/>
      <c r="O57" s="19"/>
    </row>
    <row r="58" spans="1:15">
      <c r="A58" s="19">
        <v>55</v>
      </c>
      <c r="B58" s="19" t="s">
        <v>180</v>
      </c>
      <c r="C58" s="130" t="s">
        <v>289</v>
      </c>
      <c r="D58" s="130" t="s">
        <v>290</v>
      </c>
      <c r="E58" s="19"/>
      <c r="F58" s="19"/>
      <c r="G58" s="51">
        <f t="shared" si="0"/>
        <v>0</v>
      </c>
      <c r="H58" s="19">
        <v>9.73</v>
      </c>
      <c r="I58" s="19">
        <v>102.77</v>
      </c>
      <c r="J58" s="51">
        <f t="shared" si="2"/>
        <v>999.95209999999997</v>
      </c>
      <c r="K58" s="51">
        <f t="shared" si="4"/>
        <v>999.95209999999997</v>
      </c>
      <c r="L58" s="19"/>
      <c r="M58" s="51">
        <f t="shared" si="5"/>
        <v>46690.61569999974</v>
      </c>
      <c r="N58" s="19"/>
      <c r="O58" s="19"/>
    </row>
    <row r="59" spans="1:15">
      <c r="A59" s="19">
        <v>56</v>
      </c>
      <c r="B59" s="119" t="s">
        <v>180</v>
      </c>
      <c r="C59" s="119" t="s">
        <v>313</v>
      </c>
      <c r="D59" s="119" t="s">
        <v>292</v>
      </c>
      <c r="E59" s="119">
        <v>33.76</v>
      </c>
      <c r="F59" s="119">
        <v>88.82</v>
      </c>
      <c r="G59" s="287">
        <f t="shared" si="0"/>
        <v>2998.5631999999996</v>
      </c>
      <c r="H59" s="119"/>
      <c r="I59" s="119"/>
      <c r="J59" s="51">
        <f t="shared" si="2"/>
        <v>0</v>
      </c>
      <c r="K59" s="287">
        <f t="shared" si="4"/>
        <v>2998.5631999999996</v>
      </c>
      <c r="L59" s="119"/>
      <c r="M59" s="287">
        <f t="shared" si="5"/>
        <v>43692.052499999743</v>
      </c>
      <c r="N59" s="119"/>
      <c r="O59" s="119"/>
    </row>
    <row r="60" spans="1:15">
      <c r="A60" s="122">
        <v>57</v>
      </c>
      <c r="B60" s="19" t="s">
        <v>157</v>
      </c>
      <c r="C60" s="19" t="s">
        <v>314</v>
      </c>
      <c r="D60" s="19" t="s">
        <v>311</v>
      </c>
      <c r="E60" s="19">
        <v>1530.13</v>
      </c>
      <c r="F60" s="19">
        <v>96.42</v>
      </c>
      <c r="G60" s="51">
        <f t="shared" si="0"/>
        <v>147535.13460000002</v>
      </c>
      <c r="H60" s="19"/>
      <c r="I60" s="19"/>
      <c r="J60" s="51">
        <f t="shared" si="2"/>
        <v>0</v>
      </c>
      <c r="K60" s="51">
        <f t="shared" ref="K60:K64" si="6">G60+J60</f>
        <v>147535.13460000002</v>
      </c>
      <c r="L60" s="19">
        <v>300000</v>
      </c>
      <c r="M60" s="51">
        <f t="shared" ref="M60:M79" si="7">M59+L60-K60</f>
        <v>196156.91789999974</v>
      </c>
      <c r="N60" s="19"/>
      <c r="O60" s="19"/>
    </row>
    <row r="61" spans="1:15">
      <c r="A61" s="122">
        <v>58</v>
      </c>
      <c r="B61" s="19" t="s">
        <v>157</v>
      </c>
      <c r="C61" s="19" t="s">
        <v>315</v>
      </c>
      <c r="D61" s="19" t="s">
        <v>297</v>
      </c>
      <c r="E61" s="19">
        <v>20.88</v>
      </c>
      <c r="F61" s="19">
        <v>95.82</v>
      </c>
      <c r="G61" s="51">
        <f t="shared" si="0"/>
        <v>2000.7215999999999</v>
      </c>
      <c r="H61" s="19"/>
      <c r="I61" s="19"/>
      <c r="J61" s="51">
        <f t="shared" si="2"/>
        <v>0</v>
      </c>
      <c r="K61" s="51">
        <f t="shared" si="6"/>
        <v>2000.7215999999999</v>
      </c>
      <c r="L61" s="19"/>
      <c r="M61" s="51">
        <f t="shared" si="7"/>
        <v>194156.19629999975</v>
      </c>
      <c r="N61" s="19"/>
      <c r="O61" s="19"/>
    </row>
    <row r="62" spans="1:15">
      <c r="A62" s="122">
        <v>59</v>
      </c>
      <c r="B62" s="19" t="s">
        <v>157</v>
      </c>
      <c r="C62" s="130" t="s">
        <v>287</v>
      </c>
      <c r="D62" s="19" t="s">
        <v>288</v>
      </c>
      <c r="E62" s="19">
        <v>6.99</v>
      </c>
      <c r="F62" s="19">
        <v>89.26</v>
      </c>
      <c r="G62" s="51">
        <f t="shared" ref="G62" si="8">E62*F62</f>
        <v>623.92740000000003</v>
      </c>
      <c r="H62" s="19"/>
      <c r="I62" s="19"/>
      <c r="J62" s="51">
        <f t="shared" si="2"/>
        <v>0</v>
      </c>
      <c r="K62" s="51">
        <f t="shared" si="6"/>
        <v>623.92740000000003</v>
      </c>
      <c r="L62" s="19"/>
      <c r="M62" s="51">
        <f t="shared" si="7"/>
        <v>193532.26889999976</v>
      </c>
      <c r="N62" s="19"/>
      <c r="O62" s="19"/>
    </row>
    <row r="63" spans="1:15">
      <c r="A63" s="348">
        <v>60</v>
      </c>
      <c r="B63" s="119" t="s">
        <v>271</v>
      </c>
      <c r="C63" s="325" t="s">
        <v>287</v>
      </c>
      <c r="D63" s="119" t="s">
        <v>288</v>
      </c>
      <c r="E63" s="119">
        <v>136.99</v>
      </c>
      <c r="F63" s="119">
        <v>89.26</v>
      </c>
      <c r="G63" s="287">
        <f t="shared" ref="G63:G79" si="9">E63*F63</f>
        <v>12227.727400000002</v>
      </c>
      <c r="H63" s="119"/>
      <c r="I63" s="119"/>
      <c r="J63" s="287">
        <f t="shared" si="2"/>
        <v>0</v>
      </c>
      <c r="K63" s="287">
        <f t="shared" si="6"/>
        <v>12227.727400000002</v>
      </c>
      <c r="L63" s="119"/>
      <c r="M63" s="287">
        <f t="shared" si="7"/>
        <v>181304.54149999976</v>
      </c>
      <c r="N63" s="119"/>
      <c r="O63" s="119"/>
    </row>
    <row r="64" spans="1:15">
      <c r="A64" s="19">
        <v>61</v>
      </c>
      <c r="B64" s="19" t="s">
        <v>159</v>
      </c>
      <c r="C64" s="19" t="s">
        <v>312</v>
      </c>
      <c r="D64" s="130" t="s">
        <v>297</v>
      </c>
      <c r="E64" s="19"/>
      <c r="F64" s="19"/>
      <c r="G64" s="51">
        <f t="shared" si="9"/>
        <v>0</v>
      </c>
      <c r="H64" s="19">
        <v>2.33</v>
      </c>
      <c r="I64" s="19">
        <v>107.46</v>
      </c>
      <c r="J64" s="51">
        <f t="shared" si="2"/>
        <v>250.3818</v>
      </c>
      <c r="K64" s="51">
        <f t="shared" si="6"/>
        <v>250.3818</v>
      </c>
      <c r="L64" s="19"/>
      <c r="M64" s="287">
        <f t="shared" si="7"/>
        <v>181054.15969999976</v>
      </c>
      <c r="N64" s="19"/>
      <c r="O64" s="19"/>
    </row>
    <row r="65" spans="1:15">
      <c r="A65" s="119">
        <v>62</v>
      </c>
      <c r="B65" s="119" t="s">
        <v>159</v>
      </c>
      <c r="C65" s="325" t="s">
        <v>287</v>
      </c>
      <c r="D65" s="119" t="s">
        <v>288</v>
      </c>
      <c r="E65" s="119">
        <v>29.99</v>
      </c>
      <c r="F65" s="119">
        <v>89.26</v>
      </c>
      <c r="G65" s="287">
        <f t="shared" si="9"/>
        <v>2676.9074000000001</v>
      </c>
      <c r="H65" s="119"/>
      <c r="I65" s="119"/>
      <c r="J65" s="287">
        <f t="shared" ref="J65:J78" si="10">H65*I65</f>
        <v>0</v>
      </c>
      <c r="K65" s="287">
        <f t="shared" ref="K65:K79" si="11">G65+J65</f>
        <v>2676.9074000000001</v>
      </c>
      <c r="L65" s="119"/>
      <c r="M65" s="287">
        <f t="shared" si="7"/>
        <v>178377.25229999976</v>
      </c>
      <c r="N65" s="119"/>
      <c r="O65" s="119"/>
    </row>
    <row r="66" spans="1:15">
      <c r="A66" s="119">
        <v>63</v>
      </c>
      <c r="B66" s="119" t="s">
        <v>160</v>
      </c>
      <c r="C66" s="325" t="s">
        <v>287</v>
      </c>
      <c r="D66" s="119" t="s">
        <v>288</v>
      </c>
      <c r="E66" s="119">
        <v>100</v>
      </c>
      <c r="F66" s="119">
        <v>89.26</v>
      </c>
      <c r="G66" s="287">
        <f t="shared" si="9"/>
        <v>8926</v>
      </c>
      <c r="H66" s="119">
        <v>12</v>
      </c>
      <c r="I66" s="119">
        <v>103.18</v>
      </c>
      <c r="J66" s="287">
        <f t="shared" si="10"/>
        <v>1238.1600000000001</v>
      </c>
      <c r="K66" s="287">
        <f t="shared" si="11"/>
        <v>10164.16</v>
      </c>
      <c r="L66" s="119"/>
      <c r="M66" s="287">
        <f t="shared" si="7"/>
        <v>168213.09229999976</v>
      </c>
      <c r="N66" s="119"/>
      <c r="O66" s="119"/>
    </row>
    <row r="67" spans="1:15">
      <c r="A67" s="19">
        <v>64</v>
      </c>
      <c r="B67" s="19" t="s">
        <v>181</v>
      </c>
      <c r="C67" s="130" t="s">
        <v>287</v>
      </c>
      <c r="D67" s="19" t="s">
        <v>288</v>
      </c>
      <c r="E67" s="19">
        <v>135</v>
      </c>
      <c r="F67" s="19">
        <v>89.26</v>
      </c>
      <c r="G67" s="51">
        <f t="shared" si="9"/>
        <v>12050.1</v>
      </c>
      <c r="H67" s="19">
        <v>12</v>
      </c>
      <c r="I67" s="19">
        <v>103.18</v>
      </c>
      <c r="J67" s="51">
        <f t="shared" si="10"/>
        <v>1238.1600000000001</v>
      </c>
      <c r="K67" s="51">
        <f t="shared" si="11"/>
        <v>13288.26</v>
      </c>
      <c r="L67" s="19"/>
      <c r="M67" s="51">
        <f t="shared" si="7"/>
        <v>154924.83229999975</v>
      </c>
      <c r="N67" s="19"/>
      <c r="O67" s="19"/>
    </row>
    <row r="68" spans="1:15">
      <c r="A68" s="119">
        <v>65</v>
      </c>
      <c r="B68" s="119" t="s">
        <v>181</v>
      </c>
      <c r="C68" s="119" t="s">
        <v>296</v>
      </c>
      <c r="D68" s="325" t="s">
        <v>297</v>
      </c>
      <c r="E68" s="119"/>
      <c r="F68" s="119"/>
      <c r="G68" s="287">
        <f t="shared" si="9"/>
        <v>0</v>
      </c>
      <c r="H68" s="119">
        <v>3.12</v>
      </c>
      <c r="I68" s="119">
        <v>107.46</v>
      </c>
      <c r="J68" s="287">
        <f t="shared" si="10"/>
        <v>335.27519999999998</v>
      </c>
      <c r="K68" s="287">
        <f t="shared" si="11"/>
        <v>335.27519999999998</v>
      </c>
      <c r="L68" s="119"/>
      <c r="M68" s="287">
        <f t="shared" si="7"/>
        <v>154589.55709999974</v>
      </c>
      <c r="N68" s="119"/>
      <c r="O68" s="119"/>
    </row>
    <row r="69" spans="1:15">
      <c r="A69" s="19">
        <v>66</v>
      </c>
      <c r="B69" s="19" t="s">
        <v>161</v>
      </c>
      <c r="C69" s="130" t="s">
        <v>287</v>
      </c>
      <c r="D69" s="19" t="s">
        <v>288</v>
      </c>
      <c r="E69" s="19">
        <v>70</v>
      </c>
      <c r="F69" s="19">
        <v>89.26</v>
      </c>
      <c r="G69" s="51">
        <f t="shared" si="9"/>
        <v>6248.2000000000007</v>
      </c>
      <c r="H69" s="19">
        <v>0</v>
      </c>
      <c r="I69" s="19"/>
      <c r="J69" s="51">
        <f t="shared" si="10"/>
        <v>0</v>
      </c>
      <c r="K69" s="287">
        <f t="shared" si="11"/>
        <v>6248.2000000000007</v>
      </c>
      <c r="L69" s="19"/>
      <c r="M69" s="51">
        <f t="shared" si="7"/>
        <v>148341.35709999973</v>
      </c>
      <c r="N69" s="19"/>
      <c r="O69" s="19"/>
    </row>
    <row r="70" spans="1:15">
      <c r="A70" s="19">
        <v>67</v>
      </c>
      <c r="B70" s="19" t="s">
        <v>182</v>
      </c>
      <c r="C70" s="130" t="s">
        <v>287</v>
      </c>
      <c r="D70" s="19" t="s">
        <v>288</v>
      </c>
      <c r="E70" s="19">
        <v>100</v>
      </c>
      <c r="F70" s="19">
        <v>89.26</v>
      </c>
      <c r="G70" s="51">
        <f t="shared" si="9"/>
        <v>8926</v>
      </c>
      <c r="H70" s="19"/>
      <c r="I70" s="19"/>
      <c r="J70" s="51">
        <f t="shared" si="10"/>
        <v>0</v>
      </c>
      <c r="K70" s="287">
        <f t="shared" si="11"/>
        <v>8926</v>
      </c>
      <c r="L70" s="19"/>
      <c r="M70" s="51">
        <f t="shared" si="7"/>
        <v>139415.35709999973</v>
      </c>
      <c r="N70" s="19"/>
      <c r="O70" s="19"/>
    </row>
    <row r="71" spans="1:15">
      <c r="A71" s="19">
        <v>68</v>
      </c>
      <c r="B71" s="19" t="s">
        <v>182</v>
      </c>
      <c r="C71" s="130" t="s">
        <v>289</v>
      </c>
      <c r="D71" s="130" t="s">
        <v>290</v>
      </c>
      <c r="E71" s="19">
        <v>20</v>
      </c>
      <c r="F71" s="19">
        <v>88.89</v>
      </c>
      <c r="G71" s="51">
        <f t="shared" si="9"/>
        <v>1777.8</v>
      </c>
      <c r="H71" s="19"/>
      <c r="I71" s="19"/>
      <c r="J71" s="51">
        <f t="shared" si="10"/>
        <v>0</v>
      </c>
      <c r="K71" s="287">
        <f t="shared" si="11"/>
        <v>1777.8</v>
      </c>
      <c r="L71" s="19"/>
      <c r="M71" s="51">
        <f t="shared" si="7"/>
        <v>137637.55709999974</v>
      </c>
      <c r="N71" s="19"/>
      <c r="O71" s="19"/>
    </row>
    <row r="72" spans="1:15">
      <c r="A72" s="19">
        <v>69</v>
      </c>
      <c r="B72" s="19" t="s">
        <v>183</v>
      </c>
      <c r="C72" s="350" t="s">
        <v>301</v>
      </c>
      <c r="D72" s="19" t="s">
        <v>302</v>
      </c>
      <c r="E72" s="19">
        <v>27816.58</v>
      </c>
      <c r="F72" s="19">
        <v>91.14</v>
      </c>
      <c r="G72" s="51">
        <f t="shared" si="9"/>
        <v>2535203.1012000004</v>
      </c>
      <c r="H72" s="19"/>
      <c r="I72" s="19"/>
      <c r="J72" s="51">
        <f t="shared" si="10"/>
        <v>0</v>
      </c>
      <c r="K72" s="287">
        <f t="shared" si="11"/>
        <v>2535203.1012000004</v>
      </c>
      <c r="L72" s="19">
        <v>8100000</v>
      </c>
      <c r="M72" s="51">
        <f t="shared" si="7"/>
        <v>5702434.4558999995</v>
      </c>
      <c r="N72" s="19"/>
      <c r="O72" s="19"/>
    </row>
    <row r="73" spans="1:15">
      <c r="A73" s="19">
        <v>70</v>
      </c>
      <c r="B73" s="19" t="s">
        <v>183</v>
      </c>
      <c r="C73" s="130" t="s">
        <v>294</v>
      </c>
      <c r="D73" s="19" t="s">
        <v>295</v>
      </c>
      <c r="E73" s="19">
        <v>31163.91</v>
      </c>
      <c r="F73" s="19">
        <v>95.72</v>
      </c>
      <c r="G73" s="51">
        <f t="shared" si="9"/>
        <v>2983009.4652</v>
      </c>
      <c r="H73" s="19"/>
      <c r="I73" s="19"/>
      <c r="J73" s="51">
        <f t="shared" si="10"/>
        <v>0</v>
      </c>
      <c r="K73" s="287">
        <f t="shared" si="11"/>
        <v>2983009.4652</v>
      </c>
      <c r="L73" s="19"/>
      <c r="M73" s="51">
        <f t="shared" si="7"/>
        <v>2719424.9906999995</v>
      </c>
      <c r="N73" s="19"/>
      <c r="O73" s="19"/>
    </row>
    <row r="74" spans="1:15">
      <c r="A74" s="19">
        <v>71</v>
      </c>
      <c r="B74" s="19" t="s">
        <v>183</v>
      </c>
      <c r="C74" s="19" t="s">
        <v>316</v>
      </c>
      <c r="D74" s="19" t="s">
        <v>311</v>
      </c>
      <c r="E74" s="19">
        <v>26965.46</v>
      </c>
      <c r="F74" s="19">
        <v>96.46</v>
      </c>
      <c r="G74" s="51">
        <v>2600000</v>
      </c>
      <c r="H74" s="19"/>
      <c r="I74" s="19"/>
      <c r="J74" s="51">
        <f t="shared" si="10"/>
        <v>0</v>
      </c>
      <c r="K74" s="287">
        <f t="shared" si="11"/>
        <v>2600000</v>
      </c>
      <c r="L74" s="19"/>
      <c r="M74" s="51">
        <f t="shared" si="7"/>
        <v>119424.9906999995</v>
      </c>
      <c r="N74" s="19"/>
      <c r="O74" s="19"/>
    </row>
    <row r="75" spans="1:15">
      <c r="A75" s="19">
        <v>72</v>
      </c>
      <c r="B75" s="19" t="s">
        <v>183</v>
      </c>
      <c r="C75" s="350" t="s">
        <v>317</v>
      </c>
      <c r="D75" s="19" t="s">
        <v>297</v>
      </c>
      <c r="E75" s="19"/>
      <c r="F75" s="19"/>
      <c r="G75" s="51">
        <f t="shared" si="9"/>
        <v>0</v>
      </c>
      <c r="H75" s="19">
        <v>4</v>
      </c>
      <c r="I75" s="19">
        <v>107.46</v>
      </c>
      <c r="J75" s="51">
        <f t="shared" si="10"/>
        <v>429.84</v>
      </c>
      <c r="K75" s="287">
        <f t="shared" si="11"/>
        <v>429.84</v>
      </c>
      <c r="L75" s="19"/>
      <c r="M75" s="51">
        <f t="shared" si="7"/>
        <v>118995.1506999995</v>
      </c>
      <c r="N75" s="19"/>
      <c r="O75" s="19"/>
    </row>
    <row r="76" spans="1:15">
      <c r="A76" s="119">
        <v>73</v>
      </c>
      <c r="B76" s="119" t="s">
        <v>183</v>
      </c>
      <c r="C76" s="325" t="s">
        <v>287</v>
      </c>
      <c r="D76" s="119" t="s">
        <v>288</v>
      </c>
      <c r="E76" s="119">
        <v>120</v>
      </c>
      <c r="F76" s="119">
        <v>89.26</v>
      </c>
      <c r="G76" s="287">
        <f t="shared" si="9"/>
        <v>10711.2</v>
      </c>
      <c r="H76" s="119"/>
      <c r="I76" s="119"/>
      <c r="J76" s="287">
        <f t="shared" si="10"/>
        <v>0</v>
      </c>
      <c r="K76" s="287">
        <f t="shared" si="11"/>
        <v>10711.2</v>
      </c>
      <c r="L76" s="119"/>
      <c r="M76" s="287">
        <f t="shared" si="7"/>
        <v>108283.95069999951</v>
      </c>
      <c r="N76" s="119"/>
      <c r="O76" s="119"/>
    </row>
    <row r="77" spans="1:15">
      <c r="A77" s="19">
        <v>74</v>
      </c>
      <c r="B77" s="19" t="s">
        <v>183</v>
      </c>
      <c r="C77" s="130" t="s">
        <v>289</v>
      </c>
      <c r="D77" s="130" t="s">
        <v>290</v>
      </c>
      <c r="E77" s="19">
        <v>0</v>
      </c>
      <c r="F77" s="19"/>
      <c r="G77" s="51">
        <f t="shared" si="9"/>
        <v>0</v>
      </c>
      <c r="H77" s="19">
        <v>9.99</v>
      </c>
      <c r="I77" s="19">
        <v>102.77</v>
      </c>
      <c r="J77" s="51">
        <f t="shared" si="10"/>
        <v>1026.6723</v>
      </c>
      <c r="K77" s="51">
        <f t="shared" si="11"/>
        <v>1026.6723</v>
      </c>
      <c r="L77" s="19"/>
      <c r="M77" s="51">
        <f t="shared" si="7"/>
        <v>107257.2783999995</v>
      </c>
      <c r="N77" s="19"/>
      <c r="O77" s="19"/>
    </row>
    <row r="78" spans="1:15">
      <c r="A78" s="19">
        <v>75</v>
      </c>
      <c r="B78" s="19" t="s">
        <v>184</v>
      </c>
      <c r="C78" s="350" t="s">
        <v>318</v>
      </c>
      <c r="D78" s="130" t="s">
        <v>319</v>
      </c>
      <c r="E78" s="19">
        <v>0</v>
      </c>
      <c r="F78" s="19"/>
      <c r="G78" s="51">
        <f t="shared" si="9"/>
        <v>0</v>
      </c>
      <c r="H78" s="19">
        <v>31.46</v>
      </c>
      <c r="I78" s="19">
        <v>107.46</v>
      </c>
      <c r="J78" s="51">
        <f t="shared" si="10"/>
        <v>3380.6916000000001</v>
      </c>
      <c r="K78" s="51">
        <f t="shared" si="11"/>
        <v>3380.6916000000001</v>
      </c>
      <c r="L78" s="19"/>
      <c r="M78" s="51">
        <f t="shared" si="7"/>
        <v>103876.5867999995</v>
      </c>
      <c r="N78" s="19"/>
      <c r="O78" s="19"/>
    </row>
    <row r="79" spans="1:15">
      <c r="A79" s="19">
        <v>76</v>
      </c>
      <c r="B79" s="19" t="s">
        <v>184</v>
      </c>
      <c r="C79" s="19" t="s">
        <v>287</v>
      </c>
      <c r="D79" s="19" t="s">
        <v>288</v>
      </c>
      <c r="E79" s="19">
        <v>629.62</v>
      </c>
      <c r="F79" s="19">
        <v>89.26</v>
      </c>
      <c r="G79" s="51">
        <f t="shared" si="9"/>
        <v>56199.881200000003</v>
      </c>
      <c r="H79" s="19"/>
      <c r="I79" s="19"/>
      <c r="J79" s="19"/>
      <c r="K79" s="51">
        <f t="shared" si="11"/>
        <v>56199.881200000003</v>
      </c>
      <c r="L79" s="19"/>
      <c r="M79" s="51">
        <f t="shared" si="7"/>
        <v>47676.705599999492</v>
      </c>
      <c r="N79" s="19"/>
      <c r="O79" s="19"/>
    </row>
  </sheetData>
  <mergeCells count="2">
    <mergeCell ref="A1:O1"/>
    <mergeCell ref="A3:J3"/>
  </mergeCells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BD2A-34DD-4CE3-849C-464A244C338A}">
  <dimension ref="A1:O18"/>
  <sheetViews>
    <sheetView topLeftCell="D1" workbookViewId="0">
      <selection activeCell="H4" sqref="H4:M8"/>
    </sheetView>
  </sheetViews>
  <sheetFormatPr defaultRowHeight="15"/>
  <cols>
    <col min="2" max="2" width="11.5703125" customWidth="1"/>
    <col min="3" max="3" width="30.28515625" bestFit="1" customWidth="1"/>
    <col min="4" max="4" width="21.7109375" bestFit="1" customWidth="1"/>
    <col min="5" max="5" width="15.7109375" customWidth="1"/>
    <col min="7" max="7" width="22.42578125" customWidth="1"/>
    <col min="8" max="8" width="22.140625" customWidth="1"/>
    <col min="9" max="9" width="17.7109375" bestFit="1" customWidth="1"/>
    <col min="11" max="11" width="15.42578125" customWidth="1"/>
    <col min="12" max="12" width="17.7109375" customWidth="1"/>
    <col min="13" max="13" width="12.7109375" customWidth="1"/>
    <col min="14" max="14" width="15.140625" customWidth="1"/>
    <col min="15" max="15" width="20.5703125" customWidth="1"/>
  </cols>
  <sheetData>
    <row r="1" spans="1:15" ht="15.75">
      <c r="A1" s="386" t="s">
        <v>320</v>
      </c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  <c r="M1" s="386"/>
      <c r="N1" s="386"/>
      <c r="O1" s="386"/>
    </row>
    <row r="2" spans="1:15">
      <c r="A2" s="86" t="s">
        <v>91</v>
      </c>
      <c r="B2" s="107" t="s">
        <v>92</v>
      </c>
      <c r="C2" s="107" t="s">
        <v>192</v>
      </c>
      <c r="D2" s="107" t="s">
        <v>194</v>
      </c>
      <c r="E2" s="107" t="s">
        <v>95</v>
      </c>
      <c r="F2" s="107" t="s">
        <v>96</v>
      </c>
      <c r="G2" s="115" t="s">
        <v>97</v>
      </c>
      <c r="H2" s="107" t="s">
        <v>98</v>
      </c>
      <c r="I2" s="107" t="s">
        <v>96</v>
      </c>
      <c r="J2" s="115" t="s">
        <v>97</v>
      </c>
      <c r="K2" s="86" t="s">
        <v>99</v>
      </c>
      <c r="L2" s="116" t="s">
        <v>195</v>
      </c>
      <c r="M2" s="109" t="s">
        <v>101</v>
      </c>
      <c r="N2" s="107" t="s">
        <v>102</v>
      </c>
      <c r="O2" s="107" t="s">
        <v>196</v>
      </c>
    </row>
    <row r="3" spans="1:15">
      <c r="A3" s="420" t="s">
        <v>103</v>
      </c>
      <c r="B3" s="420"/>
      <c r="C3" s="420"/>
      <c r="D3" s="420"/>
      <c r="E3" s="420"/>
      <c r="F3" s="420"/>
      <c r="G3" s="420"/>
      <c r="H3" s="420"/>
      <c r="I3" s="420"/>
      <c r="J3" s="420"/>
      <c r="L3" s="207"/>
      <c r="M3" s="323">
        <v>122250.85000000009</v>
      </c>
      <c r="N3" s="119"/>
      <c r="O3" s="119"/>
    </row>
    <row r="4" spans="1:15">
      <c r="A4" s="19">
        <v>1</v>
      </c>
      <c r="B4" s="19" t="s">
        <v>197</v>
      </c>
      <c r="C4" s="19" t="s">
        <v>321</v>
      </c>
      <c r="D4" s="324">
        <v>8200079000522050</v>
      </c>
      <c r="E4" s="51">
        <v>16722.400000000001</v>
      </c>
      <c r="F4" s="51">
        <v>95.68</v>
      </c>
      <c r="G4" s="51">
        <f>E4*F4</f>
        <v>1599999.2320000003</v>
      </c>
      <c r="H4" s="51"/>
      <c r="I4" s="51"/>
      <c r="J4" s="51">
        <f>H4*I4</f>
        <v>0</v>
      </c>
      <c r="K4" s="51">
        <f>G4+J4</f>
        <v>1599999.2320000003</v>
      </c>
      <c r="L4" s="51">
        <v>1500000</v>
      </c>
      <c r="M4" s="51">
        <f>M3+L4-K4</f>
        <v>22251.617999999784</v>
      </c>
      <c r="N4" s="19"/>
      <c r="O4" s="19"/>
    </row>
    <row r="5" spans="1:15">
      <c r="A5" s="19">
        <v>2</v>
      </c>
      <c r="B5" s="19" t="s">
        <v>293</v>
      </c>
      <c r="C5" s="19" t="s">
        <v>321</v>
      </c>
      <c r="D5" s="324">
        <v>8200079000522050</v>
      </c>
      <c r="E5" s="51">
        <v>10451.5</v>
      </c>
      <c r="F5" s="51">
        <v>95.68</v>
      </c>
      <c r="G5" s="51">
        <f>E5*F5</f>
        <v>999999.52</v>
      </c>
      <c r="H5" s="51"/>
      <c r="I5" s="51"/>
      <c r="J5" s="51">
        <f>H5*I5</f>
        <v>0</v>
      </c>
      <c r="K5" s="51">
        <f>G5+J5</f>
        <v>999999.52</v>
      </c>
      <c r="L5" s="51">
        <v>1000000</v>
      </c>
      <c r="M5" s="51">
        <f t="shared" ref="M5:M8" si="0">M4+L5-K5</f>
        <v>22252.097999999765</v>
      </c>
      <c r="N5" s="19"/>
      <c r="O5" s="19"/>
    </row>
    <row r="6" spans="1:15">
      <c r="A6" s="19">
        <v>3</v>
      </c>
      <c r="B6" s="19" t="s">
        <v>223</v>
      </c>
      <c r="C6" s="19" t="s">
        <v>321</v>
      </c>
      <c r="D6" s="324">
        <v>8200079000522050</v>
      </c>
      <c r="E6" s="51">
        <v>0</v>
      </c>
      <c r="F6" s="51"/>
      <c r="G6" s="51">
        <f t="shared" ref="G6:G8" si="1">E6*F6</f>
        <v>0</v>
      </c>
      <c r="H6" s="51"/>
      <c r="I6" s="51"/>
      <c r="J6" s="51"/>
      <c r="K6" s="51">
        <f t="shared" ref="K6:K8" si="2">G6+J6</f>
        <v>0</v>
      </c>
      <c r="L6" s="51">
        <v>59800</v>
      </c>
      <c r="M6" s="51">
        <f t="shared" si="0"/>
        <v>82052.097999999765</v>
      </c>
      <c r="N6" s="19"/>
      <c r="O6" s="19"/>
    </row>
    <row r="7" spans="1:15">
      <c r="A7" s="119">
        <v>4</v>
      </c>
      <c r="B7" s="119" t="s">
        <v>250</v>
      </c>
      <c r="C7" s="119" t="s">
        <v>321</v>
      </c>
      <c r="D7" s="354">
        <v>8200079000522050</v>
      </c>
      <c r="E7" s="287">
        <v>15677.25</v>
      </c>
      <c r="F7" s="287">
        <v>95.68</v>
      </c>
      <c r="G7" s="287">
        <f t="shared" si="1"/>
        <v>1499999.28</v>
      </c>
      <c r="H7" s="287"/>
      <c r="I7" s="287"/>
      <c r="J7" s="287"/>
      <c r="K7" s="287">
        <f t="shared" si="2"/>
        <v>1499999.28</v>
      </c>
      <c r="L7" s="287">
        <v>1500000</v>
      </c>
      <c r="M7" s="287">
        <f t="shared" si="0"/>
        <v>82052.817999999737</v>
      </c>
      <c r="N7" s="119"/>
      <c r="O7" s="119"/>
    </row>
    <row r="8" spans="1:15">
      <c r="A8" s="19">
        <v>5</v>
      </c>
      <c r="B8" s="19" t="s">
        <v>181</v>
      </c>
      <c r="C8" s="19" t="s">
        <v>321</v>
      </c>
      <c r="D8" s="324">
        <v>8200079000522050</v>
      </c>
      <c r="E8" s="51">
        <v>9406.39</v>
      </c>
      <c r="F8" s="51">
        <v>95.68</v>
      </c>
      <c r="G8" s="51">
        <f t="shared" si="1"/>
        <v>900003.39520000003</v>
      </c>
      <c r="H8" s="51"/>
      <c r="I8" s="51"/>
      <c r="J8" s="51"/>
      <c r="K8" s="51">
        <f t="shared" si="2"/>
        <v>900003.39520000003</v>
      </c>
      <c r="L8" s="51">
        <v>1000000</v>
      </c>
      <c r="M8" s="51">
        <f t="shared" si="0"/>
        <v>182049.42279999971</v>
      </c>
      <c r="N8" s="19"/>
      <c r="O8" s="19"/>
    </row>
    <row r="18" spans="9:9">
      <c r="I18" s="340"/>
    </row>
  </sheetData>
  <mergeCells count="2">
    <mergeCell ref="A1:O1"/>
    <mergeCell ref="A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MIS</cp:lastModifiedBy>
  <cp:revision/>
  <dcterms:created xsi:type="dcterms:W3CDTF">2015-06-05T18:17:20Z</dcterms:created>
  <dcterms:modified xsi:type="dcterms:W3CDTF">2026-10-07T12:19:17Z</dcterms:modified>
  <cp:category/>
  <cp:contentStatus/>
</cp:coreProperties>
</file>