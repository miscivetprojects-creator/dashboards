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5011" documentId="8_{21E78461-8472-4FC4-9B9A-C4551723630E}" xr6:coauthVersionLast="47" xr6:coauthVersionMax="47" xr10:uidLastSave="{FA4EEA3D-2E91-4449-8DC3-05A35C102650}"/>
  <bookViews>
    <workbookView xWindow="-60" yWindow="-60" windowWidth="15480" windowHeight="11640" firstSheet="29" activeTab="29" xr2:uid="{00000000-000D-0000-FFFF-FFFF00000000}"/>
  </bookViews>
  <sheets>
    <sheet name="Nov-25 " sheetId="56" r:id="rId1"/>
    <sheet name="Khammam-1" sheetId="50" r:id="rId2"/>
    <sheet name="Khammam-2" sheetId="47" r:id="rId3"/>
    <sheet name="Jadcherla -1" sheetId="18" r:id="rId4"/>
    <sheet name="Jadcharla-2" sheetId="54" r:id="rId5"/>
    <sheet name="Jadcherla-3" sheetId="72" r:id="rId6"/>
    <sheet name="Devarakhadra" sheetId="59" r:id="rId7"/>
    <sheet name="Devarakhadra-2" sheetId="70" r:id="rId8"/>
    <sheet name="Dindi" sheetId="58" r:id="rId9"/>
    <sheet name="Amalapuram" sheetId="65" r:id="rId10"/>
    <sheet name="Madana palli" sheetId="71" r:id="rId11"/>
    <sheet name="Kadur" sheetId="7" r:id="rId12"/>
    <sheet name="YG Gudda " sheetId="2" r:id="rId13"/>
    <sheet name="YG Gudda-2" sheetId="62" r:id="rId14"/>
    <sheet name="Hosadurga" sheetId="1" r:id="rId15"/>
    <sheet name="Hosadurga -2" sheetId="52" r:id="rId16"/>
    <sheet name="Hiriyur(VJNL)" sheetId="3" r:id="rId17"/>
    <sheet name="Malebenur(KUWSDB)" sheetId="16" r:id="rId18"/>
    <sheet name="Chellakere -1" sheetId="68" r:id="rId19"/>
    <sheet name=" Chellakere-PKG-9" sheetId="73" r:id="rId20"/>
    <sheet name="Molakamuru" sheetId="63" r:id="rId21"/>
    <sheet name=" Chennagiri" sheetId="74" r:id="rId22"/>
    <sheet name="Khanapur" sheetId="24" r:id="rId23"/>
    <sheet name="Munavali-2" sheetId="61" r:id="rId24"/>
    <sheet name="Ugar,Khagwad,Kudichi" sheetId="11" r:id="rId25"/>
    <sheet name="Borgaon" sheetId="10" r:id="rId26"/>
    <sheet name="Kabbur" sheetId="40" r:id="rId27"/>
    <sheet name="kumta" sheetId="25" r:id="rId28"/>
    <sheet name="Jalgaon" sheetId="22" r:id="rId29"/>
    <sheet name="MKBD" sheetId="14" r:id="rId30"/>
    <sheet name="Haveri" sheetId="15" r:id="rId31"/>
    <sheet name="Guttal" sheetId="36" r:id="rId32"/>
    <sheet name="Rattihali" sheetId="37" r:id="rId33"/>
    <sheet name="Gajendragada" sheetId="12" r:id="rId34"/>
    <sheet name="Gokak Dharwad PKG 3" sheetId="41" r:id="rId35"/>
    <sheet name="Ankalgi" sheetId="60" r:id="rId36"/>
    <sheet name=" Shankeshwar" sheetId="57" r:id="rId37"/>
    <sheet name=" Talikote" sheetId="26" r:id="rId38"/>
    <sheet name="Chadchan" sheetId="9" r:id="rId39"/>
    <sheet name="Sindagi" sheetId="33" r:id="rId40"/>
    <sheet name="Muddebihal" sheetId="34" r:id="rId41"/>
    <sheet name="Muddebhihal-2" sheetId="69" r:id="rId42"/>
    <sheet name="Alemela" sheetId="35" r:id="rId43"/>
    <sheet name="Nalatwad" sheetId="51" r:id="rId44"/>
    <sheet name="Srirangapatna" sheetId="19" r:id="rId45"/>
    <sheet name="BPCL March 25" sheetId="44" r:id="rId46"/>
    <sheet name=" HPCL March 2025" sheetId="45" r:id="rId47"/>
    <sheet name="YG Gudda Analysis" sheetId="75" r:id="rId48"/>
  </sheets>
  <definedNames>
    <definedName name="_xlnm._FilterDatabase" localSheetId="46" hidden="1">' HPCL March 2025'!$A$2:$O$2</definedName>
    <definedName name="_xlnm.Print_Area" localSheetId="14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75" l="1"/>
  <c r="B54" i="75"/>
  <c r="B55" i="75" a="1"/>
  <c r="B55" i="75"/>
  <c r="B56" i="75"/>
  <c r="W2" i="75"/>
  <c r="X2" i="75"/>
  <c r="W3" i="75"/>
  <c r="X3" i="75"/>
  <c r="S33" i="75"/>
  <c r="T33" i="75"/>
  <c r="U33" i="75"/>
  <c r="P33" i="75"/>
  <c r="Q33" i="75"/>
  <c r="S32" i="75"/>
  <c r="T32" i="75"/>
  <c r="U32" i="75"/>
  <c r="P32" i="75"/>
  <c r="Q32" i="75"/>
  <c r="S31" i="75"/>
  <c r="T31" i="75"/>
  <c r="U31" i="75"/>
  <c r="P31" i="75"/>
  <c r="Q31" i="75"/>
  <c r="S30" i="75"/>
  <c r="T30" i="75"/>
  <c r="U30" i="75"/>
  <c r="P30" i="75"/>
  <c r="Q30" i="75"/>
  <c r="S29" i="75"/>
  <c r="T29" i="75"/>
  <c r="U29" i="75"/>
  <c r="P29" i="75"/>
  <c r="Q29" i="75"/>
  <c r="S28" i="75"/>
  <c r="T28" i="75"/>
  <c r="U28" i="75"/>
  <c r="P28" i="75"/>
  <c r="Q28" i="75"/>
  <c r="S27" i="75"/>
  <c r="T27" i="75"/>
  <c r="U27" i="75"/>
  <c r="P27" i="75"/>
  <c r="Q27" i="75"/>
  <c r="S26" i="75"/>
  <c r="T26" i="75"/>
  <c r="U26" i="75"/>
  <c r="P26" i="75"/>
  <c r="Q26" i="75"/>
  <c r="S25" i="75"/>
  <c r="T25" i="75"/>
  <c r="U25" i="75"/>
  <c r="P25" i="75"/>
  <c r="Q25" i="75"/>
  <c r="S24" i="75"/>
  <c r="T24" i="75"/>
  <c r="U24" i="75"/>
  <c r="P24" i="75"/>
  <c r="Q24" i="75"/>
  <c r="S23" i="75"/>
  <c r="T23" i="75"/>
  <c r="U23" i="75"/>
  <c r="P23" i="75"/>
  <c r="Q23" i="75"/>
  <c r="S22" i="75"/>
  <c r="T22" i="75"/>
  <c r="U22" i="75"/>
  <c r="P22" i="75"/>
  <c r="Q22" i="75"/>
  <c r="S21" i="75"/>
  <c r="T21" i="75"/>
  <c r="U21" i="75"/>
  <c r="P21" i="75"/>
  <c r="Q21" i="75"/>
  <c r="S20" i="75"/>
  <c r="T20" i="75"/>
  <c r="U20" i="75"/>
  <c r="P20" i="75"/>
  <c r="Q20" i="75"/>
  <c r="S19" i="75"/>
  <c r="T19" i="75"/>
  <c r="U19" i="75"/>
  <c r="P19" i="75"/>
  <c r="Q19" i="75"/>
  <c r="S18" i="75"/>
  <c r="T18" i="75"/>
  <c r="U18" i="75"/>
  <c r="P18" i="75"/>
  <c r="Q18" i="75"/>
  <c r="S17" i="75"/>
  <c r="T17" i="75"/>
  <c r="U17" i="75"/>
  <c r="P17" i="75"/>
  <c r="Q17" i="75"/>
  <c r="S16" i="75"/>
  <c r="T16" i="75"/>
  <c r="U16" i="75"/>
  <c r="P16" i="75"/>
  <c r="Q16" i="75"/>
  <c r="S15" i="75"/>
  <c r="T15" i="75"/>
  <c r="U15" i="75"/>
  <c r="P15" i="75"/>
  <c r="Q15" i="75"/>
  <c r="S14" i="75"/>
  <c r="T14" i="75"/>
  <c r="U14" i="75"/>
  <c r="P14" i="75"/>
  <c r="Q14" i="75"/>
  <c r="S13" i="75"/>
  <c r="T13" i="75"/>
  <c r="U13" i="75"/>
  <c r="P13" i="75"/>
  <c r="Q13" i="75"/>
  <c r="S12" i="75"/>
  <c r="T12" i="75"/>
  <c r="U12" i="75"/>
  <c r="P12" i="75"/>
  <c r="Q12" i="75"/>
  <c r="S11" i="75"/>
  <c r="T11" i="75"/>
  <c r="U11" i="75"/>
  <c r="P11" i="75"/>
  <c r="Q11" i="75"/>
  <c r="S10" i="75"/>
  <c r="T10" i="75"/>
  <c r="U10" i="75"/>
  <c r="P10" i="75"/>
  <c r="Q10" i="75"/>
  <c r="S9" i="75"/>
  <c r="T9" i="75"/>
  <c r="U9" i="75"/>
  <c r="P9" i="75"/>
  <c r="Q9" i="75"/>
  <c r="S8" i="75"/>
  <c r="T8" i="75"/>
  <c r="U8" i="75"/>
  <c r="P8" i="75"/>
  <c r="Q8" i="75"/>
  <c r="S7" i="75"/>
  <c r="T7" i="75"/>
  <c r="U7" i="75"/>
  <c r="P7" i="75"/>
  <c r="Q7" i="75"/>
  <c r="S6" i="75"/>
  <c r="T6" i="75"/>
  <c r="U6" i="75"/>
  <c r="P6" i="75"/>
  <c r="Q6" i="75"/>
  <c r="S5" i="75"/>
  <c r="T5" i="75"/>
  <c r="U5" i="75"/>
  <c r="P5" i="75"/>
  <c r="Q5" i="75"/>
  <c r="S4" i="75"/>
  <c r="T4" i="75"/>
  <c r="U4" i="75"/>
  <c r="P4" i="75"/>
  <c r="Q4" i="75"/>
  <c r="S3" i="75"/>
  <c r="T3" i="75"/>
  <c r="U3" i="75"/>
  <c r="P3" i="75"/>
  <c r="Q3" i="75"/>
  <c r="S2" i="75"/>
  <c r="T2" i="75"/>
  <c r="U2" i="75"/>
  <c r="P2" i="75"/>
  <c r="Q2" i="75"/>
  <c r="A49" i="75"/>
  <c r="B49" i="75"/>
  <c r="C49" i="75"/>
  <c r="D49" i="75"/>
  <c r="E49" i="75"/>
  <c r="F49" i="75"/>
  <c r="G49" i="75"/>
  <c r="H49" i="75"/>
  <c r="A48" i="75"/>
  <c r="B48" i="75"/>
  <c r="C48" i="75"/>
  <c r="D48" i="75"/>
  <c r="E48" i="75"/>
  <c r="F48" i="75"/>
  <c r="G48" i="75"/>
  <c r="H48" i="75"/>
  <c r="A47" i="75"/>
  <c r="B47" i="75"/>
  <c r="C47" i="75"/>
  <c r="D47" i="75"/>
  <c r="E47" i="75"/>
  <c r="F47" i="75"/>
  <c r="G47" i="75"/>
  <c r="H47" i="75"/>
  <c r="A46" i="75"/>
  <c r="B46" i="75"/>
  <c r="C46" i="75"/>
  <c r="D46" i="75"/>
  <c r="E46" i="75"/>
  <c r="F46" i="75"/>
  <c r="G46" i="75"/>
  <c r="H46" i="75"/>
  <c r="A45" i="75"/>
  <c r="B45" i="75"/>
  <c r="C45" i="75"/>
  <c r="D45" i="75"/>
  <c r="E45" i="75"/>
  <c r="F45" i="75"/>
  <c r="G45" i="75"/>
  <c r="H45" i="75"/>
  <c r="A44" i="75"/>
  <c r="B44" i="75"/>
  <c r="C44" i="75"/>
  <c r="D44" i="75"/>
  <c r="E44" i="75"/>
  <c r="F44" i="75"/>
  <c r="G44" i="75"/>
  <c r="H44" i="75"/>
  <c r="A43" i="75"/>
  <c r="B43" i="75"/>
  <c r="C43" i="75"/>
  <c r="D43" i="75"/>
  <c r="E43" i="75"/>
  <c r="F43" i="75"/>
  <c r="G43" i="75"/>
  <c r="H43" i="75"/>
  <c r="A42" i="75"/>
  <c r="B42" i="75"/>
  <c r="C42" i="75"/>
  <c r="D42" i="75"/>
  <c r="E42" i="75"/>
  <c r="F42" i="75"/>
  <c r="G42" i="75"/>
  <c r="H42" i="75"/>
  <c r="A41" i="75"/>
  <c r="B41" i="75"/>
  <c r="C41" i="75"/>
  <c r="D41" i="75"/>
  <c r="E41" i="75"/>
  <c r="F41" i="75"/>
  <c r="G41" i="75"/>
  <c r="H41" i="75"/>
  <c r="A40" i="75"/>
  <c r="B40" i="75"/>
  <c r="C40" i="75"/>
  <c r="D40" i="75"/>
  <c r="E40" i="75"/>
  <c r="F40" i="75"/>
  <c r="G40" i="75"/>
  <c r="H40" i="75"/>
  <c r="A39" i="75"/>
  <c r="B39" i="75"/>
  <c r="C39" i="75"/>
  <c r="D39" i="75"/>
  <c r="E39" i="75"/>
  <c r="F39" i="75"/>
  <c r="G39" i="75"/>
  <c r="H39" i="75"/>
  <c r="A38" i="75"/>
  <c r="B38" i="75"/>
  <c r="C38" i="75"/>
  <c r="D38" i="75"/>
  <c r="E38" i="75"/>
  <c r="F38" i="75"/>
  <c r="G38" i="75"/>
  <c r="H38" i="75"/>
  <c r="A37" i="75"/>
  <c r="B37" i="75"/>
  <c r="C37" i="75"/>
  <c r="D37" i="75"/>
  <c r="E37" i="75"/>
  <c r="F37" i="75"/>
  <c r="G37" i="75"/>
  <c r="H37" i="75"/>
  <c r="A36" i="75"/>
  <c r="B36" i="75"/>
  <c r="C36" i="75"/>
  <c r="D36" i="75"/>
  <c r="E36" i="75"/>
  <c r="F36" i="75"/>
  <c r="G36" i="75"/>
  <c r="H36" i="75"/>
  <c r="A35" i="75"/>
  <c r="B35" i="75"/>
  <c r="C35" i="75"/>
  <c r="D35" i="75"/>
  <c r="E35" i="75"/>
  <c r="F35" i="75"/>
  <c r="G35" i="75"/>
  <c r="H35" i="75"/>
  <c r="A34" i="75"/>
  <c r="B34" i="75"/>
  <c r="C34" i="75"/>
  <c r="D34" i="75"/>
  <c r="E34" i="75"/>
  <c r="F34" i="75"/>
  <c r="G34" i="75"/>
  <c r="H34" i="75"/>
  <c r="A33" i="75"/>
  <c r="B33" i="75"/>
  <c r="C33" i="75"/>
  <c r="D33" i="75"/>
  <c r="E33" i="75"/>
  <c r="F33" i="75"/>
  <c r="G33" i="75"/>
  <c r="H33" i="75"/>
  <c r="A32" i="75"/>
  <c r="B32" i="75"/>
  <c r="C32" i="75"/>
  <c r="D32" i="75"/>
  <c r="E32" i="75"/>
  <c r="F32" i="75"/>
  <c r="G32" i="75"/>
  <c r="H32" i="75"/>
  <c r="A31" i="75"/>
  <c r="B31" i="75"/>
  <c r="C31" i="75"/>
  <c r="D31" i="75"/>
  <c r="E31" i="75"/>
  <c r="F31" i="75"/>
  <c r="G31" i="75"/>
  <c r="H31" i="75"/>
  <c r="A30" i="75"/>
  <c r="B30" i="75"/>
  <c r="C30" i="75"/>
  <c r="D30" i="75"/>
  <c r="E30" i="75"/>
  <c r="F30" i="75"/>
  <c r="G30" i="75"/>
  <c r="H30" i="75"/>
  <c r="A29" i="75"/>
  <c r="B29" i="75"/>
  <c r="C29" i="75"/>
  <c r="D29" i="75"/>
  <c r="E29" i="75"/>
  <c r="F29" i="75"/>
  <c r="G29" i="75"/>
  <c r="H29" i="75"/>
  <c r="A28" i="75"/>
  <c r="B28" i="75"/>
  <c r="C28" i="75"/>
  <c r="D28" i="75"/>
  <c r="E28" i="75"/>
  <c r="F28" i="75"/>
  <c r="G28" i="75"/>
  <c r="H28" i="75"/>
  <c r="A27" i="75"/>
  <c r="B27" i="75"/>
  <c r="C27" i="75"/>
  <c r="D27" i="75"/>
  <c r="E27" i="75"/>
  <c r="F27" i="75"/>
  <c r="G27" i="75"/>
  <c r="H27" i="75"/>
  <c r="A26" i="75"/>
  <c r="B26" i="75"/>
  <c r="C26" i="75"/>
  <c r="D26" i="75"/>
  <c r="E26" i="75"/>
  <c r="F26" i="75"/>
  <c r="G26" i="75"/>
  <c r="H26" i="75"/>
  <c r="A25" i="75"/>
  <c r="B25" i="75"/>
  <c r="C25" i="75"/>
  <c r="D25" i="75"/>
  <c r="E25" i="75"/>
  <c r="F25" i="75"/>
  <c r="G25" i="75"/>
  <c r="H25" i="75"/>
  <c r="A24" i="75"/>
  <c r="B24" i="75"/>
  <c r="C24" i="75"/>
  <c r="D24" i="75"/>
  <c r="E24" i="75"/>
  <c r="F24" i="75"/>
  <c r="G24" i="75"/>
  <c r="H24" i="75"/>
  <c r="A23" i="75"/>
  <c r="B23" i="75"/>
  <c r="C23" i="75"/>
  <c r="D23" i="75"/>
  <c r="E23" i="75"/>
  <c r="F23" i="75"/>
  <c r="G23" i="75"/>
  <c r="H23" i="75"/>
  <c r="A22" i="75"/>
  <c r="B22" i="75"/>
  <c r="C22" i="75"/>
  <c r="D22" i="75"/>
  <c r="E22" i="75"/>
  <c r="F22" i="75"/>
  <c r="G22" i="75"/>
  <c r="H22" i="75"/>
  <c r="A21" i="75"/>
  <c r="B21" i="75"/>
  <c r="C21" i="75"/>
  <c r="D21" i="75"/>
  <c r="E21" i="75"/>
  <c r="F21" i="75"/>
  <c r="G21" i="75"/>
  <c r="H21" i="75"/>
  <c r="A20" i="75"/>
  <c r="B20" i="75"/>
  <c r="C20" i="75"/>
  <c r="D20" i="75"/>
  <c r="E20" i="75"/>
  <c r="F20" i="75"/>
  <c r="G20" i="75"/>
  <c r="H20" i="75"/>
  <c r="A19" i="75"/>
  <c r="B19" i="75"/>
  <c r="C19" i="75"/>
  <c r="D19" i="75"/>
  <c r="E19" i="75"/>
  <c r="F19" i="75"/>
  <c r="G19" i="75"/>
  <c r="H19" i="75"/>
  <c r="A18" i="75"/>
  <c r="B18" i="75"/>
  <c r="C18" i="75"/>
  <c r="D18" i="75"/>
  <c r="E18" i="75"/>
  <c r="F18" i="75"/>
  <c r="G18" i="75"/>
  <c r="H18" i="75"/>
  <c r="A5" i="75"/>
  <c r="B5" i="75"/>
  <c r="C5" i="75"/>
  <c r="D5" i="75" a="1"/>
  <c r="D5" i="75"/>
  <c r="E5" i="75"/>
  <c r="F5" i="75"/>
  <c r="G5" i="75"/>
  <c r="H5" i="75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39" i="33"/>
  <c r="M40" i="33"/>
  <c r="M41" i="33"/>
  <c r="M42" i="33"/>
  <c r="M43" i="33"/>
  <c r="M44" i="33"/>
  <c r="K5" i="45"/>
  <c r="K20" i="45"/>
  <c r="K18" i="45"/>
  <c r="K19" i="45"/>
  <c r="K59" i="44"/>
  <c r="K60" i="44"/>
  <c r="K61" i="44"/>
  <c r="K62" i="44"/>
  <c r="K63" i="44"/>
  <c r="K64" i="44"/>
  <c r="K65" i="44"/>
  <c r="K66" i="44"/>
  <c r="K67" i="44"/>
  <c r="K68" i="44"/>
  <c r="K69" i="44"/>
  <c r="K70" i="44"/>
  <c r="J70" i="44"/>
  <c r="K58" i="44"/>
  <c r="L35" i="54"/>
  <c r="H35" i="54"/>
  <c r="E35" i="54"/>
  <c r="Q34" i="54"/>
  <c r="J34" i="54"/>
  <c r="G34" i="54"/>
  <c r="K34" i="54" s="1"/>
  <c r="J33" i="54"/>
  <c r="G33" i="54"/>
  <c r="K33" i="54" s="1"/>
  <c r="J32" i="54"/>
  <c r="G32" i="54"/>
  <c r="K32" i="54" s="1"/>
  <c r="J31" i="54"/>
  <c r="G31" i="54"/>
  <c r="K31" i="54" s="1"/>
  <c r="J30" i="54"/>
  <c r="G30" i="54"/>
  <c r="K30" i="54" s="1"/>
  <c r="J29" i="54"/>
  <c r="G29" i="54"/>
  <c r="K29" i="54" s="1"/>
  <c r="J28" i="54"/>
  <c r="G28" i="54"/>
  <c r="K28" i="54" s="1"/>
  <c r="J27" i="54"/>
  <c r="G27" i="54"/>
  <c r="K27" i="54" s="1"/>
  <c r="J26" i="54"/>
  <c r="G26" i="54"/>
  <c r="K26" i="54" s="1"/>
  <c r="J25" i="54"/>
  <c r="G25" i="54"/>
  <c r="K25" i="54" s="1"/>
  <c r="J24" i="54"/>
  <c r="G24" i="54"/>
  <c r="K24" i="54" s="1"/>
  <c r="J23" i="54"/>
  <c r="G23" i="54"/>
  <c r="K23" i="54" s="1"/>
  <c r="J22" i="54"/>
  <c r="G22" i="54"/>
  <c r="K22" i="54" s="1"/>
  <c r="J21" i="54"/>
  <c r="G21" i="54"/>
  <c r="K21" i="54" s="1"/>
  <c r="J20" i="54"/>
  <c r="G20" i="54"/>
  <c r="K20" i="54" s="1"/>
  <c r="J19" i="54"/>
  <c r="G19" i="54"/>
  <c r="K19" i="54" s="1"/>
  <c r="J18" i="54"/>
  <c r="G18" i="54"/>
  <c r="K18" i="54" s="1"/>
  <c r="J17" i="54"/>
  <c r="G17" i="54"/>
  <c r="K17" i="54" s="1"/>
  <c r="J16" i="54"/>
  <c r="G16" i="54"/>
  <c r="K16" i="54" s="1"/>
  <c r="J15" i="54"/>
  <c r="G15" i="54"/>
  <c r="K15" i="54" s="1"/>
  <c r="J14" i="54"/>
  <c r="G14" i="54"/>
  <c r="K14" i="54" s="1"/>
  <c r="J13" i="54"/>
  <c r="G13" i="54"/>
  <c r="K13" i="54" s="1"/>
  <c r="J12" i="54"/>
  <c r="G12" i="54"/>
  <c r="K12" i="54" s="1"/>
  <c r="J11" i="54"/>
  <c r="G11" i="54"/>
  <c r="K11" i="54" s="1"/>
  <c r="J10" i="54"/>
  <c r="G10" i="54"/>
  <c r="K10" i="54" s="1"/>
  <c r="J9" i="54"/>
  <c r="G9" i="54"/>
  <c r="K9" i="54" s="1"/>
  <c r="J8" i="54"/>
  <c r="G8" i="54"/>
  <c r="K8" i="54" s="1"/>
  <c r="J7" i="54"/>
  <c r="G7" i="54"/>
  <c r="K7" i="54" s="1"/>
  <c r="J6" i="54"/>
  <c r="G6" i="54"/>
  <c r="K6" i="54" s="1"/>
  <c r="J5" i="54"/>
  <c r="G5" i="54"/>
  <c r="K5" i="54" s="1"/>
  <c r="J4" i="54"/>
  <c r="J35" i="54" s="1"/>
  <c r="G4" i="54"/>
  <c r="M3" i="54"/>
  <c r="M33" i="37"/>
  <c r="P3" i="11"/>
  <c r="E35" i="10"/>
  <c r="J32" i="51"/>
  <c r="K32" i="51"/>
  <c r="M32" i="51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K25" i="22"/>
  <c r="G25" i="22"/>
  <c r="E54" i="22"/>
  <c r="G30" i="60"/>
  <c r="G31" i="60"/>
  <c r="G30" i="50"/>
  <c r="M28" i="68"/>
  <c r="M29" i="68"/>
  <c r="L31" i="68"/>
  <c r="M17" i="65"/>
  <c r="G17" i="65"/>
  <c r="G26" i="60"/>
  <c r="G27" i="60"/>
  <c r="G28" i="60"/>
  <c r="G29" i="60"/>
  <c r="G26" i="45"/>
  <c r="I20" i="56"/>
  <c r="K15" i="45"/>
  <c r="K17" i="45"/>
  <c r="K10" i="45"/>
  <c r="K9" i="45"/>
  <c r="K11" i="45"/>
  <c r="K12" i="45"/>
  <c r="K13" i="45"/>
  <c r="K14" i="45"/>
  <c r="K16" i="45"/>
  <c r="K7" i="45"/>
  <c r="K8" i="45"/>
  <c r="J26" i="25"/>
  <c r="G26" i="25"/>
  <c r="G18" i="60"/>
  <c r="G19" i="60"/>
  <c r="G20" i="60"/>
  <c r="G21" i="60"/>
  <c r="G22" i="60"/>
  <c r="G23" i="60"/>
  <c r="G24" i="60"/>
  <c r="G25" i="60"/>
  <c r="M21" i="24"/>
  <c r="H35" i="74"/>
  <c r="E35" i="74"/>
  <c r="J33" i="74"/>
  <c r="G33" i="74"/>
  <c r="K33" i="74" s="1"/>
  <c r="L33" i="74" s="1"/>
  <c r="J32" i="74"/>
  <c r="G32" i="74"/>
  <c r="K32" i="74" s="1"/>
  <c r="L32" i="74" s="1"/>
  <c r="J31" i="74"/>
  <c r="G31" i="74"/>
  <c r="K31" i="74" s="1"/>
  <c r="L31" i="74" s="1"/>
  <c r="J30" i="74"/>
  <c r="G30" i="74"/>
  <c r="K30" i="74" s="1"/>
  <c r="L30" i="74" s="1"/>
  <c r="J29" i="74"/>
  <c r="G29" i="74"/>
  <c r="K29" i="74" s="1"/>
  <c r="L29" i="74" s="1"/>
  <c r="J28" i="74"/>
  <c r="G28" i="74"/>
  <c r="K28" i="74" s="1"/>
  <c r="L28" i="74" s="1"/>
  <c r="J27" i="74"/>
  <c r="G27" i="74"/>
  <c r="K27" i="74" s="1"/>
  <c r="L27" i="74" s="1"/>
  <c r="J26" i="74"/>
  <c r="G26" i="74"/>
  <c r="K26" i="74" s="1"/>
  <c r="L26" i="74" s="1"/>
  <c r="J25" i="74"/>
  <c r="G25" i="74"/>
  <c r="K25" i="74" s="1"/>
  <c r="L25" i="74" s="1"/>
  <c r="J24" i="74"/>
  <c r="G24" i="74"/>
  <c r="K24" i="74" s="1"/>
  <c r="L24" i="74" s="1"/>
  <c r="J23" i="74"/>
  <c r="G23" i="74"/>
  <c r="K23" i="74" s="1"/>
  <c r="L23" i="74" s="1"/>
  <c r="J22" i="74"/>
  <c r="G22" i="74"/>
  <c r="K22" i="74" s="1"/>
  <c r="L22" i="74" s="1"/>
  <c r="J21" i="74"/>
  <c r="G21" i="74"/>
  <c r="K21" i="74" s="1"/>
  <c r="L21" i="74" s="1"/>
  <c r="J20" i="74"/>
  <c r="G20" i="74"/>
  <c r="K20" i="74" s="1"/>
  <c r="L20" i="74" s="1"/>
  <c r="J19" i="74"/>
  <c r="G19" i="74"/>
  <c r="K19" i="74" s="1"/>
  <c r="L19" i="74" s="1"/>
  <c r="J18" i="74"/>
  <c r="G18" i="74"/>
  <c r="K18" i="74" s="1"/>
  <c r="L18" i="74" s="1"/>
  <c r="J17" i="74"/>
  <c r="G17" i="74"/>
  <c r="K17" i="74" s="1"/>
  <c r="L17" i="74" s="1"/>
  <c r="J16" i="74"/>
  <c r="G16" i="74"/>
  <c r="K16" i="74" s="1"/>
  <c r="L16" i="74" s="1"/>
  <c r="J15" i="74"/>
  <c r="G15" i="74"/>
  <c r="K15" i="74" s="1"/>
  <c r="L15" i="74" s="1"/>
  <c r="J14" i="74"/>
  <c r="G14" i="74"/>
  <c r="K14" i="74" s="1"/>
  <c r="L14" i="74" s="1"/>
  <c r="J13" i="74"/>
  <c r="G13" i="74"/>
  <c r="K13" i="74" s="1"/>
  <c r="L13" i="74" s="1"/>
  <c r="J12" i="74"/>
  <c r="G12" i="74"/>
  <c r="K12" i="74" s="1"/>
  <c r="L12" i="74" s="1"/>
  <c r="J11" i="74"/>
  <c r="G11" i="74"/>
  <c r="K11" i="74" s="1"/>
  <c r="L11" i="74" s="1"/>
  <c r="J10" i="74"/>
  <c r="G10" i="74"/>
  <c r="K10" i="74" s="1"/>
  <c r="L10" i="74" s="1"/>
  <c r="J9" i="74"/>
  <c r="G9" i="74"/>
  <c r="K9" i="74" s="1"/>
  <c r="L9" i="74" s="1"/>
  <c r="J8" i="74"/>
  <c r="G8" i="74"/>
  <c r="K8" i="74" s="1"/>
  <c r="L8" i="74" s="1"/>
  <c r="J7" i="74"/>
  <c r="G7" i="74"/>
  <c r="K7" i="74" s="1"/>
  <c r="L7" i="74" s="1"/>
  <c r="J6" i="74"/>
  <c r="G6" i="74"/>
  <c r="K6" i="74" s="1"/>
  <c r="L6" i="74" s="1"/>
  <c r="J5" i="74"/>
  <c r="G5" i="74"/>
  <c r="K5" i="74" s="1"/>
  <c r="L5" i="74" s="1"/>
  <c r="J4" i="74"/>
  <c r="J35" i="74" s="1"/>
  <c r="G4" i="74"/>
  <c r="M3" i="74"/>
  <c r="H35" i="73"/>
  <c r="F20" i="56" s="1"/>
  <c r="E35" i="73"/>
  <c r="D20" i="56" s="1"/>
  <c r="J33" i="73"/>
  <c r="G33" i="73"/>
  <c r="K33" i="73" s="1"/>
  <c r="L33" i="73" s="1"/>
  <c r="J32" i="73"/>
  <c r="G32" i="73"/>
  <c r="K32" i="73" s="1"/>
  <c r="L32" i="73" s="1"/>
  <c r="J31" i="73"/>
  <c r="G31" i="73"/>
  <c r="K31" i="73" s="1"/>
  <c r="L31" i="73" s="1"/>
  <c r="J30" i="73"/>
  <c r="G30" i="73"/>
  <c r="K30" i="73" s="1"/>
  <c r="L30" i="73" s="1"/>
  <c r="J29" i="73"/>
  <c r="G29" i="73"/>
  <c r="K29" i="73" s="1"/>
  <c r="L29" i="73" s="1"/>
  <c r="J28" i="73"/>
  <c r="G28" i="73"/>
  <c r="K28" i="73" s="1"/>
  <c r="L28" i="73" s="1"/>
  <c r="J27" i="73"/>
  <c r="G27" i="73"/>
  <c r="K27" i="73" s="1"/>
  <c r="L27" i="73" s="1"/>
  <c r="J26" i="73"/>
  <c r="G26" i="73"/>
  <c r="K26" i="73" s="1"/>
  <c r="L26" i="73" s="1"/>
  <c r="J25" i="73"/>
  <c r="G25" i="73"/>
  <c r="K25" i="73" s="1"/>
  <c r="L25" i="73" s="1"/>
  <c r="J24" i="73"/>
  <c r="G24" i="73"/>
  <c r="K24" i="73" s="1"/>
  <c r="L24" i="73" s="1"/>
  <c r="J23" i="73"/>
  <c r="G23" i="73"/>
  <c r="K23" i="73" s="1"/>
  <c r="L23" i="73" s="1"/>
  <c r="J22" i="73"/>
  <c r="G22" i="73"/>
  <c r="K22" i="73" s="1"/>
  <c r="L22" i="73" s="1"/>
  <c r="J21" i="73"/>
  <c r="G21" i="73"/>
  <c r="K21" i="73" s="1"/>
  <c r="L21" i="73" s="1"/>
  <c r="J20" i="73"/>
  <c r="G20" i="73"/>
  <c r="K20" i="73" s="1"/>
  <c r="L20" i="73" s="1"/>
  <c r="J19" i="73"/>
  <c r="G19" i="73"/>
  <c r="K19" i="73" s="1"/>
  <c r="L19" i="73" s="1"/>
  <c r="J18" i="73"/>
  <c r="G18" i="73"/>
  <c r="K18" i="73" s="1"/>
  <c r="L18" i="73" s="1"/>
  <c r="J17" i="73"/>
  <c r="G17" i="73"/>
  <c r="K17" i="73" s="1"/>
  <c r="L17" i="73" s="1"/>
  <c r="J16" i="73"/>
  <c r="G16" i="73"/>
  <c r="K16" i="73" s="1"/>
  <c r="L16" i="73" s="1"/>
  <c r="J15" i="73"/>
  <c r="G15" i="73"/>
  <c r="K15" i="73" s="1"/>
  <c r="L15" i="73" s="1"/>
  <c r="J14" i="73"/>
  <c r="G14" i="73"/>
  <c r="K14" i="73" s="1"/>
  <c r="L14" i="73" s="1"/>
  <c r="J13" i="73"/>
  <c r="G13" i="73"/>
  <c r="K13" i="73" s="1"/>
  <c r="L13" i="73" s="1"/>
  <c r="J12" i="73"/>
  <c r="G12" i="73"/>
  <c r="K12" i="73" s="1"/>
  <c r="L12" i="73" s="1"/>
  <c r="J11" i="73"/>
  <c r="G11" i="73"/>
  <c r="K11" i="73" s="1"/>
  <c r="L11" i="73" s="1"/>
  <c r="J10" i="73"/>
  <c r="G10" i="73"/>
  <c r="K10" i="73" s="1"/>
  <c r="L10" i="73" s="1"/>
  <c r="J9" i="73"/>
  <c r="G9" i="73"/>
  <c r="K9" i="73" s="1"/>
  <c r="L9" i="73" s="1"/>
  <c r="J8" i="73"/>
  <c r="G8" i="73"/>
  <c r="K8" i="73" s="1"/>
  <c r="L8" i="73" s="1"/>
  <c r="J7" i="73"/>
  <c r="G7" i="73"/>
  <c r="K7" i="73" s="1"/>
  <c r="L7" i="73" s="1"/>
  <c r="J6" i="73"/>
  <c r="G6" i="73"/>
  <c r="K6" i="73" s="1"/>
  <c r="L6" i="73" s="1"/>
  <c r="J5" i="73"/>
  <c r="G5" i="73"/>
  <c r="K5" i="73" s="1"/>
  <c r="L5" i="73" s="1"/>
  <c r="J4" i="73"/>
  <c r="J35" i="73" s="1"/>
  <c r="G20" i="56" s="1"/>
  <c r="G4" i="73"/>
  <c r="M3" i="73"/>
  <c r="G17" i="22"/>
  <c r="K17" i="22" s="1"/>
  <c r="G22" i="22"/>
  <c r="K22" i="22" s="1"/>
  <c r="G21" i="22"/>
  <c r="K21" i="22" s="1"/>
  <c r="G18" i="72"/>
  <c r="G19" i="72"/>
  <c r="M18" i="15"/>
  <c r="M19" i="15"/>
  <c r="M20" i="15"/>
  <c r="K17" i="15"/>
  <c r="G17" i="15"/>
  <c r="M18" i="24"/>
  <c r="H17" i="26"/>
  <c r="K18" i="10"/>
  <c r="G17" i="72"/>
  <c r="G17" i="60"/>
  <c r="G15" i="60"/>
  <c r="G16" i="60"/>
  <c r="Q14" i="18"/>
  <c r="K15" i="34"/>
  <c r="J15" i="34"/>
  <c r="J13" i="14"/>
  <c r="G13" i="14"/>
  <c r="K13" i="14" s="1"/>
  <c r="G21" i="44"/>
  <c r="M13" i="24"/>
  <c r="G14" i="60"/>
  <c r="H35" i="9"/>
  <c r="G11" i="68"/>
  <c r="K11" i="68"/>
  <c r="G15" i="22"/>
  <c r="K15" i="22" s="1"/>
  <c r="G13" i="60"/>
  <c r="G11" i="60"/>
  <c r="G12" i="60"/>
  <c r="K6" i="45"/>
  <c r="K4" i="45"/>
  <c r="P17" i="71"/>
  <c r="Q12" i="71"/>
  <c r="O12" i="71"/>
  <c r="G10" i="60"/>
  <c r="G9" i="60"/>
  <c r="G7" i="60"/>
  <c r="G8" i="60"/>
  <c r="I7" i="56"/>
  <c r="I6" i="56"/>
  <c r="G6" i="56"/>
  <c r="F6" i="56"/>
  <c r="G7" i="56"/>
  <c r="L35" i="72"/>
  <c r="J6" i="56" s="1"/>
  <c r="H35" i="72"/>
  <c r="E35" i="72"/>
  <c r="D6" i="56" s="1"/>
  <c r="J34" i="72"/>
  <c r="G34" i="72"/>
  <c r="K34" i="72" s="1"/>
  <c r="J33" i="72"/>
  <c r="G33" i="72"/>
  <c r="K33" i="72" s="1"/>
  <c r="J32" i="72"/>
  <c r="G32" i="72"/>
  <c r="K32" i="72" s="1"/>
  <c r="J31" i="72"/>
  <c r="G31" i="72"/>
  <c r="K31" i="72" s="1"/>
  <c r="J30" i="72"/>
  <c r="G30" i="72"/>
  <c r="K30" i="72" s="1"/>
  <c r="J29" i="72"/>
  <c r="G29" i="72"/>
  <c r="K29" i="72" s="1"/>
  <c r="J28" i="72"/>
  <c r="G28" i="72"/>
  <c r="K28" i="72" s="1"/>
  <c r="J27" i="72"/>
  <c r="G27" i="72"/>
  <c r="K27" i="72" s="1"/>
  <c r="J26" i="72"/>
  <c r="G26" i="72"/>
  <c r="K26" i="72" s="1"/>
  <c r="J25" i="72"/>
  <c r="G25" i="72"/>
  <c r="K25" i="72" s="1"/>
  <c r="J24" i="72"/>
  <c r="G24" i="72"/>
  <c r="K24" i="72" s="1"/>
  <c r="J23" i="72"/>
  <c r="G23" i="72"/>
  <c r="K23" i="72" s="1"/>
  <c r="J22" i="72"/>
  <c r="G22" i="72"/>
  <c r="K22" i="72" s="1"/>
  <c r="J21" i="72"/>
  <c r="G21" i="72"/>
  <c r="K21" i="72" s="1"/>
  <c r="J20" i="72"/>
  <c r="G20" i="72"/>
  <c r="K20" i="72" s="1"/>
  <c r="J19" i="72"/>
  <c r="K19" i="72" s="1"/>
  <c r="J18" i="72"/>
  <c r="K18" i="72" s="1"/>
  <c r="J17" i="72"/>
  <c r="K17" i="72" s="1"/>
  <c r="J16" i="72"/>
  <c r="G16" i="72"/>
  <c r="K16" i="72" s="1"/>
  <c r="J15" i="72"/>
  <c r="G15" i="72"/>
  <c r="K15" i="72" s="1"/>
  <c r="J14" i="72"/>
  <c r="G14" i="72"/>
  <c r="K14" i="72" s="1"/>
  <c r="J13" i="72"/>
  <c r="G13" i="72"/>
  <c r="K13" i="72" s="1"/>
  <c r="J12" i="72"/>
  <c r="G12" i="72"/>
  <c r="K12" i="72" s="1"/>
  <c r="J11" i="72"/>
  <c r="G11" i="72"/>
  <c r="K11" i="72" s="1"/>
  <c r="J10" i="72"/>
  <c r="G10" i="72"/>
  <c r="K10" i="72" s="1"/>
  <c r="J9" i="72"/>
  <c r="G9" i="72"/>
  <c r="K9" i="72" s="1"/>
  <c r="J8" i="72"/>
  <c r="G8" i="72"/>
  <c r="K8" i="72" s="1"/>
  <c r="J7" i="72"/>
  <c r="G7" i="72"/>
  <c r="K7" i="72" s="1"/>
  <c r="J6" i="72"/>
  <c r="G6" i="72"/>
  <c r="K6" i="72" s="1"/>
  <c r="J5" i="72"/>
  <c r="G5" i="72"/>
  <c r="K5" i="72" s="1"/>
  <c r="J4" i="72"/>
  <c r="J35" i="72" s="1"/>
  <c r="G4" i="72"/>
  <c r="J7" i="61"/>
  <c r="K7" i="61"/>
  <c r="J7" i="22"/>
  <c r="K7" i="22" s="1"/>
  <c r="I31" i="56"/>
  <c r="I19" i="56"/>
  <c r="G6" i="6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K7" i="68"/>
  <c r="K8" i="68"/>
  <c r="K10" i="68"/>
  <c r="K12" i="68"/>
  <c r="K13" i="68"/>
  <c r="K15" i="68"/>
  <c r="K17" i="68"/>
  <c r="K18" i="68"/>
  <c r="K19" i="68"/>
  <c r="K20" i="68"/>
  <c r="K22" i="68"/>
  <c r="K23" i="68"/>
  <c r="K25" i="68"/>
  <c r="K26" i="68"/>
  <c r="K27" i="68"/>
  <c r="K29" i="68"/>
  <c r="K31" i="68"/>
  <c r="K32" i="68"/>
  <c r="K33" i="68"/>
  <c r="J7" i="68"/>
  <c r="J8" i="68"/>
  <c r="J9" i="68"/>
  <c r="J10" i="68"/>
  <c r="J11" i="68"/>
  <c r="J12" i="68"/>
  <c r="J13" i="68"/>
  <c r="J14" i="68"/>
  <c r="K14" i="68" s="1"/>
  <c r="J15" i="68"/>
  <c r="J16" i="68"/>
  <c r="J17" i="68"/>
  <c r="J18" i="68"/>
  <c r="J19" i="68"/>
  <c r="J20" i="68"/>
  <c r="J21" i="68"/>
  <c r="J22" i="68"/>
  <c r="J23" i="68"/>
  <c r="J24" i="68"/>
  <c r="J25" i="68"/>
  <c r="J26" i="68"/>
  <c r="J27" i="68"/>
  <c r="J28" i="68"/>
  <c r="J29" i="68"/>
  <c r="J30" i="68"/>
  <c r="J31" i="68"/>
  <c r="J32" i="68"/>
  <c r="J33" i="68"/>
  <c r="K6" i="68"/>
  <c r="J6" i="68"/>
  <c r="G7" i="68"/>
  <c r="G8" i="68"/>
  <c r="G9" i="68"/>
  <c r="K9" i="68" s="1"/>
  <c r="G10" i="68"/>
  <c r="G12" i="68"/>
  <c r="G13" i="68"/>
  <c r="G14" i="68"/>
  <c r="G15" i="68"/>
  <c r="G16" i="68"/>
  <c r="K16" i="68" s="1"/>
  <c r="G17" i="68"/>
  <c r="G18" i="68"/>
  <c r="G19" i="68"/>
  <c r="G20" i="68"/>
  <c r="G21" i="68"/>
  <c r="K21" i="68" s="1"/>
  <c r="G22" i="68"/>
  <c r="G23" i="68"/>
  <c r="G24" i="68"/>
  <c r="K24" i="68" s="1"/>
  <c r="G25" i="68"/>
  <c r="G26" i="68"/>
  <c r="G27" i="68"/>
  <c r="G28" i="68"/>
  <c r="K28" i="68" s="1"/>
  <c r="G29" i="68"/>
  <c r="G30" i="68"/>
  <c r="K30" i="68" s="1"/>
  <c r="M30" i="68" s="1"/>
  <c r="M31" i="68" s="1"/>
  <c r="M32" i="68" s="1"/>
  <c r="M33" i="68" s="1"/>
  <c r="G31" i="68"/>
  <c r="G32" i="68"/>
  <c r="G33" i="68"/>
  <c r="G6" i="68"/>
  <c r="G10" i="7"/>
  <c r="J10" i="7"/>
  <c r="K10" i="7"/>
  <c r="G11" i="7"/>
  <c r="J11" i="7"/>
  <c r="K11" i="7"/>
  <c r="G12" i="7"/>
  <c r="J12" i="7"/>
  <c r="K12" i="7"/>
  <c r="G13" i="7"/>
  <c r="J13" i="7"/>
  <c r="K13" i="7"/>
  <c r="G14" i="7"/>
  <c r="J14" i="7"/>
  <c r="K14" i="7"/>
  <c r="G15" i="7"/>
  <c r="J15" i="7"/>
  <c r="K15" i="7"/>
  <c r="G16" i="7"/>
  <c r="J16" i="7"/>
  <c r="K16" i="7"/>
  <c r="G17" i="7"/>
  <c r="J17" i="7"/>
  <c r="K17" i="7"/>
  <c r="H35" i="71"/>
  <c r="J5" i="63"/>
  <c r="G5" i="63"/>
  <c r="K5" i="63" s="1"/>
  <c r="G4" i="18"/>
  <c r="G5" i="60"/>
  <c r="M47" i="18"/>
  <c r="G16" i="35"/>
  <c r="G17" i="35"/>
  <c r="H43" i="35"/>
  <c r="G14" i="35"/>
  <c r="G15" i="35"/>
  <c r="K10" i="56"/>
  <c r="I10" i="56"/>
  <c r="F10" i="56"/>
  <c r="E35" i="71"/>
  <c r="D10" i="56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30" i="71"/>
  <c r="G30" i="71"/>
  <c r="K30" i="71" s="1"/>
  <c r="L30" i="71" s="1"/>
  <c r="J29" i="71"/>
  <c r="G29" i="71"/>
  <c r="K29" i="71" s="1"/>
  <c r="L29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G6" i="71"/>
  <c r="K6" i="71" s="1"/>
  <c r="L6" i="71" s="1"/>
  <c r="J5" i="71"/>
  <c r="G5" i="71"/>
  <c r="K5" i="71" s="1"/>
  <c r="L5" i="71" s="1"/>
  <c r="J4" i="71"/>
  <c r="J35" i="71" s="1"/>
  <c r="G10" i="56" s="1"/>
  <c r="G4" i="71"/>
  <c r="Y24" i="19"/>
  <c r="Y22" i="19"/>
  <c r="Y23" i="19"/>
  <c r="Y21" i="19"/>
  <c r="Y25" i="19"/>
  <c r="X22" i="19"/>
  <c r="X23" i="19"/>
  <c r="X24" i="19"/>
  <c r="X25" i="19"/>
  <c r="T23" i="19"/>
  <c r="T24" i="19"/>
  <c r="T25" i="19"/>
  <c r="J36" i="22"/>
  <c r="G36" i="22"/>
  <c r="K36" i="22" s="1"/>
  <c r="J26" i="22"/>
  <c r="H54" i="22"/>
  <c r="U22" i="34"/>
  <c r="U21" i="34"/>
  <c r="V22" i="34"/>
  <c r="V21" i="34"/>
  <c r="T22" i="34"/>
  <c r="T21" i="34"/>
  <c r="I41" i="56"/>
  <c r="I9" i="56"/>
  <c r="G9" i="56"/>
  <c r="F9" i="56"/>
  <c r="L35" i="70"/>
  <c r="J9" i="56" s="1"/>
  <c r="H35" i="70"/>
  <c r="E35" i="70"/>
  <c r="D9" i="56" s="1"/>
  <c r="J34" i="70"/>
  <c r="G34" i="70"/>
  <c r="K34" i="70" s="1"/>
  <c r="J33" i="70"/>
  <c r="G33" i="70"/>
  <c r="K33" i="70" s="1"/>
  <c r="J32" i="70"/>
  <c r="G32" i="70"/>
  <c r="K32" i="70" s="1"/>
  <c r="J31" i="70"/>
  <c r="G31" i="70"/>
  <c r="K31" i="70" s="1"/>
  <c r="J30" i="70"/>
  <c r="G30" i="70"/>
  <c r="K30" i="70" s="1"/>
  <c r="J29" i="70"/>
  <c r="G29" i="70"/>
  <c r="K29" i="70" s="1"/>
  <c r="J28" i="70"/>
  <c r="G28" i="70"/>
  <c r="K28" i="70" s="1"/>
  <c r="J27" i="70"/>
  <c r="G27" i="70"/>
  <c r="K27" i="70" s="1"/>
  <c r="J26" i="70"/>
  <c r="G26" i="70"/>
  <c r="K26" i="70" s="1"/>
  <c r="J25" i="70"/>
  <c r="G25" i="70"/>
  <c r="K25" i="70" s="1"/>
  <c r="J24" i="70"/>
  <c r="G24" i="70"/>
  <c r="K24" i="70" s="1"/>
  <c r="J23" i="70"/>
  <c r="G23" i="70"/>
  <c r="K23" i="70" s="1"/>
  <c r="J22" i="70"/>
  <c r="G22" i="70"/>
  <c r="K22" i="70" s="1"/>
  <c r="J21" i="70"/>
  <c r="G21" i="70"/>
  <c r="K21" i="70" s="1"/>
  <c r="J20" i="70"/>
  <c r="G20" i="70"/>
  <c r="K20" i="70" s="1"/>
  <c r="J19" i="70"/>
  <c r="K19" i="70"/>
  <c r="J18" i="70"/>
  <c r="K18" i="70"/>
  <c r="J17" i="70"/>
  <c r="K17" i="70"/>
  <c r="J16" i="70"/>
  <c r="G16" i="70"/>
  <c r="K16" i="70" s="1"/>
  <c r="J15" i="70"/>
  <c r="G15" i="70"/>
  <c r="K15" i="70" s="1"/>
  <c r="J14" i="70"/>
  <c r="G14" i="70"/>
  <c r="K14" i="70" s="1"/>
  <c r="J13" i="70"/>
  <c r="G13" i="70"/>
  <c r="K13" i="70" s="1"/>
  <c r="J12" i="70"/>
  <c r="G12" i="70"/>
  <c r="K12" i="70" s="1"/>
  <c r="J11" i="70"/>
  <c r="G11" i="70"/>
  <c r="K11" i="70" s="1"/>
  <c r="J10" i="70"/>
  <c r="G10" i="70"/>
  <c r="K10" i="70" s="1"/>
  <c r="J9" i="70"/>
  <c r="G9" i="70"/>
  <c r="K9" i="70" s="1"/>
  <c r="J8" i="70"/>
  <c r="G8" i="70"/>
  <c r="K8" i="70" s="1"/>
  <c r="J7" i="70"/>
  <c r="G7" i="70"/>
  <c r="K7" i="70" s="1"/>
  <c r="J6" i="70"/>
  <c r="G6" i="70"/>
  <c r="K6" i="70" s="1"/>
  <c r="J5" i="70"/>
  <c r="G5" i="70"/>
  <c r="K5" i="70" s="1"/>
  <c r="J4" i="70"/>
  <c r="J35" i="70" s="1"/>
  <c r="G4" i="70"/>
  <c r="H46" i="26"/>
  <c r="T22" i="19"/>
  <c r="X21" i="19"/>
  <c r="T21" i="19"/>
  <c r="G20" i="10"/>
  <c r="G21" i="10"/>
  <c r="G19" i="2"/>
  <c r="G13" i="35"/>
  <c r="G5" i="69"/>
  <c r="J5" i="69"/>
  <c r="G6" i="69"/>
  <c r="J6" i="69"/>
  <c r="G7" i="69"/>
  <c r="J7" i="69"/>
  <c r="G8" i="69"/>
  <c r="J8" i="69"/>
  <c r="G9" i="69"/>
  <c r="J9" i="69"/>
  <c r="G10" i="69"/>
  <c r="J10" i="69"/>
  <c r="G11" i="69"/>
  <c r="J11" i="69"/>
  <c r="G12" i="69"/>
  <c r="J12" i="69"/>
  <c r="G13" i="69"/>
  <c r="J13" i="69"/>
  <c r="G14" i="69"/>
  <c r="J14" i="69"/>
  <c r="G15" i="69"/>
  <c r="J15" i="69"/>
  <c r="G16" i="69"/>
  <c r="J16" i="69"/>
  <c r="G17" i="69"/>
  <c r="J17" i="69"/>
  <c r="G18" i="69"/>
  <c r="J18" i="69"/>
  <c r="G19" i="69"/>
  <c r="J19" i="69"/>
  <c r="G20" i="69"/>
  <c r="J20" i="69"/>
  <c r="G21" i="69"/>
  <c r="J21" i="69"/>
  <c r="H47" i="69"/>
  <c r="F41" i="56" s="1"/>
  <c r="J46" i="69"/>
  <c r="G46" i="69"/>
  <c r="K46" i="69" s="1"/>
  <c r="L46" i="69" s="1"/>
  <c r="J45" i="69"/>
  <c r="G45" i="69"/>
  <c r="K45" i="69" s="1"/>
  <c r="L45" i="69" s="1"/>
  <c r="L47" i="69" s="1"/>
  <c r="J41" i="56" s="1"/>
  <c r="J44" i="69"/>
  <c r="G44" i="69"/>
  <c r="K44" i="69" s="1"/>
  <c r="J43" i="69"/>
  <c r="G43" i="69"/>
  <c r="K43" i="69" s="1"/>
  <c r="J42" i="69"/>
  <c r="G42" i="69"/>
  <c r="K42" i="69" s="1"/>
  <c r="J41" i="69"/>
  <c r="G41" i="69"/>
  <c r="K41" i="69" s="1"/>
  <c r="J40" i="69"/>
  <c r="G40" i="69"/>
  <c r="K40" i="69" s="1"/>
  <c r="J39" i="69"/>
  <c r="G39" i="69"/>
  <c r="K39" i="69" s="1"/>
  <c r="J38" i="69"/>
  <c r="G38" i="69"/>
  <c r="K38" i="69" s="1"/>
  <c r="J37" i="69"/>
  <c r="G37" i="69"/>
  <c r="K37" i="69" s="1"/>
  <c r="J36" i="69"/>
  <c r="G36" i="69"/>
  <c r="K36" i="69" s="1"/>
  <c r="J35" i="69"/>
  <c r="G35" i="69"/>
  <c r="K35" i="69" s="1"/>
  <c r="J34" i="69"/>
  <c r="G34" i="69"/>
  <c r="K34" i="69" s="1"/>
  <c r="J33" i="69"/>
  <c r="G33" i="69"/>
  <c r="K33" i="69" s="1"/>
  <c r="J32" i="69"/>
  <c r="G32" i="69"/>
  <c r="K32" i="69" s="1"/>
  <c r="J31" i="69"/>
  <c r="G31" i="69"/>
  <c r="K31" i="69" s="1"/>
  <c r="J30" i="69"/>
  <c r="G30" i="69"/>
  <c r="K30" i="69" s="1"/>
  <c r="J29" i="69"/>
  <c r="G29" i="69"/>
  <c r="K29" i="69" s="1"/>
  <c r="J28" i="69"/>
  <c r="G28" i="69"/>
  <c r="K28" i="69" s="1"/>
  <c r="J27" i="69"/>
  <c r="G27" i="69"/>
  <c r="K27" i="69" s="1"/>
  <c r="J26" i="69"/>
  <c r="G26" i="69"/>
  <c r="K26" i="69" s="1"/>
  <c r="J25" i="69"/>
  <c r="G25" i="69"/>
  <c r="K25" i="69" s="1"/>
  <c r="J24" i="69"/>
  <c r="G24" i="69"/>
  <c r="K24" i="69" s="1"/>
  <c r="J23" i="69"/>
  <c r="G23" i="69"/>
  <c r="K23" i="69" s="1"/>
  <c r="J22" i="69"/>
  <c r="G22" i="69"/>
  <c r="K22" i="69" s="1"/>
  <c r="K21" i="69"/>
  <c r="K20" i="69"/>
  <c r="K19" i="69"/>
  <c r="K18" i="69"/>
  <c r="K17" i="69"/>
  <c r="K16" i="69"/>
  <c r="K15" i="69"/>
  <c r="K14" i="69"/>
  <c r="K13" i="69"/>
  <c r="K12" i="69"/>
  <c r="K10" i="69"/>
  <c r="K9" i="69"/>
  <c r="K8" i="69"/>
  <c r="K7" i="69"/>
  <c r="K6" i="69"/>
  <c r="K5" i="69"/>
  <c r="J4" i="69"/>
  <c r="J47" i="69" s="1"/>
  <c r="G41" i="56" s="1"/>
  <c r="G4" i="69"/>
  <c r="G12" i="35"/>
  <c r="J19" i="57"/>
  <c r="H35" i="68"/>
  <c r="F19" i="56" s="1"/>
  <c r="E35" i="68"/>
  <c r="D19" i="56" s="1"/>
  <c r="L33" i="68"/>
  <c r="L32" i="68"/>
  <c r="L29" i="68"/>
  <c r="L27" i="68"/>
  <c r="L26" i="68"/>
  <c r="L25" i="68"/>
  <c r="L22" i="68"/>
  <c r="L20" i="68"/>
  <c r="L19" i="68"/>
  <c r="L15" i="68"/>
  <c r="J35" i="68"/>
  <c r="G19" i="56" s="1"/>
  <c r="M3" i="68"/>
  <c r="G26" i="22"/>
  <c r="K26" i="22" s="1"/>
  <c r="J14" i="65"/>
  <c r="J15" i="65"/>
  <c r="J16" i="65"/>
  <c r="J17" i="65"/>
  <c r="K17" i="65"/>
  <c r="G11" i="35"/>
  <c r="G10" i="35"/>
  <c r="G14" i="22"/>
  <c r="K14" i="22" s="1"/>
  <c r="G7" i="35"/>
  <c r="G8" i="35"/>
  <c r="G9" i="35"/>
  <c r="I22" i="56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G9" i="14"/>
  <c r="J9" i="14"/>
  <c r="K9" i="14"/>
  <c r="G10" i="14"/>
  <c r="J10" i="14"/>
  <c r="K10" i="14"/>
  <c r="G11" i="14"/>
  <c r="J11" i="14"/>
  <c r="K11" i="14"/>
  <c r="G12" i="14"/>
  <c r="J12" i="14"/>
  <c r="K12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23" i="14"/>
  <c r="J23" i="14"/>
  <c r="K23" i="14"/>
  <c r="G24" i="14"/>
  <c r="J24" i="14"/>
  <c r="K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29" i="14"/>
  <c r="J29" i="14"/>
  <c r="K29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G9" i="65"/>
  <c r="R13" i="25"/>
  <c r="R11" i="25"/>
  <c r="J8" i="25"/>
  <c r="G6" i="35"/>
  <c r="G5" i="35"/>
  <c r="J7" i="3"/>
  <c r="G7" i="3"/>
  <c r="K7" i="3" s="1"/>
  <c r="G5" i="22"/>
  <c r="J5" i="22"/>
  <c r="K5" i="22"/>
  <c r="G6" i="22"/>
  <c r="J6" i="22"/>
  <c r="K6" i="22"/>
  <c r="G8" i="22"/>
  <c r="J8" i="22"/>
  <c r="K8" i="22"/>
  <c r="G9" i="22"/>
  <c r="J9" i="22"/>
  <c r="K9" i="22"/>
  <c r="G10" i="22"/>
  <c r="J10" i="22"/>
  <c r="K10" i="22"/>
  <c r="G11" i="22"/>
  <c r="J11" i="22"/>
  <c r="K11" i="22"/>
  <c r="G12" i="22"/>
  <c r="J12" i="22"/>
  <c r="K12" i="22"/>
  <c r="G13" i="22"/>
  <c r="J13" i="22"/>
  <c r="K13" i="22"/>
  <c r="G16" i="22"/>
  <c r="J16" i="22"/>
  <c r="K16" i="22"/>
  <c r="G18" i="22"/>
  <c r="J18" i="22"/>
  <c r="K18" i="22"/>
  <c r="G19" i="22"/>
  <c r="J19" i="22"/>
  <c r="K19" i="22"/>
  <c r="G20" i="22"/>
  <c r="J20" i="22"/>
  <c r="K20" i="22"/>
  <c r="G23" i="22"/>
  <c r="J23" i="22"/>
  <c r="K23" i="22"/>
  <c r="G24" i="22"/>
  <c r="J24" i="22"/>
  <c r="K24" i="22"/>
  <c r="G27" i="22"/>
  <c r="J27" i="22"/>
  <c r="K27" i="22"/>
  <c r="G28" i="22"/>
  <c r="J28" i="22"/>
  <c r="K28" i="22"/>
  <c r="G29" i="22"/>
  <c r="J29" i="22"/>
  <c r="K29" i="22"/>
  <c r="G30" i="22"/>
  <c r="J30" i="22"/>
  <c r="K30" i="22"/>
  <c r="G31" i="22"/>
  <c r="J31" i="22"/>
  <c r="K31" i="22"/>
  <c r="G32" i="22"/>
  <c r="J32" i="22"/>
  <c r="K32" i="22"/>
  <c r="G33" i="22"/>
  <c r="J33" i="22"/>
  <c r="K33" i="22"/>
  <c r="G34" i="22"/>
  <c r="J34" i="22"/>
  <c r="K34" i="22"/>
  <c r="G35" i="22"/>
  <c r="J35" i="22"/>
  <c r="K35" i="22"/>
  <c r="G37" i="22"/>
  <c r="J37" i="22"/>
  <c r="K37" i="22"/>
  <c r="G38" i="22"/>
  <c r="J38" i="22"/>
  <c r="K38" i="22"/>
  <c r="G39" i="22"/>
  <c r="J39" i="22"/>
  <c r="K39" i="22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P53" i="22" s="1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45" i="22"/>
  <c r="J45" i="22"/>
  <c r="K45" i="22"/>
  <c r="G46" i="22"/>
  <c r="J46" i="22"/>
  <c r="K46" i="22"/>
  <c r="G47" i="22"/>
  <c r="J47" i="22"/>
  <c r="K47" i="22"/>
  <c r="G48" i="22"/>
  <c r="J48" i="22"/>
  <c r="K48" i="22"/>
  <c r="G49" i="22"/>
  <c r="J49" i="22"/>
  <c r="K49" i="22"/>
  <c r="G50" i="22"/>
  <c r="J50" i="22"/>
  <c r="K50" i="22"/>
  <c r="G51" i="22"/>
  <c r="J51" i="22"/>
  <c r="K51" i="22"/>
  <c r="G52" i="22"/>
  <c r="J52" i="22"/>
  <c r="K52" i="22"/>
  <c r="M3" i="22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G16" i="12"/>
  <c r="J16" i="12"/>
  <c r="K16" i="12"/>
  <c r="G17" i="12"/>
  <c r="J17" i="12"/>
  <c r="K17" i="12"/>
  <c r="G18" i="12"/>
  <c r="J18" i="12"/>
  <c r="K18" i="12"/>
  <c r="G19" i="12"/>
  <c r="J19" i="12"/>
  <c r="K19" i="12"/>
  <c r="G20" i="12"/>
  <c r="J20" i="12"/>
  <c r="K20" i="12"/>
  <c r="G21" i="12"/>
  <c r="J21" i="12"/>
  <c r="K21" i="12"/>
  <c r="G22" i="12"/>
  <c r="J22" i="12"/>
  <c r="K22" i="12"/>
  <c r="G23" i="12"/>
  <c r="J23" i="12"/>
  <c r="K23" i="12"/>
  <c r="G24" i="12"/>
  <c r="J24" i="12"/>
  <c r="K24" i="12"/>
  <c r="G25" i="12"/>
  <c r="J25" i="12"/>
  <c r="K25" i="12"/>
  <c r="G26" i="12"/>
  <c r="J26" i="12"/>
  <c r="K26" i="12"/>
  <c r="G27" i="12"/>
  <c r="J27" i="12"/>
  <c r="K27" i="12"/>
  <c r="G28" i="12"/>
  <c r="J28" i="12"/>
  <c r="K28" i="12"/>
  <c r="G29" i="12"/>
  <c r="J29" i="12"/>
  <c r="K29" i="12"/>
  <c r="G30" i="12"/>
  <c r="J30" i="12"/>
  <c r="K30" i="12"/>
  <c r="G31" i="12"/>
  <c r="J31" i="12"/>
  <c r="K31" i="12"/>
  <c r="G32" i="12"/>
  <c r="J32" i="12"/>
  <c r="K32" i="12"/>
  <c r="G33" i="12"/>
  <c r="J33" i="12"/>
  <c r="K33" i="12"/>
  <c r="G34" i="12"/>
  <c r="J34" i="12"/>
  <c r="K34" i="12"/>
  <c r="G5" i="37"/>
  <c r="J5" i="37"/>
  <c r="K5" i="37"/>
  <c r="G6" i="37"/>
  <c r="J6" i="37"/>
  <c r="K6" i="37"/>
  <c r="G7" i="37"/>
  <c r="J7" i="37"/>
  <c r="K7" i="37"/>
  <c r="G8" i="37"/>
  <c r="J8" i="37"/>
  <c r="K8" i="37"/>
  <c r="G9" i="37"/>
  <c r="J9" i="37"/>
  <c r="K9" i="37"/>
  <c r="G10" i="37"/>
  <c r="J10" i="37"/>
  <c r="K10" i="37"/>
  <c r="G11" i="37"/>
  <c r="J11" i="37"/>
  <c r="K11" i="37"/>
  <c r="G12" i="37"/>
  <c r="J12" i="37"/>
  <c r="K12" i="37"/>
  <c r="G13" i="37"/>
  <c r="J13" i="37"/>
  <c r="K13" i="37"/>
  <c r="G14" i="37"/>
  <c r="J14" i="37"/>
  <c r="K14" i="37"/>
  <c r="G15" i="37"/>
  <c r="J15" i="37"/>
  <c r="K15" i="37"/>
  <c r="G16" i="37"/>
  <c r="J16" i="37"/>
  <c r="K16" i="37"/>
  <c r="G17" i="37"/>
  <c r="J17" i="37"/>
  <c r="K17" i="37"/>
  <c r="G18" i="37"/>
  <c r="J18" i="37"/>
  <c r="K18" i="37"/>
  <c r="G19" i="37"/>
  <c r="J19" i="37"/>
  <c r="K19" i="37"/>
  <c r="G20" i="37"/>
  <c r="J20" i="37"/>
  <c r="K20" i="37"/>
  <c r="G21" i="37"/>
  <c r="J21" i="37"/>
  <c r="K21" i="37"/>
  <c r="G22" i="37"/>
  <c r="J22" i="37"/>
  <c r="K22" i="37"/>
  <c r="G23" i="37"/>
  <c r="J23" i="37"/>
  <c r="K23" i="37"/>
  <c r="G24" i="37"/>
  <c r="J24" i="37"/>
  <c r="K24" i="37"/>
  <c r="G25" i="37"/>
  <c r="J25" i="37"/>
  <c r="K25" i="37"/>
  <c r="G26" i="37"/>
  <c r="J26" i="37"/>
  <c r="K26" i="37"/>
  <c r="G27" i="37"/>
  <c r="J27" i="37"/>
  <c r="K27" i="37"/>
  <c r="G28" i="37"/>
  <c r="J28" i="37"/>
  <c r="K28" i="37"/>
  <c r="G29" i="37"/>
  <c r="J29" i="37"/>
  <c r="K29" i="37"/>
  <c r="G30" i="37"/>
  <c r="J30" i="37"/>
  <c r="K30" i="37"/>
  <c r="G31" i="37"/>
  <c r="J31" i="37"/>
  <c r="K31" i="37"/>
  <c r="G32" i="37"/>
  <c r="J32" i="37"/>
  <c r="K32" i="37"/>
  <c r="G33" i="37"/>
  <c r="J33" i="37"/>
  <c r="K33" i="37"/>
  <c r="G5" i="36"/>
  <c r="J5" i="36"/>
  <c r="K5" i="36"/>
  <c r="G6" i="36"/>
  <c r="J6" i="36"/>
  <c r="K6" i="36"/>
  <c r="G7" i="36"/>
  <c r="J7" i="36"/>
  <c r="K7" i="36"/>
  <c r="G8" i="36"/>
  <c r="J8" i="36"/>
  <c r="K8" i="36"/>
  <c r="G9" i="36"/>
  <c r="J9" i="36"/>
  <c r="K9" i="36"/>
  <c r="G10" i="36"/>
  <c r="J10" i="36"/>
  <c r="K10" i="36"/>
  <c r="G11" i="36"/>
  <c r="J11" i="36"/>
  <c r="K11" i="36"/>
  <c r="G12" i="36"/>
  <c r="J12" i="36"/>
  <c r="K12" i="36"/>
  <c r="G13" i="36"/>
  <c r="J13" i="36"/>
  <c r="K13" i="36"/>
  <c r="G14" i="36"/>
  <c r="J14" i="36"/>
  <c r="K14" i="36"/>
  <c r="G15" i="36"/>
  <c r="J15" i="36"/>
  <c r="K15" i="36"/>
  <c r="G16" i="36"/>
  <c r="J16" i="36"/>
  <c r="K16" i="36"/>
  <c r="G17" i="36"/>
  <c r="J17" i="36"/>
  <c r="K17" i="36"/>
  <c r="G18" i="36"/>
  <c r="J18" i="36"/>
  <c r="K18" i="36"/>
  <c r="G19" i="36"/>
  <c r="J19" i="36"/>
  <c r="K19" i="36"/>
  <c r="G20" i="36"/>
  <c r="J20" i="36"/>
  <c r="K20" i="36"/>
  <c r="G21" i="36"/>
  <c r="J21" i="36"/>
  <c r="K21" i="36"/>
  <c r="G22" i="36"/>
  <c r="J22" i="36"/>
  <c r="K22" i="36"/>
  <c r="G23" i="36"/>
  <c r="J23" i="36"/>
  <c r="K23" i="36"/>
  <c r="G24" i="36"/>
  <c r="J24" i="36"/>
  <c r="K24" i="36"/>
  <c r="G25" i="36"/>
  <c r="J25" i="36"/>
  <c r="K25" i="36"/>
  <c r="G26" i="36"/>
  <c r="J26" i="36"/>
  <c r="K26" i="36"/>
  <c r="G27" i="36"/>
  <c r="J27" i="36"/>
  <c r="K27" i="36"/>
  <c r="G28" i="36"/>
  <c r="J28" i="36"/>
  <c r="K28" i="36"/>
  <c r="G29" i="36"/>
  <c r="J29" i="36"/>
  <c r="K29" i="36"/>
  <c r="G30" i="36"/>
  <c r="J30" i="36"/>
  <c r="K30" i="36"/>
  <c r="G31" i="36"/>
  <c r="J31" i="36"/>
  <c r="K31" i="36"/>
  <c r="G32" i="36"/>
  <c r="J32" i="36"/>
  <c r="K32" i="36"/>
  <c r="G33" i="36"/>
  <c r="J33" i="36"/>
  <c r="K33" i="36"/>
  <c r="G5" i="15"/>
  <c r="J5" i="15"/>
  <c r="K5" i="15"/>
  <c r="G6" i="15"/>
  <c r="J6" i="15"/>
  <c r="K6" i="15"/>
  <c r="G7" i="15"/>
  <c r="J7" i="15"/>
  <c r="K7" i="15"/>
  <c r="G8" i="15"/>
  <c r="J8" i="15"/>
  <c r="K8" i="15"/>
  <c r="G9" i="15"/>
  <c r="J9" i="15"/>
  <c r="K9" i="15"/>
  <c r="G10" i="15"/>
  <c r="J10" i="15"/>
  <c r="K10" i="15"/>
  <c r="G11" i="15"/>
  <c r="J11" i="15"/>
  <c r="K11" i="15"/>
  <c r="G12" i="15"/>
  <c r="J12" i="15"/>
  <c r="K12" i="15"/>
  <c r="G13" i="15"/>
  <c r="J13" i="15"/>
  <c r="K13" i="15"/>
  <c r="G14" i="15"/>
  <c r="J14" i="15"/>
  <c r="K14" i="15"/>
  <c r="G15" i="15"/>
  <c r="J15" i="15"/>
  <c r="K15" i="15"/>
  <c r="G16" i="15"/>
  <c r="J16" i="15"/>
  <c r="K16" i="15"/>
  <c r="G18" i="15"/>
  <c r="J18" i="15"/>
  <c r="K18" i="15"/>
  <c r="G19" i="15"/>
  <c r="J19" i="15"/>
  <c r="K19" i="15"/>
  <c r="G20" i="15"/>
  <c r="J20" i="15"/>
  <c r="K20" i="15"/>
  <c r="G21" i="15"/>
  <c r="J21" i="15"/>
  <c r="K21" i="15"/>
  <c r="M21" i="15" s="1"/>
  <c r="M22" i="15" s="1"/>
  <c r="G22" i="15"/>
  <c r="J22" i="15"/>
  <c r="K22" i="15"/>
  <c r="G23" i="15"/>
  <c r="J23" i="15"/>
  <c r="K23" i="15"/>
  <c r="G24" i="15"/>
  <c r="J24" i="15"/>
  <c r="K24" i="15"/>
  <c r="G25" i="15"/>
  <c r="J25" i="15"/>
  <c r="K25" i="15"/>
  <c r="G26" i="15"/>
  <c r="J26" i="15"/>
  <c r="K26" i="15"/>
  <c r="G27" i="15"/>
  <c r="J27" i="15"/>
  <c r="K27" i="15"/>
  <c r="G28" i="15"/>
  <c r="J28" i="15"/>
  <c r="K28" i="15"/>
  <c r="G29" i="15"/>
  <c r="J29" i="15"/>
  <c r="K29" i="15"/>
  <c r="G30" i="15"/>
  <c r="J30" i="15"/>
  <c r="K30" i="15"/>
  <c r="G31" i="15"/>
  <c r="J31" i="15"/>
  <c r="K31" i="15"/>
  <c r="G32" i="15"/>
  <c r="J32" i="15"/>
  <c r="K32" i="15"/>
  <c r="G33" i="15"/>
  <c r="J33" i="15"/>
  <c r="K33" i="15"/>
  <c r="G34" i="15"/>
  <c r="J34" i="15"/>
  <c r="K34" i="15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M3" i="16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7" i="19"/>
  <c r="G5" i="25"/>
  <c r="J5" i="25"/>
  <c r="K5" i="25"/>
  <c r="L5" i="25"/>
  <c r="G6" i="25"/>
  <c r="J6" i="25"/>
  <c r="K6" i="25"/>
  <c r="L6" i="25"/>
  <c r="G7" i="25"/>
  <c r="J7" i="25"/>
  <c r="K7" i="25"/>
  <c r="L7" i="25"/>
  <c r="G8" i="25"/>
  <c r="K8" i="25"/>
  <c r="L8" i="25"/>
  <c r="G9" i="25"/>
  <c r="J9" i="25"/>
  <c r="K9" i="25"/>
  <c r="L9" i="25"/>
  <c r="G10" i="25"/>
  <c r="J10" i="25"/>
  <c r="K10" i="25"/>
  <c r="L10" i="25"/>
  <c r="G11" i="25"/>
  <c r="J11" i="25"/>
  <c r="K11" i="25"/>
  <c r="L11" i="25"/>
  <c r="G12" i="25"/>
  <c r="J12" i="25"/>
  <c r="K12" i="25"/>
  <c r="L12" i="25"/>
  <c r="G13" i="25"/>
  <c r="J13" i="25"/>
  <c r="K13" i="25"/>
  <c r="L13" i="25"/>
  <c r="G14" i="25"/>
  <c r="J14" i="25"/>
  <c r="K14" i="25"/>
  <c r="L14" i="25"/>
  <c r="G15" i="25"/>
  <c r="J15" i="25"/>
  <c r="K15" i="25"/>
  <c r="L15" i="25"/>
  <c r="G16" i="25"/>
  <c r="J16" i="25"/>
  <c r="K16" i="25"/>
  <c r="L16" i="25"/>
  <c r="G17" i="25"/>
  <c r="J17" i="25"/>
  <c r="K17" i="25"/>
  <c r="L17" i="25"/>
  <c r="G18" i="25"/>
  <c r="J18" i="25"/>
  <c r="K18" i="25"/>
  <c r="L18" i="25"/>
  <c r="G19" i="25"/>
  <c r="J19" i="25"/>
  <c r="K19" i="25"/>
  <c r="L19" i="25"/>
  <c r="G20" i="25"/>
  <c r="J20" i="25"/>
  <c r="K20" i="25"/>
  <c r="L20" i="25"/>
  <c r="G21" i="25"/>
  <c r="J21" i="25"/>
  <c r="K21" i="25"/>
  <c r="L21" i="25"/>
  <c r="G22" i="25"/>
  <c r="J22" i="25"/>
  <c r="K22" i="25"/>
  <c r="L22" i="25"/>
  <c r="G23" i="25"/>
  <c r="J23" i="25"/>
  <c r="K23" i="25"/>
  <c r="L23" i="25"/>
  <c r="G24" i="25"/>
  <c r="J24" i="25"/>
  <c r="K24" i="25"/>
  <c r="L24" i="25"/>
  <c r="G25" i="25"/>
  <c r="J25" i="25"/>
  <c r="K25" i="25"/>
  <c r="L25" i="25"/>
  <c r="K26" i="25"/>
  <c r="L26" i="25"/>
  <c r="G27" i="25"/>
  <c r="J27" i="25"/>
  <c r="K27" i="25"/>
  <c r="L27" i="25"/>
  <c r="G28" i="25"/>
  <c r="J28" i="25"/>
  <c r="K28" i="25"/>
  <c r="L28" i="25"/>
  <c r="G29" i="25"/>
  <c r="J29" i="25"/>
  <c r="K29" i="25"/>
  <c r="L29" i="25"/>
  <c r="G30" i="25"/>
  <c r="J30" i="25"/>
  <c r="K30" i="25"/>
  <c r="L30" i="25"/>
  <c r="G31" i="25"/>
  <c r="J31" i="25"/>
  <c r="K31" i="25"/>
  <c r="L31" i="25"/>
  <c r="G32" i="25"/>
  <c r="J32" i="25"/>
  <c r="K32" i="25"/>
  <c r="L32" i="25"/>
  <c r="G33" i="25"/>
  <c r="J33" i="25"/>
  <c r="K33" i="25"/>
  <c r="L33" i="25"/>
  <c r="G34" i="25"/>
  <c r="J34" i="25"/>
  <c r="K34" i="25"/>
  <c r="G5" i="24"/>
  <c r="J5" i="24"/>
  <c r="K5" i="24"/>
  <c r="G6" i="24"/>
  <c r="J6" i="24"/>
  <c r="K6" i="24"/>
  <c r="G7" i="24"/>
  <c r="J7" i="24"/>
  <c r="K7" i="24"/>
  <c r="G8" i="24"/>
  <c r="J8" i="24"/>
  <c r="K8" i="24"/>
  <c r="G9" i="24"/>
  <c r="J9" i="24"/>
  <c r="K9" i="24"/>
  <c r="G10" i="24"/>
  <c r="J10" i="24"/>
  <c r="K10" i="24"/>
  <c r="G11" i="24"/>
  <c r="J11" i="24"/>
  <c r="K11" i="24"/>
  <c r="G12" i="24"/>
  <c r="J12" i="24"/>
  <c r="K12" i="24"/>
  <c r="G13" i="24"/>
  <c r="J13" i="24"/>
  <c r="K13" i="24"/>
  <c r="G14" i="24"/>
  <c r="J14" i="24"/>
  <c r="K14" i="24"/>
  <c r="G15" i="24"/>
  <c r="J15" i="24"/>
  <c r="K15" i="24"/>
  <c r="G16" i="24"/>
  <c r="J16" i="24"/>
  <c r="K16" i="24"/>
  <c r="G17" i="24"/>
  <c r="J17" i="24"/>
  <c r="K17" i="24"/>
  <c r="G18" i="24"/>
  <c r="J18" i="24"/>
  <c r="K18" i="24"/>
  <c r="G19" i="24"/>
  <c r="J19" i="24"/>
  <c r="K19" i="24"/>
  <c r="G20" i="24"/>
  <c r="J20" i="24"/>
  <c r="K20" i="24"/>
  <c r="G21" i="24"/>
  <c r="J21" i="24"/>
  <c r="K21" i="24"/>
  <c r="G22" i="24"/>
  <c r="J22" i="24"/>
  <c r="K22" i="24"/>
  <c r="G23" i="24"/>
  <c r="J23" i="24"/>
  <c r="K23" i="24"/>
  <c r="L23" i="24"/>
  <c r="G24" i="24"/>
  <c r="J24" i="24"/>
  <c r="K24" i="24"/>
  <c r="G25" i="24"/>
  <c r="J25" i="24"/>
  <c r="K25" i="24"/>
  <c r="L25" i="24"/>
  <c r="G26" i="24"/>
  <c r="J26" i="24"/>
  <c r="K26" i="24"/>
  <c r="G27" i="24"/>
  <c r="J27" i="24"/>
  <c r="K27" i="24"/>
  <c r="G28" i="24"/>
  <c r="J28" i="24"/>
  <c r="K28" i="24"/>
  <c r="G29" i="24"/>
  <c r="J29" i="24"/>
  <c r="K29" i="24"/>
  <c r="L29" i="24"/>
  <c r="G30" i="24"/>
  <c r="J30" i="24"/>
  <c r="K30" i="24"/>
  <c r="G31" i="24"/>
  <c r="J31" i="24"/>
  <c r="K31" i="24"/>
  <c r="G32" i="24"/>
  <c r="J32" i="24"/>
  <c r="K32" i="24"/>
  <c r="L32" i="24"/>
  <c r="G33" i="24"/>
  <c r="J33" i="24"/>
  <c r="K33" i="24"/>
  <c r="L35" i="24"/>
  <c r="J22" i="56" s="1"/>
  <c r="G5" i="61"/>
  <c r="J5" i="61"/>
  <c r="K5" i="61"/>
  <c r="G6" i="61"/>
  <c r="J6" i="61"/>
  <c r="K6" i="61"/>
  <c r="G7" i="61"/>
  <c r="G8" i="61"/>
  <c r="J8" i="61"/>
  <c r="K8" i="61"/>
  <c r="G9" i="61"/>
  <c r="J9" i="61"/>
  <c r="K9" i="61"/>
  <c r="G10" i="61"/>
  <c r="J10" i="61"/>
  <c r="K10" i="61"/>
  <c r="G11" i="61"/>
  <c r="J11" i="61"/>
  <c r="K11" i="61"/>
  <c r="G12" i="61"/>
  <c r="J12" i="61"/>
  <c r="K12" i="61"/>
  <c r="G13" i="61"/>
  <c r="J13" i="61"/>
  <c r="K13" i="61"/>
  <c r="G14" i="61"/>
  <c r="J14" i="61"/>
  <c r="K14" i="61"/>
  <c r="G15" i="61"/>
  <c r="J15" i="61"/>
  <c r="K15" i="61"/>
  <c r="G16" i="61"/>
  <c r="J16" i="61"/>
  <c r="K16" i="61"/>
  <c r="G17" i="61"/>
  <c r="J17" i="61"/>
  <c r="K17" i="61"/>
  <c r="G18" i="61"/>
  <c r="J18" i="61"/>
  <c r="K18" i="61"/>
  <c r="G19" i="61"/>
  <c r="J19" i="61"/>
  <c r="K19" i="61"/>
  <c r="G20" i="61"/>
  <c r="J20" i="61"/>
  <c r="K20" i="61"/>
  <c r="G21" i="61"/>
  <c r="J21" i="61"/>
  <c r="K21" i="61"/>
  <c r="G22" i="61"/>
  <c r="J22" i="61"/>
  <c r="K22" i="61"/>
  <c r="G23" i="61"/>
  <c r="J23" i="61"/>
  <c r="K23" i="61"/>
  <c r="G24" i="61"/>
  <c r="J24" i="61"/>
  <c r="K24" i="61"/>
  <c r="G25" i="61"/>
  <c r="J25" i="61"/>
  <c r="K25" i="61"/>
  <c r="G26" i="61"/>
  <c r="J26" i="61"/>
  <c r="K26" i="61"/>
  <c r="G27" i="61"/>
  <c r="J27" i="61"/>
  <c r="K27" i="61"/>
  <c r="G28" i="61"/>
  <c r="J28" i="61"/>
  <c r="K28" i="61"/>
  <c r="G29" i="61"/>
  <c r="J29" i="61"/>
  <c r="K29" i="61"/>
  <c r="G30" i="61"/>
  <c r="J30" i="61"/>
  <c r="K30" i="61"/>
  <c r="G31" i="61"/>
  <c r="J31" i="61"/>
  <c r="K31" i="61"/>
  <c r="G32" i="61"/>
  <c r="J32" i="61"/>
  <c r="K32" i="61"/>
  <c r="G33" i="61"/>
  <c r="J33" i="61"/>
  <c r="K33" i="61"/>
  <c r="G34" i="61"/>
  <c r="J34" i="61"/>
  <c r="K34" i="61"/>
  <c r="G35" i="61"/>
  <c r="J35" i="61"/>
  <c r="K35" i="61"/>
  <c r="G36" i="61"/>
  <c r="J36" i="61"/>
  <c r="K36" i="61"/>
  <c r="G15" i="57"/>
  <c r="J15" i="57"/>
  <c r="G16" i="57"/>
  <c r="J16" i="57"/>
  <c r="G17" i="57"/>
  <c r="J17" i="57"/>
  <c r="G18" i="57"/>
  <c r="J18" i="57"/>
  <c r="G19" i="57"/>
  <c r="G20" i="57"/>
  <c r="J20" i="57"/>
  <c r="G21" i="57"/>
  <c r="J21" i="57"/>
  <c r="J5" i="60"/>
  <c r="K5" i="60"/>
  <c r="J6" i="60"/>
  <c r="K6" i="60"/>
  <c r="J7" i="60"/>
  <c r="K7" i="60"/>
  <c r="J8" i="60"/>
  <c r="K8" i="60"/>
  <c r="J9" i="60"/>
  <c r="K9" i="60"/>
  <c r="J10" i="60"/>
  <c r="K10" i="60"/>
  <c r="J11" i="60"/>
  <c r="K11" i="60"/>
  <c r="J12" i="60"/>
  <c r="K12" i="60"/>
  <c r="J13" i="60"/>
  <c r="K13" i="60"/>
  <c r="J14" i="60"/>
  <c r="K14" i="60"/>
  <c r="J15" i="60"/>
  <c r="K15" i="60"/>
  <c r="J16" i="60"/>
  <c r="K16" i="60"/>
  <c r="J17" i="60"/>
  <c r="K17" i="60"/>
  <c r="J18" i="60"/>
  <c r="K18" i="60"/>
  <c r="J19" i="60"/>
  <c r="K19" i="60"/>
  <c r="J20" i="60"/>
  <c r="K20" i="60"/>
  <c r="J21" i="60"/>
  <c r="K21" i="60"/>
  <c r="J22" i="60"/>
  <c r="K22" i="60"/>
  <c r="J23" i="60"/>
  <c r="K23" i="60"/>
  <c r="J24" i="60"/>
  <c r="K24" i="60"/>
  <c r="J25" i="60"/>
  <c r="K25" i="60"/>
  <c r="J26" i="60"/>
  <c r="K26" i="60"/>
  <c r="J27" i="60"/>
  <c r="K27" i="60"/>
  <c r="J28" i="60"/>
  <c r="K28" i="60"/>
  <c r="J29" i="60"/>
  <c r="K29" i="60"/>
  <c r="J30" i="60"/>
  <c r="K30" i="60"/>
  <c r="J31" i="60"/>
  <c r="K31" i="60"/>
  <c r="J32" i="60"/>
  <c r="K32" i="60"/>
  <c r="J33" i="60"/>
  <c r="K33" i="60"/>
  <c r="J34" i="60"/>
  <c r="K34" i="60"/>
  <c r="G5" i="41"/>
  <c r="J5" i="41"/>
  <c r="K5" i="41"/>
  <c r="G6" i="41"/>
  <c r="J6" i="41"/>
  <c r="K6" i="41"/>
  <c r="G7" i="41"/>
  <c r="J7" i="41"/>
  <c r="K7" i="41"/>
  <c r="G8" i="41"/>
  <c r="J8" i="41"/>
  <c r="K8" i="41"/>
  <c r="G9" i="41"/>
  <c r="J9" i="41"/>
  <c r="K9" i="41"/>
  <c r="G10" i="41"/>
  <c r="J10" i="41"/>
  <c r="K10" i="41"/>
  <c r="G11" i="41"/>
  <c r="J11" i="41"/>
  <c r="K11" i="41"/>
  <c r="G12" i="41"/>
  <c r="J12" i="41"/>
  <c r="K12" i="41"/>
  <c r="G13" i="41"/>
  <c r="J13" i="41"/>
  <c r="K13" i="41"/>
  <c r="G14" i="41"/>
  <c r="J14" i="41"/>
  <c r="K14" i="41"/>
  <c r="G15" i="41"/>
  <c r="J15" i="41"/>
  <c r="K15" i="41"/>
  <c r="G16" i="41"/>
  <c r="J16" i="41"/>
  <c r="K16" i="41"/>
  <c r="G17" i="41"/>
  <c r="J17" i="41"/>
  <c r="K17" i="41"/>
  <c r="G18" i="41"/>
  <c r="J18" i="41"/>
  <c r="K18" i="41"/>
  <c r="G19" i="41"/>
  <c r="J19" i="41"/>
  <c r="K19" i="41"/>
  <c r="G20" i="41"/>
  <c r="J20" i="41"/>
  <c r="K20" i="41"/>
  <c r="G21" i="41"/>
  <c r="J21" i="41"/>
  <c r="K21" i="41"/>
  <c r="G22" i="41"/>
  <c r="J22" i="41"/>
  <c r="K22" i="41"/>
  <c r="G23" i="41"/>
  <c r="J23" i="41"/>
  <c r="K23" i="41"/>
  <c r="G24" i="41"/>
  <c r="J24" i="41"/>
  <c r="K24" i="41"/>
  <c r="G25" i="41"/>
  <c r="J25" i="41"/>
  <c r="K25" i="41"/>
  <c r="G26" i="41"/>
  <c r="J26" i="41"/>
  <c r="K26" i="41"/>
  <c r="G27" i="41"/>
  <c r="J27" i="41"/>
  <c r="K27" i="41"/>
  <c r="G28" i="41"/>
  <c r="J28" i="41"/>
  <c r="K28" i="41"/>
  <c r="G29" i="41"/>
  <c r="J29" i="41"/>
  <c r="K29" i="41"/>
  <c r="G30" i="41"/>
  <c r="J30" i="41"/>
  <c r="K30" i="41"/>
  <c r="G31" i="41"/>
  <c r="J31" i="41"/>
  <c r="K31" i="41"/>
  <c r="G32" i="41"/>
  <c r="J32" i="41"/>
  <c r="K32" i="41"/>
  <c r="G33" i="41"/>
  <c r="J33" i="41"/>
  <c r="K33" i="41"/>
  <c r="G34" i="41"/>
  <c r="J34" i="41"/>
  <c r="K34" i="41"/>
  <c r="G35" i="41"/>
  <c r="J35" i="41"/>
  <c r="K35" i="41"/>
  <c r="G36" i="41"/>
  <c r="J36" i="41"/>
  <c r="K36" i="41"/>
  <c r="G37" i="41"/>
  <c r="J37" i="41"/>
  <c r="K37" i="41"/>
  <c r="G38" i="41"/>
  <c r="J38" i="41"/>
  <c r="K38" i="41"/>
  <c r="G39" i="41"/>
  <c r="J39" i="41"/>
  <c r="K39" i="41"/>
  <c r="G5" i="51"/>
  <c r="J5" i="51"/>
  <c r="K5" i="51"/>
  <c r="G6" i="51"/>
  <c r="J6" i="51"/>
  <c r="K6" i="51"/>
  <c r="G7" i="51"/>
  <c r="J7" i="51"/>
  <c r="K7" i="51"/>
  <c r="G8" i="51"/>
  <c r="J8" i="51"/>
  <c r="K8" i="51"/>
  <c r="G9" i="51"/>
  <c r="J9" i="51"/>
  <c r="K9" i="51"/>
  <c r="G10" i="51"/>
  <c r="J10" i="51"/>
  <c r="K10" i="51"/>
  <c r="G11" i="51"/>
  <c r="J11" i="51"/>
  <c r="K11" i="51"/>
  <c r="G12" i="51"/>
  <c r="J12" i="51"/>
  <c r="K12" i="51"/>
  <c r="G13" i="51"/>
  <c r="J13" i="51"/>
  <c r="K13" i="51"/>
  <c r="G14" i="51"/>
  <c r="J14" i="51"/>
  <c r="K14" i="51"/>
  <c r="G15" i="51"/>
  <c r="J15" i="51"/>
  <c r="K15" i="51"/>
  <c r="G16" i="51"/>
  <c r="J16" i="51"/>
  <c r="K16" i="51"/>
  <c r="G17" i="51"/>
  <c r="J17" i="51"/>
  <c r="K17" i="51"/>
  <c r="G18" i="51"/>
  <c r="J18" i="51"/>
  <c r="K18" i="51"/>
  <c r="G19" i="51"/>
  <c r="J19" i="51"/>
  <c r="K19" i="51"/>
  <c r="G20" i="51"/>
  <c r="J20" i="51"/>
  <c r="K20" i="51"/>
  <c r="G21" i="51"/>
  <c r="J21" i="51"/>
  <c r="K21" i="51"/>
  <c r="G22" i="51"/>
  <c r="J22" i="51"/>
  <c r="K22" i="51"/>
  <c r="G23" i="51"/>
  <c r="J23" i="51"/>
  <c r="K23" i="51"/>
  <c r="G24" i="51"/>
  <c r="J24" i="51"/>
  <c r="K24" i="51"/>
  <c r="G25" i="51"/>
  <c r="J25" i="51"/>
  <c r="K25" i="51"/>
  <c r="G26" i="51"/>
  <c r="J26" i="51"/>
  <c r="K26" i="51"/>
  <c r="G27" i="51"/>
  <c r="J27" i="51"/>
  <c r="K27" i="51"/>
  <c r="G28" i="51"/>
  <c r="J28" i="51"/>
  <c r="K28" i="51"/>
  <c r="G29" i="51"/>
  <c r="J29" i="51"/>
  <c r="K29" i="51"/>
  <c r="G30" i="51"/>
  <c r="J30" i="51"/>
  <c r="K30" i="51"/>
  <c r="G31" i="51"/>
  <c r="J31" i="51"/>
  <c r="K31" i="51"/>
  <c r="G32" i="51"/>
  <c r="G33" i="51"/>
  <c r="J33" i="51"/>
  <c r="K33" i="51"/>
  <c r="G34" i="51"/>
  <c r="J34" i="51"/>
  <c r="K34" i="51"/>
  <c r="G35" i="51"/>
  <c r="J35" i="51"/>
  <c r="K35" i="51"/>
  <c r="G36" i="51"/>
  <c r="J36" i="51"/>
  <c r="K36" i="51"/>
  <c r="G37" i="51"/>
  <c r="J37" i="51"/>
  <c r="K37" i="51"/>
  <c r="G38" i="51"/>
  <c r="J38" i="51"/>
  <c r="K38" i="51"/>
  <c r="G39" i="51"/>
  <c r="J39" i="51"/>
  <c r="K39" i="51"/>
  <c r="G40" i="51"/>
  <c r="J40" i="51"/>
  <c r="K40" i="51"/>
  <c r="G41" i="51"/>
  <c r="J41" i="51"/>
  <c r="K41" i="51"/>
  <c r="J5" i="35"/>
  <c r="K5" i="35"/>
  <c r="J6" i="35"/>
  <c r="K6" i="35"/>
  <c r="J7" i="35"/>
  <c r="K7" i="35"/>
  <c r="J8" i="35"/>
  <c r="K8" i="35"/>
  <c r="J9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J29" i="35"/>
  <c r="K29" i="35"/>
  <c r="J30" i="35"/>
  <c r="K30" i="35"/>
  <c r="J31" i="35"/>
  <c r="K31" i="35"/>
  <c r="J32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G5" i="34"/>
  <c r="G4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5" i="9"/>
  <c r="J5" i="9"/>
  <c r="K5" i="9"/>
  <c r="G6" i="9"/>
  <c r="J6" i="9"/>
  <c r="K6" i="9"/>
  <c r="G7" i="9"/>
  <c r="J7" i="9"/>
  <c r="K7" i="9"/>
  <c r="G8" i="9"/>
  <c r="J8" i="9"/>
  <c r="K8" i="9"/>
  <c r="G9" i="9"/>
  <c r="J9" i="9"/>
  <c r="K9" i="9"/>
  <c r="G10" i="9"/>
  <c r="J10" i="9"/>
  <c r="K10" i="9"/>
  <c r="G11" i="9"/>
  <c r="J11" i="9"/>
  <c r="K11" i="9"/>
  <c r="G12" i="9"/>
  <c r="J12" i="9"/>
  <c r="K12" i="9"/>
  <c r="G13" i="9"/>
  <c r="J13" i="9"/>
  <c r="K13" i="9"/>
  <c r="G14" i="9"/>
  <c r="J14" i="9"/>
  <c r="K14" i="9"/>
  <c r="G15" i="9"/>
  <c r="J15" i="9"/>
  <c r="K15" i="9"/>
  <c r="G16" i="9"/>
  <c r="J16" i="9"/>
  <c r="K16" i="9"/>
  <c r="G17" i="9"/>
  <c r="J17" i="9"/>
  <c r="K17" i="9"/>
  <c r="G18" i="9"/>
  <c r="J18" i="9"/>
  <c r="K18" i="9"/>
  <c r="G19" i="9"/>
  <c r="J19" i="9"/>
  <c r="K19" i="9"/>
  <c r="G20" i="9"/>
  <c r="J20" i="9"/>
  <c r="K20" i="9"/>
  <c r="G21" i="9"/>
  <c r="J21" i="9"/>
  <c r="K21" i="9"/>
  <c r="G22" i="9"/>
  <c r="J22" i="9"/>
  <c r="K22" i="9"/>
  <c r="G23" i="9"/>
  <c r="J23" i="9"/>
  <c r="K23" i="9"/>
  <c r="G24" i="9"/>
  <c r="J24" i="9"/>
  <c r="K24" i="9"/>
  <c r="G25" i="9"/>
  <c r="J25" i="9"/>
  <c r="K25" i="9"/>
  <c r="G26" i="9"/>
  <c r="J26" i="9"/>
  <c r="K26" i="9"/>
  <c r="G27" i="9"/>
  <c r="J27" i="9"/>
  <c r="K27" i="9"/>
  <c r="G28" i="9"/>
  <c r="J28" i="9"/>
  <c r="K28" i="9"/>
  <c r="G29" i="9"/>
  <c r="J29" i="9"/>
  <c r="K29" i="9"/>
  <c r="G30" i="9"/>
  <c r="J30" i="9"/>
  <c r="K30" i="9"/>
  <c r="G31" i="9"/>
  <c r="J31" i="9"/>
  <c r="K31" i="9"/>
  <c r="G32" i="9"/>
  <c r="J32" i="9"/>
  <c r="K32" i="9"/>
  <c r="G33" i="9"/>
  <c r="J33" i="9"/>
  <c r="K33" i="9"/>
  <c r="G34" i="9"/>
  <c r="J34" i="9"/>
  <c r="K34" i="9"/>
  <c r="G5" i="26"/>
  <c r="J5" i="26"/>
  <c r="K5" i="26"/>
  <c r="G6" i="26"/>
  <c r="J6" i="26"/>
  <c r="K6" i="26"/>
  <c r="G7" i="26"/>
  <c r="J7" i="26"/>
  <c r="K7" i="26"/>
  <c r="G8" i="26"/>
  <c r="J8" i="26"/>
  <c r="K8" i="26"/>
  <c r="G9" i="26"/>
  <c r="J9" i="26"/>
  <c r="K9" i="26"/>
  <c r="G10" i="26"/>
  <c r="J10" i="26"/>
  <c r="K10" i="26"/>
  <c r="G11" i="26"/>
  <c r="J11" i="26"/>
  <c r="K11" i="26"/>
  <c r="G12" i="26"/>
  <c r="J12" i="26"/>
  <c r="K12" i="26"/>
  <c r="G13" i="26"/>
  <c r="J13" i="26"/>
  <c r="K13" i="26"/>
  <c r="G14" i="26"/>
  <c r="J14" i="26"/>
  <c r="K14" i="26"/>
  <c r="G15" i="26"/>
  <c r="J15" i="26"/>
  <c r="K15" i="26"/>
  <c r="G16" i="26"/>
  <c r="J16" i="26"/>
  <c r="K16" i="26"/>
  <c r="G17" i="26"/>
  <c r="J17" i="26"/>
  <c r="K17" i="26"/>
  <c r="G18" i="26"/>
  <c r="J18" i="26"/>
  <c r="K18" i="26"/>
  <c r="G19" i="26"/>
  <c r="J19" i="26"/>
  <c r="K19" i="26"/>
  <c r="G20" i="26"/>
  <c r="J20" i="26"/>
  <c r="K20" i="26"/>
  <c r="G21" i="26"/>
  <c r="J21" i="26"/>
  <c r="K21" i="26"/>
  <c r="G22" i="26"/>
  <c r="J22" i="26"/>
  <c r="K22" i="26"/>
  <c r="G23" i="26"/>
  <c r="J23" i="26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G6" i="10"/>
  <c r="J6" i="10"/>
  <c r="K6" i="10"/>
  <c r="G7" i="10"/>
  <c r="J7" i="10"/>
  <c r="K7" i="10"/>
  <c r="G8" i="10"/>
  <c r="J8" i="10"/>
  <c r="K8" i="10"/>
  <c r="G9" i="10"/>
  <c r="J9" i="10"/>
  <c r="K9" i="10"/>
  <c r="G10" i="10"/>
  <c r="J10" i="10"/>
  <c r="K10" i="10"/>
  <c r="G11" i="10"/>
  <c r="J11" i="10"/>
  <c r="K11" i="10"/>
  <c r="G12" i="10"/>
  <c r="J12" i="10"/>
  <c r="K12" i="10"/>
  <c r="G13" i="10"/>
  <c r="J13" i="10"/>
  <c r="K13" i="10"/>
  <c r="G14" i="10"/>
  <c r="J14" i="10"/>
  <c r="K14" i="10"/>
  <c r="G15" i="10"/>
  <c r="J15" i="10"/>
  <c r="K15" i="10"/>
  <c r="G16" i="10"/>
  <c r="J16" i="10"/>
  <c r="K16" i="10"/>
  <c r="G17" i="10"/>
  <c r="J17" i="10"/>
  <c r="K17" i="10"/>
  <c r="G18" i="10"/>
  <c r="J18" i="10"/>
  <c r="G19" i="10"/>
  <c r="J19" i="10"/>
  <c r="K19" i="10"/>
  <c r="J20" i="10"/>
  <c r="K20" i="10"/>
  <c r="J21" i="10"/>
  <c r="K21" i="10"/>
  <c r="G22" i="10"/>
  <c r="J22" i="10"/>
  <c r="K22" i="10"/>
  <c r="G23" i="10"/>
  <c r="J23" i="10"/>
  <c r="K23" i="10"/>
  <c r="G24" i="10"/>
  <c r="J24" i="10"/>
  <c r="K24" i="10"/>
  <c r="G25" i="10"/>
  <c r="J25" i="10"/>
  <c r="K25" i="10"/>
  <c r="G26" i="10"/>
  <c r="J26" i="10"/>
  <c r="K26" i="10"/>
  <c r="G27" i="10"/>
  <c r="J27" i="10"/>
  <c r="K27" i="10"/>
  <c r="G28" i="10"/>
  <c r="J28" i="10"/>
  <c r="K28" i="10"/>
  <c r="G29" i="10"/>
  <c r="J29" i="10"/>
  <c r="K29" i="10"/>
  <c r="G30" i="10"/>
  <c r="J30" i="10"/>
  <c r="K30" i="10"/>
  <c r="G31" i="10"/>
  <c r="J31" i="10"/>
  <c r="K31" i="10"/>
  <c r="G32" i="10"/>
  <c r="J32" i="10"/>
  <c r="K32" i="10"/>
  <c r="G33" i="10"/>
  <c r="J33" i="10"/>
  <c r="K33" i="10"/>
  <c r="G59" i="44"/>
  <c r="J32" i="65"/>
  <c r="J33" i="65"/>
  <c r="J34" i="65"/>
  <c r="J35" i="65"/>
  <c r="G34" i="65"/>
  <c r="K34" i="65" s="1"/>
  <c r="E38" i="24"/>
  <c r="P32" i="16"/>
  <c r="E35" i="60"/>
  <c r="J43" i="44"/>
  <c r="J40" i="44"/>
  <c r="G40" i="44"/>
  <c r="K40" i="44" s="1"/>
  <c r="G38" i="44"/>
  <c r="J36" i="44"/>
  <c r="J37" i="44"/>
  <c r="J38" i="44"/>
  <c r="G37" i="44"/>
  <c r="K37" i="44" s="1"/>
  <c r="G35" i="44"/>
  <c r="G36" i="44"/>
  <c r="K36" i="44" s="1"/>
  <c r="J35" i="44"/>
  <c r="G5" i="19"/>
  <c r="J5" i="19"/>
  <c r="G6" i="19"/>
  <c r="J6" i="19"/>
  <c r="G7" i="19"/>
  <c r="G8" i="19"/>
  <c r="J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5" i="33"/>
  <c r="J5" i="33"/>
  <c r="K5" i="33"/>
  <c r="G6" i="33"/>
  <c r="J6" i="33"/>
  <c r="K6" i="33"/>
  <c r="G7" i="33"/>
  <c r="J7" i="33"/>
  <c r="K7" i="33"/>
  <c r="G8" i="33"/>
  <c r="J8" i="33"/>
  <c r="K8" i="33"/>
  <c r="G9" i="33"/>
  <c r="J9" i="33"/>
  <c r="K9" i="33"/>
  <c r="G10" i="33"/>
  <c r="J10" i="33"/>
  <c r="K10" i="33"/>
  <c r="G11" i="33"/>
  <c r="J11" i="33"/>
  <c r="K11" i="33"/>
  <c r="G12" i="33"/>
  <c r="J12" i="33"/>
  <c r="K12" i="33"/>
  <c r="G13" i="33"/>
  <c r="J13" i="33"/>
  <c r="K13" i="33"/>
  <c r="G14" i="33"/>
  <c r="J14" i="33"/>
  <c r="K14" i="33"/>
  <c r="G15" i="33"/>
  <c r="J15" i="33"/>
  <c r="K15" i="33"/>
  <c r="G16" i="33"/>
  <c r="J16" i="33"/>
  <c r="K16" i="33"/>
  <c r="G17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G43" i="33"/>
  <c r="J43" i="33"/>
  <c r="K43" i="33"/>
  <c r="J5" i="57"/>
  <c r="J6" i="57"/>
  <c r="J7" i="57"/>
  <c r="J8" i="57"/>
  <c r="J9" i="57"/>
  <c r="J10" i="57"/>
  <c r="J11" i="57"/>
  <c r="J12" i="57"/>
  <c r="J13" i="57"/>
  <c r="J14" i="57"/>
  <c r="K15" i="57"/>
  <c r="K16" i="57"/>
  <c r="K17" i="57"/>
  <c r="K18" i="57"/>
  <c r="K19" i="57"/>
  <c r="K20" i="57"/>
  <c r="K21" i="57"/>
  <c r="J22" i="57"/>
  <c r="J23" i="57"/>
  <c r="J24" i="57"/>
  <c r="J25" i="57"/>
  <c r="J26" i="57"/>
  <c r="J27" i="57"/>
  <c r="J28" i="57"/>
  <c r="J29" i="57"/>
  <c r="J30" i="57"/>
  <c r="J31" i="57"/>
  <c r="J32" i="57"/>
  <c r="J33" i="57"/>
  <c r="J34" i="57"/>
  <c r="G8" i="14"/>
  <c r="J8" i="14"/>
  <c r="K8" i="14"/>
  <c r="G35" i="14"/>
  <c r="J35" i="14"/>
  <c r="K35" i="14"/>
  <c r="G53" i="22"/>
  <c r="J53" i="22"/>
  <c r="K53" i="22"/>
  <c r="L34" i="25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G5" i="10"/>
  <c r="J5" i="10"/>
  <c r="K5" i="10"/>
  <c r="G34" i="10"/>
  <c r="J34" i="10"/>
  <c r="K34" i="10"/>
  <c r="H35" i="10"/>
  <c r="J35" i="10"/>
  <c r="L35" i="10"/>
  <c r="G5" i="11"/>
  <c r="J5" i="11"/>
  <c r="K5" i="11"/>
  <c r="G6" i="11"/>
  <c r="J6" i="11"/>
  <c r="K6" i="11"/>
  <c r="G7" i="11"/>
  <c r="J7" i="11"/>
  <c r="K7" i="11"/>
  <c r="G8" i="11"/>
  <c r="J8" i="11"/>
  <c r="K8" i="11"/>
  <c r="G9" i="11"/>
  <c r="J9" i="11"/>
  <c r="K9" i="11"/>
  <c r="G10" i="11"/>
  <c r="J10" i="11"/>
  <c r="K10" i="11"/>
  <c r="G11" i="11"/>
  <c r="J11" i="11"/>
  <c r="K11" i="11"/>
  <c r="G12" i="11"/>
  <c r="J12" i="11"/>
  <c r="K12" i="11"/>
  <c r="G13" i="11"/>
  <c r="J13" i="11"/>
  <c r="K13" i="11"/>
  <c r="G14" i="11"/>
  <c r="J14" i="11"/>
  <c r="K14" i="11"/>
  <c r="G15" i="11"/>
  <c r="J15" i="11"/>
  <c r="K15" i="11"/>
  <c r="G16" i="11"/>
  <c r="J16" i="11"/>
  <c r="K16" i="11"/>
  <c r="G17" i="11"/>
  <c r="J17" i="11"/>
  <c r="K17" i="11"/>
  <c r="G18" i="11"/>
  <c r="J18" i="11"/>
  <c r="K18" i="11"/>
  <c r="G19" i="11"/>
  <c r="J19" i="11"/>
  <c r="K19" i="11"/>
  <c r="G20" i="11"/>
  <c r="J20" i="11"/>
  <c r="K20" i="11"/>
  <c r="G21" i="11"/>
  <c r="J21" i="11"/>
  <c r="K21" i="11"/>
  <c r="G22" i="11"/>
  <c r="J22" i="11"/>
  <c r="K22" i="11"/>
  <c r="G23" i="11"/>
  <c r="J23" i="11"/>
  <c r="K23" i="11"/>
  <c r="G24" i="11"/>
  <c r="J24" i="11"/>
  <c r="K24" i="11"/>
  <c r="G25" i="11"/>
  <c r="J25" i="11"/>
  <c r="K25" i="11"/>
  <c r="G26" i="11"/>
  <c r="J26" i="11"/>
  <c r="K26" i="11"/>
  <c r="G27" i="11"/>
  <c r="J27" i="11"/>
  <c r="K27" i="11"/>
  <c r="G28" i="11"/>
  <c r="J28" i="11"/>
  <c r="K28" i="11"/>
  <c r="G29" i="11"/>
  <c r="J29" i="11"/>
  <c r="K29" i="11"/>
  <c r="G30" i="11"/>
  <c r="J30" i="11"/>
  <c r="K30" i="11"/>
  <c r="G31" i="11"/>
  <c r="J31" i="11"/>
  <c r="K31" i="11"/>
  <c r="G32" i="11"/>
  <c r="J32" i="11"/>
  <c r="K32" i="11"/>
  <c r="G33" i="11"/>
  <c r="J33" i="11"/>
  <c r="K33" i="11"/>
  <c r="G34" i="11"/>
  <c r="J34" i="11"/>
  <c r="K34" i="11"/>
  <c r="G6" i="63"/>
  <c r="J6" i="63"/>
  <c r="G7" i="63"/>
  <c r="J7" i="63"/>
  <c r="G8" i="63"/>
  <c r="J8" i="63"/>
  <c r="G9" i="63"/>
  <c r="J9" i="63"/>
  <c r="G10" i="63"/>
  <c r="J10" i="63"/>
  <c r="G11" i="63"/>
  <c r="J11" i="63"/>
  <c r="G12" i="63"/>
  <c r="J12" i="63"/>
  <c r="G13" i="63"/>
  <c r="J13" i="63"/>
  <c r="G14" i="63"/>
  <c r="J14" i="63"/>
  <c r="G15" i="63"/>
  <c r="J15" i="63"/>
  <c r="G16" i="63"/>
  <c r="J16" i="63"/>
  <c r="G17" i="63"/>
  <c r="J17" i="63"/>
  <c r="G18" i="63"/>
  <c r="J18" i="63"/>
  <c r="G19" i="63"/>
  <c r="J19" i="63"/>
  <c r="G20" i="63"/>
  <c r="J20" i="63"/>
  <c r="G21" i="63"/>
  <c r="J21" i="63"/>
  <c r="G22" i="63"/>
  <c r="J22" i="63"/>
  <c r="G23" i="63"/>
  <c r="J23" i="63"/>
  <c r="G24" i="63"/>
  <c r="J24" i="63"/>
  <c r="G25" i="63"/>
  <c r="J25" i="63"/>
  <c r="G26" i="63"/>
  <c r="J26" i="63"/>
  <c r="G27" i="63"/>
  <c r="J27" i="63"/>
  <c r="G28" i="63"/>
  <c r="J28" i="63"/>
  <c r="G29" i="63"/>
  <c r="J29" i="63"/>
  <c r="G30" i="63"/>
  <c r="J30" i="63"/>
  <c r="G31" i="63"/>
  <c r="J31" i="63"/>
  <c r="G32" i="63"/>
  <c r="J32" i="63"/>
  <c r="G33" i="63"/>
  <c r="J33" i="63"/>
  <c r="G5" i="3"/>
  <c r="J5" i="3"/>
  <c r="K5" i="3"/>
  <c r="G6" i="3"/>
  <c r="J6" i="3"/>
  <c r="K6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35" i="16"/>
  <c r="J35" i="16"/>
  <c r="K35" i="16"/>
  <c r="G5" i="52"/>
  <c r="J5" i="52"/>
  <c r="K5" i="52"/>
  <c r="G6" i="52"/>
  <c r="J6" i="52"/>
  <c r="K6" i="52"/>
  <c r="G7" i="52"/>
  <c r="J7" i="52"/>
  <c r="K7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K20" i="52"/>
  <c r="G21" i="52"/>
  <c r="J21" i="52"/>
  <c r="K21" i="52"/>
  <c r="G22" i="52"/>
  <c r="J22" i="52"/>
  <c r="K22" i="52"/>
  <c r="G23" i="52"/>
  <c r="J23" i="52"/>
  <c r="K23" i="52"/>
  <c r="G24" i="52"/>
  <c r="J24" i="52"/>
  <c r="K24" i="52"/>
  <c r="G25" i="52"/>
  <c r="J25" i="52"/>
  <c r="K25" i="52"/>
  <c r="G26" i="52"/>
  <c r="J26" i="52"/>
  <c r="K26" i="52"/>
  <c r="G27" i="52"/>
  <c r="J27" i="52"/>
  <c r="K27" i="52"/>
  <c r="G28" i="52"/>
  <c r="J28" i="52"/>
  <c r="K28" i="52"/>
  <c r="G29" i="52"/>
  <c r="J29" i="52"/>
  <c r="K29" i="52"/>
  <c r="G30" i="52"/>
  <c r="J30" i="52"/>
  <c r="K30" i="52"/>
  <c r="G31" i="52"/>
  <c r="J31" i="52"/>
  <c r="K31" i="52"/>
  <c r="G32" i="52"/>
  <c r="J32" i="52"/>
  <c r="K32" i="52"/>
  <c r="G33" i="52"/>
  <c r="J33" i="52"/>
  <c r="K33" i="52"/>
  <c r="J26" i="1"/>
  <c r="K26" i="1"/>
  <c r="J27" i="1"/>
  <c r="K27" i="1"/>
  <c r="J28" i="1"/>
  <c r="K28" i="1"/>
  <c r="J29" i="1"/>
  <c r="K29" i="1"/>
  <c r="J30" i="1"/>
  <c r="K30" i="1"/>
  <c r="J31" i="1"/>
  <c r="K31" i="1"/>
  <c r="G5" i="62"/>
  <c r="J5" i="62"/>
  <c r="K5" i="62"/>
  <c r="G6" i="62"/>
  <c r="J6" i="62"/>
  <c r="K6" i="62"/>
  <c r="G7" i="62"/>
  <c r="J7" i="62"/>
  <c r="K7" i="62"/>
  <c r="G8" i="62"/>
  <c r="J8" i="62"/>
  <c r="K8" i="62"/>
  <c r="G9" i="62"/>
  <c r="J9" i="62"/>
  <c r="K9" i="62"/>
  <c r="G10" i="62"/>
  <c r="J10" i="62"/>
  <c r="K10" i="62"/>
  <c r="G11" i="62"/>
  <c r="J11" i="62"/>
  <c r="K11" i="62"/>
  <c r="G12" i="62"/>
  <c r="J12" i="62"/>
  <c r="K12" i="62"/>
  <c r="G13" i="62"/>
  <c r="J13" i="62"/>
  <c r="K13" i="62"/>
  <c r="G14" i="62"/>
  <c r="J14" i="62"/>
  <c r="K14" i="62"/>
  <c r="G15" i="62"/>
  <c r="J15" i="62"/>
  <c r="K15" i="62"/>
  <c r="G16" i="62"/>
  <c r="J16" i="62"/>
  <c r="K16" i="62"/>
  <c r="G17" i="62"/>
  <c r="J17" i="62"/>
  <c r="K17" i="62"/>
  <c r="G18" i="62"/>
  <c r="J18" i="62"/>
  <c r="K18" i="62"/>
  <c r="G19" i="62"/>
  <c r="J19" i="62"/>
  <c r="K19" i="62"/>
  <c r="G20" i="62"/>
  <c r="J20" i="62"/>
  <c r="K20" i="62"/>
  <c r="G21" i="62"/>
  <c r="J21" i="62"/>
  <c r="K21" i="62"/>
  <c r="G22" i="62"/>
  <c r="J22" i="62"/>
  <c r="K22" i="62"/>
  <c r="G23" i="62"/>
  <c r="J23" i="62"/>
  <c r="K23" i="62"/>
  <c r="G24" i="62"/>
  <c r="J24" i="62"/>
  <c r="K24" i="62"/>
  <c r="G25" i="62"/>
  <c r="J25" i="62"/>
  <c r="K25" i="62"/>
  <c r="G26" i="62"/>
  <c r="J26" i="62"/>
  <c r="K26" i="62"/>
  <c r="G27" i="62"/>
  <c r="J27" i="62"/>
  <c r="K27" i="62"/>
  <c r="G28" i="62"/>
  <c r="J28" i="62"/>
  <c r="K28" i="62"/>
  <c r="G29" i="62"/>
  <c r="J29" i="62"/>
  <c r="K29" i="62"/>
  <c r="G30" i="62"/>
  <c r="J30" i="62"/>
  <c r="K30" i="62"/>
  <c r="G31" i="62"/>
  <c r="J31" i="62"/>
  <c r="K31" i="62"/>
  <c r="G32" i="62"/>
  <c r="J32" i="62"/>
  <c r="K32" i="62"/>
  <c r="G33" i="62"/>
  <c r="J33" i="62"/>
  <c r="K33" i="62"/>
  <c r="G34" i="62"/>
  <c r="J34" i="62"/>
  <c r="K34" i="62"/>
  <c r="G35" i="62"/>
  <c r="J35" i="62"/>
  <c r="K35" i="62"/>
  <c r="G5" i="2"/>
  <c r="J5" i="2"/>
  <c r="K5" i="2"/>
  <c r="G6" i="2"/>
  <c r="J6" i="2"/>
  <c r="K6" i="2"/>
  <c r="G7" i="2"/>
  <c r="J7" i="2"/>
  <c r="K7" i="2"/>
  <c r="G8" i="2"/>
  <c r="J8" i="2"/>
  <c r="K8" i="2"/>
  <c r="G9" i="2"/>
  <c r="J9" i="2"/>
  <c r="K9" i="2"/>
  <c r="G10" i="2"/>
  <c r="J10" i="2"/>
  <c r="K10" i="2"/>
  <c r="G11" i="2"/>
  <c r="J11" i="2"/>
  <c r="K11" i="2"/>
  <c r="G12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J19" i="2"/>
  <c r="K19" i="2"/>
  <c r="G20" i="2"/>
  <c r="J20" i="2"/>
  <c r="K20" i="2"/>
  <c r="G21" i="2"/>
  <c r="J21" i="2"/>
  <c r="K21" i="2"/>
  <c r="G22" i="2"/>
  <c r="J22" i="2"/>
  <c r="K22" i="2"/>
  <c r="G23" i="2"/>
  <c r="J23" i="2"/>
  <c r="K23" i="2"/>
  <c r="G24" i="2"/>
  <c r="J24" i="2"/>
  <c r="K24" i="2"/>
  <c r="G25" i="2"/>
  <c r="J25" i="2"/>
  <c r="K25" i="2"/>
  <c r="G26" i="2"/>
  <c r="J26" i="2"/>
  <c r="K26" i="2"/>
  <c r="G27" i="2"/>
  <c r="J27" i="2"/>
  <c r="K27" i="2"/>
  <c r="G28" i="2"/>
  <c r="J28" i="2"/>
  <c r="K28" i="2"/>
  <c r="G29" i="2"/>
  <c r="J29" i="2"/>
  <c r="K29" i="2"/>
  <c r="G30" i="2"/>
  <c r="J30" i="2"/>
  <c r="K30" i="2"/>
  <c r="G31" i="2"/>
  <c r="J31" i="2"/>
  <c r="K31" i="2"/>
  <c r="G32" i="2"/>
  <c r="J32" i="2"/>
  <c r="K32" i="2"/>
  <c r="G33" i="2"/>
  <c r="J33" i="2"/>
  <c r="K33" i="2"/>
  <c r="G34" i="2"/>
  <c r="J34" i="2"/>
  <c r="K34" i="2"/>
  <c r="G35" i="2"/>
  <c r="J35" i="2"/>
  <c r="K35" i="2"/>
  <c r="G5" i="65"/>
  <c r="J5" i="65"/>
  <c r="K5" i="65"/>
  <c r="G6" i="65"/>
  <c r="J6" i="65"/>
  <c r="K6" i="65"/>
  <c r="G7" i="65"/>
  <c r="J7" i="65"/>
  <c r="K7" i="65"/>
  <c r="G8" i="65"/>
  <c r="J8" i="65"/>
  <c r="K8" i="65"/>
  <c r="J9" i="65"/>
  <c r="K9" i="65"/>
  <c r="G10" i="65"/>
  <c r="J10" i="65"/>
  <c r="K10" i="65"/>
  <c r="G11" i="65"/>
  <c r="J11" i="65"/>
  <c r="K11" i="65"/>
  <c r="G12" i="65"/>
  <c r="J12" i="65"/>
  <c r="K12" i="65"/>
  <c r="G13" i="65"/>
  <c r="J13" i="65"/>
  <c r="K13" i="65"/>
  <c r="G14" i="65"/>
  <c r="K14" i="65"/>
  <c r="G15" i="65"/>
  <c r="K15" i="65"/>
  <c r="G16" i="65"/>
  <c r="K16" i="65"/>
  <c r="L37" i="65" s="1"/>
  <c r="J11" i="56" s="1"/>
  <c r="G18" i="65"/>
  <c r="J18" i="65"/>
  <c r="K18" i="65"/>
  <c r="G19" i="65"/>
  <c r="J19" i="65"/>
  <c r="K19" i="65"/>
  <c r="G20" i="65"/>
  <c r="J20" i="65"/>
  <c r="K20" i="65"/>
  <c r="G21" i="65"/>
  <c r="J21" i="65"/>
  <c r="K21" i="65"/>
  <c r="G22" i="65"/>
  <c r="J22" i="65"/>
  <c r="K22" i="65"/>
  <c r="G23" i="65"/>
  <c r="J23" i="65"/>
  <c r="K23" i="65"/>
  <c r="G24" i="65"/>
  <c r="J24" i="65"/>
  <c r="K24" i="65"/>
  <c r="G25" i="65"/>
  <c r="J25" i="65"/>
  <c r="K25" i="65"/>
  <c r="G26" i="65"/>
  <c r="J26" i="65"/>
  <c r="K26" i="65"/>
  <c r="G27" i="65"/>
  <c r="J27" i="65"/>
  <c r="K27" i="65"/>
  <c r="G28" i="65"/>
  <c r="J28" i="65"/>
  <c r="K28" i="65"/>
  <c r="G29" i="65"/>
  <c r="J29" i="65"/>
  <c r="K29" i="65"/>
  <c r="G30" i="65"/>
  <c r="J30" i="65"/>
  <c r="K30" i="65"/>
  <c r="G31" i="65"/>
  <c r="J31" i="65"/>
  <c r="K31" i="65"/>
  <c r="G32" i="65"/>
  <c r="K32" i="65" s="1"/>
  <c r="G33" i="65"/>
  <c r="K33" i="65" s="1"/>
  <c r="G35" i="65"/>
  <c r="K35" i="65" s="1"/>
  <c r="G36" i="65"/>
  <c r="J36" i="65"/>
  <c r="K36" i="65"/>
  <c r="G5" i="59"/>
  <c r="J5" i="59"/>
  <c r="K5" i="59"/>
  <c r="G6" i="59"/>
  <c r="J6" i="59"/>
  <c r="K6" i="59"/>
  <c r="G7" i="59"/>
  <c r="J7" i="59"/>
  <c r="K7" i="59"/>
  <c r="G8" i="59"/>
  <c r="J8" i="59"/>
  <c r="K8" i="59"/>
  <c r="G9" i="59"/>
  <c r="J9" i="59"/>
  <c r="K9" i="59"/>
  <c r="G10" i="59"/>
  <c r="J10" i="59"/>
  <c r="K10" i="59"/>
  <c r="G11" i="59"/>
  <c r="J11" i="59"/>
  <c r="K11" i="59"/>
  <c r="G12" i="59"/>
  <c r="J12" i="59"/>
  <c r="K12" i="59"/>
  <c r="G13" i="59"/>
  <c r="J13" i="59"/>
  <c r="K13" i="59"/>
  <c r="G14" i="59"/>
  <c r="J14" i="59"/>
  <c r="K14" i="59"/>
  <c r="G15" i="59"/>
  <c r="J15" i="59"/>
  <c r="K15" i="59"/>
  <c r="G16" i="59"/>
  <c r="J16" i="59"/>
  <c r="K16" i="59"/>
  <c r="G17" i="59"/>
  <c r="J17" i="59"/>
  <c r="K17" i="59"/>
  <c r="G18" i="59"/>
  <c r="J18" i="59"/>
  <c r="K18" i="59"/>
  <c r="G19" i="59"/>
  <c r="J19" i="59"/>
  <c r="K19" i="59"/>
  <c r="G20" i="59"/>
  <c r="J20" i="59"/>
  <c r="K20" i="59"/>
  <c r="G21" i="59"/>
  <c r="J21" i="59"/>
  <c r="K21" i="59"/>
  <c r="G22" i="59"/>
  <c r="J22" i="59"/>
  <c r="K22" i="59"/>
  <c r="G23" i="59"/>
  <c r="J23" i="59"/>
  <c r="K23" i="59"/>
  <c r="G24" i="59"/>
  <c r="J24" i="59"/>
  <c r="K24" i="59"/>
  <c r="G25" i="59"/>
  <c r="J25" i="59"/>
  <c r="K25" i="59"/>
  <c r="G26" i="59"/>
  <c r="J26" i="59"/>
  <c r="K26" i="59"/>
  <c r="G27" i="59"/>
  <c r="J27" i="59"/>
  <c r="K27" i="59"/>
  <c r="G28" i="59"/>
  <c r="J28" i="59"/>
  <c r="K28" i="59"/>
  <c r="G29" i="59"/>
  <c r="J29" i="59"/>
  <c r="K29" i="59"/>
  <c r="G30" i="59"/>
  <c r="J30" i="59"/>
  <c r="K30" i="59"/>
  <c r="G31" i="59"/>
  <c r="J31" i="59"/>
  <c r="K31" i="59"/>
  <c r="G32" i="59"/>
  <c r="J32" i="59"/>
  <c r="K32" i="59"/>
  <c r="G33" i="59"/>
  <c r="J33" i="59"/>
  <c r="K33" i="59"/>
  <c r="G34" i="59"/>
  <c r="J34" i="59"/>
  <c r="K34" i="59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K12" i="58"/>
  <c r="L12" i="58"/>
  <c r="J13" i="58"/>
  <c r="K13" i="58"/>
  <c r="L13" i="58"/>
  <c r="J14" i="58"/>
  <c r="K14" i="58"/>
  <c r="L14" i="58"/>
  <c r="J15" i="58"/>
  <c r="K15" i="58"/>
  <c r="L15" i="58"/>
  <c r="J16" i="58"/>
  <c r="K16" i="58"/>
  <c r="L16" i="58"/>
  <c r="J17" i="58"/>
  <c r="K17" i="58"/>
  <c r="L17" i="58"/>
  <c r="J18" i="58"/>
  <c r="K18" i="58"/>
  <c r="L18" i="58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G33" i="58"/>
  <c r="J33" i="58"/>
  <c r="K33" i="58"/>
  <c r="L33" i="58"/>
  <c r="G5" i="18"/>
  <c r="J5" i="18"/>
  <c r="K5" i="18"/>
  <c r="G6" i="18"/>
  <c r="J6" i="18"/>
  <c r="K6" i="18"/>
  <c r="G7" i="18"/>
  <c r="J7" i="18"/>
  <c r="K7" i="18"/>
  <c r="G8" i="18"/>
  <c r="J8" i="18"/>
  <c r="K8" i="18"/>
  <c r="G9" i="18"/>
  <c r="J9" i="18"/>
  <c r="K9" i="18"/>
  <c r="G10" i="18"/>
  <c r="J10" i="18"/>
  <c r="K10" i="18"/>
  <c r="G11" i="18"/>
  <c r="J11" i="18"/>
  <c r="K11" i="18"/>
  <c r="G12" i="18"/>
  <c r="J12" i="18"/>
  <c r="K12" i="18"/>
  <c r="G13" i="18"/>
  <c r="J13" i="18"/>
  <c r="K13" i="18"/>
  <c r="G14" i="18"/>
  <c r="J14" i="18"/>
  <c r="K14" i="18"/>
  <c r="G15" i="18"/>
  <c r="J15" i="18"/>
  <c r="K15" i="18"/>
  <c r="G16" i="18"/>
  <c r="J16" i="18"/>
  <c r="K16" i="18"/>
  <c r="G17" i="18"/>
  <c r="J17" i="18"/>
  <c r="K17" i="18"/>
  <c r="G18" i="18"/>
  <c r="J18" i="18"/>
  <c r="K18" i="18"/>
  <c r="G19" i="18"/>
  <c r="J19" i="18"/>
  <c r="K19" i="18"/>
  <c r="G20" i="18"/>
  <c r="J20" i="18"/>
  <c r="K20" i="18"/>
  <c r="G21" i="18"/>
  <c r="J21" i="18"/>
  <c r="K21" i="18"/>
  <c r="G22" i="18"/>
  <c r="J22" i="18"/>
  <c r="K22" i="18"/>
  <c r="G23" i="18"/>
  <c r="J23" i="18"/>
  <c r="K23" i="18"/>
  <c r="G24" i="18"/>
  <c r="J24" i="18"/>
  <c r="K24" i="18"/>
  <c r="G25" i="18"/>
  <c r="J25" i="18"/>
  <c r="K25" i="18"/>
  <c r="G26" i="18"/>
  <c r="J26" i="18"/>
  <c r="K26" i="18"/>
  <c r="G27" i="18"/>
  <c r="J27" i="18"/>
  <c r="K27" i="18"/>
  <c r="G28" i="18"/>
  <c r="J28" i="18"/>
  <c r="K28" i="18"/>
  <c r="G29" i="18"/>
  <c r="J29" i="18"/>
  <c r="K29" i="18"/>
  <c r="G30" i="18"/>
  <c r="J30" i="18"/>
  <c r="K30" i="18"/>
  <c r="G31" i="18"/>
  <c r="J31" i="18"/>
  <c r="K31" i="18"/>
  <c r="G32" i="18"/>
  <c r="J32" i="18"/>
  <c r="K32" i="18"/>
  <c r="G33" i="18"/>
  <c r="J33" i="18"/>
  <c r="K33" i="18"/>
  <c r="G34" i="18"/>
  <c r="J34" i="18"/>
  <c r="K34" i="18"/>
  <c r="G5" i="47"/>
  <c r="J5" i="47"/>
  <c r="K5" i="47"/>
  <c r="G6" i="47"/>
  <c r="J6" i="47"/>
  <c r="K6" i="47"/>
  <c r="G7" i="47"/>
  <c r="J7" i="47"/>
  <c r="K7" i="47"/>
  <c r="G8" i="47"/>
  <c r="J8" i="47"/>
  <c r="K8" i="47"/>
  <c r="G9" i="47"/>
  <c r="J9" i="47"/>
  <c r="K9" i="47"/>
  <c r="G10" i="47"/>
  <c r="J10" i="47"/>
  <c r="K10" i="47"/>
  <c r="G11" i="47"/>
  <c r="J11" i="47"/>
  <c r="K11" i="47"/>
  <c r="G12" i="47"/>
  <c r="J12" i="47"/>
  <c r="K12" i="47"/>
  <c r="G13" i="47"/>
  <c r="J13" i="47"/>
  <c r="K13" i="47"/>
  <c r="G14" i="47"/>
  <c r="J14" i="47"/>
  <c r="K14" i="47"/>
  <c r="G15" i="47"/>
  <c r="J15" i="47"/>
  <c r="K15" i="47"/>
  <c r="G16" i="47"/>
  <c r="J16" i="47"/>
  <c r="K16" i="47"/>
  <c r="G17" i="47"/>
  <c r="J17" i="47"/>
  <c r="K17" i="47"/>
  <c r="G18" i="47"/>
  <c r="J18" i="47"/>
  <c r="K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5" i="50"/>
  <c r="J5" i="50"/>
  <c r="K5" i="50"/>
  <c r="G6" i="50"/>
  <c r="J6" i="50"/>
  <c r="K6" i="50"/>
  <c r="G7" i="50"/>
  <c r="J7" i="50"/>
  <c r="K7" i="50"/>
  <c r="G8" i="50"/>
  <c r="J8" i="50"/>
  <c r="K8" i="50"/>
  <c r="G9" i="50"/>
  <c r="J9" i="50"/>
  <c r="K9" i="50"/>
  <c r="G10" i="50"/>
  <c r="J10" i="50"/>
  <c r="K10" i="50"/>
  <c r="G11" i="50"/>
  <c r="J11" i="50"/>
  <c r="K11" i="50"/>
  <c r="G12" i="50"/>
  <c r="J12" i="50"/>
  <c r="K12" i="50"/>
  <c r="G13" i="50"/>
  <c r="J13" i="50"/>
  <c r="K13" i="50"/>
  <c r="G14" i="50"/>
  <c r="J14" i="50"/>
  <c r="K14" i="50"/>
  <c r="G15" i="50"/>
  <c r="J15" i="50"/>
  <c r="K15" i="50"/>
  <c r="G16" i="50"/>
  <c r="J16" i="50"/>
  <c r="K16" i="50"/>
  <c r="G17" i="50"/>
  <c r="J17" i="50"/>
  <c r="K17" i="50"/>
  <c r="G18" i="50"/>
  <c r="J18" i="50"/>
  <c r="K18" i="50"/>
  <c r="G19" i="50"/>
  <c r="J19" i="50"/>
  <c r="K19" i="50"/>
  <c r="G20" i="50"/>
  <c r="J20" i="50"/>
  <c r="K20" i="50"/>
  <c r="G21" i="50"/>
  <c r="J21" i="50"/>
  <c r="K21" i="50"/>
  <c r="G22" i="50"/>
  <c r="J22" i="50"/>
  <c r="K22" i="50"/>
  <c r="G23" i="50"/>
  <c r="J23" i="50"/>
  <c r="K23" i="50"/>
  <c r="G24" i="50"/>
  <c r="J24" i="50"/>
  <c r="K24" i="50"/>
  <c r="G25" i="50"/>
  <c r="J25" i="50"/>
  <c r="K25" i="50"/>
  <c r="G26" i="50"/>
  <c r="J26" i="50"/>
  <c r="K26" i="50"/>
  <c r="G27" i="50"/>
  <c r="J27" i="50"/>
  <c r="K27" i="50"/>
  <c r="G28" i="50"/>
  <c r="J28" i="50"/>
  <c r="K28" i="50"/>
  <c r="G29" i="50"/>
  <c r="J29" i="50"/>
  <c r="K29" i="50"/>
  <c r="J30" i="50"/>
  <c r="K30" i="50"/>
  <c r="G31" i="50"/>
  <c r="J31" i="50"/>
  <c r="K31" i="50"/>
  <c r="G32" i="50"/>
  <c r="J32" i="50"/>
  <c r="K32" i="50"/>
  <c r="G33" i="50"/>
  <c r="J33" i="50"/>
  <c r="K33" i="50"/>
  <c r="G34" i="50"/>
  <c r="J34" i="50"/>
  <c r="K34" i="50"/>
  <c r="G35" i="50"/>
  <c r="J35" i="50"/>
  <c r="K35" i="50"/>
  <c r="G36" i="50"/>
  <c r="J36" i="50"/>
  <c r="K36" i="50"/>
  <c r="G37" i="50"/>
  <c r="J37" i="50"/>
  <c r="K37" i="50"/>
  <c r="H35" i="59"/>
  <c r="I11" i="56"/>
  <c r="H37" i="65"/>
  <c r="F11" i="56" s="1"/>
  <c r="E37" i="65"/>
  <c r="D11" i="56" s="1"/>
  <c r="J4" i="65"/>
  <c r="J37" i="65" s="1"/>
  <c r="G11" i="56" s="1"/>
  <c r="G4" i="65"/>
  <c r="I21" i="56"/>
  <c r="H35" i="63"/>
  <c r="F21" i="56" s="1"/>
  <c r="E35" i="63"/>
  <c r="D21" i="56" s="1"/>
  <c r="K33" i="63"/>
  <c r="L33" i="63" s="1"/>
  <c r="K32" i="63"/>
  <c r="L32" i="63" s="1"/>
  <c r="K31" i="63"/>
  <c r="L31" i="63" s="1"/>
  <c r="K30" i="63"/>
  <c r="L30" i="63" s="1"/>
  <c r="K29" i="63"/>
  <c r="L29" i="63" s="1"/>
  <c r="K27" i="63"/>
  <c r="L27" i="63" s="1"/>
  <c r="K26" i="63"/>
  <c r="L26" i="63" s="1"/>
  <c r="K25" i="63"/>
  <c r="L25" i="63" s="1"/>
  <c r="K24" i="63"/>
  <c r="L24" i="63" s="1"/>
  <c r="K23" i="63"/>
  <c r="L23" i="63" s="1"/>
  <c r="K22" i="63"/>
  <c r="L22" i="63" s="1"/>
  <c r="K21" i="63"/>
  <c r="L21" i="63" s="1"/>
  <c r="K20" i="63"/>
  <c r="L20" i="63" s="1"/>
  <c r="K19" i="63"/>
  <c r="L19" i="63" s="1"/>
  <c r="K18" i="63"/>
  <c r="L18" i="63" s="1"/>
  <c r="K17" i="63"/>
  <c r="L17" i="63" s="1"/>
  <c r="K16" i="63"/>
  <c r="L16" i="63" s="1"/>
  <c r="K15" i="63"/>
  <c r="L15" i="63" s="1"/>
  <c r="K14" i="63"/>
  <c r="L14" i="63" s="1"/>
  <c r="K13" i="63"/>
  <c r="L13" i="63" s="1"/>
  <c r="K12" i="63"/>
  <c r="L12" i="63" s="1"/>
  <c r="K11" i="63"/>
  <c r="L11" i="63" s="1"/>
  <c r="K10" i="63"/>
  <c r="L10" i="63" s="1"/>
  <c r="K9" i="63"/>
  <c r="L9" i="63" s="1"/>
  <c r="K8" i="63"/>
  <c r="L8" i="63" s="1"/>
  <c r="K7" i="63"/>
  <c r="L7" i="63" s="1"/>
  <c r="K6" i="63"/>
  <c r="L6" i="63" s="1"/>
  <c r="L5" i="63"/>
  <c r="J4" i="63"/>
  <c r="J35" i="63" s="1"/>
  <c r="G21" i="56" s="1"/>
  <c r="G4" i="63"/>
  <c r="M3" i="63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9" i="44"/>
  <c r="G41" i="44"/>
  <c r="G42" i="44"/>
  <c r="G43" i="44"/>
  <c r="K43" i="44" s="1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I25" i="56"/>
  <c r="L36" i="62"/>
  <c r="J13" i="56" s="1"/>
  <c r="H36" i="62"/>
  <c r="F13" i="56" s="1"/>
  <c r="E36" i="62"/>
  <c r="D13" i="56" s="1"/>
  <c r="J4" i="62"/>
  <c r="J36" i="62" s="1"/>
  <c r="G13" i="56" s="1"/>
  <c r="G4" i="62"/>
  <c r="M3" i="62"/>
  <c r="I13" i="56" s="1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 s="1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32" i="19"/>
  <c r="L32" i="19"/>
  <c r="K33" i="19"/>
  <c r="L33" i="19"/>
  <c r="G44" i="33"/>
  <c r="J44" i="33"/>
  <c r="K44" i="33"/>
  <c r="G5" i="57"/>
  <c r="K5" i="57" s="1"/>
  <c r="L5" i="57"/>
  <c r="G6" i="57"/>
  <c r="K6" i="57" s="1"/>
  <c r="L6" i="57"/>
  <c r="G7" i="57"/>
  <c r="K7" i="57" s="1"/>
  <c r="L7" i="57"/>
  <c r="G8" i="57"/>
  <c r="K8" i="57" s="1"/>
  <c r="L8" i="57"/>
  <c r="G9" i="57"/>
  <c r="K9" i="57" s="1"/>
  <c r="L9" i="57"/>
  <c r="G10" i="57"/>
  <c r="K10" i="57" s="1"/>
  <c r="L10" i="57"/>
  <c r="G11" i="57"/>
  <c r="K11" i="57" s="1"/>
  <c r="L11" i="57"/>
  <c r="G12" i="57"/>
  <c r="K12" i="57" s="1"/>
  <c r="L12" i="57"/>
  <c r="G13" i="57"/>
  <c r="K13" i="57" s="1"/>
  <c r="L13" i="57"/>
  <c r="G14" i="57"/>
  <c r="K14" i="57" s="1"/>
  <c r="L14" i="57"/>
  <c r="L15" i="57"/>
  <c r="L16" i="57"/>
  <c r="L17" i="57"/>
  <c r="L18" i="57"/>
  <c r="L19" i="57"/>
  <c r="L20" i="57"/>
  <c r="L21" i="57"/>
  <c r="G22" i="57"/>
  <c r="K22" i="57" s="1"/>
  <c r="L22" i="57"/>
  <c r="G23" i="57"/>
  <c r="K23" i="57" s="1"/>
  <c r="L23" i="57"/>
  <c r="G24" i="57"/>
  <c r="K24" i="57" s="1"/>
  <c r="L24" i="57"/>
  <c r="G25" i="57"/>
  <c r="K25" i="57" s="1"/>
  <c r="L25" i="57"/>
  <c r="G26" i="57"/>
  <c r="K26" i="57" s="1"/>
  <c r="L26" i="57"/>
  <c r="G27" i="57"/>
  <c r="K27" i="57" s="1"/>
  <c r="L27" i="57"/>
  <c r="G28" i="57"/>
  <c r="K28" i="57" s="1"/>
  <c r="L28" i="57"/>
  <c r="G29" i="57"/>
  <c r="K29" i="57" s="1"/>
  <c r="L29" i="57"/>
  <c r="G30" i="57"/>
  <c r="K30" i="57" s="1"/>
  <c r="L30" i="57"/>
  <c r="G31" i="57"/>
  <c r="K31" i="57" s="1"/>
  <c r="L31" i="57"/>
  <c r="G32" i="57"/>
  <c r="K32" i="57" s="1"/>
  <c r="L32" i="57"/>
  <c r="G34" i="36"/>
  <c r="J34" i="36"/>
  <c r="K34" i="36"/>
  <c r="G34" i="37"/>
  <c r="J34" i="37"/>
  <c r="K34" i="37"/>
  <c r="L34" i="37"/>
  <c r="G6" i="14"/>
  <c r="J6" i="14"/>
  <c r="K6" i="14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G8" i="1"/>
  <c r="J8" i="1"/>
  <c r="K8" i="1"/>
  <c r="G9" i="1"/>
  <c r="J9" i="1"/>
  <c r="K9" i="1"/>
  <c r="G10" i="1"/>
  <c r="J10" i="1"/>
  <c r="K10" i="1"/>
  <c r="G11" i="1"/>
  <c r="J11" i="1"/>
  <c r="K11" i="1"/>
  <c r="G12" i="1"/>
  <c r="J12" i="1"/>
  <c r="K12" i="1"/>
  <c r="G13" i="1"/>
  <c r="J13" i="1"/>
  <c r="K13" i="1"/>
  <c r="G14" i="1"/>
  <c r="J14" i="1"/>
  <c r="K14" i="1"/>
  <c r="G15" i="1"/>
  <c r="J15" i="1"/>
  <c r="K15" i="1"/>
  <c r="G16" i="1"/>
  <c r="J16" i="1"/>
  <c r="K16" i="1"/>
  <c r="G17" i="1"/>
  <c r="J17" i="1"/>
  <c r="K17" i="1"/>
  <c r="G18" i="1"/>
  <c r="J18" i="1"/>
  <c r="K18" i="1"/>
  <c r="G19" i="1"/>
  <c r="J19" i="1"/>
  <c r="K19" i="1"/>
  <c r="G20" i="1"/>
  <c r="J20" i="1"/>
  <c r="K20" i="1"/>
  <c r="G21" i="1"/>
  <c r="J21" i="1"/>
  <c r="K21" i="1"/>
  <c r="G22" i="1"/>
  <c r="J22" i="1"/>
  <c r="K22" i="1"/>
  <c r="G23" i="1"/>
  <c r="J23" i="1"/>
  <c r="K23" i="1"/>
  <c r="G24" i="1"/>
  <c r="J24" i="1"/>
  <c r="K24" i="1"/>
  <c r="G25" i="1"/>
  <c r="J25" i="1"/>
  <c r="K25" i="1"/>
  <c r="G26" i="1"/>
  <c r="G27" i="1"/>
  <c r="G28" i="1"/>
  <c r="G29" i="1"/>
  <c r="G30" i="1"/>
  <c r="G31" i="1"/>
  <c r="G32" i="1"/>
  <c r="J32" i="1"/>
  <c r="K32" i="1"/>
  <c r="G33" i="1"/>
  <c r="J33" i="1"/>
  <c r="K33" i="1"/>
  <c r="G34" i="1"/>
  <c r="J34" i="1"/>
  <c r="K34" i="1"/>
  <c r="H35" i="37"/>
  <c r="E43" i="35"/>
  <c r="E35" i="11"/>
  <c r="H40" i="41"/>
  <c r="J34" i="44"/>
  <c r="I35" i="56"/>
  <c r="I23" i="56"/>
  <c r="H37" i="61"/>
  <c r="F23" i="56" s="1"/>
  <c r="E37" i="61"/>
  <c r="D23" i="56" s="1"/>
  <c r="L37" i="61"/>
  <c r="J23" i="56" s="1"/>
  <c r="J4" i="61"/>
  <c r="J37" i="61" s="1"/>
  <c r="G23" i="56" s="1"/>
  <c r="G4" i="61"/>
  <c r="H35" i="12"/>
  <c r="E37" i="15"/>
  <c r="E35" i="37"/>
  <c r="J42" i="44"/>
  <c r="Q21" i="34"/>
  <c r="E47" i="34"/>
  <c r="G5" i="1"/>
  <c r="G6" i="1"/>
  <c r="G7" i="1"/>
  <c r="I42" i="56"/>
  <c r="I39" i="56"/>
  <c r="H35" i="60"/>
  <c r="F35" i="56" s="1"/>
  <c r="D35" i="56"/>
  <c r="J4" i="60"/>
  <c r="J35" i="60" s="1"/>
  <c r="G35" i="56" s="1"/>
  <c r="I4" i="56"/>
  <c r="I32" i="56"/>
  <c r="I5" i="56"/>
  <c r="I30" i="56"/>
  <c r="I40" i="56"/>
  <c r="I37" i="56"/>
  <c r="G4" i="52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79" i="44"/>
  <c r="J4" i="47"/>
  <c r="J5" i="14"/>
  <c r="K5" i="14"/>
  <c r="H36" i="2"/>
  <c r="P11" i="33"/>
  <c r="I8" i="56"/>
  <c r="F8" i="56"/>
  <c r="E35" i="59"/>
  <c r="D8" i="56" s="1"/>
  <c r="J4" i="59"/>
  <c r="J35" i="59" s="1"/>
  <c r="G8" i="56" s="1"/>
  <c r="G4" i="59"/>
  <c r="L40" i="41"/>
  <c r="I43" i="56"/>
  <c r="I38" i="56"/>
  <c r="I34" i="56"/>
  <c r="I33" i="56"/>
  <c r="I29" i="56"/>
  <c r="I28" i="56"/>
  <c r="I24" i="56"/>
  <c r="I18" i="56"/>
  <c r="I17" i="56"/>
  <c r="I16" i="56"/>
  <c r="I15" i="56"/>
  <c r="I14" i="56"/>
  <c r="G35" i="18"/>
  <c r="M3" i="45"/>
  <c r="J5" i="44"/>
  <c r="J6" i="44"/>
  <c r="J7" i="44"/>
  <c r="J8" i="44"/>
  <c r="J9" i="44"/>
  <c r="J10" i="44"/>
  <c r="J11" i="44"/>
  <c r="J12" i="44"/>
  <c r="J13" i="44"/>
  <c r="J14" i="44"/>
  <c r="J15" i="44"/>
  <c r="J16" i="44"/>
  <c r="J17" i="44"/>
  <c r="J18" i="44"/>
  <c r="J19" i="44"/>
  <c r="J20" i="44"/>
  <c r="J21" i="44"/>
  <c r="J22" i="44"/>
  <c r="J23" i="44"/>
  <c r="J24" i="44"/>
  <c r="J25" i="44"/>
  <c r="J26" i="44"/>
  <c r="J27" i="44"/>
  <c r="J28" i="44"/>
  <c r="J29" i="44"/>
  <c r="J30" i="44"/>
  <c r="J31" i="44"/>
  <c r="J32" i="44"/>
  <c r="J33" i="44"/>
  <c r="J39" i="44"/>
  <c r="J41" i="44"/>
  <c r="J44" i="44"/>
  <c r="J45" i="44"/>
  <c r="J46" i="44"/>
  <c r="J47" i="44"/>
  <c r="J48" i="44"/>
  <c r="J49" i="44"/>
  <c r="J50" i="44"/>
  <c r="J51" i="44"/>
  <c r="J52" i="44"/>
  <c r="J53" i="44"/>
  <c r="J54" i="44"/>
  <c r="J55" i="44"/>
  <c r="J56" i="44"/>
  <c r="J57" i="44"/>
  <c r="K57" i="44" s="1"/>
  <c r="J58" i="44"/>
  <c r="J60" i="44"/>
  <c r="J61" i="44"/>
  <c r="J62" i="44"/>
  <c r="J63" i="44"/>
  <c r="G4" i="9"/>
  <c r="G4" i="1"/>
  <c r="K34" i="19"/>
  <c r="L34" i="19"/>
  <c r="G33" i="57"/>
  <c r="K33" i="57" s="1"/>
  <c r="L33" i="57" s="1"/>
  <c r="G34" i="57"/>
  <c r="K34" i="57" s="1"/>
  <c r="L34" i="57" s="1"/>
  <c r="G4" i="41"/>
  <c r="G4" i="37"/>
  <c r="G35" i="15"/>
  <c r="J35" i="15"/>
  <c r="K35" i="15"/>
  <c r="G5" i="14"/>
  <c r="M3" i="3"/>
  <c r="G5" i="7"/>
  <c r="J5" i="7"/>
  <c r="G6" i="7"/>
  <c r="J6" i="7"/>
  <c r="G7" i="7"/>
  <c r="J7" i="7"/>
  <c r="G8" i="7"/>
  <c r="J8" i="7"/>
  <c r="G9" i="7"/>
  <c r="J9" i="7"/>
  <c r="G18" i="7"/>
  <c r="J18" i="7"/>
  <c r="G19" i="7"/>
  <c r="J19" i="7"/>
  <c r="G20" i="7"/>
  <c r="J20" i="7"/>
  <c r="J21" i="7"/>
  <c r="J22" i="7"/>
  <c r="G33" i="7"/>
  <c r="J33" i="7"/>
  <c r="J5" i="1"/>
  <c r="K5" i="1"/>
  <c r="J6" i="1"/>
  <c r="K6" i="1"/>
  <c r="J7" i="1"/>
  <c r="K7" i="1"/>
  <c r="J35" i="18"/>
  <c r="K35" i="18"/>
  <c r="G4" i="50"/>
  <c r="J4" i="50"/>
  <c r="K4" i="50"/>
  <c r="G34" i="58"/>
  <c r="J34" i="58"/>
  <c r="K34" i="58"/>
  <c r="L34" i="58"/>
  <c r="J4" i="58"/>
  <c r="G4" i="58"/>
  <c r="H35" i="58"/>
  <c r="F7" i="56" s="1"/>
  <c r="E35" i="58"/>
  <c r="D7" i="56" s="1"/>
  <c r="J35" i="58"/>
  <c r="H35" i="36"/>
  <c r="E35" i="36"/>
  <c r="D31" i="56"/>
  <c r="H35" i="19"/>
  <c r="E35" i="19"/>
  <c r="H43" i="51"/>
  <c r="E43" i="51"/>
  <c r="F44" i="56"/>
  <c r="D44" i="56"/>
  <c r="F43" i="56"/>
  <c r="D43" i="56"/>
  <c r="D42" i="56"/>
  <c r="D40" i="56"/>
  <c r="E45" i="33"/>
  <c r="D39" i="56" s="1"/>
  <c r="F38" i="56"/>
  <c r="E35" i="9"/>
  <c r="D38" i="56" s="1"/>
  <c r="F37" i="56"/>
  <c r="E46" i="26"/>
  <c r="D37" i="56" s="1"/>
  <c r="H35" i="57"/>
  <c r="F36" i="56" s="1"/>
  <c r="E35" i="57"/>
  <c r="D36" i="56" s="1"/>
  <c r="J4" i="57"/>
  <c r="J35" i="57" s="1"/>
  <c r="G36" i="56" s="1"/>
  <c r="G4" i="57"/>
  <c r="J34" i="56"/>
  <c r="F34" i="56"/>
  <c r="E40" i="41"/>
  <c r="D34" i="56" s="1"/>
  <c r="E35" i="12"/>
  <c r="L35" i="12"/>
  <c r="J33" i="56"/>
  <c r="F33" i="56"/>
  <c r="D33" i="56"/>
  <c r="F28" i="56"/>
  <c r="D28" i="56"/>
  <c r="I12" i="56"/>
  <c r="H47" i="34"/>
  <c r="F40" i="56" s="1"/>
  <c r="D32" i="56"/>
  <c r="D30" i="56"/>
  <c r="E36" i="14"/>
  <c r="D29" i="56" s="1"/>
  <c r="E35" i="25"/>
  <c r="D27" i="56" s="1"/>
  <c r="E35" i="40"/>
  <c r="D26" i="56" s="1"/>
  <c r="D25" i="56"/>
  <c r="J24" i="56"/>
  <c r="D24" i="56"/>
  <c r="E35" i="24"/>
  <c r="D22" i="56" s="1"/>
  <c r="E35" i="3"/>
  <c r="D18" i="56" s="1"/>
  <c r="E35" i="7"/>
  <c r="D17" i="56" s="1"/>
  <c r="E36" i="16"/>
  <c r="D16" i="56" s="1"/>
  <c r="L36" i="16"/>
  <c r="E35" i="52"/>
  <c r="D15" i="56" s="1"/>
  <c r="E35" i="1"/>
  <c r="D14" i="56" s="1"/>
  <c r="E36" i="2"/>
  <c r="D12" i="56" s="1"/>
  <c r="D5" i="56"/>
  <c r="L35" i="9"/>
  <c r="J38" i="56" s="1"/>
  <c r="F32" i="56"/>
  <c r="F31" i="56"/>
  <c r="L35" i="11"/>
  <c r="J25" i="56" s="1"/>
  <c r="H35" i="11"/>
  <c r="F25" i="56" s="1"/>
  <c r="F24" i="56"/>
  <c r="H35" i="3"/>
  <c r="F18" i="56" s="1"/>
  <c r="L35" i="3"/>
  <c r="J18" i="56" s="1"/>
  <c r="H35" i="7"/>
  <c r="F17" i="56" s="1"/>
  <c r="L36" i="2"/>
  <c r="J12" i="56" s="1"/>
  <c r="H36" i="18"/>
  <c r="F4" i="56" s="1"/>
  <c r="E36" i="18"/>
  <c r="D4" i="56" s="1"/>
  <c r="I3" i="56"/>
  <c r="I2" i="56"/>
  <c r="L38" i="50"/>
  <c r="J2" i="56" s="1"/>
  <c r="H38" i="50"/>
  <c r="F2" i="56" s="1"/>
  <c r="E38" i="50"/>
  <c r="D2" i="56" s="1"/>
  <c r="F42" i="56"/>
  <c r="L37" i="15"/>
  <c r="J30" i="56" s="1"/>
  <c r="H37" i="15"/>
  <c r="F30" i="56" s="1"/>
  <c r="L36" i="14"/>
  <c r="J29" i="56" s="1"/>
  <c r="H36" i="14"/>
  <c r="F29" i="56" s="1"/>
  <c r="H35" i="25"/>
  <c r="F27" i="56" s="1"/>
  <c r="J35" i="40"/>
  <c r="G26" i="56" s="1"/>
  <c r="H35" i="40"/>
  <c r="F26" i="56" s="1"/>
  <c r="H35" i="24"/>
  <c r="F22" i="56" s="1"/>
  <c r="K37" i="16"/>
  <c r="L35" i="52"/>
  <c r="J15" i="56" s="1"/>
  <c r="H35" i="52"/>
  <c r="F15" i="56" s="1"/>
  <c r="H35" i="1"/>
  <c r="F14" i="56" s="1"/>
  <c r="G35" i="1"/>
  <c r="E14" i="56" s="1"/>
  <c r="L35" i="1"/>
  <c r="J14" i="56" s="1"/>
  <c r="F12" i="56"/>
  <c r="E35" i="47"/>
  <c r="D3" i="56" s="1"/>
  <c r="L35" i="47"/>
  <c r="J3" i="56" s="1"/>
  <c r="H35" i="47"/>
  <c r="F3" i="56" s="1"/>
  <c r="J5" i="56"/>
  <c r="F5" i="56"/>
  <c r="G5" i="56"/>
  <c r="G37" i="15"/>
  <c r="E30" i="56" s="1"/>
  <c r="J4" i="44"/>
  <c r="G4" i="44"/>
  <c r="J64" i="44"/>
  <c r="J65" i="44"/>
  <c r="J66" i="44"/>
  <c r="J67" i="44"/>
  <c r="J68" i="44"/>
  <c r="J69" i="44"/>
  <c r="J71" i="44"/>
  <c r="J72" i="44"/>
  <c r="J73" i="44"/>
  <c r="J74" i="44"/>
  <c r="J75" i="44"/>
  <c r="J76" i="44"/>
  <c r="J77" i="44"/>
  <c r="J78" i="44"/>
  <c r="J79" i="44"/>
  <c r="G80" i="44"/>
  <c r="J80" i="44"/>
  <c r="G81" i="44"/>
  <c r="J81" i="44"/>
  <c r="G82" i="44"/>
  <c r="J82" i="44"/>
  <c r="G83" i="44"/>
  <c r="J83" i="44"/>
  <c r="G84" i="44"/>
  <c r="J84" i="44"/>
  <c r="G85" i="44"/>
  <c r="J85" i="44"/>
  <c r="G86" i="44"/>
  <c r="J86" i="44"/>
  <c r="G4" i="51"/>
  <c r="G4" i="22"/>
  <c r="K5" i="7"/>
  <c r="K6" i="7"/>
  <c r="K7" i="7"/>
  <c r="K8" i="7"/>
  <c r="K9" i="7"/>
  <c r="K18" i="7"/>
  <c r="K19" i="7"/>
  <c r="K20" i="7"/>
  <c r="K21" i="7"/>
  <c r="K22" i="7"/>
  <c r="K33" i="7"/>
  <c r="M3" i="52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45" i="26"/>
  <c r="J4" i="41"/>
  <c r="J42" i="51"/>
  <c r="G42" i="51"/>
  <c r="K42" i="51" s="1"/>
  <c r="L42" i="51" s="1"/>
  <c r="J4" i="51"/>
  <c r="G45" i="26"/>
  <c r="K45" i="26"/>
  <c r="L45" i="26"/>
  <c r="G34" i="7"/>
  <c r="J34" i="7"/>
  <c r="K34" i="7"/>
  <c r="G4" i="47"/>
  <c r="M3" i="50"/>
  <c r="L35" i="36"/>
  <c r="J31" i="56" s="1"/>
  <c r="X16" i="1"/>
  <c r="V21" i="16"/>
  <c r="V20" i="16"/>
  <c r="G4" i="40"/>
  <c r="G4" i="25"/>
  <c r="J4" i="24"/>
  <c r="J35" i="24" s="1"/>
  <c r="G22" i="56" s="1"/>
  <c r="G4" i="12"/>
  <c r="G35" i="12" s="1"/>
  <c r="E33" i="56" s="1"/>
  <c r="H36" i="16"/>
  <c r="F16" i="56" s="1"/>
  <c r="L36" i="18"/>
  <c r="J4" i="56" s="1"/>
  <c r="M3" i="40"/>
  <c r="I38" i="37"/>
  <c r="J4" i="37"/>
  <c r="I38" i="36"/>
  <c r="J4" i="36"/>
  <c r="J35" i="36" s="1"/>
  <c r="G4" i="36"/>
  <c r="G35" i="36" s="1"/>
  <c r="E31" i="56" s="1"/>
  <c r="M3" i="36"/>
  <c r="J42" i="35"/>
  <c r="G42" i="35"/>
  <c r="K42" i="35" s="1"/>
  <c r="L42" i="35" s="1"/>
  <c r="J4" i="35"/>
  <c r="G46" i="34"/>
  <c r="L46" i="34" s="1"/>
  <c r="G45" i="34"/>
  <c r="L45" i="34" s="1"/>
  <c r="H45" i="33"/>
  <c r="F39" i="56" s="1"/>
  <c r="J4" i="33"/>
  <c r="J45" i="33" s="1"/>
  <c r="G39" i="56" s="1"/>
  <c r="G4" i="33"/>
  <c r="J4" i="10"/>
  <c r="M3" i="9"/>
  <c r="M3" i="14"/>
  <c r="J4" i="22"/>
  <c r="J54" i="22" s="1"/>
  <c r="G28" i="56" s="1"/>
  <c r="L35" i="7"/>
  <c r="J17" i="56" s="1"/>
  <c r="M3" i="1"/>
  <c r="J4" i="18"/>
  <c r="I40" i="15"/>
  <c r="J4" i="26"/>
  <c r="G4" i="26"/>
  <c r="J4" i="9"/>
  <c r="J4" i="15"/>
  <c r="M3" i="25"/>
  <c r="G4" i="7"/>
  <c r="G4" i="24"/>
  <c r="G4" i="19"/>
  <c r="G35" i="19" s="1"/>
  <c r="E44" i="56" s="1"/>
  <c r="J4" i="19"/>
  <c r="K4" i="19"/>
  <c r="J4" i="16"/>
  <c r="G4" i="16"/>
  <c r="J4" i="14"/>
  <c r="G4" i="14"/>
  <c r="K4" i="14"/>
  <c r="J4" i="7"/>
  <c r="J35" i="7" s="1"/>
  <c r="G17" i="56" s="1"/>
  <c r="J4" i="12"/>
  <c r="G4" i="11"/>
  <c r="J4" i="11"/>
  <c r="J35" i="11" s="1"/>
  <c r="G25" i="56" s="1"/>
  <c r="K4" i="11"/>
  <c r="M4" i="11" s="1"/>
  <c r="M5" i="11" s="1"/>
  <c r="G4" i="10"/>
  <c r="G35" i="10" s="1"/>
  <c r="J4" i="3"/>
  <c r="J35" i="3" s="1"/>
  <c r="G18" i="56" s="1"/>
  <c r="G4" i="3"/>
  <c r="G35" i="3" s="1"/>
  <c r="E18" i="56" s="1"/>
  <c r="J4" i="2"/>
  <c r="J36" i="2" s="1"/>
  <c r="G12" i="56" s="1"/>
  <c r="G4" i="2"/>
  <c r="G36" i="2" s="1"/>
  <c r="E12" i="56" s="1"/>
  <c r="H12" i="56" s="1"/>
  <c r="J4" i="1"/>
  <c r="J35" i="1" s="1"/>
  <c r="G14" i="56" s="1"/>
  <c r="K4" i="1"/>
  <c r="K35" i="1" s="1"/>
  <c r="G35" i="54" l="1"/>
  <c r="K4" i="54"/>
  <c r="M23" i="15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35" i="15" s="1"/>
  <c r="M36" i="15" s="1"/>
  <c r="G35" i="74"/>
  <c r="K4" i="74"/>
  <c r="G35" i="73"/>
  <c r="E20" i="56" s="1"/>
  <c r="H20" i="56" s="1"/>
  <c r="K4" i="73"/>
  <c r="G35" i="72"/>
  <c r="E6" i="56" s="1"/>
  <c r="H6" i="56" s="1"/>
  <c r="K6" i="56" s="1"/>
  <c r="K4" i="72"/>
  <c r="K56" i="44"/>
  <c r="K55" i="44"/>
  <c r="K54" i="44"/>
  <c r="K53" i="44"/>
  <c r="K52" i="44"/>
  <c r="K51" i="44"/>
  <c r="K50" i="44"/>
  <c r="K49" i="44"/>
  <c r="K48" i="44"/>
  <c r="K47" i="44"/>
  <c r="K46" i="44"/>
  <c r="K45" i="44"/>
  <c r="K44" i="44"/>
  <c r="K42" i="44"/>
  <c r="K41" i="44"/>
  <c r="K39" i="44"/>
  <c r="K34" i="44"/>
  <c r="K33" i="44"/>
  <c r="K32" i="44"/>
  <c r="K31" i="44"/>
  <c r="K30" i="44"/>
  <c r="K29" i="44"/>
  <c r="K28" i="44"/>
  <c r="K27" i="44"/>
  <c r="K26" i="44"/>
  <c r="K25" i="44"/>
  <c r="K24" i="44"/>
  <c r="K23" i="44"/>
  <c r="K22" i="44"/>
  <c r="K21" i="44"/>
  <c r="K20" i="44"/>
  <c r="K19" i="44"/>
  <c r="K18" i="44"/>
  <c r="K17" i="44"/>
  <c r="K16" i="44"/>
  <c r="K15" i="44"/>
  <c r="K14" i="44"/>
  <c r="K13" i="44"/>
  <c r="K12" i="44"/>
  <c r="K35" i="44"/>
  <c r="K38" i="44"/>
  <c r="H18" i="56"/>
  <c r="K18" i="56" s="1"/>
  <c r="M32" i="52"/>
  <c r="M33" i="52" s="1"/>
  <c r="K11" i="35"/>
  <c r="G35" i="71"/>
  <c r="E10" i="56" s="1"/>
  <c r="H10" i="56" s="1"/>
  <c r="K4" i="71"/>
  <c r="G35" i="70"/>
  <c r="E9" i="56" s="1"/>
  <c r="H9" i="56" s="1"/>
  <c r="K4" i="70"/>
  <c r="M4" i="45"/>
  <c r="M5" i="45" s="1"/>
  <c r="M6" i="45" s="1"/>
  <c r="M7" i="45" s="1"/>
  <c r="M8" i="45" s="1"/>
  <c r="K4" i="69"/>
  <c r="E47" i="69"/>
  <c r="D41" i="56" s="1"/>
  <c r="G35" i="68"/>
  <c r="E19" i="56" s="1"/>
  <c r="K4" i="44"/>
  <c r="M4" i="44" s="1"/>
  <c r="K11" i="44"/>
  <c r="K10" i="44"/>
  <c r="K9" i="44"/>
  <c r="K8" i="44"/>
  <c r="K7" i="44"/>
  <c r="K6" i="44"/>
  <c r="K5" i="44"/>
  <c r="K28" i="63"/>
  <c r="L28" i="63" s="1"/>
  <c r="M6" i="11"/>
  <c r="G37" i="65"/>
  <c r="E11" i="56" s="1"/>
  <c r="H11" i="56" s="1"/>
  <c r="K11" i="56" s="1"/>
  <c r="K4" i="65"/>
  <c r="K37" i="65" s="1"/>
  <c r="J36" i="16"/>
  <c r="G16" i="56" s="1"/>
  <c r="L46" i="26"/>
  <c r="G35" i="63"/>
  <c r="E21" i="56" s="1"/>
  <c r="H21" i="56" s="1"/>
  <c r="K4" i="63"/>
  <c r="M7" i="1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G36" i="62"/>
  <c r="E13" i="56" s="1"/>
  <c r="H13" i="56" s="1"/>
  <c r="K13" i="56" s="1"/>
  <c r="K4" i="62"/>
  <c r="I45" i="56"/>
  <c r="G37" i="61"/>
  <c r="E23" i="56" s="1"/>
  <c r="H23" i="56" s="1"/>
  <c r="K23" i="56" s="1"/>
  <c r="K4" i="61"/>
  <c r="G35" i="60"/>
  <c r="E35" i="56" s="1"/>
  <c r="H35" i="56" s="1"/>
  <c r="K4" i="60"/>
  <c r="J43" i="51"/>
  <c r="G43" i="56" s="1"/>
  <c r="G47" i="34"/>
  <c r="E40" i="56" s="1"/>
  <c r="J16" i="56"/>
  <c r="G35" i="59"/>
  <c r="E8" i="56" s="1"/>
  <c r="H8" i="56" s="1"/>
  <c r="K4" i="59"/>
  <c r="M4" i="59" s="1"/>
  <c r="M5" i="59" s="1"/>
  <c r="M6" i="59" s="1"/>
  <c r="M7" i="59" s="1"/>
  <c r="M8" i="59" s="1"/>
  <c r="M9" i="59" s="1"/>
  <c r="M10" i="59" s="1"/>
  <c r="M11" i="59" s="1"/>
  <c r="M12" i="59" s="1"/>
  <c r="M13" i="59" s="1"/>
  <c r="M14" i="59" s="1"/>
  <c r="M15" i="59" s="1"/>
  <c r="M16" i="59" s="1"/>
  <c r="M17" i="59" s="1"/>
  <c r="M18" i="59" s="1"/>
  <c r="M19" i="59" s="1"/>
  <c r="M20" i="59" s="1"/>
  <c r="M21" i="59" s="1"/>
  <c r="M22" i="59" s="1"/>
  <c r="M23" i="59" s="1"/>
  <c r="G36" i="18"/>
  <c r="K4" i="12"/>
  <c r="K35" i="12" s="1"/>
  <c r="J35" i="12"/>
  <c r="G33" i="56" s="1"/>
  <c r="H33" i="56"/>
  <c r="K33" i="56" s="1"/>
  <c r="H14" i="56"/>
  <c r="K14" i="56" s="1"/>
  <c r="J47" i="34"/>
  <c r="G40" i="56" s="1"/>
  <c r="H40" i="56" s="1"/>
  <c r="G45" i="33"/>
  <c r="E39" i="56" s="1"/>
  <c r="H39" i="56" s="1"/>
  <c r="J35" i="9"/>
  <c r="G38" i="56" s="1"/>
  <c r="J46" i="26"/>
  <c r="G37" i="56" s="1"/>
  <c r="G54" i="22"/>
  <c r="E28" i="56" s="1"/>
  <c r="H28" i="56" s="1"/>
  <c r="K4" i="40"/>
  <c r="L4" i="40" s="1"/>
  <c r="G35" i="40"/>
  <c r="E26" i="56" s="1"/>
  <c r="H26" i="56" s="1"/>
  <c r="L35" i="40"/>
  <c r="J26" i="56" s="1"/>
  <c r="K35" i="40"/>
  <c r="J35" i="52"/>
  <c r="G15" i="56" s="1"/>
  <c r="K35" i="52"/>
  <c r="H15" i="56" s="1"/>
  <c r="K15" i="56" s="1"/>
  <c r="G35" i="52"/>
  <c r="K12" i="56"/>
  <c r="J40" i="41"/>
  <c r="G34" i="56" s="1"/>
  <c r="J37" i="15"/>
  <c r="G30" i="56" s="1"/>
  <c r="G35" i="11"/>
  <c r="E25" i="56" s="1"/>
  <c r="G43" i="35"/>
  <c r="E42" i="56" s="1"/>
  <c r="G43" i="51"/>
  <c r="E43" i="56" s="1"/>
  <c r="H43" i="56" s="1"/>
  <c r="J37" i="56"/>
  <c r="G46" i="26"/>
  <c r="E37" i="56" s="1"/>
  <c r="E4" i="56"/>
  <c r="J35" i="19"/>
  <c r="G44" i="56" s="1"/>
  <c r="H44" i="56" s="1"/>
  <c r="H37" i="56"/>
  <c r="J43" i="35"/>
  <c r="G42" i="56" s="1"/>
  <c r="H42" i="56" s="1"/>
  <c r="G35" i="9"/>
  <c r="E38" i="56" s="1"/>
  <c r="G40" i="41"/>
  <c r="E34" i="56" s="1"/>
  <c r="H34" i="56" s="1"/>
  <c r="H30" i="56"/>
  <c r="K30" i="56" s="1"/>
  <c r="G35" i="58"/>
  <c r="E7" i="56" s="1"/>
  <c r="H7" i="56" s="1"/>
  <c r="K4" i="58"/>
  <c r="G35" i="57"/>
  <c r="E36" i="56" s="1"/>
  <c r="H36" i="56" s="1"/>
  <c r="K4" i="57"/>
  <c r="L4" i="57" s="1"/>
  <c r="L35" i="57" s="1"/>
  <c r="J36" i="56" s="1"/>
  <c r="H25" i="56"/>
  <c r="K25" i="56" s="1"/>
  <c r="G35" i="7"/>
  <c r="E17" i="56" s="1"/>
  <c r="J35" i="47"/>
  <c r="G3" i="56" s="1"/>
  <c r="G24" i="56"/>
  <c r="J35" i="37"/>
  <c r="G32" i="56" s="1"/>
  <c r="J36" i="14"/>
  <c r="G29" i="56" s="1"/>
  <c r="G36" i="14"/>
  <c r="E29" i="56" s="1"/>
  <c r="H29" i="56" s="1"/>
  <c r="K29" i="56" s="1"/>
  <c r="F45" i="56"/>
  <c r="G35" i="47"/>
  <c r="E3" i="56" s="1"/>
  <c r="K35" i="19"/>
  <c r="H19" i="56"/>
  <c r="J36" i="18"/>
  <c r="G4" i="56" s="1"/>
  <c r="J38" i="50"/>
  <c r="G2" i="56" s="1"/>
  <c r="G38" i="50"/>
  <c r="E2" i="56" s="1"/>
  <c r="H2" i="56" s="1"/>
  <c r="G31" i="56"/>
  <c r="G35" i="25"/>
  <c r="E27" i="56" s="1"/>
  <c r="J35" i="25"/>
  <c r="G27" i="56" s="1"/>
  <c r="H27" i="56" s="1"/>
  <c r="K35" i="11"/>
  <c r="E24" i="56"/>
  <c r="E5" i="56"/>
  <c r="G35" i="24"/>
  <c r="E22" i="56" s="1"/>
  <c r="H22" i="56" s="1"/>
  <c r="G35" i="37"/>
  <c r="E32" i="56" s="1"/>
  <c r="H32" i="56" s="1"/>
  <c r="K4" i="41"/>
  <c r="K36" i="14"/>
  <c r="K4" i="22"/>
  <c r="M4" i="22" s="1"/>
  <c r="K4" i="51"/>
  <c r="K4" i="24"/>
  <c r="K38" i="50"/>
  <c r="K4" i="47"/>
  <c r="K35" i="47" s="1"/>
  <c r="M4" i="47"/>
  <c r="O4" i="47" s="1"/>
  <c r="G36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4" i="12"/>
  <c r="K4" i="18"/>
  <c r="K36" i="18" s="1"/>
  <c r="M4" i="18"/>
  <c r="K4" i="37"/>
  <c r="K4" i="36"/>
  <c r="K35" i="36" s="1"/>
  <c r="K4" i="35"/>
  <c r="M4" i="35" s="1"/>
  <c r="M5" i="35" s="1"/>
  <c r="M6" i="35" s="1"/>
  <c r="M7" i="35" s="1"/>
  <c r="M8" i="35" s="1"/>
  <c r="M4" i="34"/>
  <c r="K4" i="33"/>
  <c r="L4" i="19"/>
  <c r="L35" i="19" s="1"/>
  <c r="J44" i="56" s="1"/>
  <c r="M5" i="18"/>
  <c r="M6" i="18" s="1"/>
  <c r="M7" i="18" s="1"/>
  <c r="M8" i="18" s="1"/>
  <c r="K4" i="7"/>
  <c r="K35" i="7" s="1"/>
  <c r="M4" i="14"/>
  <c r="M5" i="14" s="1"/>
  <c r="M6" i="14" s="1"/>
  <c r="M7" i="14" s="1"/>
  <c r="M8" i="14" s="1"/>
  <c r="M9" i="14" s="1"/>
  <c r="M10" i="14" s="1"/>
  <c r="K4" i="16"/>
  <c r="K4" i="9"/>
  <c r="K4" i="10"/>
  <c r="K35" i="10" s="1"/>
  <c r="K4" i="2"/>
  <c r="K36" i="2" s="1"/>
  <c r="K4" i="26"/>
  <c r="M4" i="26" s="1"/>
  <c r="M11" i="14"/>
  <c r="M12" i="14" s="1"/>
  <c r="M13" i="14" s="1"/>
  <c r="M14" i="14" s="1"/>
  <c r="M15" i="14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K4" i="25"/>
  <c r="K4" i="15"/>
  <c r="K37" i="15" s="1"/>
  <c r="K4" i="3"/>
  <c r="K35" i="54" l="1"/>
  <c r="M4" i="54"/>
  <c r="M5" i="54" s="1"/>
  <c r="M6" i="54" s="1"/>
  <c r="M7" i="54" s="1"/>
  <c r="M8" i="54" s="1"/>
  <c r="M9" i="54" s="1"/>
  <c r="M10" i="54" s="1"/>
  <c r="M11" i="54" s="1"/>
  <c r="M12" i="54" s="1"/>
  <c r="M13" i="54" s="1"/>
  <c r="M14" i="54" s="1"/>
  <c r="M15" i="54" s="1"/>
  <c r="M16" i="54" s="1"/>
  <c r="M17" i="54" s="1"/>
  <c r="M18" i="54" s="1"/>
  <c r="M19" i="54" s="1"/>
  <c r="M20" i="54" s="1"/>
  <c r="M21" i="54" s="1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M32" i="54" s="1"/>
  <c r="M33" i="54" s="1"/>
  <c r="M34" i="54" s="1"/>
  <c r="M9" i="45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M22" i="45" s="1"/>
  <c r="M23" i="45" s="1"/>
  <c r="O23" i="45" s="1"/>
  <c r="K35" i="74"/>
  <c r="L4" i="74"/>
  <c r="L35" i="74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5" i="73"/>
  <c r="L4" i="73"/>
  <c r="L35" i="73" s="1"/>
  <c r="J20" i="56" s="1"/>
  <c r="K20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3" i="73" s="1"/>
  <c r="M24" i="73" s="1"/>
  <c r="M25" i="73" s="1"/>
  <c r="M26" i="73" s="1"/>
  <c r="M27" i="73" s="1"/>
  <c r="K35" i="72"/>
  <c r="M4" i="72"/>
  <c r="M5" i="72" s="1"/>
  <c r="M6" i="72" s="1"/>
  <c r="M7" i="72" s="1"/>
  <c r="M8" i="72" s="1"/>
  <c r="M9" i="72" s="1"/>
  <c r="M10" i="72" s="1"/>
  <c r="M11" i="72" s="1"/>
  <c r="M12" i="72" s="1"/>
  <c r="M13" i="72" s="1"/>
  <c r="M14" i="72" s="1"/>
  <c r="M15" i="72" s="1"/>
  <c r="M16" i="72" s="1"/>
  <c r="M17" i="72" s="1"/>
  <c r="M18" i="72" s="1"/>
  <c r="M19" i="72" s="1"/>
  <c r="M20" i="72" s="1"/>
  <c r="M21" i="72" s="1"/>
  <c r="M22" i="72" s="1"/>
  <c r="M23" i="72" s="1"/>
  <c r="M24" i="72" s="1"/>
  <c r="M25" i="72" s="1"/>
  <c r="M26" i="72" s="1"/>
  <c r="M27" i="72" s="1"/>
  <c r="M28" i="72" s="1"/>
  <c r="M29" i="72" s="1"/>
  <c r="M30" i="72" s="1"/>
  <c r="M31" i="72" s="1"/>
  <c r="M32" i="72" s="1"/>
  <c r="M33" i="72" s="1"/>
  <c r="M34" i="72" s="1"/>
  <c r="M4" i="24"/>
  <c r="M5" i="24" s="1"/>
  <c r="M6" i="24" s="1"/>
  <c r="M7" i="24" s="1"/>
  <c r="M8" i="24" s="1"/>
  <c r="M9" i="24" s="1"/>
  <c r="M10" i="24" s="1"/>
  <c r="M11" i="24" s="1"/>
  <c r="M12" i="24" s="1"/>
  <c r="M14" i="24" s="1"/>
  <c r="M15" i="24" s="1"/>
  <c r="M16" i="24" s="1"/>
  <c r="M17" i="24" s="1"/>
  <c r="M19" i="24" s="1"/>
  <c r="M20" i="24" s="1"/>
  <c r="M22" i="24" s="1"/>
  <c r="M23" i="24" s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K35" i="24"/>
  <c r="H3" i="56"/>
  <c r="K3" i="56" s="1"/>
  <c r="H5" i="56"/>
  <c r="K5" i="56" s="1"/>
  <c r="H4" i="56"/>
  <c r="K35" i="71"/>
  <c r="L4" i="71"/>
  <c r="L35" i="71" s="1"/>
  <c r="J10" i="56" s="1"/>
  <c r="K35" i="70"/>
  <c r="M4" i="70"/>
  <c r="M5" i="70" s="1"/>
  <c r="M6" i="70" s="1"/>
  <c r="M7" i="70" s="1"/>
  <c r="M8" i="70" s="1"/>
  <c r="M9" i="70" s="1"/>
  <c r="M10" i="70" s="1"/>
  <c r="M11" i="70" s="1"/>
  <c r="M12" i="70" s="1"/>
  <c r="M13" i="70" s="1"/>
  <c r="M14" i="70" s="1"/>
  <c r="M15" i="70" s="1"/>
  <c r="M16" i="70" s="1"/>
  <c r="M17" i="70" s="1"/>
  <c r="M18" i="70" s="1"/>
  <c r="M19" i="70" s="1"/>
  <c r="M20" i="70" s="1"/>
  <c r="M21" i="70" s="1"/>
  <c r="M22" i="70" s="1"/>
  <c r="M23" i="70" s="1"/>
  <c r="M24" i="70" s="1"/>
  <c r="M25" i="70" s="1"/>
  <c r="M26" i="70" s="1"/>
  <c r="M27" i="70" s="1"/>
  <c r="M28" i="70" s="1"/>
  <c r="M29" i="70" s="1"/>
  <c r="M30" i="70" s="1"/>
  <c r="M31" i="70" s="1"/>
  <c r="M32" i="70" s="1"/>
  <c r="M33" i="70" s="1"/>
  <c r="M34" i="70" s="1"/>
  <c r="K9" i="56" s="1"/>
  <c r="K11" i="69"/>
  <c r="G47" i="69"/>
  <c r="E41" i="56" s="1"/>
  <c r="K47" i="69"/>
  <c r="H41" i="56" s="1"/>
  <c r="M4" i="69"/>
  <c r="M5" i="69" s="1"/>
  <c r="M6" i="69" s="1"/>
  <c r="M7" i="69" s="1"/>
  <c r="M8" i="69" s="1"/>
  <c r="M9" i="69" s="1"/>
  <c r="M10" i="69" s="1"/>
  <c r="M11" i="69" s="1"/>
  <c r="M12" i="69" s="1"/>
  <c r="M13" i="69" s="1"/>
  <c r="M14" i="69" s="1"/>
  <c r="M15" i="69" s="1"/>
  <c r="M16" i="69" s="1"/>
  <c r="M17" i="69" s="1"/>
  <c r="M18" i="69" s="1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2" i="69" s="1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K41" i="56" s="1"/>
  <c r="K35" i="68"/>
  <c r="L35" i="68"/>
  <c r="J19" i="56" s="1"/>
  <c r="M4" i="68"/>
  <c r="M5" i="68" s="1"/>
  <c r="M6" i="68" s="1"/>
  <c r="M7" i="68" s="1"/>
  <c r="M8" i="68" s="1"/>
  <c r="M9" i="68" s="1"/>
  <c r="M10" i="68" s="1"/>
  <c r="M11" i="68" s="1"/>
  <c r="M12" i="68" s="1"/>
  <c r="M13" i="68" s="1"/>
  <c r="M14" i="68" s="1"/>
  <c r="M15" i="68" s="1"/>
  <c r="M16" i="68" s="1"/>
  <c r="M17" i="68" s="1"/>
  <c r="M18" i="68" s="1"/>
  <c r="M19" i="68" s="1"/>
  <c r="M20" i="68" s="1"/>
  <c r="M21" i="68" s="1"/>
  <c r="M22" i="68" s="1"/>
  <c r="M23" i="68" s="1"/>
  <c r="M24" i="68" s="1"/>
  <c r="M25" i="68" s="1"/>
  <c r="M26" i="68" s="1"/>
  <c r="M27" i="68" s="1"/>
  <c r="M5" i="44"/>
  <c r="M6" i="44" s="1"/>
  <c r="M7" i="44" s="1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K35" i="25"/>
  <c r="M25" i="47"/>
  <c r="M26" i="47" s="1"/>
  <c r="M27" i="47" s="1"/>
  <c r="M28" i="47" s="1"/>
  <c r="M29" i="47" s="1"/>
  <c r="M30" i="47" s="1"/>
  <c r="M31" i="47" s="1"/>
  <c r="M32" i="47" s="1"/>
  <c r="M33" i="47" s="1"/>
  <c r="M34" i="47" s="1"/>
  <c r="H38" i="56"/>
  <c r="K38" i="56" s="1"/>
  <c r="M9" i="35"/>
  <c r="M10" i="35" s="1"/>
  <c r="M11" i="35" s="1"/>
  <c r="M12" i="35" s="1"/>
  <c r="M13" i="35" s="1"/>
  <c r="M14" i="35" s="1"/>
  <c r="M15" i="35" s="1"/>
  <c r="M16" i="35" s="1"/>
  <c r="M17" i="35" s="1"/>
  <c r="H17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K35" i="3"/>
  <c r="M20" i="1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4" i="65"/>
  <c r="M5" i="65" s="1"/>
  <c r="M6" i="65" s="1"/>
  <c r="M7" i="65" s="1"/>
  <c r="M8" i="65" s="1"/>
  <c r="M9" i="65" s="1"/>
  <c r="M10" i="65" s="1"/>
  <c r="M11" i="65" s="1"/>
  <c r="M12" i="65" s="1"/>
  <c r="M13" i="65" s="1"/>
  <c r="M14" i="65" s="1"/>
  <c r="M15" i="65" s="1"/>
  <c r="M16" i="65" s="1"/>
  <c r="M18" i="65" s="1"/>
  <c r="M19" i="65" s="1"/>
  <c r="M20" i="65" s="1"/>
  <c r="M21" i="65" s="1"/>
  <c r="M22" i="65" s="1"/>
  <c r="M23" i="65" s="1"/>
  <c r="M24" i="65" s="1"/>
  <c r="M25" i="65" s="1"/>
  <c r="M26" i="65" s="1"/>
  <c r="M27" i="65" s="1"/>
  <c r="M28" i="65" s="1"/>
  <c r="M29" i="65" s="1"/>
  <c r="M30" i="65" s="1"/>
  <c r="M31" i="65" s="1"/>
  <c r="M32" i="65" s="1"/>
  <c r="M33" i="65" s="1"/>
  <c r="M35" i="65" s="1"/>
  <c r="M36" i="65" s="1"/>
  <c r="E16" i="56"/>
  <c r="H16" i="56" s="1"/>
  <c r="K16" i="56" s="1"/>
  <c r="K35" i="63"/>
  <c r="L4" i="63"/>
  <c r="L35" i="63" s="1"/>
  <c r="J21" i="56" s="1"/>
  <c r="K21" i="56" s="1"/>
  <c r="M4" i="63"/>
  <c r="M5" i="63" s="1"/>
  <c r="M6" i="63" s="1"/>
  <c r="M7" i="63" s="1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K36" i="62"/>
  <c r="M4" i="62"/>
  <c r="M5" i="62" s="1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L43" i="51"/>
  <c r="J43" i="56" s="1"/>
  <c r="K43" i="56" s="1"/>
  <c r="M4" i="51"/>
  <c r="M5" i="51" s="1"/>
  <c r="M6" i="51" s="1"/>
  <c r="M7" i="51" s="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19" i="51" s="1"/>
  <c r="K43" i="51"/>
  <c r="K37" i="56"/>
  <c r="K37" i="61"/>
  <c r="M4" i="61"/>
  <c r="M5" i="61" s="1"/>
  <c r="M6" i="61" s="1"/>
  <c r="M7" i="61" s="1"/>
  <c r="M8" i="61" s="1"/>
  <c r="M9" i="61" s="1"/>
  <c r="M10" i="61" s="1"/>
  <c r="M11" i="61" s="1"/>
  <c r="M12" i="61" s="1"/>
  <c r="M13" i="61" s="1"/>
  <c r="K34" i="56"/>
  <c r="K35" i="60"/>
  <c r="K46" i="26"/>
  <c r="M4" i="10"/>
  <c r="M5" i="10" s="1"/>
  <c r="M6" i="10" s="1"/>
  <c r="K45" i="33"/>
  <c r="K35" i="9"/>
  <c r="M4" i="9"/>
  <c r="K36" i="56"/>
  <c r="M16" i="14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Q35" i="14" s="1"/>
  <c r="K47" i="34"/>
  <c r="E15" i="56"/>
  <c r="K35" i="59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K35" i="37"/>
  <c r="K26" i="56"/>
  <c r="H24" i="56"/>
  <c r="K24" i="56" s="1"/>
  <c r="M4" i="41"/>
  <c r="M5" i="41" s="1"/>
  <c r="M6" i="41" s="1"/>
  <c r="M7" i="41" s="1"/>
  <c r="M8" i="41" s="1"/>
  <c r="M9" i="41" s="1"/>
  <c r="M10" i="41" s="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38" i="41" s="1"/>
  <c r="M39" i="41" s="1"/>
  <c r="K40" i="41"/>
  <c r="M4" i="16"/>
  <c r="K36" i="16"/>
  <c r="K44" i="56"/>
  <c r="K35" i="58"/>
  <c r="L4" i="58"/>
  <c r="L35" i="58" s="1"/>
  <c r="J7" i="56" s="1"/>
  <c r="H31" i="56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54" i="22"/>
  <c r="K31" i="56"/>
  <c r="K4" i="56"/>
  <c r="K2" i="56"/>
  <c r="M23" i="44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5" i="26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35" i="24"/>
  <c r="K22" i="56" s="1"/>
  <c r="M4" i="50"/>
  <c r="L4" i="25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K43" i="35"/>
  <c r="L43" i="35"/>
  <c r="J42" i="56" s="1"/>
  <c r="K42" i="56" s="1"/>
  <c r="M9" i="18"/>
  <c r="M10" i="18" s="1"/>
  <c r="M11" i="18" s="1"/>
  <c r="M12" i="18" s="1"/>
  <c r="M13" i="18" s="1"/>
  <c r="M14" i="18" s="1"/>
  <c r="M15" i="18" s="1"/>
  <c r="M16" i="18" s="1"/>
  <c r="M17" i="18" s="1"/>
  <c r="M18" i="18" s="1"/>
  <c r="M19" i="18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M7" i="10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K19" i="56"/>
  <c r="C54" i="56" s="1" a="1"/>
  <c r="C54" i="56" s="1"/>
  <c r="M15" i="3" l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19" i="16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S17" i="16"/>
  <c r="M26" i="36"/>
  <c r="M27" i="36" s="1"/>
  <c r="M28" i="36" s="1"/>
  <c r="M29" i="36" s="1"/>
  <c r="M30" i="36" s="1"/>
  <c r="M31" i="36" s="1"/>
  <c r="M32" i="36" s="1"/>
  <c r="M33" i="36" s="1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L35" i="25"/>
  <c r="J27" i="56" s="1"/>
  <c r="K27" i="56" s="1"/>
  <c r="M4" i="25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K17" i="56"/>
  <c r="M20" i="5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33" i="51" s="1"/>
  <c r="M14" i="61"/>
  <c r="M15" i="61" s="1"/>
  <c r="M16" i="61"/>
  <c r="M17" i="61" s="1"/>
  <c r="M18" i="61" s="1"/>
  <c r="M19" i="61" s="1"/>
  <c r="M20" i="61" s="1"/>
  <c r="M21" i="61" s="1"/>
  <c r="M22" i="61" s="1"/>
  <c r="M23" i="61" s="1"/>
  <c r="M24" i="61" s="1"/>
  <c r="M25" i="61" s="1"/>
  <c r="M26" i="61" s="1"/>
  <c r="M27" i="61" s="1"/>
  <c r="M28" i="61" s="1"/>
  <c r="M29" i="61" s="1"/>
  <c r="M30" i="61" s="1"/>
  <c r="M31" i="61" s="1"/>
  <c r="M32" i="61" s="1"/>
  <c r="M34" i="44"/>
  <c r="L35" i="37"/>
  <c r="J32" i="56" s="1"/>
  <c r="K32" i="56" s="1"/>
  <c r="B51" i="56" s="1" a="1"/>
  <c r="B51" i="56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P19" i="41"/>
  <c r="L35" i="60"/>
  <c r="J35" i="56" s="1"/>
  <c r="K35" i="56" s="1"/>
  <c r="M4" i="60"/>
  <c r="M5" i="60" s="1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L35" i="59"/>
  <c r="J8" i="56" s="1"/>
  <c r="K8" i="56" s="1"/>
  <c r="M24" i="59"/>
  <c r="M25" i="59" s="1"/>
  <c r="M26" i="59" s="1"/>
  <c r="M27" i="59" s="1"/>
  <c r="M28" i="59" s="1"/>
  <c r="M29" i="59" s="1"/>
  <c r="M30" i="59" s="1"/>
  <c r="M31" i="59" s="1"/>
  <c r="M32" i="59" s="1"/>
  <c r="M33" i="59" s="1"/>
  <c r="M34" i="59" s="1"/>
  <c r="L45" i="33"/>
  <c r="J39" i="56" s="1"/>
  <c r="K39" i="56" s="1"/>
  <c r="M4" i="33"/>
  <c r="M30" i="18"/>
  <c r="M31" i="18" s="1"/>
  <c r="M32" i="18" s="1"/>
  <c r="M33" i="18" s="1"/>
  <c r="M34" i="18" s="1"/>
  <c r="L47" i="34"/>
  <c r="J40" i="56" s="1"/>
  <c r="M5" i="34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K7" i="56"/>
  <c r="L54" i="22"/>
  <c r="J28" i="56" s="1"/>
  <c r="M5" i="50"/>
  <c r="M6" i="50" s="1"/>
  <c r="M7" i="50" s="1"/>
  <c r="M8" i="50" s="1"/>
  <c r="M9" i="50" s="1"/>
  <c r="M10" i="50" s="1"/>
  <c r="M11" i="50" s="1"/>
  <c r="M12" i="50" s="1"/>
  <c r="M13" i="50" s="1"/>
  <c r="M13" i="9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34" i="51"/>
  <c r="M35" i="51" s="1"/>
  <c r="M36" i="51" s="1"/>
  <c r="M37" i="51" s="1"/>
  <c r="M38" i="51" s="1"/>
  <c r="M39" i="51" s="1"/>
  <c r="L47" i="35"/>
  <c r="M16" i="15"/>
  <c r="M17" i="15" l="1"/>
  <c r="M17" i="37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32" i="37" s="1"/>
  <c r="M34" i="37" s="1"/>
  <c r="M35" i="18"/>
  <c r="P34" i="18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35" i="44"/>
  <c r="M36" i="44" s="1"/>
  <c r="M37" i="44" s="1"/>
  <c r="M38" i="44" s="1"/>
  <c r="M39" i="44" s="1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28" i="9"/>
  <c r="M29" i="9" s="1"/>
  <c r="M30" i="9" s="1"/>
  <c r="M31" i="9" s="1"/>
  <c r="M32" i="9" s="1"/>
  <c r="M33" i="9" s="1"/>
  <c r="M34" i="9" s="1"/>
  <c r="M33" i="61"/>
  <c r="M34" i="61" s="1"/>
  <c r="M35" i="61" s="1"/>
  <c r="M36" i="61" s="1"/>
  <c r="M31" i="50"/>
  <c r="M32" i="50" s="1"/>
  <c r="M29" i="34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M46" i="34" s="1"/>
  <c r="K40" i="56"/>
  <c r="J45" i="56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45" i="33"/>
  <c r="K28" i="56"/>
  <c r="D45" i="56"/>
  <c r="E45" i="56"/>
  <c r="H45" i="56"/>
  <c r="G45" i="56"/>
  <c r="K45" i="56" l="1"/>
  <c r="M33" i="50"/>
  <c r="M34" i="50" s="1"/>
  <c r="M35" i="50" s="1"/>
  <c r="P32" i="50"/>
  <c r="M40" i="44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18" i="35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59" i="44" l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<sst xmlns="http://schemas.openxmlformats.org/spreadsheetml/2006/main" count="1535" uniqueCount="300">
  <si>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</si>
  <si>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</si>
  <si>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</si>
  <si>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</si>
  <si>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</si>
  <si>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</si>
  <si>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</si>
  <si>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</si>
  <si>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</si>
  <si>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</si>
  <si>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</si>
  <si>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</si>
  <si>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</si>
  <si>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</si>
  <si>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</si>
  <si>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Jadcherla-1</t>
  </si>
  <si>
    <t>Sai Baba Fuel Station</t>
  </si>
  <si>
    <t>Jadcherla-2</t>
  </si>
  <si>
    <t xml:space="preserve">ADHOC FILLING STATION STATION </t>
  </si>
  <si>
    <t>Jadcherla-3</t>
  </si>
  <si>
    <t>JSASFuel Genie India Pvt.Ltd</t>
  </si>
  <si>
    <t>Dindi</t>
  </si>
  <si>
    <t>Akarapu Balakistamma Fillling</t>
  </si>
  <si>
    <t>Devarkhadra-1</t>
  </si>
  <si>
    <t>Kurumurthy Swami  F/S</t>
  </si>
  <si>
    <t>Devarkhadra-3</t>
  </si>
  <si>
    <t>Madanapalli</t>
  </si>
  <si>
    <t>Amalapuram</t>
  </si>
  <si>
    <t>Sathya Filling Station</t>
  </si>
  <si>
    <t>YG Gudda-1</t>
  </si>
  <si>
    <t>Pallavi Petrolium</t>
  </si>
  <si>
    <t>YG Gudda-2</t>
  </si>
  <si>
    <t>Pankaja HP Fuel Center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</si>
  <si>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</si>
  <si>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</si>
  <si>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</si>
  <si>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</si>
  <si>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</si>
  <si>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</si>
  <si>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</si>
  <si>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</si>
  <si>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</si>
  <si>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</si>
  <si>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</si>
  <si>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</si>
  <si>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</si>
  <si>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</si>
  <si>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</si>
  <si>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Khanapur(PKG-3)</t>
  </si>
  <si>
    <t>V.V.Varde</t>
  </si>
  <si>
    <t>Munavalli(PKG-3)-2</t>
  </si>
  <si>
    <t xml:space="preserve">Shri Daneshwari 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</si>
  <si>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</si>
  <si>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</si>
  <si>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</si>
  <si>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</si>
  <si>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</si>
  <si>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</si>
  <si>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</si>
  <si>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</si>
  <si>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</si>
  <si>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</si>
  <si>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</si>
  <si>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</si>
  <si>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</si>
  <si>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</si>
  <si>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Guttal</t>
  </si>
  <si>
    <t>Taware filling station</t>
  </si>
  <si>
    <t>Rattihali</t>
  </si>
  <si>
    <t xml:space="preserve"> Shree Siri Gowari petroliam</t>
  </si>
  <si>
    <t>Gajendragada</t>
  </si>
  <si>
    <t>Vanasri Petrol Pump</t>
  </si>
  <si>
    <t>Gokak(PKG-3)</t>
  </si>
  <si>
    <t>AJ Petrolinks</t>
  </si>
  <si>
    <t>Ankaligi</t>
  </si>
  <si>
    <t>Shiv ganga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</si>
  <si>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</si>
  <si>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</si>
  <si>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</si>
  <si>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</si>
  <si>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</si>
  <si>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</si>
  <si>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</si>
  <si>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</si>
  <si>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</t>
  </si>
  <si>
    <t xml:space="preserve"> Bhosle Service Station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</si>
  <si>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</si>
  <si>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</si>
  <si>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</si>
  <si>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</si>
  <si>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</si>
  <si>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</si>
  <si>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</si>
  <si>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</si>
  <si>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Total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</si>
  <si>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</si>
  <si>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</si>
  <si>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</si>
  <si>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</si>
  <si>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</si>
  <si>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</si>
  <si>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</si>
  <si>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</si>
  <si>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</si>
  <si>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</si>
  <si>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0n Date</t>
  </si>
  <si>
    <t>Remarks</t>
  </si>
  <si>
    <t>Opening Balance</t>
  </si>
  <si>
    <t>As on date</t>
  </si>
  <si>
    <t xml:space="preserve">Jadcherla  FILLING STATION STATION </t>
  </si>
  <si>
    <t>As on Date</t>
  </si>
  <si>
    <t>Ind no/Bill No</t>
  </si>
  <si>
    <t>/</t>
  </si>
  <si>
    <t xml:space="preserve"> Fuel bills </t>
  </si>
  <si>
    <t xml:space="preserve"> </t>
  </si>
  <si>
    <t>05.11.2025</t>
  </si>
  <si>
    <t>Sri Venkata Sitaram F/S</t>
  </si>
  <si>
    <t>06.11.2025</t>
  </si>
  <si>
    <t>Shiva Sri Sai Filling Station</t>
  </si>
  <si>
    <t>East Vippar</t>
  </si>
  <si>
    <t>Sri Venkata Sitha Rama Filling Station</t>
  </si>
  <si>
    <t>Bhimavaram</t>
  </si>
  <si>
    <t>07.11.2025</t>
  </si>
  <si>
    <t>Sri Suryaprakash Service Filling Station</t>
  </si>
  <si>
    <t>Rajahmundry</t>
  </si>
  <si>
    <t>08.11.2025</t>
  </si>
  <si>
    <t xml:space="preserve">Buchibabu Filling Center </t>
  </si>
  <si>
    <t>Ethakota</t>
  </si>
  <si>
    <t>10.11.2025</t>
  </si>
  <si>
    <t>Bhaskara Agencies-Morampudi</t>
  </si>
  <si>
    <t>11.11.2025</t>
  </si>
  <si>
    <t>18.11.2025</t>
  </si>
  <si>
    <t>Sri Surya Fuelling Station</t>
  </si>
  <si>
    <t>22.11.2025</t>
  </si>
  <si>
    <t xml:space="preserve">APSRTC Petrol Bunk </t>
  </si>
  <si>
    <t>Rangampeta(Peddapuram)</t>
  </si>
  <si>
    <t>25.11.2025</t>
  </si>
  <si>
    <t>Sree Suryaprakash Service</t>
  </si>
  <si>
    <t>26.11.2025</t>
  </si>
  <si>
    <t>Sri Lakshmi Agencies</t>
  </si>
  <si>
    <t>Samalkot</t>
  </si>
  <si>
    <t>BP Lalacheruvu Jail Road</t>
  </si>
  <si>
    <t>IOCL</t>
  </si>
  <si>
    <t>HPCL</t>
  </si>
  <si>
    <t> </t>
  </si>
  <si>
    <t>Bill No</t>
  </si>
  <si>
    <t>Sree Veerabhadreshwara Service Station</t>
  </si>
  <si>
    <t>Shivaganga Service Station (BPCL)</t>
  </si>
  <si>
    <t>Chellakere-PKG-09</t>
  </si>
  <si>
    <t>BPCL</t>
  </si>
  <si>
    <t>M S NARAYAN SETTY &amp; SONS BHARAT</t>
  </si>
  <si>
    <t>Molakamuru</t>
  </si>
  <si>
    <t>Chennagiri</t>
  </si>
  <si>
    <t>Date of payment</t>
  </si>
  <si>
    <t>d</t>
  </si>
  <si>
    <t>IOCL Card</t>
  </si>
  <si>
    <t>.</t>
  </si>
  <si>
    <t>BPCL OTP</t>
  </si>
  <si>
    <t xml:space="preserve">  Shree Siri Gowari petroliam</t>
  </si>
  <si>
    <t>raja bhakshi</t>
  </si>
  <si>
    <t>Shiva ganga</t>
  </si>
  <si>
    <t xml:space="preserve"> S R PATIL</t>
  </si>
  <si>
    <t>Talikote</t>
  </si>
  <si>
    <t>01.11.2025</t>
  </si>
  <si>
    <t>2.11.2025</t>
  </si>
  <si>
    <t>3.11.2025</t>
  </si>
  <si>
    <t>4.11.2025</t>
  </si>
  <si>
    <t>5.11.2025</t>
  </si>
  <si>
    <t>6.11.2025</t>
  </si>
  <si>
    <t>7.11.2025</t>
  </si>
  <si>
    <t>8.11.2025</t>
  </si>
  <si>
    <t>12.11.2025</t>
  </si>
  <si>
    <t>13.11.2025</t>
  </si>
  <si>
    <t>14.11.2025</t>
  </si>
  <si>
    <t>15.11.2025</t>
  </si>
  <si>
    <t>16.11.2025</t>
  </si>
  <si>
    <t>17.11.2025</t>
  </si>
  <si>
    <t>19.11.2025</t>
  </si>
  <si>
    <t>20.11.2025</t>
  </si>
  <si>
    <t>21.11.2025</t>
  </si>
  <si>
    <t>24.11.2025</t>
  </si>
  <si>
    <t>27.11.2025</t>
  </si>
  <si>
    <t>28.11.2025</t>
  </si>
  <si>
    <t>29.11.2025</t>
  </si>
  <si>
    <t>23.11.2025</t>
  </si>
  <si>
    <t>02.11.2025</t>
  </si>
  <si>
    <t>04.11.2025</t>
  </si>
  <si>
    <t>30.11.2025</t>
  </si>
  <si>
    <t>13/11/2025</t>
  </si>
  <si>
    <t>15/11/2025</t>
  </si>
  <si>
    <t>16/11/2025</t>
  </si>
  <si>
    <t>17/11/2025</t>
  </si>
  <si>
    <t>18/11/2025</t>
  </si>
  <si>
    <t>22/11/2025</t>
  </si>
  <si>
    <t>24/11/2025</t>
  </si>
  <si>
    <t>25/11/2025</t>
  </si>
  <si>
    <t>29/11/2025</t>
  </si>
  <si>
    <t>iocl</t>
  </si>
  <si>
    <t>hpcl</t>
  </si>
  <si>
    <t>BPCL Card Ledger</t>
  </si>
  <si>
    <t>Petrol Bunk Name</t>
  </si>
  <si>
    <t>Card No</t>
  </si>
  <si>
    <t>Recharge Amount</t>
  </si>
  <si>
    <t>Redeem</t>
  </si>
  <si>
    <t>CYBERABAD FILLING STATION</t>
  </si>
  <si>
    <t>FC3450563999</t>
  </si>
  <si>
    <t xml:space="preserve">SHABNAMS BHARAT </t>
  </si>
  <si>
    <t>FC8000207658</t>
  </si>
  <si>
    <t>APOORVA SERVICE STATION</t>
  </si>
  <si>
    <t>FC3450698865</t>
  </si>
  <si>
    <t>03.11.2025</t>
  </si>
  <si>
    <t>MAK FUELS BHARAT PETROLEUM DEALERS</t>
  </si>
  <si>
    <t xml:space="preserve">SHAHAPUR PETROLEUM </t>
  </si>
  <si>
    <t>FC8000207648</t>
  </si>
  <si>
    <t xml:space="preserve">W SRINIVAS RAO &amp; SONS </t>
  </si>
  <si>
    <t>FC3450698864</t>
  </si>
  <si>
    <t>DANESWARI PETROLEUM</t>
  </si>
  <si>
    <t xml:space="preserve">MUKHYAPRANA HERITAGE FUELS BHARAT </t>
  </si>
  <si>
    <t xml:space="preserve">SRI VENKATA SITARAMA FILLING C BHARAT </t>
  </si>
  <si>
    <t>FC8000207659</t>
  </si>
  <si>
    <t xml:space="preserve">SIVA SRI SAI FILLING STATION </t>
  </si>
  <si>
    <t xml:space="preserve">SRI VENKATA SITARAMA </t>
  </si>
  <si>
    <t>V.V.VARDE BHARA</t>
  </si>
  <si>
    <t>FC8000207649</t>
  </si>
  <si>
    <t>MAHMOOD FILLING STATION</t>
  </si>
  <si>
    <t>VIJAYA BHARAT FUEL &amp; SERVICES</t>
  </si>
  <si>
    <t>CHARMINAR SER. STN.</t>
  </si>
  <si>
    <t>FC8000207650</t>
  </si>
  <si>
    <t>SREE SURYAPRAKASH SERVICE</t>
  </si>
  <si>
    <t>BUCHIBABU FILLING CENT</t>
  </si>
  <si>
    <t xml:space="preserve">SANDHYA FUEL STATION </t>
  </si>
  <si>
    <t>09.11.2025</t>
  </si>
  <si>
    <t>SHABNAMS BHARAT PETROLEUM</t>
  </si>
  <si>
    <t xml:space="preserve">SHIVAGANGA SERVICE STATION </t>
  </si>
  <si>
    <t>FC3450698863</t>
  </si>
  <si>
    <t>W SRINIVAS RAO &amp; SONS</t>
  </si>
  <si>
    <t xml:space="preserve">M.RUDRAPPA BROTHERS </t>
  </si>
  <si>
    <t>BUCHIBABU FILLING CENTRE</t>
  </si>
  <si>
    <t>EARTH PAVERS (HYD) PRIVATE LIM</t>
  </si>
  <si>
    <t>SAI BABA FILLING STATION BHARAT</t>
  </si>
  <si>
    <t>FC3450563998</t>
  </si>
  <si>
    <t>SHRI BRAHMANATH PETROLEUM</t>
  </si>
  <si>
    <t>SREE VEERABHADRESHWARA SER</t>
  </si>
  <si>
    <t>SHIVAGANGA SERVICE STATION</t>
  </si>
  <si>
    <t xml:space="preserve">P S NAGATHAN PETROLEUMS </t>
  </si>
  <si>
    <t xml:space="preserve">BP-KAKINADA BHARAT </t>
  </si>
  <si>
    <t xml:space="preserve">VIJAYA BHARAT FUEL &amp; SERVICES </t>
  </si>
  <si>
    <t>SANDHYA FUEL STATION BHARAT PETROLEUM DEALERS</t>
  </si>
  <si>
    <t>SHIVAGANGA SERVICE STATION BHARAT PETROLEUM DEALERS</t>
  </si>
  <si>
    <t>SRI SAI BALAJI &amp; CO BHARAT PETROLEUM DEALERS</t>
  </si>
  <si>
    <t>DANESWARI PETROLEUM BHARAT PETROLEUM DEALERS</t>
  </si>
  <si>
    <t>SREE VEERABHADRESHWARA SER.</t>
  </si>
  <si>
    <t>JUBILEE HILLS FILL. STN. BHARAT PETROLEUM DEALERS</t>
  </si>
  <si>
    <t>V.V.VARDE BHARAT PETROLEUM DEALERS</t>
  </si>
  <si>
    <t xml:space="preserve">APSRTC PETROL BUNK,RANGAMPETA </t>
  </si>
  <si>
    <t>SRI RAMA FUELS BHARAT</t>
  </si>
  <si>
    <t>VIJAYA BHARAT FUEL &amp; SERVICES BHARAT PETROLEUM DEALERS</t>
  </si>
  <si>
    <t>SREE SURYAPRAKASH SERVICE STAT BHARAT PETROLEUM DEALERS</t>
  </si>
  <si>
    <t>W SRINIVAS RAO &amp; SONS BHARAT PETROLEUM DEALERS</t>
  </si>
  <si>
    <t>SRILAKSHMI AGENCIES BHARA</t>
  </si>
  <si>
    <t>BP-LALLACHERUVU BHARAT PETROLEUM DEALERS</t>
  </si>
  <si>
    <t>SRI RAMA FUELS BHARAT PETROLEUM DEALERS</t>
  </si>
  <si>
    <t>EARTH PAVERS (HYD) PRIVATE LIM BHARAT PETROLEUM DEALERS</t>
  </si>
  <si>
    <t>M S NARAYAN SETTY &amp; SONS</t>
  </si>
  <si>
    <t>HPCL Card Ledger</t>
  </si>
  <si>
    <t>MOSCO</t>
  </si>
  <si>
    <t>,8200079004507062</t>
  </si>
  <si>
    <t>SVBS FILLING STATION</t>
  </si>
  <si>
    <t>PANKAJA HP FUEL CENTRE</t>
  </si>
  <si>
    <t>8200079004507150'</t>
  </si>
  <si>
    <t>AJ PETROLINKS</t>
  </si>
  <si>
    <t>TUMCOS FUEL STATION</t>
  </si>
  <si>
    <t>DIVYA LAXMI GANAPATHI AUTO SERVICES</t>
  </si>
  <si>
    <t>YG Gudda – Pallavi Petrolium Ledger Analysis</t>
  </si>
  <si>
    <t>Balance</t>
  </si>
  <si>
    <t>Fuel Spend</t>
  </si>
  <si>
    <t>Fuel Type</t>
  </si>
  <si>
    <t>Liters</t>
  </si>
  <si>
    <t>Source: selected worksheet `YG Gudda ` | Period: November 2025 through 1-Dec-2025 | Values are live formulas linked to the ledger.</t>
  </si>
  <si>
    <t>Total Fuel Spend</t>
  </si>
  <si>
    <t>Closing Balance</t>
  </si>
  <si>
    <t>Net Balance Reduction</t>
  </si>
  <si>
    <t>Active Fuel Days</t>
  </si>
  <si>
    <t>Diesel Liters</t>
  </si>
  <si>
    <t>Petrol Liters</t>
  </si>
  <si>
    <t>Initial insights &amp; takeaways</t>
  </si>
  <si>
    <t>• Fuel activity is concentrated on a single day: only 15-Nov-2025 has diesel/petrol purchases recorded.</t>
  </si>
  <si>
    <t>• Total fuel spend is ₹22,226.48 versus payments of ₹100,000.00, reducing the outstanding balance materially.</t>
  </si>
  <si>
    <t>• Diesel dominates usage: 164.29 L diesel compared with 70.00 L petrol.</t>
  </si>
  <si>
    <t>• Two payments of ₹50,000 were made, on 15-Nov-2025 and 20-Nov-2025.</t>
  </si>
  <si>
    <t>• Closing balance is ₹25,021.54, down ₹77,773.52 from the opening balance.</t>
  </si>
  <si>
    <t>• No GRN / Ind No / Bill No details are populated in the visible transaction rows.</t>
  </si>
  <si>
    <t>Daily transaction trend</t>
  </si>
  <si>
    <t>Diesel Lts</t>
  </si>
  <si>
    <t>Petrol Lts</t>
  </si>
  <si>
    <t>Formula basis</t>
  </si>
  <si>
    <t>Diesel + petrol total from daily rows</t>
  </si>
  <si>
    <t>Payments made during the period</t>
  </si>
  <si>
    <t>Last non-blank running balance</t>
  </si>
  <si>
    <t>Days with positive fuel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</si>
</sst>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_ "/>
    <numFmt numFmtId="172" formatCode="\₹#,##0.0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sz val="8"/>
      <color rgb="FF212529"/>
      <name val="Roboto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mbria"/>
      <family val="1"/>
    </font>
    <font>
      <b/>
      <sz val="18"/>
      <color rgb="FFFFFFFF"/>
      <name val="Aptos"/>
    </font>
    <font>
      <sz val="11"/>
      <color theme="1"/>
      <name val="Aptos"/>
    </font>
    <font>
      <i/>
      <sz val="11"/>
      <color theme="1"/>
      <name val="Aptos"/>
    </font>
    <font>
      <b/>
      <sz val="11"/>
      <color rgb="FFFFFFFF"/>
      <name val="Aptos"/>
    </font>
    <font>
      <b/>
      <sz val="11"/>
      <color theme="1"/>
      <name val="Aptos"/>
    </font>
    <font>
      <b/>
      <sz val="13"/>
      <color theme="1"/>
      <name val="Aptos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8FBF5"/>
        <bgColor indexed="64"/>
      </patternFill>
    </fill>
    <fill>
      <patternFill patternType="solid">
        <fgColor rgb="FF80808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491">
    <xf numFmtId="0" fontId="0" fillId="0" borderId="0" xfId="0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164" fontId="3" fillId="0" borderId="2" xfId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164" fontId="3" fillId="0" borderId="2" xfId="1" applyFont="1" applyBorder="1" applyAlignment="1">
      <alignment horizontal="center" vertical="top"/>
    </xf>
    <xf numFmtId="164" fontId="3" fillId="0" borderId="6" xfId="1" applyFont="1" applyBorder="1" applyAlignment="1">
      <alignment horizontal="center" vertical="top"/>
    </xf>
    <xf numFmtId="164" fontId="3" fillId="0" borderId="4" xfId="1" applyFont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 applyAlignment="1">
      <alignment horizontal="center" vertical="center" wrapText="1"/>
    </xf>
    <xf numFmtId="164" fontId="3" fillId="0" borderId="14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2" fontId="0" fillId="0" borderId="0" xfId="0" applyNumberFormat="1"/>
    <xf numFmtId="0" fontId="7" fillId="0" borderId="2" xfId="3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64" fontId="10" fillId="0" borderId="5" xfId="1" applyFont="1" applyFill="1" applyBorder="1" applyAlignment="1">
      <alignment horizontal="center" vertical="center"/>
    </xf>
    <xf numFmtId="164" fontId="10" fillId="0" borderId="5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2" fontId="0" fillId="0" borderId="5" xfId="0" applyNumberFormat="1" applyBorder="1"/>
    <xf numFmtId="164" fontId="3" fillId="0" borderId="5" xfId="1" applyFont="1" applyBorder="1" applyAlignment="1">
      <alignment vertical="center"/>
    </xf>
    <xf numFmtId="164" fontId="9" fillId="4" borderId="8" xfId="1" applyFont="1" applyFill="1" applyBorder="1" applyAlignment="1">
      <alignment horizontal="center" vertical="center"/>
    </xf>
    <xf numFmtId="164" fontId="9" fillId="4" borderId="9" xfId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164" fontId="9" fillId="4" borderId="5" xfId="1" applyFont="1" applyFill="1" applyBorder="1" applyAlignment="1">
      <alignment horizontal="center" vertical="center"/>
    </xf>
    <xf numFmtId="0" fontId="5" fillId="0" borderId="5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43" fontId="3" fillId="0" borderId="5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43" fontId="3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3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43" fontId="13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0" xfId="0" applyFont="1"/>
    <xf numFmtId="2" fontId="4" fillId="4" borderId="5" xfId="0" applyNumberFormat="1" applyFont="1" applyFill="1" applyBorder="1" applyAlignment="1">
      <alignment horizontal="center" vertical="center"/>
    </xf>
    <xf numFmtId="164" fontId="4" fillId="4" borderId="5" xfId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/>
    <xf numFmtId="0" fontId="3" fillId="0" borderId="5" xfId="0" applyFont="1" applyBorder="1" applyAlignment="1">
      <alignment vertical="center"/>
    </xf>
    <xf numFmtId="164" fontId="3" fillId="0" borderId="5" xfId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4" fontId="3" fillId="0" borderId="5" xfId="1" applyFont="1" applyBorder="1" applyAlignment="1">
      <alignment horizontal="center" inden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4" xfId="0" applyFont="1" applyBorder="1"/>
    <xf numFmtId="0" fontId="0" fillId="0" borderId="15" xfId="0" applyBorder="1"/>
    <xf numFmtId="0" fontId="17" fillId="0" borderId="5" xfId="0" applyFont="1" applyBorder="1"/>
    <xf numFmtId="2" fontId="17" fillId="0" borderId="5" xfId="0" applyNumberFormat="1" applyFont="1" applyBorder="1"/>
    <xf numFmtId="0" fontId="0" fillId="0" borderId="12" xfId="0" applyBorder="1"/>
    <xf numFmtId="0" fontId="13" fillId="3" borderId="1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1" fillId="3" borderId="5" xfId="0" applyFont="1" applyFill="1" applyBorder="1" applyAlignment="1">
      <alignment horizontal="center" vertical="center"/>
    </xf>
    <xf numFmtId="0" fontId="18" fillId="0" borderId="5" xfId="0" applyFont="1" applyBorder="1"/>
    <xf numFmtId="164" fontId="9" fillId="4" borderId="20" xfId="1" applyFont="1" applyFill="1" applyBorder="1" applyAlignment="1">
      <alignment horizontal="center" vertical="center"/>
    </xf>
    <xf numFmtId="164" fontId="0" fillId="0" borderId="5" xfId="0" applyNumberFormat="1" applyBorder="1"/>
    <xf numFmtId="0" fontId="11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43" fontId="3" fillId="0" borderId="12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3" fillId="0" borderId="21" xfId="1" applyFont="1" applyFill="1" applyBorder="1" applyAlignment="1">
      <alignment horizontal="center" vertical="center"/>
    </xf>
    <xf numFmtId="43" fontId="11" fillId="3" borderId="19" xfId="0" applyNumberFormat="1" applyFont="1" applyFill="1" applyBorder="1" applyAlignment="1">
      <alignment horizontal="center" vertical="center" wrapText="1"/>
    </xf>
    <xf numFmtId="43" fontId="11" fillId="3" borderId="6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43" fontId="11" fillId="3" borderId="6" xfId="0" applyNumberFormat="1" applyFont="1" applyFill="1" applyBorder="1" applyAlignment="1">
      <alignment horizontal="center" vertical="center"/>
    </xf>
    <xf numFmtId="43" fontId="11" fillId="3" borderId="19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12" fillId="0" borderId="7" xfId="3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4" fontId="6" fillId="0" borderId="14" xfId="0" applyNumberFormat="1" applyFont="1" applyBorder="1" applyAlignment="1">
      <alignment horizontal="center"/>
    </xf>
    <xf numFmtId="0" fontId="13" fillId="3" borderId="15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wrapText="1"/>
    </xf>
    <xf numFmtId="43" fontId="13" fillId="3" borderId="15" xfId="0" applyNumberFormat="1" applyFont="1" applyFill="1" applyBorder="1" applyAlignment="1">
      <alignment horizontal="center" vertical="center" wrapText="1"/>
    </xf>
    <xf numFmtId="43" fontId="13" fillId="3" borderId="15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0" borderId="14" xfId="1" applyFont="1" applyBorder="1" applyAlignment="1">
      <alignment horizontal="center" vertical="top"/>
    </xf>
    <xf numFmtId="164" fontId="9" fillId="0" borderId="5" xfId="1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4" xfId="0" applyBorder="1"/>
    <xf numFmtId="43" fontId="13" fillId="3" borderId="6" xfId="0" applyNumberFormat="1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top"/>
    </xf>
    <xf numFmtId="164" fontId="3" fillId="0" borderId="7" xfId="1" applyFont="1" applyBorder="1" applyAlignment="1">
      <alignment vertical="center"/>
    </xf>
    <xf numFmtId="43" fontId="13" fillId="3" borderId="19" xfId="0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6" fontId="3" fillId="0" borderId="14" xfId="0" applyNumberFormat="1" applyFont="1" applyBorder="1" applyAlignment="1">
      <alignment horizontal="center"/>
    </xf>
    <xf numFmtId="2" fontId="3" fillId="0" borderId="14" xfId="0" applyNumberFormat="1" applyFont="1" applyBorder="1"/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2" fontId="4" fillId="4" borderId="14" xfId="0" applyNumberFormat="1" applyFont="1" applyFill="1" applyBorder="1" applyAlignment="1">
      <alignment horizontal="center" vertical="center"/>
    </xf>
    <xf numFmtId="164" fontId="4" fillId="4" borderId="14" xfId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/>
    </xf>
    <xf numFmtId="164" fontId="4" fillId="0" borderId="5" xfId="1" applyFont="1" applyBorder="1" applyAlignment="1">
      <alignment horizontal="center" vertical="center" indent="1"/>
    </xf>
    <xf numFmtId="0" fontId="5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43" fontId="11" fillId="3" borderId="5" xfId="0" applyNumberFormat="1" applyFont="1" applyFill="1" applyBorder="1" applyAlignment="1">
      <alignment horizontal="center" vertical="center"/>
    </xf>
    <xf numFmtId="0" fontId="18" fillId="2" borderId="5" xfId="0" applyFont="1" applyFill="1" applyBorder="1"/>
    <xf numFmtId="0" fontId="5" fillId="0" borderId="15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15" xfId="0" applyNumberFormat="1" applyFont="1" applyBorder="1" applyAlignment="1">
      <alignment horizontal="center"/>
    </xf>
    <xf numFmtId="2" fontId="3" fillId="0" borderId="15" xfId="0" applyNumberFormat="1" applyFont="1" applyBorder="1"/>
    <xf numFmtId="2" fontId="3" fillId="0" borderId="15" xfId="0" applyNumberFormat="1" applyFont="1" applyBorder="1" applyAlignment="1">
      <alignment horizontal="right"/>
    </xf>
    <xf numFmtId="43" fontId="5" fillId="2" borderId="15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3" fillId="3" borderId="15" xfId="0" applyNumberFormat="1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vertical="center"/>
    </xf>
    <xf numFmtId="0" fontId="3" fillId="0" borderId="13" xfId="0" applyFont="1" applyBorder="1"/>
    <xf numFmtId="2" fontId="4" fillId="0" borderId="0" xfId="0" applyNumberFormat="1" applyFont="1"/>
    <xf numFmtId="2" fontId="9" fillId="4" borderId="8" xfId="0" applyNumberFormat="1" applyFont="1" applyFill="1" applyBorder="1" applyAlignment="1">
      <alignment horizontal="center" vertical="center"/>
    </xf>
    <xf numFmtId="2" fontId="0" fillId="0" borderId="14" xfId="0" applyNumberFormat="1" applyBorder="1"/>
    <xf numFmtId="0" fontId="10" fillId="0" borderId="15" xfId="0" applyFont="1" applyBorder="1" applyAlignment="1">
      <alignment horizontal="center" vertical="center"/>
    </xf>
    <xf numFmtId="2" fontId="9" fillId="4" borderId="29" xfId="0" applyNumberFormat="1" applyFont="1" applyFill="1" applyBorder="1" applyAlignment="1">
      <alignment horizontal="center" vertical="center"/>
    </xf>
    <xf numFmtId="164" fontId="3" fillId="0" borderId="15" xfId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3" fillId="3" borderId="6" xfId="0" applyNumberFormat="1" applyFont="1" applyFill="1" applyBorder="1" applyAlignment="1">
      <alignment horizontal="right" vertical="center" wrapText="1"/>
    </xf>
    <xf numFmtId="0" fontId="3" fillId="0" borderId="5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164" fontId="3" fillId="0" borderId="15" xfId="1" applyFont="1" applyBorder="1" applyAlignment="1">
      <alignment vertical="center"/>
    </xf>
    <xf numFmtId="164" fontId="3" fillId="0" borderId="13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1" fillId="3" borderId="5" xfId="0" applyFont="1" applyFill="1" applyBorder="1" applyAlignment="1">
      <alignment horizontal="right" vertical="center" wrapText="1"/>
    </xf>
    <xf numFmtId="164" fontId="9" fillId="4" borderId="5" xfId="1" applyFont="1" applyFill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4" xfId="0" applyFont="1" applyBorder="1" applyAlignment="1">
      <alignment horizontal="center"/>
    </xf>
    <xf numFmtId="164" fontId="10" fillId="0" borderId="12" xfId="1" applyFont="1" applyBorder="1" applyAlignment="1">
      <alignment horizontal="center" vertical="center"/>
    </xf>
    <xf numFmtId="164" fontId="10" fillId="0" borderId="13" xfId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5" xfId="1" applyFont="1" applyBorder="1" applyAlignment="1">
      <alignment horizontal="left" vertical="top"/>
    </xf>
    <xf numFmtId="165" fontId="3" fillId="0" borderId="12" xfId="0" applyNumberFormat="1" applyFont="1" applyBorder="1" applyAlignment="1">
      <alignment horizontal="center"/>
    </xf>
    <xf numFmtId="164" fontId="9" fillId="0" borderId="15" xfId="1" applyFont="1" applyBorder="1" applyAlignment="1">
      <alignment horizontal="center" vertical="center"/>
    </xf>
    <xf numFmtId="0" fontId="10" fillId="0" borderId="15" xfId="0" applyFont="1" applyBorder="1"/>
    <xf numFmtId="2" fontId="9" fillId="4" borderId="14" xfId="0" applyNumberFormat="1" applyFont="1" applyFill="1" applyBorder="1" applyAlignment="1">
      <alignment horizontal="center" vertical="center"/>
    </xf>
    <xf numFmtId="164" fontId="9" fillId="4" borderId="14" xfId="1" applyFont="1" applyFill="1" applyBorder="1" applyAlignment="1">
      <alignment horizontal="center" vertical="center"/>
    </xf>
    <xf numFmtId="0" fontId="12" fillId="0" borderId="5" xfId="3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2" fillId="0" borderId="19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3" fillId="0" borderId="14" xfId="1" applyNumberFormat="1" applyFont="1" applyBorder="1" applyAlignment="1">
      <alignment vertical="center"/>
    </xf>
    <xf numFmtId="164" fontId="3" fillId="0" borderId="14" xfId="1" applyFont="1" applyBorder="1" applyAlignment="1">
      <alignment vertical="center"/>
    </xf>
    <xf numFmtId="2" fontId="0" fillId="0" borderId="15" xfId="0" applyNumberFormat="1" applyBorder="1"/>
    <xf numFmtId="2" fontId="13" fillId="3" borderId="15" xfId="0" applyNumberFormat="1" applyFont="1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/>
    </xf>
    <xf numFmtId="0" fontId="13" fillId="2" borderId="15" xfId="0" applyFont="1" applyFill="1" applyBorder="1" applyAlignment="1">
      <alignment horizontal="center" vertical="center" wrapText="1"/>
    </xf>
    <xf numFmtId="164" fontId="9" fillId="0" borderId="15" xfId="1" applyFont="1" applyBorder="1" applyAlignment="1">
      <alignment vertical="center"/>
    </xf>
    <xf numFmtId="164" fontId="0" fillId="0" borderId="15" xfId="0" applyNumberFormat="1" applyBorder="1"/>
    <xf numFmtId="164" fontId="10" fillId="0" borderId="14" xfId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165" fontId="3" fillId="0" borderId="30" xfId="0" applyNumberFormat="1" applyFont="1" applyBorder="1" applyAlignment="1">
      <alignment horizontal="center"/>
    </xf>
    <xf numFmtId="0" fontId="0" fillId="0" borderId="24" xfId="0" applyBorder="1"/>
    <xf numFmtId="0" fontId="3" fillId="0" borderId="1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5" fontId="18" fillId="2" borderId="5" xfId="0" applyNumberFormat="1" applyFont="1" applyFill="1" applyBorder="1"/>
    <xf numFmtId="2" fontId="18" fillId="0" borderId="15" xfId="0" applyNumberFormat="1" applyFont="1" applyBorder="1"/>
    <xf numFmtId="0" fontId="5" fillId="0" borderId="15" xfId="0" applyFont="1" applyBorder="1"/>
    <xf numFmtId="0" fontId="20" fillId="0" borderId="0" xfId="0" applyFont="1"/>
    <xf numFmtId="2" fontId="13" fillId="3" borderId="6" xfId="0" applyNumberFormat="1" applyFont="1" applyFill="1" applyBorder="1" applyAlignment="1">
      <alignment horizontal="center" vertical="center" wrapText="1"/>
    </xf>
    <xf numFmtId="2" fontId="13" fillId="3" borderId="6" xfId="0" applyNumberFormat="1" applyFont="1" applyFill="1" applyBorder="1" applyAlignment="1">
      <alignment horizontal="center" vertical="center"/>
    </xf>
    <xf numFmtId="0" fontId="17" fillId="0" borderId="15" xfId="0" applyFont="1" applyBorder="1"/>
    <xf numFmtId="0" fontId="21" fillId="0" borderId="0" xfId="0" applyFont="1"/>
    <xf numFmtId="2" fontId="9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3" fillId="2" borderId="5" xfId="1" applyFont="1" applyFill="1" applyBorder="1" applyAlignment="1">
      <alignment horizontal="center" vertical="center"/>
    </xf>
    <xf numFmtId="164" fontId="9" fillId="0" borderId="12" xfId="1" applyFont="1" applyBorder="1" applyAlignment="1">
      <alignment vertical="center"/>
    </xf>
    <xf numFmtId="0" fontId="0" fillId="0" borderId="13" xfId="0" applyBorder="1"/>
    <xf numFmtId="164" fontId="10" fillId="0" borderId="10" xfId="1" applyFont="1" applyBorder="1" applyAlignment="1">
      <alignment horizontal="center" vertical="center"/>
    </xf>
    <xf numFmtId="164" fontId="10" fillId="0" borderId="4" xfId="1" applyFont="1" applyBorder="1" applyAlignment="1">
      <alignment horizontal="center" vertical="center"/>
    </xf>
    <xf numFmtId="164" fontId="10" fillId="0" borderId="21" xfId="1" applyFont="1" applyBorder="1" applyAlignment="1">
      <alignment horizontal="center" vertical="center"/>
    </xf>
    <xf numFmtId="164" fontId="10" fillId="0" borderId="27" xfId="1" applyFont="1" applyBorder="1" applyAlignment="1">
      <alignment horizontal="center" vertical="center"/>
    </xf>
    <xf numFmtId="167" fontId="0" fillId="0" borderId="0" xfId="0" applyNumberFormat="1"/>
    <xf numFmtId="4" fontId="3" fillId="0" borderId="0" xfId="0" applyNumberFormat="1" applyFont="1" applyAlignment="1">
      <alignment vertical="center" wrapText="1"/>
    </xf>
    <xf numFmtId="43" fontId="3" fillId="0" borderId="0" xfId="0" applyNumberFormat="1" applyFont="1" applyAlignment="1">
      <alignment vertical="center"/>
    </xf>
    <xf numFmtId="4" fontId="0" fillId="0" borderId="0" xfId="0" applyNumberFormat="1"/>
    <xf numFmtId="168" fontId="3" fillId="0" borderId="2" xfId="1" applyNumberFormat="1" applyFont="1" applyBorder="1" applyAlignment="1">
      <alignment horizontal="center" vertical="top"/>
    </xf>
    <xf numFmtId="0" fontId="4" fillId="7" borderId="0" xfId="0" applyFont="1" applyFill="1" applyAlignment="1">
      <alignment vertical="center"/>
    </xf>
    <xf numFmtId="0" fontId="17" fillId="7" borderId="0" xfId="0" applyFont="1" applyFill="1"/>
    <xf numFmtId="0" fontId="0" fillId="0" borderId="14" xfId="0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23" fillId="6" borderId="15" xfId="0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2" fontId="3" fillId="0" borderId="5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4" fontId="5" fillId="0" borderId="5" xfId="0" applyNumberFormat="1" applyFont="1" applyBorder="1"/>
    <xf numFmtId="164" fontId="0" fillId="0" borderId="0" xfId="0" applyNumberFormat="1" applyAlignment="1">
      <alignment horizontal="center"/>
    </xf>
    <xf numFmtId="0" fontId="13" fillId="3" borderId="6" xfId="0" applyFont="1" applyFill="1" applyBorder="1" applyAlignment="1">
      <alignment vertical="center" wrapText="1"/>
    </xf>
    <xf numFmtId="166" fontId="3" fillId="0" borderId="5" xfId="0" applyNumberFormat="1" applyFont="1" applyBorder="1"/>
    <xf numFmtId="164" fontId="4" fillId="4" borderId="5" xfId="1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9" fontId="0" fillId="0" borderId="13" xfId="0" applyNumberFormat="1" applyBorder="1"/>
    <xf numFmtId="0" fontId="24" fillId="0" borderId="13" xfId="0" applyFont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" fontId="17" fillId="0" borderId="23" xfId="0" applyNumberFormat="1" applyFont="1" applyBorder="1" applyAlignment="1">
      <alignment vertical="center"/>
    </xf>
    <xf numFmtId="164" fontId="19" fillId="0" borderId="35" xfId="1" applyFont="1" applyBorder="1" applyAlignment="1">
      <alignment horizontal="center"/>
    </xf>
    <xf numFmtId="1" fontId="3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8" fillId="0" borderId="5" xfId="0" applyFont="1" applyBorder="1"/>
    <xf numFmtId="166" fontId="26" fillId="0" borderId="5" xfId="0" applyNumberFormat="1" applyFont="1" applyBorder="1" applyAlignment="1">
      <alignment horizontal="center"/>
    </xf>
    <xf numFmtId="166" fontId="24" fillId="0" borderId="5" xfId="0" applyNumberFormat="1" applyFont="1" applyBorder="1" applyAlignment="1">
      <alignment horizontal="center" vertical="center"/>
    </xf>
    <xf numFmtId="164" fontId="24" fillId="0" borderId="5" xfId="1" applyFont="1" applyBorder="1" applyAlignment="1">
      <alignment vertical="center"/>
    </xf>
    <xf numFmtId="0" fontId="27" fillId="8" borderId="31" xfId="0" applyFont="1" applyFill="1" applyBorder="1"/>
    <xf numFmtId="0" fontId="27" fillId="8" borderId="32" xfId="0" applyFont="1" applyFill="1" applyBorder="1"/>
    <xf numFmtId="2" fontId="27" fillId="8" borderId="32" xfId="0" applyNumberFormat="1" applyFont="1" applyFill="1" applyBorder="1"/>
    <xf numFmtId="2" fontId="27" fillId="8" borderId="33" xfId="0" applyNumberFormat="1" applyFont="1" applyFill="1" applyBorder="1"/>
    <xf numFmtId="0" fontId="28" fillId="0" borderId="0" xfId="0" applyFont="1"/>
    <xf numFmtId="0" fontId="28" fillId="0" borderId="5" xfId="0" applyFont="1" applyBorder="1" applyAlignment="1">
      <alignment horizontal="center"/>
    </xf>
    <xf numFmtId="0" fontId="28" fillId="0" borderId="5" xfId="0" applyFont="1" applyBorder="1"/>
    <xf numFmtId="1" fontId="28" fillId="2" borderId="5" xfId="0" applyNumberFormat="1" applyFont="1" applyFill="1" applyBorder="1"/>
    <xf numFmtId="0" fontId="28" fillId="0" borderId="5" xfId="0" applyFont="1" applyBorder="1" applyAlignment="1">
      <alignment wrapText="1"/>
    </xf>
    <xf numFmtId="2" fontId="28" fillId="0" borderId="5" xfId="0" applyNumberFormat="1" applyFont="1" applyBorder="1"/>
    <xf numFmtId="1" fontId="28" fillId="2" borderId="3" xfId="1" applyNumberFormat="1" applyFont="1" applyFill="1" applyBorder="1" applyAlignment="1">
      <alignment vertical="center"/>
    </xf>
    <xf numFmtId="1" fontId="28" fillId="9" borderId="5" xfId="0" applyNumberFormat="1" applyFont="1" applyFill="1" applyBorder="1"/>
    <xf numFmtId="2" fontId="28" fillId="0" borderId="0" xfId="0" applyNumberFormat="1" applyFont="1"/>
    <xf numFmtId="1" fontId="28" fillId="0" borderId="0" xfId="0" applyNumberFormat="1" applyFont="1"/>
    <xf numFmtId="164" fontId="30" fillId="0" borderId="5" xfId="4" applyNumberFormat="1" applyBorder="1" applyAlignment="1">
      <alignment horizontal="center" vertical="center"/>
    </xf>
    <xf numFmtId="164" fontId="3" fillId="0" borderId="12" xfId="1" applyFont="1" applyBorder="1" applyAlignment="1">
      <alignment horizontal="center" vertical="top"/>
    </xf>
    <xf numFmtId="0" fontId="14" fillId="5" borderId="5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right" vertical="center" wrapText="1"/>
    </xf>
    <xf numFmtId="2" fontId="13" fillId="3" borderId="5" xfId="0" applyNumberFormat="1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/>
    </xf>
    <xf numFmtId="2" fontId="13" fillId="3" borderId="5" xfId="0" applyNumberFormat="1" applyFont="1" applyFill="1" applyBorder="1" applyAlignment="1">
      <alignment horizontal="right" vertical="center"/>
    </xf>
    <xf numFmtId="43" fontId="13" fillId="3" borderId="5" xfId="0" applyNumberFormat="1" applyFont="1" applyFill="1" applyBorder="1" applyAlignment="1">
      <alignment horizontal="right" vertical="center"/>
    </xf>
    <xf numFmtId="0" fontId="23" fillId="6" borderId="15" xfId="0" applyFont="1" applyFill="1" applyBorder="1" applyAlignment="1">
      <alignment horizontal="right"/>
    </xf>
    <xf numFmtId="2" fontId="22" fillId="6" borderId="24" xfId="0" applyNumberFormat="1" applyFont="1" applyFill="1" applyBorder="1" applyAlignment="1">
      <alignment horizontal="right"/>
    </xf>
    <xf numFmtId="2" fontId="22" fillId="6" borderId="13" xfId="0" applyNumberFormat="1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0" fillId="0" borderId="15" xfId="0" applyBorder="1" applyAlignment="1">
      <alignment horizontal="right"/>
    </xf>
    <xf numFmtId="2" fontId="4" fillId="2" borderId="13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vertical="center"/>
    </xf>
    <xf numFmtId="43" fontId="5" fillId="2" borderId="14" xfId="0" applyNumberFormat="1" applyFont="1" applyFill="1" applyBorder="1" applyAlignment="1">
      <alignment horizontal="center" vertical="center"/>
    </xf>
    <xf numFmtId="164" fontId="31" fillId="0" borderId="5" xfId="1" applyFont="1" applyBorder="1" applyAlignment="1"/>
    <xf numFmtId="0" fontId="26" fillId="0" borderId="5" xfId="0" applyFont="1" applyBorder="1"/>
    <xf numFmtId="1" fontId="28" fillId="2" borderId="0" xfId="1" applyNumberFormat="1" applyFont="1" applyFill="1" applyBorder="1" applyAlignment="1">
      <alignment vertical="center"/>
    </xf>
    <xf numFmtId="170" fontId="5" fillId="2" borderId="5" xfId="0" applyNumberFormat="1" applyFont="1" applyFill="1" applyBorder="1" applyAlignment="1">
      <alignment horizontal="center" vertical="center"/>
    </xf>
    <xf numFmtId="170" fontId="0" fillId="0" borderId="13" xfId="0" applyNumberFormat="1" applyBorder="1"/>
    <xf numFmtId="43" fontId="32" fillId="0" borderId="0" xfId="0" applyNumberFormat="1" applyFont="1"/>
    <xf numFmtId="2" fontId="13" fillId="3" borderId="19" xfId="0" applyNumberFormat="1" applyFont="1" applyFill="1" applyBorder="1" applyAlignment="1">
      <alignment horizontal="center" vertical="center"/>
    </xf>
    <xf numFmtId="2" fontId="0" fillId="0" borderId="13" xfId="0" applyNumberFormat="1" applyBorder="1"/>
    <xf numFmtId="2" fontId="0" fillId="2" borderId="13" xfId="0" applyNumberFormat="1" applyFill="1" applyBorder="1" applyAlignment="1">
      <alignment horizontal="right"/>
    </xf>
    <xf numFmtId="0" fontId="0" fillId="2" borderId="12" xfId="0" applyFill="1" applyBorder="1"/>
    <xf numFmtId="2" fontId="0" fillId="0" borderId="36" xfId="0" applyNumberFormat="1" applyBorder="1" applyAlignment="1">
      <alignment horizontal="right"/>
    </xf>
    <xf numFmtId="0" fontId="18" fillId="0" borderId="14" xfId="0" applyFont="1" applyBorder="1"/>
    <xf numFmtId="2" fontId="0" fillId="0" borderId="12" xfId="0" applyNumberFormat="1" applyBorder="1" applyAlignment="1">
      <alignment horizontal="right"/>
    </xf>
    <xf numFmtId="2" fontId="22" fillId="6" borderId="28" xfId="0" applyNumberFormat="1" applyFont="1" applyFill="1" applyBorder="1" applyAlignment="1">
      <alignment horizontal="right"/>
    </xf>
    <xf numFmtId="2" fontId="0" fillId="2" borderId="14" xfId="0" applyNumberFormat="1" applyFill="1" applyBorder="1" applyAlignment="1">
      <alignment horizontal="right"/>
    </xf>
    <xf numFmtId="2" fontId="0" fillId="0" borderId="30" xfId="0" applyNumberFormat="1" applyBorder="1" applyAlignment="1">
      <alignment horizontal="right"/>
    </xf>
    <xf numFmtId="0" fontId="18" fillId="0" borderId="15" xfId="0" applyFont="1" applyBorder="1"/>
    <xf numFmtId="0" fontId="33" fillId="0" borderId="5" xfId="0" applyFont="1" applyBorder="1"/>
    <xf numFmtId="0" fontId="3" fillId="2" borderId="34" xfId="0" applyFont="1" applyFill="1" applyBorder="1"/>
    <xf numFmtId="2" fontId="0" fillId="0" borderId="27" xfId="0" applyNumberFormat="1" applyBorder="1" applyAlignment="1">
      <alignment horizontal="right"/>
    </xf>
    <xf numFmtId="0" fontId="18" fillId="0" borderId="13" xfId="0" applyFont="1" applyBorder="1"/>
    <xf numFmtId="0" fontId="18" fillId="2" borderId="15" xfId="0" applyFont="1" applyFill="1" applyBorder="1"/>
    <xf numFmtId="0" fontId="18" fillId="2" borderId="14" xfId="0" applyFont="1" applyFill="1" applyBorder="1"/>
    <xf numFmtId="166" fontId="31" fillId="0" borderId="5" xfId="0" applyNumberFormat="1" applyFont="1" applyBorder="1" applyAlignment="1">
      <alignment horizontal="center"/>
    </xf>
    <xf numFmtId="2" fontId="3" fillId="0" borderId="3" xfId="1" applyNumberFormat="1" applyFont="1" applyBorder="1" applyAlignment="1">
      <alignment vertical="center"/>
    </xf>
    <xf numFmtId="166" fontId="31" fillId="0" borderId="5" xfId="0" applyNumberFormat="1" applyFont="1" applyBorder="1" applyAlignment="1">
      <alignment horizontal="center" vertical="center"/>
    </xf>
    <xf numFmtId="0" fontId="27" fillId="8" borderId="5" xfId="0" applyFont="1" applyFill="1" applyBorder="1"/>
    <xf numFmtId="2" fontId="27" fillId="8" borderId="5" xfId="0" applyNumberFormat="1" applyFont="1" applyFill="1" applyBorder="1"/>
    <xf numFmtId="0" fontId="28" fillId="10" borderId="5" xfId="0" applyFont="1" applyFill="1" applyBorder="1"/>
    <xf numFmtId="164" fontId="31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166" fontId="31" fillId="0" borderId="5" xfId="0" applyNumberFormat="1" applyFont="1" applyBorder="1" applyAlignment="1">
      <alignment horizontal="left" vertical="center"/>
    </xf>
    <xf numFmtId="0" fontId="18" fillId="0" borderId="0" xfId="0" applyFont="1"/>
    <xf numFmtId="2" fontId="0" fillId="0" borderId="26" xfId="0" applyNumberFormat="1" applyBorder="1" applyAlignment="1">
      <alignment horizontal="right"/>
    </xf>
    <xf numFmtId="2" fontId="0" fillId="2" borderId="15" xfId="0" applyNumberFormat="1" applyFill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27" xfId="0" applyBorder="1"/>
    <xf numFmtId="0" fontId="32" fillId="0" borderId="0" xfId="0" applyFont="1"/>
    <xf numFmtId="0" fontId="0" fillId="0" borderId="13" xfId="0" applyBorder="1" applyAlignment="1">
      <alignment horizontal="right"/>
    </xf>
    <xf numFmtId="0" fontId="0" fillId="0" borderId="27" xfId="0" applyBorder="1" applyAlignment="1">
      <alignment horizontal="right"/>
    </xf>
    <xf numFmtId="1" fontId="0" fillId="0" borderId="0" xfId="0" applyNumberFormat="1"/>
    <xf numFmtId="0" fontId="26" fillId="0" borderId="5" xfId="0" applyFont="1" applyBorder="1" applyAlignment="1">
      <alignment horizontal="center" vertical="center"/>
    </xf>
    <xf numFmtId="0" fontId="34" fillId="0" borderId="2" xfId="0" applyFont="1" applyBorder="1"/>
    <xf numFmtId="166" fontId="26" fillId="0" borderId="5" xfId="0" applyNumberFormat="1" applyFont="1" applyBorder="1" applyAlignment="1">
      <alignment horizontal="center" indent="1"/>
    </xf>
    <xf numFmtId="0" fontId="31" fillId="0" borderId="5" xfId="0" applyFont="1" applyBorder="1"/>
    <xf numFmtId="0" fontId="0" fillId="0" borderId="2" xfId="0" applyBorder="1" applyAlignment="1">
      <alignment horizontal="center" vertical="center"/>
    </xf>
    <xf numFmtId="166" fontId="34" fillId="0" borderId="2" xfId="0" applyNumberFormat="1" applyFont="1" applyBorder="1" applyAlignment="1">
      <alignment horizontal="center"/>
    </xf>
    <xf numFmtId="0" fontId="18" fillId="0" borderId="36" xfId="0" applyFont="1" applyBorder="1"/>
    <xf numFmtId="0" fontId="2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vertical="top"/>
    </xf>
    <xf numFmtId="15" fontId="18" fillId="2" borderId="12" xfId="0" applyNumberFormat="1" applyFont="1" applyFill="1" applyBorder="1"/>
    <xf numFmtId="164" fontId="3" fillId="0" borderId="12" xfId="0" applyNumberFormat="1" applyFont="1" applyBorder="1" applyAlignment="1">
      <alignment vertical="center"/>
    </xf>
    <xf numFmtId="166" fontId="3" fillId="0" borderId="15" xfId="0" applyNumberFormat="1" applyFont="1" applyBorder="1"/>
    <xf numFmtId="166" fontId="3" fillId="0" borderId="14" xfId="0" applyNumberFormat="1" applyFont="1" applyBorder="1"/>
    <xf numFmtId="166" fontId="3" fillId="0" borderId="15" xfId="0" applyNumberFormat="1" applyFont="1" applyBorder="1" applyAlignment="1">
      <alignment horizontal="center"/>
    </xf>
    <xf numFmtId="164" fontId="3" fillId="0" borderId="15" xfId="1" applyFont="1" applyBorder="1" applyAlignment="1">
      <alignment horizontal="center" vertical="top"/>
    </xf>
    <xf numFmtId="169" fontId="3" fillId="0" borderId="5" xfId="0" applyNumberFormat="1" applyFont="1" applyBorder="1" applyAlignment="1">
      <alignment vertical="center"/>
    </xf>
    <xf numFmtId="169" fontId="3" fillId="10" borderId="5" xfId="0" applyNumberFormat="1" applyFont="1" applyFill="1" applyBorder="1" applyAlignment="1">
      <alignment vertical="center"/>
    </xf>
    <xf numFmtId="0" fontId="18" fillId="0" borderId="24" xfId="0" applyFont="1" applyBorder="1"/>
    <xf numFmtId="171" fontId="31" fillId="0" borderId="5" xfId="0" applyNumberFormat="1" applyFont="1" applyBorder="1" applyAlignment="1">
      <alignment horizontal="right" vertical="center"/>
    </xf>
    <xf numFmtId="171" fontId="0" fillId="0" borderId="5" xfId="0" applyNumberFormat="1" applyBorder="1" applyAlignment="1">
      <alignment horizontal="right"/>
    </xf>
    <xf numFmtId="0" fontId="0" fillId="2" borderId="5" xfId="0" applyFill="1" applyBorder="1"/>
    <xf numFmtId="0" fontId="0" fillId="0" borderId="26" xfId="0" applyBorder="1"/>
    <xf numFmtId="0" fontId="0" fillId="2" borderId="30" xfId="0" applyFill="1" applyBorder="1"/>
    <xf numFmtId="0" fontId="17" fillId="0" borderId="0" xfId="0" applyFont="1"/>
    <xf numFmtId="164" fontId="10" fillId="2" borderId="5" xfId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34" fillId="0" borderId="2" xfId="0" applyNumberFormat="1" applyFont="1" applyBorder="1"/>
    <xf numFmtId="165" fontId="3" fillId="0" borderId="5" xfId="0" applyNumberFormat="1" applyFont="1" applyBorder="1" applyAlignment="1">
      <alignment horizontal="center"/>
    </xf>
    <xf numFmtId="166" fontId="3" fillId="0" borderId="13" xfId="0" applyNumberFormat="1" applyFont="1" applyBorder="1" applyAlignment="1">
      <alignment horizontal="center"/>
    </xf>
    <xf numFmtId="0" fontId="3" fillId="0" borderId="14" xfId="0" applyFont="1" applyBorder="1"/>
    <xf numFmtId="0" fontId="0" fillId="0" borderId="37" xfId="0" applyBorder="1"/>
    <xf numFmtId="1" fontId="0" fillId="0" borderId="5" xfId="0" quotePrefix="1" applyNumberFormat="1" applyBorder="1"/>
    <xf numFmtId="164" fontId="19" fillId="0" borderId="2" xfId="1" applyFont="1" applyBorder="1" applyAlignment="1">
      <alignment horizontal="center"/>
    </xf>
    <xf numFmtId="16" fontId="0" fillId="0" borderId="0" xfId="0" applyNumberFormat="1"/>
    <xf numFmtId="0" fontId="18" fillId="0" borderId="5" xfId="0" applyFont="1" applyBorder="1" applyAlignment="1">
      <alignment wrapText="1"/>
    </xf>
    <xf numFmtId="0" fontId="18" fillId="0" borderId="12" xfId="0" applyFont="1" applyBorder="1"/>
    <xf numFmtId="2" fontId="0" fillId="2" borderId="36" xfId="0" applyNumberFormat="1" applyFill="1" applyBorder="1" applyAlignment="1">
      <alignment horizontal="right"/>
    </xf>
    <xf numFmtId="0" fontId="18" fillId="2" borderId="13" xfId="0" applyFont="1" applyFill="1" applyBorder="1"/>
    <xf numFmtId="1" fontId="0" fillId="0" borderId="5" xfId="0" quotePrefix="1" applyNumberFormat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28" fillId="0" borderId="13" xfId="0" applyFont="1" applyBorder="1"/>
    <xf numFmtId="0" fontId="28" fillId="10" borderId="0" xfId="0" applyFont="1" applyFill="1"/>
    <xf numFmtId="0" fontId="28" fillId="11" borderId="0" xfId="0" applyFont="1" applyFill="1"/>
    <xf numFmtId="165" fontId="3" fillId="0" borderId="38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vertical="center"/>
    </xf>
    <xf numFmtId="166" fontId="31" fillId="0" borderId="5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 indent="2"/>
    </xf>
    <xf numFmtId="165" fontId="3" fillId="0" borderId="12" xfId="0" applyNumberFormat="1" applyFont="1" applyBorder="1" applyAlignment="1">
      <alignment horizontal="center" vertical="center"/>
    </xf>
    <xf numFmtId="0" fontId="18" fillId="0" borderId="27" xfId="0" applyFont="1" applyBorder="1"/>
    <xf numFmtId="0" fontId="18" fillId="2" borderId="39" xfId="0" applyFont="1" applyFill="1" applyBorder="1"/>
    <xf numFmtId="4" fontId="0" fillId="0" borderId="15" xfId="0" applyNumberFormat="1" applyBorder="1" applyAlignment="1">
      <alignment horizontal="right"/>
    </xf>
    <xf numFmtId="0" fontId="33" fillId="0" borderId="13" xfId="0" applyFont="1" applyBorder="1"/>
    <xf numFmtId="1" fontId="0" fillId="0" borderId="15" xfId="0" quotePrefix="1" applyNumberFormat="1" applyBorder="1" applyAlignment="1">
      <alignment horizontal="center"/>
    </xf>
    <xf numFmtId="1" fontId="0" fillId="0" borderId="14" xfId="0" quotePrefix="1" applyNumberFormat="1" applyBorder="1"/>
    <xf numFmtId="2" fontId="18" fillId="0" borderId="5" xfId="0" applyNumberFormat="1" applyFont="1" applyBorder="1"/>
    <xf numFmtId="0" fontId="0" fillId="0" borderId="12" xfId="0" quotePrefix="1" applyBorder="1" applyAlignment="1">
      <alignment horizontal="center"/>
    </xf>
    <xf numFmtId="0" fontId="0" fillId="0" borderId="26" xfId="0" quotePrefix="1" applyBorder="1" applyAlignment="1">
      <alignment horizontal="center"/>
    </xf>
    <xf numFmtId="2" fontId="0" fillId="0" borderId="12" xfId="0" applyNumberFormat="1" applyBorder="1"/>
    <xf numFmtId="2" fontId="0" fillId="0" borderId="26" xfId="0" applyNumberFormat="1" applyBorder="1"/>
    <xf numFmtId="2" fontId="18" fillId="0" borderId="27" xfId="0" applyNumberFormat="1" applyFont="1" applyBorder="1"/>
    <xf numFmtId="0" fontId="0" fillId="0" borderId="30" xfId="0" applyBorder="1"/>
    <xf numFmtId="0" fontId="33" fillId="0" borderId="5" xfId="0" applyFont="1" applyBorder="1" applyAlignment="1">
      <alignment horizontal="right"/>
    </xf>
    <xf numFmtId="0" fontId="33" fillId="0" borderId="14" xfId="0" applyFont="1" applyBorder="1" applyAlignment="1">
      <alignment horizontal="right"/>
    </xf>
    <xf numFmtId="0" fontId="33" fillId="0" borderId="13" xfId="0" applyFont="1" applyBorder="1" applyAlignment="1">
      <alignment horizontal="right"/>
    </xf>
    <xf numFmtId="0" fontId="36" fillId="0" borderId="2" xfId="0" applyFont="1" applyBorder="1"/>
    <xf numFmtId="43" fontId="36" fillId="0" borderId="2" xfId="0" applyNumberFormat="1" applyFont="1" applyBorder="1"/>
    <xf numFmtId="0" fontId="38" fillId="13" borderId="2" xfId="0" applyFont="1" applyFill="1" applyBorder="1"/>
    <xf numFmtId="172" fontId="39" fillId="14" borderId="2" xfId="0" applyNumberFormat="1" applyFont="1" applyFill="1" applyBorder="1"/>
    <xf numFmtId="1" fontId="39" fillId="14" borderId="2" xfId="0" applyNumberFormat="1" applyFont="1" applyFill="1" applyBorder="1"/>
    <xf numFmtId="4" fontId="39" fillId="14" borderId="2" xfId="0" applyNumberFormat="1" applyFont="1" applyFill="1" applyBorder="1"/>
    <xf numFmtId="0" fontId="36" fillId="16" borderId="2" xfId="0" applyFont="1" applyFill="1" applyBorder="1" applyAlignment="1">
      <alignment wrapText="1"/>
    </xf>
    <xf numFmtId="0" fontId="38" fillId="12" borderId="2" xfId="0" applyFont="1" applyFill="1" applyBorder="1"/>
    <xf numFmtId="4" fontId="36" fillId="0" borderId="2" xfId="0" applyNumberFormat="1" applyFont="1" applyBorder="1"/>
    <xf numFmtId="172" fontId="36" fillId="0" borderId="2" xfId="0" applyNumberFormat="1" applyFont="1" applyBorder="1"/>
    <xf numFmtId="0" fontId="36" fillId="0" borderId="2" xfId="0" applyFont="1" applyBorder="1" applyAlignment="1">
      <alignment wrapText="1"/>
    </xf>
    <xf numFmtId="43" fontId="36" fillId="0" borderId="2" xfId="0" applyNumberFormat="1" applyFont="1" applyBorder="1" applyAlignment="1">
      <alignment wrapText="1"/>
    </xf>
    <xf numFmtId="0" fontId="40" fillId="0" borderId="2" xfId="0" applyFont="1" applyBorder="1"/>
    <xf numFmtId="15" fontId="36" fillId="0" borderId="2" xfId="0" applyNumberFormat="1" applyFont="1" applyBorder="1"/>
    <xf numFmtId="0" fontId="4" fillId="0" borderId="0" xfId="0" applyFont="1" applyAlignment="1">
      <alignment horizontal="center" vertical="center"/>
    </xf>
    <xf numFmtId="0" fontId="14" fillId="5" borderId="11" xfId="0" applyFont="1" applyFill="1" applyBorder="1" applyAlignment="1">
      <alignment horizontal="center"/>
    </xf>
    <xf numFmtId="0" fontId="29" fillId="9" borderId="12" xfId="0" applyFont="1" applyFill="1" applyBorder="1" applyAlignment="1">
      <alignment horizontal="center"/>
    </xf>
    <xf numFmtId="0" fontId="29" fillId="9" borderId="24" xfId="0" applyFont="1" applyFill="1" applyBorder="1" applyAlignment="1">
      <alignment horizontal="center"/>
    </xf>
    <xf numFmtId="0" fontId="29" fillId="9" borderId="13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7" fillId="0" borderId="27" xfId="0" applyFont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5" borderId="11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4" fillId="5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14" fillId="5" borderId="0" xfId="0" applyFont="1" applyFill="1" applyAlignment="1">
      <alignment horizontal="center" wrapText="1"/>
    </xf>
    <xf numFmtId="0" fontId="4" fillId="0" borderId="24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43" fontId="4" fillId="0" borderId="0" xfId="0" applyNumberFormat="1" applyFont="1" applyAlignment="1">
      <alignment horizontal="center" vertical="center"/>
    </xf>
    <xf numFmtId="2" fontId="14" fillId="5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43" fontId="4" fillId="2" borderId="12" xfId="0" applyNumberFormat="1" applyFont="1" applyFill="1" applyBorder="1" applyAlignment="1">
      <alignment horizontal="center" vertical="center"/>
    </xf>
    <xf numFmtId="43" fontId="4" fillId="2" borderId="13" xfId="0" applyNumberFormat="1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/>
    </xf>
    <xf numFmtId="0" fontId="36" fillId="0" borderId="2" xfId="0" applyFont="1" applyBorder="1" applyAlignment="1"/>
    <xf numFmtId="0" fontId="37" fillId="0" borderId="2" xfId="0" applyFont="1" applyBorder="1" applyAlignment="1"/>
    <xf numFmtId="0" fontId="38" fillId="15" borderId="2" xfId="0" applyFont="1" applyFill="1" applyBorder="1" applyAlignment="1"/>
    <xf numFmtId="0" fontId="38" fillId="17" borderId="2" xfId="0" applyFont="1" applyFill="1" applyBorder="1" applyAlignment="1"/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Outstanding Balance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'YG Gudda Analysis'!$P$1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'YG Gudda Analysis'!$P$2:$P$33</c:f>
              <c:numCache>
                <c:formatCode>General</c:formatCode>
                <c:ptCount val="3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6B-4E5D-9192-C4817BDF2645}"/>
            </c:ext>
          </c:extLst>
        </c:ser>
        <c:ser>
          <c:idx val="1"/>
          <c:order val="1"/>
          <c:tx>
            <c:strRef>
              <c:f>'YG Gudda Analysis'!$Q$1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'YG Gudda Analysis'!$Q$2:$Q$33</c:f>
              <c:numCache>
                <c:formatCode>_(* #,##0.00_);_(* \(#,##0.00\);_(* "-"??_);_(@_)</c:formatCode>
                <c:ptCount val="32"/>
                <c:pt idx="0">
                  <c:v>102795.06451380023</c:v>
                </c:pt>
                <c:pt idx="1">
                  <c:v>102795.06451380023</c:v>
                </c:pt>
                <c:pt idx="2">
                  <c:v>102795.06451380023</c:v>
                </c:pt>
                <c:pt idx="3">
                  <c:v>102795.06451380023</c:v>
                </c:pt>
                <c:pt idx="4">
                  <c:v>102795.06451380023</c:v>
                </c:pt>
                <c:pt idx="5">
                  <c:v>102795.06451380023</c:v>
                </c:pt>
                <c:pt idx="6">
                  <c:v>102795.06451380023</c:v>
                </c:pt>
                <c:pt idx="7">
                  <c:v>102795.06451380023</c:v>
                </c:pt>
                <c:pt idx="8">
                  <c:v>102795.06451380023</c:v>
                </c:pt>
                <c:pt idx="9">
                  <c:v>102795.06451380023</c:v>
                </c:pt>
                <c:pt idx="10">
                  <c:v>102795.06451380023</c:v>
                </c:pt>
                <c:pt idx="11">
                  <c:v>102795.06451380023</c:v>
                </c:pt>
                <c:pt idx="12">
                  <c:v>102795.06451380023</c:v>
                </c:pt>
                <c:pt idx="13">
                  <c:v>102795.06451380023</c:v>
                </c:pt>
                <c:pt idx="14">
                  <c:v>75021.541513800228</c:v>
                </c:pt>
                <c:pt idx="15">
                  <c:v>75021.541513800228</c:v>
                </c:pt>
                <c:pt idx="16">
                  <c:v>75021.541513800228</c:v>
                </c:pt>
                <c:pt idx="17">
                  <c:v>75021.541513800228</c:v>
                </c:pt>
                <c:pt idx="18">
                  <c:v>75021.541513800228</c:v>
                </c:pt>
                <c:pt idx="19">
                  <c:v>25021.541513800228</c:v>
                </c:pt>
                <c:pt idx="20">
                  <c:v>25021.541513800228</c:v>
                </c:pt>
                <c:pt idx="21">
                  <c:v>25021.541513800228</c:v>
                </c:pt>
                <c:pt idx="22">
                  <c:v>25021.541513800228</c:v>
                </c:pt>
                <c:pt idx="23">
                  <c:v>25021.541513800228</c:v>
                </c:pt>
                <c:pt idx="24">
                  <c:v>25021.541513800228</c:v>
                </c:pt>
                <c:pt idx="25">
                  <c:v>25021.541513800228</c:v>
                </c:pt>
                <c:pt idx="26">
                  <c:v>25021.541513800228</c:v>
                </c:pt>
                <c:pt idx="27">
                  <c:v>25021.541513800228</c:v>
                </c:pt>
                <c:pt idx="28">
                  <c:v>25021.541513800228</c:v>
                </c:pt>
                <c:pt idx="29">
                  <c:v>25021.541513800228</c:v>
                </c:pt>
                <c:pt idx="30">
                  <c:v>25021.541513800228</c:v>
                </c:pt>
                <c:pt idx="31">
                  <c:v>25021.541513800228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6B-4E5D-9192-C4817BDF2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286791"/>
        <c:axId val="1943288839"/>
      </c:lineChart>
      <c:catAx>
        <c:axId val="1943286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88839"/>
        <c:crosses val="autoZero"/>
        <c:auto val="1"/>
        <c:lblAlgn val="ctr"/>
        <c:lblOffset val="100"/>
        <c:noMultiLvlLbl val="0"/>
      </c:catAx>
      <c:valAx>
        <c:axId val="1943288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Balance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8679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Fuel Spend vs Payments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'YG Gudda Analysis'!$S$1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'YG Gudda Analysis'!$S$2:$S$33</c:f>
              <c:numCache>
                <c:formatCode>General</c:formatCode>
                <c:ptCount val="3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E-4BBD-9E69-813403F70B3F}"/>
            </c:ext>
          </c:extLst>
        </c:ser>
        <c:ser>
          <c:idx val="1"/>
          <c:order val="1"/>
          <c:tx>
            <c:strRef>
              <c:f>'YG Gudda Analysis'!$T$1</c:f>
              <c:strCache>
                <c:ptCount val="1"/>
                <c:pt idx="0">
                  <c:v>Fuel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'YG Gudda Analysis'!$T$2:$T$33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22226.476999999999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8E-4BBD-9E69-813403F70B3F}"/>
            </c:ext>
          </c:extLst>
        </c:ser>
        <c:ser>
          <c:idx val="2"/>
          <c:order val="2"/>
          <c:tx>
            <c:strRef>
              <c:f>'YG Gudda Analysis'!$U$1</c:f>
              <c:strCache>
                <c:ptCount val="1"/>
                <c:pt idx="0">
                  <c:v>Amount 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'YG Gudda Analysis'!$U$2:$U$33</c:f>
              <c:numCache>
                <c:formatCode>_(* #,##0.00_);_(* \(#,##0.00\);_(* "-"??_);_(@_)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50000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8E-4BBD-9E69-813403F70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237063"/>
        <c:axId val="1944239111"/>
      </c:barChart>
      <c:catAx>
        <c:axId val="1944237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239111"/>
        <c:crosses val="autoZero"/>
        <c:auto val="1"/>
        <c:lblAlgn val="ctr"/>
        <c:lblOffset val="100"/>
        <c:noMultiLvlLbl val="0"/>
      </c:catAx>
      <c:valAx>
        <c:axId val="1944239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23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 Volume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'YG Gudda Analysis'!$X$1</c:f>
              <c:strCache>
                <c:ptCount val="1"/>
                <c:pt idx="0">
                  <c:v>Liters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AC-4958-BBF7-26ADBD72BE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AC-4958-BBF7-26ADBD72BE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'YG Gudda Analysis'!$W$2:$W$3</c:f>
              <c:strCache>
                <c:ptCount val="2"/>
                <c:pt idx="0">
                  <c:v>Diesel</c:v>
                </c:pt>
                <c:pt idx="1">
                  <c:v>Petrol</c:v>
                </c:pt>
              </c:strCache>
            </c:strRef>
          </c:cat>
          <c:val>
            <c:numRef>
              <c:f>'YG Gudda Analysis'!$X$2:$X$3</c:f>
              <c:numCache>
                <c:formatCode>General</c:formatCode>
                <c:ptCount val="2"/>
                <c:pt idx="0">
                  <c:v>164.29</c:v>
                </c:pt>
                <c:pt idx="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F-4AC0-98E3-370AE39D3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Daily Balance Trend">
          <a:extLst>
            <a:ext uri="{FF2B5EF4-FFF2-40B4-BE49-F238E27FC236}">
              <a16:creationId xmlns:a16="http://schemas.microsoft.com/office/drawing/2014/main" id="{AA5D5D81-CE1B-2BA1-2D2B-C62074EDF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3" name="Fuel Spend vs Payments">
          <a:extLst>
            <a:ext uri="{FF2B5EF4-FFF2-40B4-BE49-F238E27FC236}">
              <a16:creationId xmlns:a16="http://schemas.microsoft.com/office/drawing/2014/main" id="{636B3BD5-72D0-9F85-A207-D88DC92CE488}"/>
            </a:ext>
            <a:ext uri="{147F2762-F138-4A5C-976F-8EAC2B608ADB}">
              <a16:predDERef xmlns:a16="http://schemas.microsoft.com/office/drawing/2014/main" pred="{AA5D5D81-CE1B-2BA1-2D2B-C62074EDF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4" name="Fuel Volume Mix">
          <a:extLst>
            <a:ext uri="{FF2B5EF4-FFF2-40B4-BE49-F238E27FC236}">
              <a16:creationId xmlns:a16="http://schemas.microsoft.com/office/drawing/2014/main" id="{777C3022-71F5-9E83-F899-485CC786B7B7}"/>
            </a:ext>
            <a:ext uri="{147F2762-F138-4A5C-976F-8EAC2B608ADB}">
              <a16:predDERef xmlns:a16="http://schemas.microsoft.com/office/drawing/2014/main" pred="{636B3BD5-72D0-9F85-A207-D88DC92CE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civetprojectss-my.sharepoint.com/:x:/g/personal/mis_civetprojects_com/EaN7JETNVtRCqKO_Lcark7UBOl55m2ikPSDC63AQ1xDxNg?e=f6qb82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70"/>
  <sheetViews>
    <sheetView topLeftCell="A24" workbookViewId="0">
      <selection activeCell="A43" sqref="A43:XFD43"/>
    </sheetView>
  </sheetViews>
  <sheetFormatPr defaultColWidth="8.28515625" defaultRowHeight="15.75"/>
  <cols>
    <col min="1" max="1" width="8.28515625" style="293"/>
    <col min="2" max="2" width="25" style="293" customWidth="1"/>
    <col min="3" max="3" width="34.5703125" style="293" bestFit="1" customWidth="1"/>
    <col min="4" max="4" width="14.85546875" style="293" customWidth="1"/>
    <col min="5" max="5" width="15.42578125" style="293" customWidth="1"/>
    <col min="6" max="6" width="14.5703125" style="293" customWidth="1"/>
    <col min="7" max="7" width="16.5703125" style="293" customWidth="1"/>
    <col min="8" max="8" width="23.5703125" style="293" customWidth="1"/>
    <col min="9" max="9" width="17.42578125" style="293" customWidth="1"/>
    <col min="10" max="10" width="16.7109375" style="293" customWidth="1"/>
    <col min="11" max="11" width="20.42578125" style="293" customWidth="1"/>
    <col min="12" max="12" width="22.7109375" style="293" customWidth="1"/>
    <col min="13" max="13" width="16.85546875" style="293" customWidth="1"/>
    <col min="14" max="16384" width="8.28515625" style="293"/>
  </cols>
  <sheetData>
    <row r="1" spans="1:11">
      <c r="A1" s="289" t="s">
        <v>0</v>
      </c>
      <c r="B1" s="290" t="s">
        <v>1</v>
      </c>
      <c r="C1" s="290" t="s">
        <v>2</v>
      </c>
      <c r="D1" s="291" t="s">
        <v>3</v>
      </c>
      <c r="E1" s="291" t="s">
        <v>4</v>
      </c>
      <c r="F1" s="291" t="s">
        <v>5</v>
      </c>
      <c r="G1" s="291" t="s">
        <v>6</v>
      </c>
      <c r="H1" s="291" t="s">
        <v>7</v>
      </c>
      <c r="I1" s="291" t="s">
        <v>8</v>
      </c>
      <c r="J1" s="291" t="s">
        <v>9</v>
      </c>
      <c r="K1" s="292" t="s">
        <v>10</v>
      </c>
    </row>
    <row r="2" spans="1:11">
      <c r="A2" s="294">
        <v>1</v>
      </c>
      <c r="B2" s="295" t="s">
        <v>11</v>
      </c>
      <c r="C2" s="295" t="s">
        <v>12</v>
      </c>
      <c r="D2" s="296">
        <f>+'Khammam-1'!E38</f>
        <v>30400</v>
      </c>
      <c r="E2" s="296">
        <f>+'Khammam-1'!G38</f>
        <v>2908672</v>
      </c>
      <c r="F2" s="296">
        <f>+'Khammam-1'!H38</f>
        <v>175</v>
      </c>
      <c r="G2" s="296">
        <f>+'Khammam-1'!J38</f>
        <v>18805.5</v>
      </c>
      <c r="H2" s="296">
        <f>E2+G2</f>
        <v>2927477.5</v>
      </c>
      <c r="I2" s="296">
        <f>+'Khammam-1'!K3</f>
        <v>9147141.7412999943</v>
      </c>
      <c r="J2" s="296">
        <f>+'Khammam-1'!L38</f>
        <v>7500000</v>
      </c>
      <c r="K2" s="296">
        <f>H2+I2-J2</f>
        <v>4574619.2412999943</v>
      </c>
    </row>
    <row r="3" spans="1:11">
      <c r="A3" s="294">
        <v>2</v>
      </c>
      <c r="B3" s="295" t="s">
        <v>13</v>
      </c>
      <c r="C3" s="295" t="s">
        <v>14</v>
      </c>
      <c r="D3" s="296">
        <f>+'Khammam-2'!E35</f>
        <v>31884.57</v>
      </c>
      <c r="E3" s="296">
        <f>+'Khammam-2'!G35</f>
        <v>3051353.3490000004</v>
      </c>
      <c r="F3" s="296">
        <f>+'Khammam-2'!H35</f>
        <v>445</v>
      </c>
      <c r="G3" s="296">
        <f>+'Khammam-2'!J35</f>
        <v>47828.600000000006</v>
      </c>
      <c r="H3" s="296">
        <f>E3+G3</f>
        <v>3099181.9490000005</v>
      </c>
      <c r="I3" s="296">
        <f>+'Khammam-2'!K3</f>
        <v>24162762.826000009</v>
      </c>
      <c r="J3" s="296">
        <f>+'Khammam-2'!L35</f>
        <v>17700000</v>
      </c>
      <c r="K3" s="296">
        <f>H3+I3-J3</f>
        <v>9561944.7750000097</v>
      </c>
    </row>
    <row r="4" spans="1:11">
      <c r="A4" s="294">
        <v>3</v>
      </c>
      <c r="B4" s="295" t="s">
        <v>15</v>
      </c>
      <c r="C4" s="295" t="s">
        <v>16</v>
      </c>
      <c r="D4" s="296">
        <f>+'Jadcherla -1'!E36</f>
        <v>1634.5400000000002</v>
      </c>
      <c r="E4" s="296">
        <f>+'Jadcherla -1'!G36</f>
        <v>157602.3468</v>
      </c>
      <c r="F4" s="296">
        <f>+'Jadcherla -1'!H36</f>
        <v>300.33</v>
      </c>
      <c r="G4" s="296">
        <f>+'Jadcherla -1'!J36</f>
        <v>32504.715899999999</v>
      </c>
      <c r="H4" s="296">
        <f>E4+G4</f>
        <v>190107.06270000001</v>
      </c>
      <c r="I4" s="296">
        <f>+'Jadcherla -1'!M3</f>
        <v>1711783.1329000003</v>
      </c>
      <c r="J4" s="296">
        <f>+'Jadcherla -1'!L36</f>
        <v>1100000</v>
      </c>
      <c r="K4" s="296">
        <f>H4+I4-J4</f>
        <v>801890.19560000021</v>
      </c>
    </row>
    <row r="5" spans="1:11">
      <c r="A5" s="294">
        <v>4</v>
      </c>
      <c r="B5" s="295" t="s">
        <v>17</v>
      </c>
      <c r="C5" s="295" t="s">
        <v>18</v>
      </c>
      <c r="D5" s="296">
        <f>+'Jadcharla-2'!E35</f>
        <v>14230</v>
      </c>
      <c r="E5" s="296">
        <f>+'Jadcharla-2'!G35</f>
        <v>1372198.9</v>
      </c>
      <c r="F5" s="296">
        <f>+'Jadcharla-2'!H35</f>
        <v>250</v>
      </c>
      <c r="G5" s="296">
        <f>+'Jadcharla-2'!J35</f>
        <v>27060</v>
      </c>
      <c r="H5" s="296">
        <f>E5+G5</f>
        <v>1399258.9</v>
      </c>
      <c r="I5" s="296">
        <f>+'Jadcharla-2'!K3</f>
        <v>2324364.0000000005</v>
      </c>
      <c r="J5" s="296">
        <f>+'Jadcharla-2'!L35</f>
        <v>2600000</v>
      </c>
      <c r="K5" s="296">
        <f>H5+I5-J5</f>
        <v>1123622.9000000004</v>
      </c>
    </row>
    <row r="6" spans="1:11">
      <c r="A6" s="294">
        <v>5</v>
      </c>
      <c r="B6" s="295" t="s">
        <v>19</v>
      </c>
      <c r="C6" s="295" t="s">
        <v>20</v>
      </c>
      <c r="D6" s="296">
        <f>+'Jadcherla-3'!E35</f>
        <v>29750</v>
      </c>
      <c r="E6" s="296">
        <f>+'Jadcherla-3'!G35</f>
        <v>2839042.5</v>
      </c>
      <c r="F6" s="296">
        <f>+'Jadcherla-3'!H35</f>
        <v>0</v>
      </c>
      <c r="G6" s="296">
        <f>+'Jadcherla-3'!J35</f>
        <v>0</v>
      </c>
      <c r="H6" s="296">
        <f>E6+G6</f>
        <v>2839042.5</v>
      </c>
      <c r="I6" s="296">
        <f>+'Jadcherla-3'!M3</f>
        <v>0</v>
      </c>
      <c r="J6" s="296">
        <f>+'Jadcherla-3'!L35</f>
        <v>1000000</v>
      </c>
      <c r="K6" s="296">
        <f>H6+I6-J6</f>
        <v>1839042.5</v>
      </c>
    </row>
    <row r="7" spans="1:11">
      <c r="A7" s="294">
        <v>6</v>
      </c>
      <c r="B7" s="295" t="s">
        <v>21</v>
      </c>
      <c r="C7" s="295" t="s">
        <v>22</v>
      </c>
      <c r="D7" s="296">
        <f>+Dindi!E35</f>
        <v>0</v>
      </c>
      <c r="E7" s="296">
        <f>+Dindi!G35</f>
        <v>0</v>
      </c>
      <c r="F7" s="296">
        <f>+Dindi!H35</f>
        <v>0</v>
      </c>
      <c r="G7" s="296">
        <f>+Dindi!J35</f>
        <v>0</v>
      </c>
      <c r="H7" s="296">
        <f>E7+G7</f>
        <v>0</v>
      </c>
      <c r="I7" s="296">
        <f>+Dindi!M3</f>
        <v>0</v>
      </c>
      <c r="J7" s="296">
        <f>+Dindi!L35</f>
        <v>0</v>
      </c>
      <c r="K7" s="296">
        <f t="shared" ref="K7:K44" si="0">H7+I7-J7</f>
        <v>0</v>
      </c>
    </row>
    <row r="8" spans="1:11">
      <c r="A8" s="294">
        <v>7</v>
      </c>
      <c r="B8" s="295" t="s">
        <v>23</v>
      </c>
      <c r="C8" s="295" t="s">
        <v>24</v>
      </c>
      <c r="D8" s="296">
        <f>+Devarakhadra!E35</f>
        <v>358.86</v>
      </c>
      <c r="E8" s="296">
        <f>+Devarakhadra!G35</f>
        <v>34845.305999999997</v>
      </c>
      <c r="F8" s="296">
        <f>+Devarakhadra!H35</f>
        <v>55</v>
      </c>
      <c r="G8" s="296">
        <f>+Devarakhadra!J35</f>
        <v>5985.65</v>
      </c>
      <c r="H8" s="296">
        <f>E8+G8</f>
        <v>40830.955999999998</v>
      </c>
      <c r="I8" s="296">
        <f>+Devarakhadra!M3</f>
        <v>193769.47699999996</v>
      </c>
      <c r="J8" s="296">
        <f>+Devarakhadra!L35</f>
        <v>200000</v>
      </c>
      <c r="K8" s="296">
        <f t="shared" si="0"/>
        <v>34600.432999999961</v>
      </c>
    </row>
    <row r="9" spans="1:11">
      <c r="A9" s="294">
        <v>8</v>
      </c>
      <c r="B9" s="295" t="s">
        <v>25</v>
      </c>
      <c r="C9" s="295" t="s">
        <v>20</v>
      </c>
      <c r="D9" s="296">
        <f>+'Devarakhadra-2'!E35</f>
        <v>688.08</v>
      </c>
      <c r="E9" s="296">
        <f>+'Devarakhadra-2'!G35</f>
        <v>65938.706399999995</v>
      </c>
      <c r="F9" s="296">
        <f>+'Devarakhadra-2'!H35</f>
        <v>0</v>
      </c>
      <c r="G9" s="296">
        <f>+'Devarakhadra-2'!I35</f>
        <v>0</v>
      </c>
      <c r="H9" s="296">
        <f>E9+G9</f>
        <v>65938.706399999995</v>
      </c>
      <c r="I9" s="296">
        <f>+'Devarakhadra-2'!M3</f>
        <v>167115.06209999998</v>
      </c>
      <c r="J9" s="296">
        <f>+'Devarakhadra-2'!L35</f>
        <v>167000</v>
      </c>
      <c r="K9" s="296">
        <f>+'Devarakhadra-2'!M34</f>
        <v>66053.768499999976</v>
      </c>
    </row>
    <row r="10" spans="1:11">
      <c r="A10" s="294">
        <v>9</v>
      </c>
      <c r="B10" s="295" t="s">
        <v>26</v>
      </c>
      <c r="C10" s="295"/>
      <c r="D10" s="296">
        <f>+'Madana palli'!E35</f>
        <v>723.33</v>
      </c>
      <c r="E10" s="296">
        <f>+'Madana palli'!G35</f>
        <v>70752.7408</v>
      </c>
      <c r="F10" s="296">
        <f>+'Madana palli'!H35</f>
        <v>15.48</v>
      </c>
      <c r="G10" s="296">
        <f>+'Madana palli'!J35</f>
        <v>4381.2844999999998</v>
      </c>
      <c r="H10" s="296">
        <f>E10+G10</f>
        <v>75134.025299999994</v>
      </c>
      <c r="I10" s="296">
        <f>+'Madana palli'!M3</f>
        <v>0</v>
      </c>
      <c r="J10" s="296">
        <f>+'Madana palli'!L35</f>
        <v>75134.025299999994</v>
      </c>
      <c r="K10" s="296">
        <f>+'Devarakhadra-2'!M35</f>
        <v>0</v>
      </c>
    </row>
    <row r="11" spans="1:11">
      <c r="A11" s="294">
        <v>10</v>
      </c>
      <c r="B11" s="295" t="s">
        <v>27</v>
      </c>
      <c r="C11" s="295" t="s">
        <v>28</v>
      </c>
      <c r="D11" s="296">
        <f>+Amalapuram!E37</f>
        <v>250.72000000000003</v>
      </c>
      <c r="E11" s="296">
        <f>+Amalapuram!G37</f>
        <v>24327.466700000001</v>
      </c>
      <c r="F11" s="296">
        <f>+Amalapuram!H37</f>
        <v>93.179999999999993</v>
      </c>
      <c r="G11" s="296">
        <f>+Amalapuram!J37</f>
        <v>10152.280499999997</v>
      </c>
      <c r="H11" s="296">
        <f>E11+G11</f>
        <v>34479.747199999998</v>
      </c>
      <c r="I11" s="296">
        <f>+Amalapuram!M3</f>
        <v>0</v>
      </c>
      <c r="J11" s="296">
        <f>+Amalapuram!L37</f>
        <v>34479.740000000005</v>
      </c>
      <c r="K11" s="296">
        <f t="shared" si="0"/>
        <v>7.1999999927356839E-3</v>
      </c>
    </row>
    <row r="12" spans="1:11">
      <c r="A12" s="294">
        <v>11</v>
      </c>
      <c r="B12" s="295" t="s">
        <v>29</v>
      </c>
      <c r="C12" s="295" t="s">
        <v>30</v>
      </c>
      <c r="D12" s="296">
        <f>+'YG Gudda '!E36</f>
        <v>164.29</v>
      </c>
      <c r="E12" s="296">
        <f>+'YG Gudda '!G36</f>
        <v>14999.677</v>
      </c>
      <c r="F12" s="296">
        <f>+'YG Gudda '!H36</f>
        <v>70</v>
      </c>
      <c r="G12" s="296">
        <f>+'YG Gudda '!J36</f>
        <v>7226.7999999999993</v>
      </c>
      <c r="H12" s="296">
        <f t="shared" ref="H12:H13" si="1">E12+G12</f>
        <v>22226.476999999999</v>
      </c>
      <c r="I12" s="296">
        <f>'YG Gudda '!K3</f>
        <v>102795.06451380023</v>
      </c>
      <c r="J12" s="296">
        <f>+'YG Gudda '!L36</f>
        <v>100000</v>
      </c>
      <c r="K12" s="296">
        <f t="shared" si="0"/>
        <v>25021.541513800228</v>
      </c>
    </row>
    <row r="13" spans="1:11">
      <c r="A13" s="294">
        <v>12</v>
      </c>
      <c r="B13" s="295" t="s">
        <v>31</v>
      </c>
      <c r="C13" s="295" t="s">
        <v>32</v>
      </c>
      <c r="D13" s="296">
        <f>+'YG Gudda-2'!E36</f>
        <v>7618.99</v>
      </c>
      <c r="E13" s="296">
        <f>+'YG Gudda-2'!G36</f>
        <v>695842.3567</v>
      </c>
      <c r="F13" s="296">
        <f>+'YG Gudda-2'!H36</f>
        <v>385</v>
      </c>
      <c r="G13" s="296">
        <f>+'YG Gudda-2'!J36</f>
        <v>39758.950000000004</v>
      </c>
      <c r="H13" s="296">
        <f t="shared" si="1"/>
        <v>735601.30669999996</v>
      </c>
      <c r="I13" s="296">
        <f>+'YG Gudda-2'!M3</f>
        <v>324799.60000000009</v>
      </c>
      <c r="J13" s="296">
        <f>+'YG Gudda-2'!L36</f>
        <v>720000</v>
      </c>
      <c r="K13" s="296">
        <f t="shared" si="0"/>
        <v>340400.90670000017</v>
      </c>
    </row>
    <row r="14" spans="1:11">
      <c r="A14" s="294">
        <v>13</v>
      </c>
      <c r="B14" s="295" t="s">
        <v>33</v>
      </c>
      <c r="C14" s="295" t="s">
        <v>34</v>
      </c>
      <c r="D14" s="296">
        <f>+Hosadurga!E35</f>
        <v>0</v>
      </c>
      <c r="E14" s="296">
        <f>+Hosadurga!G35</f>
        <v>0</v>
      </c>
      <c r="F14" s="296">
        <f>+Hosadurga!H35</f>
        <v>0</v>
      </c>
      <c r="G14" s="296">
        <f>+Hosadurga!J35</f>
        <v>0</v>
      </c>
      <c r="H14" s="296">
        <f t="shared" ref="H14:H44" si="2">E14+G14</f>
        <v>0</v>
      </c>
      <c r="I14" s="296">
        <f>+Hosadurga!K3</f>
        <v>2258.5999999999767</v>
      </c>
      <c r="J14" s="296">
        <f>+Hosadurga!L35</f>
        <v>0</v>
      </c>
      <c r="K14" s="296">
        <f t="shared" si="0"/>
        <v>2258.5999999999767</v>
      </c>
    </row>
    <row r="15" spans="1:11">
      <c r="A15" s="294">
        <v>14</v>
      </c>
      <c r="B15" s="295" t="s">
        <v>35</v>
      </c>
      <c r="C15" s="295" t="s">
        <v>36</v>
      </c>
      <c r="D15" s="296">
        <f>+'Hosadurga -2'!E35</f>
        <v>4000</v>
      </c>
      <c r="E15" s="296">
        <f>+'Hosadurga -2'!G35</f>
        <v>366080</v>
      </c>
      <c r="F15" s="296">
        <f>+'Hosadurga -2'!H35</f>
        <v>275</v>
      </c>
      <c r="G15" s="296">
        <f>+'Hosadurga -2'!J35</f>
        <v>28509.25</v>
      </c>
      <c r="H15" s="296">
        <f>+'Hosadurga -2'!K35</f>
        <v>394589.25</v>
      </c>
      <c r="I15" s="296">
        <f>+'Hosadurga -2'!K3</f>
        <v>459638.78690000006</v>
      </c>
      <c r="J15" s="296">
        <f>+'Hosadurga -2'!L35</f>
        <v>500000</v>
      </c>
      <c r="K15" s="296">
        <f>H15+I15-J15</f>
        <v>354228.03690000006</v>
      </c>
    </row>
    <row r="16" spans="1:11" ht="15.75" customHeight="1">
      <c r="A16" s="294">
        <v>15</v>
      </c>
      <c r="B16" s="297" t="s">
        <v>37</v>
      </c>
      <c r="C16" s="297" t="s">
        <v>38</v>
      </c>
      <c r="D16" s="296">
        <f>+'Malebenur(KUWSDB)'!E36</f>
        <v>5000</v>
      </c>
      <c r="E16" s="296">
        <f>+'Malebenur(KUWSDB)'!G36</f>
        <v>460700</v>
      </c>
      <c r="F16" s="296">
        <f>+'Malebenur(KUWSDB)'!H36</f>
        <v>215</v>
      </c>
      <c r="G16" s="296">
        <f>+'Malebenur(KUWSDB)'!J36</f>
        <v>22353.55</v>
      </c>
      <c r="H16" s="296">
        <f>E16+G16</f>
        <v>483053.55</v>
      </c>
      <c r="I16" s="296">
        <f>+'Malebenur(KUWSDB)'!K3</f>
        <v>38935.404999999977</v>
      </c>
      <c r="J16" s="296">
        <f>+'Malebenur(KUWSDB)'!L36</f>
        <v>370926</v>
      </c>
      <c r="K16" s="296">
        <f>H16+I16-J16</f>
        <v>151062.95499999996</v>
      </c>
    </row>
    <row r="17" spans="1:11">
      <c r="A17" s="294">
        <v>16</v>
      </c>
      <c r="B17" s="295" t="s">
        <v>39</v>
      </c>
      <c r="C17" s="295" t="s">
        <v>40</v>
      </c>
      <c r="D17" s="296">
        <f>+Kadur!E35</f>
        <v>0</v>
      </c>
      <c r="E17" s="296">
        <f>+Kadur!G35</f>
        <v>0</v>
      </c>
      <c r="F17" s="296">
        <f>+Kadur!H35</f>
        <v>0</v>
      </c>
      <c r="G17" s="296">
        <f>+Kadur!J35</f>
        <v>0</v>
      </c>
      <c r="H17" s="296">
        <f t="shared" si="2"/>
        <v>0</v>
      </c>
      <c r="I17" s="296">
        <f>+Kadur!K3</f>
        <v>164331.63099999976</v>
      </c>
      <c r="J17" s="296">
        <f>+Kadur!L35</f>
        <v>0</v>
      </c>
      <c r="K17" s="296">
        <f t="shared" si="0"/>
        <v>164331.63099999976</v>
      </c>
    </row>
    <row r="18" spans="1:11">
      <c r="A18" s="294">
        <v>17</v>
      </c>
      <c r="B18" s="295" t="s">
        <v>41</v>
      </c>
      <c r="C18" s="295" t="s">
        <v>42</v>
      </c>
      <c r="D18" s="296">
        <f>+'Hiriyur(VJNL)'!E35</f>
        <v>4800</v>
      </c>
      <c r="E18" s="296">
        <f>+'Hiriyur(VJNL)'!G35</f>
        <v>442704</v>
      </c>
      <c r="F18" s="296">
        <f>+'Hiriyur(VJNL)'!H35</f>
        <v>210</v>
      </c>
      <c r="G18" s="296">
        <f>+'Hiriyur(VJNL)'!J35</f>
        <v>21856.799999999999</v>
      </c>
      <c r="H18" s="296">
        <f t="shared" si="2"/>
        <v>464560.8</v>
      </c>
      <c r="I18" s="296">
        <f>+'Hiriyur(VJNL)'!K3</f>
        <v>321350.80000000005</v>
      </c>
      <c r="J18" s="296">
        <f>+'Hiriyur(VJNL)'!L35</f>
        <v>400000</v>
      </c>
      <c r="K18" s="296">
        <f t="shared" si="0"/>
        <v>385911.60000000009</v>
      </c>
    </row>
    <row r="19" spans="1:11">
      <c r="A19" s="294">
        <v>18</v>
      </c>
      <c r="B19" s="295" t="s">
        <v>43</v>
      </c>
      <c r="C19" s="295" t="s">
        <v>44</v>
      </c>
      <c r="D19" s="296">
        <f>+'Chellakere -1'!E35</f>
        <v>3510</v>
      </c>
      <c r="E19" s="296">
        <f>+'Chellakere -1'!G35</f>
        <v>323586.89999999997</v>
      </c>
      <c r="F19" s="296">
        <f>+'Chellakere -1'!H35</f>
        <v>295</v>
      </c>
      <c r="G19" s="296">
        <f>+'Chellakere -1'!J35</f>
        <v>30688.85</v>
      </c>
      <c r="H19" s="296">
        <f t="shared" si="2"/>
        <v>354275.74999999994</v>
      </c>
      <c r="I19" s="296">
        <f>+'Chellakere -1'!K3</f>
        <v>0</v>
      </c>
      <c r="J19" s="296">
        <f>+'Chellakere -1'!L35</f>
        <v>226271</v>
      </c>
      <c r="K19" s="296">
        <f t="shared" si="0"/>
        <v>128004.74999999994</v>
      </c>
    </row>
    <row r="20" spans="1:11">
      <c r="A20" s="294">
        <v>19</v>
      </c>
      <c r="B20" s="295" t="s">
        <v>45</v>
      </c>
      <c r="C20" s="404"/>
      <c r="D20" s="296">
        <f>+' Chellakere-PKG-9'!E35</f>
        <v>704.99</v>
      </c>
      <c r="E20" s="296">
        <f>+' Chellakere-PKG-9'!G35</f>
        <v>64994.228399999993</v>
      </c>
      <c r="F20" s="296">
        <f>+' Chellakere-PKG-9'!H35</f>
        <v>41</v>
      </c>
      <c r="G20" s="296">
        <f>+' Chellakere-PKG-9'!J35</f>
        <v>4265.2300000000005</v>
      </c>
      <c r="H20" s="296">
        <f t="shared" si="2"/>
        <v>69259.458399999989</v>
      </c>
      <c r="I20" s="296">
        <f>+' Chellakere-PKG-9'!M3</f>
        <v>0</v>
      </c>
      <c r="J20" s="296">
        <f>+' Chellakere-PKG-9'!L35</f>
        <v>69259.458400000003</v>
      </c>
      <c r="K20" s="296">
        <f t="shared" si="0"/>
        <v>0</v>
      </c>
    </row>
    <row r="21" spans="1:11">
      <c r="A21" s="294">
        <v>20</v>
      </c>
      <c r="B21" s="295" t="s">
        <v>46</v>
      </c>
      <c r="C21" s="341" t="s">
        <v>47</v>
      </c>
      <c r="D21" s="296">
        <f>+Molakamuru!E35</f>
        <v>580</v>
      </c>
      <c r="E21" s="296">
        <f>+Molakamuru!G35</f>
        <v>53470.600000000006</v>
      </c>
      <c r="F21" s="296">
        <f>+Molakamuru!H35</f>
        <v>50</v>
      </c>
      <c r="G21" s="296">
        <f>+Molakamuru!J35</f>
        <v>5201</v>
      </c>
      <c r="H21" s="296">
        <f t="shared" si="2"/>
        <v>58671.600000000006</v>
      </c>
      <c r="I21" s="296">
        <f>+Molakamuru!K3</f>
        <v>0</v>
      </c>
      <c r="J21" s="296">
        <f>+Molakamuru!L35</f>
        <v>58671.600000000006</v>
      </c>
      <c r="K21" s="296">
        <f t="shared" si="0"/>
        <v>0</v>
      </c>
    </row>
    <row r="22" spans="1:11">
      <c r="A22" s="294">
        <v>21</v>
      </c>
      <c r="B22" s="295" t="s">
        <v>48</v>
      </c>
      <c r="C22" s="295" t="s">
        <v>49</v>
      </c>
      <c r="D22" s="296">
        <f>+Khanapur!E35</f>
        <v>465.90999999999997</v>
      </c>
      <c r="E22" s="296">
        <f>+Khanapur!G35</f>
        <v>42341.900799999996</v>
      </c>
      <c r="F22" s="296">
        <f>+Khanapur!H35</f>
        <v>66</v>
      </c>
      <c r="G22" s="296">
        <f>+Khanapur!J35</f>
        <v>6782.8200000000015</v>
      </c>
      <c r="H22" s="296">
        <f t="shared" si="2"/>
        <v>49124.720799999996</v>
      </c>
      <c r="I22" s="296">
        <f>+Khanapur!M3</f>
        <v>50161.119999999995</v>
      </c>
      <c r="J22" s="296">
        <f>+Khanapur!L35</f>
        <v>70267.58</v>
      </c>
      <c r="K22" s="296">
        <f t="shared" si="0"/>
        <v>29018.260799999989</v>
      </c>
    </row>
    <row r="23" spans="1:11">
      <c r="A23" s="294">
        <v>22</v>
      </c>
      <c r="B23" s="295" t="s">
        <v>50</v>
      </c>
      <c r="C23" s="295" t="s">
        <v>51</v>
      </c>
      <c r="D23" s="296">
        <f>+'Munavali-2'!E37</f>
        <v>11813.5</v>
      </c>
      <c r="E23" s="296">
        <f>+'Munavali-2'!G37</f>
        <v>1078808.82</v>
      </c>
      <c r="F23" s="296">
        <f>+'Munavali-2'!H37</f>
        <v>157</v>
      </c>
      <c r="G23" s="296">
        <f>+'Munavali-2'!J37</f>
        <v>16208.680000000004</v>
      </c>
      <c r="H23" s="296">
        <f t="shared" si="2"/>
        <v>1095017.5</v>
      </c>
      <c r="I23" s="296">
        <f>+'Munavali-2'!M3</f>
        <v>659195.20419999992</v>
      </c>
      <c r="J23" s="296">
        <f>+'Munavali-2'!L37</f>
        <v>1200000</v>
      </c>
      <c r="K23" s="296">
        <f t="shared" si="0"/>
        <v>554212.70420000004</v>
      </c>
    </row>
    <row r="24" spans="1:11">
      <c r="A24" s="294">
        <v>23</v>
      </c>
      <c r="B24" s="295" t="s">
        <v>52</v>
      </c>
      <c r="C24" s="295" t="s">
        <v>53</v>
      </c>
      <c r="D24" s="296">
        <f>+Borgaon!E35</f>
        <v>660</v>
      </c>
      <c r="E24" s="296">
        <f>+Borgaon!G35</f>
        <v>60568.2</v>
      </c>
      <c r="F24" s="296">
        <f>+Borgaon!H35</f>
        <v>50</v>
      </c>
      <c r="G24" s="296">
        <f>+Borgaon!J35</f>
        <v>5185</v>
      </c>
      <c r="H24" s="296">
        <f t="shared" si="2"/>
        <v>65753.2</v>
      </c>
      <c r="I24" s="296">
        <f>+Borgaon!K3</f>
        <v>61661.701499999974</v>
      </c>
      <c r="J24" s="296">
        <f>+Borgaon!L35</f>
        <v>60000</v>
      </c>
      <c r="K24" s="296">
        <f>H24+I24-J24</f>
        <v>67414.901499999978</v>
      </c>
    </row>
    <row r="25" spans="1:11">
      <c r="A25" s="294">
        <v>24</v>
      </c>
      <c r="B25" s="295" t="s">
        <v>54</v>
      </c>
      <c r="C25" s="295" t="s">
        <v>55</v>
      </c>
      <c r="D25" s="296">
        <f>+'Ugar,Khagwad,Kudichi'!E35</f>
        <v>3998.98</v>
      </c>
      <c r="E25" s="296">
        <f>+'Ugar,Khagwad,Kudichi'!G35</f>
        <v>367626.23140000011</v>
      </c>
      <c r="F25" s="296">
        <f>+'Ugar,Khagwad,Kudichi'!H35</f>
        <v>255</v>
      </c>
      <c r="G25" s="296">
        <f>+'Ugar,Khagwad,Kudichi'!J35</f>
        <v>26817.750000000004</v>
      </c>
      <c r="H25" s="296">
        <f t="shared" si="2"/>
        <v>394443.98140000011</v>
      </c>
      <c r="I25" s="296">
        <f>+'Ugar,Khagwad,Kudichi'!M3</f>
        <v>235015.75960000016</v>
      </c>
      <c r="J25" s="296">
        <f>+'Ugar,Khagwad,Kudichi'!L35</f>
        <v>235210</v>
      </c>
      <c r="K25" s="296">
        <f>H25+I25-J25</f>
        <v>394249.74100000027</v>
      </c>
    </row>
    <row r="26" spans="1:11">
      <c r="A26" s="294">
        <v>25</v>
      </c>
      <c r="B26" s="295" t="s">
        <v>56</v>
      </c>
      <c r="C26" s="295" t="s">
        <v>57</v>
      </c>
      <c r="D26" s="296">
        <f>+Kabbur!E35</f>
        <v>335</v>
      </c>
      <c r="E26" s="296">
        <f>+Kabbur!G35</f>
        <v>30682.649999999998</v>
      </c>
      <c r="F26" s="296">
        <f>+Kabbur!H35</f>
        <v>41.86</v>
      </c>
      <c r="G26" s="296">
        <f>+Kabbur!J35</f>
        <v>4333.7658000000001</v>
      </c>
      <c r="H26" s="296">
        <f t="shared" si="2"/>
        <v>35016.415799999995</v>
      </c>
      <c r="I26" s="296">
        <v>0</v>
      </c>
      <c r="J26" s="296">
        <f>+Kabbur!L35</f>
        <v>35016.415800000002</v>
      </c>
      <c r="K26" s="296">
        <f t="shared" si="0"/>
        <v>0</v>
      </c>
    </row>
    <row r="27" spans="1:11">
      <c r="A27" s="294">
        <v>26</v>
      </c>
      <c r="B27" s="295" t="s">
        <v>58</v>
      </c>
      <c r="C27" s="295" t="s">
        <v>59</v>
      </c>
      <c r="D27" s="296">
        <f>+kumta!E35</f>
        <v>1516.29</v>
      </c>
      <c r="E27" s="296">
        <f>+kumta!G35</f>
        <v>139377.3768</v>
      </c>
      <c r="F27" s="296">
        <f>+kumta!H35</f>
        <v>56.5</v>
      </c>
      <c r="G27" s="296">
        <f>+kumta!J35</f>
        <v>5873.74</v>
      </c>
      <c r="H27" s="296">
        <f t="shared" si="2"/>
        <v>145251.11679999999</v>
      </c>
      <c r="I27" s="296">
        <v>0</v>
      </c>
      <c r="J27" s="296">
        <f>+kumta!L35</f>
        <v>145251.11679999999</v>
      </c>
      <c r="K27" s="296">
        <f t="shared" si="0"/>
        <v>0</v>
      </c>
    </row>
    <row r="28" spans="1:11">
      <c r="A28" s="294">
        <v>27</v>
      </c>
      <c r="B28" s="295" t="s">
        <v>60</v>
      </c>
      <c r="C28" s="295" t="s">
        <v>61</v>
      </c>
      <c r="D28" s="296">
        <f>+Jalgaon!E54</f>
        <v>15612.72</v>
      </c>
      <c r="E28" s="296">
        <f>+Jalgaon!G54</f>
        <v>1432343.5325999998</v>
      </c>
      <c r="F28" s="296">
        <f>+Jalgaon!H54</f>
        <v>146.65</v>
      </c>
      <c r="G28" s="296">
        <f>+Jalgaon!J54</f>
        <v>15428.795</v>
      </c>
      <c r="H28" s="296">
        <f t="shared" si="2"/>
        <v>1447772.3275999997</v>
      </c>
      <c r="I28" s="296">
        <f>+Jalgaon!K3</f>
        <v>705601.30959999992</v>
      </c>
      <c r="J28" s="296">
        <f>+Jalgaon!L54</f>
        <v>1004912.84</v>
      </c>
      <c r="K28" s="296">
        <f t="shared" si="0"/>
        <v>1148460.7971999999</v>
      </c>
    </row>
    <row r="29" spans="1:11">
      <c r="A29" s="294">
        <v>28</v>
      </c>
      <c r="B29" s="295" t="s">
        <v>62</v>
      </c>
      <c r="C29" s="295" t="s">
        <v>63</v>
      </c>
      <c r="D29" s="296">
        <f>+MKBD!E36</f>
        <v>1700</v>
      </c>
      <c r="E29" s="296">
        <f>+MKBD!G36</f>
        <v>154938</v>
      </c>
      <c r="F29" s="296">
        <f>+MKBD!H36</f>
        <v>60</v>
      </c>
      <c r="G29" s="296">
        <f>+MKBD!J36</f>
        <v>6276</v>
      </c>
      <c r="H29" s="296">
        <f t="shared" si="2"/>
        <v>161214</v>
      </c>
      <c r="I29" s="296">
        <f>+MKBD!K3</f>
        <v>276716.64999999991</v>
      </c>
      <c r="J29" s="296">
        <f>+MKBD!L36</f>
        <v>0</v>
      </c>
      <c r="K29" s="296">
        <f t="shared" si="0"/>
        <v>437930.64999999991</v>
      </c>
    </row>
    <row r="30" spans="1:11">
      <c r="A30" s="294">
        <v>29</v>
      </c>
      <c r="B30" s="295" t="s">
        <v>64</v>
      </c>
      <c r="C30" s="295" t="s">
        <v>65</v>
      </c>
      <c r="D30" s="296">
        <f>+Haveri!E37</f>
        <v>4469.66</v>
      </c>
      <c r="E30" s="296">
        <f>+Haveri!G37</f>
        <v>408840.80020000006</v>
      </c>
      <c r="F30" s="296">
        <f>+Haveri!H37</f>
        <v>138.72999999999999</v>
      </c>
      <c r="G30" s="296">
        <f>+Haveri!J37</f>
        <v>14344.682000000001</v>
      </c>
      <c r="H30" s="296">
        <f t="shared" si="2"/>
        <v>423185.48220000009</v>
      </c>
      <c r="I30" s="296">
        <f>+Haveri!M3</f>
        <v>127726.19469999995</v>
      </c>
      <c r="J30" s="296">
        <f>+Haveri!L37</f>
        <v>325735.59999999998</v>
      </c>
      <c r="K30" s="296">
        <f t="shared" si="0"/>
        <v>225176.0769000001</v>
      </c>
    </row>
    <row r="31" spans="1:11">
      <c r="A31" s="294">
        <v>30</v>
      </c>
      <c r="B31" s="295" t="s">
        <v>66</v>
      </c>
      <c r="C31" s="295" t="s">
        <v>67</v>
      </c>
      <c r="D31" s="296">
        <f>+Guttal!E35</f>
        <v>1788.44</v>
      </c>
      <c r="E31" s="296">
        <f>+Guttal!G35</f>
        <v>164178.79200000002</v>
      </c>
      <c r="F31" s="296">
        <f>+Guttal!H35</f>
        <v>119.19</v>
      </c>
      <c r="G31" s="296">
        <f>+Guttal!J35</f>
        <v>12367.154399999999</v>
      </c>
      <c r="H31" s="296">
        <f t="shared" si="2"/>
        <v>176545.94640000002</v>
      </c>
      <c r="I31" s="296">
        <f>+Guttal!M3</f>
        <v>36956.063999999998</v>
      </c>
      <c r="J31" s="296">
        <f>+Guttal!L35</f>
        <v>155000</v>
      </c>
      <c r="K31" s="296">
        <f t="shared" si="0"/>
        <v>58502.010400000028</v>
      </c>
    </row>
    <row r="32" spans="1:11">
      <c r="A32" s="294">
        <v>31</v>
      </c>
      <c r="B32" s="295" t="s">
        <v>68</v>
      </c>
      <c r="C32" s="295" t="s">
        <v>69</v>
      </c>
      <c r="D32" s="296">
        <f>+Rattihali!E35</f>
        <v>1512.9199999999998</v>
      </c>
      <c r="E32" s="296">
        <f>+Rattihali!G35</f>
        <v>139249.1568</v>
      </c>
      <c r="F32" s="296">
        <f>+Rattihali!H35</f>
        <v>61.989999999999995</v>
      </c>
      <c r="G32" s="296">
        <f>+Rattihali!J35</f>
        <v>6448.1998000000003</v>
      </c>
      <c r="H32" s="296">
        <f t="shared" si="2"/>
        <v>145697.3566</v>
      </c>
      <c r="I32" s="296">
        <f>+Rattihali!M3</f>
        <v>190300.9142</v>
      </c>
      <c r="J32" s="296">
        <f>+Rattihali!L35</f>
        <v>200000</v>
      </c>
      <c r="K32" s="296">
        <f t="shared" si="0"/>
        <v>135998.2708</v>
      </c>
    </row>
    <row r="33" spans="1:13">
      <c r="A33" s="294">
        <v>32</v>
      </c>
      <c r="B33" s="295" t="s">
        <v>70</v>
      </c>
      <c r="C33" s="295" t="s">
        <v>71</v>
      </c>
      <c r="D33" s="296">
        <f>+Gajendragada!E35</f>
        <v>0</v>
      </c>
      <c r="E33" s="296">
        <f>+Gajendragada!G35</f>
        <v>0</v>
      </c>
      <c r="F33" s="296">
        <f>+Gajendragada!H35</f>
        <v>10</v>
      </c>
      <c r="G33" s="296">
        <f>+Gajendragada!J35</f>
        <v>1038</v>
      </c>
      <c r="H33" s="296">
        <f t="shared" si="2"/>
        <v>1038</v>
      </c>
      <c r="I33" s="296">
        <f>+Gajendragada!K3</f>
        <v>98252.261500000008</v>
      </c>
      <c r="J33" s="296">
        <f>+Gajendragada!L35</f>
        <v>98000</v>
      </c>
      <c r="K33" s="296">
        <f t="shared" si="0"/>
        <v>1290.2615000000078</v>
      </c>
    </row>
    <row r="34" spans="1:13">
      <c r="A34" s="294">
        <v>33</v>
      </c>
      <c r="B34" s="298" t="s">
        <v>72</v>
      </c>
      <c r="C34" s="298" t="s">
        <v>73</v>
      </c>
      <c r="D34" s="296">
        <f>+'Gokak Dharwad PKG 3'!E40</f>
        <v>10623.999999999998</v>
      </c>
      <c r="E34" s="296">
        <f>+'Gokak Dharwad PKG 3'!G40</f>
        <v>971883.52000000014</v>
      </c>
      <c r="F34" s="296">
        <f>+'Gokak Dharwad PKG 3'!H40</f>
        <v>296</v>
      </c>
      <c r="G34" s="296">
        <f>+'Gokak Dharwad PKG 3'!J40</f>
        <v>30609.360000000001</v>
      </c>
      <c r="H34" s="296">
        <f t="shared" si="2"/>
        <v>1002492.8800000001</v>
      </c>
      <c r="I34" s="299">
        <f>+'Gokak Dharwad PKG 3'!K3</f>
        <v>1316713.4470000004</v>
      </c>
      <c r="J34" s="296">
        <f>+'Gokak Dharwad PKG 3'!L40</f>
        <v>1700000</v>
      </c>
      <c r="K34" s="296">
        <f t="shared" si="0"/>
        <v>619206.32700000051</v>
      </c>
      <c r="M34" s="302"/>
    </row>
    <row r="35" spans="1:13">
      <c r="A35" s="294">
        <v>34</v>
      </c>
      <c r="B35" s="298" t="s">
        <v>74</v>
      </c>
      <c r="C35" s="298" t="s">
        <v>75</v>
      </c>
      <c r="D35" s="296">
        <f>+Ankalgi!E35</f>
        <v>2846.9600000000005</v>
      </c>
      <c r="E35" s="296">
        <f>+Ankalgi!G35</f>
        <v>259955.91759999993</v>
      </c>
      <c r="F35" s="296">
        <f>+Ankalgi!H35</f>
        <v>88</v>
      </c>
      <c r="G35" s="296">
        <f>+Ankalgi!J35</f>
        <v>8464.8599999999988</v>
      </c>
      <c r="H35" s="296">
        <f t="shared" si="2"/>
        <v>268420.77759999991</v>
      </c>
      <c r="I35" s="325">
        <f>+Ankalgi!M3</f>
        <v>41443.571599999967</v>
      </c>
      <c r="J35" s="296">
        <f>+Ankalgi!L35</f>
        <v>200000</v>
      </c>
      <c r="K35" s="296">
        <f t="shared" si="0"/>
        <v>109864.34919999988</v>
      </c>
    </row>
    <row r="36" spans="1:13">
      <c r="A36" s="294">
        <v>35</v>
      </c>
      <c r="B36" s="298" t="s">
        <v>76</v>
      </c>
      <c r="C36" s="298" t="s">
        <v>77</v>
      </c>
      <c r="D36" s="296">
        <f>+' Shankeshwar'!E35</f>
        <v>165</v>
      </c>
      <c r="E36" s="296">
        <f>+' Shankeshwar'!G35</f>
        <v>15064.5</v>
      </c>
      <c r="F36" s="296">
        <f>+' Shankeshwar'!H35</f>
        <v>53</v>
      </c>
      <c r="G36" s="296">
        <f>+' Shankeshwar'!J35</f>
        <v>5470.66</v>
      </c>
      <c r="H36" s="296">
        <f t="shared" si="2"/>
        <v>20535.16</v>
      </c>
      <c r="I36" s="296"/>
      <c r="J36" s="296">
        <f>+' Shankeshwar'!L35</f>
        <v>20535.16</v>
      </c>
      <c r="K36" s="296">
        <f t="shared" si="0"/>
        <v>0</v>
      </c>
    </row>
    <row r="37" spans="1:13">
      <c r="A37" s="294">
        <v>36</v>
      </c>
      <c r="B37" s="298" t="s">
        <v>78</v>
      </c>
      <c r="C37" s="298" t="s">
        <v>79</v>
      </c>
      <c r="D37" s="296">
        <f>+' Talikote'!E46</f>
        <v>1054.0800000000002</v>
      </c>
      <c r="E37" s="296">
        <f>+' Talikote'!G46</f>
        <v>96440.198500000013</v>
      </c>
      <c r="F37" s="296">
        <f>+' Talikote'!H46</f>
        <v>126.73999999999998</v>
      </c>
      <c r="G37" s="296">
        <f>+' Talikote'!J46</f>
        <v>13109.985600000002</v>
      </c>
      <c r="H37" s="296">
        <f t="shared" si="2"/>
        <v>109550.18410000001</v>
      </c>
      <c r="I37" s="296">
        <f>+' Talikote'!N3</f>
        <v>43124.264799999997</v>
      </c>
      <c r="J37" s="296">
        <f>+' Talikote'!L46</f>
        <v>97000</v>
      </c>
      <c r="K37" s="296">
        <f t="shared" si="0"/>
        <v>55674.448900000018</v>
      </c>
    </row>
    <row r="38" spans="1:13">
      <c r="A38" s="294">
        <v>37</v>
      </c>
      <c r="B38" s="298" t="s">
        <v>80</v>
      </c>
      <c r="C38" s="298" t="s">
        <v>81</v>
      </c>
      <c r="D38" s="296">
        <f>+Chadchan!E35</f>
        <v>1225.6400000000001</v>
      </c>
      <c r="E38" s="296">
        <f>+Chadchan!G35</f>
        <v>111815.13720000001</v>
      </c>
      <c r="F38" s="296">
        <f>+Chadchan!H35</f>
        <v>153.78</v>
      </c>
      <c r="G38" s="296">
        <f>+Chadchan!J35</f>
        <v>15863.944799999997</v>
      </c>
      <c r="H38" s="296">
        <f t="shared" si="2"/>
        <v>127679.08200000001</v>
      </c>
      <c r="I38" s="296">
        <f>+Chadchan!K3</f>
        <v>143396.87340000007</v>
      </c>
      <c r="J38" s="296">
        <f>+Chadchan!L35</f>
        <v>200000</v>
      </c>
      <c r="K38" s="296">
        <f t="shared" si="0"/>
        <v>71075.955400000094</v>
      </c>
    </row>
    <row r="39" spans="1:13">
      <c r="A39" s="294">
        <v>38</v>
      </c>
      <c r="B39" s="298" t="s">
        <v>82</v>
      </c>
      <c r="C39" s="298" t="s">
        <v>83</v>
      </c>
      <c r="D39" s="296">
        <f>+Sindagi!E45</f>
        <v>515.01</v>
      </c>
      <c r="E39" s="296">
        <f>+Sindagi!G45</f>
        <v>46984.362300000001</v>
      </c>
      <c r="F39" s="296">
        <f>+Sindagi!H45</f>
        <v>0</v>
      </c>
      <c r="G39" s="296">
        <f>+Sindagi!J45</f>
        <v>0</v>
      </c>
      <c r="H39" s="296">
        <f t="shared" si="2"/>
        <v>46984.362300000001</v>
      </c>
      <c r="I39" s="296">
        <f>+Sindagi!M3</f>
        <v>0</v>
      </c>
      <c r="J39" s="296">
        <f>+Sindagi!L45</f>
        <v>18246</v>
      </c>
      <c r="K39" s="296">
        <f t="shared" si="0"/>
        <v>28738.362300000001</v>
      </c>
    </row>
    <row r="40" spans="1:13">
      <c r="A40" s="294">
        <v>39</v>
      </c>
      <c r="B40" s="298" t="s">
        <v>84</v>
      </c>
      <c r="C40" s="298" t="s">
        <v>85</v>
      </c>
      <c r="D40" s="296">
        <f>+Muddebihal!E47</f>
        <v>48.56</v>
      </c>
      <c r="E40" s="296">
        <f>+Muddebihal!G47</f>
        <v>4440.8119999999999</v>
      </c>
      <c r="F40" s="296">
        <f>+Muddebihal!H47</f>
        <v>5</v>
      </c>
      <c r="G40" s="296">
        <f>+Muddebihal!J47</f>
        <v>516.95000000000005</v>
      </c>
      <c r="H40" s="296">
        <f t="shared" si="2"/>
        <v>4957.7619999999997</v>
      </c>
      <c r="I40" s="296">
        <f>+Muddebihal!M3</f>
        <v>3593.8247999999949</v>
      </c>
      <c r="J40" s="296">
        <f>+Muddebihal!L47</f>
        <v>0</v>
      </c>
      <c r="K40" s="296">
        <f t="shared" si="0"/>
        <v>8551.5867999999937</v>
      </c>
    </row>
    <row r="41" spans="1:13">
      <c r="A41" s="294">
        <v>40</v>
      </c>
      <c r="B41" s="298" t="s">
        <v>86</v>
      </c>
      <c r="C41" s="298" t="s">
        <v>87</v>
      </c>
      <c r="D41" s="296">
        <f>+'Muddebhihal-2'!E47</f>
        <v>794.56999999999994</v>
      </c>
      <c r="E41" s="296">
        <f>+'Muddebhihal-2'!G47</f>
        <v>72639.589399999997</v>
      </c>
      <c r="F41" s="296">
        <f>+'Muddebhihal-2'!H47</f>
        <v>60</v>
      </c>
      <c r="G41" s="296">
        <f>+'Muddebhihal-2'!J47</f>
        <v>6273.6</v>
      </c>
      <c r="H41" s="296">
        <f>+'Muddebhihal-2'!K47</f>
        <v>78913.189400000003</v>
      </c>
      <c r="I41" s="296">
        <f>+'Muddebhihal-2'!M3</f>
        <v>46556.770000000004</v>
      </c>
      <c r="J41" s="296">
        <f>+'Muddebhihal-2'!L47</f>
        <v>50000</v>
      </c>
      <c r="K41" s="296">
        <f>+'Muddebhihal-2'!M46</f>
        <v>75469.959399999992</v>
      </c>
    </row>
    <row r="42" spans="1:13">
      <c r="A42" s="294">
        <v>41</v>
      </c>
      <c r="B42" s="298" t="s">
        <v>88</v>
      </c>
      <c r="C42" s="298" t="s">
        <v>89</v>
      </c>
      <c r="D42" s="296">
        <f>+Alemela!E43</f>
        <v>183.71</v>
      </c>
      <c r="E42" s="296">
        <f>+Alemela!G43</f>
        <v>16778.2343</v>
      </c>
      <c r="F42" s="296">
        <f>+Alemela!H43</f>
        <v>50</v>
      </c>
      <c r="G42" s="296">
        <f>+Alemela!J43</f>
        <v>5163</v>
      </c>
      <c r="H42" s="296">
        <f t="shared" si="2"/>
        <v>21941.2343</v>
      </c>
      <c r="I42" s="296">
        <f>+Alemela!M3</f>
        <v>56362.774700000009</v>
      </c>
      <c r="J42" s="296">
        <f>+Alemela!L43</f>
        <v>50000</v>
      </c>
      <c r="K42" s="296">
        <f t="shared" si="0"/>
        <v>28304.009000000005</v>
      </c>
    </row>
    <row r="43" spans="1:13">
      <c r="A43" s="294">
        <v>42</v>
      </c>
      <c r="B43" s="298" t="s">
        <v>90</v>
      </c>
      <c r="C43" s="298" t="s">
        <v>91</v>
      </c>
      <c r="D43" s="296">
        <f>+Nalatwad!E43</f>
        <v>181.38</v>
      </c>
      <c r="E43" s="296">
        <f>+Nalatwad!G43</f>
        <v>16618.035600000003</v>
      </c>
      <c r="F43" s="296">
        <f>+Nalatwad!H43</f>
        <v>72.167999999999992</v>
      </c>
      <c r="G43" s="296">
        <f>+Nalatwad!J43</f>
        <v>7507.4529599999987</v>
      </c>
      <c r="H43" s="296">
        <f>E43+G43</f>
        <v>24125.488560000002</v>
      </c>
      <c r="I43" s="296">
        <f>+Nalatwad!M3</f>
        <v>23526.40130000002</v>
      </c>
      <c r="J43" s="296">
        <f>+Nalatwad!L43</f>
        <v>0</v>
      </c>
      <c r="K43" s="296">
        <f>H43+I43-J43</f>
        <v>47651.889860000025</v>
      </c>
    </row>
    <row r="44" spans="1:13">
      <c r="A44" s="294">
        <v>43</v>
      </c>
      <c r="B44" s="298" t="s">
        <v>92</v>
      </c>
      <c r="C44" s="298" t="s">
        <v>93</v>
      </c>
      <c r="D44" s="296">
        <f>+Srirangapatna!E35</f>
        <v>0</v>
      </c>
      <c r="E44" s="296">
        <f>+Srirangapatna!G35</f>
        <v>0</v>
      </c>
      <c r="F44" s="296">
        <f>+Srirangapatna!H35</f>
        <v>27.32</v>
      </c>
      <c r="G44" s="296">
        <f>+Srirangapatna!J35</f>
        <v>2799.2071999999998</v>
      </c>
      <c r="H44" s="296">
        <f t="shared" si="2"/>
        <v>2799.2071999999998</v>
      </c>
      <c r="I44" s="296">
        <v>0</v>
      </c>
      <c r="J44" s="296">
        <f>+Srirangapatna!L35</f>
        <v>2799.2071999999998</v>
      </c>
      <c r="K44" s="296">
        <f t="shared" si="0"/>
        <v>0</v>
      </c>
    </row>
    <row r="45" spans="1:13">
      <c r="A45" s="444" t="s">
        <v>94</v>
      </c>
      <c r="B45" s="445"/>
      <c r="C45" s="446"/>
      <c r="D45" s="300">
        <f t="shared" ref="D45:J45" si="3">SUM(D2:D44)</f>
        <v>197810.70000000004</v>
      </c>
      <c r="E45" s="300">
        <f t="shared" si="3"/>
        <v>18578686.8453</v>
      </c>
      <c r="F45" s="300">
        <f t="shared" si="3"/>
        <v>4969.9179999999988</v>
      </c>
      <c r="G45" s="300">
        <f t="shared" si="3"/>
        <v>523462.06845999992</v>
      </c>
      <c r="H45" s="300">
        <f t="shared" si="3"/>
        <v>19102148.913759995</v>
      </c>
      <c r="I45" s="300">
        <f t="shared" si="3"/>
        <v>43237351.233613804</v>
      </c>
      <c r="J45" s="300">
        <f t="shared" si="3"/>
        <v>38689715.743499994</v>
      </c>
      <c r="K45" s="300">
        <f>H45+I45-J45</f>
        <v>23649784.403873801</v>
      </c>
      <c r="M45" s="302"/>
    </row>
    <row r="46" spans="1:13">
      <c r="K46" s="301"/>
    </row>
    <row r="48" spans="1:13">
      <c r="K48" s="301"/>
    </row>
    <row r="49" spans="1:11">
      <c r="K49" s="301"/>
    </row>
    <row r="50" spans="1:11">
      <c r="A50" s="349" t="s">
        <v>0</v>
      </c>
      <c r="B50" s="349" t="s">
        <v>1</v>
      </c>
      <c r="C50" s="349" t="s">
        <v>2</v>
      </c>
      <c r="D50" s="350" t="s">
        <v>3</v>
      </c>
      <c r="E50" s="350" t="s">
        <v>4</v>
      </c>
      <c r="F50" s="350" t="s">
        <v>5</v>
      </c>
      <c r="G50" s="350" t="s">
        <v>6</v>
      </c>
      <c r="H50" s="350" t="s">
        <v>7</v>
      </c>
      <c r="I50" s="350" t="s">
        <v>8</v>
      </c>
      <c r="J50" s="350" t="s">
        <v>9</v>
      </c>
      <c r="K50" s="350" t="s">
        <v>10</v>
      </c>
    </row>
    <row r="51" spans="1:11">
      <c r="A51" s="351">
        <v>30</v>
      </c>
      <c r="B51" s="351" t="str" cm="1">
        <f t="array" ref="B51:K51">VLOOKUP(A51,A1:K44,{2,3,4,5,6,7,8,9,10,11},FALSE)</f>
        <v>Guttal</v>
      </c>
      <c r="C51" s="351" t="str">
        <v>Taware filling station</v>
      </c>
      <c r="D51" s="351">
        <v>1788.44</v>
      </c>
      <c r="E51" s="351">
        <v>164178.79200000002</v>
      </c>
      <c r="F51" s="351">
        <v>119.19</v>
      </c>
      <c r="G51" s="351">
        <v>12367.154399999999</v>
      </c>
      <c r="H51" s="351">
        <v>176545.94640000002</v>
      </c>
      <c r="I51" s="351">
        <v>36956.063999999998</v>
      </c>
      <c r="J51" s="351">
        <v>155000</v>
      </c>
      <c r="K51" s="351">
        <v>58502.010400000028</v>
      </c>
    </row>
    <row r="53" spans="1:11">
      <c r="B53" s="349" t="s">
        <v>1</v>
      </c>
      <c r="C53" s="349" t="s">
        <v>2</v>
      </c>
      <c r="D53" s="350" t="s">
        <v>3</v>
      </c>
      <c r="E53" s="350" t="s">
        <v>4</v>
      </c>
      <c r="F53" s="350" t="s">
        <v>5</v>
      </c>
      <c r="G53" s="350" t="s">
        <v>6</v>
      </c>
      <c r="H53" s="350" t="s">
        <v>7</v>
      </c>
      <c r="I53" s="350" t="s">
        <v>8</v>
      </c>
      <c r="J53" s="350" t="s">
        <v>9</v>
      </c>
      <c r="K53" s="350" t="s">
        <v>10</v>
      </c>
    </row>
    <row r="54" spans="1:11">
      <c r="B54" s="293" t="s">
        <v>43</v>
      </c>
      <c r="C54" s="293" t="str" cm="1">
        <f t="array" ref="C54:K54">VLOOKUP(B54,B1:K44,{2,3,4,5,6,7,8,9,10},FALSE)</f>
        <v>Shivaganga Service Station</v>
      </c>
      <c r="D54" s="293">
        <v>3510</v>
      </c>
      <c r="E54" s="293">
        <v>323586.89999999997</v>
      </c>
      <c r="F54" s="293">
        <v>295</v>
      </c>
      <c r="G54" s="293">
        <v>30688.85</v>
      </c>
      <c r="H54" s="293">
        <v>354275.74999999994</v>
      </c>
      <c r="I54" s="293">
        <v>0</v>
      </c>
      <c r="J54" s="293">
        <v>226271</v>
      </c>
      <c r="K54" s="293">
        <v>128004.74999999994</v>
      </c>
    </row>
    <row r="61" spans="1:11">
      <c r="B61" s="293">
        <v>60000</v>
      </c>
    </row>
    <row r="62" spans="1:11">
      <c r="B62" s="293">
        <v>18000</v>
      </c>
    </row>
    <row r="63" spans="1:11">
      <c r="B63" s="293">
        <v>18000</v>
      </c>
    </row>
    <row r="64" spans="1:11">
      <c r="B64" s="293">
        <v>75000</v>
      </c>
    </row>
    <row r="65" spans="2:14">
      <c r="B65" s="293">
        <v>360000</v>
      </c>
    </row>
    <row r="69" spans="2:14">
      <c r="M69" s="406"/>
    </row>
    <row r="70" spans="2:14">
      <c r="M70" s="406"/>
      <c r="N70" s="405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topLeftCell="A14" workbookViewId="0">
      <selection activeCell="J33" sqref="J33"/>
    </sheetView>
  </sheetViews>
  <sheetFormatPr defaultRowHeight="15"/>
  <cols>
    <col min="2" max="2" width="10.5703125" bestFit="1" customWidth="1"/>
    <col min="4" max="4" width="31.28515625" bestFit="1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  <col min="16" max="16" width="12.140625" bestFit="1" customWidth="1"/>
    <col min="18" max="18" width="13" bestFit="1" customWidth="1"/>
  </cols>
  <sheetData>
    <row r="1" spans="1:18" ht="15.75">
      <c r="A1" s="447" t="s">
        <v>12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</row>
    <row r="2" spans="1:18" ht="30">
      <c r="A2" s="131" t="s">
        <v>95</v>
      </c>
      <c r="B2" s="132" t="s">
        <v>96</v>
      </c>
      <c r="C2" s="132" t="s">
        <v>97</v>
      </c>
      <c r="D2" s="132" t="s">
        <v>98</v>
      </c>
      <c r="E2" s="132" t="s">
        <v>99</v>
      </c>
      <c r="F2" s="132" t="s">
        <v>100</v>
      </c>
      <c r="G2" s="132" t="s">
        <v>101</v>
      </c>
      <c r="H2" s="132" t="s">
        <v>102</v>
      </c>
      <c r="I2" s="132" t="s">
        <v>100</v>
      </c>
      <c r="J2" s="133" t="s">
        <v>101</v>
      </c>
      <c r="K2" s="131" t="s">
        <v>103</v>
      </c>
      <c r="L2" s="134" t="s">
        <v>104</v>
      </c>
      <c r="M2" s="134" t="s">
        <v>105</v>
      </c>
      <c r="N2" s="132" t="s">
        <v>106</v>
      </c>
    </row>
    <row r="3" spans="1:18">
      <c r="A3" s="448" t="s">
        <v>107</v>
      </c>
      <c r="B3" s="448"/>
      <c r="C3" s="448"/>
      <c r="D3" s="448"/>
      <c r="E3" s="448"/>
      <c r="F3" s="448"/>
      <c r="G3" s="448"/>
      <c r="H3" s="448"/>
      <c r="I3" s="448"/>
      <c r="J3" s="448"/>
      <c r="K3">
        <v>9147141.7412999943</v>
      </c>
      <c r="L3" s="243"/>
      <c r="M3" s="224">
        <f>+K3</f>
        <v>9147141.7412999943</v>
      </c>
      <c r="N3" s="100"/>
      <c r="O3">
        <v>11178223.678099994</v>
      </c>
    </row>
    <row r="4" spans="1:18">
      <c r="A4" s="26">
        <v>1</v>
      </c>
      <c r="B4" s="27">
        <v>45962</v>
      </c>
      <c r="C4" s="17"/>
      <c r="D4" s="17"/>
      <c r="E4" s="17">
        <v>3800</v>
      </c>
      <c r="F4" s="17">
        <v>95.68</v>
      </c>
      <c r="G4" s="17">
        <f>E4*F4</f>
        <v>363584</v>
      </c>
      <c r="H4" s="353"/>
      <c r="I4" s="17"/>
      <c r="J4" s="17">
        <f>H4*I4</f>
        <v>0</v>
      </c>
      <c r="K4" s="17">
        <f>G4+J4</f>
        <v>363584</v>
      </c>
      <c r="L4" s="17">
        <v>0</v>
      </c>
      <c r="M4" s="42">
        <f>M3+K4-L4</f>
        <v>9510725.7412999943</v>
      </c>
      <c r="N4" s="17"/>
    </row>
    <row r="5" spans="1:18">
      <c r="A5" s="26">
        <v>2</v>
      </c>
      <c r="B5" s="27">
        <v>45963</v>
      </c>
      <c r="C5" s="17"/>
      <c r="D5" s="17"/>
      <c r="E5" s="194">
        <v>2600</v>
      </c>
      <c r="F5" s="17">
        <v>95.68</v>
      </c>
      <c r="G5" s="17">
        <f t="shared" ref="G5:G37" si="0">E5*F5</f>
        <v>248768.00000000003</v>
      </c>
      <c r="H5" s="353">
        <v>35</v>
      </c>
      <c r="I5" s="17">
        <v>107.46</v>
      </c>
      <c r="J5" s="17">
        <f t="shared" ref="J5:J37" si="1">H5*I5</f>
        <v>3761.1</v>
      </c>
      <c r="K5" s="17">
        <f t="shared" ref="K5:K37" si="2">G5+J5</f>
        <v>252529.10000000003</v>
      </c>
      <c r="L5" s="17"/>
      <c r="M5" s="42">
        <f>M4+K5-L5</f>
        <v>9763254.8412999939</v>
      </c>
      <c r="N5" s="17"/>
    </row>
    <row r="6" spans="1:18">
      <c r="A6" s="26">
        <v>3</v>
      </c>
      <c r="B6" s="27">
        <v>45964</v>
      </c>
      <c r="C6" s="17"/>
      <c r="D6" s="17"/>
      <c r="E6" s="194">
        <v>2400</v>
      </c>
      <c r="F6" s="17">
        <v>95.68</v>
      </c>
      <c r="G6" s="17">
        <f t="shared" si="0"/>
        <v>229632.00000000003</v>
      </c>
      <c r="H6" s="353">
        <v>20</v>
      </c>
      <c r="I6" s="17">
        <v>107.46</v>
      </c>
      <c r="J6" s="17">
        <f t="shared" si="1"/>
        <v>2149.1999999999998</v>
      </c>
      <c r="K6" s="17">
        <f t="shared" si="2"/>
        <v>231781.20000000004</v>
      </c>
      <c r="L6" s="17"/>
      <c r="M6" s="42">
        <f t="shared" ref="M6:M8" si="3">M5+K6-L6</f>
        <v>9995036.0412999932</v>
      </c>
      <c r="N6" s="17"/>
    </row>
    <row r="7" spans="1:18">
      <c r="A7" s="26">
        <v>4</v>
      </c>
      <c r="B7" s="27">
        <v>45965</v>
      </c>
      <c r="C7" s="17"/>
      <c r="D7" s="17"/>
      <c r="E7" s="353"/>
      <c r="F7" s="17"/>
      <c r="G7" s="17">
        <f t="shared" si="0"/>
        <v>0</v>
      </c>
      <c r="H7" s="353"/>
      <c r="I7" s="17"/>
      <c r="J7" s="17">
        <f t="shared" si="1"/>
        <v>0</v>
      </c>
      <c r="K7" s="17">
        <f t="shared" si="2"/>
        <v>0</v>
      </c>
      <c r="L7" s="17"/>
      <c r="M7" s="42">
        <f t="shared" si="3"/>
        <v>9995036.0412999932</v>
      </c>
      <c r="N7" s="17"/>
    </row>
    <row r="8" spans="1:18">
      <c r="A8" s="26">
        <v>5</v>
      </c>
      <c r="B8" s="27">
        <v>45966</v>
      </c>
      <c r="C8" s="17"/>
      <c r="D8" s="17"/>
      <c r="E8" s="353"/>
      <c r="F8" s="17"/>
      <c r="G8" s="17">
        <f t="shared" si="0"/>
        <v>0</v>
      </c>
      <c r="H8" s="353"/>
      <c r="I8" s="17"/>
      <c r="J8" s="17">
        <f t="shared" si="1"/>
        <v>0</v>
      </c>
      <c r="K8" s="17">
        <f t="shared" si="2"/>
        <v>0</v>
      </c>
      <c r="L8" s="17"/>
      <c r="M8" s="42">
        <f t="shared" si="3"/>
        <v>9995036.0412999932</v>
      </c>
      <c r="N8" s="17"/>
    </row>
    <row r="9" spans="1:18">
      <c r="A9" s="26">
        <v>6</v>
      </c>
      <c r="B9" s="27">
        <v>45967</v>
      </c>
      <c r="C9" s="17"/>
      <c r="D9" s="17"/>
      <c r="E9" s="354"/>
      <c r="F9" s="352"/>
      <c r="G9" s="17">
        <f t="shared" si="0"/>
        <v>0</v>
      </c>
      <c r="H9" s="353"/>
      <c r="I9" s="17"/>
      <c r="J9" s="17">
        <f t="shared" si="1"/>
        <v>0</v>
      </c>
      <c r="K9" s="17">
        <f t="shared" si="2"/>
        <v>0</v>
      </c>
      <c r="L9" s="17"/>
      <c r="M9" s="42">
        <f>M8+K9-L9</f>
        <v>9995036.0412999932</v>
      </c>
      <c r="N9" s="17"/>
    </row>
    <row r="10" spans="1:18">
      <c r="A10" s="26">
        <v>7</v>
      </c>
      <c r="B10" s="27">
        <v>45968</v>
      </c>
      <c r="C10" s="17"/>
      <c r="D10" s="17"/>
      <c r="E10" s="382"/>
      <c r="F10" s="352"/>
      <c r="G10" s="17">
        <f t="shared" si="0"/>
        <v>0</v>
      </c>
      <c r="H10" s="353"/>
      <c r="I10" s="17"/>
      <c r="J10" s="17">
        <f t="shared" si="1"/>
        <v>0</v>
      </c>
      <c r="K10" s="17">
        <f t="shared" si="2"/>
        <v>0</v>
      </c>
      <c r="L10" s="17"/>
      <c r="M10" s="42">
        <f>M9+K10-L10</f>
        <v>9995036.0412999932</v>
      </c>
      <c r="N10" s="17"/>
    </row>
    <row r="11" spans="1:18">
      <c r="A11" s="26">
        <v>8</v>
      </c>
      <c r="B11" s="27">
        <v>45969</v>
      </c>
      <c r="C11" s="17"/>
      <c r="D11" s="17"/>
      <c r="E11" s="383"/>
      <c r="F11" s="352"/>
      <c r="G11" s="17">
        <f t="shared" si="0"/>
        <v>0</v>
      </c>
      <c r="H11" s="353"/>
      <c r="I11" s="17"/>
      <c r="J11" s="17">
        <f t="shared" si="1"/>
        <v>0</v>
      </c>
      <c r="K11" s="17">
        <f t="shared" si="2"/>
        <v>0</v>
      </c>
      <c r="L11" s="17"/>
      <c r="M11" s="42">
        <f>M10+K11-L11</f>
        <v>9995036.0412999932</v>
      </c>
      <c r="N11" s="17"/>
    </row>
    <row r="12" spans="1:18">
      <c r="A12" s="26">
        <v>9</v>
      </c>
      <c r="B12" s="27">
        <v>45970</v>
      </c>
      <c r="C12" s="17"/>
      <c r="D12" s="17"/>
      <c r="E12" s="383"/>
      <c r="F12" s="352"/>
      <c r="G12" s="17">
        <f t="shared" si="0"/>
        <v>0</v>
      </c>
      <c r="H12" s="353"/>
      <c r="I12" s="17"/>
      <c r="J12" s="17">
        <f t="shared" si="1"/>
        <v>0</v>
      </c>
      <c r="K12" s="17">
        <f t="shared" si="2"/>
        <v>0</v>
      </c>
      <c r="L12" s="17"/>
      <c r="M12" s="42">
        <f>M11+K12-L12</f>
        <v>9995036.0412999932</v>
      </c>
      <c r="N12" s="17"/>
    </row>
    <row r="13" spans="1:18">
      <c r="A13" s="26">
        <v>10</v>
      </c>
      <c r="B13" s="27">
        <v>45971</v>
      </c>
      <c r="C13" s="17"/>
      <c r="D13" s="17"/>
      <c r="E13" s="383"/>
      <c r="F13" s="352"/>
      <c r="G13" s="17">
        <f t="shared" si="0"/>
        <v>0</v>
      </c>
      <c r="H13" s="17"/>
      <c r="I13" s="17"/>
      <c r="J13" s="17">
        <f t="shared" si="1"/>
        <v>0</v>
      </c>
      <c r="K13" s="17">
        <f t="shared" si="2"/>
        <v>0</v>
      </c>
      <c r="L13" s="17"/>
      <c r="M13" s="42">
        <f t="shared" ref="M13:M35" si="4">M12+K13-L13</f>
        <v>9995036.0412999932</v>
      </c>
      <c r="N13" s="17"/>
      <c r="P13" s="22"/>
    </row>
    <row r="14" spans="1:18">
      <c r="A14" s="26">
        <v>11</v>
      </c>
      <c r="B14" s="27">
        <v>45972</v>
      </c>
      <c r="C14" s="17"/>
      <c r="D14" s="17"/>
      <c r="E14" s="383"/>
      <c r="F14" s="352"/>
      <c r="G14" s="17">
        <f t="shared" si="0"/>
        <v>0</v>
      </c>
      <c r="H14" s="17"/>
      <c r="I14" s="17"/>
      <c r="J14" s="17">
        <f t="shared" si="1"/>
        <v>0</v>
      </c>
      <c r="K14" s="17">
        <f t="shared" si="2"/>
        <v>0</v>
      </c>
      <c r="L14" s="17"/>
      <c r="M14" s="42">
        <f t="shared" si="4"/>
        <v>9995036.0412999932</v>
      </c>
      <c r="N14" s="17"/>
    </row>
    <row r="15" spans="1:18">
      <c r="A15" s="26">
        <v>12</v>
      </c>
      <c r="B15" s="27">
        <v>45973</v>
      </c>
      <c r="C15" s="17"/>
      <c r="D15" s="17"/>
      <c r="E15" s="383"/>
      <c r="F15" s="17"/>
      <c r="G15" s="17">
        <f t="shared" si="0"/>
        <v>0</v>
      </c>
      <c r="H15" s="17"/>
      <c r="I15" s="17"/>
      <c r="J15" s="17">
        <f t="shared" si="1"/>
        <v>0</v>
      </c>
      <c r="K15" s="17">
        <f t="shared" si="2"/>
        <v>0</v>
      </c>
      <c r="L15" s="17"/>
      <c r="M15" s="42">
        <f t="shared" si="4"/>
        <v>9995036.0412999932</v>
      </c>
      <c r="N15" s="17"/>
      <c r="R15" s="22"/>
    </row>
    <row r="16" spans="1:18">
      <c r="A16" s="26">
        <v>13</v>
      </c>
      <c r="B16" s="27">
        <v>45974</v>
      </c>
      <c r="C16" s="17"/>
      <c r="D16" s="17"/>
      <c r="E16" s="383"/>
      <c r="F16" s="17"/>
      <c r="G16" s="17">
        <f t="shared" si="0"/>
        <v>0</v>
      </c>
      <c r="H16" s="17"/>
      <c r="I16" s="17"/>
      <c r="J16" s="17">
        <f t="shared" si="1"/>
        <v>0</v>
      </c>
      <c r="K16" s="17">
        <f t="shared" si="2"/>
        <v>0</v>
      </c>
      <c r="L16" s="17"/>
      <c r="M16" s="42">
        <f t="shared" si="4"/>
        <v>9995036.0412999932</v>
      </c>
      <c r="N16" s="17"/>
    </row>
    <row r="17" spans="1:16">
      <c r="A17" s="26">
        <v>14</v>
      </c>
      <c r="B17" s="27">
        <v>45975</v>
      </c>
      <c r="C17" s="17"/>
      <c r="D17" s="17"/>
      <c r="E17" s="383"/>
      <c r="F17" s="17"/>
      <c r="G17" s="17">
        <f t="shared" si="0"/>
        <v>0</v>
      </c>
      <c r="H17" s="17"/>
      <c r="I17" s="17"/>
      <c r="J17" s="17">
        <f t="shared" si="1"/>
        <v>0</v>
      </c>
      <c r="K17" s="17">
        <f t="shared" si="2"/>
        <v>0</v>
      </c>
      <c r="L17" s="17"/>
      <c r="M17" s="42">
        <f t="shared" si="4"/>
        <v>9995036.0412999932</v>
      </c>
      <c r="N17" s="17"/>
    </row>
    <row r="18" spans="1:16">
      <c r="A18" s="26">
        <v>15</v>
      </c>
      <c r="B18" s="27">
        <v>45976</v>
      </c>
      <c r="C18" s="17"/>
      <c r="D18" s="17"/>
      <c r="E18" s="17"/>
      <c r="F18" s="17"/>
      <c r="G18" s="17">
        <f t="shared" si="0"/>
        <v>0</v>
      </c>
      <c r="H18" s="17"/>
      <c r="I18" s="17"/>
      <c r="J18" s="17">
        <f t="shared" si="1"/>
        <v>0</v>
      </c>
      <c r="K18" s="17">
        <f t="shared" si="2"/>
        <v>0</v>
      </c>
      <c r="L18" s="17"/>
      <c r="M18" s="42">
        <f t="shared" si="4"/>
        <v>9995036.0412999932</v>
      </c>
      <c r="N18" s="17"/>
    </row>
    <row r="19" spans="1:16">
      <c r="A19" s="26">
        <v>16</v>
      </c>
      <c r="B19" s="27">
        <v>45977</v>
      </c>
      <c r="C19" s="17"/>
      <c r="D19" s="17"/>
      <c r="E19" s="17"/>
      <c r="F19" s="17"/>
      <c r="G19" s="17">
        <f t="shared" si="0"/>
        <v>0</v>
      </c>
      <c r="H19" s="17"/>
      <c r="I19" s="17"/>
      <c r="J19" s="17">
        <f t="shared" si="1"/>
        <v>0</v>
      </c>
      <c r="K19" s="17">
        <f t="shared" si="2"/>
        <v>0</v>
      </c>
      <c r="L19" s="17"/>
      <c r="M19" s="42">
        <f t="shared" si="4"/>
        <v>9995036.0412999932</v>
      </c>
      <c r="N19" s="17"/>
    </row>
    <row r="20" spans="1:16">
      <c r="A20" s="26">
        <v>17</v>
      </c>
      <c r="B20" s="27">
        <v>45978</v>
      </c>
      <c r="C20" s="17"/>
      <c r="D20" s="17"/>
      <c r="E20" s="17"/>
      <c r="F20" s="17"/>
      <c r="G20" s="17">
        <f t="shared" si="0"/>
        <v>0</v>
      </c>
      <c r="H20" s="17"/>
      <c r="I20" s="17"/>
      <c r="J20" s="17">
        <f t="shared" si="1"/>
        <v>0</v>
      </c>
      <c r="K20" s="17">
        <f t="shared" si="2"/>
        <v>0</v>
      </c>
      <c r="L20" s="17"/>
      <c r="M20" s="42">
        <f t="shared" si="4"/>
        <v>9995036.0412999932</v>
      </c>
      <c r="N20" s="17"/>
    </row>
    <row r="21" spans="1:16">
      <c r="A21" s="26">
        <v>18</v>
      </c>
      <c r="B21" s="27">
        <v>45979</v>
      </c>
      <c r="C21" s="17"/>
      <c r="D21" s="17"/>
      <c r="E21" s="17"/>
      <c r="F21" s="17"/>
      <c r="G21" s="17">
        <f t="shared" si="0"/>
        <v>0</v>
      </c>
      <c r="H21" s="17"/>
      <c r="I21" s="17"/>
      <c r="J21" s="17">
        <f t="shared" si="1"/>
        <v>0</v>
      </c>
      <c r="K21" s="17">
        <f t="shared" si="2"/>
        <v>0</v>
      </c>
      <c r="L21" s="17"/>
      <c r="M21" s="42">
        <f t="shared" si="4"/>
        <v>9995036.0412999932</v>
      </c>
      <c r="N21" s="17"/>
    </row>
    <row r="22" spans="1:16">
      <c r="A22" s="26">
        <v>19</v>
      </c>
      <c r="B22" s="27">
        <v>45980</v>
      </c>
      <c r="C22" s="17"/>
      <c r="D22" s="17"/>
      <c r="E22" s="17"/>
      <c r="F22" s="17"/>
      <c r="G22" s="17">
        <f t="shared" si="0"/>
        <v>0</v>
      </c>
      <c r="H22" s="17"/>
      <c r="I22" s="17"/>
      <c r="J22" s="17">
        <f t="shared" si="1"/>
        <v>0</v>
      </c>
      <c r="K22" s="17">
        <f t="shared" si="2"/>
        <v>0</v>
      </c>
      <c r="L22" s="17"/>
      <c r="M22" s="42">
        <f t="shared" si="4"/>
        <v>9995036.0412999932</v>
      </c>
      <c r="N22" s="17"/>
    </row>
    <row r="23" spans="1:16">
      <c r="A23" s="26">
        <v>20</v>
      </c>
      <c r="B23" s="27">
        <v>45981</v>
      </c>
      <c r="C23" s="17"/>
      <c r="D23" s="17"/>
      <c r="E23" s="17">
        <v>2500</v>
      </c>
      <c r="F23" s="17">
        <v>95.68</v>
      </c>
      <c r="G23" s="17">
        <f t="shared" si="0"/>
        <v>239200.00000000003</v>
      </c>
      <c r="H23" s="17">
        <v>40</v>
      </c>
      <c r="I23" s="17">
        <v>107.46</v>
      </c>
      <c r="J23" s="17">
        <f t="shared" si="1"/>
        <v>4298.3999999999996</v>
      </c>
      <c r="K23" s="17">
        <f t="shared" si="2"/>
        <v>243498.40000000002</v>
      </c>
      <c r="L23" s="17">
        <v>7500000</v>
      </c>
      <c r="M23" s="42">
        <f t="shared" si="4"/>
        <v>2738534.4412999935</v>
      </c>
      <c r="N23" s="17"/>
    </row>
    <row r="24" spans="1:16">
      <c r="A24" s="26">
        <v>21</v>
      </c>
      <c r="B24" s="27">
        <v>45982</v>
      </c>
      <c r="C24" s="17"/>
      <c r="D24" s="17"/>
      <c r="E24" s="17"/>
      <c r="F24" s="17"/>
      <c r="G24" s="17">
        <f t="shared" si="0"/>
        <v>0</v>
      </c>
      <c r="H24" s="17"/>
      <c r="I24" s="17"/>
      <c r="J24" s="17">
        <f t="shared" si="1"/>
        <v>0</v>
      </c>
      <c r="K24" s="17">
        <f t="shared" si="2"/>
        <v>0</v>
      </c>
      <c r="L24" s="17"/>
      <c r="M24" s="42">
        <f t="shared" si="4"/>
        <v>2738534.4412999935</v>
      </c>
      <c r="N24" s="17"/>
    </row>
    <row r="25" spans="1:16">
      <c r="A25" s="26">
        <v>22</v>
      </c>
      <c r="B25" s="27">
        <v>45983</v>
      </c>
      <c r="C25" s="17"/>
      <c r="D25" s="17"/>
      <c r="E25" s="17"/>
      <c r="F25" s="17"/>
      <c r="G25" s="17">
        <f t="shared" si="0"/>
        <v>0</v>
      </c>
      <c r="H25" s="17"/>
      <c r="I25" s="17"/>
      <c r="J25" s="17">
        <f t="shared" si="1"/>
        <v>0</v>
      </c>
      <c r="K25" s="17">
        <f t="shared" si="2"/>
        <v>0</v>
      </c>
      <c r="L25" s="17"/>
      <c r="M25" s="42">
        <f t="shared" si="4"/>
        <v>2738534.4412999935</v>
      </c>
      <c r="N25" s="17"/>
    </row>
    <row r="26" spans="1:16">
      <c r="A26" s="26">
        <v>23</v>
      </c>
      <c r="B26" s="27">
        <v>45984</v>
      </c>
      <c r="C26" s="17"/>
      <c r="D26" s="17"/>
      <c r="E26" s="17"/>
      <c r="F26" s="17"/>
      <c r="G26" s="17">
        <f t="shared" si="0"/>
        <v>0</v>
      </c>
      <c r="H26" s="17"/>
      <c r="I26" s="17"/>
      <c r="J26" s="17">
        <f t="shared" si="1"/>
        <v>0</v>
      </c>
      <c r="K26" s="17">
        <f t="shared" si="2"/>
        <v>0</v>
      </c>
      <c r="L26" s="17"/>
      <c r="M26" s="42">
        <f t="shared" si="4"/>
        <v>2738534.4412999935</v>
      </c>
      <c r="N26" s="17"/>
    </row>
    <row r="27" spans="1:16">
      <c r="A27" s="26">
        <v>24</v>
      </c>
      <c r="B27" s="27">
        <v>45985</v>
      </c>
      <c r="C27" s="17"/>
      <c r="D27" s="17"/>
      <c r="E27" s="17">
        <v>5500</v>
      </c>
      <c r="F27" s="17">
        <v>95.68</v>
      </c>
      <c r="G27" s="17">
        <f t="shared" si="0"/>
        <v>526240</v>
      </c>
      <c r="H27" s="17">
        <v>40</v>
      </c>
      <c r="I27" s="17">
        <v>107.46</v>
      </c>
      <c r="J27" s="17">
        <f t="shared" si="1"/>
        <v>4298.3999999999996</v>
      </c>
      <c r="K27" s="17">
        <f t="shared" si="2"/>
        <v>530538.4</v>
      </c>
      <c r="L27" s="17"/>
      <c r="M27" s="42">
        <f t="shared" si="4"/>
        <v>3269072.8412999935</v>
      </c>
      <c r="N27" s="17"/>
    </row>
    <row r="28" spans="1:16">
      <c r="A28" s="26">
        <v>25</v>
      </c>
      <c r="B28" s="27">
        <v>45986</v>
      </c>
      <c r="C28" s="17"/>
      <c r="D28" s="17"/>
      <c r="E28" s="17"/>
      <c r="F28" s="17"/>
      <c r="G28" s="17">
        <f t="shared" si="0"/>
        <v>0</v>
      </c>
      <c r="H28" s="17"/>
      <c r="I28" s="17"/>
      <c r="J28" s="17">
        <f t="shared" si="1"/>
        <v>0</v>
      </c>
      <c r="K28" s="17">
        <f t="shared" si="2"/>
        <v>0</v>
      </c>
      <c r="L28" s="17"/>
      <c r="M28" s="42">
        <f t="shared" si="4"/>
        <v>3269072.8412999935</v>
      </c>
      <c r="N28" s="17"/>
    </row>
    <row r="29" spans="1:16">
      <c r="A29" s="26">
        <v>26</v>
      </c>
      <c r="B29" s="27">
        <v>45987</v>
      </c>
      <c r="C29" s="17"/>
      <c r="D29" s="17"/>
      <c r="E29" s="17"/>
      <c r="F29" s="17"/>
      <c r="G29" s="17">
        <f t="shared" si="0"/>
        <v>0</v>
      </c>
      <c r="H29" s="17"/>
      <c r="I29" s="17"/>
      <c r="J29" s="17">
        <f t="shared" si="1"/>
        <v>0</v>
      </c>
      <c r="K29" s="17">
        <f t="shared" si="2"/>
        <v>0</v>
      </c>
      <c r="L29" s="17"/>
      <c r="M29" s="42">
        <f t="shared" si="4"/>
        <v>3269072.8412999935</v>
      </c>
      <c r="N29" s="17"/>
    </row>
    <row r="30" spans="1:16">
      <c r="A30" s="26">
        <v>27</v>
      </c>
      <c r="B30" s="27">
        <v>45988</v>
      </c>
      <c r="C30" s="17"/>
      <c r="D30" s="17"/>
      <c r="E30" s="17">
        <v>5500</v>
      </c>
      <c r="F30" s="17">
        <v>95.68</v>
      </c>
      <c r="G30" s="17">
        <f t="shared" ref="G30" si="5">E30*F30</f>
        <v>526240</v>
      </c>
      <c r="H30" s="17">
        <v>20</v>
      </c>
      <c r="I30" s="17">
        <v>107.46</v>
      </c>
      <c r="J30" s="17">
        <f t="shared" si="1"/>
        <v>2149.1999999999998</v>
      </c>
      <c r="K30" s="17">
        <f t="shared" si="2"/>
        <v>528389.19999999995</v>
      </c>
      <c r="L30" s="17"/>
      <c r="M30" s="42">
        <f t="shared" si="4"/>
        <v>3797462.0412999932</v>
      </c>
      <c r="N30" s="17"/>
      <c r="P30" s="22"/>
    </row>
    <row r="31" spans="1:16">
      <c r="A31" s="26">
        <v>28</v>
      </c>
      <c r="B31" s="27">
        <v>45989</v>
      </c>
      <c r="C31" s="17"/>
      <c r="D31" s="17"/>
      <c r="E31" s="17">
        <v>2700</v>
      </c>
      <c r="F31" s="17">
        <v>95.68</v>
      </c>
      <c r="G31" s="17">
        <f t="shared" si="0"/>
        <v>258336.00000000003</v>
      </c>
      <c r="H31" s="17"/>
      <c r="I31" s="17"/>
      <c r="J31" s="17">
        <f t="shared" si="1"/>
        <v>0</v>
      </c>
      <c r="K31" s="17">
        <f t="shared" si="2"/>
        <v>258336.00000000003</v>
      </c>
      <c r="L31" s="17"/>
      <c r="M31" s="42">
        <f t="shared" si="4"/>
        <v>4055798.0412999932</v>
      </c>
      <c r="N31" s="17"/>
    </row>
    <row r="32" spans="1:16">
      <c r="A32" s="26">
        <v>29</v>
      </c>
      <c r="B32" s="27">
        <v>45990</v>
      </c>
      <c r="C32" s="17"/>
      <c r="D32" s="17"/>
      <c r="E32" s="17">
        <v>2800</v>
      </c>
      <c r="F32" s="17">
        <v>95.68</v>
      </c>
      <c r="G32" s="17">
        <f t="shared" si="0"/>
        <v>267904</v>
      </c>
      <c r="H32" s="17"/>
      <c r="I32" s="17"/>
      <c r="J32" s="17">
        <f t="shared" si="1"/>
        <v>0</v>
      </c>
      <c r="K32" s="17">
        <f t="shared" si="2"/>
        <v>267904</v>
      </c>
      <c r="L32" s="17"/>
      <c r="M32" s="42">
        <f t="shared" si="4"/>
        <v>4323702.0412999932</v>
      </c>
      <c r="N32" s="17"/>
      <c r="O32">
        <v>11177691.581599999</v>
      </c>
      <c r="P32" s="22">
        <f>M32-O32</f>
        <v>-6853989.540300006</v>
      </c>
    </row>
    <row r="33" spans="1:14">
      <c r="A33" s="26">
        <v>30</v>
      </c>
      <c r="B33" s="27">
        <v>45991</v>
      </c>
      <c r="C33" s="17"/>
      <c r="D33" s="17"/>
      <c r="E33" s="17">
        <v>2600</v>
      </c>
      <c r="F33" s="17">
        <v>95.68</v>
      </c>
      <c r="G33" s="17">
        <f t="shared" si="0"/>
        <v>248768.00000000003</v>
      </c>
      <c r="H33" s="17">
        <v>20</v>
      </c>
      <c r="I33" s="17">
        <v>107.46</v>
      </c>
      <c r="J33" s="17">
        <f t="shared" si="1"/>
        <v>2149.1999999999998</v>
      </c>
      <c r="K33" s="17">
        <f t="shared" si="2"/>
        <v>250917.20000000004</v>
      </c>
      <c r="L33" s="17"/>
      <c r="M33" s="42">
        <f t="shared" si="4"/>
        <v>4574619.2412999934</v>
      </c>
      <c r="N33" s="17"/>
    </row>
    <row r="34" spans="1:14">
      <c r="A34" s="26">
        <v>31</v>
      </c>
      <c r="B34" s="27"/>
      <c r="C34" s="17"/>
      <c r="D34" s="17"/>
      <c r="E34" s="17"/>
      <c r="F34" s="17"/>
      <c r="G34" s="17">
        <f t="shared" si="0"/>
        <v>0</v>
      </c>
      <c r="H34" s="17"/>
      <c r="I34" s="17"/>
      <c r="J34" s="17">
        <f t="shared" si="1"/>
        <v>0</v>
      </c>
      <c r="K34" s="17">
        <f t="shared" si="2"/>
        <v>0</v>
      </c>
      <c r="L34" s="17"/>
      <c r="M34" s="42">
        <f t="shared" si="4"/>
        <v>4574619.2412999934</v>
      </c>
      <c r="N34" s="17"/>
    </row>
    <row r="35" spans="1:14">
      <c r="A35" s="26">
        <v>32</v>
      </c>
      <c r="B35" s="27"/>
      <c r="C35" s="17"/>
      <c r="D35" s="17"/>
      <c r="E35" s="17"/>
      <c r="F35" s="17"/>
      <c r="G35" s="17">
        <f t="shared" si="0"/>
        <v>0</v>
      </c>
      <c r="H35" s="17"/>
      <c r="I35" s="17"/>
      <c r="J35" s="17">
        <f t="shared" si="1"/>
        <v>0</v>
      </c>
      <c r="K35" s="17">
        <f t="shared" si="2"/>
        <v>0</v>
      </c>
      <c r="L35" s="17"/>
      <c r="M35" s="42">
        <f t="shared" si="4"/>
        <v>4574619.2412999934</v>
      </c>
      <c r="N35" s="17"/>
    </row>
    <row r="36" spans="1:14">
      <c r="A36" s="26">
        <v>33</v>
      </c>
      <c r="B36" s="27"/>
      <c r="C36" s="17"/>
      <c r="D36" s="17"/>
      <c r="E36" s="17">
        <v>0</v>
      </c>
      <c r="F36" s="17"/>
      <c r="G36" s="17">
        <f t="shared" si="0"/>
        <v>0</v>
      </c>
      <c r="H36" s="17"/>
      <c r="I36" s="17"/>
      <c r="J36" s="17">
        <f t="shared" si="1"/>
        <v>0</v>
      </c>
      <c r="K36" s="17">
        <f t="shared" si="2"/>
        <v>0</v>
      </c>
      <c r="L36" s="17"/>
      <c r="M36" s="17"/>
      <c r="N36" s="17"/>
    </row>
    <row r="37" spans="1:14">
      <c r="A37" s="26">
        <v>34</v>
      </c>
      <c r="B37" s="27"/>
      <c r="C37" s="17"/>
      <c r="D37" s="17"/>
      <c r="E37" s="17">
        <v>0</v>
      </c>
      <c r="F37" s="17">
        <v>0</v>
      </c>
      <c r="G37" s="17">
        <f t="shared" si="0"/>
        <v>0</v>
      </c>
      <c r="H37" s="17">
        <v>0</v>
      </c>
      <c r="I37" s="17">
        <v>0</v>
      </c>
      <c r="J37" s="17">
        <f t="shared" si="1"/>
        <v>0</v>
      </c>
      <c r="K37" s="17">
        <f t="shared" si="2"/>
        <v>0</v>
      </c>
      <c r="L37" s="17"/>
      <c r="M37" s="17"/>
      <c r="N37" s="17"/>
    </row>
    <row r="38" spans="1:14">
      <c r="A38" s="46"/>
      <c r="B38" s="46"/>
      <c r="C38" s="46"/>
      <c r="D38" s="46"/>
      <c r="E38" s="245">
        <f>SUM(E3:E37)</f>
        <v>30400</v>
      </c>
      <c r="F38" s="245"/>
      <c r="G38" s="245">
        <f>SUM(G3:G37)</f>
        <v>2908672</v>
      </c>
      <c r="H38" s="245">
        <f>SUM(H3:H37)</f>
        <v>175</v>
      </c>
      <c r="I38" s="245"/>
      <c r="J38" s="245">
        <f>SUM(J3:J37)</f>
        <v>18805.5</v>
      </c>
      <c r="K38" s="245">
        <f>SUM(K4:K37)</f>
        <v>2927477.5</v>
      </c>
      <c r="L38" s="245">
        <f>SUM(L3:L37)</f>
        <v>7500000</v>
      </c>
      <c r="M38" s="245"/>
      <c r="N38" s="245"/>
    </row>
  </sheetData>
  <mergeCells count="2">
    <mergeCell ref="A1:N1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P39"/>
  <sheetViews>
    <sheetView topLeftCell="A12" workbookViewId="0">
      <selection activeCell="P31" sqref="P31"/>
    </sheetView>
  </sheetViews>
  <sheetFormatPr defaultRowHeight="15"/>
  <cols>
    <col min="2" max="2" width="12.140625" customWidth="1"/>
    <col min="4" max="4" width="20.85546875" customWidth="1"/>
    <col min="5" max="5" width="23.42578125" customWidth="1"/>
    <col min="7" max="7" width="14.42578125" customWidth="1"/>
    <col min="11" max="11" width="15.5703125" customWidth="1"/>
    <col min="12" max="12" width="16.7109375" customWidth="1"/>
    <col min="13" max="13" width="16" customWidth="1"/>
    <col min="14" max="14" width="34.5703125" customWidth="1"/>
    <col min="15" max="15" width="12.5703125" bestFit="1" customWidth="1"/>
  </cols>
  <sheetData>
    <row r="1" spans="1:16" ht="15.75">
      <c r="A1" s="447" t="s">
        <v>14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</row>
    <row r="2" spans="1:16" ht="30">
      <c r="A2" s="70" t="s">
        <v>95</v>
      </c>
      <c r="B2" s="89" t="s">
        <v>96</v>
      </c>
      <c r="C2" s="89" t="s">
        <v>97</v>
      </c>
      <c r="D2" s="89" t="s">
        <v>98</v>
      </c>
      <c r="E2" s="89" t="s">
        <v>99</v>
      </c>
      <c r="F2" s="89" t="s">
        <v>100</v>
      </c>
      <c r="G2" s="89" t="s">
        <v>101</v>
      </c>
      <c r="H2" s="89" t="s">
        <v>102</v>
      </c>
      <c r="I2" s="89" t="s">
        <v>100</v>
      </c>
      <c r="J2" s="90" t="s">
        <v>101</v>
      </c>
      <c r="K2" s="131" t="s">
        <v>103</v>
      </c>
      <c r="L2" s="134" t="s">
        <v>104</v>
      </c>
      <c r="M2" s="134" t="s">
        <v>105</v>
      </c>
      <c r="N2" s="132" t="s">
        <v>106</v>
      </c>
      <c r="O2" s="360"/>
      <c r="P2" s="22"/>
    </row>
    <row r="3" spans="1:16">
      <c r="A3" s="449" t="s">
        <v>107</v>
      </c>
      <c r="B3" s="450"/>
      <c r="C3" s="450"/>
      <c r="D3" s="450"/>
      <c r="E3" s="450"/>
      <c r="F3" s="450"/>
      <c r="G3" s="450"/>
      <c r="H3" s="450"/>
      <c r="I3" s="450"/>
      <c r="J3" s="450"/>
      <c r="K3">
        <v>24162762.826000009</v>
      </c>
      <c r="L3" s="243"/>
      <c r="M3">
        <v>24162762.826000009</v>
      </c>
      <c r="N3" s="100"/>
    </row>
    <row r="4" spans="1:16">
      <c r="A4" s="26">
        <v>1</v>
      </c>
      <c r="B4" s="27">
        <v>45962</v>
      </c>
      <c r="C4" s="17"/>
      <c r="D4" s="278"/>
      <c r="E4" s="287"/>
      <c r="F4" s="352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2">
        <f>M3+K4-L4</f>
        <v>24162762.826000009</v>
      </c>
      <c r="N4" s="17"/>
      <c r="O4" s="42">
        <f t="shared" ref="O4" si="0">O3+M4-N4</f>
        <v>24162762.826000009</v>
      </c>
    </row>
    <row r="5" spans="1:16">
      <c r="A5" s="26">
        <v>2</v>
      </c>
      <c r="B5" s="27">
        <v>45963</v>
      </c>
      <c r="C5" s="17"/>
      <c r="D5" s="278"/>
      <c r="E5" s="348"/>
      <c r="F5" s="288"/>
      <c r="G5" s="17">
        <f t="shared" ref="G5:G34" si="1">E5*F5</f>
        <v>0</v>
      </c>
      <c r="H5" s="17"/>
      <c r="I5" s="17"/>
      <c r="J5" s="17">
        <f t="shared" ref="J5:J34" si="2">H5*I5</f>
        <v>0</v>
      </c>
      <c r="K5" s="17">
        <f t="shared" ref="K5:K34" si="3">G5+J5</f>
        <v>0</v>
      </c>
      <c r="L5" s="17"/>
      <c r="M5" s="42">
        <f t="shared" ref="M5:M16" si="4">M4+K5-L5</f>
        <v>24162762.826000009</v>
      </c>
      <c r="N5" s="17"/>
    </row>
    <row r="6" spans="1:16">
      <c r="A6" s="26">
        <v>3</v>
      </c>
      <c r="B6" s="27">
        <v>45964</v>
      </c>
      <c r="C6" s="17"/>
      <c r="D6" s="278"/>
      <c r="E6" s="287"/>
      <c r="F6" s="352"/>
      <c r="G6" s="17">
        <f t="shared" si="1"/>
        <v>0</v>
      </c>
      <c r="H6" s="17"/>
      <c r="I6" s="17"/>
      <c r="J6" s="17">
        <f t="shared" si="2"/>
        <v>0</v>
      </c>
      <c r="K6" s="17">
        <f t="shared" si="3"/>
        <v>0</v>
      </c>
      <c r="L6" s="17"/>
      <c r="M6" s="42">
        <f t="shared" si="4"/>
        <v>24162762.826000009</v>
      </c>
      <c r="N6" s="17"/>
    </row>
    <row r="7" spans="1:16">
      <c r="A7" s="26">
        <v>4</v>
      </c>
      <c r="B7" s="27">
        <v>45965</v>
      </c>
      <c r="C7" s="17"/>
      <c r="D7" s="278"/>
      <c r="E7" s="287"/>
      <c r="F7" s="352"/>
      <c r="G7" s="17">
        <f t="shared" si="1"/>
        <v>0</v>
      </c>
      <c r="H7" s="17"/>
      <c r="I7" s="17"/>
      <c r="J7" s="17">
        <f t="shared" si="2"/>
        <v>0</v>
      </c>
      <c r="K7" s="17">
        <f t="shared" si="3"/>
        <v>0</v>
      </c>
      <c r="L7" s="17"/>
      <c r="M7" s="42">
        <f t="shared" si="4"/>
        <v>24162762.826000009</v>
      </c>
      <c r="N7" s="17"/>
    </row>
    <row r="8" spans="1:16">
      <c r="A8" s="26">
        <v>5</v>
      </c>
      <c r="B8" s="27">
        <v>45966</v>
      </c>
      <c r="C8" s="17"/>
      <c r="D8" s="278"/>
      <c r="E8" s="287">
        <v>2700</v>
      </c>
      <c r="F8" s="352">
        <v>95.7</v>
      </c>
      <c r="G8" s="17">
        <f t="shared" si="1"/>
        <v>258390</v>
      </c>
      <c r="H8" s="17">
        <v>55</v>
      </c>
      <c r="I8" s="17">
        <v>107.48</v>
      </c>
      <c r="J8" s="17">
        <f t="shared" si="2"/>
        <v>5911.4000000000005</v>
      </c>
      <c r="K8" s="17">
        <f t="shared" si="3"/>
        <v>264301.40000000002</v>
      </c>
      <c r="L8" s="17"/>
      <c r="M8" s="42">
        <f t="shared" si="4"/>
        <v>24427064.226000007</v>
      </c>
      <c r="N8" s="17"/>
    </row>
    <row r="9" spans="1:16">
      <c r="A9" s="26">
        <v>6</v>
      </c>
      <c r="B9" s="27">
        <v>45967</v>
      </c>
      <c r="C9" s="17"/>
      <c r="D9" s="278"/>
      <c r="E9" s="348">
        <v>752.35</v>
      </c>
      <c r="F9" s="352">
        <v>95.7</v>
      </c>
      <c r="G9" s="17">
        <f t="shared" si="1"/>
        <v>71999.895000000004</v>
      </c>
      <c r="H9" s="17"/>
      <c r="I9" s="17"/>
      <c r="J9" s="17">
        <f t="shared" si="2"/>
        <v>0</v>
      </c>
      <c r="K9" s="17">
        <f t="shared" si="3"/>
        <v>71999.895000000004</v>
      </c>
      <c r="L9" s="17"/>
      <c r="M9" s="42">
        <f t="shared" si="4"/>
        <v>24499064.121000007</v>
      </c>
      <c r="N9" s="17">
        <v>72000</v>
      </c>
    </row>
    <row r="10" spans="1:16">
      <c r="A10" s="26">
        <v>7</v>
      </c>
      <c r="B10" s="27">
        <v>45968</v>
      </c>
      <c r="C10" s="17"/>
      <c r="D10" s="278"/>
      <c r="E10" s="348">
        <v>2504.6999999999998</v>
      </c>
      <c r="F10" s="352">
        <v>95.7</v>
      </c>
      <c r="G10" s="17">
        <f t="shared" si="1"/>
        <v>239699.78999999998</v>
      </c>
      <c r="H10" s="17">
        <v>40</v>
      </c>
      <c r="I10" s="17">
        <v>107.48</v>
      </c>
      <c r="J10" s="17">
        <f t="shared" si="2"/>
        <v>4299.2</v>
      </c>
      <c r="K10" s="17">
        <f t="shared" si="3"/>
        <v>243998.99</v>
      </c>
      <c r="L10" s="17"/>
      <c r="M10" s="42">
        <f t="shared" si="4"/>
        <v>24743063.111000005</v>
      </c>
      <c r="N10" s="17">
        <v>244000</v>
      </c>
    </row>
    <row r="11" spans="1:16">
      <c r="A11" s="26">
        <v>8</v>
      </c>
      <c r="B11" s="27">
        <v>45969</v>
      </c>
      <c r="C11" s="17"/>
      <c r="D11" s="278"/>
      <c r="E11" s="287">
        <v>1179.21</v>
      </c>
      <c r="F11" s="352">
        <v>95.7</v>
      </c>
      <c r="G11" s="17">
        <f t="shared" si="1"/>
        <v>112850.39700000001</v>
      </c>
      <c r="H11" s="17">
        <v>20</v>
      </c>
      <c r="I11" s="17">
        <v>107.48</v>
      </c>
      <c r="J11" s="17">
        <f t="shared" si="2"/>
        <v>2149.6</v>
      </c>
      <c r="K11" s="17">
        <f t="shared" si="3"/>
        <v>114999.99700000002</v>
      </c>
      <c r="L11" s="17"/>
      <c r="M11" s="42">
        <f t="shared" si="4"/>
        <v>24858063.108000007</v>
      </c>
      <c r="N11" s="17">
        <v>115000</v>
      </c>
    </row>
    <row r="12" spans="1:16">
      <c r="A12" s="26">
        <v>9</v>
      </c>
      <c r="B12" s="27">
        <v>45970</v>
      </c>
      <c r="C12" s="17"/>
      <c r="D12" s="278"/>
      <c r="E12" s="287"/>
      <c r="F12" s="352"/>
      <c r="G12" s="17">
        <f t="shared" si="1"/>
        <v>0</v>
      </c>
      <c r="H12" s="17"/>
      <c r="I12" s="17"/>
      <c r="J12" s="17">
        <f t="shared" si="2"/>
        <v>0</v>
      </c>
      <c r="K12" s="17">
        <f t="shared" si="3"/>
        <v>0</v>
      </c>
      <c r="L12" s="17"/>
      <c r="M12" s="42">
        <f t="shared" si="4"/>
        <v>24858063.108000007</v>
      </c>
      <c r="N12" s="17"/>
    </row>
    <row r="13" spans="1:16">
      <c r="A13" s="26">
        <v>10</v>
      </c>
      <c r="B13" s="27">
        <v>45971</v>
      </c>
      <c r="C13" s="17"/>
      <c r="D13" s="278"/>
      <c r="E13" s="287">
        <v>626.96</v>
      </c>
      <c r="F13" s="352">
        <v>95.7</v>
      </c>
      <c r="G13" s="17">
        <f t="shared" si="1"/>
        <v>60000.072000000007</v>
      </c>
      <c r="H13" s="17"/>
      <c r="I13" s="17"/>
      <c r="J13" s="17">
        <f t="shared" si="2"/>
        <v>0</v>
      </c>
      <c r="K13" s="17">
        <f t="shared" si="3"/>
        <v>60000.072000000007</v>
      </c>
      <c r="L13" s="17"/>
      <c r="M13" s="42">
        <f t="shared" si="4"/>
        <v>24918063.180000007</v>
      </c>
      <c r="N13" s="17">
        <v>60000</v>
      </c>
    </row>
    <row r="14" spans="1:16">
      <c r="A14" s="26">
        <v>11</v>
      </c>
      <c r="B14" s="27">
        <v>45972</v>
      </c>
      <c r="C14" s="17"/>
      <c r="D14" s="278"/>
      <c r="E14" s="287">
        <v>634.29</v>
      </c>
      <c r="F14" s="352">
        <v>95.7</v>
      </c>
      <c r="G14" s="17">
        <f t="shared" si="1"/>
        <v>60701.553</v>
      </c>
      <c r="H14" s="17">
        <v>40</v>
      </c>
      <c r="I14" s="17">
        <v>107.48</v>
      </c>
      <c r="J14" s="17">
        <f t="shared" si="2"/>
        <v>4299.2</v>
      </c>
      <c r="K14" s="17">
        <f t="shared" si="3"/>
        <v>65000.752999999997</v>
      </c>
      <c r="L14" s="17"/>
      <c r="M14" s="42">
        <f t="shared" si="4"/>
        <v>24983063.933000006</v>
      </c>
      <c r="N14" s="17">
        <v>65000</v>
      </c>
    </row>
    <row r="15" spans="1:16">
      <c r="A15" s="26">
        <v>12</v>
      </c>
      <c r="B15" s="27">
        <v>45973</v>
      </c>
      <c r="C15" s="17"/>
      <c r="D15" s="278"/>
      <c r="E15" s="287">
        <v>1253.92</v>
      </c>
      <c r="F15" s="352">
        <v>95.7</v>
      </c>
      <c r="G15" s="17">
        <f t="shared" si="1"/>
        <v>120000.14400000001</v>
      </c>
      <c r="H15" s="17"/>
      <c r="I15" s="17"/>
      <c r="J15" s="17">
        <f t="shared" si="2"/>
        <v>0</v>
      </c>
      <c r="K15" s="17">
        <f t="shared" si="3"/>
        <v>120000.14400000001</v>
      </c>
      <c r="L15" s="17"/>
      <c r="M15" s="42">
        <f t="shared" si="4"/>
        <v>25103064.077000007</v>
      </c>
      <c r="N15" s="17">
        <v>120000</v>
      </c>
    </row>
    <row r="16" spans="1:16">
      <c r="A16" s="26">
        <v>13</v>
      </c>
      <c r="B16" s="27">
        <v>45974</v>
      </c>
      <c r="C16" s="17"/>
      <c r="D16" s="278"/>
      <c r="E16" s="287">
        <v>1626.97</v>
      </c>
      <c r="F16" s="352">
        <v>95.7</v>
      </c>
      <c r="G16" s="17">
        <f t="shared" si="1"/>
        <v>155701.02900000001</v>
      </c>
      <c r="H16" s="17">
        <v>40</v>
      </c>
      <c r="I16" s="17">
        <v>107.48</v>
      </c>
      <c r="J16" s="17">
        <f t="shared" si="2"/>
        <v>4299.2</v>
      </c>
      <c r="K16" s="17">
        <f t="shared" si="3"/>
        <v>160000.22900000002</v>
      </c>
      <c r="L16" s="17"/>
      <c r="M16" s="42">
        <f t="shared" si="4"/>
        <v>25263064.306000005</v>
      </c>
      <c r="N16" s="17">
        <v>160000.23000000001</v>
      </c>
    </row>
    <row r="17" spans="1:14">
      <c r="A17" s="26">
        <v>14</v>
      </c>
      <c r="B17" s="27">
        <v>45975</v>
      </c>
      <c r="C17" s="17"/>
      <c r="D17" s="278"/>
      <c r="E17" s="287"/>
      <c r="F17" s="352"/>
      <c r="G17" s="17">
        <f t="shared" si="1"/>
        <v>0</v>
      </c>
      <c r="H17" s="17"/>
      <c r="I17" s="17"/>
      <c r="J17" s="17">
        <f t="shared" si="2"/>
        <v>0</v>
      </c>
      <c r="K17" s="17">
        <f t="shared" si="3"/>
        <v>0</v>
      </c>
      <c r="L17" s="17"/>
      <c r="M17" s="42">
        <f t="shared" ref="M17:M28" si="5">M16+K17-L17</f>
        <v>25263064.306000005</v>
      </c>
      <c r="N17" s="17"/>
    </row>
    <row r="18" spans="1:14">
      <c r="A18" s="26">
        <v>15</v>
      </c>
      <c r="B18" s="27">
        <v>45976</v>
      </c>
      <c r="C18" s="17"/>
      <c r="D18" s="278"/>
      <c r="E18" s="287">
        <v>1156.75</v>
      </c>
      <c r="F18" s="352">
        <v>95.7</v>
      </c>
      <c r="G18" s="17">
        <f t="shared" si="1"/>
        <v>110700.97500000001</v>
      </c>
      <c r="H18" s="17">
        <v>40</v>
      </c>
      <c r="I18" s="17">
        <v>107.48</v>
      </c>
      <c r="J18" s="17">
        <f t="shared" si="2"/>
        <v>4299.2</v>
      </c>
      <c r="K18" s="17">
        <f t="shared" si="3"/>
        <v>115000.175</v>
      </c>
      <c r="L18" s="17"/>
      <c r="M18" s="42">
        <f t="shared" si="5"/>
        <v>25378064.481000006</v>
      </c>
      <c r="N18" s="17">
        <v>115000.18</v>
      </c>
    </row>
    <row r="19" spans="1:14">
      <c r="A19" s="26">
        <v>16</v>
      </c>
      <c r="B19" s="27">
        <v>45977</v>
      </c>
      <c r="C19" s="17"/>
      <c r="D19" s="278"/>
      <c r="E19" s="287"/>
      <c r="F19" s="352"/>
      <c r="G19" s="17">
        <f t="shared" si="1"/>
        <v>0</v>
      </c>
      <c r="H19" s="17"/>
      <c r="I19" s="17"/>
      <c r="J19" s="17">
        <f t="shared" si="2"/>
        <v>0</v>
      </c>
      <c r="K19" s="17">
        <f t="shared" si="3"/>
        <v>0</v>
      </c>
      <c r="L19" s="17"/>
      <c r="M19" s="42">
        <f t="shared" si="5"/>
        <v>25378064.481000006</v>
      </c>
      <c r="N19" s="17"/>
    </row>
    <row r="20" spans="1:14">
      <c r="A20" s="26">
        <v>17</v>
      </c>
      <c r="B20" s="27">
        <v>45978</v>
      </c>
      <c r="C20" s="17"/>
      <c r="D20" s="278"/>
      <c r="E20" s="287">
        <v>1462.91</v>
      </c>
      <c r="F20" s="352">
        <v>95.7</v>
      </c>
      <c r="G20" s="17">
        <f t="shared" si="1"/>
        <v>140000.48700000002</v>
      </c>
      <c r="H20" s="17"/>
      <c r="I20" s="17"/>
      <c r="J20" s="17">
        <f t="shared" si="2"/>
        <v>0</v>
      </c>
      <c r="K20" s="17">
        <f t="shared" si="3"/>
        <v>140000.48700000002</v>
      </c>
      <c r="L20" s="17"/>
      <c r="M20" s="42">
        <f t="shared" si="5"/>
        <v>25518064.968000006</v>
      </c>
      <c r="N20" s="17">
        <v>140000.09</v>
      </c>
    </row>
    <row r="21" spans="1:14">
      <c r="A21" s="26">
        <v>18</v>
      </c>
      <c r="B21" s="27">
        <v>45979</v>
      </c>
      <c r="C21" s="17"/>
      <c r="D21" s="278"/>
      <c r="E21" s="287">
        <v>3886.51</v>
      </c>
      <c r="F21" s="352">
        <v>95.7</v>
      </c>
      <c r="G21" s="17">
        <f t="shared" si="1"/>
        <v>371939.00700000004</v>
      </c>
      <c r="H21" s="17">
        <v>75</v>
      </c>
      <c r="I21" s="17">
        <v>107.48</v>
      </c>
      <c r="J21" s="17">
        <f t="shared" si="2"/>
        <v>8061</v>
      </c>
      <c r="K21" s="17">
        <f t="shared" si="3"/>
        <v>380000.00700000004</v>
      </c>
      <c r="L21" s="17">
        <v>200000</v>
      </c>
      <c r="M21" s="42">
        <f t="shared" si="5"/>
        <v>25698064.975000005</v>
      </c>
      <c r="N21" s="17">
        <v>380000</v>
      </c>
    </row>
    <row r="22" spans="1:14">
      <c r="A22" s="26">
        <v>19</v>
      </c>
      <c r="B22" s="27">
        <v>45980</v>
      </c>
      <c r="C22" s="17"/>
      <c r="D22" s="278"/>
      <c r="E22" s="287"/>
      <c r="F22" s="288"/>
      <c r="G22" s="17">
        <f t="shared" si="1"/>
        <v>0</v>
      </c>
      <c r="H22" s="17"/>
      <c r="I22" s="17"/>
      <c r="J22" s="17">
        <f t="shared" si="2"/>
        <v>0</v>
      </c>
      <c r="K22" s="17">
        <f t="shared" si="3"/>
        <v>0</v>
      </c>
      <c r="L22" s="17"/>
      <c r="M22" s="42">
        <f t="shared" si="5"/>
        <v>25698064.975000005</v>
      </c>
      <c r="N22" s="17"/>
    </row>
    <row r="23" spans="1:14">
      <c r="A23" s="26">
        <v>20</v>
      </c>
      <c r="B23" s="27">
        <v>45981</v>
      </c>
      <c r="C23" s="17"/>
      <c r="D23" s="278"/>
      <c r="E23" s="287">
        <v>500</v>
      </c>
      <c r="F23" s="288">
        <v>95.7</v>
      </c>
      <c r="G23" s="17">
        <f t="shared" si="1"/>
        <v>47850</v>
      </c>
      <c r="H23" s="17">
        <v>20</v>
      </c>
      <c r="I23" s="17">
        <v>107.48</v>
      </c>
      <c r="J23" s="17">
        <f t="shared" si="2"/>
        <v>2149.6</v>
      </c>
      <c r="K23" s="17">
        <f t="shared" si="3"/>
        <v>49999.6</v>
      </c>
      <c r="L23" s="17">
        <v>17500000</v>
      </c>
      <c r="M23" s="42">
        <f t="shared" si="5"/>
        <v>8248064.5750000067</v>
      </c>
      <c r="N23" s="17">
        <v>17500000</v>
      </c>
    </row>
    <row r="24" spans="1:14">
      <c r="A24" s="26">
        <v>21</v>
      </c>
      <c r="B24" s="27">
        <v>45982</v>
      </c>
      <c r="C24" s="17"/>
      <c r="D24" s="278"/>
      <c r="E24" s="287"/>
      <c r="F24" s="288"/>
      <c r="G24" s="17">
        <f t="shared" si="1"/>
        <v>0</v>
      </c>
      <c r="H24" s="17"/>
      <c r="I24" s="17"/>
      <c r="J24" s="17">
        <f t="shared" si="2"/>
        <v>0</v>
      </c>
      <c r="K24" s="17">
        <f t="shared" si="3"/>
        <v>0</v>
      </c>
      <c r="L24" s="17"/>
      <c r="M24" s="42">
        <f t="shared" si="5"/>
        <v>8248064.5750000067</v>
      </c>
      <c r="N24" s="17"/>
    </row>
    <row r="25" spans="1:14">
      <c r="A25" s="26">
        <v>22</v>
      </c>
      <c r="B25" s="27">
        <v>45983</v>
      </c>
      <c r="C25" s="17"/>
      <c r="D25" s="278"/>
      <c r="E25" s="287"/>
      <c r="F25" s="288"/>
      <c r="G25" s="17">
        <f t="shared" si="1"/>
        <v>0</v>
      </c>
      <c r="H25" s="17"/>
      <c r="I25" s="17"/>
      <c r="J25" s="17">
        <f t="shared" si="2"/>
        <v>0</v>
      </c>
      <c r="K25" s="17">
        <f t="shared" si="3"/>
        <v>0</v>
      </c>
      <c r="L25" s="17"/>
      <c r="M25" s="42">
        <f t="shared" si="5"/>
        <v>8248064.5750000067</v>
      </c>
      <c r="N25" s="17"/>
    </row>
    <row r="26" spans="1:14">
      <c r="A26" s="26">
        <v>23</v>
      </c>
      <c r="B26" s="27">
        <v>45984</v>
      </c>
      <c r="C26" s="17"/>
      <c r="D26" s="278"/>
      <c r="E26" s="287"/>
      <c r="F26" s="288"/>
      <c r="G26" s="17">
        <f t="shared" si="1"/>
        <v>0</v>
      </c>
      <c r="H26" s="17"/>
      <c r="I26" s="17"/>
      <c r="J26" s="17">
        <f t="shared" si="2"/>
        <v>0</v>
      </c>
      <c r="K26" s="17">
        <f t="shared" si="3"/>
        <v>0</v>
      </c>
      <c r="L26" s="17"/>
      <c r="M26" s="42">
        <f t="shared" si="5"/>
        <v>8248064.5750000067</v>
      </c>
      <c r="N26" s="17"/>
    </row>
    <row r="27" spans="1:14">
      <c r="A27" s="26">
        <v>24</v>
      </c>
      <c r="B27" s="27">
        <v>45985</v>
      </c>
      <c r="C27" s="17"/>
      <c r="D27" s="278"/>
      <c r="E27" s="287">
        <v>2700</v>
      </c>
      <c r="F27" s="288">
        <v>95.7</v>
      </c>
      <c r="G27" s="17">
        <f t="shared" si="1"/>
        <v>258390</v>
      </c>
      <c r="H27" s="17">
        <v>35</v>
      </c>
      <c r="I27" s="17">
        <v>107.48</v>
      </c>
      <c r="J27" s="17">
        <f t="shared" si="2"/>
        <v>3761.8</v>
      </c>
      <c r="K27" s="17">
        <f t="shared" si="3"/>
        <v>262151.8</v>
      </c>
      <c r="L27" s="17"/>
      <c r="M27" s="42">
        <f t="shared" si="5"/>
        <v>8510216.3750000075</v>
      </c>
      <c r="N27" s="17"/>
    </row>
    <row r="28" spans="1:14">
      <c r="A28" s="26">
        <v>25</v>
      </c>
      <c r="B28" s="27">
        <v>45986</v>
      </c>
      <c r="C28" s="17"/>
      <c r="D28" s="278"/>
      <c r="E28" s="287">
        <v>2800</v>
      </c>
      <c r="F28" s="288">
        <v>95.7</v>
      </c>
      <c r="G28" s="17">
        <f t="shared" si="1"/>
        <v>267960</v>
      </c>
      <c r="H28" s="17"/>
      <c r="I28" s="17"/>
      <c r="J28" s="17">
        <f t="shared" si="2"/>
        <v>0</v>
      </c>
      <c r="K28" s="17">
        <f t="shared" si="3"/>
        <v>267960</v>
      </c>
      <c r="L28" s="17"/>
      <c r="M28" s="42">
        <f t="shared" si="5"/>
        <v>8778176.3750000075</v>
      </c>
      <c r="N28" s="17"/>
    </row>
    <row r="29" spans="1:14">
      <c r="A29" s="26">
        <v>26</v>
      </c>
      <c r="B29" s="27">
        <v>45987</v>
      </c>
      <c r="C29" s="17"/>
      <c r="D29" s="278"/>
      <c r="E29" s="287">
        <v>2700</v>
      </c>
      <c r="F29" s="288">
        <v>95.7</v>
      </c>
      <c r="G29" s="17">
        <f t="shared" si="1"/>
        <v>258390</v>
      </c>
      <c r="H29" s="17">
        <v>60</v>
      </c>
      <c r="I29" s="17">
        <v>107.48</v>
      </c>
      <c r="J29" s="17">
        <f t="shared" si="2"/>
        <v>6448.8</v>
      </c>
      <c r="K29" s="17">
        <f t="shared" si="3"/>
        <v>264838.8</v>
      </c>
      <c r="L29" s="17"/>
      <c r="M29" s="42">
        <f t="shared" ref="M29:M34" si="6">M28+K29-L29</f>
        <v>9043015.1750000082</v>
      </c>
      <c r="N29" s="17"/>
    </row>
    <row r="30" spans="1:14">
      <c r="A30" s="26">
        <v>27</v>
      </c>
      <c r="B30" s="27">
        <v>45988</v>
      </c>
      <c r="C30" s="17"/>
      <c r="D30" s="278"/>
      <c r="E30" s="287"/>
      <c r="F30" s="288"/>
      <c r="G30" s="17">
        <f t="shared" si="1"/>
        <v>0</v>
      </c>
      <c r="H30" s="17"/>
      <c r="I30" s="17"/>
      <c r="J30" s="17">
        <f t="shared" si="2"/>
        <v>0</v>
      </c>
      <c r="K30" s="17">
        <f t="shared" si="3"/>
        <v>0</v>
      </c>
      <c r="L30" s="17"/>
      <c r="M30" s="42">
        <f t="shared" si="6"/>
        <v>9043015.1750000082</v>
      </c>
      <c r="N30" s="17"/>
    </row>
    <row r="31" spans="1:14">
      <c r="A31" s="26">
        <v>28</v>
      </c>
      <c r="B31" s="27">
        <v>45989</v>
      </c>
      <c r="C31" s="17"/>
      <c r="D31" s="278"/>
      <c r="E31" s="287"/>
      <c r="F31" s="288"/>
      <c r="G31" s="17">
        <f t="shared" si="1"/>
        <v>0</v>
      </c>
      <c r="H31" s="17"/>
      <c r="I31" s="17"/>
      <c r="J31" s="17">
        <f t="shared" si="2"/>
        <v>0</v>
      </c>
      <c r="K31" s="17">
        <f t="shared" si="3"/>
        <v>0</v>
      </c>
      <c r="L31" s="17"/>
      <c r="M31" s="42">
        <f t="shared" si="6"/>
        <v>9043015.1750000082</v>
      </c>
      <c r="N31" s="17"/>
    </row>
    <row r="32" spans="1:14">
      <c r="A32" s="26">
        <v>29</v>
      </c>
      <c r="B32" s="27">
        <v>45990</v>
      </c>
      <c r="C32" s="17"/>
      <c r="D32" s="278"/>
      <c r="E32" s="348">
        <v>2700</v>
      </c>
      <c r="F32" s="352">
        <v>95.7</v>
      </c>
      <c r="G32" s="17">
        <f t="shared" si="1"/>
        <v>258390</v>
      </c>
      <c r="H32" s="17">
        <v>20</v>
      </c>
      <c r="I32" s="17">
        <v>107.48</v>
      </c>
      <c r="J32" s="17">
        <f t="shared" si="2"/>
        <v>2149.6</v>
      </c>
      <c r="K32" s="17">
        <f t="shared" si="3"/>
        <v>260539.6</v>
      </c>
      <c r="L32" s="17"/>
      <c r="M32" s="42">
        <f t="shared" si="6"/>
        <v>9303554.7750000078</v>
      </c>
      <c r="N32" s="17"/>
    </row>
    <row r="33" spans="1:14">
      <c r="A33" s="26">
        <v>30</v>
      </c>
      <c r="B33" s="27">
        <v>45991</v>
      </c>
      <c r="C33" s="17"/>
      <c r="D33" s="278"/>
      <c r="E33" s="348">
        <v>2700</v>
      </c>
      <c r="F33" s="352">
        <v>95.7</v>
      </c>
      <c r="G33" s="17">
        <f t="shared" si="1"/>
        <v>258390</v>
      </c>
      <c r="H33" s="17"/>
      <c r="I33" s="17"/>
      <c r="J33" s="17">
        <f t="shared" si="2"/>
        <v>0</v>
      </c>
      <c r="K33" s="17">
        <f t="shared" si="3"/>
        <v>258390</v>
      </c>
      <c r="L33" s="17"/>
      <c r="M33" s="42">
        <f t="shared" si="6"/>
        <v>9561944.7750000078</v>
      </c>
      <c r="N33" s="17"/>
    </row>
    <row r="34" spans="1:14">
      <c r="A34" s="26">
        <v>31</v>
      </c>
      <c r="B34" s="27">
        <v>45992</v>
      </c>
      <c r="C34" s="17"/>
      <c r="D34" s="278"/>
      <c r="E34" s="287"/>
      <c r="F34" s="288"/>
      <c r="G34" s="17">
        <f t="shared" si="1"/>
        <v>0</v>
      </c>
      <c r="H34" s="17"/>
      <c r="I34" s="17"/>
      <c r="J34" s="17">
        <f t="shared" si="2"/>
        <v>0</v>
      </c>
      <c r="K34" s="17">
        <f t="shared" si="3"/>
        <v>0</v>
      </c>
      <c r="L34" s="17"/>
      <c r="M34" s="42">
        <f t="shared" si="6"/>
        <v>9561944.7750000078</v>
      </c>
      <c r="N34" s="17"/>
    </row>
    <row r="35" spans="1:14">
      <c r="A35" s="46"/>
      <c r="B35" s="46"/>
      <c r="C35" s="46"/>
      <c r="D35" s="46"/>
      <c r="E35" s="47">
        <f>SUM(E4:E34)</f>
        <v>31884.57</v>
      </c>
      <c r="F35" s="47"/>
      <c r="G35" s="47">
        <f>SUM(G4:G34)</f>
        <v>3051353.3490000004</v>
      </c>
      <c r="H35" s="47">
        <f>SUM(H4:H34)</f>
        <v>445</v>
      </c>
      <c r="I35" s="47"/>
      <c r="J35" s="47">
        <f>SUM(J4:J34)</f>
        <v>47828.600000000006</v>
      </c>
      <c r="K35" s="47">
        <f>SUM(K4:K34)</f>
        <v>3099181.949</v>
      </c>
      <c r="L35" s="47">
        <f>SUM(L4:L34)</f>
        <v>17700000</v>
      </c>
      <c r="M35" s="47"/>
      <c r="N35" s="47"/>
    </row>
    <row r="39" spans="1:14">
      <c r="M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Q47"/>
  <sheetViews>
    <sheetView workbookViewId="0">
      <selection activeCell="P27" sqref="P27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13.5703125" bestFit="1" customWidth="1"/>
  </cols>
  <sheetData>
    <row r="1" spans="1:17" ht="15.75" customHeight="1">
      <c r="A1" s="451" t="s">
        <v>16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</row>
    <row r="2" spans="1:17" ht="25.5">
      <c r="A2" s="109" t="s">
        <v>95</v>
      </c>
      <c r="B2" s="113" t="s">
        <v>96</v>
      </c>
      <c r="C2" s="113" t="s">
        <v>97</v>
      </c>
      <c r="D2" s="113" t="s">
        <v>98</v>
      </c>
      <c r="E2" s="113" t="s">
        <v>99</v>
      </c>
      <c r="F2" s="113" t="s">
        <v>100</v>
      </c>
      <c r="G2" s="113" t="s">
        <v>101</v>
      </c>
      <c r="H2" s="113" t="s">
        <v>102</v>
      </c>
      <c r="I2" s="113" t="s">
        <v>100</v>
      </c>
      <c r="J2" s="113" t="s">
        <v>101</v>
      </c>
      <c r="K2" s="151" t="s">
        <v>103</v>
      </c>
      <c r="L2" s="151" t="s">
        <v>104</v>
      </c>
      <c r="M2" s="151" t="s">
        <v>108</v>
      </c>
      <c r="N2" s="113" t="s">
        <v>106</v>
      </c>
    </row>
    <row r="3" spans="1:17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3"/>
      <c r="K3" s="138"/>
      <c r="L3" s="248"/>
      <c r="M3" s="363">
        <v>1711783.1329000003</v>
      </c>
      <c r="N3" s="249"/>
      <c r="O3">
        <v>2623243.3616999988</v>
      </c>
    </row>
    <row r="4" spans="1:17">
      <c r="A4" s="26">
        <v>1</v>
      </c>
      <c r="B4" s="27">
        <v>45962</v>
      </c>
      <c r="C4" s="114"/>
      <c r="D4" s="35"/>
      <c r="E4" s="37">
        <v>0</v>
      </c>
      <c r="F4" s="37">
        <v>96.42</v>
      </c>
      <c r="G4" s="37">
        <f>E4*F4</f>
        <v>0</v>
      </c>
      <c r="H4" s="388">
        <v>60</v>
      </c>
      <c r="I4" s="388">
        <v>108.23</v>
      </c>
      <c r="J4" s="37">
        <f t="shared" ref="J4" si="0">H4*I4</f>
        <v>6493.8</v>
      </c>
      <c r="K4" s="37">
        <f t="shared" ref="K4" si="1">G4+J4</f>
        <v>6493.8</v>
      </c>
      <c r="L4" s="209"/>
      <c r="M4" s="37">
        <f>M3+K4-L4</f>
        <v>1718276.9329000004</v>
      </c>
      <c r="N4" s="250"/>
      <c r="P4" s="22"/>
    </row>
    <row r="5" spans="1:17">
      <c r="A5" s="26">
        <v>2</v>
      </c>
      <c r="B5" s="27">
        <v>45963</v>
      </c>
      <c r="C5" s="114"/>
      <c r="D5" s="35"/>
      <c r="E5" s="37"/>
      <c r="F5" s="37"/>
      <c r="G5" s="37">
        <f t="shared" ref="G5:G34" si="2">E5*F5</f>
        <v>0</v>
      </c>
      <c r="H5" s="388"/>
      <c r="I5" s="388"/>
      <c r="J5" s="37">
        <f t="shared" ref="J5:J34" si="3">H5*I5</f>
        <v>0</v>
      </c>
      <c r="K5" s="37">
        <f t="shared" ref="K5:K34" si="4">G5+J5</f>
        <v>0</v>
      </c>
      <c r="L5" s="209"/>
      <c r="M5" s="37">
        <f t="shared" ref="M5:M18" si="5">M4+K5-L5</f>
        <v>1718276.9329000004</v>
      </c>
      <c r="N5" s="251"/>
    </row>
    <row r="6" spans="1:17">
      <c r="A6" s="26">
        <v>3</v>
      </c>
      <c r="B6" s="27">
        <v>45964</v>
      </c>
      <c r="C6" s="114"/>
      <c r="D6" s="35"/>
      <c r="E6" s="37"/>
      <c r="F6" s="37"/>
      <c r="G6" s="37">
        <f t="shared" si="2"/>
        <v>0</v>
      </c>
      <c r="H6" s="388"/>
      <c r="I6" s="388"/>
      <c r="J6" s="37">
        <f t="shared" si="3"/>
        <v>0</v>
      </c>
      <c r="K6" s="37">
        <f t="shared" si="4"/>
        <v>0</v>
      </c>
      <c r="L6" s="209"/>
      <c r="M6" s="37">
        <f t="shared" si="5"/>
        <v>1718276.9329000004</v>
      </c>
      <c r="N6" s="252"/>
    </row>
    <row r="7" spans="1:17">
      <c r="A7" s="26">
        <v>4</v>
      </c>
      <c r="B7" s="27">
        <v>45965</v>
      </c>
      <c r="C7" s="114"/>
      <c r="D7" s="35"/>
      <c r="E7" s="37"/>
      <c r="F7" s="37"/>
      <c r="G7" s="37">
        <f t="shared" si="2"/>
        <v>0</v>
      </c>
      <c r="H7" s="388"/>
      <c r="I7" s="388"/>
      <c r="J7" s="37">
        <f t="shared" si="3"/>
        <v>0</v>
      </c>
      <c r="K7" s="37">
        <f t="shared" si="4"/>
        <v>0</v>
      </c>
      <c r="L7" s="209"/>
      <c r="M7" s="37">
        <f>M6+K7-L7</f>
        <v>1718276.9329000004</v>
      </c>
      <c r="N7" s="210"/>
      <c r="P7">
        <v>5679</v>
      </c>
    </row>
    <row r="8" spans="1:17">
      <c r="A8" s="26">
        <v>5</v>
      </c>
      <c r="B8" s="27">
        <v>45966</v>
      </c>
      <c r="C8" s="34"/>
      <c r="D8" s="35"/>
      <c r="E8" s="37">
        <v>0</v>
      </c>
      <c r="F8" s="37">
        <v>96.42</v>
      </c>
      <c r="G8" s="37">
        <f t="shared" si="2"/>
        <v>0</v>
      </c>
      <c r="H8" s="388">
        <v>50</v>
      </c>
      <c r="I8" s="388">
        <v>108.23</v>
      </c>
      <c r="J8" s="37">
        <f t="shared" si="3"/>
        <v>5411.5</v>
      </c>
      <c r="K8" s="37">
        <f t="shared" si="4"/>
        <v>5411.5</v>
      </c>
      <c r="L8" s="209"/>
      <c r="M8" s="37">
        <f>M7+K8-L8</f>
        <v>1723688.4329000004</v>
      </c>
      <c r="N8" s="210"/>
    </row>
    <row r="9" spans="1:17">
      <c r="A9" s="26">
        <v>6</v>
      </c>
      <c r="B9" s="27">
        <v>45967</v>
      </c>
      <c r="C9" s="34"/>
      <c r="D9" s="35"/>
      <c r="E9" s="37">
        <v>1550.4</v>
      </c>
      <c r="F9" s="37">
        <v>96.42</v>
      </c>
      <c r="G9" s="37">
        <f t="shared" si="2"/>
        <v>149489.568</v>
      </c>
      <c r="H9" s="388">
        <v>90.33</v>
      </c>
      <c r="I9" s="388">
        <v>108.23</v>
      </c>
      <c r="J9" s="37">
        <f t="shared" si="3"/>
        <v>9776.4159</v>
      </c>
      <c r="K9" s="37">
        <f t="shared" si="4"/>
        <v>159265.98389999999</v>
      </c>
      <c r="L9" s="209"/>
      <c r="M9" s="37">
        <f t="shared" si="5"/>
        <v>1882954.4168000002</v>
      </c>
      <c r="N9" s="210"/>
    </row>
    <row r="10" spans="1:17">
      <c r="A10" s="26">
        <v>7</v>
      </c>
      <c r="B10" s="27">
        <v>45968</v>
      </c>
      <c r="C10" s="34"/>
      <c r="D10" s="35"/>
      <c r="E10" s="37"/>
      <c r="F10" s="37"/>
      <c r="G10" s="37">
        <f t="shared" si="2"/>
        <v>0</v>
      </c>
      <c r="H10" s="388"/>
      <c r="I10" s="388"/>
      <c r="J10" s="37">
        <f t="shared" si="3"/>
        <v>0</v>
      </c>
      <c r="K10" s="37">
        <f t="shared" si="4"/>
        <v>0</v>
      </c>
      <c r="L10" s="209"/>
      <c r="M10" s="37">
        <f t="shared" si="5"/>
        <v>1882954.4168000002</v>
      </c>
      <c r="N10" s="210"/>
    </row>
    <row r="11" spans="1:17">
      <c r="A11" s="26">
        <v>8</v>
      </c>
      <c r="B11" s="27">
        <v>45969</v>
      </c>
      <c r="C11" s="34"/>
      <c r="D11" s="35"/>
      <c r="E11" s="37">
        <v>49.14</v>
      </c>
      <c r="F11" s="37">
        <v>96.42</v>
      </c>
      <c r="G11" s="37">
        <f t="shared" si="2"/>
        <v>4738.0788000000002</v>
      </c>
      <c r="H11" s="388">
        <v>50</v>
      </c>
      <c r="I11" s="388">
        <v>108.23</v>
      </c>
      <c r="J11" s="37">
        <f t="shared" si="3"/>
        <v>5411.5</v>
      </c>
      <c r="K11" s="37">
        <f t="shared" si="4"/>
        <v>10149.578799999999</v>
      </c>
      <c r="L11" s="209"/>
      <c r="M11" s="37">
        <f t="shared" si="5"/>
        <v>1893103.9956000003</v>
      </c>
      <c r="N11" s="210"/>
    </row>
    <row r="12" spans="1:17">
      <c r="A12" s="26">
        <v>9</v>
      </c>
      <c r="B12" s="27">
        <v>45970</v>
      </c>
      <c r="C12" s="34"/>
      <c r="D12" s="35"/>
      <c r="E12" s="37"/>
      <c r="F12" s="37"/>
      <c r="G12" s="37">
        <f t="shared" si="2"/>
        <v>0</v>
      </c>
      <c r="H12" s="388"/>
      <c r="I12" s="388"/>
      <c r="J12" s="37">
        <f t="shared" si="3"/>
        <v>0</v>
      </c>
      <c r="K12" s="37">
        <f t="shared" si="4"/>
        <v>0</v>
      </c>
      <c r="L12" s="209"/>
      <c r="M12" s="37">
        <f t="shared" si="5"/>
        <v>1893103.9956000003</v>
      </c>
      <c r="N12" s="210"/>
    </row>
    <row r="13" spans="1:17">
      <c r="A13" s="26">
        <v>10</v>
      </c>
      <c r="B13" s="27">
        <v>45971</v>
      </c>
      <c r="C13" s="34"/>
      <c r="D13" s="35"/>
      <c r="E13" s="37"/>
      <c r="F13" s="37"/>
      <c r="G13" s="37">
        <f t="shared" si="2"/>
        <v>0</v>
      </c>
      <c r="H13" s="388"/>
      <c r="I13" s="388"/>
      <c r="J13" s="37">
        <f t="shared" si="3"/>
        <v>0</v>
      </c>
      <c r="K13" s="37">
        <f t="shared" si="4"/>
        <v>0</v>
      </c>
      <c r="L13" s="209"/>
      <c r="M13" s="37">
        <f>M12+K13-L13</f>
        <v>1893103.9956000003</v>
      </c>
      <c r="N13" s="210"/>
    </row>
    <row r="14" spans="1:17">
      <c r="A14" s="26">
        <v>11</v>
      </c>
      <c r="B14" s="27">
        <v>45972</v>
      </c>
      <c r="C14" s="34"/>
      <c r="D14" s="35"/>
      <c r="E14" s="37"/>
      <c r="F14" s="37"/>
      <c r="G14" s="37">
        <f t="shared" si="2"/>
        <v>0</v>
      </c>
      <c r="H14" s="388">
        <v>50</v>
      </c>
      <c r="I14" s="388">
        <v>108.23</v>
      </c>
      <c r="J14" s="37">
        <f t="shared" si="3"/>
        <v>5411.5</v>
      </c>
      <c r="K14" s="37">
        <f t="shared" si="4"/>
        <v>5411.5</v>
      </c>
      <c r="L14" s="209"/>
      <c r="M14" s="37">
        <f>M13+K14-L14</f>
        <v>1898515.4956000003</v>
      </c>
      <c r="N14" s="210"/>
      <c r="P14">
        <v>1905988</v>
      </c>
      <c r="Q14" s="183">
        <f>P14-M14</f>
        <v>7472.5043999997433</v>
      </c>
    </row>
    <row r="15" spans="1:17">
      <c r="A15" s="26">
        <v>12</v>
      </c>
      <c r="B15" s="27">
        <v>45973</v>
      </c>
      <c r="C15" s="34"/>
      <c r="D15" s="35"/>
      <c r="E15" s="37"/>
      <c r="F15" s="37"/>
      <c r="G15" s="37">
        <f t="shared" si="2"/>
        <v>0</v>
      </c>
      <c r="H15" s="388"/>
      <c r="I15" s="388"/>
      <c r="J15" s="37">
        <f t="shared" si="3"/>
        <v>0</v>
      </c>
      <c r="K15" s="37">
        <f t="shared" si="4"/>
        <v>0</v>
      </c>
      <c r="L15" s="209"/>
      <c r="M15" s="37">
        <f t="shared" si="5"/>
        <v>1898515.4956000003</v>
      </c>
      <c r="N15" s="210"/>
    </row>
    <row r="16" spans="1:17">
      <c r="A16" s="26">
        <v>13</v>
      </c>
      <c r="B16" s="27">
        <v>45974</v>
      </c>
      <c r="C16" s="34"/>
      <c r="D16" s="35"/>
      <c r="E16" s="37">
        <v>35</v>
      </c>
      <c r="F16" s="37">
        <v>96.42</v>
      </c>
      <c r="G16" s="37">
        <f t="shared" si="2"/>
        <v>3374.7000000000003</v>
      </c>
      <c r="H16" s="388"/>
      <c r="I16" s="388"/>
      <c r="J16" s="37">
        <f t="shared" si="3"/>
        <v>0</v>
      </c>
      <c r="K16" s="37">
        <f t="shared" si="4"/>
        <v>3374.7000000000003</v>
      </c>
      <c r="L16" s="209"/>
      <c r="M16" s="37">
        <f t="shared" si="5"/>
        <v>1901890.1956000002</v>
      </c>
      <c r="N16" s="210"/>
    </row>
    <row r="17" spans="1:14">
      <c r="A17" s="26">
        <v>14</v>
      </c>
      <c r="B17" s="27">
        <v>45975</v>
      </c>
      <c r="C17" s="34"/>
      <c r="D17" s="35"/>
      <c r="E17" s="37"/>
      <c r="F17" s="37"/>
      <c r="G17" s="37">
        <f t="shared" si="2"/>
        <v>0</v>
      </c>
      <c r="H17" s="388"/>
      <c r="I17" s="388"/>
      <c r="J17" s="37">
        <f t="shared" si="3"/>
        <v>0</v>
      </c>
      <c r="K17" s="37">
        <f t="shared" si="4"/>
        <v>0</v>
      </c>
      <c r="L17" s="209"/>
      <c r="M17" s="37">
        <f t="shared" si="5"/>
        <v>1901890.1956000002</v>
      </c>
      <c r="N17" s="210"/>
    </row>
    <row r="18" spans="1:14">
      <c r="A18" s="26">
        <v>15</v>
      </c>
      <c r="B18" s="27">
        <v>45976</v>
      </c>
      <c r="C18" s="177"/>
      <c r="D18" s="35"/>
      <c r="E18" s="37"/>
      <c r="F18" s="37"/>
      <c r="G18" s="37">
        <f t="shared" si="2"/>
        <v>0</v>
      </c>
      <c r="H18" s="388"/>
      <c r="I18" s="388"/>
      <c r="J18" s="37">
        <f t="shared" si="3"/>
        <v>0</v>
      </c>
      <c r="K18" s="37">
        <f t="shared" si="4"/>
        <v>0</v>
      </c>
      <c r="L18" s="209">
        <v>500000</v>
      </c>
      <c r="M18" s="37">
        <f t="shared" si="5"/>
        <v>1401890.1956000002</v>
      </c>
      <c r="N18" s="253"/>
    </row>
    <row r="19" spans="1:14">
      <c r="A19" s="26">
        <v>16</v>
      </c>
      <c r="B19" s="27">
        <v>45977</v>
      </c>
      <c r="C19" s="114"/>
      <c r="D19" s="35"/>
      <c r="E19" s="37"/>
      <c r="F19" s="37"/>
      <c r="G19" s="37">
        <f t="shared" si="2"/>
        <v>0</v>
      </c>
      <c r="H19" s="388"/>
      <c r="I19" s="388"/>
      <c r="J19" s="37">
        <f t="shared" si="3"/>
        <v>0</v>
      </c>
      <c r="K19" s="37">
        <f t="shared" si="4"/>
        <v>0</v>
      </c>
      <c r="L19" s="209"/>
      <c r="M19" s="37">
        <f t="shared" ref="M19:M35" si="6">M18+K19-L19</f>
        <v>1401890.1956000002</v>
      </c>
      <c r="N19" s="253"/>
    </row>
    <row r="20" spans="1:14">
      <c r="A20" s="26">
        <v>17</v>
      </c>
      <c r="B20" s="27">
        <v>45978</v>
      </c>
      <c r="C20" s="190"/>
      <c r="D20" s="35"/>
      <c r="E20" s="37"/>
      <c r="F20" s="37"/>
      <c r="G20" s="37">
        <f t="shared" si="2"/>
        <v>0</v>
      </c>
      <c r="H20" s="388"/>
      <c r="I20" s="388"/>
      <c r="J20" s="37">
        <f t="shared" si="3"/>
        <v>0</v>
      </c>
      <c r="K20" s="37">
        <f t="shared" si="4"/>
        <v>0</v>
      </c>
      <c r="L20" s="209"/>
      <c r="M20" s="37">
        <f t="shared" si="6"/>
        <v>1401890.1956000002</v>
      </c>
      <c r="N20" s="253"/>
    </row>
    <row r="21" spans="1:14">
      <c r="A21" s="26">
        <v>18</v>
      </c>
      <c r="B21" s="27">
        <v>45979</v>
      </c>
      <c r="C21" s="190"/>
      <c r="D21" s="35"/>
      <c r="E21" s="37"/>
      <c r="F21" s="37"/>
      <c r="G21" s="37">
        <f t="shared" si="2"/>
        <v>0</v>
      </c>
      <c r="H21" s="388"/>
      <c r="I21" s="388"/>
      <c r="J21" s="37">
        <f t="shared" si="3"/>
        <v>0</v>
      </c>
      <c r="K21" s="37">
        <f t="shared" si="4"/>
        <v>0</v>
      </c>
      <c r="L21" s="209"/>
      <c r="M21" s="37">
        <f t="shared" si="6"/>
        <v>1401890.1956000002</v>
      </c>
      <c r="N21" s="253"/>
    </row>
    <row r="22" spans="1:14">
      <c r="A22" s="26">
        <v>19</v>
      </c>
      <c r="B22" s="27">
        <v>45980</v>
      </c>
      <c r="C22" s="114"/>
      <c r="D22" s="35"/>
      <c r="E22" s="37"/>
      <c r="F22" s="37"/>
      <c r="G22" s="37">
        <f t="shared" si="2"/>
        <v>0</v>
      </c>
      <c r="H22" s="388"/>
      <c r="I22" s="388"/>
      <c r="J22" s="37">
        <f t="shared" si="3"/>
        <v>0</v>
      </c>
      <c r="K22" s="37">
        <f t="shared" si="4"/>
        <v>0</v>
      </c>
      <c r="L22" s="209"/>
      <c r="M22" s="37">
        <f t="shared" si="6"/>
        <v>1401890.1956000002</v>
      </c>
      <c r="N22" s="210"/>
    </row>
    <row r="23" spans="1:14">
      <c r="A23" s="26">
        <v>20</v>
      </c>
      <c r="B23" s="27">
        <v>45981</v>
      </c>
      <c r="C23" s="114"/>
      <c r="D23" s="35"/>
      <c r="E23" s="37"/>
      <c r="F23" s="37"/>
      <c r="G23" s="37">
        <f t="shared" si="2"/>
        <v>0</v>
      </c>
      <c r="H23" s="388"/>
      <c r="I23" s="388"/>
      <c r="J23" s="37">
        <f t="shared" si="3"/>
        <v>0</v>
      </c>
      <c r="K23" s="37">
        <f t="shared" si="4"/>
        <v>0</v>
      </c>
      <c r="L23" s="209"/>
      <c r="M23" s="37">
        <f t="shared" si="6"/>
        <v>1401890.1956000002</v>
      </c>
      <c r="N23" s="210"/>
    </row>
    <row r="24" spans="1:14">
      <c r="A24" s="26">
        <v>21</v>
      </c>
      <c r="B24" s="27">
        <v>45982</v>
      </c>
      <c r="C24" s="114"/>
      <c r="D24" s="35"/>
      <c r="E24" s="37"/>
      <c r="F24" s="37"/>
      <c r="G24" s="37">
        <f t="shared" si="2"/>
        <v>0</v>
      </c>
      <c r="H24" s="388"/>
      <c r="I24" s="388"/>
      <c r="J24" s="37">
        <f t="shared" si="3"/>
        <v>0</v>
      </c>
      <c r="K24" s="37">
        <f t="shared" si="4"/>
        <v>0</v>
      </c>
      <c r="L24" s="209"/>
      <c r="M24" s="37">
        <f t="shared" si="6"/>
        <v>1401890.1956000002</v>
      </c>
      <c r="N24" s="210"/>
    </row>
    <row r="25" spans="1:14">
      <c r="A25" s="26">
        <v>22</v>
      </c>
      <c r="B25" s="27">
        <v>45983</v>
      </c>
      <c r="C25" s="114"/>
      <c r="D25" s="35"/>
      <c r="E25" s="37"/>
      <c r="F25" s="37"/>
      <c r="G25" s="37">
        <f t="shared" si="2"/>
        <v>0</v>
      </c>
      <c r="H25" s="388"/>
      <c r="I25" s="388"/>
      <c r="J25" s="37">
        <f t="shared" si="3"/>
        <v>0</v>
      </c>
      <c r="K25" s="37">
        <f t="shared" si="4"/>
        <v>0</v>
      </c>
      <c r="L25" s="209">
        <v>600000</v>
      </c>
      <c r="M25" s="37">
        <f t="shared" si="6"/>
        <v>801890.19560000021</v>
      </c>
      <c r="N25" s="210"/>
    </row>
    <row r="26" spans="1:14">
      <c r="A26" s="26">
        <v>23</v>
      </c>
      <c r="B26" s="27">
        <v>45984</v>
      </c>
      <c r="C26" s="114"/>
      <c r="D26" s="35"/>
      <c r="E26" s="37"/>
      <c r="F26" s="37"/>
      <c r="G26" s="37">
        <f t="shared" si="2"/>
        <v>0</v>
      </c>
      <c r="H26" s="388"/>
      <c r="I26" s="388"/>
      <c r="J26" s="37">
        <f t="shared" si="3"/>
        <v>0</v>
      </c>
      <c r="K26" s="37">
        <f t="shared" si="4"/>
        <v>0</v>
      </c>
      <c r="L26" s="209"/>
      <c r="M26" s="37">
        <f t="shared" si="6"/>
        <v>801890.19560000021</v>
      </c>
      <c r="N26" s="210"/>
    </row>
    <row r="27" spans="1:14">
      <c r="A27" s="26">
        <v>24</v>
      </c>
      <c r="B27" s="27">
        <v>45985</v>
      </c>
      <c r="C27" s="114"/>
      <c r="D27" s="35"/>
      <c r="E27" s="37"/>
      <c r="F27" s="37"/>
      <c r="G27" s="37">
        <f t="shared" si="2"/>
        <v>0</v>
      </c>
      <c r="H27" s="388"/>
      <c r="I27" s="388"/>
      <c r="J27" s="37">
        <f t="shared" si="3"/>
        <v>0</v>
      </c>
      <c r="K27" s="37">
        <f t="shared" si="4"/>
        <v>0</v>
      </c>
      <c r="L27" s="209"/>
      <c r="M27" s="37">
        <f t="shared" si="6"/>
        <v>801890.19560000021</v>
      </c>
      <c r="N27" s="210"/>
    </row>
    <row r="28" spans="1:14">
      <c r="A28" s="26">
        <v>25</v>
      </c>
      <c r="B28" s="27">
        <v>45986</v>
      </c>
      <c r="C28" s="114"/>
      <c r="D28" s="35"/>
      <c r="E28" s="37"/>
      <c r="F28" s="37"/>
      <c r="G28" s="37">
        <f t="shared" si="2"/>
        <v>0</v>
      </c>
      <c r="H28" s="388"/>
      <c r="I28" s="388"/>
      <c r="J28" s="37">
        <f t="shared" si="3"/>
        <v>0</v>
      </c>
      <c r="K28" s="37">
        <f t="shared" si="4"/>
        <v>0</v>
      </c>
      <c r="L28" s="209"/>
      <c r="M28" s="37">
        <f t="shared" si="6"/>
        <v>801890.19560000021</v>
      </c>
      <c r="N28" s="210"/>
    </row>
    <row r="29" spans="1:14">
      <c r="A29" s="26">
        <v>26</v>
      </c>
      <c r="B29" s="27">
        <v>45987</v>
      </c>
      <c r="C29" s="114"/>
      <c r="D29" s="35"/>
      <c r="E29" s="37"/>
      <c r="F29" s="37"/>
      <c r="G29" s="37">
        <f t="shared" si="2"/>
        <v>0</v>
      </c>
      <c r="H29" s="388"/>
      <c r="I29" s="388"/>
      <c r="J29" s="37">
        <f t="shared" si="3"/>
        <v>0</v>
      </c>
      <c r="K29" s="37">
        <f t="shared" si="4"/>
        <v>0</v>
      </c>
      <c r="L29" s="209"/>
      <c r="M29" s="37">
        <f t="shared" si="6"/>
        <v>801890.19560000021</v>
      </c>
      <c r="N29" s="210"/>
    </row>
    <row r="30" spans="1:14">
      <c r="A30" s="26">
        <v>27</v>
      </c>
      <c r="B30" s="27">
        <v>45988</v>
      </c>
      <c r="C30" s="114"/>
      <c r="D30" s="35"/>
      <c r="E30" s="37"/>
      <c r="F30" s="37"/>
      <c r="G30" s="37">
        <f t="shared" si="2"/>
        <v>0</v>
      </c>
      <c r="H30" s="388"/>
      <c r="I30" s="388"/>
      <c r="J30" s="37">
        <f t="shared" si="3"/>
        <v>0</v>
      </c>
      <c r="K30" s="37">
        <f t="shared" si="4"/>
        <v>0</v>
      </c>
      <c r="L30" s="209"/>
      <c r="M30" s="37">
        <f>M29+K30-L30</f>
        <v>801890.19560000021</v>
      </c>
      <c r="N30" s="210"/>
    </row>
    <row r="31" spans="1:14">
      <c r="A31" s="26">
        <v>28</v>
      </c>
      <c r="B31" s="27">
        <v>45989</v>
      </c>
      <c r="C31" s="114"/>
      <c r="D31" s="35"/>
      <c r="E31" s="37"/>
      <c r="F31" s="37"/>
      <c r="G31" s="37">
        <f t="shared" si="2"/>
        <v>0</v>
      </c>
      <c r="H31" s="388"/>
      <c r="I31" s="388"/>
      <c r="J31" s="37">
        <f t="shared" si="3"/>
        <v>0</v>
      </c>
      <c r="K31" s="37">
        <f t="shared" si="4"/>
        <v>0</v>
      </c>
      <c r="L31" s="209"/>
      <c r="M31" s="37">
        <f t="shared" si="6"/>
        <v>801890.19560000021</v>
      </c>
      <c r="N31" s="210"/>
    </row>
    <row r="32" spans="1:14">
      <c r="A32" s="26">
        <v>29</v>
      </c>
      <c r="B32" s="27">
        <v>45990</v>
      </c>
      <c r="C32" s="114"/>
      <c r="D32" s="35"/>
      <c r="E32" s="37"/>
      <c r="F32" s="37"/>
      <c r="G32" s="37">
        <f t="shared" si="2"/>
        <v>0</v>
      </c>
      <c r="H32" s="388"/>
      <c r="I32" s="388"/>
      <c r="J32" s="37">
        <f t="shared" si="3"/>
        <v>0</v>
      </c>
      <c r="K32" s="37">
        <f t="shared" si="4"/>
        <v>0</v>
      </c>
      <c r="L32" s="209"/>
      <c r="M32" s="37">
        <f t="shared" si="6"/>
        <v>801890.19560000021</v>
      </c>
      <c r="N32" s="210"/>
    </row>
    <row r="33" spans="1:16">
      <c r="A33" s="26">
        <v>30</v>
      </c>
      <c r="B33" s="27">
        <v>45991</v>
      </c>
      <c r="C33" s="114"/>
      <c r="D33" s="35"/>
      <c r="E33" s="37"/>
      <c r="F33" s="37"/>
      <c r="G33" s="37">
        <f t="shared" si="2"/>
        <v>0</v>
      </c>
      <c r="H33" s="388"/>
      <c r="I33" s="388"/>
      <c r="J33" s="37">
        <f t="shared" si="3"/>
        <v>0</v>
      </c>
      <c r="K33" s="37">
        <f t="shared" si="4"/>
        <v>0</v>
      </c>
      <c r="L33" s="209"/>
      <c r="M33" s="37">
        <f t="shared" si="6"/>
        <v>801890.19560000021</v>
      </c>
      <c r="N33" s="210"/>
    </row>
    <row r="34" spans="1:16">
      <c r="A34" s="26">
        <v>31</v>
      </c>
      <c r="B34" s="27"/>
      <c r="C34" s="114"/>
      <c r="D34" s="35"/>
      <c r="E34" s="37"/>
      <c r="F34" s="37"/>
      <c r="G34" s="37">
        <f t="shared" si="2"/>
        <v>0</v>
      </c>
      <c r="H34" s="388"/>
      <c r="I34" s="388"/>
      <c r="J34" s="37">
        <f t="shared" si="3"/>
        <v>0</v>
      </c>
      <c r="K34" s="37">
        <f t="shared" si="4"/>
        <v>0</v>
      </c>
      <c r="L34" s="209">
        <v>0</v>
      </c>
      <c r="M34" s="37">
        <f t="shared" si="6"/>
        <v>801890.19560000021</v>
      </c>
      <c r="N34" s="253"/>
      <c r="O34">
        <v>2669494</v>
      </c>
      <c r="P34" s="183">
        <f>O34-M34</f>
        <v>1867603.8043999998</v>
      </c>
    </row>
    <row r="35" spans="1:16">
      <c r="A35" s="275"/>
      <c r="B35" s="27"/>
      <c r="C35" s="33"/>
      <c r="D35" s="276"/>
      <c r="E35" s="37">
        <v>0</v>
      </c>
      <c r="F35" s="37">
        <v>0</v>
      </c>
      <c r="G35" s="37">
        <f>E35*F35</f>
        <v>0</v>
      </c>
      <c r="H35" s="37"/>
      <c r="I35" s="37"/>
      <c r="J35" s="37">
        <f t="shared" ref="J35" si="7">H35*I35</f>
        <v>0</v>
      </c>
      <c r="K35" s="37">
        <f t="shared" ref="K35" si="8">G35+J35</f>
        <v>0</v>
      </c>
      <c r="L35" s="39"/>
      <c r="M35" s="209">
        <f t="shared" si="6"/>
        <v>801890.19560000021</v>
      </c>
      <c r="N35" s="37"/>
    </row>
    <row r="36" spans="1:16">
      <c r="A36" s="191"/>
      <c r="B36" s="188"/>
      <c r="C36" s="188"/>
      <c r="D36" s="188"/>
      <c r="E36" s="44">
        <f>SUM(E4:E34)</f>
        <v>1634.5400000000002</v>
      </c>
      <c r="F36" s="44"/>
      <c r="G36" s="44">
        <f>SUM(G4:G34)</f>
        <v>157602.3468</v>
      </c>
      <c r="H36" s="44">
        <f>SUM(H4:H34)</f>
        <v>300.33</v>
      </c>
      <c r="I36" s="44"/>
      <c r="J36" s="44">
        <f>SUM(J4:J34)</f>
        <v>32504.715899999999</v>
      </c>
      <c r="K36" s="44">
        <f>SUM(K4:K34)</f>
        <v>190107.06269999998</v>
      </c>
      <c r="L36" s="44">
        <f>SUM(L4:L34)</f>
        <v>1100000</v>
      </c>
      <c r="M36" s="111"/>
      <c r="N36" s="45"/>
    </row>
    <row r="37" spans="1:16">
      <c r="A37" s="38"/>
      <c r="B37" s="38"/>
      <c r="C37" s="38"/>
      <c r="D37" s="38"/>
      <c r="E37" s="41"/>
      <c r="F37" s="41"/>
      <c r="G37" s="41"/>
      <c r="H37" s="41"/>
      <c r="I37" s="41"/>
      <c r="J37" s="41"/>
      <c r="K37" s="41"/>
      <c r="L37" s="41"/>
      <c r="M37" s="41"/>
      <c r="N37" s="41"/>
    </row>
    <row r="38" spans="1:16">
      <c r="A38" s="33"/>
      <c r="B38" s="33"/>
      <c r="C38" s="33"/>
      <c r="D38" s="33"/>
      <c r="E38" s="33"/>
      <c r="F38" s="33"/>
      <c r="G38" s="40"/>
      <c r="H38" s="33"/>
      <c r="I38" s="33"/>
      <c r="J38" s="33"/>
      <c r="K38" s="33"/>
      <c r="L38" s="33"/>
      <c r="M38" s="33"/>
      <c r="N38" s="33"/>
    </row>
    <row r="39" spans="1:16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3" spans="1:16">
      <c r="E43" s="183"/>
    </row>
    <row r="45" spans="1:16">
      <c r="M45">
        <v>2408309</v>
      </c>
    </row>
    <row r="46" spans="1:16">
      <c r="M46">
        <v>5327.86</v>
      </c>
    </row>
    <row r="47" spans="1:16">
      <c r="M47" s="387">
        <f>M45-M46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841-9E0F-4432-87D3-E0CE7CD55810}">
  <dimension ref="A1:R35"/>
  <sheetViews>
    <sheetView workbookViewId="0">
      <selection activeCell="I32" sqref="I32"/>
    </sheetView>
  </sheetViews>
  <sheetFormatPr defaultRowHeight="15"/>
  <cols>
    <col min="2" max="2" width="10.5703125" bestFit="1" customWidth="1"/>
    <col min="5" max="5" width="10.5703125" customWidth="1"/>
    <col min="7" max="7" width="14.85546875" customWidth="1"/>
    <col min="8" max="8" width="9.7109375" customWidth="1"/>
    <col min="10" max="10" width="12" customWidth="1"/>
    <col min="11" max="11" width="13.5703125" bestFit="1" customWidth="1"/>
    <col min="12" max="12" width="11.85546875" bestFit="1" customWidth="1"/>
    <col min="13" max="13" width="13.5703125" bestFit="1" customWidth="1"/>
    <col min="15" max="15" width="15.5703125" customWidth="1"/>
  </cols>
  <sheetData>
    <row r="1" spans="1:18" ht="15.75">
      <c r="A1" s="454" t="s">
        <v>109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8" ht="25.5" customHeight="1">
      <c r="A2" s="109" t="s">
        <v>95</v>
      </c>
      <c r="B2" s="113" t="s">
        <v>96</v>
      </c>
      <c r="C2" s="113" t="s">
        <v>97</v>
      </c>
      <c r="D2" s="113" t="s">
        <v>98</v>
      </c>
      <c r="E2" s="205" t="s">
        <v>99</v>
      </c>
      <c r="F2" s="113" t="s">
        <v>100</v>
      </c>
      <c r="G2" s="113" t="s">
        <v>101</v>
      </c>
      <c r="H2" s="113" t="s">
        <v>102</v>
      </c>
      <c r="I2" s="113" t="s">
        <v>100</v>
      </c>
      <c r="J2" s="113" t="s">
        <v>101</v>
      </c>
      <c r="K2" s="113" t="s">
        <v>103</v>
      </c>
      <c r="L2" s="113" t="s">
        <v>104</v>
      </c>
      <c r="M2" s="113" t="s">
        <v>110</v>
      </c>
      <c r="N2" s="113" t="s">
        <v>106</v>
      </c>
    </row>
    <row r="3" spans="1:18">
      <c r="A3" s="455" t="s">
        <v>107</v>
      </c>
      <c r="B3" s="455"/>
      <c r="C3" s="455"/>
      <c r="D3" s="455"/>
      <c r="E3" s="455"/>
      <c r="F3" s="455"/>
      <c r="G3" s="455"/>
      <c r="H3" s="455"/>
      <c r="I3" s="455"/>
      <c r="J3" s="455"/>
      <c r="K3" s="143">
        <v>2324364.0000000005</v>
      </c>
      <c r="L3" s="228"/>
      <c r="M3" s="229">
        <f>+K3</f>
        <v>2324364.0000000005</v>
      </c>
      <c r="N3" s="100"/>
      <c r="O3" s="143"/>
    </row>
    <row r="4" spans="1:18">
      <c r="A4" s="26">
        <v>1</v>
      </c>
      <c r="B4" s="411">
        <v>45962</v>
      </c>
      <c r="C4" s="17"/>
      <c r="D4" s="17"/>
      <c r="E4" s="249">
        <v>2000</v>
      </c>
      <c r="F4" s="17">
        <v>96.43</v>
      </c>
      <c r="G4" s="17">
        <f>E4*F4</f>
        <v>192860</v>
      </c>
      <c r="H4" s="17"/>
      <c r="I4" s="17"/>
      <c r="J4" s="17">
        <f>H4*I4</f>
        <v>0</v>
      </c>
      <c r="K4" s="17">
        <f>G4+J4</f>
        <v>192860</v>
      </c>
      <c r="L4" s="17"/>
      <c r="M4" s="143">
        <f>M3+K4-L4</f>
        <v>2517224.0000000005</v>
      </c>
      <c r="N4" s="17"/>
      <c r="O4" s="22"/>
    </row>
    <row r="5" spans="1:18">
      <c r="A5" s="26">
        <v>2</v>
      </c>
      <c r="B5" s="411">
        <v>45963</v>
      </c>
      <c r="C5" s="17"/>
      <c r="D5" s="17"/>
      <c r="E5" s="249">
        <v>2300</v>
      </c>
      <c r="F5" s="17">
        <v>96.43</v>
      </c>
      <c r="G5" s="17">
        <f>E5*F5</f>
        <v>221789.00000000003</v>
      </c>
      <c r="H5" s="17"/>
      <c r="I5" s="17"/>
      <c r="J5" s="17">
        <f t="shared" ref="J5:J34" si="0">H5*I5</f>
        <v>0</v>
      </c>
      <c r="K5" s="17">
        <f t="shared" ref="K5:K34" si="1">G5+J5</f>
        <v>221789.00000000003</v>
      </c>
      <c r="L5" s="17"/>
      <c r="M5" s="143">
        <f t="shared" ref="M5:M34" si="2">M4+K5-L5</f>
        <v>2739013.0000000005</v>
      </c>
      <c r="N5" s="17"/>
    </row>
    <row r="6" spans="1:18">
      <c r="A6" s="26">
        <v>3</v>
      </c>
      <c r="B6" s="411">
        <v>45964</v>
      </c>
      <c r="C6" s="17"/>
      <c r="D6" s="17"/>
      <c r="E6" s="249">
        <v>2000</v>
      </c>
      <c r="F6" s="17">
        <v>96.43</v>
      </c>
      <c r="G6" s="17">
        <f t="shared" ref="G6:G34" si="3">E6*F6</f>
        <v>192860</v>
      </c>
      <c r="H6" s="17"/>
      <c r="I6" s="17"/>
      <c r="J6" s="17">
        <f t="shared" si="0"/>
        <v>0</v>
      </c>
      <c r="K6" s="17">
        <f t="shared" si="1"/>
        <v>192860</v>
      </c>
      <c r="L6" s="17"/>
      <c r="M6" s="143">
        <f t="shared" si="2"/>
        <v>2931873.0000000005</v>
      </c>
      <c r="N6" s="17"/>
      <c r="R6">
        <v>541.08000000000004</v>
      </c>
    </row>
    <row r="7" spans="1:18">
      <c r="A7" s="26">
        <v>4</v>
      </c>
      <c r="B7" s="411">
        <v>45965</v>
      </c>
      <c r="C7" s="17"/>
      <c r="D7" s="17"/>
      <c r="E7" s="249">
        <v>0</v>
      </c>
      <c r="F7" s="17">
        <v>96.43</v>
      </c>
      <c r="G7" s="17">
        <f t="shared" si="3"/>
        <v>0</v>
      </c>
      <c r="H7" s="17"/>
      <c r="I7" s="17"/>
      <c r="J7" s="17">
        <f t="shared" si="0"/>
        <v>0</v>
      </c>
      <c r="K7" s="17">
        <f t="shared" si="1"/>
        <v>0</v>
      </c>
      <c r="L7" s="17"/>
      <c r="M7" s="143">
        <f t="shared" si="2"/>
        <v>2931873.0000000005</v>
      </c>
      <c r="N7" s="17"/>
    </row>
    <row r="8" spans="1:18">
      <c r="A8" s="26">
        <v>5</v>
      </c>
      <c r="B8" s="411">
        <v>45966</v>
      </c>
      <c r="C8" s="144"/>
      <c r="D8" s="144"/>
      <c r="E8" s="17">
        <v>1300</v>
      </c>
      <c r="F8" s="17">
        <v>96.43</v>
      </c>
      <c r="G8" s="17">
        <f t="shared" si="3"/>
        <v>125359.00000000001</v>
      </c>
      <c r="H8" s="17"/>
      <c r="I8" s="17"/>
      <c r="J8" s="17">
        <f t="shared" si="0"/>
        <v>0</v>
      </c>
      <c r="K8" s="17">
        <f t="shared" si="1"/>
        <v>125359.00000000001</v>
      </c>
      <c r="L8" s="17"/>
      <c r="M8" s="143">
        <f>M7+K8-L8</f>
        <v>3057232.0000000005</v>
      </c>
      <c r="N8" s="17"/>
    </row>
    <row r="9" spans="1:18">
      <c r="A9" s="26">
        <v>6</v>
      </c>
      <c r="B9" s="411">
        <v>45967</v>
      </c>
      <c r="C9" s="17"/>
      <c r="D9" s="17"/>
      <c r="E9" s="17"/>
      <c r="F9" s="17"/>
      <c r="G9" s="17">
        <f t="shared" si="3"/>
        <v>0</v>
      </c>
      <c r="H9" s="17"/>
      <c r="I9" s="17"/>
      <c r="J9" s="17">
        <f t="shared" si="0"/>
        <v>0</v>
      </c>
      <c r="K9" s="17">
        <f t="shared" si="1"/>
        <v>0</v>
      </c>
      <c r="L9" s="17"/>
      <c r="M9" s="143">
        <f t="shared" si="2"/>
        <v>3057232.0000000005</v>
      </c>
      <c r="N9" s="17"/>
    </row>
    <row r="10" spans="1:18">
      <c r="A10" s="26">
        <v>7</v>
      </c>
      <c r="B10" s="411">
        <v>45968</v>
      </c>
      <c r="C10" s="17"/>
      <c r="D10" s="17"/>
      <c r="E10" s="17">
        <v>1200</v>
      </c>
      <c r="F10" s="17">
        <v>96.43</v>
      </c>
      <c r="G10" s="17">
        <f t="shared" si="3"/>
        <v>115716.00000000001</v>
      </c>
      <c r="H10" s="17"/>
      <c r="I10" s="17"/>
      <c r="J10" s="17">
        <f t="shared" si="0"/>
        <v>0</v>
      </c>
      <c r="K10" s="17">
        <f t="shared" si="1"/>
        <v>115716.00000000001</v>
      </c>
      <c r="L10" s="17"/>
      <c r="M10" s="143">
        <f t="shared" si="2"/>
        <v>3172948.0000000005</v>
      </c>
      <c r="N10" s="17"/>
    </row>
    <row r="11" spans="1:18">
      <c r="A11" s="26">
        <v>8</v>
      </c>
      <c r="B11" s="411">
        <v>45969</v>
      </c>
      <c r="C11" s="17"/>
      <c r="D11" s="17"/>
      <c r="E11" s="17">
        <v>2400</v>
      </c>
      <c r="F11" s="17">
        <v>96.43</v>
      </c>
      <c r="G11" s="17">
        <f t="shared" si="3"/>
        <v>231432.00000000003</v>
      </c>
      <c r="H11" s="17"/>
      <c r="I11" s="17"/>
      <c r="J11" s="17">
        <f t="shared" si="0"/>
        <v>0</v>
      </c>
      <c r="K11" s="17">
        <f t="shared" si="1"/>
        <v>231432.00000000003</v>
      </c>
      <c r="L11" s="17"/>
      <c r="M11" s="143">
        <f t="shared" si="2"/>
        <v>3404380.0000000005</v>
      </c>
      <c r="N11" s="17"/>
    </row>
    <row r="12" spans="1:18">
      <c r="A12" s="26">
        <v>9</v>
      </c>
      <c r="B12" s="411">
        <v>45970</v>
      </c>
      <c r="C12" s="17"/>
      <c r="D12" s="17"/>
      <c r="E12" s="17">
        <v>1500</v>
      </c>
      <c r="F12" s="17">
        <v>96.43</v>
      </c>
      <c r="G12" s="17">
        <f t="shared" si="3"/>
        <v>144645</v>
      </c>
      <c r="H12" s="17"/>
      <c r="I12" s="17"/>
      <c r="J12" s="17">
        <f t="shared" si="0"/>
        <v>0</v>
      </c>
      <c r="K12" s="17">
        <f t="shared" si="1"/>
        <v>144645</v>
      </c>
      <c r="L12" s="17"/>
      <c r="M12" s="143">
        <f t="shared" si="2"/>
        <v>3549025.0000000005</v>
      </c>
      <c r="N12" s="17"/>
    </row>
    <row r="13" spans="1:18">
      <c r="A13" s="26">
        <v>10</v>
      </c>
      <c r="B13" s="411">
        <v>45971</v>
      </c>
      <c r="C13" s="17"/>
      <c r="D13" s="17"/>
      <c r="E13" s="17">
        <v>1500</v>
      </c>
      <c r="F13" s="17">
        <v>96.43</v>
      </c>
      <c r="G13" s="17">
        <f t="shared" si="3"/>
        <v>144645</v>
      </c>
      <c r="H13" s="17"/>
      <c r="I13" s="17"/>
      <c r="J13" s="17">
        <f t="shared" si="0"/>
        <v>0</v>
      </c>
      <c r="K13" s="17">
        <f t="shared" si="1"/>
        <v>144645</v>
      </c>
      <c r="L13" s="17"/>
      <c r="M13" s="143">
        <f t="shared" si="2"/>
        <v>3693670.0000000005</v>
      </c>
      <c r="N13" s="17"/>
    </row>
    <row r="14" spans="1:18">
      <c r="A14" s="26">
        <v>11</v>
      </c>
      <c r="B14" s="411">
        <v>45972</v>
      </c>
      <c r="C14" s="17"/>
      <c r="D14" s="17"/>
      <c r="E14" s="17"/>
      <c r="F14" s="17"/>
      <c r="G14" s="17">
        <f t="shared" si="3"/>
        <v>0</v>
      </c>
      <c r="H14" s="17"/>
      <c r="I14" s="17"/>
      <c r="J14" s="17">
        <f t="shared" si="0"/>
        <v>0</v>
      </c>
      <c r="K14" s="17">
        <f t="shared" si="1"/>
        <v>0</v>
      </c>
      <c r="L14" s="17"/>
      <c r="M14" s="143">
        <f t="shared" si="2"/>
        <v>3693670.0000000005</v>
      </c>
      <c r="N14" s="17"/>
    </row>
    <row r="15" spans="1:18">
      <c r="A15" s="26">
        <v>12</v>
      </c>
      <c r="B15" s="411">
        <v>45973</v>
      </c>
      <c r="C15" s="17"/>
      <c r="D15" s="17"/>
      <c r="E15" s="17"/>
      <c r="F15" s="17"/>
      <c r="G15" s="37">
        <f>E15*F15</f>
        <v>0</v>
      </c>
      <c r="H15" s="37">
        <v>0</v>
      </c>
      <c r="I15" s="37">
        <v>0</v>
      </c>
      <c r="J15" s="37">
        <f>H15*I15</f>
        <v>0</v>
      </c>
      <c r="K15" s="37">
        <f>G15+J15</f>
        <v>0</v>
      </c>
      <c r="L15" s="17"/>
      <c r="M15" s="143">
        <f t="shared" si="2"/>
        <v>3693670.0000000005</v>
      </c>
      <c r="N15" s="17"/>
    </row>
    <row r="16" spans="1:18">
      <c r="A16" s="26">
        <v>13</v>
      </c>
      <c r="B16" s="411">
        <v>45974</v>
      </c>
      <c r="C16" s="17"/>
      <c r="D16" s="17"/>
      <c r="E16" s="17"/>
      <c r="F16" s="17"/>
      <c r="G16" s="17">
        <f t="shared" si="3"/>
        <v>0</v>
      </c>
      <c r="H16" s="17">
        <v>50</v>
      </c>
      <c r="I16" s="17">
        <v>108.24</v>
      </c>
      <c r="J16" s="17">
        <f t="shared" si="0"/>
        <v>5412</v>
      </c>
      <c r="K16" s="17">
        <f t="shared" si="1"/>
        <v>5412</v>
      </c>
      <c r="L16" s="17"/>
      <c r="M16" s="143">
        <f t="shared" si="2"/>
        <v>3699082.0000000005</v>
      </c>
      <c r="N16" s="17"/>
    </row>
    <row r="17" spans="1:14">
      <c r="A17" s="26">
        <v>14</v>
      </c>
      <c r="B17" s="411">
        <v>45975</v>
      </c>
      <c r="C17" s="17"/>
      <c r="D17" s="17"/>
      <c r="E17" s="17"/>
      <c r="F17" s="17"/>
      <c r="G17" s="17">
        <f t="shared" si="3"/>
        <v>0</v>
      </c>
      <c r="H17" s="17"/>
      <c r="I17" s="17"/>
      <c r="J17" s="17">
        <f t="shared" si="0"/>
        <v>0</v>
      </c>
      <c r="K17" s="17">
        <f t="shared" si="1"/>
        <v>0</v>
      </c>
      <c r="L17" s="17"/>
      <c r="M17" s="143">
        <f t="shared" si="2"/>
        <v>3699082.0000000005</v>
      </c>
      <c r="N17" s="17"/>
    </row>
    <row r="18" spans="1:14">
      <c r="A18" s="26">
        <v>15</v>
      </c>
      <c r="B18" s="411">
        <v>45976</v>
      </c>
      <c r="C18" s="17"/>
      <c r="D18" s="17"/>
      <c r="E18" s="17"/>
      <c r="F18" s="17"/>
      <c r="G18" s="17">
        <f t="shared" si="3"/>
        <v>0</v>
      </c>
      <c r="H18" s="17"/>
      <c r="I18" s="17"/>
      <c r="J18" s="17">
        <f t="shared" si="0"/>
        <v>0</v>
      </c>
      <c r="K18" s="17">
        <f t="shared" si="1"/>
        <v>0</v>
      </c>
      <c r="L18" s="17">
        <v>1600000</v>
      </c>
      <c r="M18" s="143">
        <f t="shared" si="2"/>
        <v>2099082.0000000005</v>
      </c>
      <c r="N18" s="17"/>
    </row>
    <row r="19" spans="1:14">
      <c r="A19" s="26">
        <v>16</v>
      </c>
      <c r="B19" s="411">
        <v>45977</v>
      </c>
      <c r="C19" s="17"/>
      <c r="D19" s="17"/>
      <c r="E19" s="17"/>
      <c r="F19" s="17"/>
      <c r="G19" s="17">
        <f t="shared" si="3"/>
        <v>0</v>
      </c>
      <c r="H19" s="17">
        <v>50</v>
      </c>
      <c r="I19" s="17">
        <v>108.24</v>
      </c>
      <c r="J19" s="17">
        <f t="shared" si="0"/>
        <v>5412</v>
      </c>
      <c r="K19" s="17">
        <f t="shared" si="1"/>
        <v>5412</v>
      </c>
      <c r="L19" s="17"/>
      <c r="M19" s="143">
        <f t="shared" si="2"/>
        <v>2104494.0000000005</v>
      </c>
      <c r="N19" s="17"/>
    </row>
    <row r="20" spans="1:14">
      <c r="A20" s="26">
        <v>17</v>
      </c>
      <c r="B20" s="411">
        <v>45978</v>
      </c>
      <c r="C20" s="17"/>
      <c r="D20" s="17"/>
      <c r="E20" s="17"/>
      <c r="F20" s="17"/>
      <c r="G20" s="17">
        <f t="shared" si="3"/>
        <v>0</v>
      </c>
      <c r="H20" s="17"/>
      <c r="I20" s="17"/>
      <c r="J20" s="17">
        <f t="shared" si="0"/>
        <v>0</v>
      </c>
      <c r="K20" s="17">
        <f t="shared" si="1"/>
        <v>0</v>
      </c>
      <c r="L20" s="17"/>
      <c r="M20" s="143">
        <f t="shared" si="2"/>
        <v>2104494.0000000005</v>
      </c>
      <c r="N20" s="17"/>
    </row>
    <row r="21" spans="1:14">
      <c r="A21" s="26">
        <v>18</v>
      </c>
      <c r="B21" s="411">
        <v>45979</v>
      </c>
      <c r="C21" s="17"/>
      <c r="D21" s="17"/>
      <c r="E21" s="110"/>
      <c r="F21" s="343"/>
      <c r="G21" s="17">
        <f t="shared" si="3"/>
        <v>0</v>
      </c>
      <c r="H21" s="17"/>
      <c r="I21" s="17"/>
      <c r="J21" s="17">
        <f t="shared" si="0"/>
        <v>0</v>
      </c>
      <c r="K21" s="17">
        <f t="shared" si="1"/>
        <v>0</v>
      </c>
      <c r="L21" s="17"/>
      <c r="M21" s="143">
        <f t="shared" si="2"/>
        <v>2104494.0000000005</v>
      </c>
      <c r="N21" s="17"/>
    </row>
    <row r="22" spans="1:14">
      <c r="A22" s="26">
        <v>19</v>
      </c>
      <c r="B22" s="411">
        <v>45980</v>
      </c>
      <c r="C22" s="17"/>
      <c r="D22" s="17"/>
      <c r="E22" s="334"/>
      <c r="F22" s="370"/>
      <c r="G22" s="17">
        <f t="shared" si="3"/>
        <v>0</v>
      </c>
      <c r="H22" s="17"/>
      <c r="I22" s="17"/>
      <c r="J22" s="17">
        <f t="shared" si="0"/>
        <v>0</v>
      </c>
      <c r="K22" s="17">
        <f>G22+J22</f>
        <v>0</v>
      </c>
      <c r="L22" s="17"/>
      <c r="M22" s="143">
        <f t="shared" si="2"/>
        <v>2104494.0000000005</v>
      </c>
      <c r="N22" s="17"/>
    </row>
    <row r="23" spans="1:14">
      <c r="A23" s="26">
        <v>20</v>
      </c>
      <c r="B23" s="411">
        <v>45981</v>
      </c>
      <c r="C23" s="17"/>
      <c r="D23" s="17"/>
      <c r="E23" s="17"/>
      <c r="F23" s="17"/>
      <c r="G23" s="17">
        <f t="shared" si="3"/>
        <v>0</v>
      </c>
      <c r="H23" s="17"/>
      <c r="I23" s="17"/>
      <c r="J23" s="17">
        <f t="shared" si="0"/>
        <v>0</v>
      </c>
      <c r="K23" s="17">
        <f t="shared" si="1"/>
        <v>0</v>
      </c>
      <c r="L23" s="17">
        <v>1000000</v>
      </c>
      <c r="M23" s="143">
        <f t="shared" si="2"/>
        <v>1104494.0000000005</v>
      </c>
      <c r="N23" s="17"/>
    </row>
    <row r="24" spans="1:14">
      <c r="A24" s="26">
        <v>21</v>
      </c>
      <c r="B24" s="411">
        <v>45982</v>
      </c>
      <c r="C24" s="17"/>
      <c r="D24" s="17"/>
      <c r="E24" s="17"/>
      <c r="F24" s="17"/>
      <c r="G24" s="17">
        <f t="shared" si="3"/>
        <v>0</v>
      </c>
      <c r="H24" s="17"/>
      <c r="I24" s="17"/>
      <c r="J24" s="17">
        <f t="shared" si="0"/>
        <v>0</v>
      </c>
      <c r="K24" s="17">
        <f t="shared" si="1"/>
        <v>0</v>
      </c>
      <c r="L24" s="17"/>
      <c r="M24" s="143">
        <f t="shared" si="2"/>
        <v>1104494.0000000005</v>
      </c>
      <c r="N24" s="17"/>
    </row>
    <row r="25" spans="1:14">
      <c r="A25" s="26">
        <v>22</v>
      </c>
      <c r="B25" s="411">
        <v>45983</v>
      </c>
      <c r="C25" s="17"/>
      <c r="D25" s="17"/>
      <c r="E25" s="17"/>
      <c r="F25" s="17"/>
      <c r="G25" s="17">
        <f t="shared" si="3"/>
        <v>0</v>
      </c>
      <c r="H25" s="17">
        <v>50</v>
      </c>
      <c r="I25" s="17">
        <v>108.24</v>
      </c>
      <c r="J25" s="17">
        <f t="shared" si="0"/>
        <v>5412</v>
      </c>
      <c r="K25" s="17">
        <f t="shared" si="1"/>
        <v>5412</v>
      </c>
      <c r="L25" s="17"/>
      <c r="M25" s="143">
        <f t="shared" si="2"/>
        <v>1109906.0000000005</v>
      </c>
      <c r="N25" s="17"/>
    </row>
    <row r="26" spans="1:14">
      <c r="A26" s="26">
        <v>23</v>
      </c>
      <c r="B26" s="411">
        <v>45984</v>
      </c>
      <c r="C26" s="17"/>
      <c r="D26" s="17"/>
      <c r="E26" s="17"/>
      <c r="F26" s="17"/>
      <c r="G26" s="17">
        <f t="shared" si="3"/>
        <v>0</v>
      </c>
      <c r="H26" s="17"/>
      <c r="I26" s="17"/>
      <c r="J26" s="17">
        <f t="shared" si="0"/>
        <v>0</v>
      </c>
      <c r="K26" s="17">
        <f t="shared" si="1"/>
        <v>0</v>
      </c>
      <c r="L26" s="17"/>
      <c r="M26" s="143">
        <f t="shared" si="2"/>
        <v>1109906.0000000005</v>
      </c>
      <c r="N26" s="17"/>
    </row>
    <row r="27" spans="1:14">
      <c r="A27" s="26">
        <v>24</v>
      </c>
      <c r="B27" s="411">
        <v>45985</v>
      </c>
      <c r="C27" s="17"/>
      <c r="D27" s="17"/>
      <c r="E27" s="17"/>
      <c r="F27" s="17"/>
      <c r="G27" s="17">
        <f t="shared" si="3"/>
        <v>0</v>
      </c>
      <c r="H27" s="17">
        <v>50</v>
      </c>
      <c r="I27" s="17">
        <v>108.24</v>
      </c>
      <c r="J27" s="17">
        <f t="shared" si="0"/>
        <v>5412</v>
      </c>
      <c r="K27" s="17">
        <f t="shared" si="1"/>
        <v>5412</v>
      </c>
      <c r="L27" s="17"/>
      <c r="M27" s="143">
        <f t="shared" si="2"/>
        <v>1115318.0000000005</v>
      </c>
      <c r="N27" s="17"/>
    </row>
    <row r="28" spans="1:14">
      <c r="A28" s="26">
        <v>25</v>
      </c>
      <c r="B28" s="411">
        <v>45986</v>
      </c>
      <c r="C28" s="17"/>
      <c r="D28" s="17"/>
      <c r="E28" s="17">
        <v>30</v>
      </c>
      <c r="F28" s="17">
        <v>96.43</v>
      </c>
      <c r="G28" s="17">
        <f t="shared" si="3"/>
        <v>2892.9</v>
      </c>
      <c r="H28" s="17"/>
      <c r="I28" s="17"/>
      <c r="J28" s="17">
        <f t="shared" si="0"/>
        <v>0</v>
      </c>
      <c r="K28" s="17">
        <f t="shared" si="1"/>
        <v>2892.9</v>
      </c>
      <c r="L28" s="17"/>
      <c r="M28" s="143">
        <f t="shared" si="2"/>
        <v>1118210.9000000004</v>
      </c>
      <c r="N28" s="17"/>
    </row>
    <row r="29" spans="1:14">
      <c r="A29" s="26">
        <v>26</v>
      </c>
      <c r="B29" s="411">
        <v>45987</v>
      </c>
      <c r="C29" s="17"/>
      <c r="D29" s="17"/>
      <c r="E29" s="17"/>
      <c r="F29" s="17"/>
      <c r="G29" s="17">
        <f t="shared" si="3"/>
        <v>0</v>
      </c>
      <c r="H29" s="17"/>
      <c r="I29" s="17"/>
      <c r="J29" s="17">
        <f t="shared" si="0"/>
        <v>0</v>
      </c>
      <c r="K29" s="17">
        <f t="shared" si="1"/>
        <v>0</v>
      </c>
      <c r="L29" s="17"/>
      <c r="M29" s="143">
        <f t="shared" si="2"/>
        <v>1118210.9000000004</v>
      </c>
      <c r="N29" s="17"/>
    </row>
    <row r="30" spans="1:14">
      <c r="A30" s="26">
        <v>27</v>
      </c>
      <c r="B30" s="411">
        <v>45988</v>
      </c>
      <c r="C30" s="17"/>
      <c r="D30" s="17"/>
      <c r="E30" s="17"/>
      <c r="F30" s="17"/>
      <c r="G30" s="17">
        <f t="shared" si="3"/>
        <v>0</v>
      </c>
      <c r="H30" s="17">
        <v>50</v>
      </c>
      <c r="I30" s="17">
        <v>108.24</v>
      </c>
      <c r="J30" s="17">
        <f t="shared" si="0"/>
        <v>5412</v>
      </c>
      <c r="K30" s="17">
        <f t="shared" si="1"/>
        <v>5412</v>
      </c>
      <c r="L30" s="17"/>
      <c r="M30" s="143">
        <f t="shared" si="2"/>
        <v>1123622.9000000004</v>
      </c>
      <c r="N30" s="17"/>
    </row>
    <row r="31" spans="1:14">
      <c r="A31" s="26">
        <v>28</v>
      </c>
      <c r="B31" s="411">
        <v>45989</v>
      </c>
      <c r="C31" s="17"/>
      <c r="D31" s="17"/>
      <c r="E31" s="17"/>
      <c r="F31" s="17"/>
      <c r="G31" s="17">
        <f t="shared" si="3"/>
        <v>0</v>
      </c>
      <c r="H31" s="17"/>
      <c r="I31" s="17"/>
      <c r="J31" s="17">
        <f t="shared" si="0"/>
        <v>0</v>
      </c>
      <c r="K31" s="17">
        <f t="shared" si="1"/>
        <v>0</v>
      </c>
      <c r="L31" s="17"/>
      <c r="M31" s="143">
        <f t="shared" si="2"/>
        <v>1123622.9000000004</v>
      </c>
      <c r="N31" s="17"/>
    </row>
    <row r="32" spans="1:14">
      <c r="A32" s="26">
        <v>29</v>
      </c>
      <c r="B32" s="411">
        <v>45990</v>
      </c>
      <c r="C32" s="17"/>
      <c r="D32" s="17"/>
      <c r="E32" s="17"/>
      <c r="F32" s="17"/>
      <c r="G32" s="17">
        <f t="shared" si="3"/>
        <v>0</v>
      </c>
      <c r="H32" s="17"/>
      <c r="I32" s="17"/>
      <c r="J32" s="17">
        <f t="shared" si="0"/>
        <v>0</v>
      </c>
      <c r="K32" s="17">
        <f t="shared" si="1"/>
        <v>0</v>
      </c>
      <c r="L32" s="17"/>
      <c r="M32" s="143">
        <f t="shared" si="2"/>
        <v>1123622.9000000004</v>
      </c>
      <c r="N32" s="17"/>
    </row>
    <row r="33" spans="1:17">
      <c r="A33" s="26">
        <v>30</v>
      </c>
      <c r="B33" s="411">
        <v>45991</v>
      </c>
      <c r="C33" s="17"/>
      <c r="D33" s="17"/>
      <c r="E33" s="17"/>
      <c r="F33" s="17"/>
      <c r="G33" s="17">
        <f t="shared" si="3"/>
        <v>0</v>
      </c>
      <c r="H33" s="17"/>
      <c r="I33" s="17"/>
      <c r="J33" s="17">
        <f t="shared" si="0"/>
        <v>0</v>
      </c>
      <c r="K33" s="17">
        <f t="shared" si="1"/>
        <v>0</v>
      </c>
      <c r="L33" s="17"/>
      <c r="M33" s="143">
        <f t="shared" si="2"/>
        <v>1123622.9000000004</v>
      </c>
      <c r="N33" s="17"/>
    </row>
    <row r="34" spans="1:17">
      <c r="A34" s="26">
        <v>31</v>
      </c>
      <c r="B34" s="411"/>
      <c r="C34" s="17"/>
      <c r="D34" s="17"/>
      <c r="E34" s="17">
        <v>0</v>
      </c>
      <c r="F34" s="17">
        <v>0</v>
      </c>
      <c r="G34" s="17">
        <f t="shared" si="3"/>
        <v>0</v>
      </c>
      <c r="H34" s="17"/>
      <c r="I34" s="17"/>
      <c r="J34" s="17">
        <f t="shared" si="0"/>
        <v>0</v>
      </c>
      <c r="K34" s="17">
        <f t="shared" si="1"/>
        <v>0</v>
      </c>
      <c r="L34" s="17"/>
      <c r="M34" s="143">
        <f t="shared" si="2"/>
        <v>1123622.9000000004</v>
      </c>
      <c r="N34" s="17"/>
      <c r="O34">
        <v>1688453.58</v>
      </c>
      <c r="P34">
        <v>1900671</v>
      </c>
      <c r="Q34">
        <f>P34-O34</f>
        <v>212217.41999999993</v>
      </c>
    </row>
    <row r="35" spans="1:17">
      <c r="A35" s="46"/>
      <c r="B35" s="46"/>
      <c r="C35" s="46"/>
      <c r="D35" s="46"/>
      <c r="E35" s="206">
        <f>SUM(E4:E34)</f>
        <v>14230</v>
      </c>
      <c r="F35" s="47"/>
      <c r="G35" s="206">
        <f>SUM(G4:G34)</f>
        <v>1372198.9</v>
      </c>
      <c r="H35" s="206">
        <f>SUM(H4:H34)</f>
        <v>250</v>
      </c>
      <c r="I35" s="47"/>
      <c r="J35" s="206">
        <f>SUM(J4:J34)</f>
        <v>27060</v>
      </c>
      <c r="K35" s="206">
        <f>SUM(K4:K34)</f>
        <v>1399258.9</v>
      </c>
      <c r="L35" s="206">
        <f>SUM(L4:L34)</f>
        <v>2600000</v>
      </c>
      <c r="M35" s="47"/>
      <c r="N35" s="47"/>
      <c r="O35" s="33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AB8-1190-4CA3-8E20-1BC2619602FD}">
  <dimension ref="A1:R44"/>
  <sheetViews>
    <sheetView topLeftCell="A4" workbookViewId="0">
      <selection activeCell="F7" sqref="F7"/>
    </sheetView>
  </sheetViews>
  <sheetFormatPr defaultRowHeight="15"/>
  <cols>
    <col min="2" max="2" width="10.140625" bestFit="1" customWidth="1"/>
    <col min="3" max="3" width="12.140625" customWidth="1"/>
    <col min="4" max="4" width="15.140625" customWidth="1"/>
    <col min="5" max="5" width="10.85546875" customWidth="1"/>
    <col min="7" max="7" width="13.7109375" bestFit="1" customWidth="1"/>
    <col min="11" max="12" width="13.5703125" bestFit="1" customWidth="1"/>
    <col min="13" max="13" width="13.140625" bestFit="1" customWidth="1"/>
    <col min="14" max="14" width="8.42578125" bestFit="1" customWidth="1"/>
  </cols>
  <sheetData>
    <row r="1" spans="1:18" ht="15.75">
      <c r="A1" s="456" t="s">
        <v>20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88"/>
    </row>
    <row r="2" spans="1:18" ht="30.75">
      <c r="A2" s="104" t="s">
        <v>95</v>
      </c>
      <c r="B2" s="105" t="s">
        <v>96</v>
      </c>
      <c r="C2" s="105" t="s">
        <v>97</v>
      </c>
      <c r="D2" s="105" t="s">
        <v>111</v>
      </c>
      <c r="E2" s="272" t="s">
        <v>99</v>
      </c>
      <c r="F2" s="272" t="s">
        <v>100</v>
      </c>
      <c r="G2" s="105" t="s">
        <v>101</v>
      </c>
      <c r="H2" s="105" t="s">
        <v>102</v>
      </c>
      <c r="I2" s="105" t="s">
        <v>100</v>
      </c>
      <c r="J2" s="145" t="s">
        <v>101</v>
      </c>
      <c r="K2" s="106" t="s">
        <v>103</v>
      </c>
      <c r="L2" s="146" t="s">
        <v>104</v>
      </c>
      <c r="M2" s="150" t="s">
        <v>110</v>
      </c>
      <c r="N2" s="107" t="s">
        <v>106</v>
      </c>
      <c r="O2" s="65"/>
    </row>
    <row r="3" spans="1:18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7"/>
      <c r="M3" s="155">
        <v>0</v>
      </c>
      <c r="N3" s="164"/>
      <c r="O3" s="65"/>
    </row>
    <row r="4" spans="1:18">
      <c r="A4" s="208">
        <v>1</v>
      </c>
      <c r="B4" s="233">
        <v>45962</v>
      </c>
      <c r="C4" s="73"/>
      <c r="D4" s="167"/>
      <c r="E4" s="273"/>
      <c r="F4" s="273"/>
      <c r="G4" s="8">
        <f t="shared" ref="G4:G3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v>0</v>
      </c>
      <c r="M4" s="74">
        <f>+M3+K4-L4</f>
        <v>0</v>
      </c>
      <c r="N4" s="8"/>
    </row>
    <row r="5" spans="1:18">
      <c r="A5" s="50">
        <v>2</v>
      </c>
      <c r="B5" s="233">
        <v>45963</v>
      </c>
      <c r="C5" s="73"/>
      <c r="D5" s="167"/>
      <c r="E5" s="273"/>
      <c r="F5" s="273"/>
      <c r="G5" s="8">
        <f t="shared" si="0"/>
        <v>0</v>
      </c>
      <c r="H5" s="71">
        <v>0</v>
      </c>
      <c r="I5" s="72">
        <v>0</v>
      </c>
      <c r="J5" s="8">
        <f t="shared" ref="J5:J34" si="1">H5*I5</f>
        <v>0</v>
      </c>
      <c r="K5" s="8">
        <f t="shared" ref="K5:K34" si="2">G5+J5</f>
        <v>0</v>
      </c>
      <c r="L5" s="74">
        <v>0</v>
      </c>
      <c r="M5" s="74">
        <f t="shared" ref="M5:M8" si="3">+M4+K5-L5</f>
        <v>0</v>
      </c>
      <c r="N5" s="8"/>
    </row>
    <row r="6" spans="1:18">
      <c r="A6" s="50">
        <v>3</v>
      </c>
      <c r="B6" s="233">
        <v>45964</v>
      </c>
      <c r="C6" s="73"/>
      <c r="D6" s="167"/>
      <c r="E6" s="273"/>
      <c r="F6" s="273"/>
      <c r="G6" s="8">
        <f t="shared" si="0"/>
        <v>0</v>
      </c>
      <c r="H6" s="71">
        <v>0</v>
      </c>
      <c r="I6" s="72">
        <v>0</v>
      </c>
      <c r="J6" s="8">
        <f t="shared" si="1"/>
        <v>0</v>
      </c>
      <c r="K6" s="8">
        <f t="shared" si="2"/>
        <v>0</v>
      </c>
      <c r="L6" s="74">
        <v>0</v>
      </c>
      <c r="M6" s="74">
        <f t="shared" si="3"/>
        <v>0</v>
      </c>
      <c r="N6" s="8"/>
    </row>
    <row r="7" spans="1:18">
      <c r="A7" s="50">
        <v>4</v>
      </c>
      <c r="B7" s="233">
        <v>45965</v>
      </c>
      <c r="C7" s="73"/>
      <c r="D7" s="167"/>
      <c r="E7" s="273">
        <v>2500</v>
      </c>
      <c r="F7" s="273">
        <v>95.43</v>
      </c>
      <c r="G7" s="8">
        <f t="shared" si="0"/>
        <v>238575.00000000003</v>
      </c>
      <c r="H7" s="71">
        <v>0</v>
      </c>
      <c r="I7" s="72">
        <v>0</v>
      </c>
      <c r="J7" s="8">
        <f t="shared" si="1"/>
        <v>0</v>
      </c>
      <c r="K7" s="8">
        <f t="shared" si="2"/>
        <v>238575.00000000003</v>
      </c>
      <c r="L7" s="74">
        <v>0</v>
      </c>
      <c r="M7" s="74">
        <f t="shared" si="3"/>
        <v>238575.00000000003</v>
      </c>
      <c r="N7" s="8"/>
    </row>
    <row r="8" spans="1:18">
      <c r="A8" s="50">
        <v>5</v>
      </c>
      <c r="B8" s="233">
        <v>45966</v>
      </c>
      <c r="C8" s="73"/>
      <c r="D8" s="167"/>
      <c r="E8" s="273">
        <v>2000</v>
      </c>
      <c r="F8" s="273">
        <v>95.43</v>
      </c>
      <c r="G8" s="8">
        <f t="shared" si="0"/>
        <v>190860</v>
      </c>
      <c r="H8" s="71">
        <v>0</v>
      </c>
      <c r="I8" s="72">
        <v>0</v>
      </c>
      <c r="J8" s="8">
        <f t="shared" si="1"/>
        <v>0</v>
      </c>
      <c r="K8" s="8">
        <f t="shared" si="2"/>
        <v>190860</v>
      </c>
      <c r="L8" s="74">
        <v>0</v>
      </c>
      <c r="M8" s="74">
        <f t="shared" si="3"/>
        <v>429435</v>
      </c>
      <c r="N8" s="8"/>
      <c r="O8" s="75"/>
      <c r="R8" s="240"/>
    </row>
    <row r="9" spans="1:18">
      <c r="A9" s="50">
        <v>6</v>
      </c>
      <c r="B9" s="233">
        <v>45967</v>
      </c>
      <c r="C9" s="73"/>
      <c r="D9" s="167"/>
      <c r="E9" s="273"/>
      <c r="F9" s="71"/>
      <c r="G9" s="8">
        <f t="shared" si="0"/>
        <v>0</v>
      </c>
      <c r="H9" s="71">
        <v>0</v>
      </c>
      <c r="I9" s="72">
        <v>0</v>
      </c>
      <c r="J9" s="8">
        <f t="shared" si="1"/>
        <v>0</v>
      </c>
      <c r="K9" s="8">
        <f t="shared" si="2"/>
        <v>0</v>
      </c>
      <c r="L9" s="74">
        <v>0</v>
      </c>
      <c r="M9" s="74">
        <f>+M8+K9-L9</f>
        <v>429435</v>
      </c>
      <c r="N9" s="8"/>
      <c r="O9" s="75"/>
    </row>
    <row r="10" spans="1:18">
      <c r="A10" s="50">
        <v>7</v>
      </c>
      <c r="B10" s="233">
        <v>45968</v>
      </c>
      <c r="C10" s="73"/>
      <c r="D10" s="167"/>
      <c r="E10" s="273"/>
      <c r="F10" s="273"/>
      <c r="G10" s="8">
        <f t="shared" si="0"/>
        <v>0</v>
      </c>
      <c r="H10" s="71">
        <v>0</v>
      </c>
      <c r="I10" s="72">
        <v>0</v>
      </c>
      <c r="J10" s="8">
        <f t="shared" si="1"/>
        <v>0</v>
      </c>
      <c r="K10" s="8">
        <f t="shared" si="2"/>
        <v>0</v>
      </c>
      <c r="L10" s="74">
        <v>0</v>
      </c>
      <c r="M10" s="74">
        <f>+M9+K10-L10</f>
        <v>429435</v>
      </c>
      <c r="N10" s="8"/>
      <c r="O10" s="75"/>
    </row>
    <row r="11" spans="1:18">
      <c r="A11" s="50">
        <v>8</v>
      </c>
      <c r="B11" s="233">
        <v>45969</v>
      </c>
      <c r="C11" s="73"/>
      <c r="D11" s="167"/>
      <c r="E11" s="273"/>
      <c r="F11" s="273"/>
      <c r="G11" s="8">
        <f t="shared" si="0"/>
        <v>0</v>
      </c>
      <c r="H11" s="71">
        <v>0</v>
      </c>
      <c r="I11" s="72">
        <v>0</v>
      </c>
      <c r="J11" s="8">
        <f t="shared" si="1"/>
        <v>0</v>
      </c>
      <c r="K11" s="8">
        <f t="shared" si="2"/>
        <v>0</v>
      </c>
      <c r="L11" s="74">
        <v>0</v>
      </c>
      <c r="M11" s="74">
        <f>+M10+K11-L11</f>
        <v>429435</v>
      </c>
      <c r="N11" s="8"/>
      <c r="O11" s="75"/>
    </row>
    <row r="12" spans="1:18">
      <c r="A12" s="50">
        <v>9</v>
      </c>
      <c r="B12" s="233">
        <v>45970</v>
      </c>
      <c r="C12" s="73"/>
      <c r="D12" s="167"/>
      <c r="E12" s="273"/>
      <c r="F12" s="273"/>
      <c r="G12" s="8">
        <f t="shared" si="0"/>
        <v>0</v>
      </c>
      <c r="H12" s="71">
        <v>0</v>
      </c>
      <c r="I12" s="72">
        <v>0</v>
      </c>
      <c r="J12" s="8">
        <f t="shared" si="1"/>
        <v>0</v>
      </c>
      <c r="K12" s="8">
        <f t="shared" si="2"/>
        <v>0</v>
      </c>
      <c r="L12" s="74">
        <v>0</v>
      </c>
      <c r="M12" s="74">
        <f t="shared" ref="M12:M34" si="4">+M11+K12-L12</f>
        <v>429435</v>
      </c>
      <c r="N12" s="8"/>
      <c r="O12" s="75"/>
    </row>
    <row r="13" spans="1:18">
      <c r="A13" s="50">
        <v>10</v>
      </c>
      <c r="B13" s="233">
        <v>45971</v>
      </c>
      <c r="C13" s="73"/>
      <c r="D13" s="167"/>
      <c r="E13" s="273">
        <v>2000</v>
      </c>
      <c r="F13" s="273">
        <v>95.43</v>
      </c>
      <c r="G13" s="8">
        <f t="shared" si="0"/>
        <v>190860</v>
      </c>
      <c r="H13" s="71">
        <v>0</v>
      </c>
      <c r="I13" s="72">
        <v>0</v>
      </c>
      <c r="J13" s="8">
        <f t="shared" si="1"/>
        <v>0</v>
      </c>
      <c r="K13" s="8">
        <f t="shared" si="2"/>
        <v>190860</v>
      </c>
      <c r="L13" s="74">
        <v>0</v>
      </c>
      <c r="M13" s="74">
        <f t="shared" si="4"/>
        <v>620295</v>
      </c>
      <c r="N13" s="8"/>
      <c r="O13" s="75"/>
    </row>
    <row r="14" spans="1:18">
      <c r="A14" s="50">
        <v>11</v>
      </c>
      <c r="B14" s="233">
        <v>45972</v>
      </c>
      <c r="C14" s="73"/>
      <c r="D14" s="167"/>
      <c r="E14" s="273"/>
      <c r="F14" s="273"/>
      <c r="G14" s="8">
        <f t="shared" si="0"/>
        <v>0</v>
      </c>
      <c r="H14" s="71">
        <v>0</v>
      </c>
      <c r="I14" s="72">
        <v>0</v>
      </c>
      <c r="J14" s="8">
        <f t="shared" si="1"/>
        <v>0</v>
      </c>
      <c r="K14" s="8">
        <f t="shared" si="2"/>
        <v>0</v>
      </c>
      <c r="L14" s="74">
        <v>0</v>
      </c>
      <c r="M14" s="74">
        <f t="shared" si="4"/>
        <v>620295</v>
      </c>
      <c r="N14" s="8"/>
      <c r="O14" s="75"/>
    </row>
    <row r="15" spans="1:18">
      <c r="A15" s="50">
        <v>12</v>
      </c>
      <c r="B15" s="233">
        <v>45973</v>
      </c>
      <c r="C15" s="73"/>
      <c r="D15" s="167"/>
      <c r="E15" s="273">
        <v>1500</v>
      </c>
      <c r="F15" s="273">
        <v>95.43</v>
      </c>
      <c r="G15" s="8">
        <f t="shared" si="0"/>
        <v>143145</v>
      </c>
      <c r="H15" s="71">
        <v>0</v>
      </c>
      <c r="I15" s="72">
        <v>0</v>
      </c>
      <c r="J15" s="8">
        <f t="shared" si="1"/>
        <v>0</v>
      </c>
      <c r="K15" s="8">
        <f t="shared" si="2"/>
        <v>143145</v>
      </c>
      <c r="L15" s="74">
        <v>0</v>
      </c>
      <c r="M15" s="74">
        <f t="shared" si="4"/>
        <v>763440</v>
      </c>
      <c r="N15" s="8"/>
      <c r="O15" s="75"/>
    </row>
    <row r="16" spans="1:18">
      <c r="A16" s="50">
        <v>13</v>
      </c>
      <c r="B16" s="233">
        <v>45974</v>
      </c>
      <c r="C16" s="73"/>
      <c r="D16" s="167"/>
      <c r="E16" s="273">
        <v>2000</v>
      </c>
      <c r="F16" s="273">
        <v>95.43</v>
      </c>
      <c r="G16" s="8">
        <f t="shared" si="0"/>
        <v>190860</v>
      </c>
      <c r="H16" s="71">
        <v>0</v>
      </c>
      <c r="I16" s="72">
        <v>0</v>
      </c>
      <c r="J16" s="8">
        <f t="shared" si="1"/>
        <v>0</v>
      </c>
      <c r="K16" s="8">
        <f t="shared" si="2"/>
        <v>190860</v>
      </c>
      <c r="L16" s="74">
        <v>0</v>
      </c>
      <c r="M16" s="74">
        <f t="shared" si="4"/>
        <v>954300</v>
      </c>
      <c r="N16" s="8"/>
      <c r="O16" s="75"/>
    </row>
    <row r="17" spans="1:17">
      <c r="A17" s="50">
        <v>14</v>
      </c>
      <c r="B17" s="233">
        <v>45975</v>
      </c>
      <c r="C17" s="73"/>
      <c r="D17" s="167"/>
      <c r="E17" s="273">
        <v>2000</v>
      </c>
      <c r="F17" s="273">
        <v>95.43</v>
      </c>
      <c r="G17" s="8">
        <f t="shared" si="0"/>
        <v>190860</v>
      </c>
      <c r="H17" s="71">
        <v>0</v>
      </c>
      <c r="I17" s="72">
        <v>0</v>
      </c>
      <c r="J17" s="8">
        <f t="shared" si="1"/>
        <v>0</v>
      </c>
      <c r="K17" s="8">
        <f t="shared" si="2"/>
        <v>190860</v>
      </c>
      <c r="L17" s="74">
        <v>0</v>
      </c>
      <c r="M17" s="74">
        <f t="shared" si="4"/>
        <v>1145160</v>
      </c>
      <c r="N17" s="8"/>
      <c r="O17" s="75"/>
    </row>
    <row r="18" spans="1:17">
      <c r="A18" s="50">
        <v>15</v>
      </c>
      <c r="B18" s="233">
        <v>45976</v>
      </c>
      <c r="C18" s="73"/>
      <c r="D18" s="167"/>
      <c r="E18" s="273">
        <v>4000</v>
      </c>
      <c r="F18" s="273">
        <v>95.43</v>
      </c>
      <c r="G18" s="8">
        <f t="shared" si="0"/>
        <v>381720</v>
      </c>
      <c r="H18" s="71">
        <v>0</v>
      </c>
      <c r="I18" s="72">
        <v>0</v>
      </c>
      <c r="J18" s="8">
        <f t="shared" si="1"/>
        <v>0</v>
      </c>
      <c r="K18" s="8">
        <f t="shared" si="2"/>
        <v>381720</v>
      </c>
      <c r="L18" s="74">
        <v>0</v>
      </c>
      <c r="M18" s="74">
        <f t="shared" si="4"/>
        <v>1526880</v>
      </c>
      <c r="N18" s="192"/>
      <c r="O18" s="75"/>
    </row>
    <row r="19" spans="1:17">
      <c r="A19" s="50">
        <v>16</v>
      </c>
      <c r="B19" s="233">
        <v>45977</v>
      </c>
      <c r="C19" s="73"/>
      <c r="D19" s="167"/>
      <c r="E19" s="273">
        <v>4250</v>
      </c>
      <c r="F19" s="273">
        <v>95.43</v>
      </c>
      <c r="G19" s="8">
        <f t="shared" si="0"/>
        <v>405577.5</v>
      </c>
      <c r="H19" s="71">
        <v>0</v>
      </c>
      <c r="I19" s="72">
        <v>0</v>
      </c>
      <c r="J19" s="8">
        <f t="shared" si="1"/>
        <v>0</v>
      </c>
      <c r="K19" s="8">
        <f t="shared" si="2"/>
        <v>405577.5</v>
      </c>
      <c r="L19" s="74">
        <v>0</v>
      </c>
      <c r="M19" s="74">
        <f t="shared" si="4"/>
        <v>1932457.5</v>
      </c>
      <c r="N19" s="303"/>
      <c r="O19" s="75"/>
    </row>
    <row r="20" spans="1:17">
      <c r="A20" s="50">
        <v>17</v>
      </c>
      <c r="B20" s="233">
        <v>45978</v>
      </c>
      <c r="C20" s="73"/>
      <c r="D20" s="167"/>
      <c r="E20" s="273"/>
      <c r="F20" s="273"/>
      <c r="G20" s="8">
        <f t="shared" si="0"/>
        <v>0</v>
      </c>
      <c r="H20" s="71">
        <v>0</v>
      </c>
      <c r="I20" s="72">
        <v>0</v>
      </c>
      <c r="J20" s="8">
        <f t="shared" si="1"/>
        <v>0</v>
      </c>
      <c r="K20" s="8">
        <f t="shared" si="2"/>
        <v>0</v>
      </c>
      <c r="L20" s="74">
        <v>0</v>
      </c>
      <c r="M20" s="74">
        <f t="shared" si="4"/>
        <v>1932457.5</v>
      </c>
      <c r="N20" s="19"/>
      <c r="O20" s="75"/>
    </row>
    <row r="21" spans="1:17">
      <c r="A21" s="50">
        <v>18</v>
      </c>
      <c r="B21" s="233">
        <v>45979</v>
      </c>
      <c r="C21" s="73"/>
      <c r="D21" s="167"/>
      <c r="E21" s="273">
        <v>2500</v>
      </c>
      <c r="F21" s="273">
        <v>95.43</v>
      </c>
      <c r="G21" s="8">
        <f t="shared" si="0"/>
        <v>238575.00000000003</v>
      </c>
      <c r="H21" s="71">
        <v>0</v>
      </c>
      <c r="I21" s="72">
        <v>0</v>
      </c>
      <c r="J21" s="8">
        <f t="shared" si="1"/>
        <v>0</v>
      </c>
      <c r="K21" s="8">
        <f t="shared" si="2"/>
        <v>238575.00000000003</v>
      </c>
      <c r="L21" s="74">
        <v>0</v>
      </c>
      <c r="M21" s="74">
        <f t="shared" si="4"/>
        <v>2171032.5</v>
      </c>
      <c r="N21" s="8"/>
      <c r="O21" s="75"/>
    </row>
    <row r="22" spans="1:17">
      <c r="A22" s="50">
        <v>19</v>
      </c>
      <c r="B22" s="233">
        <v>45980</v>
      </c>
      <c r="C22" s="73"/>
      <c r="D22" s="167"/>
      <c r="E22" s="273"/>
      <c r="F22" s="273"/>
      <c r="G22" s="8">
        <f t="shared" si="0"/>
        <v>0</v>
      </c>
      <c r="H22" s="71">
        <v>0</v>
      </c>
      <c r="I22" s="72">
        <v>0</v>
      </c>
      <c r="J22" s="8">
        <f t="shared" si="1"/>
        <v>0</v>
      </c>
      <c r="K22" s="8">
        <f t="shared" si="2"/>
        <v>0</v>
      </c>
      <c r="L22" s="74">
        <v>0</v>
      </c>
      <c r="M22" s="74">
        <f t="shared" si="4"/>
        <v>2171032.5</v>
      </c>
      <c r="N22" s="8"/>
      <c r="O22" s="75"/>
      <c r="Q22" s="22"/>
    </row>
    <row r="23" spans="1:17">
      <c r="A23" s="50">
        <v>20</v>
      </c>
      <c r="B23" s="233">
        <v>45981</v>
      </c>
      <c r="C23" s="73"/>
      <c r="D23" s="167"/>
      <c r="E23" s="273"/>
      <c r="F23" s="273"/>
      <c r="G23" s="8">
        <f t="shared" si="0"/>
        <v>0</v>
      </c>
      <c r="H23" s="71">
        <v>0</v>
      </c>
      <c r="I23" s="72">
        <v>0</v>
      </c>
      <c r="J23" s="8">
        <f t="shared" si="1"/>
        <v>0</v>
      </c>
      <c r="K23" s="8">
        <f t="shared" si="2"/>
        <v>0</v>
      </c>
      <c r="L23" s="74">
        <v>0</v>
      </c>
      <c r="M23" s="74">
        <f t="shared" si="4"/>
        <v>2171032.5</v>
      </c>
      <c r="N23" s="8"/>
      <c r="O23" s="75"/>
    </row>
    <row r="24" spans="1:17">
      <c r="A24" s="50">
        <v>21</v>
      </c>
      <c r="B24" s="233">
        <v>45982</v>
      </c>
      <c r="C24" s="73"/>
      <c r="D24" s="167"/>
      <c r="E24" s="273"/>
      <c r="F24" s="273"/>
      <c r="G24" s="8">
        <f t="shared" si="0"/>
        <v>0</v>
      </c>
      <c r="H24" s="71">
        <v>0</v>
      </c>
      <c r="I24" s="72">
        <v>0</v>
      </c>
      <c r="J24" s="8">
        <f t="shared" si="1"/>
        <v>0</v>
      </c>
      <c r="K24" s="8">
        <f t="shared" si="2"/>
        <v>0</v>
      </c>
      <c r="L24" s="74">
        <v>1000000</v>
      </c>
      <c r="M24" s="74">
        <f t="shared" si="4"/>
        <v>1171032.5</v>
      </c>
      <c r="N24" s="8"/>
      <c r="O24" s="75"/>
    </row>
    <row r="25" spans="1:17">
      <c r="A25" s="50">
        <v>22</v>
      </c>
      <c r="B25" s="233">
        <v>45983</v>
      </c>
      <c r="C25" s="73"/>
      <c r="D25" s="167"/>
      <c r="E25" s="273"/>
      <c r="F25" s="273"/>
      <c r="G25" s="8">
        <f t="shared" si="0"/>
        <v>0</v>
      </c>
      <c r="H25" s="71">
        <v>0</v>
      </c>
      <c r="I25" s="72">
        <v>0</v>
      </c>
      <c r="J25" s="8">
        <f t="shared" si="1"/>
        <v>0</v>
      </c>
      <c r="K25" s="8">
        <f t="shared" si="2"/>
        <v>0</v>
      </c>
      <c r="L25" s="74">
        <v>0</v>
      </c>
      <c r="M25" s="74">
        <f t="shared" si="4"/>
        <v>1171032.5</v>
      </c>
      <c r="N25" s="8"/>
      <c r="O25" s="75"/>
    </row>
    <row r="26" spans="1:17">
      <c r="A26" s="50">
        <v>23</v>
      </c>
      <c r="B26" s="233">
        <v>45984</v>
      </c>
      <c r="C26" s="73"/>
      <c r="D26" s="167"/>
      <c r="E26" s="273"/>
      <c r="F26" s="273"/>
      <c r="G26" s="8">
        <f t="shared" si="0"/>
        <v>0</v>
      </c>
      <c r="H26" s="71">
        <v>0</v>
      </c>
      <c r="I26" s="72">
        <v>0</v>
      </c>
      <c r="J26" s="8">
        <f t="shared" si="1"/>
        <v>0</v>
      </c>
      <c r="K26" s="8">
        <f t="shared" si="2"/>
        <v>0</v>
      </c>
      <c r="L26" s="74">
        <v>0</v>
      </c>
      <c r="M26" s="74">
        <f t="shared" si="4"/>
        <v>1171032.5</v>
      </c>
      <c r="N26" s="8"/>
      <c r="O26" s="75"/>
    </row>
    <row r="27" spans="1:17">
      <c r="A27" s="50">
        <v>24</v>
      </c>
      <c r="B27" s="233">
        <v>45985</v>
      </c>
      <c r="C27" s="73"/>
      <c r="D27" s="167"/>
      <c r="E27" s="273">
        <v>2000</v>
      </c>
      <c r="F27" s="273">
        <v>95.43</v>
      </c>
      <c r="G27" s="8">
        <f t="shared" si="0"/>
        <v>190860</v>
      </c>
      <c r="H27" s="71">
        <v>0</v>
      </c>
      <c r="I27" s="72">
        <v>0</v>
      </c>
      <c r="J27" s="8">
        <f t="shared" si="1"/>
        <v>0</v>
      </c>
      <c r="K27" s="8">
        <f t="shared" si="2"/>
        <v>190860</v>
      </c>
      <c r="L27" s="74">
        <v>0</v>
      </c>
      <c r="M27" s="74">
        <f t="shared" si="4"/>
        <v>1361892.5</v>
      </c>
      <c r="N27" s="8"/>
      <c r="O27" s="75"/>
    </row>
    <row r="28" spans="1:17">
      <c r="A28" s="235">
        <v>25</v>
      </c>
      <c r="B28" s="233">
        <v>45986</v>
      </c>
      <c r="C28" s="73"/>
      <c r="D28" s="167"/>
      <c r="E28" s="273"/>
      <c r="F28" s="273"/>
      <c r="G28" s="8">
        <f t="shared" si="0"/>
        <v>0</v>
      </c>
      <c r="H28" s="71">
        <v>0</v>
      </c>
      <c r="I28" s="72">
        <v>0</v>
      </c>
      <c r="J28" s="8">
        <f t="shared" si="1"/>
        <v>0</v>
      </c>
      <c r="K28" s="8">
        <f t="shared" si="2"/>
        <v>0</v>
      </c>
      <c r="L28" s="74">
        <v>0</v>
      </c>
      <c r="M28" s="74">
        <f t="shared" si="4"/>
        <v>1361892.5</v>
      </c>
      <c r="N28" s="8"/>
      <c r="O28" s="75"/>
    </row>
    <row r="29" spans="1:17">
      <c r="A29" s="235">
        <v>26</v>
      </c>
      <c r="B29" s="233">
        <v>45987</v>
      </c>
      <c r="C29" s="73"/>
      <c r="D29" s="167"/>
      <c r="E29" s="273">
        <v>3000</v>
      </c>
      <c r="F29" s="273">
        <v>95.43</v>
      </c>
      <c r="G29" s="8">
        <f t="shared" si="0"/>
        <v>286290</v>
      </c>
      <c r="H29" s="71">
        <v>0</v>
      </c>
      <c r="I29" s="72">
        <v>0</v>
      </c>
      <c r="J29" s="8">
        <f t="shared" si="1"/>
        <v>0</v>
      </c>
      <c r="K29" s="8">
        <f t="shared" si="2"/>
        <v>286290</v>
      </c>
      <c r="L29" s="74">
        <v>0</v>
      </c>
      <c r="M29" s="74">
        <f t="shared" si="4"/>
        <v>1648182.5</v>
      </c>
      <c r="N29" s="8"/>
      <c r="O29" s="75"/>
    </row>
    <row r="30" spans="1:17">
      <c r="A30" s="235">
        <v>27</v>
      </c>
      <c r="B30" s="233">
        <v>45988</v>
      </c>
      <c r="C30" s="73"/>
      <c r="D30" s="167"/>
      <c r="E30" s="273"/>
      <c r="F30" s="273"/>
      <c r="G30" s="8">
        <f t="shared" si="0"/>
        <v>0</v>
      </c>
      <c r="H30" s="71">
        <v>0</v>
      </c>
      <c r="I30" s="72">
        <v>0</v>
      </c>
      <c r="J30" s="8">
        <f t="shared" si="1"/>
        <v>0</v>
      </c>
      <c r="K30" s="8">
        <f t="shared" si="2"/>
        <v>0</v>
      </c>
      <c r="L30" s="74">
        <v>0</v>
      </c>
      <c r="M30" s="74">
        <f t="shared" si="4"/>
        <v>1648182.5</v>
      </c>
      <c r="N30" s="8"/>
      <c r="O30" s="75"/>
    </row>
    <row r="31" spans="1:17">
      <c r="A31" s="235">
        <v>28</v>
      </c>
      <c r="B31" s="233">
        <v>45989</v>
      </c>
      <c r="C31" s="73"/>
      <c r="D31" s="167"/>
      <c r="E31" s="273">
        <v>2000</v>
      </c>
      <c r="F31" s="273">
        <v>95.43</v>
      </c>
      <c r="G31" s="8">
        <f t="shared" si="0"/>
        <v>190860</v>
      </c>
      <c r="H31" s="71">
        <v>0</v>
      </c>
      <c r="I31" s="72">
        <v>0</v>
      </c>
      <c r="J31" s="8">
        <f t="shared" si="1"/>
        <v>0</v>
      </c>
      <c r="K31" s="8">
        <f t="shared" si="2"/>
        <v>190860</v>
      </c>
      <c r="L31" s="74">
        <v>0</v>
      </c>
      <c r="M31" s="74">
        <f t="shared" si="4"/>
        <v>1839042.5</v>
      </c>
      <c r="N31" s="8"/>
      <c r="O31" s="75"/>
    </row>
    <row r="32" spans="1:17">
      <c r="A32" s="236">
        <v>29</v>
      </c>
      <c r="B32" s="233">
        <v>45990</v>
      </c>
      <c r="C32" s="73"/>
      <c r="D32" s="167"/>
      <c r="E32" s="273"/>
      <c r="F32" s="273"/>
      <c r="G32" s="8">
        <f t="shared" si="0"/>
        <v>0</v>
      </c>
      <c r="H32" s="71">
        <v>0</v>
      </c>
      <c r="I32" s="72">
        <v>0</v>
      </c>
      <c r="J32" s="8">
        <f t="shared" si="1"/>
        <v>0</v>
      </c>
      <c r="K32" s="8">
        <f t="shared" si="2"/>
        <v>0</v>
      </c>
      <c r="L32" s="74">
        <v>0</v>
      </c>
      <c r="M32" s="74">
        <f t="shared" si="4"/>
        <v>1839042.5</v>
      </c>
      <c r="N32" s="8"/>
      <c r="O32" s="75"/>
    </row>
    <row r="33" spans="1:15">
      <c r="A33" s="236">
        <v>30</v>
      </c>
      <c r="B33" s="233">
        <v>45991</v>
      </c>
      <c r="C33" s="73"/>
      <c r="D33" s="167"/>
      <c r="E33" s="273"/>
      <c r="F33" s="273"/>
      <c r="G33" s="8">
        <f t="shared" si="0"/>
        <v>0</v>
      </c>
      <c r="H33" s="71">
        <v>0</v>
      </c>
      <c r="I33" s="72">
        <v>0</v>
      </c>
      <c r="J33" s="8">
        <f t="shared" si="1"/>
        <v>0</v>
      </c>
      <c r="K33" s="8">
        <f t="shared" si="2"/>
        <v>0</v>
      </c>
      <c r="L33" s="74">
        <v>0</v>
      </c>
      <c r="M33" s="74">
        <f t="shared" si="4"/>
        <v>1839042.5</v>
      </c>
      <c r="N33" s="8"/>
      <c r="O33" s="75"/>
    </row>
    <row r="34" spans="1:15">
      <c r="A34" s="236">
        <v>31</v>
      </c>
      <c r="B34" s="233"/>
      <c r="C34" s="73"/>
      <c r="D34" s="167"/>
      <c r="E34" s="273"/>
      <c r="F34" s="273"/>
      <c r="G34" s="8">
        <f t="shared" si="0"/>
        <v>0</v>
      </c>
      <c r="H34" s="71">
        <v>0</v>
      </c>
      <c r="I34" s="72">
        <v>0</v>
      </c>
      <c r="J34" s="8">
        <f t="shared" si="1"/>
        <v>0</v>
      </c>
      <c r="K34" s="8">
        <f t="shared" si="2"/>
        <v>0</v>
      </c>
      <c r="L34" s="74">
        <v>0</v>
      </c>
      <c r="M34" s="74">
        <f t="shared" si="4"/>
        <v>1839042.5</v>
      </c>
      <c r="N34" s="8"/>
      <c r="O34" s="75"/>
    </row>
    <row r="35" spans="1:15">
      <c r="A35" s="68"/>
      <c r="B35" s="68"/>
      <c r="C35" s="68"/>
      <c r="D35" s="68"/>
      <c r="E35" s="274">
        <f>SUM(E4:E34)</f>
        <v>29750</v>
      </c>
      <c r="F35" s="274"/>
      <c r="G35" s="69">
        <f>SUM(G4:G34)</f>
        <v>2839042.5</v>
      </c>
      <c r="H35" s="69">
        <f>SUM(H4:H34)</f>
        <v>0</v>
      </c>
      <c r="I35" s="69"/>
      <c r="J35" s="69">
        <f>SUM(J4:J34)</f>
        <v>0</v>
      </c>
      <c r="K35" s="69">
        <f>SUM(K4:K34)</f>
        <v>2839042.5</v>
      </c>
      <c r="L35" s="69">
        <f>SUM(L4:L34)</f>
        <v>1000000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F38" t="s">
        <v>112</v>
      </c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58"/>
      <c r="C43" s="458"/>
      <c r="D43" s="458"/>
      <c r="E43" s="458"/>
      <c r="F43" s="75"/>
      <c r="G43" s="75"/>
      <c r="H43" s="75"/>
      <c r="I43" s="458"/>
      <c r="J43" s="458"/>
      <c r="K43" s="458"/>
      <c r="L43" s="458"/>
      <c r="M43" s="458"/>
      <c r="N43" s="458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7CF9-90F8-4EA7-A54C-C64C8019A5D6}">
  <dimension ref="A1:R44"/>
  <sheetViews>
    <sheetView workbookViewId="0">
      <selection activeCell="M31" sqref="M31"/>
    </sheetView>
  </sheetViews>
  <sheetFormatPr defaultRowHeight="15"/>
  <cols>
    <col min="5" max="5" width="10.85546875" bestFit="1" customWidth="1"/>
    <col min="7" max="7" width="13.7109375" bestFit="1" customWidth="1"/>
    <col min="9" max="9" width="7.140625" bestFit="1" customWidth="1"/>
    <col min="11" max="12" width="13.5703125" bestFit="1" customWidth="1"/>
    <col min="13" max="13" width="11.5703125" bestFit="1" customWidth="1"/>
    <col min="14" max="14" width="10.7109375" bestFit="1" customWidth="1"/>
  </cols>
  <sheetData>
    <row r="1" spans="1:18" ht="15.75">
      <c r="A1" s="456" t="s">
        <v>24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88"/>
    </row>
    <row r="2" spans="1:18" ht="45">
      <c r="A2" s="104" t="s">
        <v>95</v>
      </c>
      <c r="B2" s="105" t="s">
        <v>96</v>
      </c>
      <c r="C2" s="105" t="s">
        <v>97</v>
      </c>
      <c r="D2" s="105" t="s">
        <v>111</v>
      </c>
      <c r="E2" s="272" t="s">
        <v>99</v>
      </c>
      <c r="F2" s="272" t="s">
        <v>100</v>
      </c>
      <c r="G2" s="105" t="s">
        <v>101</v>
      </c>
      <c r="H2" s="105" t="s">
        <v>102</v>
      </c>
      <c r="I2" s="105" t="s">
        <v>100</v>
      </c>
      <c r="J2" s="145" t="s">
        <v>101</v>
      </c>
      <c r="K2" s="106" t="s">
        <v>103</v>
      </c>
      <c r="L2" s="146" t="s">
        <v>104</v>
      </c>
      <c r="M2" s="150" t="s">
        <v>110</v>
      </c>
      <c r="N2" s="107" t="s">
        <v>106</v>
      </c>
      <c r="O2" s="65"/>
    </row>
    <row r="3" spans="1:18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7"/>
      <c r="M3" s="65">
        <v>193769.47699999996</v>
      </c>
      <c r="N3" s="164"/>
      <c r="O3" s="65">
        <v>121213.36599999985</v>
      </c>
    </row>
    <row r="4" spans="1:18">
      <c r="A4" s="208">
        <v>1</v>
      </c>
      <c r="B4" s="233">
        <v>45962</v>
      </c>
      <c r="C4" s="73"/>
      <c r="D4" s="379">
        <v>1</v>
      </c>
      <c r="E4" s="286">
        <v>20</v>
      </c>
      <c r="F4" s="364">
        <v>97.1</v>
      </c>
      <c r="G4" s="8">
        <f t="shared" ref="G4" si="0">E4*F4</f>
        <v>1942</v>
      </c>
      <c r="H4" s="71"/>
      <c r="I4" s="324"/>
      <c r="J4" s="8">
        <f>H4*I4</f>
        <v>0</v>
      </c>
      <c r="K4" s="8">
        <f>G4+J4</f>
        <v>1942</v>
      </c>
      <c r="L4" s="74"/>
      <c r="M4" s="74">
        <f>+M3+K4-L4</f>
        <v>195711.47699999996</v>
      </c>
      <c r="N4" s="8"/>
    </row>
    <row r="5" spans="1:18">
      <c r="A5" s="50">
        <v>2</v>
      </c>
      <c r="B5" s="233">
        <v>45963</v>
      </c>
      <c r="C5" s="73"/>
      <c r="D5" s="379">
        <v>2</v>
      </c>
      <c r="E5" s="286">
        <v>43.9</v>
      </c>
      <c r="F5" s="364">
        <v>97.1</v>
      </c>
      <c r="G5" s="8">
        <f t="shared" ref="G5:G34" si="1">E5*F5</f>
        <v>4262.6899999999996</v>
      </c>
      <c r="H5" s="71"/>
      <c r="I5" s="324"/>
      <c r="J5" s="8">
        <f t="shared" ref="J5:J34" si="2">H5*I5</f>
        <v>0</v>
      </c>
      <c r="K5" s="8">
        <f t="shared" ref="K5:K34" si="3">G5+J5</f>
        <v>4262.6899999999996</v>
      </c>
      <c r="L5" s="74"/>
      <c r="M5" s="74">
        <f t="shared" ref="M5:M18" si="4">+M4+K5-L5</f>
        <v>199974.16699999996</v>
      </c>
      <c r="N5" s="8"/>
    </row>
    <row r="6" spans="1:18">
      <c r="A6" s="50">
        <v>3</v>
      </c>
      <c r="B6" s="233">
        <v>45964</v>
      </c>
      <c r="C6" s="73"/>
      <c r="D6" s="379">
        <v>3</v>
      </c>
      <c r="E6" s="273"/>
      <c r="F6" s="364"/>
      <c r="G6" s="43">
        <f t="shared" si="1"/>
        <v>0</v>
      </c>
      <c r="H6" s="71">
        <v>10</v>
      </c>
      <c r="I6" s="324">
        <v>108.83</v>
      </c>
      <c r="J6" s="8">
        <f t="shared" si="2"/>
        <v>1088.3</v>
      </c>
      <c r="K6" s="8">
        <f t="shared" si="3"/>
        <v>1088.3</v>
      </c>
      <c r="L6" s="74"/>
      <c r="M6" s="74">
        <f t="shared" si="4"/>
        <v>201062.46699999995</v>
      </c>
      <c r="N6" s="8"/>
    </row>
    <row r="7" spans="1:18">
      <c r="A7" s="50">
        <v>4</v>
      </c>
      <c r="B7" s="233">
        <v>45965</v>
      </c>
      <c r="C7" s="73"/>
      <c r="D7" s="379">
        <v>4</v>
      </c>
      <c r="E7" s="273">
        <v>10</v>
      </c>
      <c r="F7" s="364">
        <v>97.1</v>
      </c>
      <c r="G7" s="8">
        <f t="shared" si="1"/>
        <v>971</v>
      </c>
      <c r="H7" s="71"/>
      <c r="I7" s="324"/>
      <c r="J7" s="8">
        <f t="shared" si="2"/>
        <v>0</v>
      </c>
      <c r="K7" s="8">
        <f t="shared" si="3"/>
        <v>971</v>
      </c>
      <c r="L7" s="74"/>
      <c r="M7" s="74">
        <f t="shared" si="4"/>
        <v>202033.46699999995</v>
      </c>
      <c r="N7" s="8"/>
    </row>
    <row r="8" spans="1:18">
      <c r="A8" s="50">
        <v>5</v>
      </c>
      <c r="B8" s="233">
        <v>45966</v>
      </c>
      <c r="C8" s="73"/>
      <c r="D8" s="379">
        <v>5</v>
      </c>
      <c r="E8" s="273">
        <v>58</v>
      </c>
      <c r="F8" s="364">
        <v>97.1</v>
      </c>
      <c r="G8" s="8">
        <f t="shared" si="1"/>
        <v>5631.7999999999993</v>
      </c>
      <c r="H8" s="71"/>
      <c r="I8" s="72"/>
      <c r="J8" s="8">
        <f t="shared" si="2"/>
        <v>0</v>
      </c>
      <c r="K8" s="8">
        <f t="shared" si="3"/>
        <v>5631.7999999999993</v>
      </c>
      <c r="L8" s="74"/>
      <c r="M8" s="74">
        <f t="shared" si="4"/>
        <v>207665.26699999993</v>
      </c>
      <c r="N8" s="8"/>
      <c r="O8" s="75"/>
      <c r="R8" s="240"/>
    </row>
    <row r="9" spans="1:18">
      <c r="A9" s="50">
        <v>6</v>
      </c>
      <c r="B9" s="233">
        <v>45967</v>
      </c>
      <c r="C9" s="73"/>
      <c r="D9" s="379">
        <v>6</v>
      </c>
      <c r="E9" s="273"/>
      <c r="F9" s="364"/>
      <c r="G9" s="8">
        <f t="shared" si="1"/>
        <v>0</v>
      </c>
      <c r="H9" s="71">
        <v>10</v>
      </c>
      <c r="I9" s="324">
        <v>108.83</v>
      </c>
      <c r="J9" s="8">
        <f t="shared" si="2"/>
        <v>1088.3</v>
      </c>
      <c r="K9" s="8">
        <f t="shared" si="3"/>
        <v>1088.3</v>
      </c>
      <c r="L9" s="74"/>
      <c r="M9" s="74">
        <f t="shared" si="4"/>
        <v>208753.56699999992</v>
      </c>
      <c r="N9" s="8"/>
      <c r="O9" s="75"/>
    </row>
    <row r="10" spans="1:18">
      <c r="A10" s="50">
        <v>7</v>
      </c>
      <c r="B10" s="233">
        <v>45968</v>
      </c>
      <c r="C10" s="73"/>
      <c r="D10" s="379">
        <v>7</v>
      </c>
      <c r="E10" s="273"/>
      <c r="F10" s="364"/>
      <c r="G10" s="8">
        <f t="shared" si="1"/>
        <v>0</v>
      </c>
      <c r="H10" s="71"/>
      <c r="I10" s="324"/>
      <c r="J10" s="8">
        <f t="shared" si="2"/>
        <v>0</v>
      </c>
      <c r="K10" s="8">
        <f t="shared" si="3"/>
        <v>0</v>
      </c>
      <c r="L10" s="74"/>
      <c r="M10" s="74">
        <f t="shared" si="4"/>
        <v>208753.56699999992</v>
      </c>
      <c r="N10" s="8"/>
      <c r="O10" s="75"/>
    </row>
    <row r="11" spans="1:18">
      <c r="A11" s="50">
        <v>8</v>
      </c>
      <c r="B11" s="233">
        <v>45969</v>
      </c>
      <c r="C11" s="73"/>
      <c r="D11" s="379">
        <v>8</v>
      </c>
      <c r="E11" s="273"/>
      <c r="F11" s="364"/>
      <c r="G11" s="8">
        <f t="shared" si="1"/>
        <v>0</v>
      </c>
      <c r="H11" s="71"/>
      <c r="I11" s="324"/>
      <c r="J11" s="8">
        <f t="shared" si="2"/>
        <v>0</v>
      </c>
      <c r="K11" s="8">
        <f t="shared" si="3"/>
        <v>0</v>
      </c>
      <c r="L11" s="74"/>
      <c r="M11" s="74">
        <f t="shared" si="4"/>
        <v>208753.56699999992</v>
      </c>
      <c r="N11" s="8"/>
      <c r="O11" s="75"/>
    </row>
    <row r="12" spans="1:18">
      <c r="A12" s="50">
        <v>9</v>
      </c>
      <c r="B12" s="233">
        <v>45970</v>
      </c>
      <c r="C12" s="73"/>
      <c r="D12" s="379">
        <v>9</v>
      </c>
      <c r="E12" s="273"/>
      <c r="F12" s="364"/>
      <c r="G12" s="8">
        <f t="shared" si="1"/>
        <v>0</v>
      </c>
      <c r="H12" s="71"/>
      <c r="I12" s="72"/>
      <c r="J12" s="8">
        <f t="shared" si="2"/>
        <v>0</v>
      </c>
      <c r="K12" s="8">
        <f t="shared" si="3"/>
        <v>0</v>
      </c>
      <c r="L12" s="74"/>
      <c r="M12" s="74">
        <f t="shared" si="4"/>
        <v>208753.56699999992</v>
      </c>
      <c r="N12" s="8"/>
      <c r="O12" s="75"/>
    </row>
    <row r="13" spans="1:18">
      <c r="A13" s="50">
        <v>10</v>
      </c>
      <c r="B13" s="233">
        <v>45971</v>
      </c>
      <c r="C13" s="73"/>
      <c r="D13" s="379">
        <v>10</v>
      </c>
      <c r="E13" s="273"/>
      <c r="F13" s="364"/>
      <c r="G13" s="8">
        <f t="shared" si="1"/>
        <v>0</v>
      </c>
      <c r="H13" s="71"/>
      <c r="I13" s="72"/>
      <c r="J13" s="8">
        <f t="shared" si="2"/>
        <v>0</v>
      </c>
      <c r="K13" s="8">
        <f t="shared" si="3"/>
        <v>0</v>
      </c>
      <c r="L13" s="74"/>
      <c r="M13" s="74">
        <f t="shared" si="4"/>
        <v>208753.56699999992</v>
      </c>
      <c r="N13" s="8"/>
      <c r="O13" s="75"/>
    </row>
    <row r="14" spans="1:18">
      <c r="A14" s="50">
        <v>11</v>
      </c>
      <c r="B14" s="233">
        <v>45972</v>
      </c>
      <c r="C14" s="73"/>
      <c r="D14" s="379">
        <v>11</v>
      </c>
      <c r="E14" s="273"/>
      <c r="F14" s="364"/>
      <c r="G14" s="8">
        <f t="shared" si="1"/>
        <v>0</v>
      </c>
      <c r="H14" s="71"/>
      <c r="I14" s="324"/>
      <c r="J14" s="8">
        <f t="shared" si="2"/>
        <v>0</v>
      </c>
      <c r="K14" s="8">
        <f t="shared" si="3"/>
        <v>0</v>
      </c>
      <c r="L14" s="74"/>
      <c r="M14" s="74">
        <f t="shared" si="4"/>
        <v>208753.56699999992</v>
      </c>
      <c r="N14" s="8"/>
      <c r="O14" s="75"/>
    </row>
    <row r="15" spans="1:18">
      <c r="A15" s="50">
        <v>12</v>
      </c>
      <c r="B15" s="233">
        <v>45973</v>
      </c>
      <c r="C15" s="73"/>
      <c r="D15" s="379">
        <v>12</v>
      </c>
      <c r="E15" s="273"/>
      <c r="F15" s="364"/>
      <c r="G15" s="8">
        <f t="shared" si="1"/>
        <v>0</v>
      </c>
      <c r="H15" s="71">
        <v>5</v>
      </c>
      <c r="I15" s="324">
        <v>108.83</v>
      </c>
      <c r="J15" s="8">
        <f t="shared" si="2"/>
        <v>544.15</v>
      </c>
      <c r="K15" s="8">
        <f t="shared" si="3"/>
        <v>544.15</v>
      </c>
      <c r="L15" s="74"/>
      <c r="M15" s="74">
        <f t="shared" si="4"/>
        <v>209297.71699999992</v>
      </c>
      <c r="N15" s="8"/>
      <c r="O15" s="75"/>
    </row>
    <row r="16" spans="1:18">
      <c r="A16" s="50">
        <v>13</v>
      </c>
      <c r="B16" s="233">
        <v>45974</v>
      </c>
      <c r="C16" s="73"/>
      <c r="D16" s="380">
        <v>13</v>
      </c>
      <c r="E16" s="273"/>
      <c r="F16" s="364"/>
      <c r="G16" s="8">
        <f t="shared" si="1"/>
        <v>0</v>
      </c>
      <c r="H16" s="71">
        <v>5</v>
      </c>
      <c r="I16" s="324">
        <v>108.83</v>
      </c>
      <c r="J16" s="8">
        <f t="shared" si="2"/>
        <v>544.15</v>
      </c>
      <c r="K16" s="8">
        <f t="shared" si="3"/>
        <v>544.15</v>
      </c>
      <c r="L16" s="74"/>
      <c r="M16" s="74">
        <f t="shared" si="4"/>
        <v>209841.86699999991</v>
      </c>
      <c r="N16" s="8"/>
      <c r="O16" s="75"/>
    </row>
    <row r="17" spans="1:17">
      <c r="A17" s="50">
        <v>14</v>
      </c>
      <c r="B17" s="233">
        <v>45975</v>
      </c>
      <c r="C17" s="73"/>
      <c r="D17" s="379">
        <v>14</v>
      </c>
      <c r="E17" s="273"/>
      <c r="F17" s="364"/>
      <c r="G17" s="8">
        <f t="shared" si="1"/>
        <v>0</v>
      </c>
      <c r="H17" s="71"/>
      <c r="I17" s="324"/>
      <c r="J17" s="8">
        <f t="shared" si="2"/>
        <v>0</v>
      </c>
      <c r="K17" s="8">
        <f t="shared" si="3"/>
        <v>0</v>
      </c>
      <c r="L17" s="74"/>
      <c r="M17" s="74">
        <f t="shared" si="4"/>
        <v>209841.86699999991</v>
      </c>
      <c r="N17" s="8"/>
      <c r="O17" s="75"/>
    </row>
    <row r="18" spans="1:17">
      <c r="A18" s="50">
        <v>15</v>
      </c>
      <c r="B18" s="233">
        <v>45976</v>
      </c>
      <c r="C18" s="73"/>
      <c r="D18" s="379">
        <v>15</v>
      </c>
      <c r="E18" s="273"/>
      <c r="F18" s="364"/>
      <c r="G18" s="8">
        <f t="shared" si="1"/>
        <v>0</v>
      </c>
      <c r="H18" s="71"/>
      <c r="I18" s="72"/>
      <c r="J18" s="8">
        <f t="shared" si="2"/>
        <v>0</v>
      </c>
      <c r="K18" s="8">
        <f t="shared" si="3"/>
        <v>0</v>
      </c>
      <c r="L18" s="74"/>
      <c r="M18" s="74">
        <f t="shared" si="4"/>
        <v>209841.86699999991</v>
      </c>
      <c r="N18" s="192"/>
      <c r="O18" s="75"/>
    </row>
    <row r="19" spans="1:17">
      <c r="A19" s="50">
        <v>16</v>
      </c>
      <c r="B19" s="233">
        <v>45977</v>
      </c>
      <c r="C19" s="73"/>
      <c r="D19" s="379">
        <v>16</v>
      </c>
      <c r="E19" s="273">
        <v>37.79</v>
      </c>
      <c r="F19" s="364">
        <v>97.1</v>
      </c>
      <c r="G19" s="8">
        <f t="shared" si="1"/>
        <v>3669.4089999999997</v>
      </c>
      <c r="H19" s="71"/>
      <c r="I19" s="324"/>
      <c r="J19" s="8">
        <f t="shared" si="2"/>
        <v>0</v>
      </c>
      <c r="K19" s="8">
        <f t="shared" si="3"/>
        <v>3669.4089999999997</v>
      </c>
      <c r="L19" s="74"/>
      <c r="M19" s="304">
        <f t="shared" ref="M19:M34" si="5">+M18+K19-L19</f>
        <v>213511.2759999999</v>
      </c>
      <c r="N19" s="303" t="s">
        <v>113</v>
      </c>
      <c r="O19" s="75"/>
    </row>
    <row r="20" spans="1:17">
      <c r="A20" s="50">
        <v>17</v>
      </c>
      <c r="B20" s="233">
        <v>45978</v>
      </c>
      <c r="C20" s="73"/>
      <c r="D20" s="379">
        <v>17</v>
      </c>
      <c r="E20" s="273"/>
      <c r="F20" s="364"/>
      <c r="G20" s="8">
        <f t="shared" si="1"/>
        <v>0</v>
      </c>
      <c r="H20" s="71">
        <v>5</v>
      </c>
      <c r="I20" s="324">
        <v>108.83</v>
      </c>
      <c r="J20" s="8">
        <f t="shared" si="2"/>
        <v>544.15</v>
      </c>
      <c r="K20" s="8">
        <f t="shared" si="3"/>
        <v>544.15</v>
      </c>
      <c r="L20" s="74"/>
      <c r="M20" s="74">
        <f t="shared" si="5"/>
        <v>214055.42599999989</v>
      </c>
      <c r="N20" s="19"/>
      <c r="O20" s="75"/>
    </row>
    <row r="21" spans="1:17">
      <c r="A21" s="50">
        <v>18</v>
      </c>
      <c r="B21" s="233">
        <v>45979</v>
      </c>
      <c r="C21" s="73"/>
      <c r="D21" s="379">
        <v>18</v>
      </c>
      <c r="E21" s="273"/>
      <c r="F21" s="364"/>
      <c r="G21" s="8">
        <f t="shared" si="1"/>
        <v>0</v>
      </c>
      <c r="H21" s="71">
        <v>5</v>
      </c>
      <c r="I21" s="324">
        <v>108.83</v>
      </c>
      <c r="J21" s="8">
        <f t="shared" si="2"/>
        <v>544.15</v>
      </c>
      <c r="K21" s="8">
        <f t="shared" si="3"/>
        <v>544.15</v>
      </c>
      <c r="L21" s="74"/>
      <c r="M21" s="74">
        <f t="shared" si="5"/>
        <v>214599.57599999988</v>
      </c>
      <c r="N21" s="8"/>
      <c r="O21" s="75"/>
    </row>
    <row r="22" spans="1:17">
      <c r="A22" s="50">
        <v>19</v>
      </c>
      <c r="B22" s="233">
        <v>45980</v>
      </c>
      <c r="C22" s="73"/>
      <c r="D22" s="379">
        <v>19</v>
      </c>
      <c r="E22" s="273">
        <v>43.17</v>
      </c>
      <c r="F22" s="364">
        <v>97.1</v>
      </c>
      <c r="G22" s="8">
        <f t="shared" si="1"/>
        <v>4191.8069999999998</v>
      </c>
      <c r="H22" s="71"/>
      <c r="I22" s="72"/>
      <c r="J22" s="8">
        <f t="shared" si="2"/>
        <v>0</v>
      </c>
      <c r="K22" s="8">
        <f t="shared" si="3"/>
        <v>4191.8069999999998</v>
      </c>
      <c r="L22" s="74"/>
      <c r="M22" s="74">
        <f t="shared" si="5"/>
        <v>218791.38299999989</v>
      </c>
      <c r="N22" s="8"/>
      <c r="O22" s="75"/>
      <c r="Q22" s="22"/>
    </row>
    <row r="23" spans="1:17">
      <c r="A23" s="50">
        <v>20</v>
      </c>
      <c r="B23" s="233">
        <v>45981</v>
      </c>
      <c r="C23" s="73"/>
      <c r="D23" s="379">
        <v>20</v>
      </c>
      <c r="E23" s="273"/>
      <c r="F23" s="364"/>
      <c r="G23" s="8">
        <f t="shared" si="1"/>
        <v>0</v>
      </c>
      <c r="H23" s="71"/>
      <c r="I23" s="324"/>
      <c r="J23" s="8">
        <f t="shared" si="2"/>
        <v>0</v>
      </c>
      <c r="K23" s="8">
        <f t="shared" si="3"/>
        <v>0</v>
      </c>
      <c r="L23" s="74">
        <v>200000</v>
      </c>
      <c r="M23" s="74">
        <f t="shared" si="5"/>
        <v>18791.382999999885</v>
      </c>
      <c r="N23" s="8"/>
      <c r="O23" s="75"/>
    </row>
    <row r="24" spans="1:17">
      <c r="A24" s="50">
        <v>21</v>
      </c>
      <c r="B24" s="233">
        <v>45982</v>
      </c>
      <c r="C24" s="73"/>
      <c r="D24" s="379">
        <v>21</v>
      </c>
      <c r="E24" s="273">
        <v>65</v>
      </c>
      <c r="F24" s="364">
        <v>97.1</v>
      </c>
      <c r="G24" s="8">
        <f t="shared" si="1"/>
        <v>6311.5</v>
      </c>
      <c r="H24" s="71"/>
      <c r="I24" s="324"/>
      <c r="J24" s="8">
        <f t="shared" si="2"/>
        <v>0</v>
      </c>
      <c r="K24" s="8">
        <f t="shared" si="3"/>
        <v>6311.5</v>
      </c>
      <c r="L24" s="74"/>
      <c r="M24" s="74">
        <f t="shared" si="5"/>
        <v>25102.882999999885</v>
      </c>
      <c r="N24" s="8"/>
      <c r="O24" s="75"/>
    </row>
    <row r="25" spans="1:17">
      <c r="A25" s="50">
        <v>22</v>
      </c>
      <c r="B25" s="233">
        <v>45983</v>
      </c>
      <c r="C25" s="73"/>
      <c r="D25" s="379">
        <v>22</v>
      </c>
      <c r="E25" s="273"/>
      <c r="F25" s="364"/>
      <c r="G25" s="8">
        <f t="shared" si="1"/>
        <v>0</v>
      </c>
      <c r="H25" s="71"/>
      <c r="I25" s="324"/>
      <c r="J25" s="8">
        <f t="shared" si="2"/>
        <v>0</v>
      </c>
      <c r="K25" s="8">
        <f t="shared" si="3"/>
        <v>0</v>
      </c>
      <c r="L25" s="74"/>
      <c r="M25" s="74">
        <f t="shared" si="5"/>
        <v>25102.882999999885</v>
      </c>
      <c r="N25" s="8"/>
      <c r="O25" s="75"/>
    </row>
    <row r="26" spans="1:17">
      <c r="A26" s="50">
        <v>23</v>
      </c>
      <c r="B26" s="233">
        <v>45984</v>
      </c>
      <c r="C26" s="73"/>
      <c r="D26" s="379">
        <v>23</v>
      </c>
      <c r="E26" s="273"/>
      <c r="F26" s="364"/>
      <c r="G26" s="8">
        <f t="shared" si="1"/>
        <v>0</v>
      </c>
      <c r="H26" s="71"/>
      <c r="I26" s="324"/>
      <c r="J26" s="8">
        <f t="shared" si="2"/>
        <v>0</v>
      </c>
      <c r="K26" s="8">
        <f t="shared" si="3"/>
        <v>0</v>
      </c>
      <c r="L26" s="74"/>
      <c r="M26" s="74">
        <f t="shared" si="5"/>
        <v>25102.882999999885</v>
      </c>
      <c r="N26" s="8"/>
      <c r="O26" s="75"/>
    </row>
    <row r="27" spans="1:17">
      <c r="A27" s="50">
        <v>24</v>
      </c>
      <c r="B27" s="233">
        <v>45985</v>
      </c>
      <c r="C27" s="73"/>
      <c r="D27" s="379">
        <v>24</v>
      </c>
      <c r="E27" s="273"/>
      <c r="F27" s="364"/>
      <c r="G27" s="8">
        <f t="shared" si="1"/>
        <v>0</v>
      </c>
      <c r="H27" s="71"/>
      <c r="I27" s="72"/>
      <c r="J27" s="8">
        <f t="shared" si="2"/>
        <v>0</v>
      </c>
      <c r="K27" s="8">
        <f t="shared" si="3"/>
        <v>0</v>
      </c>
      <c r="L27" s="74"/>
      <c r="M27" s="74">
        <f t="shared" si="5"/>
        <v>25102.882999999885</v>
      </c>
      <c r="N27" s="8"/>
      <c r="O27" s="75"/>
    </row>
    <row r="28" spans="1:17">
      <c r="A28" s="235">
        <v>25</v>
      </c>
      <c r="B28" s="233">
        <v>45986</v>
      </c>
      <c r="C28" s="73"/>
      <c r="D28" s="379">
        <v>25</v>
      </c>
      <c r="E28" s="273"/>
      <c r="F28" s="364"/>
      <c r="G28" s="8">
        <f t="shared" si="1"/>
        <v>0</v>
      </c>
      <c r="H28" s="71"/>
      <c r="I28" s="72"/>
      <c r="J28" s="8">
        <f t="shared" si="2"/>
        <v>0</v>
      </c>
      <c r="K28" s="8">
        <f t="shared" si="3"/>
        <v>0</v>
      </c>
      <c r="L28" s="74"/>
      <c r="M28" s="74">
        <f t="shared" si="5"/>
        <v>25102.882999999885</v>
      </c>
      <c r="N28" s="8"/>
      <c r="O28" s="75"/>
    </row>
    <row r="29" spans="1:17">
      <c r="A29" s="235">
        <v>26</v>
      </c>
      <c r="B29" s="233">
        <v>45987</v>
      </c>
      <c r="C29" s="73"/>
      <c r="D29" s="379">
        <v>26</v>
      </c>
      <c r="E29" s="273">
        <v>35</v>
      </c>
      <c r="F29" s="364">
        <v>97.1</v>
      </c>
      <c r="G29" s="8">
        <f t="shared" si="1"/>
        <v>3398.5</v>
      </c>
      <c r="H29" s="71">
        <v>15</v>
      </c>
      <c r="I29" s="324">
        <v>108.83</v>
      </c>
      <c r="J29" s="8">
        <f t="shared" si="2"/>
        <v>1632.45</v>
      </c>
      <c r="K29" s="8">
        <f t="shared" si="3"/>
        <v>5030.95</v>
      </c>
      <c r="L29" s="74"/>
      <c r="M29" s="74">
        <f t="shared" si="5"/>
        <v>30133.832999999886</v>
      </c>
      <c r="N29" s="8"/>
      <c r="O29" s="75"/>
    </row>
    <row r="30" spans="1:17">
      <c r="A30" s="235">
        <v>27</v>
      </c>
      <c r="B30" s="233">
        <v>45988</v>
      </c>
      <c r="C30" s="73"/>
      <c r="D30" s="379">
        <v>27</v>
      </c>
      <c r="E30" s="273"/>
      <c r="F30" s="364"/>
      <c r="G30" s="8">
        <f t="shared" si="1"/>
        <v>0</v>
      </c>
      <c r="H30" s="71"/>
      <c r="I30" s="72"/>
      <c r="J30" s="8">
        <f t="shared" si="2"/>
        <v>0</v>
      </c>
      <c r="K30" s="8">
        <f t="shared" si="3"/>
        <v>0</v>
      </c>
      <c r="L30" s="74"/>
      <c r="M30" s="74">
        <f t="shared" si="5"/>
        <v>30133.832999999886</v>
      </c>
      <c r="N30" s="8"/>
      <c r="O30" s="75"/>
    </row>
    <row r="31" spans="1:17">
      <c r="A31" s="235">
        <v>28</v>
      </c>
      <c r="B31" s="233">
        <v>45989</v>
      </c>
      <c r="C31" s="73"/>
      <c r="D31" s="379">
        <v>28</v>
      </c>
      <c r="E31" s="273">
        <v>46</v>
      </c>
      <c r="F31" s="364">
        <v>97.1</v>
      </c>
      <c r="G31" s="8">
        <f t="shared" si="1"/>
        <v>4466.5999999999995</v>
      </c>
      <c r="H31" s="71"/>
      <c r="I31" s="72"/>
      <c r="J31" s="8">
        <f t="shared" si="2"/>
        <v>0</v>
      </c>
      <c r="K31" s="8">
        <f t="shared" si="3"/>
        <v>4466.5999999999995</v>
      </c>
      <c r="L31" s="74"/>
      <c r="M31" s="74">
        <f t="shared" si="5"/>
        <v>34600.432999999888</v>
      </c>
      <c r="N31" s="8"/>
      <c r="O31" s="75"/>
    </row>
    <row r="32" spans="1:17">
      <c r="A32" s="236">
        <v>29</v>
      </c>
      <c r="B32" s="233">
        <v>45990</v>
      </c>
      <c r="C32" s="73"/>
      <c r="D32" s="379">
        <v>29</v>
      </c>
      <c r="E32" s="273"/>
      <c r="F32" s="364"/>
      <c r="G32" s="8">
        <f t="shared" si="1"/>
        <v>0</v>
      </c>
      <c r="H32" s="71"/>
      <c r="I32" s="72"/>
      <c r="J32" s="8">
        <f t="shared" si="2"/>
        <v>0</v>
      </c>
      <c r="K32" s="8">
        <f t="shared" si="3"/>
        <v>0</v>
      </c>
      <c r="L32" s="74"/>
      <c r="M32" s="74">
        <f t="shared" si="5"/>
        <v>34600.432999999888</v>
      </c>
      <c r="N32" s="8"/>
      <c r="O32" s="75"/>
    </row>
    <row r="33" spans="1:15">
      <c r="A33" s="236">
        <v>30</v>
      </c>
      <c r="B33" s="233">
        <v>45991</v>
      </c>
      <c r="C33" s="73"/>
      <c r="D33" s="379">
        <v>30</v>
      </c>
      <c r="E33" s="273"/>
      <c r="F33" s="364"/>
      <c r="G33" s="8">
        <f t="shared" si="1"/>
        <v>0</v>
      </c>
      <c r="H33" s="71"/>
      <c r="I33" s="72"/>
      <c r="J33" s="8">
        <f t="shared" si="2"/>
        <v>0</v>
      </c>
      <c r="K33" s="8">
        <f t="shared" si="3"/>
        <v>0</v>
      </c>
      <c r="L33" s="74"/>
      <c r="M33" s="74">
        <f t="shared" si="5"/>
        <v>34600.432999999888</v>
      </c>
      <c r="N33" s="8"/>
      <c r="O33" s="75"/>
    </row>
    <row r="34" spans="1:15">
      <c r="A34" s="236">
        <v>31</v>
      </c>
      <c r="B34" s="233">
        <v>45992</v>
      </c>
      <c r="C34" s="73"/>
      <c r="D34" s="379">
        <v>31</v>
      </c>
      <c r="E34" s="273"/>
      <c r="F34" s="273"/>
      <c r="G34" s="8">
        <f t="shared" si="1"/>
        <v>0</v>
      </c>
      <c r="H34" s="71"/>
      <c r="I34" s="72"/>
      <c r="J34" s="8">
        <f t="shared" si="2"/>
        <v>0</v>
      </c>
      <c r="K34" s="8">
        <f t="shared" si="3"/>
        <v>0</v>
      </c>
      <c r="L34" s="74"/>
      <c r="M34" s="74">
        <f t="shared" si="5"/>
        <v>34600.432999999888</v>
      </c>
      <c r="N34" s="8"/>
      <c r="O34" s="75"/>
    </row>
    <row r="35" spans="1:15">
      <c r="A35" s="68"/>
      <c r="B35" s="68"/>
      <c r="C35" s="68"/>
      <c r="D35" s="68"/>
      <c r="E35" s="274">
        <f>SUM(E4:E34)</f>
        <v>358.86</v>
      </c>
      <c r="F35" s="274"/>
      <c r="G35" s="69">
        <f>SUM(G4:G34)</f>
        <v>34845.305999999997</v>
      </c>
      <c r="H35" s="69">
        <f>SUM(H4:H34)</f>
        <v>55</v>
      </c>
      <c r="I35" s="69"/>
      <c r="J35" s="69">
        <f>SUM(J4:J34)</f>
        <v>5985.65</v>
      </c>
      <c r="K35" s="69">
        <f>SUM(K4:K34)</f>
        <v>40830.955999999998</v>
      </c>
      <c r="L35" s="69">
        <f>SUM(L4:L34)</f>
        <v>200000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58"/>
      <c r="C43" s="458"/>
      <c r="D43" s="458"/>
      <c r="E43" s="458"/>
      <c r="F43" s="75"/>
      <c r="G43" s="75"/>
      <c r="H43" s="75"/>
      <c r="I43" s="458"/>
      <c r="J43" s="458"/>
      <c r="K43" s="458"/>
      <c r="L43" s="458"/>
      <c r="M43" s="458"/>
      <c r="N43" s="458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hyperlinks>
    <hyperlink ref="N19" r:id="rId1" xr:uid="{D157A590-9512-4734-821E-E8C1B924315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0E53-C6E4-49B5-8886-5922140E07C1}">
  <dimension ref="A1:R44"/>
  <sheetViews>
    <sheetView workbookViewId="0">
      <selection activeCell="L18" sqref="L18:M18"/>
    </sheetView>
  </sheetViews>
  <sheetFormatPr defaultRowHeight="15"/>
  <cols>
    <col min="7" max="7" width="11.85546875" bestFit="1" customWidth="1"/>
    <col min="11" max="11" width="13.5703125" bestFit="1" customWidth="1"/>
    <col min="12" max="12" width="13.140625" bestFit="1" customWidth="1"/>
    <col min="13" max="13" width="11.85546875" bestFit="1" customWidth="1"/>
  </cols>
  <sheetData>
    <row r="1" spans="1:18" ht="15.75">
      <c r="A1" s="456" t="s">
        <v>20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88"/>
    </row>
    <row r="2" spans="1:18" ht="30.75">
      <c r="A2" s="104" t="s">
        <v>95</v>
      </c>
      <c r="B2" s="105" t="s">
        <v>96</v>
      </c>
      <c r="C2" s="105" t="s">
        <v>97</v>
      </c>
      <c r="D2" s="105" t="s">
        <v>111</v>
      </c>
      <c r="E2" s="272" t="s">
        <v>99</v>
      </c>
      <c r="F2" s="272" t="s">
        <v>100</v>
      </c>
      <c r="G2" s="105" t="s">
        <v>101</v>
      </c>
      <c r="H2" s="105" t="s">
        <v>102</v>
      </c>
      <c r="I2" s="105" t="s">
        <v>100</v>
      </c>
      <c r="J2" s="145" t="s">
        <v>101</v>
      </c>
      <c r="K2" s="106" t="s">
        <v>103</v>
      </c>
      <c r="L2" s="146" t="s">
        <v>104</v>
      </c>
      <c r="M2" s="150" t="s">
        <v>110</v>
      </c>
      <c r="N2" s="107" t="s">
        <v>106</v>
      </c>
      <c r="O2" s="65"/>
    </row>
    <row r="3" spans="1:18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7"/>
      <c r="M3" s="155">
        <v>167115.06209999998</v>
      </c>
      <c r="N3" s="164"/>
      <c r="O3" s="65"/>
    </row>
    <row r="4" spans="1:18">
      <c r="A4" s="208">
        <v>1</v>
      </c>
      <c r="B4" s="233">
        <v>45962</v>
      </c>
      <c r="C4" s="73"/>
      <c r="D4" s="167"/>
      <c r="E4" s="273"/>
      <c r="F4" s="273"/>
      <c r="G4" s="8">
        <f t="shared" ref="G4:G3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v>0</v>
      </c>
      <c r="M4" s="74">
        <f>+M3+K4-L4</f>
        <v>167115.06209999998</v>
      </c>
      <c r="N4" s="8"/>
    </row>
    <row r="5" spans="1:18">
      <c r="A5" s="50">
        <v>2</v>
      </c>
      <c r="B5" s="233">
        <v>45963</v>
      </c>
      <c r="C5" s="73"/>
      <c r="D5" s="167"/>
      <c r="E5" s="273"/>
      <c r="F5" s="273"/>
      <c r="G5" s="8">
        <f t="shared" si="0"/>
        <v>0</v>
      </c>
      <c r="H5" s="71">
        <v>0</v>
      </c>
      <c r="I5" s="72">
        <v>0</v>
      </c>
      <c r="J5" s="8">
        <f t="shared" ref="J5:J34" si="1">H5*I5</f>
        <v>0</v>
      </c>
      <c r="K5" s="8">
        <f t="shared" ref="K5:K34" si="2">G5+J5</f>
        <v>0</v>
      </c>
      <c r="L5" s="74">
        <v>0</v>
      </c>
      <c r="M5" s="74">
        <f t="shared" ref="M5:M8" si="3">+M4+K5-L5</f>
        <v>167115.06209999998</v>
      </c>
      <c r="N5" s="8"/>
    </row>
    <row r="6" spans="1:18">
      <c r="A6" s="50">
        <v>3</v>
      </c>
      <c r="B6" s="233">
        <v>45964</v>
      </c>
      <c r="C6" s="73"/>
      <c r="D6" s="167"/>
      <c r="E6" s="273"/>
      <c r="F6" s="273"/>
      <c r="G6" s="8">
        <f t="shared" si="0"/>
        <v>0</v>
      </c>
      <c r="H6" s="71">
        <v>0</v>
      </c>
      <c r="I6" s="72">
        <v>0</v>
      </c>
      <c r="J6" s="8">
        <f t="shared" si="1"/>
        <v>0</v>
      </c>
      <c r="K6" s="8">
        <f t="shared" si="2"/>
        <v>0</v>
      </c>
      <c r="L6" s="74">
        <v>0</v>
      </c>
      <c r="M6" s="74">
        <f t="shared" si="3"/>
        <v>167115.06209999998</v>
      </c>
      <c r="N6" s="8"/>
    </row>
    <row r="7" spans="1:18">
      <c r="A7" s="50">
        <v>4</v>
      </c>
      <c r="B7" s="233">
        <v>45965</v>
      </c>
      <c r="C7" s="73"/>
      <c r="D7" s="167"/>
      <c r="E7" s="273"/>
      <c r="F7" s="273"/>
      <c r="G7" s="8">
        <f t="shared" si="0"/>
        <v>0</v>
      </c>
      <c r="H7" s="71">
        <v>0</v>
      </c>
      <c r="I7" s="72">
        <v>0</v>
      </c>
      <c r="J7" s="8">
        <f t="shared" si="1"/>
        <v>0</v>
      </c>
      <c r="K7" s="8">
        <f t="shared" si="2"/>
        <v>0</v>
      </c>
      <c r="L7" s="74">
        <v>0</v>
      </c>
      <c r="M7" s="74">
        <f t="shared" si="3"/>
        <v>167115.06209999998</v>
      </c>
      <c r="N7" s="8"/>
    </row>
    <row r="8" spans="1:18">
      <c r="A8" s="50">
        <v>5</v>
      </c>
      <c r="B8" s="233">
        <v>45966</v>
      </c>
      <c r="C8" s="73"/>
      <c r="D8" s="167"/>
      <c r="E8" s="273">
        <v>688.08</v>
      </c>
      <c r="F8" s="273">
        <v>95.83</v>
      </c>
      <c r="G8" s="8">
        <f t="shared" si="0"/>
        <v>65938.706399999995</v>
      </c>
      <c r="H8" s="71">
        <v>0</v>
      </c>
      <c r="I8" s="72">
        <v>0</v>
      </c>
      <c r="J8" s="8">
        <f t="shared" si="1"/>
        <v>0</v>
      </c>
      <c r="K8" s="8">
        <f t="shared" si="2"/>
        <v>65938.706399999995</v>
      </c>
      <c r="L8" s="74">
        <v>0</v>
      </c>
      <c r="M8" s="74">
        <f t="shared" si="3"/>
        <v>233053.76849999998</v>
      </c>
      <c r="N8" s="8"/>
      <c r="O8" s="75"/>
      <c r="R8" s="240"/>
    </row>
    <row r="9" spans="1:18">
      <c r="A9" s="50">
        <v>6</v>
      </c>
      <c r="B9" s="233">
        <v>45967</v>
      </c>
      <c r="C9" s="73"/>
      <c r="D9" s="167"/>
      <c r="E9" s="273"/>
      <c r="F9" s="71"/>
      <c r="G9" s="8">
        <f t="shared" si="0"/>
        <v>0</v>
      </c>
      <c r="H9" s="71">
        <v>0</v>
      </c>
      <c r="I9" s="72">
        <v>0</v>
      </c>
      <c r="J9" s="8">
        <f t="shared" si="1"/>
        <v>0</v>
      </c>
      <c r="K9" s="8">
        <f t="shared" si="2"/>
        <v>0</v>
      </c>
      <c r="L9" s="74">
        <v>0</v>
      </c>
      <c r="M9" s="74">
        <f>+M8+K9-L9</f>
        <v>233053.76849999998</v>
      </c>
      <c r="N9" s="8"/>
      <c r="O9" s="75"/>
    </row>
    <row r="10" spans="1:18">
      <c r="A10" s="50">
        <v>7</v>
      </c>
      <c r="B10" s="233">
        <v>45968</v>
      </c>
      <c r="C10" s="73"/>
      <c r="D10" s="167"/>
      <c r="E10" s="273"/>
      <c r="F10" s="273"/>
      <c r="G10" s="8">
        <f t="shared" si="0"/>
        <v>0</v>
      </c>
      <c r="H10" s="71">
        <v>0</v>
      </c>
      <c r="I10" s="72">
        <v>0</v>
      </c>
      <c r="J10" s="8">
        <f t="shared" si="1"/>
        <v>0</v>
      </c>
      <c r="K10" s="8">
        <f t="shared" si="2"/>
        <v>0</v>
      </c>
      <c r="L10" s="74">
        <v>0</v>
      </c>
      <c r="M10" s="74">
        <f>+M9+K10-L10</f>
        <v>233053.76849999998</v>
      </c>
      <c r="N10" s="8"/>
      <c r="O10" s="75"/>
    </row>
    <row r="11" spans="1:18">
      <c r="A11" s="50">
        <v>8</v>
      </c>
      <c r="B11" s="233">
        <v>45969</v>
      </c>
      <c r="C11" s="73"/>
      <c r="D11" s="167"/>
      <c r="E11" s="273"/>
      <c r="F11" s="273"/>
      <c r="G11" s="8">
        <f t="shared" si="0"/>
        <v>0</v>
      </c>
      <c r="H11" s="71">
        <v>0</v>
      </c>
      <c r="I11" s="72">
        <v>0</v>
      </c>
      <c r="J11" s="8">
        <f t="shared" si="1"/>
        <v>0</v>
      </c>
      <c r="K11" s="8">
        <f t="shared" si="2"/>
        <v>0</v>
      </c>
      <c r="L11" s="74">
        <v>0</v>
      </c>
      <c r="M11" s="74">
        <f>+M10+K11-L11</f>
        <v>233053.76849999998</v>
      </c>
      <c r="N11" s="8"/>
      <c r="O11" s="75"/>
    </row>
    <row r="12" spans="1:18">
      <c r="A12" s="50">
        <v>9</v>
      </c>
      <c r="B12" s="233">
        <v>45970</v>
      </c>
      <c r="C12" s="73"/>
      <c r="D12" s="167"/>
      <c r="E12" s="273"/>
      <c r="F12" s="273"/>
      <c r="G12" s="8">
        <f t="shared" si="0"/>
        <v>0</v>
      </c>
      <c r="H12" s="71">
        <v>0</v>
      </c>
      <c r="I12" s="72">
        <v>0</v>
      </c>
      <c r="J12" s="8">
        <f t="shared" si="1"/>
        <v>0</v>
      </c>
      <c r="K12" s="8">
        <f t="shared" si="2"/>
        <v>0</v>
      </c>
      <c r="L12" s="74">
        <v>0</v>
      </c>
      <c r="M12" s="74">
        <f t="shared" ref="M12:M34" si="4">+M11+K12-L12</f>
        <v>233053.76849999998</v>
      </c>
      <c r="N12" s="8"/>
      <c r="O12" s="75"/>
    </row>
    <row r="13" spans="1:18">
      <c r="A13" s="50">
        <v>10</v>
      </c>
      <c r="B13" s="233">
        <v>45971</v>
      </c>
      <c r="C13" s="73"/>
      <c r="D13" s="167"/>
      <c r="E13" s="273"/>
      <c r="F13" s="273"/>
      <c r="G13" s="8">
        <f t="shared" si="0"/>
        <v>0</v>
      </c>
      <c r="H13" s="71">
        <v>0</v>
      </c>
      <c r="I13" s="72">
        <v>0</v>
      </c>
      <c r="J13" s="8">
        <f t="shared" si="1"/>
        <v>0</v>
      </c>
      <c r="K13" s="8">
        <f t="shared" si="2"/>
        <v>0</v>
      </c>
      <c r="L13" s="74">
        <v>0</v>
      </c>
      <c r="M13" s="74">
        <f t="shared" si="4"/>
        <v>233053.76849999998</v>
      </c>
      <c r="N13" s="8"/>
      <c r="O13" s="75"/>
    </row>
    <row r="14" spans="1:18">
      <c r="A14" s="50">
        <v>11</v>
      </c>
      <c r="B14" s="233">
        <v>45972</v>
      </c>
      <c r="C14" s="73"/>
      <c r="D14" s="167"/>
      <c r="E14" s="273"/>
      <c r="F14" s="273"/>
      <c r="G14" s="8">
        <f t="shared" si="0"/>
        <v>0</v>
      </c>
      <c r="H14" s="71">
        <v>0</v>
      </c>
      <c r="I14" s="72">
        <v>0</v>
      </c>
      <c r="J14" s="8">
        <f t="shared" si="1"/>
        <v>0</v>
      </c>
      <c r="K14" s="8">
        <f t="shared" si="2"/>
        <v>0</v>
      </c>
      <c r="L14" s="74">
        <v>0</v>
      </c>
      <c r="M14" s="74">
        <f t="shared" si="4"/>
        <v>233053.76849999998</v>
      </c>
      <c r="N14" s="8"/>
      <c r="O14" s="75"/>
    </row>
    <row r="15" spans="1:18">
      <c r="A15" s="50">
        <v>12</v>
      </c>
      <c r="B15" s="233">
        <v>45973</v>
      </c>
      <c r="C15" s="73"/>
      <c r="D15" s="167"/>
      <c r="E15" s="273"/>
      <c r="F15" s="273"/>
      <c r="G15" s="8">
        <f t="shared" si="0"/>
        <v>0</v>
      </c>
      <c r="H15" s="71">
        <v>0</v>
      </c>
      <c r="I15" s="72">
        <v>0</v>
      </c>
      <c r="J15" s="8">
        <f t="shared" si="1"/>
        <v>0</v>
      </c>
      <c r="K15" s="8">
        <f t="shared" si="2"/>
        <v>0</v>
      </c>
      <c r="L15" s="74">
        <v>0</v>
      </c>
      <c r="M15" s="74">
        <f t="shared" si="4"/>
        <v>233053.76849999998</v>
      </c>
      <c r="N15" s="8"/>
      <c r="O15" s="75"/>
    </row>
    <row r="16" spans="1:18">
      <c r="A16" s="50">
        <v>13</v>
      </c>
      <c r="B16" s="233">
        <v>45974</v>
      </c>
      <c r="C16" s="73"/>
      <c r="D16" s="167"/>
      <c r="E16" s="273"/>
      <c r="F16" s="273"/>
      <c r="G16" s="8">
        <f t="shared" si="0"/>
        <v>0</v>
      </c>
      <c r="H16" s="71">
        <v>0</v>
      </c>
      <c r="I16" s="72">
        <v>0</v>
      </c>
      <c r="J16" s="8">
        <f t="shared" si="1"/>
        <v>0</v>
      </c>
      <c r="K16" s="8">
        <f t="shared" si="2"/>
        <v>0</v>
      </c>
      <c r="L16" s="74">
        <v>0</v>
      </c>
      <c r="M16" s="74">
        <f t="shared" si="4"/>
        <v>233053.76849999998</v>
      </c>
      <c r="N16" s="8"/>
      <c r="O16" s="75"/>
    </row>
    <row r="17" spans="1:17">
      <c r="A17" s="50">
        <v>14</v>
      </c>
      <c r="B17" s="233">
        <v>45975</v>
      </c>
      <c r="C17" s="73"/>
      <c r="D17" s="167"/>
      <c r="E17" s="286"/>
      <c r="F17" s="364"/>
      <c r="G17" s="8"/>
      <c r="H17" s="71">
        <v>0</v>
      </c>
      <c r="I17" s="72">
        <v>0</v>
      </c>
      <c r="J17" s="8">
        <f t="shared" si="1"/>
        <v>0</v>
      </c>
      <c r="K17" s="8">
        <f t="shared" si="2"/>
        <v>0</v>
      </c>
      <c r="L17" s="74">
        <v>0</v>
      </c>
      <c r="M17" s="74">
        <f t="shared" si="4"/>
        <v>233053.76849999998</v>
      </c>
      <c r="N17" s="8"/>
      <c r="O17" s="75"/>
    </row>
    <row r="18" spans="1:17">
      <c r="A18" s="50">
        <v>15</v>
      </c>
      <c r="B18" s="233">
        <v>45976</v>
      </c>
      <c r="C18" s="73"/>
      <c r="D18" s="167"/>
      <c r="E18" s="273"/>
      <c r="F18" s="273"/>
      <c r="G18" s="8"/>
      <c r="H18" s="71">
        <v>0</v>
      </c>
      <c r="I18" s="72">
        <v>0</v>
      </c>
      <c r="J18" s="8">
        <f t="shared" si="1"/>
        <v>0</v>
      </c>
      <c r="K18" s="8">
        <f t="shared" si="2"/>
        <v>0</v>
      </c>
      <c r="L18" s="74">
        <v>167000</v>
      </c>
      <c r="M18" s="74">
        <f t="shared" si="4"/>
        <v>66053.768499999976</v>
      </c>
      <c r="N18" s="192"/>
      <c r="O18" s="75"/>
    </row>
    <row r="19" spans="1:17">
      <c r="A19" s="50">
        <v>16</v>
      </c>
      <c r="B19" s="233">
        <v>45977</v>
      </c>
      <c r="C19" s="73"/>
      <c r="D19" s="167"/>
      <c r="E19" s="273"/>
      <c r="F19" s="273"/>
      <c r="G19" s="8"/>
      <c r="H19" s="71">
        <v>0</v>
      </c>
      <c r="I19" s="72">
        <v>0</v>
      </c>
      <c r="J19" s="8">
        <f t="shared" si="1"/>
        <v>0</v>
      </c>
      <c r="K19" s="8">
        <f t="shared" si="2"/>
        <v>0</v>
      </c>
      <c r="L19" s="74">
        <v>0</v>
      </c>
      <c r="M19" s="74">
        <f t="shared" si="4"/>
        <v>66053.768499999976</v>
      </c>
      <c r="N19" s="303"/>
      <c r="O19" s="75"/>
    </row>
    <row r="20" spans="1:17">
      <c r="A20" s="50">
        <v>17</v>
      </c>
      <c r="B20" s="233">
        <v>45978</v>
      </c>
      <c r="C20" s="73"/>
      <c r="D20" s="167"/>
      <c r="E20" s="273"/>
      <c r="F20" s="273"/>
      <c r="G20" s="8">
        <f t="shared" si="0"/>
        <v>0</v>
      </c>
      <c r="H20" s="71">
        <v>0</v>
      </c>
      <c r="I20" s="72">
        <v>0</v>
      </c>
      <c r="J20" s="8">
        <f t="shared" si="1"/>
        <v>0</v>
      </c>
      <c r="K20" s="8">
        <f t="shared" si="2"/>
        <v>0</v>
      </c>
      <c r="L20" s="74">
        <v>0</v>
      </c>
      <c r="M20" s="74">
        <f t="shared" si="4"/>
        <v>66053.768499999976</v>
      </c>
      <c r="N20" s="19"/>
      <c r="O20" s="75"/>
    </row>
    <row r="21" spans="1:17">
      <c r="A21" s="50">
        <v>18</v>
      </c>
      <c r="B21" s="233">
        <v>45979</v>
      </c>
      <c r="C21" s="73"/>
      <c r="D21" s="167"/>
      <c r="E21" s="273"/>
      <c r="F21" s="273"/>
      <c r="G21" s="8">
        <f t="shared" si="0"/>
        <v>0</v>
      </c>
      <c r="H21" s="71">
        <v>0</v>
      </c>
      <c r="I21" s="72">
        <v>0</v>
      </c>
      <c r="J21" s="8">
        <f t="shared" si="1"/>
        <v>0</v>
      </c>
      <c r="K21" s="8">
        <f t="shared" si="2"/>
        <v>0</v>
      </c>
      <c r="L21" s="74">
        <v>0</v>
      </c>
      <c r="M21" s="74">
        <f t="shared" si="4"/>
        <v>66053.768499999976</v>
      </c>
      <c r="N21" s="8"/>
      <c r="O21" s="75"/>
    </row>
    <row r="22" spans="1:17">
      <c r="A22" s="50">
        <v>19</v>
      </c>
      <c r="B22" s="233">
        <v>45980</v>
      </c>
      <c r="C22" s="73"/>
      <c r="D22" s="167"/>
      <c r="E22" s="273"/>
      <c r="F22" s="273"/>
      <c r="G22" s="8">
        <f t="shared" si="0"/>
        <v>0</v>
      </c>
      <c r="H22" s="71">
        <v>0</v>
      </c>
      <c r="I22" s="72">
        <v>0</v>
      </c>
      <c r="J22" s="8">
        <f t="shared" si="1"/>
        <v>0</v>
      </c>
      <c r="K22" s="8">
        <f t="shared" si="2"/>
        <v>0</v>
      </c>
      <c r="L22" s="74">
        <v>0</v>
      </c>
      <c r="M22" s="74">
        <f t="shared" si="4"/>
        <v>66053.768499999976</v>
      </c>
      <c r="N22" s="8"/>
      <c r="O22" s="75"/>
      <c r="Q22" s="22"/>
    </row>
    <row r="23" spans="1:17">
      <c r="A23" s="50">
        <v>20</v>
      </c>
      <c r="B23" s="233">
        <v>45981</v>
      </c>
      <c r="C23" s="73"/>
      <c r="D23" s="167"/>
      <c r="E23" s="273"/>
      <c r="F23" s="273"/>
      <c r="G23" s="8">
        <f t="shared" si="0"/>
        <v>0</v>
      </c>
      <c r="H23" s="71">
        <v>0</v>
      </c>
      <c r="I23" s="72">
        <v>0</v>
      </c>
      <c r="J23" s="8">
        <f t="shared" si="1"/>
        <v>0</v>
      </c>
      <c r="K23" s="8">
        <f t="shared" si="2"/>
        <v>0</v>
      </c>
      <c r="L23" s="74">
        <v>0</v>
      </c>
      <c r="M23" s="74">
        <f t="shared" si="4"/>
        <v>66053.768499999976</v>
      </c>
      <c r="N23" s="8"/>
      <c r="O23" s="75"/>
    </row>
    <row r="24" spans="1:17">
      <c r="A24" s="50">
        <v>21</v>
      </c>
      <c r="B24" s="233">
        <v>45982</v>
      </c>
      <c r="C24" s="73"/>
      <c r="D24" s="167"/>
      <c r="E24" s="273"/>
      <c r="F24" s="273"/>
      <c r="G24" s="8">
        <f t="shared" si="0"/>
        <v>0</v>
      </c>
      <c r="H24" s="71">
        <v>0</v>
      </c>
      <c r="I24" s="72">
        <v>0</v>
      </c>
      <c r="J24" s="8">
        <f t="shared" si="1"/>
        <v>0</v>
      </c>
      <c r="K24" s="8">
        <f t="shared" si="2"/>
        <v>0</v>
      </c>
      <c r="L24" s="74">
        <v>0</v>
      </c>
      <c r="M24" s="74">
        <f t="shared" si="4"/>
        <v>66053.768499999976</v>
      </c>
      <c r="N24" s="8"/>
      <c r="O24" s="75"/>
    </row>
    <row r="25" spans="1:17">
      <c r="A25" s="50">
        <v>22</v>
      </c>
      <c r="B25" s="233">
        <v>45983</v>
      </c>
      <c r="C25" s="73"/>
      <c r="D25" s="167"/>
      <c r="E25" s="273"/>
      <c r="F25" s="273"/>
      <c r="G25" s="8">
        <f t="shared" si="0"/>
        <v>0</v>
      </c>
      <c r="H25" s="71">
        <v>0</v>
      </c>
      <c r="I25" s="72">
        <v>0</v>
      </c>
      <c r="J25" s="8">
        <f t="shared" si="1"/>
        <v>0</v>
      </c>
      <c r="K25" s="8">
        <f t="shared" si="2"/>
        <v>0</v>
      </c>
      <c r="L25" s="74">
        <v>0</v>
      </c>
      <c r="M25" s="74">
        <f t="shared" si="4"/>
        <v>66053.768499999976</v>
      </c>
      <c r="N25" s="8"/>
      <c r="O25" s="75"/>
    </row>
    <row r="26" spans="1:17">
      <c r="A26" s="50">
        <v>23</v>
      </c>
      <c r="B26" s="233">
        <v>45984</v>
      </c>
      <c r="C26" s="73"/>
      <c r="D26" s="167"/>
      <c r="E26" s="273"/>
      <c r="F26" s="273"/>
      <c r="G26" s="8">
        <f t="shared" si="0"/>
        <v>0</v>
      </c>
      <c r="H26" s="71">
        <v>0</v>
      </c>
      <c r="I26" s="72">
        <v>0</v>
      </c>
      <c r="J26" s="8">
        <f t="shared" si="1"/>
        <v>0</v>
      </c>
      <c r="K26" s="8">
        <f t="shared" si="2"/>
        <v>0</v>
      </c>
      <c r="L26" s="74">
        <v>0</v>
      </c>
      <c r="M26" s="74">
        <f t="shared" si="4"/>
        <v>66053.768499999976</v>
      </c>
      <c r="N26" s="8"/>
      <c r="O26" s="75"/>
    </row>
    <row r="27" spans="1:17">
      <c r="A27" s="50">
        <v>24</v>
      </c>
      <c r="B27" s="233">
        <v>45985</v>
      </c>
      <c r="C27" s="73"/>
      <c r="D27" s="167"/>
      <c r="E27" s="273"/>
      <c r="F27" s="273"/>
      <c r="G27" s="8">
        <f t="shared" si="0"/>
        <v>0</v>
      </c>
      <c r="H27" s="71">
        <v>0</v>
      </c>
      <c r="I27" s="72">
        <v>0</v>
      </c>
      <c r="J27" s="8">
        <f t="shared" si="1"/>
        <v>0</v>
      </c>
      <c r="K27" s="8">
        <f t="shared" si="2"/>
        <v>0</v>
      </c>
      <c r="L27" s="74">
        <v>0</v>
      </c>
      <c r="M27" s="74">
        <f t="shared" si="4"/>
        <v>66053.768499999976</v>
      </c>
      <c r="N27" s="8"/>
      <c r="O27" s="75"/>
    </row>
    <row r="28" spans="1:17">
      <c r="A28" s="235">
        <v>25</v>
      </c>
      <c r="B28" s="233">
        <v>45986</v>
      </c>
      <c r="C28" s="73"/>
      <c r="D28" s="167"/>
      <c r="E28" s="273"/>
      <c r="F28" s="273"/>
      <c r="G28" s="8">
        <f t="shared" si="0"/>
        <v>0</v>
      </c>
      <c r="H28" s="71">
        <v>0</v>
      </c>
      <c r="I28" s="72">
        <v>0</v>
      </c>
      <c r="J28" s="8">
        <f t="shared" si="1"/>
        <v>0</v>
      </c>
      <c r="K28" s="8">
        <f t="shared" si="2"/>
        <v>0</v>
      </c>
      <c r="L28" s="74">
        <v>0</v>
      </c>
      <c r="M28" s="74">
        <f t="shared" si="4"/>
        <v>66053.768499999976</v>
      </c>
      <c r="N28" s="8"/>
      <c r="O28" s="75"/>
    </row>
    <row r="29" spans="1:17">
      <c r="A29" s="235">
        <v>26</v>
      </c>
      <c r="B29" s="233">
        <v>45987</v>
      </c>
      <c r="C29" s="73"/>
      <c r="D29" s="167"/>
      <c r="E29" s="273"/>
      <c r="F29" s="273"/>
      <c r="G29" s="8">
        <f t="shared" si="0"/>
        <v>0</v>
      </c>
      <c r="H29" s="71">
        <v>0</v>
      </c>
      <c r="I29" s="72">
        <v>0</v>
      </c>
      <c r="J29" s="8">
        <f t="shared" si="1"/>
        <v>0</v>
      </c>
      <c r="K29" s="8">
        <f t="shared" si="2"/>
        <v>0</v>
      </c>
      <c r="L29" s="74">
        <v>0</v>
      </c>
      <c r="M29" s="74">
        <f t="shared" si="4"/>
        <v>66053.768499999976</v>
      </c>
      <c r="N29" s="8"/>
      <c r="O29" s="75"/>
    </row>
    <row r="30" spans="1:17">
      <c r="A30" s="235">
        <v>27</v>
      </c>
      <c r="B30" s="233">
        <v>45988</v>
      </c>
      <c r="C30" s="73"/>
      <c r="D30" s="167"/>
      <c r="E30" s="273"/>
      <c r="F30" s="273"/>
      <c r="G30" s="8">
        <f t="shared" si="0"/>
        <v>0</v>
      </c>
      <c r="H30" s="71">
        <v>0</v>
      </c>
      <c r="I30" s="72">
        <v>0</v>
      </c>
      <c r="J30" s="8">
        <f t="shared" si="1"/>
        <v>0</v>
      </c>
      <c r="K30" s="8">
        <f t="shared" si="2"/>
        <v>0</v>
      </c>
      <c r="L30" s="74">
        <v>0</v>
      </c>
      <c r="M30" s="74">
        <f t="shared" si="4"/>
        <v>66053.768499999976</v>
      </c>
      <c r="N30" s="8"/>
      <c r="O30" s="75"/>
    </row>
    <row r="31" spans="1:17">
      <c r="A31" s="235">
        <v>28</v>
      </c>
      <c r="B31" s="233">
        <v>45989</v>
      </c>
      <c r="C31" s="73"/>
      <c r="D31" s="167"/>
      <c r="E31" s="273"/>
      <c r="F31" s="273"/>
      <c r="G31" s="8">
        <f t="shared" si="0"/>
        <v>0</v>
      </c>
      <c r="H31" s="71">
        <v>0</v>
      </c>
      <c r="I31" s="72">
        <v>0</v>
      </c>
      <c r="J31" s="8">
        <f t="shared" si="1"/>
        <v>0</v>
      </c>
      <c r="K31" s="8">
        <f t="shared" si="2"/>
        <v>0</v>
      </c>
      <c r="L31" s="74">
        <v>0</v>
      </c>
      <c r="M31" s="74">
        <f t="shared" si="4"/>
        <v>66053.768499999976</v>
      </c>
      <c r="N31" s="8"/>
      <c r="O31" s="75"/>
    </row>
    <row r="32" spans="1:17">
      <c r="A32" s="236">
        <v>29</v>
      </c>
      <c r="B32" s="233">
        <v>45990</v>
      </c>
      <c r="C32" s="73"/>
      <c r="D32" s="167"/>
      <c r="E32" s="273"/>
      <c r="F32" s="273"/>
      <c r="G32" s="8">
        <f t="shared" si="0"/>
        <v>0</v>
      </c>
      <c r="H32" s="71">
        <v>0</v>
      </c>
      <c r="I32" s="72">
        <v>0</v>
      </c>
      <c r="J32" s="8">
        <f t="shared" si="1"/>
        <v>0</v>
      </c>
      <c r="K32" s="8">
        <f t="shared" si="2"/>
        <v>0</v>
      </c>
      <c r="L32" s="74">
        <v>0</v>
      </c>
      <c r="M32" s="74">
        <f t="shared" si="4"/>
        <v>66053.768499999976</v>
      </c>
      <c r="N32" s="8"/>
      <c r="O32" s="75"/>
    </row>
    <row r="33" spans="1:15">
      <c r="A33" s="236">
        <v>30</v>
      </c>
      <c r="B33" s="233">
        <v>45991</v>
      </c>
      <c r="C33" s="73"/>
      <c r="D33" s="167"/>
      <c r="E33" s="273"/>
      <c r="F33" s="273"/>
      <c r="G33" s="8">
        <f t="shared" si="0"/>
        <v>0</v>
      </c>
      <c r="H33" s="71">
        <v>0</v>
      </c>
      <c r="I33" s="72">
        <v>0</v>
      </c>
      <c r="J33" s="8">
        <f t="shared" si="1"/>
        <v>0</v>
      </c>
      <c r="K33" s="8">
        <f t="shared" si="2"/>
        <v>0</v>
      </c>
      <c r="L33" s="74">
        <v>0</v>
      </c>
      <c r="M33" s="74">
        <f t="shared" si="4"/>
        <v>66053.768499999976</v>
      </c>
      <c r="N33" s="8"/>
      <c r="O33" s="75"/>
    </row>
    <row r="34" spans="1:15">
      <c r="A34" s="236">
        <v>31</v>
      </c>
      <c r="B34" s="233"/>
      <c r="C34" s="73"/>
      <c r="D34" s="167"/>
      <c r="E34" s="273"/>
      <c r="F34" s="273"/>
      <c r="G34" s="8">
        <f t="shared" si="0"/>
        <v>0</v>
      </c>
      <c r="H34" s="71">
        <v>0</v>
      </c>
      <c r="I34" s="72">
        <v>0</v>
      </c>
      <c r="J34" s="8">
        <f t="shared" si="1"/>
        <v>0</v>
      </c>
      <c r="K34" s="8">
        <f t="shared" si="2"/>
        <v>0</v>
      </c>
      <c r="L34" s="74">
        <v>0</v>
      </c>
      <c r="M34" s="74">
        <f t="shared" si="4"/>
        <v>66053.768499999976</v>
      </c>
      <c r="N34" s="8"/>
      <c r="O34" s="75"/>
    </row>
    <row r="35" spans="1:15">
      <c r="A35" s="68"/>
      <c r="B35" s="68"/>
      <c r="C35" s="68"/>
      <c r="D35" s="68"/>
      <c r="E35" s="274">
        <f>SUM(E4:E34)</f>
        <v>688.08</v>
      </c>
      <c r="F35" s="274"/>
      <c r="G35" s="69">
        <f>SUM(G4:G34)</f>
        <v>65938.706399999995</v>
      </c>
      <c r="H35" s="69">
        <f>SUM(H4:H34)</f>
        <v>0</v>
      </c>
      <c r="I35" s="69"/>
      <c r="J35" s="69">
        <f>SUM(J4:J34)</f>
        <v>0</v>
      </c>
      <c r="K35" s="69">
        <f>SUM(K4:K34)</f>
        <v>65938.706399999995</v>
      </c>
      <c r="L35" s="69">
        <f>SUM(L4:L34)</f>
        <v>167000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F38" t="s">
        <v>112</v>
      </c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58"/>
      <c r="C43" s="458"/>
      <c r="D43" s="458"/>
      <c r="E43" s="458"/>
      <c r="F43" s="75"/>
      <c r="G43" s="75"/>
      <c r="H43" s="75"/>
      <c r="I43" s="458"/>
      <c r="J43" s="458"/>
      <c r="K43" s="458"/>
      <c r="L43" s="458"/>
      <c r="M43" s="458"/>
      <c r="N43" s="458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selection activeCell="B4" sqref="B4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56" t="s">
        <v>22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88"/>
    </row>
    <row r="2" spans="1:18">
      <c r="A2" s="104" t="s">
        <v>95</v>
      </c>
      <c r="B2" s="105" t="s">
        <v>96</v>
      </c>
      <c r="C2" s="105" t="s">
        <v>97</v>
      </c>
      <c r="D2" s="105" t="s">
        <v>111</v>
      </c>
      <c r="E2" s="272" t="s">
        <v>99</v>
      </c>
      <c r="F2" s="272" t="s">
        <v>100</v>
      </c>
      <c r="G2" s="105" t="s">
        <v>101</v>
      </c>
      <c r="H2" s="105" t="s">
        <v>102</v>
      </c>
      <c r="I2" s="105" t="s">
        <v>100</v>
      </c>
      <c r="J2" s="145" t="s">
        <v>101</v>
      </c>
      <c r="K2" s="106" t="s">
        <v>103</v>
      </c>
      <c r="L2" s="146" t="s">
        <v>104</v>
      </c>
      <c r="M2" s="150" t="s">
        <v>110</v>
      </c>
      <c r="N2" s="107" t="s">
        <v>106</v>
      </c>
      <c r="O2" s="65"/>
    </row>
    <row r="3" spans="1:18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7"/>
      <c r="M3" s="155">
        <v>0</v>
      </c>
      <c r="N3" s="164"/>
      <c r="O3" s="65"/>
    </row>
    <row r="4" spans="1:18">
      <c r="A4" s="208">
        <v>1</v>
      </c>
      <c r="B4" s="233">
        <v>45962</v>
      </c>
      <c r="C4" s="73"/>
      <c r="D4" s="167"/>
      <c r="E4" s="273"/>
      <c r="F4" s="273"/>
      <c r="G4" s="8">
        <f t="shared" ref="G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f>+K4</f>
        <v>0</v>
      </c>
      <c r="M4" s="74">
        <v>0</v>
      </c>
      <c r="N4" s="8"/>
    </row>
    <row r="5" spans="1:18">
      <c r="A5" s="50">
        <v>2</v>
      </c>
      <c r="B5" s="233">
        <v>45963</v>
      </c>
      <c r="C5" s="73"/>
      <c r="D5" s="167"/>
      <c r="E5" s="273"/>
      <c r="F5" s="273"/>
      <c r="G5" s="8">
        <f t="shared" ref="G5:G33" si="1">E5*F5</f>
        <v>0</v>
      </c>
      <c r="H5" s="71">
        <v>0</v>
      </c>
      <c r="I5" s="72">
        <v>0</v>
      </c>
      <c r="J5" s="8">
        <f t="shared" ref="J5:J33" si="2">H5*I5</f>
        <v>0</v>
      </c>
      <c r="K5" s="8">
        <f t="shared" ref="K5:K33" si="3">G5+J5</f>
        <v>0</v>
      </c>
      <c r="L5" s="74">
        <f t="shared" ref="L5:L33" si="4">+K5</f>
        <v>0</v>
      </c>
      <c r="M5" s="74">
        <v>0</v>
      </c>
      <c r="N5" s="8"/>
    </row>
    <row r="6" spans="1:18">
      <c r="A6" s="50">
        <v>3</v>
      </c>
      <c r="B6" s="233">
        <v>45964</v>
      </c>
      <c r="C6" s="73"/>
      <c r="D6" s="167"/>
      <c r="E6" s="273"/>
      <c r="F6" s="273"/>
      <c r="G6" s="8">
        <f t="shared" si="1"/>
        <v>0</v>
      </c>
      <c r="H6" s="71">
        <v>0</v>
      </c>
      <c r="I6" s="72">
        <v>0</v>
      </c>
      <c r="J6" s="8">
        <f t="shared" si="2"/>
        <v>0</v>
      </c>
      <c r="K6" s="8">
        <f t="shared" si="3"/>
        <v>0</v>
      </c>
      <c r="L6" s="74">
        <f t="shared" si="4"/>
        <v>0</v>
      </c>
      <c r="M6" s="74">
        <v>0</v>
      </c>
      <c r="N6" s="8"/>
    </row>
    <row r="7" spans="1:18">
      <c r="A7" s="50">
        <v>4</v>
      </c>
      <c r="B7" s="233">
        <v>45965</v>
      </c>
      <c r="C7" s="73"/>
      <c r="D7" s="167"/>
      <c r="E7" s="273"/>
      <c r="F7" s="273"/>
      <c r="G7" s="8">
        <f t="shared" si="1"/>
        <v>0</v>
      </c>
      <c r="H7" s="71">
        <v>0</v>
      </c>
      <c r="I7" s="72">
        <v>0</v>
      </c>
      <c r="J7" s="8">
        <f t="shared" si="2"/>
        <v>0</v>
      </c>
      <c r="K7" s="8">
        <f t="shared" si="3"/>
        <v>0</v>
      </c>
      <c r="L7" s="74">
        <f t="shared" si="4"/>
        <v>0</v>
      </c>
      <c r="M7" s="74">
        <v>0</v>
      </c>
      <c r="N7" s="8"/>
    </row>
    <row r="8" spans="1:18">
      <c r="A8" s="50">
        <v>5</v>
      </c>
      <c r="B8" s="233">
        <v>45966</v>
      </c>
      <c r="C8" s="73"/>
      <c r="D8" s="167"/>
      <c r="E8" s="273"/>
      <c r="F8" s="273"/>
      <c r="G8" s="8">
        <f t="shared" si="1"/>
        <v>0</v>
      </c>
      <c r="H8" s="71">
        <v>0</v>
      </c>
      <c r="I8" s="72">
        <v>0</v>
      </c>
      <c r="J8" s="8">
        <f t="shared" si="2"/>
        <v>0</v>
      </c>
      <c r="K8" s="8">
        <f t="shared" si="3"/>
        <v>0</v>
      </c>
      <c r="L8" s="74">
        <f t="shared" si="4"/>
        <v>0</v>
      </c>
      <c r="M8" s="74">
        <v>0</v>
      </c>
      <c r="N8" s="8"/>
      <c r="O8" s="75"/>
      <c r="R8" s="240"/>
    </row>
    <row r="9" spans="1:18">
      <c r="A9" s="50">
        <v>6</v>
      </c>
      <c r="B9" s="233">
        <v>45967</v>
      </c>
      <c r="C9" s="73"/>
      <c r="D9" s="167"/>
      <c r="E9" s="273"/>
      <c r="F9" s="273"/>
      <c r="G9" s="8"/>
      <c r="H9" s="71">
        <v>0</v>
      </c>
      <c r="I9" s="72">
        <v>0</v>
      </c>
      <c r="J9" s="8">
        <f t="shared" si="2"/>
        <v>0</v>
      </c>
      <c r="K9" s="8">
        <f t="shared" si="3"/>
        <v>0</v>
      </c>
      <c r="L9" s="74">
        <f t="shared" si="4"/>
        <v>0</v>
      </c>
      <c r="M9" s="74">
        <v>0</v>
      </c>
      <c r="N9" s="8"/>
      <c r="O9" s="75"/>
    </row>
    <row r="10" spans="1:18">
      <c r="A10" s="50">
        <v>7</v>
      </c>
      <c r="B10" s="233">
        <v>45968</v>
      </c>
      <c r="C10" s="73"/>
      <c r="D10" s="167"/>
      <c r="E10" s="273"/>
      <c r="F10" s="273"/>
      <c r="G10" s="8"/>
      <c r="H10" s="71">
        <v>0</v>
      </c>
      <c r="I10" s="72">
        <v>0</v>
      </c>
      <c r="J10" s="8">
        <f t="shared" si="2"/>
        <v>0</v>
      </c>
      <c r="K10" s="8">
        <f t="shared" si="3"/>
        <v>0</v>
      </c>
      <c r="L10" s="74">
        <f t="shared" si="4"/>
        <v>0</v>
      </c>
      <c r="M10" s="74">
        <v>0</v>
      </c>
      <c r="N10" s="8"/>
      <c r="O10" s="75"/>
    </row>
    <row r="11" spans="1:18">
      <c r="A11" s="50">
        <v>8</v>
      </c>
      <c r="B11" s="233">
        <v>45969</v>
      </c>
      <c r="C11" s="73"/>
      <c r="D11" s="167"/>
      <c r="E11" s="273"/>
      <c r="F11" s="273"/>
      <c r="G11" s="8"/>
      <c r="H11" s="71">
        <v>0</v>
      </c>
      <c r="I11" s="72">
        <v>0</v>
      </c>
      <c r="J11" s="8">
        <f t="shared" si="2"/>
        <v>0</v>
      </c>
      <c r="K11" s="8">
        <f t="shared" si="3"/>
        <v>0</v>
      </c>
      <c r="L11" s="74">
        <f t="shared" si="4"/>
        <v>0</v>
      </c>
      <c r="M11" s="74">
        <v>0</v>
      </c>
      <c r="N11" s="8"/>
      <c r="O11" s="75"/>
    </row>
    <row r="12" spans="1:18">
      <c r="A12" s="50">
        <v>9</v>
      </c>
      <c r="B12" s="233">
        <v>45970</v>
      </c>
      <c r="C12" s="73"/>
      <c r="D12" s="167"/>
      <c r="E12" s="273"/>
      <c r="F12" s="273"/>
      <c r="G12" s="8"/>
      <c r="H12" s="71">
        <v>0</v>
      </c>
      <c r="I12" s="72">
        <v>0</v>
      </c>
      <c r="J12" s="8">
        <f t="shared" si="2"/>
        <v>0</v>
      </c>
      <c r="K12" s="8">
        <f t="shared" si="3"/>
        <v>0</v>
      </c>
      <c r="L12" s="74">
        <f t="shared" si="4"/>
        <v>0</v>
      </c>
      <c r="M12" s="74">
        <v>0</v>
      </c>
      <c r="N12" s="8"/>
      <c r="O12" s="75"/>
    </row>
    <row r="13" spans="1:18">
      <c r="A13" s="50">
        <v>10</v>
      </c>
      <c r="B13" s="233">
        <v>45971</v>
      </c>
      <c r="C13" s="73"/>
      <c r="D13" s="167"/>
      <c r="E13" s="273"/>
      <c r="F13" s="273"/>
      <c r="G13" s="8"/>
      <c r="H13" s="71">
        <v>0</v>
      </c>
      <c r="I13" s="72">
        <v>0</v>
      </c>
      <c r="J13" s="8">
        <f t="shared" si="2"/>
        <v>0</v>
      </c>
      <c r="K13" s="8">
        <f t="shared" si="3"/>
        <v>0</v>
      </c>
      <c r="L13" s="74">
        <f t="shared" si="4"/>
        <v>0</v>
      </c>
      <c r="M13" s="74">
        <v>0</v>
      </c>
      <c r="N13" s="8"/>
      <c r="O13" s="75"/>
    </row>
    <row r="14" spans="1:18">
      <c r="A14" s="50">
        <v>11</v>
      </c>
      <c r="B14" s="233">
        <v>45972</v>
      </c>
      <c r="C14" s="73"/>
      <c r="D14" s="167"/>
      <c r="E14" s="273"/>
      <c r="F14" s="273"/>
      <c r="G14" s="8"/>
      <c r="H14" s="71">
        <v>0</v>
      </c>
      <c r="I14" s="72">
        <v>0</v>
      </c>
      <c r="J14" s="8">
        <f t="shared" si="2"/>
        <v>0</v>
      </c>
      <c r="K14" s="8">
        <f t="shared" si="3"/>
        <v>0</v>
      </c>
      <c r="L14" s="74">
        <f t="shared" si="4"/>
        <v>0</v>
      </c>
      <c r="M14" s="74">
        <v>0</v>
      </c>
      <c r="N14" s="8"/>
      <c r="O14" s="75"/>
    </row>
    <row r="15" spans="1:18">
      <c r="A15" s="50">
        <v>12</v>
      </c>
      <c r="B15" s="233">
        <v>45973</v>
      </c>
      <c r="C15" s="73"/>
      <c r="D15" s="167"/>
      <c r="E15" s="273"/>
      <c r="F15" s="273"/>
      <c r="G15" s="8"/>
      <c r="H15" s="71">
        <v>0</v>
      </c>
      <c r="I15" s="72">
        <v>0</v>
      </c>
      <c r="J15" s="8">
        <f t="shared" si="2"/>
        <v>0</v>
      </c>
      <c r="K15" s="8">
        <f t="shared" si="3"/>
        <v>0</v>
      </c>
      <c r="L15" s="74">
        <f t="shared" si="4"/>
        <v>0</v>
      </c>
      <c r="M15" s="74">
        <v>0</v>
      </c>
      <c r="N15" s="8"/>
      <c r="O15" s="75"/>
    </row>
    <row r="16" spans="1:18">
      <c r="A16" s="50">
        <v>13</v>
      </c>
      <c r="B16" s="233">
        <v>45974</v>
      </c>
      <c r="C16" s="73"/>
      <c r="D16" s="167"/>
      <c r="E16" s="273"/>
      <c r="F16" s="273"/>
      <c r="G16" s="8"/>
      <c r="H16" s="71">
        <v>0</v>
      </c>
      <c r="I16" s="72">
        <v>0</v>
      </c>
      <c r="J16" s="8">
        <f t="shared" si="2"/>
        <v>0</v>
      </c>
      <c r="K16" s="8">
        <f t="shared" si="3"/>
        <v>0</v>
      </c>
      <c r="L16" s="74">
        <f t="shared" si="4"/>
        <v>0</v>
      </c>
      <c r="M16" s="74">
        <v>0</v>
      </c>
      <c r="N16" s="8"/>
      <c r="O16" s="75"/>
    </row>
    <row r="17" spans="1:15">
      <c r="A17" s="50">
        <v>14</v>
      </c>
      <c r="B17" s="233">
        <v>45975</v>
      </c>
      <c r="C17" s="73"/>
      <c r="D17" s="167"/>
      <c r="E17" s="273"/>
      <c r="F17" s="273"/>
      <c r="G17" s="8"/>
      <c r="H17" s="71">
        <v>0</v>
      </c>
      <c r="I17" s="72">
        <v>0</v>
      </c>
      <c r="J17" s="8">
        <f t="shared" si="2"/>
        <v>0</v>
      </c>
      <c r="K17" s="8">
        <f t="shared" si="3"/>
        <v>0</v>
      </c>
      <c r="L17" s="74">
        <f t="shared" si="4"/>
        <v>0</v>
      </c>
      <c r="M17" s="74">
        <v>0</v>
      </c>
      <c r="N17" s="8"/>
      <c r="O17" s="75"/>
    </row>
    <row r="18" spans="1:15">
      <c r="A18" s="50">
        <v>15</v>
      </c>
      <c r="B18" s="233">
        <v>45976</v>
      </c>
      <c r="C18" s="73"/>
      <c r="D18" s="167"/>
      <c r="E18" s="273"/>
      <c r="F18" s="273"/>
      <c r="G18" s="8"/>
      <c r="H18" s="71">
        <v>0</v>
      </c>
      <c r="I18" s="72">
        <v>0</v>
      </c>
      <c r="J18" s="8">
        <f t="shared" si="2"/>
        <v>0</v>
      </c>
      <c r="K18" s="8">
        <f t="shared" si="3"/>
        <v>0</v>
      </c>
      <c r="L18" s="74">
        <f t="shared" si="4"/>
        <v>0</v>
      </c>
      <c r="M18" s="74">
        <v>0</v>
      </c>
      <c r="N18" s="8"/>
      <c r="O18" s="75"/>
    </row>
    <row r="19" spans="1:15">
      <c r="A19" s="50">
        <v>16</v>
      </c>
      <c r="B19" s="233">
        <v>45977</v>
      </c>
      <c r="C19" s="73"/>
      <c r="D19" s="167"/>
      <c r="E19" s="273"/>
      <c r="F19" s="273"/>
      <c r="G19" s="8"/>
      <c r="H19" s="71">
        <v>0</v>
      </c>
      <c r="I19" s="72">
        <v>0</v>
      </c>
      <c r="J19" s="8">
        <f t="shared" si="2"/>
        <v>0</v>
      </c>
      <c r="K19" s="8">
        <f t="shared" si="3"/>
        <v>0</v>
      </c>
      <c r="L19" s="74">
        <f t="shared" si="4"/>
        <v>0</v>
      </c>
      <c r="M19" s="74">
        <v>0</v>
      </c>
      <c r="N19" s="8"/>
      <c r="O19" s="75"/>
    </row>
    <row r="20" spans="1:15">
      <c r="A20" s="50">
        <v>17</v>
      </c>
      <c r="B20" s="233">
        <v>45978</v>
      </c>
      <c r="C20" s="73"/>
      <c r="D20" s="167"/>
      <c r="E20" s="273"/>
      <c r="F20" s="273"/>
      <c r="G20" s="8"/>
      <c r="H20" s="71">
        <v>0</v>
      </c>
      <c r="I20" s="72">
        <v>0</v>
      </c>
      <c r="J20" s="8">
        <f t="shared" si="2"/>
        <v>0</v>
      </c>
      <c r="K20" s="8">
        <f t="shared" si="3"/>
        <v>0</v>
      </c>
      <c r="L20" s="74">
        <f t="shared" si="4"/>
        <v>0</v>
      </c>
      <c r="M20" s="74">
        <v>0</v>
      </c>
      <c r="N20" s="8"/>
      <c r="O20" s="75"/>
    </row>
    <row r="21" spans="1:15">
      <c r="A21" s="50">
        <v>18</v>
      </c>
      <c r="B21" s="233">
        <v>45979</v>
      </c>
      <c r="C21" s="73"/>
      <c r="D21" s="167"/>
      <c r="E21" s="273"/>
      <c r="F21" s="273"/>
      <c r="G21" s="8"/>
      <c r="H21" s="71">
        <v>0</v>
      </c>
      <c r="I21" s="72">
        <v>0</v>
      </c>
      <c r="J21" s="8">
        <f t="shared" si="2"/>
        <v>0</v>
      </c>
      <c r="K21" s="8">
        <f t="shared" si="3"/>
        <v>0</v>
      </c>
      <c r="L21" s="74">
        <f t="shared" si="4"/>
        <v>0</v>
      </c>
      <c r="M21" s="74">
        <v>0</v>
      </c>
      <c r="N21" s="8"/>
      <c r="O21" s="75"/>
    </row>
    <row r="22" spans="1:15">
      <c r="A22" s="50">
        <v>19</v>
      </c>
      <c r="B22" s="233">
        <v>45980</v>
      </c>
      <c r="C22" s="73"/>
      <c r="D22" s="167"/>
      <c r="E22" s="273"/>
      <c r="F22" s="273"/>
      <c r="G22" s="8"/>
      <c r="H22" s="71">
        <v>0</v>
      </c>
      <c r="I22" s="72">
        <v>0</v>
      </c>
      <c r="J22" s="8">
        <f t="shared" si="2"/>
        <v>0</v>
      </c>
      <c r="K22" s="8">
        <f t="shared" si="3"/>
        <v>0</v>
      </c>
      <c r="L22" s="74">
        <f t="shared" si="4"/>
        <v>0</v>
      </c>
      <c r="M22" s="74">
        <v>0</v>
      </c>
      <c r="N22" s="8"/>
      <c r="O22" s="75"/>
    </row>
    <row r="23" spans="1:15">
      <c r="A23" s="50">
        <v>20</v>
      </c>
      <c r="B23" s="233">
        <v>45981</v>
      </c>
      <c r="C23" s="73"/>
      <c r="D23" s="167"/>
      <c r="E23" s="273"/>
      <c r="F23" s="273"/>
      <c r="G23" s="8"/>
      <c r="H23" s="71">
        <v>0</v>
      </c>
      <c r="I23" s="72">
        <v>0</v>
      </c>
      <c r="J23" s="8">
        <f t="shared" si="2"/>
        <v>0</v>
      </c>
      <c r="K23" s="8">
        <f t="shared" si="3"/>
        <v>0</v>
      </c>
      <c r="L23" s="74">
        <f t="shared" si="4"/>
        <v>0</v>
      </c>
      <c r="M23" s="74">
        <v>0</v>
      </c>
      <c r="N23" s="8"/>
      <c r="O23" s="75"/>
    </row>
    <row r="24" spans="1:15">
      <c r="A24" s="50">
        <v>21</v>
      </c>
      <c r="B24" s="233">
        <v>45982</v>
      </c>
      <c r="C24" s="73"/>
      <c r="D24" s="167"/>
      <c r="E24" s="273"/>
      <c r="F24" s="273"/>
      <c r="G24" s="8"/>
      <c r="H24" s="71">
        <v>0</v>
      </c>
      <c r="I24" s="72">
        <v>0</v>
      </c>
      <c r="J24" s="8">
        <f t="shared" si="2"/>
        <v>0</v>
      </c>
      <c r="K24" s="8">
        <f t="shared" si="3"/>
        <v>0</v>
      </c>
      <c r="L24" s="74">
        <f t="shared" si="4"/>
        <v>0</v>
      </c>
      <c r="M24" s="74">
        <v>0</v>
      </c>
      <c r="N24" s="8"/>
      <c r="O24" s="75"/>
    </row>
    <row r="25" spans="1:15">
      <c r="A25" s="50">
        <v>22</v>
      </c>
      <c r="B25" s="233">
        <v>45983</v>
      </c>
      <c r="C25" s="73"/>
      <c r="D25" s="167"/>
      <c r="E25" s="273"/>
      <c r="F25" s="273"/>
      <c r="G25" s="8"/>
      <c r="H25" s="71">
        <v>0</v>
      </c>
      <c r="I25" s="72">
        <v>0</v>
      </c>
      <c r="J25" s="8">
        <f t="shared" si="2"/>
        <v>0</v>
      </c>
      <c r="K25" s="8">
        <f t="shared" si="3"/>
        <v>0</v>
      </c>
      <c r="L25" s="74">
        <f t="shared" si="4"/>
        <v>0</v>
      </c>
      <c r="M25" s="74">
        <v>0</v>
      </c>
      <c r="N25" s="8"/>
      <c r="O25" s="75"/>
    </row>
    <row r="26" spans="1:15">
      <c r="A26" s="50">
        <v>23</v>
      </c>
      <c r="B26" s="233">
        <v>45984</v>
      </c>
      <c r="C26" s="73"/>
      <c r="D26" s="167"/>
      <c r="E26" s="273"/>
      <c r="F26" s="8"/>
      <c r="G26" s="8"/>
      <c r="H26" s="71">
        <v>0</v>
      </c>
      <c r="I26" s="72">
        <v>0</v>
      </c>
      <c r="J26" s="8">
        <f t="shared" si="2"/>
        <v>0</v>
      </c>
      <c r="K26" s="8">
        <f t="shared" si="3"/>
        <v>0</v>
      </c>
      <c r="L26" s="74">
        <f t="shared" si="4"/>
        <v>0</v>
      </c>
      <c r="M26" s="74">
        <v>0</v>
      </c>
      <c r="N26" s="8"/>
      <c r="O26" s="75"/>
    </row>
    <row r="27" spans="1:15">
      <c r="A27" s="50">
        <v>24</v>
      </c>
      <c r="B27" s="233">
        <v>45985</v>
      </c>
      <c r="C27" s="73"/>
      <c r="D27" s="167"/>
      <c r="E27" s="273"/>
      <c r="F27" s="8"/>
      <c r="G27" s="8"/>
      <c r="H27" s="71">
        <v>0</v>
      </c>
      <c r="I27" s="72">
        <v>0</v>
      </c>
      <c r="J27" s="8">
        <f t="shared" si="2"/>
        <v>0</v>
      </c>
      <c r="K27" s="8">
        <f t="shared" si="3"/>
        <v>0</v>
      </c>
      <c r="L27" s="74">
        <f t="shared" si="4"/>
        <v>0</v>
      </c>
      <c r="M27" s="74">
        <v>0</v>
      </c>
      <c r="N27" s="8"/>
      <c r="O27" s="75"/>
    </row>
    <row r="28" spans="1:15">
      <c r="A28" s="235">
        <v>25</v>
      </c>
      <c r="B28" s="233">
        <v>45986</v>
      </c>
      <c r="C28" s="73"/>
      <c r="D28" s="167"/>
      <c r="E28" s="273"/>
      <c r="F28" s="273"/>
      <c r="G28" s="8"/>
      <c r="H28" s="71">
        <v>0</v>
      </c>
      <c r="I28" s="72">
        <v>0</v>
      </c>
      <c r="J28" s="8">
        <f t="shared" si="2"/>
        <v>0</v>
      </c>
      <c r="K28" s="8">
        <f t="shared" si="3"/>
        <v>0</v>
      </c>
      <c r="L28" s="74">
        <f t="shared" si="4"/>
        <v>0</v>
      </c>
      <c r="M28" s="74">
        <v>0</v>
      </c>
      <c r="N28" s="8"/>
      <c r="O28" s="75"/>
    </row>
    <row r="29" spans="1:15">
      <c r="A29" s="235">
        <v>26</v>
      </c>
      <c r="B29" s="233">
        <v>45987</v>
      </c>
      <c r="C29" s="73"/>
      <c r="D29" s="167"/>
      <c r="E29" s="273"/>
      <c r="F29" s="273"/>
      <c r="G29" s="8">
        <f t="shared" si="1"/>
        <v>0</v>
      </c>
      <c r="H29" s="71">
        <v>0</v>
      </c>
      <c r="I29" s="72">
        <v>0</v>
      </c>
      <c r="J29" s="8">
        <f t="shared" si="2"/>
        <v>0</v>
      </c>
      <c r="K29" s="8">
        <f t="shared" si="3"/>
        <v>0</v>
      </c>
      <c r="L29" s="74">
        <f t="shared" si="4"/>
        <v>0</v>
      </c>
      <c r="M29" s="74">
        <v>0</v>
      </c>
      <c r="N29" s="8"/>
      <c r="O29" s="75"/>
    </row>
    <row r="30" spans="1:15">
      <c r="A30" s="235">
        <v>27</v>
      </c>
      <c r="B30" s="233">
        <v>45988</v>
      </c>
      <c r="C30" s="73"/>
      <c r="D30" s="167"/>
      <c r="E30" s="273"/>
      <c r="F30" s="273"/>
      <c r="G30" s="8">
        <f t="shared" si="1"/>
        <v>0</v>
      </c>
      <c r="H30" s="71">
        <v>0</v>
      </c>
      <c r="I30" s="72">
        <v>0</v>
      </c>
      <c r="J30" s="8">
        <f t="shared" si="2"/>
        <v>0</v>
      </c>
      <c r="K30" s="8">
        <f t="shared" si="3"/>
        <v>0</v>
      </c>
      <c r="L30" s="74">
        <f t="shared" si="4"/>
        <v>0</v>
      </c>
      <c r="M30" s="74">
        <v>0</v>
      </c>
      <c r="N30" s="8"/>
      <c r="O30" s="75"/>
    </row>
    <row r="31" spans="1:15">
      <c r="A31" s="235">
        <v>28</v>
      </c>
      <c r="B31" s="233">
        <v>45989</v>
      </c>
      <c r="C31" s="73"/>
      <c r="D31" s="167"/>
      <c r="E31" s="273"/>
      <c r="F31" s="273"/>
      <c r="G31" s="8">
        <f t="shared" si="1"/>
        <v>0</v>
      </c>
      <c r="H31" s="71">
        <v>0</v>
      </c>
      <c r="I31" s="72">
        <v>0</v>
      </c>
      <c r="J31" s="8">
        <f t="shared" si="2"/>
        <v>0</v>
      </c>
      <c r="K31" s="8">
        <f t="shared" si="3"/>
        <v>0</v>
      </c>
      <c r="L31" s="74">
        <f t="shared" si="4"/>
        <v>0</v>
      </c>
      <c r="M31" s="74">
        <v>0</v>
      </c>
      <c r="N31" s="8"/>
      <c r="O31" s="75"/>
    </row>
    <row r="32" spans="1:15">
      <c r="A32" s="236">
        <v>29</v>
      </c>
      <c r="B32" s="233">
        <v>45990</v>
      </c>
      <c r="C32" s="73"/>
      <c r="D32" s="167"/>
      <c r="E32" s="273"/>
      <c r="F32" s="273"/>
      <c r="G32" s="8">
        <f t="shared" si="1"/>
        <v>0</v>
      </c>
      <c r="H32" s="71">
        <v>0</v>
      </c>
      <c r="I32" s="72">
        <v>0</v>
      </c>
      <c r="J32" s="8">
        <f t="shared" si="2"/>
        <v>0</v>
      </c>
      <c r="K32" s="8">
        <f t="shared" si="3"/>
        <v>0</v>
      </c>
      <c r="L32" s="74">
        <f t="shared" si="4"/>
        <v>0</v>
      </c>
      <c r="M32" s="74">
        <v>0</v>
      </c>
      <c r="N32" s="8"/>
      <c r="O32" s="75"/>
    </row>
    <row r="33" spans="1:15">
      <c r="A33" s="236">
        <v>30</v>
      </c>
      <c r="B33" s="233">
        <v>45991</v>
      </c>
      <c r="C33" s="73"/>
      <c r="D33" s="167"/>
      <c r="E33" s="273"/>
      <c r="F33" s="273"/>
      <c r="G33" s="8">
        <f t="shared" si="1"/>
        <v>0</v>
      </c>
      <c r="H33" s="71">
        <v>0</v>
      </c>
      <c r="I33" s="72">
        <v>0</v>
      </c>
      <c r="J33" s="8">
        <f t="shared" si="2"/>
        <v>0</v>
      </c>
      <c r="K33" s="8">
        <f t="shared" si="3"/>
        <v>0</v>
      </c>
      <c r="L33" s="74">
        <f t="shared" si="4"/>
        <v>0</v>
      </c>
      <c r="M33" s="74">
        <v>0</v>
      </c>
      <c r="N33" s="8"/>
      <c r="O33" s="75"/>
    </row>
    <row r="34" spans="1:15">
      <c r="A34" s="236">
        <v>31</v>
      </c>
      <c r="B34" s="233"/>
      <c r="C34" s="73"/>
      <c r="D34" s="167"/>
      <c r="E34" s="273"/>
      <c r="F34" s="273"/>
      <c r="G34" s="8">
        <f t="shared" ref="G34" si="5">E34*F34</f>
        <v>0</v>
      </c>
      <c r="H34" s="71">
        <v>0</v>
      </c>
      <c r="I34" s="72">
        <v>0</v>
      </c>
      <c r="J34" s="8">
        <f t="shared" ref="J34" si="6">H34*I34</f>
        <v>0</v>
      </c>
      <c r="K34" s="8">
        <f t="shared" ref="K34" si="7">G34+J34</f>
        <v>0</v>
      </c>
      <c r="L34" s="74">
        <f t="shared" ref="L34" si="8">+K34</f>
        <v>0</v>
      </c>
      <c r="M34" s="74">
        <v>0</v>
      </c>
      <c r="N34" s="8"/>
      <c r="O34" s="75"/>
    </row>
    <row r="35" spans="1:15">
      <c r="A35" s="68"/>
      <c r="B35" s="68"/>
      <c r="C35" s="68"/>
      <c r="D35" s="68"/>
      <c r="E35" s="274">
        <f>SUM(E4:E34)</f>
        <v>0</v>
      </c>
      <c r="F35" s="274"/>
      <c r="G35" s="69">
        <f>SUM(G4:G34)</f>
        <v>0</v>
      </c>
      <c r="H35" s="69">
        <f>SUM(H4:H34)</f>
        <v>0</v>
      </c>
      <c r="I35" s="69"/>
      <c r="J35" s="69">
        <f>SUM(J4:J34)</f>
        <v>0</v>
      </c>
      <c r="K35" s="69">
        <f>SUM(K4:K34)</f>
        <v>0</v>
      </c>
      <c r="L35" s="69">
        <f>SUM(L4:L34)</f>
        <v>0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58"/>
      <c r="C43" s="458"/>
      <c r="D43" s="458"/>
      <c r="E43" s="458"/>
      <c r="F43" s="75"/>
      <c r="G43" s="75"/>
      <c r="H43" s="75"/>
      <c r="I43" s="458"/>
      <c r="J43" s="458"/>
      <c r="K43" s="458"/>
      <c r="L43" s="458"/>
      <c r="M43" s="458"/>
      <c r="N43" s="458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46"/>
  <sheetViews>
    <sheetView workbookViewId="0">
      <selection activeCell="G32" sqref="G32"/>
    </sheetView>
  </sheetViews>
  <sheetFormatPr defaultColWidth="18.28515625" defaultRowHeight="15"/>
  <cols>
    <col min="1" max="1" width="13.42578125" customWidth="1"/>
    <col min="3" max="3" width="43" bestFit="1" customWidth="1"/>
    <col min="4" max="4" width="25" bestFit="1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456" t="s">
        <v>114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88"/>
    </row>
    <row r="2" spans="1:18" ht="30">
      <c r="A2" s="104" t="s">
        <v>95</v>
      </c>
      <c r="B2" s="105" t="s">
        <v>96</v>
      </c>
      <c r="C2" s="105" t="s">
        <v>97</v>
      </c>
      <c r="D2" s="105" t="s">
        <v>111</v>
      </c>
      <c r="E2" s="272" t="s">
        <v>99</v>
      </c>
      <c r="F2" s="272" t="s">
        <v>100</v>
      </c>
      <c r="G2" s="105" t="s">
        <v>101</v>
      </c>
      <c r="H2" s="105" t="s">
        <v>102</v>
      </c>
      <c r="I2" s="105" t="s">
        <v>100</v>
      </c>
      <c r="J2" s="145" t="s">
        <v>101</v>
      </c>
      <c r="K2" s="106" t="s">
        <v>103</v>
      </c>
      <c r="L2" s="146" t="s">
        <v>104</v>
      </c>
      <c r="M2" s="150" t="s">
        <v>110</v>
      </c>
      <c r="N2" s="107" t="s">
        <v>106</v>
      </c>
      <c r="O2" s="65"/>
    </row>
    <row r="3" spans="1:18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7"/>
      <c r="M3" s="155">
        <v>0</v>
      </c>
      <c r="N3" s="164"/>
      <c r="O3" s="65"/>
    </row>
    <row r="4" spans="1:18">
      <c r="A4" s="208">
        <v>1</v>
      </c>
      <c r="B4" s="233"/>
      <c r="C4" s="73"/>
      <c r="D4" s="167"/>
      <c r="E4" s="110"/>
      <c r="F4" s="273"/>
      <c r="G4" s="8">
        <f t="shared" ref="G4" si="0">E4*F4</f>
        <v>0</v>
      </c>
      <c r="H4" s="110"/>
      <c r="I4" s="273"/>
      <c r="J4" s="8">
        <f>H4*I4</f>
        <v>0</v>
      </c>
      <c r="K4" s="8">
        <f>G4+J4</f>
        <v>0</v>
      </c>
      <c r="L4" s="74"/>
      <c r="M4" s="74">
        <f>+M3+K4-L4</f>
        <v>0</v>
      </c>
      <c r="N4" s="8"/>
    </row>
    <row r="5" spans="1:18">
      <c r="A5" s="50">
        <v>2</v>
      </c>
      <c r="B5" s="233"/>
      <c r="C5" s="73"/>
      <c r="D5" s="167"/>
      <c r="E5" s="110"/>
      <c r="F5" s="273"/>
      <c r="G5" s="8">
        <f t="shared" ref="G5:G36" si="1">E5*F5</f>
        <v>0</v>
      </c>
      <c r="H5" s="71"/>
      <c r="I5" s="72"/>
      <c r="J5" s="8">
        <f t="shared" ref="J5:J36" si="2">H5*I5</f>
        <v>0</v>
      </c>
      <c r="K5" s="8">
        <f t="shared" ref="K5:L36" si="3">G5+J5</f>
        <v>0</v>
      </c>
      <c r="L5" s="74"/>
      <c r="M5" s="74">
        <f t="shared" ref="M5:M36" si="4">+M4+K5-L5</f>
        <v>0</v>
      </c>
      <c r="N5" s="8"/>
    </row>
    <row r="6" spans="1:18">
      <c r="A6" s="50">
        <v>3</v>
      </c>
      <c r="B6" s="407"/>
      <c r="C6" s="207"/>
      <c r="D6" s="408"/>
      <c r="E6" s="339"/>
      <c r="F6" s="375"/>
      <c r="G6" s="8">
        <f t="shared" si="1"/>
        <v>0</v>
      </c>
      <c r="H6" s="71"/>
      <c r="I6" s="72"/>
      <c r="J6" s="8">
        <f t="shared" si="2"/>
        <v>0</v>
      </c>
      <c r="K6" s="8">
        <f t="shared" si="3"/>
        <v>0</v>
      </c>
      <c r="L6" s="74"/>
      <c r="M6" s="74">
        <f t="shared" si="4"/>
        <v>0</v>
      </c>
      <c r="N6" s="8"/>
    </row>
    <row r="7" spans="1:18">
      <c r="A7" s="235">
        <v>4</v>
      </c>
      <c r="B7" s="391"/>
      <c r="C7" s="73"/>
      <c r="D7" s="110"/>
      <c r="E7" s="110"/>
      <c r="F7" s="273"/>
      <c r="G7" s="203">
        <f t="shared" si="1"/>
        <v>0</v>
      </c>
      <c r="H7" s="71"/>
      <c r="I7" s="72"/>
      <c r="J7" s="8">
        <f t="shared" si="2"/>
        <v>0</v>
      </c>
      <c r="K7" s="8">
        <f t="shared" si="3"/>
        <v>0</v>
      </c>
      <c r="L7" s="74"/>
      <c r="M7" s="74">
        <f t="shared" si="4"/>
        <v>0</v>
      </c>
      <c r="N7" s="8"/>
    </row>
    <row r="8" spans="1:18">
      <c r="A8" s="235">
        <v>5</v>
      </c>
      <c r="B8" s="391" t="s">
        <v>115</v>
      </c>
      <c r="C8" s="73" t="s">
        <v>116</v>
      </c>
      <c r="D8" s="110"/>
      <c r="E8" s="110">
        <v>35.85</v>
      </c>
      <c r="F8" s="273">
        <v>97.64</v>
      </c>
      <c r="G8" s="203">
        <f t="shared" si="1"/>
        <v>3500.3940000000002</v>
      </c>
      <c r="H8" s="110"/>
      <c r="I8" s="343"/>
      <c r="J8" s="8">
        <f t="shared" si="2"/>
        <v>0</v>
      </c>
      <c r="K8" s="8">
        <f t="shared" si="3"/>
        <v>3500.3940000000002</v>
      </c>
      <c r="L8" s="74">
        <v>3500.39</v>
      </c>
      <c r="M8" s="74">
        <f t="shared" si="4"/>
        <v>4.0000000003601599E-3</v>
      </c>
      <c r="N8" s="8"/>
      <c r="O8" s="75"/>
      <c r="R8" s="240"/>
    </row>
    <row r="9" spans="1:18">
      <c r="A9" s="235">
        <v>6</v>
      </c>
      <c r="B9" s="391" t="s">
        <v>117</v>
      </c>
      <c r="C9" s="110" t="s">
        <v>118</v>
      </c>
      <c r="D9" s="110" t="s">
        <v>119</v>
      </c>
      <c r="E9" s="8"/>
      <c r="F9" s="273"/>
      <c r="G9" s="203">
        <f t="shared" si="1"/>
        <v>0</v>
      </c>
      <c r="H9" s="110">
        <v>10</v>
      </c>
      <c r="I9" s="343">
        <v>108.66</v>
      </c>
      <c r="J9" s="8">
        <f t="shared" si="2"/>
        <v>1086.5999999999999</v>
      </c>
      <c r="K9" s="8">
        <f t="shared" si="3"/>
        <v>1086.5999999999999</v>
      </c>
      <c r="L9" s="8">
        <v>1086.5999999999999</v>
      </c>
      <c r="M9" s="74">
        <f t="shared" si="4"/>
        <v>4.0000000003601599E-3</v>
      </c>
      <c r="N9" s="8"/>
      <c r="O9" s="75"/>
    </row>
    <row r="10" spans="1:18">
      <c r="A10" s="235">
        <v>7</v>
      </c>
      <c r="B10" s="391" t="s">
        <v>117</v>
      </c>
      <c r="C10" s="110" t="s">
        <v>120</v>
      </c>
      <c r="D10" s="110" t="s">
        <v>121</v>
      </c>
      <c r="E10" s="110"/>
      <c r="F10" s="273"/>
      <c r="G10" s="203">
        <f t="shared" si="1"/>
        <v>0</v>
      </c>
      <c r="H10" s="334">
        <v>10</v>
      </c>
      <c r="I10" s="370">
        <v>109.83</v>
      </c>
      <c r="J10" s="8">
        <f t="shared" si="2"/>
        <v>1098.3</v>
      </c>
      <c r="K10" s="8">
        <f t="shared" si="3"/>
        <v>1098.3</v>
      </c>
      <c r="L10" s="8">
        <v>1098.3</v>
      </c>
      <c r="M10" s="74">
        <f t="shared" si="4"/>
        <v>4.0000000003601599E-3</v>
      </c>
      <c r="N10" s="8"/>
      <c r="O10" s="75"/>
    </row>
    <row r="11" spans="1:18">
      <c r="A11" s="235">
        <v>8</v>
      </c>
      <c r="B11" s="391" t="s">
        <v>122</v>
      </c>
      <c r="C11" s="110" t="s">
        <v>123</v>
      </c>
      <c r="D11" s="110" t="s">
        <v>124</v>
      </c>
      <c r="E11" s="110"/>
      <c r="F11" s="273"/>
      <c r="G11" s="203">
        <f t="shared" si="1"/>
        <v>0</v>
      </c>
      <c r="H11" s="71">
        <v>38.369999999999997</v>
      </c>
      <c r="I11" s="72">
        <v>108.86</v>
      </c>
      <c r="J11" s="8">
        <f t="shared" si="2"/>
        <v>4176.9582</v>
      </c>
      <c r="K11" s="8">
        <f t="shared" si="3"/>
        <v>4176.9582</v>
      </c>
      <c r="L11" s="74">
        <v>4176.96</v>
      </c>
      <c r="M11" s="74">
        <f t="shared" si="4"/>
        <v>2.1999999999025022E-3</v>
      </c>
      <c r="N11" s="8"/>
      <c r="O11" s="75"/>
    </row>
    <row r="12" spans="1:18">
      <c r="A12" s="235">
        <v>9</v>
      </c>
      <c r="B12" s="391" t="s">
        <v>125</v>
      </c>
      <c r="C12" s="110" t="s">
        <v>126</v>
      </c>
      <c r="D12" s="110" t="s">
        <v>127</v>
      </c>
      <c r="E12" s="110">
        <v>39.14</v>
      </c>
      <c r="F12" s="110">
        <v>97.06</v>
      </c>
      <c r="G12" s="203">
        <f t="shared" si="1"/>
        <v>3798.9284000000002</v>
      </c>
      <c r="H12" s="71"/>
      <c r="I12" s="72"/>
      <c r="J12" s="8">
        <f t="shared" si="2"/>
        <v>0</v>
      </c>
      <c r="K12" s="8">
        <f t="shared" si="3"/>
        <v>3798.9284000000002</v>
      </c>
      <c r="L12" s="74">
        <v>3798.93</v>
      </c>
      <c r="M12" s="74">
        <f t="shared" si="4"/>
        <v>6.0000000030413503E-4</v>
      </c>
      <c r="N12" s="8"/>
      <c r="O12" s="75"/>
    </row>
    <row r="13" spans="1:18">
      <c r="A13" s="235">
        <v>10</v>
      </c>
      <c r="B13" s="391" t="s">
        <v>128</v>
      </c>
      <c r="C13" s="110" t="s">
        <v>129</v>
      </c>
      <c r="D13" s="110" t="s">
        <v>124</v>
      </c>
      <c r="E13" s="110"/>
      <c r="F13" s="273"/>
      <c r="G13" s="203">
        <f t="shared" si="1"/>
        <v>0</v>
      </c>
      <c r="H13" s="71">
        <v>24.81</v>
      </c>
      <c r="I13" s="72">
        <v>108.83</v>
      </c>
      <c r="J13" s="8">
        <f t="shared" si="2"/>
        <v>2700.0722999999998</v>
      </c>
      <c r="K13" s="8">
        <f t="shared" si="3"/>
        <v>2700.0722999999998</v>
      </c>
      <c r="L13" s="74">
        <v>2700.07</v>
      </c>
      <c r="M13" s="74">
        <f t="shared" si="4"/>
        <v>2.8999999999541615E-3</v>
      </c>
      <c r="N13" s="8"/>
      <c r="O13" s="75"/>
    </row>
    <row r="14" spans="1:18">
      <c r="A14" s="235">
        <v>11</v>
      </c>
      <c r="B14" s="391" t="s">
        <v>130</v>
      </c>
      <c r="C14" s="73" t="s">
        <v>126</v>
      </c>
      <c r="D14" s="167" t="s">
        <v>127</v>
      </c>
      <c r="E14" s="110"/>
      <c r="F14" s="273"/>
      <c r="G14" s="203">
        <f t="shared" si="1"/>
        <v>0</v>
      </c>
      <c r="H14" s="71">
        <v>5</v>
      </c>
      <c r="I14" s="72">
        <v>109.21</v>
      </c>
      <c r="J14" s="8">
        <f t="shared" si="2"/>
        <v>546.04999999999995</v>
      </c>
      <c r="K14" s="8">
        <f t="shared" si="3"/>
        <v>546.04999999999995</v>
      </c>
      <c r="L14" s="74">
        <v>546.04999999999995</v>
      </c>
      <c r="M14" s="74">
        <f t="shared" si="4"/>
        <v>2.8999999999541615E-3</v>
      </c>
      <c r="N14" s="8"/>
      <c r="O14" s="75"/>
    </row>
    <row r="15" spans="1:18">
      <c r="A15" s="235">
        <v>12</v>
      </c>
      <c r="B15" s="391" t="s">
        <v>131</v>
      </c>
      <c r="C15" s="110" t="s">
        <v>132</v>
      </c>
      <c r="D15" s="110" t="s">
        <v>124</v>
      </c>
      <c r="E15" s="110">
        <v>36.19</v>
      </c>
      <c r="F15" s="110">
        <v>96.71</v>
      </c>
      <c r="G15" s="203">
        <f t="shared" si="1"/>
        <v>3499.9348999999997</v>
      </c>
      <c r="H15" s="71"/>
      <c r="I15" s="72"/>
      <c r="J15" s="8">
        <f t="shared" si="2"/>
        <v>0</v>
      </c>
      <c r="K15" s="8">
        <f t="shared" si="3"/>
        <v>3499.9348999999997</v>
      </c>
      <c r="L15" s="74">
        <v>3499.93</v>
      </c>
      <c r="M15" s="74">
        <f t="shared" si="4"/>
        <v>7.7999999998610292E-3</v>
      </c>
      <c r="N15" s="8"/>
      <c r="O15" s="75"/>
    </row>
    <row r="16" spans="1:18">
      <c r="A16" s="235">
        <v>13</v>
      </c>
      <c r="B16" s="391" t="s">
        <v>133</v>
      </c>
      <c r="C16" s="110" t="s">
        <v>134</v>
      </c>
      <c r="D16" s="110" t="s">
        <v>135</v>
      </c>
      <c r="E16" s="110">
        <v>44.86</v>
      </c>
      <c r="F16" s="110">
        <v>96.67</v>
      </c>
      <c r="G16" s="203">
        <f t="shared" si="1"/>
        <v>4336.6162000000004</v>
      </c>
      <c r="H16" s="71"/>
      <c r="I16" s="72"/>
      <c r="J16" s="8">
        <f t="shared" si="2"/>
        <v>0</v>
      </c>
      <c r="K16" s="8">
        <f t="shared" si="3"/>
        <v>4336.6162000000004</v>
      </c>
      <c r="L16" s="8">
        <v>4336.62</v>
      </c>
      <c r="M16" s="74">
        <f t="shared" si="4"/>
        <v>3.9999999999054126E-3</v>
      </c>
      <c r="N16" s="8"/>
      <c r="O16" s="75"/>
    </row>
    <row r="17" spans="1:17">
      <c r="A17" s="235"/>
      <c r="B17" s="391" t="s">
        <v>136</v>
      </c>
      <c r="C17" s="110" t="s">
        <v>137</v>
      </c>
      <c r="D17" s="110" t="s">
        <v>124</v>
      </c>
      <c r="E17" s="110">
        <v>51.68</v>
      </c>
      <c r="F17" s="110">
        <v>96.74</v>
      </c>
      <c r="G17" s="203">
        <f t="shared" si="1"/>
        <v>4999.5231999999996</v>
      </c>
      <c r="H17" s="110"/>
      <c r="I17" s="343"/>
      <c r="J17" s="8">
        <f t="shared" si="2"/>
        <v>0</v>
      </c>
      <c r="K17" s="8">
        <f t="shared" si="3"/>
        <v>4999.5231999999996</v>
      </c>
      <c r="L17" s="8">
        <v>4999.5200000000004</v>
      </c>
      <c r="M17" s="74">
        <f t="shared" si="4"/>
        <v>7.1999999991021468E-3</v>
      </c>
      <c r="N17" s="8"/>
      <c r="O17" s="75"/>
    </row>
    <row r="18" spans="1:17">
      <c r="A18" s="235">
        <v>14</v>
      </c>
      <c r="B18" s="391" t="s">
        <v>138</v>
      </c>
      <c r="C18" s="110" t="s">
        <v>139</v>
      </c>
      <c r="D18" s="110" t="s">
        <v>140</v>
      </c>
      <c r="E18" s="110">
        <v>43</v>
      </c>
      <c r="F18" s="110">
        <v>97.49</v>
      </c>
      <c r="G18" s="203">
        <f t="shared" si="1"/>
        <v>4192.07</v>
      </c>
      <c r="H18" s="71"/>
      <c r="I18" s="72"/>
      <c r="J18" s="8">
        <f t="shared" si="2"/>
        <v>0</v>
      </c>
      <c r="K18" s="8">
        <f t="shared" si="3"/>
        <v>4192.07</v>
      </c>
      <c r="L18" s="74">
        <v>4192.07</v>
      </c>
      <c r="M18" s="74">
        <f>+M16+K18-L18</f>
        <v>3.9999999999054126E-3</v>
      </c>
      <c r="N18" s="8"/>
      <c r="O18" s="75"/>
    </row>
    <row r="19" spans="1:17">
      <c r="A19" s="235">
        <v>15</v>
      </c>
      <c r="B19" s="391"/>
      <c r="C19" s="343" t="s">
        <v>141</v>
      </c>
      <c r="D19" s="343" t="s">
        <v>124</v>
      </c>
      <c r="E19" s="110"/>
      <c r="F19" s="273"/>
      <c r="G19" s="203">
        <f t="shared" si="1"/>
        <v>0</v>
      </c>
      <c r="H19" s="71">
        <v>5</v>
      </c>
      <c r="I19" s="72">
        <v>108.86</v>
      </c>
      <c r="J19" s="8">
        <f t="shared" si="2"/>
        <v>544.29999999999995</v>
      </c>
      <c r="K19" s="8">
        <f t="shared" si="3"/>
        <v>544.29999999999995</v>
      </c>
      <c r="L19" s="74">
        <v>544.29999999999995</v>
      </c>
      <c r="M19" s="74">
        <f t="shared" si="4"/>
        <v>3.9999999999054126E-3</v>
      </c>
      <c r="N19" s="192"/>
      <c r="O19" s="75"/>
    </row>
    <row r="20" spans="1:17">
      <c r="A20" s="50">
        <v>16</v>
      </c>
      <c r="B20" s="233"/>
      <c r="C20" s="135"/>
      <c r="D20" s="136"/>
      <c r="E20" s="334"/>
      <c r="F20" s="376"/>
      <c r="G20" s="8">
        <f t="shared" si="1"/>
        <v>0</v>
      </c>
      <c r="H20" s="71"/>
      <c r="I20" s="72"/>
      <c r="J20" s="8">
        <f t="shared" si="2"/>
        <v>0</v>
      </c>
      <c r="K20" s="8">
        <f t="shared" si="3"/>
        <v>0</v>
      </c>
      <c r="L20" s="74"/>
      <c r="M20" s="74">
        <f t="shared" si="4"/>
        <v>3.9999999999054126E-3</v>
      </c>
      <c r="N20" s="303"/>
      <c r="O20" s="75"/>
    </row>
    <row r="21" spans="1:17">
      <c r="A21" s="50">
        <v>17</v>
      </c>
      <c r="B21" s="233"/>
      <c r="C21" s="73"/>
      <c r="D21" s="167"/>
      <c r="E21" s="110"/>
      <c r="F21" s="273"/>
      <c r="G21" s="8">
        <f t="shared" si="1"/>
        <v>0</v>
      </c>
      <c r="H21" s="71"/>
      <c r="I21" s="72"/>
      <c r="J21" s="8">
        <f t="shared" si="2"/>
        <v>0</v>
      </c>
      <c r="K21" s="8">
        <f t="shared" si="3"/>
        <v>0</v>
      </c>
      <c r="L21" s="74"/>
      <c r="M21" s="74">
        <f t="shared" si="4"/>
        <v>3.9999999999054126E-3</v>
      </c>
      <c r="N21" s="19"/>
      <c r="O21" s="75"/>
    </row>
    <row r="22" spans="1:17">
      <c r="A22" s="50">
        <v>18</v>
      </c>
      <c r="B22" s="233"/>
      <c r="C22" s="73"/>
      <c r="D22" s="167"/>
      <c r="E22" s="110"/>
      <c r="F22" s="273"/>
      <c r="G22" s="8">
        <f t="shared" si="1"/>
        <v>0</v>
      </c>
      <c r="H22" s="71"/>
      <c r="I22" s="72"/>
      <c r="J22" s="8">
        <f t="shared" si="2"/>
        <v>0</v>
      </c>
      <c r="K22" s="8">
        <f t="shared" si="3"/>
        <v>0</v>
      </c>
      <c r="L22" s="74"/>
      <c r="M22" s="74">
        <f t="shared" si="4"/>
        <v>3.9999999999054126E-3</v>
      </c>
      <c r="N22" s="8"/>
      <c r="O22" s="75"/>
    </row>
    <row r="23" spans="1:17">
      <c r="A23" s="50">
        <v>19</v>
      </c>
      <c r="B23" s="233"/>
      <c r="C23" s="73"/>
      <c r="D23" s="167"/>
      <c r="E23" s="110"/>
      <c r="F23" s="273"/>
      <c r="G23" s="8">
        <f t="shared" si="1"/>
        <v>0</v>
      </c>
      <c r="H23" s="71"/>
      <c r="I23" s="72"/>
      <c r="J23" s="8">
        <f t="shared" si="2"/>
        <v>0</v>
      </c>
      <c r="K23" s="8">
        <f t="shared" si="3"/>
        <v>0</v>
      </c>
      <c r="L23" s="74"/>
      <c r="M23" s="74">
        <f t="shared" si="4"/>
        <v>3.9999999999054126E-3</v>
      </c>
      <c r="N23" s="8"/>
      <c r="O23" s="75"/>
      <c r="Q23" s="22"/>
    </row>
    <row r="24" spans="1:17">
      <c r="A24" s="50">
        <v>20</v>
      </c>
      <c r="B24" s="233"/>
      <c r="C24" s="73"/>
      <c r="D24" s="167"/>
      <c r="E24" s="110"/>
      <c r="F24" s="273"/>
      <c r="G24" s="8">
        <f t="shared" si="1"/>
        <v>0</v>
      </c>
      <c r="H24" s="71"/>
      <c r="I24" s="72"/>
      <c r="J24" s="8">
        <f t="shared" si="2"/>
        <v>0</v>
      </c>
      <c r="K24" s="8">
        <f t="shared" si="3"/>
        <v>0</v>
      </c>
      <c r="L24" s="74"/>
      <c r="M24" s="74">
        <f t="shared" si="4"/>
        <v>3.9999999999054126E-3</v>
      </c>
      <c r="N24" s="8"/>
      <c r="O24" s="75"/>
    </row>
    <row r="25" spans="1:17">
      <c r="A25" s="50">
        <v>21</v>
      </c>
      <c r="B25" s="233"/>
      <c r="C25" s="73"/>
      <c r="D25" s="167"/>
      <c r="E25" s="110"/>
      <c r="F25" s="273"/>
      <c r="G25" s="8">
        <f t="shared" si="1"/>
        <v>0</v>
      </c>
      <c r="H25" s="71"/>
      <c r="I25" s="72"/>
      <c r="J25" s="8">
        <f t="shared" si="2"/>
        <v>0</v>
      </c>
      <c r="K25" s="8">
        <f t="shared" si="3"/>
        <v>0</v>
      </c>
      <c r="L25" s="74"/>
      <c r="M25" s="74">
        <f t="shared" si="4"/>
        <v>3.9999999999054126E-3</v>
      </c>
      <c r="N25" s="8"/>
      <c r="O25" s="75"/>
    </row>
    <row r="26" spans="1:17">
      <c r="A26" s="50">
        <v>22</v>
      </c>
      <c r="B26" s="233"/>
      <c r="C26" s="73"/>
      <c r="D26" s="167"/>
      <c r="E26" s="110"/>
      <c r="F26" s="273"/>
      <c r="G26" s="8">
        <f t="shared" si="1"/>
        <v>0</v>
      </c>
      <c r="H26" s="71"/>
      <c r="I26" s="72"/>
      <c r="J26" s="8">
        <f t="shared" si="2"/>
        <v>0</v>
      </c>
      <c r="K26" s="8">
        <f t="shared" si="3"/>
        <v>0</v>
      </c>
      <c r="L26" s="74"/>
      <c r="M26" s="74">
        <f t="shared" si="4"/>
        <v>3.9999999999054126E-3</v>
      </c>
      <c r="N26" s="8"/>
      <c r="O26" s="75"/>
    </row>
    <row r="27" spans="1:17">
      <c r="A27" s="50">
        <v>23</v>
      </c>
      <c r="B27" s="233"/>
      <c r="C27" s="343"/>
      <c r="D27" s="343"/>
      <c r="E27" s="343"/>
      <c r="F27" s="343"/>
      <c r="G27" s="8">
        <f t="shared" si="1"/>
        <v>0</v>
      </c>
      <c r="H27" s="71"/>
      <c r="I27" s="72"/>
      <c r="J27" s="8">
        <f t="shared" si="2"/>
        <v>0</v>
      </c>
      <c r="K27" s="8">
        <f t="shared" si="3"/>
        <v>0</v>
      </c>
      <c r="L27" s="74"/>
      <c r="M27" s="74">
        <f t="shared" si="4"/>
        <v>3.9999999999054126E-3</v>
      </c>
      <c r="N27" s="8"/>
      <c r="O27" s="75"/>
    </row>
    <row r="28" spans="1:17">
      <c r="A28" s="50">
        <v>24</v>
      </c>
      <c r="B28" s="233"/>
      <c r="C28" s="343"/>
      <c r="D28" s="343"/>
      <c r="E28" s="343"/>
      <c r="F28" s="343"/>
      <c r="G28" s="8">
        <f t="shared" si="1"/>
        <v>0</v>
      </c>
      <c r="H28" s="71"/>
      <c r="I28" s="72"/>
      <c r="J28" s="8">
        <f t="shared" si="2"/>
        <v>0</v>
      </c>
      <c r="K28" s="8">
        <f t="shared" si="3"/>
        <v>0</v>
      </c>
      <c r="L28" s="74"/>
      <c r="M28" s="74">
        <f t="shared" si="4"/>
        <v>3.9999999999054126E-3</v>
      </c>
      <c r="N28" s="8"/>
      <c r="O28" s="75"/>
    </row>
    <row r="29" spans="1:17">
      <c r="A29" s="235">
        <v>25</v>
      </c>
      <c r="B29" s="233"/>
      <c r="C29" s="343"/>
      <c r="D29" s="381"/>
      <c r="E29" s="110"/>
      <c r="F29" s="273"/>
      <c r="G29" s="8">
        <f t="shared" si="1"/>
        <v>0</v>
      </c>
      <c r="H29" s="71"/>
      <c r="I29" s="72"/>
      <c r="J29" s="8">
        <f t="shared" si="2"/>
        <v>0</v>
      </c>
      <c r="K29" s="8">
        <f t="shared" si="3"/>
        <v>0</v>
      </c>
      <c r="L29" s="74"/>
      <c r="M29" s="74">
        <f t="shared" si="4"/>
        <v>3.9999999999054126E-3</v>
      </c>
      <c r="N29" s="8"/>
      <c r="O29" s="75"/>
    </row>
    <row r="30" spans="1:17">
      <c r="A30" s="235">
        <v>26</v>
      </c>
      <c r="B30" s="233"/>
      <c r="C30" s="73"/>
      <c r="D30" s="167"/>
      <c r="E30" s="110"/>
      <c r="F30" s="273"/>
      <c r="G30" s="8">
        <f t="shared" si="1"/>
        <v>0</v>
      </c>
      <c r="H30" s="71"/>
      <c r="I30" s="72"/>
      <c r="J30" s="8">
        <f t="shared" si="2"/>
        <v>0</v>
      </c>
      <c r="K30" s="8">
        <f t="shared" si="3"/>
        <v>0</v>
      </c>
      <c r="L30" s="74"/>
      <c r="M30" s="74">
        <f t="shared" si="4"/>
        <v>3.9999999999054126E-3</v>
      </c>
      <c r="N30" s="8"/>
      <c r="O30" s="75"/>
    </row>
    <row r="31" spans="1:17">
      <c r="A31" s="235">
        <v>27</v>
      </c>
      <c r="B31" s="233"/>
      <c r="C31" s="73"/>
      <c r="D31" s="167"/>
      <c r="E31" s="110"/>
      <c r="F31" s="273"/>
      <c r="G31" s="8">
        <f t="shared" si="1"/>
        <v>0</v>
      </c>
      <c r="H31" s="71"/>
      <c r="I31" s="72"/>
      <c r="J31" s="8">
        <f t="shared" si="2"/>
        <v>0</v>
      </c>
      <c r="K31" s="8">
        <f t="shared" si="3"/>
        <v>0</v>
      </c>
      <c r="L31" s="74"/>
      <c r="M31" s="74">
        <f t="shared" si="4"/>
        <v>3.9999999999054126E-3</v>
      </c>
      <c r="N31" s="8"/>
      <c r="O31" s="75"/>
    </row>
    <row r="32" spans="1:17">
      <c r="A32" s="235">
        <v>28</v>
      </c>
      <c r="B32" s="233"/>
      <c r="C32" s="73"/>
      <c r="D32" s="167"/>
      <c r="E32" s="110"/>
      <c r="F32" s="273"/>
      <c r="G32" s="8">
        <f t="shared" si="1"/>
        <v>0</v>
      </c>
      <c r="H32" s="71"/>
      <c r="I32" s="72"/>
      <c r="J32" s="8">
        <f t="shared" si="2"/>
        <v>0</v>
      </c>
      <c r="K32" s="8">
        <f t="shared" si="3"/>
        <v>0</v>
      </c>
      <c r="L32" s="74"/>
      <c r="M32" s="74">
        <f t="shared" si="4"/>
        <v>3.9999999999054126E-3</v>
      </c>
      <c r="N32" s="8"/>
      <c r="O32" s="75"/>
    </row>
    <row r="33" spans="1:15">
      <c r="A33" s="236">
        <v>29</v>
      </c>
      <c r="B33" s="233"/>
      <c r="C33" s="73"/>
      <c r="D33" s="167"/>
      <c r="E33" s="110"/>
      <c r="F33" s="273"/>
      <c r="G33" s="8">
        <f t="shared" si="1"/>
        <v>0</v>
      </c>
      <c r="H33" s="71"/>
      <c r="I33" s="72"/>
      <c r="J33" s="8">
        <f t="shared" si="2"/>
        <v>0</v>
      </c>
      <c r="K33" s="8">
        <f t="shared" si="3"/>
        <v>0</v>
      </c>
      <c r="L33" s="8"/>
      <c r="M33" s="74">
        <f t="shared" si="4"/>
        <v>3.9999999999054126E-3</v>
      </c>
      <c r="N33" s="8"/>
      <c r="O33" s="75"/>
    </row>
    <row r="34" spans="1:15">
      <c r="A34" s="236"/>
      <c r="B34" s="233"/>
      <c r="C34" s="343"/>
      <c r="D34" s="343"/>
      <c r="E34" s="110"/>
      <c r="F34" s="273"/>
      <c r="G34" s="8">
        <f t="shared" si="1"/>
        <v>0</v>
      </c>
      <c r="H34" s="71"/>
      <c r="I34" s="72"/>
      <c r="J34" s="8">
        <f t="shared" si="2"/>
        <v>0</v>
      </c>
      <c r="K34" s="8">
        <f>G34+J34</f>
        <v>0</v>
      </c>
      <c r="L34" s="8"/>
      <c r="M34" s="74">
        <v>0</v>
      </c>
      <c r="N34" s="8"/>
      <c r="O34" s="75"/>
    </row>
    <row r="35" spans="1:15">
      <c r="A35" s="236">
        <v>30</v>
      </c>
      <c r="B35" s="233"/>
      <c r="C35" s="73"/>
      <c r="D35" s="167"/>
      <c r="E35" s="110"/>
      <c r="F35" s="273"/>
      <c r="G35" s="8">
        <f t="shared" si="1"/>
        <v>0</v>
      </c>
      <c r="H35" s="71"/>
      <c r="I35" s="72"/>
      <c r="J35" s="8">
        <f t="shared" si="2"/>
        <v>0</v>
      </c>
      <c r="K35" s="8">
        <f t="shared" si="3"/>
        <v>0</v>
      </c>
      <c r="L35" s="74"/>
      <c r="M35" s="74">
        <f>+M33+K35-L35</f>
        <v>3.9999999999054126E-3</v>
      </c>
      <c r="N35" s="8"/>
      <c r="O35" s="75"/>
    </row>
    <row r="36" spans="1:15">
      <c r="A36" s="236">
        <v>31</v>
      </c>
      <c r="B36" s="233"/>
      <c r="C36" s="73"/>
      <c r="D36" s="167"/>
      <c r="E36" s="273"/>
      <c r="F36" s="273"/>
      <c r="G36" s="8">
        <f t="shared" si="1"/>
        <v>0</v>
      </c>
      <c r="H36" s="71"/>
      <c r="I36" s="72"/>
      <c r="J36" s="8">
        <f t="shared" si="2"/>
        <v>0</v>
      </c>
      <c r="K36" s="8">
        <f t="shared" si="3"/>
        <v>0</v>
      </c>
      <c r="L36" s="74">
        <v>0</v>
      </c>
      <c r="M36" s="74">
        <f t="shared" si="4"/>
        <v>3.9999999999054126E-3</v>
      </c>
      <c r="N36" s="8"/>
      <c r="O36" s="75"/>
    </row>
    <row r="37" spans="1:15">
      <c r="A37" s="68"/>
      <c r="B37" s="68"/>
      <c r="C37" s="68"/>
      <c r="D37" s="68"/>
      <c r="E37" s="274">
        <f>SUM(E4:E36)</f>
        <v>250.72000000000003</v>
      </c>
      <c r="F37" s="274"/>
      <c r="G37" s="69">
        <f>SUM(G4:G36)</f>
        <v>24327.466700000001</v>
      </c>
      <c r="H37" s="69">
        <f>SUM(H4:H36)</f>
        <v>93.179999999999993</v>
      </c>
      <c r="I37" s="69"/>
      <c r="J37" s="69">
        <f>SUM(J4:J36)</f>
        <v>10152.280499999997</v>
      </c>
      <c r="K37" s="69">
        <f>SUM(K4:K36)</f>
        <v>34479.747200000005</v>
      </c>
      <c r="L37" s="69">
        <f>SUM(L4:L36)</f>
        <v>34479.740000000005</v>
      </c>
      <c r="M37" s="69"/>
      <c r="N37" s="69"/>
      <c r="O37" s="65"/>
    </row>
    <row r="38" spans="1:15">
      <c r="A38" s="78"/>
      <c r="B38" s="79"/>
      <c r="C38" s="78"/>
      <c r="D38" s="78"/>
      <c r="E38" s="80"/>
      <c r="F38" s="80"/>
      <c r="G38" s="80"/>
      <c r="H38" s="80"/>
      <c r="I38" s="80"/>
      <c r="J38" s="81"/>
      <c r="K38" s="81"/>
      <c r="L38" s="81"/>
      <c r="M38" s="81"/>
      <c r="N38" s="80"/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O42" s="75"/>
    </row>
    <row r="43" spans="1:15">
      <c r="O43" s="75"/>
    </row>
    <row r="44" spans="1:15">
      <c r="A44" s="75"/>
      <c r="B44" s="65"/>
      <c r="C44" s="75"/>
      <c r="D44" s="75"/>
      <c r="E44" s="75"/>
      <c r="F44" s="75"/>
      <c r="G44" s="82"/>
      <c r="H44" s="75"/>
      <c r="I44" s="75"/>
      <c r="J44" s="65"/>
      <c r="K44" s="65"/>
      <c r="L44" s="65"/>
      <c r="M44" s="65"/>
      <c r="N44" s="75"/>
      <c r="O44" s="80"/>
    </row>
    <row r="45" spans="1:15">
      <c r="A45" s="75"/>
      <c r="B45" s="458"/>
      <c r="C45" s="458"/>
      <c r="D45" s="458"/>
      <c r="E45" s="458"/>
      <c r="F45" s="75"/>
      <c r="G45" s="75"/>
      <c r="H45" s="75"/>
      <c r="I45" s="458"/>
      <c r="J45" s="458"/>
      <c r="K45" s="458"/>
      <c r="L45" s="458"/>
      <c r="M45" s="458"/>
      <c r="N45" s="458"/>
      <c r="O45" s="80"/>
    </row>
    <row r="46" spans="1:15">
      <c r="A46" s="75"/>
      <c r="B46" s="65"/>
      <c r="C46" s="75"/>
      <c r="D46" s="75"/>
      <c r="E46" s="75"/>
      <c r="F46" s="75"/>
      <c r="G46" s="75"/>
      <c r="H46" s="75"/>
      <c r="I46" s="75"/>
      <c r="J46" s="65"/>
      <c r="K46" s="65"/>
      <c r="L46" s="65"/>
      <c r="M46" s="65"/>
      <c r="N46" s="75"/>
      <c r="O46" s="80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4"/>
  <sheetViews>
    <sheetView topLeftCell="A7" workbookViewId="0">
      <selection activeCell="K22" sqref="K22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56" t="s">
        <v>114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88"/>
    </row>
    <row r="2" spans="1:18" ht="30.75">
      <c r="A2" s="104" t="s">
        <v>95</v>
      </c>
      <c r="B2" s="105" t="s">
        <v>96</v>
      </c>
      <c r="C2" s="105" t="s">
        <v>97</v>
      </c>
      <c r="D2" s="105" t="s">
        <v>111</v>
      </c>
      <c r="E2" s="272" t="s">
        <v>99</v>
      </c>
      <c r="F2" s="272" t="s">
        <v>100</v>
      </c>
      <c r="G2" s="105" t="s">
        <v>101</v>
      </c>
      <c r="H2" s="105" t="s">
        <v>102</v>
      </c>
      <c r="I2" s="105" t="s">
        <v>100</v>
      </c>
      <c r="J2" s="145" t="s">
        <v>101</v>
      </c>
      <c r="K2" s="106" t="s">
        <v>103</v>
      </c>
      <c r="L2" s="146" t="s">
        <v>104</v>
      </c>
      <c r="M2" s="150" t="s">
        <v>110</v>
      </c>
      <c r="N2" s="107" t="s">
        <v>106</v>
      </c>
      <c r="O2" s="65"/>
    </row>
    <row r="3" spans="1:18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7"/>
      <c r="M3" s="155">
        <v>0</v>
      </c>
      <c r="N3" s="164"/>
      <c r="O3" s="65"/>
    </row>
    <row r="4" spans="1:18">
      <c r="A4" s="208">
        <v>1</v>
      </c>
      <c r="B4" s="233">
        <v>45962</v>
      </c>
      <c r="C4" s="73"/>
      <c r="D4" s="167"/>
      <c r="E4" s="273"/>
      <c r="F4" s="273"/>
      <c r="G4" s="8">
        <f t="shared" ref="G4:G3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f>+K4</f>
        <v>0</v>
      </c>
      <c r="M4" s="74">
        <v>0</v>
      </c>
      <c r="N4" s="8"/>
    </row>
    <row r="5" spans="1:18">
      <c r="A5" s="50">
        <v>2</v>
      </c>
      <c r="B5" s="233">
        <v>45963</v>
      </c>
      <c r="C5" s="73"/>
      <c r="D5" s="167"/>
      <c r="E5" s="273"/>
      <c r="F5" s="273"/>
      <c r="G5" s="8">
        <f t="shared" si="0"/>
        <v>0</v>
      </c>
      <c r="H5" s="71">
        <v>0</v>
      </c>
      <c r="I5" s="72">
        <v>0</v>
      </c>
      <c r="J5" s="8">
        <f t="shared" ref="J5:J34" si="1">H5*I5</f>
        <v>0</v>
      </c>
      <c r="K5" s="8">
        <f t="shared" ref="K5:K34" si="2">G5+J5</f>
        <v>0</v>
      </c>
      <c r="L5" s="74">
        <f t="shared" ref="L5:L34" si="3">+K5</f>
        <v>0</v>
      </c>
      <c r="M5" s="74">
        <v>0</v>
      </c>
      <c r="N5" s="8"/>
    </row>
    <row r="6" spans="1:18">
      <c r="A6" s="50">
        <v>3</v>
      </c>
      <c r="B6" s="233">
        <v>45964</v>
      </c>
      <c r="C6" s="73"/>
      <c r="D6" s="167"/>
      <c r="E6" s="273">
        <v>200</v>
      </c>
      <c r="F6" s="273">
        <v>97.96</v>
      </c>
      <c r="G6" s="8">
        <f t="shared" si="0"/>
        <v>19592</v>
      </c>
      <c r="H6" s="71">
        <v>0</v>
      </c>
      <c r="I6" s="72">
        <v>0</v>
      </c>
      <c r="J6" s="8">
        <f t="shared" si="1"/>
        <v>0</v>
      </c>
      <c r="K6" s="8">
        <f t="shared" si="2"/>
        <v>19592</v>
      </c>
      <c r="L6" s="74">
        <f t="shared" si="3"/>
        <v>19592</v>
      </c>
      <c r="M6" s="74">
        <v>0</v>
      </c>
      <c r="N6" s="8"/>
    </row>
    <row r="7" spans="1:18">
      <c r="A7" s="50">
        <v>4</v>
      </c>
      <c r="B7" s="233">
        <v>45965</v>
      </c>
      <c r="C7" s="73"/>
      <c r="D7" s="167"/>
      <c r="E7" s="273"/>
      <c r="F7" s="273"/>
      <c r="G7" s="8">
        <f t="shared" si="0"/>
        <v>0</v>
      </c>
      <c r="H7" s="71">
        <v>0</v>
      </c>
      <c r="I7" s="72">
        <v>0</v>
      </c>
      <c r="J7" s="8">
        <f t="shared" si="1"/>
        <v>0</v>
      </c>
      <c r="K7" s="8">
        <f t="shared" si="2"/>
        <v>0</v>
      </c>
      <c r="L7" s="74">
        <f t="shared" si="3"/>
        <v>0</v>
      </c>
      <c r="M7" s="74">
        <v>0</v>
      </c>
      <c r="N7" s="8"/>
    </row>
    <row r="8" spans="1:18">
      <c r="A8" s="50">
        <v>5</v>
      </c>
      <c r="B8" s="233">
        <v>45966</v>
      </c>
      <c r="C8" s="73"/>
      <c r="D8" s="167"/>
      <c r="E8" s="273">
        <v>200</v>
      </c>
      <c r="F8" s="273">
        <v>97.76</v>
      </c>
      <c r="G8" s="8">
        <f t="shared" si="0"/>
        <v>19552</v>
      </c>
      <c r="H8" s="71">
        <v>4.54</v>
      </c>
      <c r="I8" s="72">
        <v>110.07</v>
      </c>
      <c r="J8" s="8">
        <f t="shared" si="1"/>
        <v>499.71779999999995</v>
      </c>
      <c r="K8" s="8">
        <f t="shared" si="2"/>
        <v>20051.717799999999</v>
      </c>
      <c r="L8" s="74">
        <f t="shared" si="3"/>
        <v>20051.717799999999</v>
      </c>
      <c r="M8" s="74">
        <v>0</v>
      </c>
      <c r="N8" s="8"/>
      <c r="O8" s="75"/>
      <c r="R8" s="240"/>
    </row>
    <row r="9" spans="1:18">
      <c r="A9" s="50">
        <v>6</v>
      </c>
      <c r="B9" s="233">
        <v>45967</v>
      </c>
      <c r="C9" s="73"/>
      <c r="D9" s="167"/>
      <c r="E9" s="273"/>
      <c r="F9" s="273"/>
      <c r="G9" s="8">
        <f t="shared" si="0"/>
        <v>0</v>
      </c>
      <c r="H9" s="71">
        <v>0</v>
      </c>
      <c r="I9" s="72">
        <v>0</v>
      </c>
      <c r="J9" s="8">
        <f t="shared" si="1"/>
        <v>0</v>
      </c>
      <c r="K9" s="8">
        <f t="shared" si="2"/>
        <v>0</v>
      </c>
      <c r="L9" s="74">
        <f t="shared" si="3"/>
        <v>0</v>
      </c>
      <c r="M9" s="74">
        <v>0</v>
      </c>
      <c r="N9" s="8"/>
      <c r="O9" s="75"/>
    </row>
    <row r="10" spans="1:18">
      <c r="A10" s="50">
        <v>7</v>
      </c>
      <c r="B10" s="233">
        <v>45968</v>
      </c>
      <c r="C10" s="73"/>
      <c r="D10" s="167"/>
      <c r="E10" s="273">
        <v>249.99</v>
      </c>
      <c r="F10" s="273">
        <v>97.76</v>
      </c>
      <c r="G10" s="8">
        <f t="shared" si="0"/>
        <v>24439.022400000002</v>
      </c>
      <c r="H10" s="71">
        <v>0</v>
      </c>
      <c r="I10" s="72">
        <v>0</v>
      </c>
      <c r="J10" s="8">
        <f t="shared" si="1"/>
        <v>0</v>
      </c>
      <c r="K10" s="8">
        <f t="shared" si="2"/>
        <v>24439.022400000002</v>
      </c>
      <c r="L10" s="74">
        <f t="shared" si="3"/>
        <v>24439.022400000002</v>
      </c>
      <c r="M10" s="74">
        <v>0</v>
      </c>
      <c r="N10" s="8"/>
      <c r="O10" s="75">
        <v>169.99</v>
      </c>
    </row>
    <row r="11" spans="1:18">
      <c r="A11" s="50">
        <v>8</v>
      </c>
      <c r="B11" s="233">
        <v>45969</v>
      </c>
      <c r="C11" s="73"/>
      <c r="D11" s="167"/>
      <c r="E11" s="273"/>
      <c r="F11" s="273"/>
      <c r="G11" s="8">
        <f t="shared" si="0"/>
        <v>0</v>
      </c>
      <c r="H11" s="71">
        <v>0</v>
      </c>
      <c r="I11" s="72">
        <v>0</v>
      </c>
      <c r="J11" s="8">
        <f t="shared" si="1"/>
        <v>0</v>
      </c>
      <c r="K11" s="8">
        <f t="shared" si="2"/>
        <v>0</v>
      </c>
      <c r="L11" s="74">
        <f t="shared" si="3"/>
        <v>0</v>
      </c>
      <c r="M11" s="74">
        <v>0</v>
      </c>
      <c r="N11" s="8"/>
      <c r="O11" s="75">
        <v>80</v>
      </c>
    </row>
    <row r="12" spans="1:18">
      <c r="A12" s="50">
        <v>9</v>
      </c>
      <c r="B12" s="233">
        <v>45970</v>
      </c>
      <c r="C12" s="73"/>
      <c r="D12" s="167"/>
      <c r="E12" s="273"/>
      <c r="F12" s="273"/>
      <c r="G12" s="8">
        <f t="shared" si="0"/>
        <v>0</v>
      </c>
      <c r="H12" s="71">
        <v>0</v>
      </c>
      <c r="I12" s="72">
        <v>0</v>
      </c>
      <c r="J12" s="8">
        <f t="shared" si="1"/>
        <v>0</v>
      </c>
      <c r="K12" s="8">
        <f t="shared" si="2"/>
        <v>0</v>
      </c>
      <c r="L12" s="74">
        <f t="shared" si="3"/>
        <v>0</v>
      </c>
      <c r="M12" s="74">
        <v>0</v>
      </c>
      <c r="N12" s="8"/>
      <c r="O12" s="75">
        <f>SUM(O10:O11)</f>
        <v>249.99</v>
      </c>
      <c r="P12">
        <v>97.76</v>
      </c>
      <c r="Q12">
        <f>O12*P12</f>
        <v>24439.022400000002</v>
      </c>
    </row>
    <row r="13" spans="1:18">
      <c r="A13" s="50">
        <v>10</v>
      </c>
      <c r="B13" s="233">
        <v>45971</v>
      </c>
      <c r="C13" s="73"/>
      <c r="D13" s="167"/>
      <c r="E13" s="273"/>
      <c r="F13" s="273"/>
      <c r="G13" s="8">
        <f t="shared" si="0"/>
        <v>0</v>
      </c>
      <c r="H13" s="71">
        <v>0</v>
      </c>
      <c r="I13" s="72">
        <v>0</v>
      </c>
      <c r="J13" s="8">
        <f t="shared" si="1"/>
        <v>0</v>
      </c>
      <c r="K13" s="8">
        <f t="shared" si="2"/>
        <v>0</v>
      </c>
      <c r="L13" s="74">
        <f t="shared" si="3"/>
        <v>0</v>
      </c>
      <c r="M13" s="74">
        <v>0</v>
      </c>
      <c r="N13" s="8"/>
      <c r="O13" s="75"/>
    </row>
    <row r="14" spans="1:18">
      <c r="A14" s="50">
        <v>11</v>
      </c>
      <c r="B14" s="233">
        <v>45972</v>
      </c>
      <c r="C14" s="73"/>
      <c r="D14" s="167"/>
      <c r="E14" s="273">
        <v>30.89</v>
      </c>
      <c r="F14" s="273">
        <v>97.76</v>
      </c>
      <c r="G14" s="8">
        <f t="shared" si="0"/>
        <v>3019.8064000000004</v>
      </c>
      <c r="H14" s="71">
        <v>5.47</v>
      </c>
      <c r="I14" s="72">
        <v>109.61</v>
      </c>
      <c r="J14" s="8">
        <f t="shared" si="1"/>
        <v>599.56669999999997</v>
      </c>
      <c r="K14" s="8">
        <f>G14+J14</f>
        <v>3619.3731000000002</v>
      </c>
      <c r="L14" s="74">
        <f>+K14</f>
        <v>3619.3731000000002</v>
      </c>
      <c r="M14" s="74">
        <v>0</v>
      </c>
      <c r="N14" s="8"/>
      <c r="O14" s="75"/>
    </row>
    <row r="15" spans="1:18">
      <c r="A15" s="50">
        <v>12</v>
      </c>
      <c r="B15" s="233">
        <v>45973</v>
      </c>
      <c r="C15" s="73"/>
      <c r="D15" s="167"/>
      <c r="E15" s="273"/>
      <c r="F15" s="273"/>
      <c r="G15" s="8">
        <f t="shared" si="0"/>
        <v>0</v>
      </c>
      <c r="H15" s="71">
        <v>0</v>
      </c>
      <c r="I15" s="72">
        <v>0</v>
      </c>
      <c r="J15" s="8">
        <f t="shared" si="1"/>
        <v>0</v>
      </c>
      <c r="K15" s="8">
        <f t="shared" si="2"/>
        <v>0</v>
      </c>
      <c r="L15" s="74">
        <f t="shared" si="3"/>
        <v>0</v>
      </c>
      <c r="M15" s="74">
        <v>0</v>
      </c>
      <c r="N15" s="8"/>
      <c r="O15" s="75"/>
      <c r="P15">
        <v>7820.8</v>
      </c>
    </row>
    <row r="16" spans="1:18">
      <c r="A16" s="50">
        <v>13</v>
      </c>
      <c r="B16" s="233">
        <v>45974</v>
      </c>
      <c r="C16" s="73"/>
      <c r="D16" s="167"/>
      <c r="E16" s="273"/>
      <c r="F16" s="273"/>
      <c r="G16" s="8">
        <f t="shared" si="0"/>
        <v>0</v>
      </c>
      <c r="H16" s="71">
        <v>0</v>
      </c>
      <c r="I16" s="72">
        <v>0</v>
      </c>
      <c r="J16" s="8">
        <f t="shared" si="1"/>
        <v>0</v>
      </c>
      <c r="K16" s="8">
        <f t="shared" si="2"/>
        <v>0</v>
      </c>
      <c r="L16" s="74">
        <f t="shared" si="3"/>
        <v>0</v>
      </c>
      <c r="M16" s="74">
        <v>0</v>
      </c>
      <c r="N16" s="8"/>
      <c r="O16" s="75"/>
      <c r="P16">
        <v>16619.2</v>
      </c>
    </row>
    <row r="17" spans="1:16">
      <c r="A17" s="50">
        <v>14</v>
      </c>
      <c r="B17" s="233">
        <v>45975</v>
      </c>
      <c r="C17" s="73"/>
      <c r="D17" s="167"/>
      <c r="E17" s="273"/>
      <c r="F17" s="273"/>
      <c r="G17" s="8">
        <f t="shared" si="0"/>
        <v>0</v>
      </c>
      <c r="H17" s="71">
        <v>0</v>
      </c>
      <c r="I17" s="72">
        <v>0</v>
      </c>
      <c r="J17" s="8">
        <f t="shared" si="1"/>
        <v>0</v>
      </c>
      <c r="K17" s="8">
        <f t="shared" si="2"/>
        <v>0</v>
      </c>
      <c r="L17" s="74">
        <f t="shared" si="3"/>
        <v>0</v>
      </c>
      <c r="M17" s="74">
        <v>0</v>
      </c>
      <c r="N17" s="8"/>
      <c r="O17" s="75"/>
      <c r="P17">
        <f>SUM(P15:P16)</f>
        <v>24440</v>
      </c>
    </row>
    <row r="18" spans="1:16">
      <c r="A18" s="50">
        <v>15</v>
      </c>
      <c r="B18" s="233">
        <v>45976</v>
      </c>
      <c r="C18" s="73"/>
      <c r="D18" s="167"/>
      <c r="E18" s="375"/>
      <c r="F18" s="375"/>
      <c r="G18" s="192">
        <f t="shared" si="0"/>
        <v>0</v>
      </c>
      <c r="H18" s="377">
        <v>0</v>
      </c>
      <c r="I18" s="180">
        <v>0</v>
      </c>
      <c r="J18" s="192">
        <f t="shared" si="1"/>
        <v>0</v>
      </c>
      <c r="K18" s="192">
        <f t="shared" si="2"/>
        <v>0</v>
      </c>
      <c r="L18" s="378">
        <f t="shared" si="3"/>
        <v>0</v>
      </c>
      <c r="M18" s="378">
        <v>0</v>
      </c>
      <c r="N18" s="8"/>
      <c r="O18" s="75"/>
    </row>
    <row r="19" spans="1:16">
      <c r="A19" s="50">
        <v>16</v>
      </c>
      <c r="B19" s="233">
        <v>45977</v>
      </c>
      <c r="C19" s="73"/>
      <c r="D19" s="374"/>
      <c r="E19" s="273"/>
      <c r="F19" s="273"/>
      <c r="G19" s="8">
        <f t="shared" si="0"/>
        <v>0</v>
      </c>
      <c r="H19" s="71">
        <v>0</v>
      </c>
      <c r="I19" s="72">
        <v>0</v>
      </c>
      <c r="J19" s="8">
        <f t="shared" si="1"/>
        <v>0</v>
      </c>
      <c r="K19" s="8">
        <f t="shared" si="2"/>
        <v>0</v>
      </c>
      <c r="L19" s="74">
        <f t="shared" si="3"/>
        <v>0</v>
      </c>
      <c r="M19" s="74">
        <v>0</v>
      </c>
      <c r="N19" s="203"/>
      <c r="O19" s="75"/>
    </row>
    <row r="20" spans="1:16">
      <c r="A20" s="50">
        <v>17</v>
      </c>
      <c r="B20" s="233">
        <v>45978</v>
      </c>
      <c r="C20" s="73"/>
      <c r="D20" s="374"/>
      <c r="E20" s="273">
        <v>42.45</v>
      </c>
      <c r="F20" s="273">
        <v>97.76</v>
      </c>
      <c r="G20" s="8">
        <f t="shared" si="0"/>
        <v>4149.9120000000003</v>
      </c>
      <c r="H20" s="71">
        <v>0</v>
      </c>
      <c r="I20" s="72">
        <v>0</v>
      </c>
      <c r="J20" s="8">
        <f t="shared" si="1"/>
        <v>0</v>
      </c>
      <c r="K20" s="8">
        <f t="shared" si="2"/>
        <v>4149.9120000000003</v>
      </c>
      <c r="L20" s="74">
        <f t="shared" si="3"/>
        <v>4149.9120000000003</v>
      </c>
      <c r="M20" s="74">
        <v>0</v>
      </c>
      <c r="N20" s="203"/>
      <c r="O20" s="75"/>
    </row>
    <row r="21" spans="1:16">
      <c r="A21" s="50">
        <v>18</v>
      </c>
      <c r="B21" s="233">
        <v>45979</v>
      </c>
      <c r="C21" s="73"/>
      <c r="D21" s="374"/>
      <c r="E21" s="17"/>
      <c r="F21" s="17"/>
      <c r="G21" s="8">
        <f t="shared" si="0"/>
        <v>0</v>
      </c>
      <c r="H21" s="71">
        <v>0</v>
      </c>
      <c r="I21" s="72">
        <v>0</v>
      </c>
      <c r="J21" s="8">
        <f t="shared" si="1"/>
        <v>0</v>
      </c>
      <c r="K21" s="8">
        <f t="shared" si="2"/>
        <v>0</v>
      </c>
      <c r="L21" s="74">
        <f t="shared" si="3"/>
        <v>0</v>
      </c>
      <c r="M21" s="74">
        <v>0</v>
      </c>
      <c r="N21" s="203" t="s">
        <v>142</v>
      </c>
      <c r="O21" s="75"/>
    </row>
    <row r="22" spans="1:16">
      <c r="A22" s="50">
        <v>19</v>
      </c>
      <c r="B22" s="233">
        <v>45980</v>
      </c>
      <c r="C22" s="73"/>
      <c r="D22" s="374"/>
      <c r="E22" s="273"/>
      <c r="F22" s="273"/>
      <c r="G22" s="8">
        <f t="shared" si="0"/>
        <v>0</v>
      </c>
      <c r="H22" s="71">
        <v>5.47</v>
      </c>
      <c r="I22" s="72">
        <v>600</v>
      </c>
      <c r="J22" s="8">
        <f t="shared" si="1"/>
        <v>3282</v>
      </c>
      <c r="K22" s="8">
        <f t="shared" si="2"/>
        <v>3282</v>
      </c>
      <c r="L22" s="74">
        <f t="shared" si="3"/>
        <v>3282</v>
      </c>
      <c r="M22" s="74">
        <v>0</v>
      </c>
      <c r="N22" s="203"/>
      <c r="O22" s="75"/>
    </row>
    <row r="23" spans="1:16">
      <c r="A23" s="50">
        <v>20</v>
      </c>
      <c r="B23" s="233">
        <v>45981</v>
      </c>
      <c r="C23" s="73"/>
      <c r="D23" s="374"/>
      <c r="E23" s="17"/>
      <c r="F23" s="17"/>
      <c r="G23" s="8">
        <f t="shared" si="0"/>
        <v>0</v>
      </c>
      <c r="H23" s="71">
        <v>0</v>
      </c>
      <c r="I23" s="72">
        <v>0</v>
      </c>
      <c r="J23" s="8">
        <f t="shared" si="1"/>
        <v>0</v>
      </c>
      <c r="K23" s="8">
        <f t="shared" si="2"/>
        <v>0</v>
      </c>
      <c r="L23" s="74">
        <f t="shared" si="3"/>
        <v>0</v>
      </c>
      <c r="M23" s="74">
        <v>0</v>
      </c>
      <c r="N23" s="203" t="s">
        <v>142</v>
      </c>
      <c r="O23" s="75"/>
    </row>
    <row r="24" spans="1:16">
      <c r="A24" s="50">
        <v>21</v>
      </c>
      <c r="B24" s="233">
        <v>45982</v>
      </c>
      <c r="C24" s="73"/>
      <c r="D24" s="374"/>
      <c r="E24" s="273"/>
      <c r="F24" s="273"/>
      <c r="G24" s="8">
        <f t="shared" si="0"/>
        <v>0</v>
      </c>
      <c r="H24" s="71">
        <v>0</v>
      </c>
      <c r="I24" s="72">
        <v>0</v>
      </c>
      <c r="J24" s="8">
        <f t="shared" si="1"/>
        <v>0</v>
      </c>
      <c r="K24" s="8">
        <f t="shared" si="2"/>
        <v>0</v>
      </c>
      <c r="L24" s="74">
        <f t="shared" si="3"/>
        <v>0</v>
      </c>
      <c r="M24" s="74">
        <v>0</v>
      </c>
      <c r="N24" s="203"/>
      <c r="O24" s="75"/>
    </row>
    <row r="25" spans="1:16">
      <c r="A25" s="50">
        <v>22</v>
      </c>
      <c r="B25" s="233">
        <v>45983</v>
      </c>
      <c r="C25" s="73"/>
      <c r="D25" s="374"/>
      <c r="E25" s="273"/>
      <c r="F25" s="273"/>
      <c r="G25" s="8">
        <f t="shared" si="0"/>
        <v>0</v>
      </c>
      <c r="H25" s="71">
        <v>0</v>
      </c>
      <c r="I25" s="72">
        <v>0</v>
      </c>
      <c r="J25" s="8">
        <f t="shared" si="1"/>
        <v>0</v>
      </c>
      <c r="K25" s="8">
        <f t="shared" si="2"/>
        <v>0</v>
      </c>
      <c r="L25" s="74">
        <f t="shared" si="3"/>
        <v>0</v>
      </c>
      <c r="M25" s="74">
        <v>0</v>
      </c>
      <c r="N25" s="203"/>
      <c r="O25" s="75"/>
    </row>
    <row r="26" spans="1:16">
      <c r="A26" s="50">
        <v>23</v>
      </c>
      <c r="B26" s="233">
        <v>45984</v>
      </c>
      <c r="C26" s="73"/>
      <c r="D26" s="374"/>
      <c r="E26" s="17"/>
      <c r="F26" s="17"/>
      <c r="G26" s="8">
        <f t="shared" si="0"/>
        <v>0</v>
      </c>
      <c r="H26" s="71">
        <v>0</v>
      </c>
      <c r="I26" s="72">
        <v>0</v>
      </c>
      <c r="J26" s="8">
        <f t="shared" si="1"/>
        <v>0</v>
      </c>
      <c r="K26" s="8">
        <f t="shared" si="2"/>
        <v>0</v>
      </c>
      <c r="L26" s="74">
        <f t="shared" si="3"/>
        <v>0</v>
      </c>
      <c r="M26" s="74">
        <v>0</v>
      </c>
      <c r="N26" s="203" t="s">
        <v>143</v>
      </c>
      <c r="O26" s="75"/>
    </row>
    <row r="27" spans="1:16">
      <c r="A27" s="50">
        <v>24</v>
      </c>
      <c r="B27" s="233">
        <v>45985</v>
      </c>
      <c r="C27" s="73"/>
      <c r="D27" s="374"/>
      <c r="E27" s="17"/>
      <c r="F27" s="17"/>
      <c r="G27" s="8">
        <f t="shared" si="0"/>
        <v>0</v>
      </c>
      <c r="H27" s="71">
        <v>0</v>
      </c>
      <c r="I27" s="72">
        <v>0</v>
      </c>
      <c r="J27" s="8">
        <f t="shared" si="1"/>
        <v>0</v>
      </c>
      <c r="K27" s="8">
        <f t="shared" si="2"/>
        <v>0</v>
      </c>
      <c r="L27" s="74">
        <f t="shared" si="3"/>
        <v>0</v>
      </c>
      <c r="M27" s="74">
        <v>0</v>
      </c>
      <c r="N27" s="203" t="s">
        <v>142</v>
      </c>
      <c r="O27" s="75"/>
    </row>
    <row r="28" spans="1:16">
      <c r="A28" s="235">
        <v>25</v>
      </c>
      <c r="B28" s="233">
        <v>45986</v>
      </c>
      <c r="C28" s="73"/>
      <c r="D28" s="374"/>
      <c r="E28" s="273"/>
      <c r="F28" s="273"/>
      <c r="G28" s="8">
        <f t="shared" si="0"/>
        <v>0</v>
      </c>
      <c r="H28" s="71">
        <v>0</v>
      </c>
      <c r="I28" s="72">
        <v>0</v>
      </c>
      <c r="J28" s="8">
        <f t="shared" si="1"/>
        <v>0</v>
      </c>
      <c r="K28" s="8">
        <f t="shared" si="2"/>
        <v>0</v>
      </c>
      <c r="L28" s="74">
        <f t="shared" si="3"/>
        <v>0</v>
      </c>
      <c r="M28" s="74">
        <v>0</v>
      </c>
      <c r="N28" s="203"/>
      <c r="O28" s="75"/>
    </row>
    <row r="29" spans="1:16">
      <c r="A29" s="235">
        <v>26</v>
      </c>
      <c r="B29" s="233">
        <v>45987</v>
      </c>
      <c r="C29" s="73"/>
      <c r="D29" s="167"/>
      <c r="E29" s="376"/>
      <c r="F29" s="376"/>
      <c r="G29" s="19">
        <f t="shared" si="0"/>
        <v>0</v>
      </c>
      <c r="H29" s="71">
        <v>0</v>
      </c>
      <c r="I29" s="72">
        <v>0</v>
      </c>
      <c r="J29" s="19">
        <f t="shared" si="1"/>
        <v>0</v>
      </c>
      <c r="K29" s="19">
        <f t="shared" si="2"/>
        <v>0</v>
      </c>
      <c r="L29" s="137">
        <f t="shared" si="3"/>
        <v>0</v>
      </c>
      <c r="M29" s="137">
        <v>0</v>
      </c>
      <c r="N29" s="8"/>
      <c r="O29" s="75"/>
    </row>
    <row r="30" spans="1:16">
      <c r="A30" s="235">
        <v>27</v>
      </c>
      <c r="B30" s="233">
        <v>45988</v>
      </c>
      <c r="C30" s="73"/>
      <c r="D30" s="167"/>
      <c r="E30" s="273"/>
      <c r="F30" s="273"/>
      <c r="G30" s="8">
        <f t="shared" si="0"/>
        <v>0</v>
      </c>
      <c r="H30" s="71">
        <v>0</v>
      </c>
      <c r="I30" s="72">
        <v>0</v>
      </c>
      <c r="J30" s="8">
        <f t="shared" si="1"/>
        <v>0</v>
      </c>
      <c r="K30" s="8">
        <f t="shared" si="2"/>
        <v>0</v>
      </c>
      <c r="L30" s="74">
        <f t="shared" si="3"/>
        <v>0</v>
      </c>
      <c r="M30" s="74">
        <v>0</v>
      </c>
      <c r="N30" s="8"/>
      <c r="O30" s="75"/>
    </row>
    <row r="31" spans="1:16">
      <c r="A31" s="235">
        <v>28</v>
      </c>
      <c r="B31" s="233">
        <v>45989</v>
      </c>
      <c r="C31" s="73"/>
      <c r="D31" s="167"/>
      <c r="E31" s="273"/>
      <c r="F31" s="273"/>
      <c r="G31" s="8">
        <f t="shared" si="0"/>
        <v>0</v>
      </c>
      <c r="H31" s="71">
        <v>0</v>
      </c>
      <c r="I31" s="72">
        <v>0</v>
      </c>
      <c r="J31" s="8">
        <f t="shared" si="1"/>
        <v>0</v>
      </c>
      <c r="K31" s="8">
        <f t="shared" si="2"/>
        <v>0</v>
      </c>
      <c r="L31" s="74">
        <f t="shared" si="3"/>
        <v>0</v>
      </c>
      <c r="M31" s="74">
        <v>0</v>
      </c>
      <c r="N31" s="8"/>
      <c r="O31" s="75"/>
    </row>
    <row r="32" spans="1:16">
      <c r="A32" s="236">
        <v>29</v>
      </c>
      <c r="B32" s="233">
        <v>45990</v>
      </c>
      <c r="C32" s="73"/>
      <c r="D32" s="167"/>
      <c r="E32" s="273"/>
      <c r="F32" s="273"/>
      <c r="G32" s="8">
        <f t="shared" si="0"/>
        <v>0</v>
      </c>
      <c r="H32" s="71">
        <v>0</v>
      </c>
      <c r="I32" s="72">
        <v>0</v>
      </c>
      <c r="J32" s="8">
        <f t="shared" si="1"/>
        <v>0</v>
      </c>
      <c r="K32" s="8">
        <f t="shared" si="2"/>
        <v>0</v>
      </c>
      <c r="L32" s="74">
        <f t="shared" si="3"/>
        <v>0</v>
      </c>
      <c r="M32" s="74">
        <v>0</v>
      </c>
      <c r="N32" s="8"/>
      <c r="O32" s="75"/>
    </row>
    <row r="33" spans="1:15">
      <c r="A33" s="236">
        <v>30</v>
      </c>
      <c r="B33" s="233">
        <v>45991</v>
      </c>
      <c r="C33" s="73"/>
      <c r="D33" s="167"/>
      <c r="E33" s="273"/>
      <c r="F33" s="273"/>
      <c r="G33" s="8">
        <f t="shared" si="0"/>
        <v>0</v>
      </c>
      <c r="H33" s="71">
        <v>0</v>
      </c>
      <c r="I33" s="72">
        <v>0</v>
      </c>
      <c r="J33" s="8">
        <f t="shared" si="1"/>
        <v>0</v>
      </c>
      <c r="K33" s="8">
        <f t="shared" si="2"/>
        <v>0</v>
      </c>
      <c r="L33" s="74">
        <f t="shared" si="3"/>
        <v>0</v>
      </c>
      <c r="M33" s="74">
        <v>0</v>
      </c>
      <c r="N33" s="8"/>
      <c r="O33" s="75"/>
    </row>
    <row r="34" spans="1:15">
      <c r="A34" s="236">
        <v>31</v>
      </c>
      <c r="B34" s="233"/>
      <c r="C34" s="73"/>
      <c r="D34" s="167"/>
      <c r="E34" s="273"/>
      <c r="F34" s="273"/>
      <c r="G34" s="8">
        <f t="shared" si="0"/>
        <v>0</v>
      </c>
      <c r="H34" s="71">
        <v>0</v>
      </c>
      <c r="I34" s="72">
        <v>0</v>
      </c>
      <c r="J34" s="8">
        <f t="shared" si="1"/>
        <v>0</v>
      </c>
      <c r="K34" s="8">
        <f t="shared" si="2"/>
        <v>0</v>
      </c>
      <c r="L34" s="74">
        <f t="shared" si="3"/>
        <v>0</v>
      </c>
      <c r="M34" s="74">
        <v>0</v>
      </c>
      <c r="N34" s="8"/>
      <c r="O34" s="75"/>
    </row>
    <row r="35" spans="1:15">
      <c r="A35" s="68"/>
      <c r="B35" s="68"/>
      <c r="C35" s="68"/>
      <c r="D35" s="68"/>
      <c r="E35" s="274">
        <f>SUM(E4:E34)</f>
        <v>723.33</v>
      </c>
      <c r="F35" s="274"/>
      <c r="G35" s="69">
        <f>SUM(G4:G34)</f>
        <v>70752.7408</v>
      </c>
      <c r="H35" s="69">
        <f>SUM(H4:H34)</f>
        <v>15.48</v>
      </c>
      <c r="I35" s="69"/>
      <c r="J35" s="69">
        <f>SUM(J4:J34)</f>
        <v>4381.2844999999998</v>
      </c>
      <c r="K35" s="69">
        <f>SUM(K4:K34)</f>
        <v>75134.025299999994</v>
      </c>
      <c r="L35" s="69">
        <f>SUM(L4:L34)</f>
        <v>75134.025299999994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58"/>
      <c r="C43" s="458"/>
      <c r="D43" s="458"/>
      <c r="E43" s="458"/>
      <c r="F43" s="75"/>
      <c r="G43" s="75"/>
      <c r="H43" s="75"/>
      <c r="I43" s="458"/>
      <c r="J43" s="458"/>
      <c r="K43" s="458"/>
      <c r="L43" s="458"/>
      <c r="M43" s="458"/>
      <c r="N43" s="458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24" activePane="bottomLeft" state="frozen"/>
      <selection pane="bottomLeft" activeCell="S15" sqref="S15"/>
    </sheetView>
  </sheetViews>
  <sheetFormatPr defaultColWidth="12.28515625" defaultRowHeight="12.75"/>
  <cols>
    <col min="1" max="1" width="8.42578125" style="67" customWidth="1"/>
    <col min="2" max="3" width="12.28515625" style="67"/>
    <col min="4" max="4" width="13.5703125" style="67" customWidth="1"/>
    <col min="5" max="5" width="12.28515625" style="67"/>
    <col min="6" max="6" width="13.7109375" style="67" bestFit="1" customWidth="1"/>
    <col min="7" max="16384" width="12.28515625" style="67"/>
  </cols>
  <sheetData>
    <row r="1" spans="1:15" ht="15.75" customHeight="1">
      <c r="A1" s="443" t="s">
        <v>40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66"/>
    </row>
    <row r="2" spans="1:15" ht="15.75" customHeight="1">
      <c r="A2" s="93" t="s">
        <v>95</v>
      </c>
      <c r="B2" s="94" t="s">
        <v>96</v>
      </c>
      <c r="C2" s="94" t="s">
        <v>97</v>
      </c>
      <c r="D2" s="94" t="s">
        <v>98</v>
      </c>
      <c r="E2" s="94" t="s">
        <v>99</v>
      </c>
      <c r="F2" s="94" t="s">
        <v>100</v>
      </c>
      <c r="G2" s="94" t="s">
        <v>101</v>
      </c>
      <c r="H2" s="94" t="s">
        <v>102</v>
      </c>
      <c r="I2" s="94" t="s">
        <v>100</v>
      </c>
      <c r="J2" s="119" t="s">
        <v>101</v>
      </c>
      <c r="K2" s="121" t="s">
        <v>103</v>
      </c>
      <c r="L2" s="122" t="s">
        <v>104</v>
      </c>
      <c r="M2" s="123" t="s">
        <v>110</v>
      </c>
      <c r="N2" s="95" t="s">
        <v>106</v>
      </c>
      <c r="O2" s="33"/>
    </row>
    <row r="3" spans="1:15" ht="15.75" customHeight="1">
      <c r="A3" s="452" t="s">
        <v>107</v>
      </c>
      <c r="B3" s="453"/>
      <c r="C3" s="450"/>
      <c r="D3" s="450"/>
      <c r="E3" s="450"/>
      <c r="F3" s="450"/>
      <c r="G3" s="450"/>
      <c r="H3" s="450"/>
      <c r="I3" s="450"/>
      <c r="J3" s="460"/>
      <c r="K3" s="212">
        <v>164331.63099999976</v>
      </c>
      <c r="L3" s="215"/>
      <c r="M3" s="212">
        <v>164331.63099999976</v>
      </c>
      <c r="N3" s="215"/>
      <c r="O3" s="33">
        <v>207239.43099999998</v>
      </c>
    </row>
    <row r="4" spans="1:15" ht="15">
      <c r="A4" s="26">
        <v>1</v>
      </c>
      <c r="B4" s="27">
        <v>45962</v>
      </c>
      <c r="C4" s="114"/>
      <c r="D4" s="114"/>
      <c r="E4" s="37"/>
      <c r="F4" s="37">
        <v>0</v>
      </c>
      <c r="G4" s="37">
        <f>E4*F4</f>
        <v>0</v>
      </c>
      <c r="H4" s="211">
        <v>0</v>
      </c>
      <c r="I4" s="211">
        <v>0</v>
      </c>
      <c r="J4" s="37">
        <f>H4*I4</f>
        <v>0</v>
      </c>
      <c r="K4" s="37">
        <f>G4+J4</f>
        <v>0</v>
      </c>
      <c r="L4" s="215"/>
      <c r="M4" s="212">
        <f>M3+K4-L4</f>
        <v>164331.63099999976</v>
      </c>
      <c r="N4" s="37"/>
      <c r="O4" s="28"/>
    </row>
    <row r="5" spans="1:15" ht="15">
      <c r="A5" s="26">
        <v>2</v>
      </c>
      <c r="B5" s="27">
        <v>45963</v>
      </c>
      <c r="C5" s="114"/>
      <c r="D5" s="114"/>
      <c r="E5" s="37"/>
      <c r="F5" s="37">
        <v>0</v>
      </c>
      <c r="G5" s="37">
        <f t="shared" ref="G5:G33" si="0">E5*F5</f>
        <v>0</v>
      </c>
      <c r="H5" s="211">
        <v>0</v>
      </c>
      <c r="I5" s="211">
        <v>0</v>
      </c>
      <c r="J5" s="37">
        <f t="shared" ref="J5:J33" si="1">H5*I5</f>
        <v>0</v>
      </c>
      <c r="K5" s="37">
        <f t="shared" ref="K5:K33" si="2">G5+J5</f>
        <v>0</v>
      </c>
      <c r="L5" s="215"/>
      <c r="M5" s="212">
        <f>M4+K5-L5</f>
        <v>164331.63099999976</v>
      </c>
      <c r="N5" s="37"/>
      <c r="O5" s="28"/>
    </row>
    <row r="6" spans="1:15" ht="15">
      <c r="A6" s="26">
        <v>3</v>
      </c>
      <c r="B6" s="27">
        <v>45964</v>
      </c>
      <c r="C6" s="114"/>
      <c r="D6" s="114"/>
      <c r="E6" s="37"/>
      <c r="F6" s="37">
        <v>0</v>
      </c>
      <c r="G6" s="37">
        <f t="shared" si="0"/>
        <v>0</v>
      </c>
      <c r="H6" s="211">
        <v>0</v>
      </c>
      <c r="I6" s="211">
        <v>0</v>
      </c>
      <c r="J6" s="37">
        <f t="shared" si="1"/>
        <v>0</v>
      </c>
      <c r="K6" s="37">
        <f t="shared" si="2"/>
        <v>0</v>
      </c>
      <c r="L6" s="215"/>
      <c r="M6" s="212">
        <f>M5+K6-L6</f>
        <v>164331.63099999976</v>
      </c>
      <c r="N6" s="37"/>
      <c r="O6" s="28"/>
    </row>
    <row r="7" spans="1:15" ht="15">
      <c r="A7" s="26">
        <v>4</v>
      </c>
      <c r="B7" s="27">
        <v>45965</v>
      </c>
      <c r="C7" s="114"/>
      <c r="D7" s="114"/>
      <c r="E7" s="37"/>
      <c r="F7" s="37">
        <v>0</v>
      </c>
      <c r="G7" s="37">
        <f t="shared" si="0"/>
        <v>0</v>
      </c>
      <c r="H7" s="211">
        <v>0</v>
      </c>
      <c r="I7" s="211">
        <v>0</v>
      </c>
      <c r="J7" s="37">
        <f t="shared" si="1"/>
        <v>0</v>
      </c>
      <c r="K7" s="37">
        <f t="shared" si="2"/>
        <v>0</v>
      </c>
      <c r="L7" s="215"/>
      <c r="M7" s="212">
        <f>M6+K7-L7</f>
        <v>164331.63099999976</v>
      </c>
      <c r="N7" s="37"/>
      <c r="O7" s="28"/>
    </row>
    <row r="8" spans="1:15" ht="15">
      <c r="A8" s="26">
        <v>5</v>
      </c>
      <c r="B8" s="27">
        <v>45966</v>
      </c>
      <c r="C8" s="114"/>
      <c r="D8" s="114"/>
      <c r="E8" s="37"/>
      <c r="F8" s="37">
        <v>0</v>
      </c>
      <c r="G8" s="37">
        <f t="shared" si="0"/>
        <v>0</v>
      </c>
      <c r="H8" s="211">
        <v>0</v>
      </c>
      <c r="I8" s="211">
        <v>0</v>
      </c>
      <c r="J8" s="37">
        <f t="shared" si="1"/>
        <v>0</v>
      </c>
      <c r="K8" s="37">
        <f t="shared" si="2"/>
        <v>0</v>
      </c>
      <c r="L8" s="215"/>
      <c r="M8" s="212">
        <f>M7+K8-L8</f>
        <v>164331.63099999976</v>
      </c>
      <c r="N8" s="37"/>
      <c r="O8" s="28"/>
    </row>
    <row r="9" spans="1:15" ht="15">
      <c r="A9" s="26">
        <v>6</v>
      </c>
      <c r="B9" s="27">
        <v>45967</v>
      </c>
      <c r="C9" s="114"/>
      <c r="D9" s="114"/>
      <c r="E9" s="37"/>
      <c r="F9" s="37">
        <v>0</v>
      </c>
      <c r="G9" s="37">
        <f t="shared" si="0"/>
        <v>0</v>
      </c>
      <c r="H9" s="211">
        <v>0</v>
      </c>
      <c r="I9" s="211">
        <v>0</v>
      </c>
      <c r="J9" s="37">
        <f t="shared" si="1"/>
        <v>0</v>
      </c>
      <c r="K9" s="37">
        <f t="shared" si="2"/>
        <v>0</v>
      </c>
      <c r="L9" s="215"/>
      <c r="M9" s="212">
        <f t="shared" ref="M9:M33" si="3">M8+K9-L9</f>
        <v>164331.63099999976</v>
      </c>
      <c r="N9" s="37"/>
      <c r="O9" s="28"/>
    </row>
    <row r="10" spans="1:15" ht="15">
      <c r="A10" s="26">
        <v>7</v>
      </c>
      <c r="B10" s="27">
        <v>45968</v>
      </c>
      <c r="C10" s="114"/>
      <c r="D10" s="114"/>
      <c r="E10" s="37"/>
      <c r="F10" s="37">
        <v>0</v>
      </c>
      <c r="G10" s="37">
        <f t="shared" ref="G10:G17" si="4">E10*F10</f>
        <v>0</v>
      </c>
      <c r="H10" s="211">
        <v>0</v>
      </c>
      <c r="I10" s="211">
        <v>0</v>
      </c>
      <c r="J10" s="37">
        <f t="shared" ref="J10:J17" si="5">H10*I10</f>
        <v>0</v>
      </c>
      <c r="K10" s="37">
        <f t="shared" ref="K10:K17" si="6">G10+J10</f>
        <v>0</v>
      </c>
      <c r="L10" s="215"/>
      <c r="M10" s="212">
        <f t="shared" si="3"/>
        <v>164331.63099999976</v>
      </c>
      <c r="N10" s="37"/>
      <c r="O10" s="28"/>
    </row>
    <row r="11" spans="1:15" ht="15">
      <c r="A11" s="26">
        <v>8</v>
      </c>
      <c r="B11" s="27">
        <v>45969</v>
      </c>
      <c r="C11" s="114"/>
      <c r="D11" s="114"/>
      <c r="E11" s="37"/>
      <c r="F11" s="37">
        <v>0</v>
      </c>
      <c r="G11" s="37">
        <f t="shared" si="4"/>
        <v>0</v>
      </c>
      <c r="H11" s="211">
        <v>0</v>
      </c>
      <c r="I11" s="211">
        <v>0</v>
      </c>
      <c r="J11" s="37">
        <f t="shared" si="5"/>
        <v>0</v>
      </c>
      <c r="K11" s="37">
        <f t="shared" si="6"/>
        <v>0</v>
      </c>
      <c r="L11" s="215"/>
      <c r="M11" s="212">
        <f t="shared" si="3"/>
        <v>164331.63099999976</v>
      </c>
      <c r="N11" s="37"/>
      <c r="O11" s="28"/>
    </row>
    <row r="12" spans="1:15" ht="15">
      <c r="A12" s="26">
        <v>9</v>
      </c>
      <c r="B12" s="27">
        <v>45970</v>
      </c>
      <c r="C12" s="114"/>
      <c r="D12" s="114"/>
      <c r="E12" s="37"/>
      <c r="F12" s="37">
        <v>0</v>
      </c>
      <c r="G12" s="37">
        <f t="shared" si="4"/>
        <v>0</v>
      </c>
      <c r="H12" s="211">
        <v>0</v>
      </c>
      <c r="I12" s="211">
        <v>0</v>
      </c>
      <c r="J12" s="37">
        <f t="shared" si="5"/>
        <v>0</v>
      </c>
      <c r="K12" s="37">
        <f t="shared" si="6"/>
        <v>0</v>
      </c>
      <c r="L12" s="215"/>
      <c r="M12" s="212">
        <f t="shared" si="3"/>
        <v>164331.63099999976</v>
      </c>
      <c r="N12" s="37"/>
      <c r="O12" s="28"/>
    </row>
    <row r="13" spans="1:15" ht="15">
      <c r="A13" s="26">
        <v>10</v>
      </c>
      <c r="B13" s="27">
        <v>45971</v>
      </c>
      <c r="C13" s="114"/>
      <c r="D13" s="114"/>
      <c r="E13" s="37"/>
      <c r="F13" s="37">
        <v>0</v>
      </c>
      <c r="G13" s="37">
        <f t="shared" si="4"/>
        <v>0</v>
      </c>
      <c r="H13" s="211">
        <v>0</v>
      </c>
      <c r="I13" s="211">
        <v>0</v>
      </c>
      <c r="J13" s="37">
        <f t="shared" si="5"/>
        <v>0</v>
      </c>
      <c r="K13" s="37">
        <f t="shared" si="6"/>
        <v>0</v>
      </c>
      <c r="L13" s="215"/>
      <c r="M13" s="212">
        <f t="shared" si="3"/>
        <v>164331.63099999976</v>
      </c>
      <c r="N13" s="37"/>
      <c r="O13" s="28"/>
    </row>
    <row r="14" spans="1:15" ht="15">
      <c r="A14" s="26">
        <v>11</v>
      </c>
      <c r="B14" s="27">
        <v>45972</v>
      </c>
      <c r="C14" s="114"/>
      <c r="D14" s="114"/>
      <c r="E14" s="37"/>
      <c r="F14" s="37">
        <v>0</v>
      </c>
      <c r="G14" s="37">
        <f t="shared" si="4"/>
        <v>0</v>
      </c>
      <c r="H14" s="211">
        <v>0</v>
      </c>
      <c r="I14" s="211">
        <v>0</v>
      </c>
      <c r="J14" s="37">
        <f t="shared" si="5"/>
        <v>0</v>
      </c>
      <c r="K14" s="37">
        <f t="shared" si="6"/>
        <v>0</v>
      </c>
      <c r="L14" s="215"/>
      <c r="M14" s="212">
        <f t="shared" si="3"/>
        <v>164331.63099999976</v>
      </c>
      <c r="N14" s="37"/>
      <c r="O14" s="28"/>
    </row>
    <row r="15" spans="1:15" ht="15">
      <c r="A15" s="26">
        <v>12</v>
      </c>
      <c r="B15" s="27">
        <v>45973</v>
      </c>
      <c r="C15" s="114"/>
      <c r="D15" s="114"/>
      <c r="E15" s="37"/>
      <c r="F15" s="37">
        <v>0</v>
      </c>
      <c r="G15" s="37">
        <f t="shared" si="4"/>
        <v>0</v>
      </c>
      <c r="H15" s="211">
        <v>0</v>
      </c>
      <c r="I15" s="211">
        <v>0</v>
      </c>
      <c r="J15" s="37">
        <f t="shared" si="5"/>
        <v>0</v>
      </c>
      <c r="K15" s="37">
        <f t="shared" si="6"/>
        <v>0</v>
      </c>
      <c r="L15" s="215"/>
      <c r="M15" s="212">
        <f t="shared" si="3"/>
        <v>164331.63099999976</v>
      </c>
      <c r="N15" s="37"/>
      <c r="O15" s="28"/>
    </row>
    <row r="16" spans="1:15" ht="15">
      <c r="A16" s="26">
        <v>13</v>
      </c>
      <c r="B16" s="27">
        <v>45974</v>
      </c>
      <c r="C16" s="114"/>
      <c r="D16" s="114"/>
      <c r="E16" s="37"/>
      <c r="F16" s="37">
        <v>0</v>
      </c>
      <c r="G16" s="37">
        <f t="shared" si="4"/>
        <v>0</v>
      </c>
      <c r="H16" s="211">
        <v>0</v>
      </c>
      <c r="I16" s="211">
        <v>0</v>
      </c>
      <c r="J16" s="37">
        <f t="shared" si="5"/>
        <v>0</v>
      </c>
      <c r="K16" s="37">
        <f t="shared" si="6"/>
        <v>0</v>
      </c>
      <c r="L16" s="215"/>
      <c r="M16" s="212">
        <f t="shared" si="3"/>
        <v>164331.63099999976</v>
      </c>
      <c r="N16" s="37"/>
      <c r="O16" s="28"/>
    </row>
    <row r="17" spans="1:15" ht="15">
      <c r="A17" s="26">
        <v>14</v>
      </c>
      <c r="B17" s="27">
        <v>45975</v>
      </c>
      <c r="C17" s="114"/>
      <c r="D17" s="114"/>
      <c r="E17" s="37"/>
      <c r="F17" s="37">
        <v>0</v>
      </c>
      <c r="G17" s="37">
        <f t="shared" si="4"/>
        <v>0</v>
      </c>
      <c r="H17" s="211">
        <v>0</v>
      </c>
      <c r="I17" s="211">
        <v>0</v>
      </c>
      <c r="J17" s="37">
        <f t="shared" si="5"/>
        <v>0</v>
      </c>
      <c r="K17" s="37">
        <f t="shared" si="6"/>
        <v>0</v>
      </c>
      <c r="L17" s="215"/>
      <c r="M17" s="212">
        <f t="shared" si="3"/>
        <v>164331.63099999976</v>
      </c>
      <c r="N17" s="37"/>
      <c r="O17" s="28"/>
    </row>
    <row r="18" spans="1:15" ht="15">
      <c r="A18" s="26">
        <v>15</v>
      </c>
      <c r="B18" s="27">
        <v>45976</v>
      </c>
      <c r="C18" s="114"/>
      <c r="D18" s="114"/>
      <c r="E18" s="37"/>
      <c r="F18" s="37">
        <v>0</v>
      </c>
      <c r="G18" s="37">
        <f t="shared" si="0"/>
        <v>0</v>
      </c>
      <c r="H18" s="211">
        <v>0</v>
      </c>
      <c r="I18" s="211">
        <v>0</v>
      </c>
      <c r="J18" s="37">
        <f t="shared" si="1"/>
        <v>0</v>
      </c>
      <c r="K18" s="37">
        <f t="shared" si="2"/>
        <v>0</v>
      </c>
      <c r="L18" s="215"/>
      <c r="M18" s="212">
        <f t="shared" si="3"/>
        <v>164331.63099999976</v>
      </c>
      <c r="N18" s="37"/>
      <c r="O18" s="28"/>
    </row>
    <row r="19" spans="1:15" ht="15">
      <c r="A19" s="26">
        <v>16</v>
      </c>
      <c r="B19" s="27">
        <v>45977</v>
      </c>
      <c r="C19" s="114"/>
      <c r="D19" s="114"/>
      <c r="E19" s="37"/>
      <c r="F19" s="37">
        <v>0</v>
      </c>
      <c r="G19" s="37">
        <f t="shared" si="0"/>
        <v>0</v>
      </c>
      <c r="H19" s="211">
        <v>0</v>
      </c>
      <c r="I19" s="211">
        <v>0</v>
      </c>
      <c r="J19" s="37">
        <f t="shared" si="1"/>
        <v>0</v>
      </c>
      <c r="K19" s="37">
        <f t="shared" si="2"/>
        <v>0</v>
      </c>
      <c r="L19" s="215"/>
      <c r="M19" s="212">
        <f t="shared" si="3"/>
        <v>164331.63099999976</v>
      </c>
      <c r="N19" s="37"/>
      <c r="O19" s="28"/>
    </row>
    <row r="20" spans="1:15" ht="15">
      <c r="A20" s="26">
        <v>17</v>
      </c>
      <c r="B20" s="27">
        <v>45978</v>
      </c>
      <c r="C20" s="114"/>
      <c r="D20" s="114"/>
      <c r="E20" s="37"/>
      <c r="F20" s="37">
        <v>0</v>
      </c>
      <c r="G20" s="37">
        <f t="shared" si="0"/>
        <v>0</v>
      </c>
      <c r="H20" s="211">
        <v>0</v>
      </c>
      <c r="I20" s="211">
        <v>0</v>
      </c>
      <c r="J20" s="37">
        <f t="shared" si="1"/>
        <v>0</v>
      </c>
      <c r="K20" s="37">
        <f t="shared" si="2"/>
        <v>0</v>
      </c>
      <c r="L20" s="215"/>
      <c r="M20" s="212">
        <f t="shared" si="3"/>
        <v>164331.63099999976</v>
      </c>
      <c r="N20" s="37"/>
      <c r="O20" s="28"/>
    </row>
    <row r="21" spans="1:15" ht="15">
      <c r="A21" s="26">
        <v>18</v>
      </c>
      <c r="B21" s="27">
        <v>45979</v>
      </c>
      <c r="C21" s="114"/>
      <c r="D21" s="114"/>
      <c r="E21" s="37"/>
      <c r="F21" s="37">
        <v>0</v>
      </c>
      <c r="G21" s="37"/>
      <c r="H21" s="211"/>
      <c r="I21" s="211"/>
      <c r="J21" s="37">
        <f t="shared" si="1"/>
        <v>0</v>
      </c>
      <c r="K21" s="37">
        <f t="shared" si="2"/>
        <v>0</v>
      </c>
      <c r="L21" s="215"/>
      <c r="M21" s="212">
        <f t="shared" si="3"/>
        <v>164331.63099999976</v>
      </c>
      <c r="N21" s="37"/>
      <c r="O21" s="28"/>
    </row>
    <row r="22" spans="1:15" ht="15">
      <c r="A22" s="26">
        <v>19</v>
      </c>
      <c r="B22" s="27">
        <v>45980</v>
      </c>
      <c r="C22" s="114"/>
      <c r="D22" s="114"/>
      <c r="E22" s="37"/>
      <c r="F22" s="37">
        <v>0</v>
      </c>
      <c r="G22" s="37"/>
      <c r="H22" s="211"/>
      <c r="I22" s="211"/>
      <c r="J22" s="37">
        <f t="shared" si="1"/>
        <v>0</v>
      </c>
      <c r="K22" s="37">
        <f t="shared" si="2"/>
        <v>0</v>
      </c>
      <c r="L22" s="215"/>
      <c r="M22" s="212">
        <f t="shared" si="3"/>
        <v>164331.63099999976</v>
      </c>
      <c r="N22" s="37"/>
      <c r="O22" s="28"/>
    </row>
    <row r="23" spans="1:15" ht="15">
      <c r="A23" s="26">
        <v>20</v>
      </c>
      <c r="B23" s="27">
        <v>45981</v>
      </c>
      <c r="C23" s="114"/>
      <c r="D23" s="114"/>
      <c r="E23" s="37"/>
      <c r="F23" s="37">
        <v>0</v>
      </c>
      <c r="G23" s="37"/>
      <c r="H23" s="211"/>
      <c r="I23" s="211"/>
      <c r="J23" s="37">
        <f t="shared" ref="J23:J32" si="7">H23*I23</f>
        <v>0</v>
      </c>
      <c r="K23" s="37">
        <f t="shared" ref="K23:K32" si="8">G23+J23</f>
        <v>0</v>
      </c>
      <c r="L23" s="215"/>
      <c r="M23" s="212">
        <f t="shared" si="3"/>
        <v>164331.63099999976</v>
      </c>
      <c r="N23" s="37"/>
      <c r="O23" s="28"/>
    </row>
    <row r="24" spans="1:15" ht="15">
      <c r="A24" s="26">
        <v>21</v>
      </c>
      <c r="B24" s="27">
        <v>45982</v>
      </c>
      <c r="C24" s="114"/>
      <c r="D24" s="114"/>
      <c r="E24" s="37"/>
      <c r="F24" s="37">
        <v>0</v>
      </c>
      <c r="G24" s="37"/>
      <c r="H24" s="211"/>
      <c r="I24" s="211"/>
      <c r="J24" s="37">
        <f t="shared" si="7"/>
        <v>0</v>
      </c>
      <c r="K24" s="37">
        <f t="shared" si="8"/>
        <v>0</v>
      </c>
      <c r="L24" s="215"/>
      <c r="M24" s="212">
        <f t="shared" si="3"/>
        <v>164331.63099999976</v>
      </c>
      <c r="N24" s="37"/>
      <c r="O24" s="28"/>
    </row>
    <row r="25" spans="1:15" ht="15">
      <c r="A25" s="26">
        <v>22</v>
      </c>
      <c r="B25" s="27">
        <v>45983</v>
      </c>
      <c r="C25" s="114"/>
      <c r="D25" s="114"/>
      <c r="E25" s="37"/>
      <c r="F25" s="37">
        <v>0</v>
      </c>
      <c r="G25" s="37"/>
      <c r="H25" s="211"/>
      <c r="I25" s="211"/>
      <c r="J25" s="37">
        <f t="shared" si="7"/>
        <v>0</v>
      </c>
      <c r="K25" s="37">
        <f t="shared" si="8"/>
        <v>0</v>
      </c>
      <c r="L25" s="215"/>
      <c r="M25" s="212">
        <f t="shared" si="3"/>
        <v>164331.63099999976</v>
      </c>
      <c r="N25" s="37"/>
      <c r="O25" s="28"/>
    </row>
    <row r="26" spans="1:15" ht="15">
      <c r="A26" s="26">
        <v>23</v>
      </c>
      <c r="B26" s="27">
        <v>45984</v>
      </c>
      <c r="C26" s="114"/>
      <c r="D26" s="114"/>
      <c r="E26" s="37"/>
      <c r="F26" s="37">
        <v>0</v>
      </c>
      <c r="G26" s="37"/>
      <c r="H26" s="211"/>
      <c r="I26" s="211"/>
      <c r="J26" s="37">
        <f t="shared" si="7"/>
        <v>0</v>
      </c>
      <c r="K26" s="37">
        <f t="shared" si="8"/>
        <v>0</v>
      </c>
      <c r="L26" s="215"/>
      <c r="M26" s="212">
        <f t="shared" si="3"/>
        <v>164331.63099999976</v>
      </c>
      <c r="N26" s="37"/>
      <c r="O26" s="28"/>
    </row>
    <row r="27" spans="1:15" ht="15">
      <c r="A27" s="26">
        <v>24</v>
      </c>
      <c r="B27" s="27">
        <v>45985</v>
      </c>
      <c r="C27" s="114"/>
      <c r="D27" s="114"/>
      <c r="E27" s="37"/>
      <c r="F27" s="37">
        <v>0</v>
      </c>
      <c r="G27" s="37"/>
      <c r="H27" s="211"/>
      <c r="I27" s="211"/>
      <c r="J27" s="37">
        <f t="shared" si="7"/>
        <v>0</v>
      </c>
      <c r="K27" s="37">
        <f t="shared" si="8"/>
        <v>0</v>
      </c>
      <c r="L27" s="215"/>
      <c r="M27" s="212">
        <f t="shared" si="3"/>
        <v>164331.63099999976</v>
      </c>
      <c r="N27" s="37"/>
      <c r="O27" s="28"/>
    </row>
    <row r="28" spans="1:15" ht="15">
      <c r="A28" s="26">
        <v>25</v>
      </c>
      <c r="B28" s="27">
        <v>45986</v>
      </c>
      <c r="C28" s="114"/>
      <c r="D28" s="114"/>
      <c r="E28" s="37"/>
      <c r="F28" s="37">
        <v>0</v>
      </c>
      <c r="G28" s="37"/>
      <c r="H28" s="211"/>
      <c r="I28" s="211"/>
      <c r="J28" s="37">
        <f t="shared" si="7"/>
        <v>0</v>
      </c>
      <c r="K28" s="37">
        <f t="shared" si="8"/>
        <v>0</v>
      </c>
      <c r="L28" s="215"/>
      <c r="M28" s="212">
        <f>M27+K28-L28</f>
        <v>164331.63099999976</v>
      </c>
      <c r="N28" s="37"/>
      <c r="O28" s="28"/>
    </row>
    <row r="29" spans="1:15" ht="15">
      <c r="A29" s="26">
        <v>26</v>
      </c>
      <c r="B29" s="27">
        <v>45987</v>
      </c>
      <c r="C29" s="114"/>
      <c r="D29" s="114"/>
      <c r="E29" s="37"/>
      <c r="F29" s="37">
        <v>0</v>
      </c>
      <c r="G29" s="37"/>
      <c r="H29" s="211"/>
      <c r="I29" s="211"/>
      <c r="J29" s="37">
        <f t="shared" si="7"/>
        <v>0</v>
      </c>
      <c r="K29" s="37">
        <f t="shared" si="8"/>
        <v>0</v>
      </c>
      <c r="L29" s="215"/>
      <c r="M29" s="212">
        <f t="shared" si="3"/>
        <v>164331.63099999976</v>
      </c>
      <c r="N29" s="37"/>
      <c r="O29" s="28"/>
    </row>
    <row r="30" spans="1:15" ht="15">
      <c r="A30" s="26">
        <v>27</v>
      </c>
      <c r="B30" s="27">
        <v>45988</v>
      </c>
      <c r="C30" s="114"/>
      <c r="D30" s="114"/>
      <c r="E30" s="37"/>
      <c r="F30" s="37">
        <v>0</v>
      </c>
      <c r="G30" s="37"/>
      <c r="H30" s="211"/>
      <c r="I30" s="211"/>
      <c r="J30" s="37">
        <f t="shared" si="7"/>
        <v>0</v>
      </c>
      <c r="K30" s="37">
        <f t="shared" si="8"/>
        <v>0</v>
      </c>
      <c r="L30" s="215"/>
      <c r="M30" s="212">
        <f t="shared" si="3"/>
        <v>164331.63099999976</v>
      </c>
      <c r="N30" s="37"/>
      <c r="O30" s="28"/>
    </row>
    <row r="31" spans="1:15" ht="15">
      <c r="A31" s="26">
        <v>28</v>
      </c>
      <c r="B31" s="27">
        <v>45989</v>
      </c>
      <c r="C31" s="114"/>
      <c r="D31" s="114"/>
      <c r="E31" s="37"/>
      <c r="F31" s="37">
        <v>0</v>
      </c>
      <c r="G31" s="37"/>
      <c r="H31" s="211"/>
      <c r="I31" s="211"/>
      <c r="J31" s="37">
        <f t="shared" si="7"/>
        <v>0</v>
      </c>
      <c r="K31" s="37">
        <f t="shared" si="8"/>
        <v>0</v>
      </c>
      <c r="L31" s="215"/>
      <c r="M31" s="212">
        <f t="shared" si="3"/>
        <v>164331.63099999976</v>
      </c>
      <c r="N31" s="37"/>
      <c r="O31" s="28"/>
    </row>
    <row r="32" spans="1:15" ht="15">
      <c r="A32" s="26">
        <v>29</v>
      </c>
      <c r="B32" s="27">
        <v>45990</v>
      </c>
      <c r="C32" s="114"/>
      <c r="D32" s="114"/>
      <c r="E32" s="37"/>
      <c r="F32" s="37">
        <v>0</v>
      </c>
      <c r="G32" s="37">
        <f t="shared" ref="G32" si="9">E32*F32</f>
        <v>0</v>
      </c>
      <c r="H32" s="211">
        <v>0</v>
      </c>
      <c r="I32" s="211">
        <v>0</v>
      </c>
      <c r="J32" s="37">
        <f t="shared" si="7"/>
        <v>0</v>
      </c>
      <c r="K32" s="37">
        <f t="shared" si="8"/>
        <v>0</v>
      </c>
      <c r="L32" s="215"/>
      <c r="M32" s="212">
        <f t="shared" si="3"/>
        <v>164331.63099999976</v>
      </c>
      <c r="N32" s="230"/>
      <c r="O32" s="28"/>
    </row>
    <row r="33" spans="1:15" ht="15">
      <c r="A33" s="26">
        <v>30</v>
      </c>
      <c r="B33" s="27">
        <v>45991</v>
      </c>
      <c r="C33" s="114"/>
      <c r="D33" s="114"/>
      <c r="E33" s="37"/>
      <c r="F33" s="37">
        <v>0</v>
      </c>
      <c r="G33" s="37">
        <f t="shared" si="0"/>
        <v>0</v>
      </c>
      <c r="H33" s="211">
        <v>0</v>
      </c>
      <c r="I33" s="211">
        <v>0</v>
      </c>
      <c r="J33" s="37">
        <f t="shared" si="1"/>
        <v>0</v>
      </c>
      <c r="K33" s="37">
        <f t="shared" si="2"/>
        <v>0</v>
      </c>
      <c r="L33" s="215"/>
      <c r="M33" s="212">
        <f t="shared" si="3"/>
        <v>164331.63099999976</v>
      </c>
      <c r="N33" s="230"/>
      <c r="O33" s="28"/>
    </row>
    <row r="34" spans="1:15" ht="15">
      <c r="A34" s="26">
        <v>31</v>
      </c>
      <c r="B34" s="27"/>
      <c r="C34" s="114"/>
      <c r="D34" s="114"/>
      <c r="E34" s="37"/>
      <c r="F34" s="37">
        <v>0</v>
      </c>
      <c r="G34" s="37">
        <f t="shared" ref="G34" si="10">E34*F34</f>
        <v>0</v>
      </c>
      <c r="H34" s="211"/>
      <c r="I34" s="211"/>
      <c r="J34" s="37">
        <f t="shared" ref="J34" si="11">H34*I34</f>
        <v>0</v>
      </c>
      <c r="K34" s="37">
        <f t="shared" ref="K34" si="12">G34+J34</f>
        <v>0</v>
      </c>
      <c r="L34" s="215"/>
      <c r="M34" s="230"/>
      <c r="N34" s="230"/>
      <c r="O34" s="28"/>
    </row>
    <row r="35" spans="1:15">
      <c r="A35" s="46"/>
      <c r="B35" s="46"/>
      <c r="C35" s="216"/>
      <c r="D35" s="216"/>
      <c r="E35" s="217">
        <f>SUM(E4:E34)</f>
        <v>0</v>
      </c>
      <c r="F35" s="217"/>
      <c r="G35" s="217">
        <f>SUM(G4:G34)</f>
        <v>0</v>
      </c>
      <c r="H35" s="217">
        <f>SUM(H4:H34)</f>
        <v>0</v>
      </c>
      <c r="I35" s="217"/>
      <c r="J35" s="217">
        <f>SUM(J4:J34)</f>
        <v>0</v>
      </c>
      <c r="K35" s="217">
        <f>SUM(K4:K34)</f>
        <v>0</v>
      </c>
      <c r="L35" s="217">
        <f>SUM(L4:L31)</f>
        <v>0</v>
      </c>
      <c r="M35" s="217"/>
      <c r="N35" s="217"/>
      <c r="O35" s="33"/>
    </row>
    <row r="36" spans="1:15">
      <c r="A36" s="30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8"/>
    </row>
    <row r="37" spans="1:15">
      <c r="A37" s="28"/>
      <c r="B37" s="28"/>
      <c r="C37" s="28"/>
      <c r="D37" s="28"/>
      <c r="E37" s="28"/>
      <c r="F37" s="28"/>
      <c r="G37" s="31"/>
      <c r="H37" s="28"/>
      <c r="I37" s="28"/>
      <c r="J37" s="28"/>
      <c r="K37" s="28"/>
      <c r="L37" s="28"/>
      <c r="M37" s="28"/>
      <c r="N37" s="28"/>
      <c r="O37" s="32"/>
    </row>
    <row r="38" spans="1:15">
      <c r="A38" s="28"/>
      <c r="B38" s="459"/>
      <c r="C38" s="459"/>
      <c r="D38" s="459"/>
      <c r="E38" s="459"/>
      <c r="F38" s="28"/>
      <c r="G38" s="28"/>
      <c r="H38" s="28"/>
      <c r="I38" s="459"/>
      <c r="J38" s="459"/>
      <c r="K38" s="459"/>
      <c r="L38" s="459"/>
      <c r="M38" s="459"/>
      <c r="N38" s="459"/>
      <c r="O38" s="32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2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AH38"/>
  <sheetViews>
    <sheetView workbookViewId="0">
      <pane ySplit="2" topLeftCell="A21" activePane="bottomLeft" state="frozen"/>
      <selection pane="bottomLeft" activeCell="Q13" sqref="Q13"/>
    </sheetView>
  </sheetViews>
  <sheetFormatPr defaultRowHeight="15"/>
  <cols>
    <col min="1" max="1" width="4.7109375" style="49" bestFit="1" customWidth="1"/>
    <col min="2" max="2" width="10.42578125" style="49" bestFit="1" customWidth="1"/>
    <col min="3" max="3" width="7.140625" style="49" bestFit="1" customWidth="1"/>
    <col min="4" max="4" width="16" style="49" bestFit="1" customWidth="1"/>
    <col min="5" max="5" width="9.7109375" style="49" bestFit="1" customWidth="1"/>
    <col min="6" max="6" width="11.5703125" style="49" bestFit="1" customWidth="1"/>
    <col min="7" max="7" width="11.85546875" style="49" bestFit="1" customWidth="1"/>
    <col min="8" max="8" width="10.42578125" style="49" bestFit="1" customWidth="1"/>
    <col min="9" max="9" width="7.140625" style="49" bestFit="1" customWidth="1"/>
    <col min="10" max="10" width="10.85546875" style="55" bestFit="1" customWidth="1"/>
    <col min="11" max="11" width="11.85546875" style="49" bestFit="1" customWidth="1"/>
    <col min="12" max="12" width="12.42578125" style="55" bestFit="1" customWidth="1"/>
    <col min="13" max="13" width="12.42578125" style="55" customWidth="1"/>
    <col min="14" max="14" width="17.7109375" style="49" bestFit="1" customWidth="1"/>
    <col min="15" max="15" width="9.140625" style="49"/>
    <col min="16" max="16" width="11.85546875" style="49" bestFit="1" customWidth="1"/>
    <col min="17" max="16384" width="9.140625" style="49"/>
  </cols>
  <sheetData>
    <row r="1" spans="1:16">
      <c r="A1" s="461" t="s">
        <v>30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</row>
    <row r="2" spans="1:16">
      <c r="A2" s="93" t="s">
        <v>95</v>
      </c>
      <c r="B2" s="94" t="s">
        <v>96</v>
      </c>
      <c r="C2" s="94" t="s">
        <v>97</v>
      </c>
      <c r="D2" s="94" t="s">
        <v>98</v>
      </c>
      <c r="E2" s="94" t="s">
        <v>99</v>
      </c>
      <c r="F2" s="94" t="s">
        <v>100</v>
      </c>
      <c r="G2" s="94" t="s">
        <v>101</v>
      </c>
      <c r="H2" s="94" t="s">
        <v>102</v>
      </c>
      <c r="I2" s="94" t="s">
        <v>100</v>
      </c>
      <c r="J2" s="119" t="s">
        <v>101</v>
      </c>
      <c r="K2" s="94" t="s">
        <v>103</v>
      </c>
      <c r="L2" s="119" t="s">
        <v>104</v>
      </c>
      <c r="M2" s="118" t="s">
        <v>110</v>
      </c>
      <c r="N2" s="95" t="s">
        <v>106</v>
      </c>
      <c r="O2" s="33"/>
    </row>
    <row r="3" spans="1:16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62"/>
      <c r="K3" s="120">
        <v>102795.06451380023</v>
      </c>
      <c r="L3" s="50"/>
      <c r="M3" s="120">
        <v>102795.06451380023</v>
      </c>
      <c r="N3" s="50"/>
      <c r="O3" s="33"/>
      <c r="P3" s="53"/>
    </row>
    <row r="4" spans="1:16">
      <c r="A4" s="26">
        <v>1</v>
      </c>
      <c r="B4" s="27">
        <v>45962</v>
      </c>
      <c r="C4" s="51" t="s">
        <v>144</v>
      </c>
      <c r="D4" s="52" t="s">
        <v>144</v>
      </c>
      <c r="E4" s="51"/>
      <c r="F4" s="51"/>
      <c r="G4" s="50">
        <f t="shared" ref="G4" si="0">E4*F4</f>
        <v>0</v>
      </c>
      <c r="H4" s="51"/>
      <c r="I4" s="51"/>
      <c r="J4" s="53">
        <f t="shared" ref="J4" si="1">H4*I4</f>
        <v>0</v>
      </c>
      <c r="K4" s="50">
        <f t="shared" ref="K4" si="2">G4+J4</f>
        <v>0</v>
      </c>
      <c r="L4" s="115"/>
      <c r="M4" s="53">
        <f>M3+K4-L4</f>
        <v>102795.06451380023</v>
      </c>
      <c r="N4" s="110"/>
    </row>
    <row r="5" spans="1:16">
      <c r="A5" s="26">
        <v>2</v>
      </c>
      <c r="B5" s="27">
        <v>45963</v>
      </c>
      <c r="C5" s="51" t="s">
        <v>144</v>
      </c>
      <c r="D5" s="52" t="s">
        <v>144</v>
      </c>
      <c r="E5" s="51"/>
      <c r="F5" s="51"/>
      <c r="G5" s="50">
        <f t="shared" ref="G5:G35" si="3">E5*F5</f>
        <v>0</v>
      </c>
      <c r="H5" s="51"/>
      <c r="I5" s="51"/>
      <c r="J5" s="53">
        <f t="shared" ref="J5:J35" si="4">H5*I5</f>
        <v>0</v>
      </c>
      <c r="K5" s="50">
        <f t="shared" ref="K5:K35" si="5">G5+J5</f>
        <v>0</v>
      </c>
      <c r="L5" s="115"/>
      <c r="M5" s="53">
        <f t="shared" ref="M5:M35" si="6">M4+K5-L5</f>
        <v>102795.06451380023</v>
      </c>
      <c r="N5" s="110"/>
    </row>
    <row r="6" spans="1:16">
      <c r="A6" s="26">
        <v>3</v>
      </c>
      <c r="B6" s="27">
        <v>45964</v>
      </c>
      <c r="C6" s="51" t="s">
        <v>144</v>
      </c>
      <c r="D6" s="52" t="s">
        <v>144</v>
      </c>
      <c r="E6" s="51"/>
      <c r="F6" s="51"/>
      <c r="G6" s="50">
        <f t="shared" si="3"/>
        <v>0</v>
      </c>
      <c r="H6" s="51"/>
      <c r="I6" s="51"/>
      <c r="J6" s="53">
        <f t="shared" si="4"/>
        <v>0</v>
      </c>
      <c r="K6" s="50">
        <f t="shared" si="5"/>
        <v>0</v>
      </c>
      <c r="L6" s="115"/>
      <c r="M6" s="53">
        <f t="shared" si="6"/>
        <v>102795.06451380023</v>
      </c>
      <c r="N6" s="117"/>
    </row>
    <row r="7" spans="1:16">
      <c r="A7" s="26">
        <v>4</v>
      </c>
      <c r="B7" s="27">
        <v>45965</v>
      </c>
      <c r="C7" s="51" t="s">
        <v>144</v>
      </c>
      <c r="D7" s="52" t="s">
        <v>144</v>
      </c>
      <c r="E7" s="51"/>
      <c r="F7" s="51"/>
      <c r="G7" s="50">
        <f t="shared" si="3"/>
        <v>0</v>
      </c>
      <c r="H7" s="51"/>
      <c r="I7" s="51"/>
      <c r="J7" s="53">
        <f t="shared" si="4"/>
        <v>0</v>
      </c>
      <c r="K7" s="50">
        <f t="shared" si="5"/>
        <v>0</v>
      </c>
      <c r="L7" s="115"/>
      <c r="M7" s="53">
        <f t="shared" si="6"/>
        <v>102795.06451380023</v>
      </c>
      <c r="N7" s="117"/>
    </row>
    <row r="8" spans="1:16">
      <c r="A8" s="26">
        <v>5</v>
      </c>
      <c r="B8" s="27">
        <v>45966</v>
      </c>
      <c r="C8" s="51" t="s">
        <v>144</v>
      </c>
      <c r="D8" s="52" t="s">
        <v>144</v>
      </c>
      <c r="E8" s="51"/>
      <c r="F8" s="51"/>
      <c r="G8" s="50">
        <f t="shared" si="3"/>
        <v>0</v>
      </c>
      <c r="H8" s="51"/>
      <c r="I8" s="51"/>
      <c r="J8" s="53">
        <f t="shared" si="4"/>
        <v>0</v>
      </c>
      <c r="K8" s="50">
        <f t="shared" si="5"/>
        <v>0</v>
      </c>
      <c r="L8" s="115"/>
      <c r="M8" s="53">
        <f t="shared" si="6"/>
        <v>102795.06451380023</v>
      </c>
      <c r="N8" s="110"/>
    </row>
    <row r="9" spans="1:16">
      <c r="A9" s="26">
        <v>6</v>
      </c>
      <c r="B9" s="27">
        <v>45967</v>
      </c>
      <c r="C9" s="51" t="s">
        <v>144</v>
      </c>
      <c r="D9" s="52" t="s">
        <v>144</v>
      </c>
      <c r="E9" s="51"/>
      <c r="F9" s="51"/>
      <c r="G9" s="50">
        <f t="shared" si="3"/>
        <v>0</v>
      </c>
      <c r="H9" s="51"/>
      <c r="I9" s="51"/>
      <c r="J9" s="53">
        <f t="shared" si="4"/>
        <v>0</v>
      </c>
      <c r="K9" s="50">
        <f t="shared" si="5"/>
        <v>0</v>
      </c>
      <c r="L9" s="115"/>
      <c r="M9" s="53">
        <f t="shared" si="6"/>
        <v>102795.06451380023</v>
      </c>
      <c r="N9" s="117"/>
    </row>
    <row r="10" spans="1:16">
      <c r="A10" s="26">
        <v>7</v>
      </c>
      <c r="B10" s="27">
        <v>45968</v>
      </c>
      <c r="C10" s="51" t="s">
        <v>144</v>
      </c>
      <c r="D10" s="52" t="s">
        <v>144</v>
      </c>
      <c r="E10" s="51"/>
      <c r="F10" s="51"/>
      <c r="G10" s="50">
        <f t="shared" si="3"/>
        <v>0</v>
      </c>
      <c r="H10" s="51"/>
      <c r="I10" s="51"/>
      <c r="J10" s="53">
        <f t="shared" si="4"/>
        <v>0</v>
      </c>
      <c r="K10" s="50">
        <f t="shared" si="5"/>
        <v>0</v>
      </c>
      <c r="L10" s="115"/>
      <c r="M10" s="53">
        <f t="shared" si="6"/>
        <v>102795.06451380023</v>
      </c>
      <c r="N10" s="110"/>
    </row>
    <row r="11" spans="1:16">
      <c r="A11" s="26">
        <v>8</v>
      </c>
      <c r="B11" s="27">
        <v>45969</v>
      </c>
      <c r="C11" s="51" t="s">
        <v>144</v>
      </c>
      <c r="D11" s="52" t="s">
        <v>144</v>
      </c>
      <c r="E11" s="51"/>
      <c r="F11" s="51"/>
      <c r="G11" s="50">
        <f t="shared" si="3"/>
        <v>0</v>
      </c>
      <c r="H11" s="51"/>
      <c r="I11" s="51"/>
      <c r="J11" s="53">
        <f t="shared" si="4"/>
        <v>0</v>
      </c>
      <c r="K11" s="50">
        <f t="shared" si="5"/>
        <v>0</v>
      </c>
      <c r="L11" s="115"/>
      <c r="M11" s="53">
        <f t="shared" si="6"/>
        <v>102795.06451380023</v>
      </c>
      <c r="N11" s="116"/>
      <c r="O11" s="49">
        <v>1</v>
      </c>
      <c r="P11" s="49" t="s">
        <v>145</v>
      </c>
    </row>
    <row r="12" spans="1:16">
      <c r="A12" s="26">
        <v>9</v>
      </c>
      <c r="B12" s="27">
        <v>45970</v>
      </c>
      <c r="C12" s="51" t="s">
        <v>144</v>
      </c>
      <c r="D12" s="52" t="s">
        <v>144</v>
      </c>
      <c r="E12" s="51"/>
      <c r="F12" s="51"/>
      <c r="G12" s="50">
        <f t="shared" si="3"/>
        <v>0</v>
      </c>
      <c r="H12" s="51"/>
      <c r="I12" s="51"/>
      <c r="J12" s="53">
        <f t="shared" si="4"/>
        <v>0</v>
      </c>
      <c r="K12" s="50">
        <f t="shared" si="5"/>
        <v>0</v>
      </c>
      <c r="L12" s="115"/>
      <c r="M12" s="53">
        <f t="shared" si="6"/>
        <v>102795.06451380023</v>
      </c>
      <c r="N12" s="110"/>
    </row>
    <row r="13" spans="1:16">
      <c r="A13" s="26">
        <v>10</v>
      </c>
      <c r="B13" s="27">
        <v>45971</v>
      </c>
      <c r="C13" s="51" t="s">
        <v>144</v>
      </c>
      <c r="D13" s="52" t="s">
        <v>144</v>
      </c>
      <c r="E13" s="51"/>
      <c r="F13" s="51"/>
      <c r="G13" s="50">
        <f t="shared" si="3"/>
        <v>0</v>
      </c>
      <c r="H13" s="51"/>
      <c r="I13" s="51"/>
      <c r="J13" s="53">
        <f t="shared" si="4"/>
        <v>0</v>
      </c>
      <c r="K13" s="50">
        <f t="shared" si="5"/>
        <v>0</v>
      </c>
      <c r="L13" s="115"/>
      <c r="M13" s="53">
        <f t="shared" si="6"/>
        <v>102795.06451380023</v>
      </c>
      <c r="N13" s="110"/>
    </row>
    <row r="14" spans="1:16">
      <c r="A14" s="26">
        <v>11</v>
      </c>
      <c r="B14" s="27">
        <v>45972</v>
      </c>
      <c r="C14" s="51" t="s">
        <v>144</v>
      </c>
      <c r="D14" s="52" t="s">
        <v>144</v>
      </c>
      <c r="E14" s="51"/>
      <c r="F14" s="51"/>
      <c r="G14" s="50">
        <f t="shared" si="3"/>
        <v>0</v>
      </c>
      <c r="H14" s="51"/>
      <c r="I14" s="51"/>
      <c r="J14" s="53">
        <f t="shared" si="4"/>
        <v>0</v>
      </c>
      <c r="K14" s="50">
        <f t="shared" si="5"/>
        <v>0</v>
      </c>
      <c r="L14" s="115"/>
      <c r="M14" s="53">
        <f t="shared" si="6"/>
        <v>102795.06451380023</v>
      </c>
      <c r="N14" s="110"/>
    </row>
    <row r="15" spans="1:16">
      <c r="A15" s="26">
        <v>12</v>
      </c>
      <c r="B15" s="27">
        <v>45973</v>
      </c>
      <c r="C15" s="51" t="s">
        <v>144</v>
      </c>
      <c r="D15" s="52" t="s">
        <v>144</v>
      </c>
      <c r="E15" s="51"/>
      <c r="F15" s="51"/>
      <c r="G15" s="50">
        <f t="shared" si="3"/>
        <v>0</v>
      </c>
      <c r="H15" s="51"/>
      <c r="I15" s="51"/>
      <c r="J15" s="53">
        <f t="shared" si="4"/>
        <v>0</v>
      </c>
      <c r="K15" s="50">
        <f t="shared" si="5"/>
        <v>0</v>
      </c>
      <c r="L15" s="115"/>
      <c r="M15" s="53">
        <f t="shared" si="6"/>
        <v>102795.06451380023</v>
      </c>
      <c r="N15" s="110"/>
    </row>
    <row r="16" spans="1:16">
      <c r="A16" s="26">
        <v>13</v>
      </c>
      <c r="B16" s="27">
        <v>45974</v>
      </c>
      <c r="C16" s="51" t="s">
        <v>144</v>
      </c>
      <c r="D16" s="52" t="s">
        <v>144</v>
      </c>
      <c r="E16" s="51"/>
      <c r="F16" s="51"/>
      <c r="G16" s="50">
        <f t="shared" si="3"/>
        <v>0</v>
      </c>
      <c r="H16" s="51"/>
      <c r="I16" s="51"/>
      <c r="J16" s="53">
        <f t="shared" si="4"/>
        <v>0</v>
      </c>
      <c r="K16" s="50">
        <f t="shared" si="5"/>
        <v>0</v>
      </c>
      <c r="L16" s="115"/>
      <c r="M16" s="53">
        <f t="shared" si="6"/>
        <v>102795.06451380023</v>
      </c>
      <c r="N16" s="110"/>
    </row>
    <row r="17" spans="1:16">
      <c r="A17" s="26">
        <v>14</v>
      </c>
      <c r="B17" s="27">
        <v>45975</v>
      </c>
      <c r="C17" s="51" t="s">
        <v>144</v>
      </c>
      <c r="D17" s="52" t="s">
        <v>144</v>
      </c>
      <c r="E17" s="51"/>
      <c r="F17" s="51"/>
      <c r="G17" s="50">
        <f t="shared" si="3"/>
        <v>0</v>
      </c>
      <c r="H17" s="51"/>
      <c r="I17" s="51"/>
      <c r="J17" s="53">
        <f t="shared" si="4"/>
        <v>0</v>
      </c>
      <c r="K17" s="50">
        <f t="shared" si="5"/>
        <v>0</v>
      </c>
      <c r="L17" s="115"/>
      <c r="M17" s="53">
        <f t="shared" si="6"/>
        <v>102795.06451380023</v>
      </c>
      <c r="N17" s="110"/>
    </row>
    <row r="18" spans="1:16">
      <c r="A18" s="26">
        <v>15</v>
      </c>
      <c r="B18" s="27">
        <v>45976</v>
      </c>
      <c r="C18" s="51" t="s">
        <v>144</v>
      </c>
      <c r="D18" s="52" t="s">
        <v>144</v>
      </c>
      <c r="E18" s="51">
        <v>164.29</v>
      </c>
      <c r="F18" s="51">
        <v>91.3</v>
      </c>
      <c r="G18" s="50">
        <f t="shared" si="3"/>
        <v>14999.677</v>
      </c>
      <c r="H18" s="51">
        <v>70</v>
      </c>
      <c r="I18" s="51">
        <v>103.24</v>
      </c>
      <c r="J18" s="53">
        <f t="shared" si="4"/>
        <v>7226.7999999999993</v>
      </c>
      <c r="K18" s="50">
        <f t="shared" si="5"/>
        <v>22226.476999999999</v>
      </c>
      <c r="L18" s="115">
        <v>50000</v>
      </c>
      <c r="M18" s="53">
        <f t="shared" si="6"/>
        <v>75021.541513800228</v>
      </c>
      <c r="N18" s="110"/>
    </row>
    <row r="19" spans="1:16">
      <c r="A19" s="26">
        <v>16</v>
      </c>
      <c r="B19" s="27">
        <v>45977</v>
      </c>
      <c r="C19" s="51" t="s">
        <v>144</v>
      </c>
      <c r="D19" s="52" t="s">
        <v>144</v>
      </c>
      <c r="E19" s="50"/>
      <c r="F19" s="51"/>
      <c r="G19" s="53">
        <f t="shared" si="3"/>
        <v>0</v>
      </c>
      <c r="H19" s="51"/>
      <c r="I19" s="51"/>
      <c r="J19" s="53">
        <f t="shared" si="4"/>
        <v>0</v>
      </c>
      <c r="K19" s="50">
        <f t="shared" si="5"/>
        <v>0</v>
      </c>
      <c r="L19" s="115"/>
      <c r="M19" s="53">
        <f t="shared" si="6"/>
        <v>75021.541513800228</v>
      </c>
      <c r="N19" s="110"/>
      <c r="O19" s="49">
        <v>2</v>
      </c>
      <c r="P19" s="49" t="s">
        <v>145</v>
      </c>
    </row>
    <row r="20" spans="1:16">
      <c r="A20" s="26">
        <v>17</v>
      </c>
      <c r="B20" s="27">
        <v>45978</v>
      </c>
      <c r="C20" s="51" t="s">
        <v>144</v>
      </c>
      <c r="D20" s="52" t="s">
        <v>144</v>
      </c>
      <c r="E20" s="51"/>
      <c r="F20" s="51"/>
      <c r="G20" s="50">
        <f t="shared" si="3"/>
        <v>0</v>
      </c>
      <c r="H20" s="51"/>
      <c r="I20" s="51"/>
      <c r="J20" s="53">
        <f t="shared" si="4"/>
        <v>0</v>
      </c>
      <c r="K20" s="50">
        <f t="shared" si="5"/>
        <v>0</v>
      </c>
      <c r="L20" s="115"/>
      <c r="M20" s="53">
        <f t="shared" si="6"/>
        <v>75021.541513800228</v>
      </c>
      <c r="N20" s="110"/>
    </row>
    <row r="21" spans="1:16">
      <c r="A21" s="26">
        <v>18</v>
      </c>
      <c r="B21" s="27">
        <v>45979</v>
      </c>
      <c r="C21" s="51" t="s">
        <v>144</v>
      </c>
      <c r="D21" s="52" t="s">
        <v>144</v>
      </c>
      <c r="E21" s="51"/>
      <c r="F21" s="51"/>
      <c r="G21" s="50">
        <f t="shared" si="3"/>
        <v>0</v>
      </c>
      <c r="H21" s="51"/>
      <c r="I21" s="51"/>
      <c r="J21" s="53">
        <f t="shared" si="4"/>
        <v>0</v>
      </c>
      <c r="K21" s="50">
        <f t="shared" si="5"/>
        <v>0</v>
      </c>
      <c r="L21" s="115"/>
      <c r="M21" s="53">
        <f t="shared" si="6"/>
        <v>75021.541513800228</v>
      </c>
      <c r="N21" s="110"/>
    </row>
    <row r="22" spans="1:16">
      <c r="A22" s="26">
        <v>19</v>
      </c>
      <c r="B22" s="27">
        <v>45980</v>
      </c>
      <c r="C22" s="51" t="s">
        <v>144</v>
      </c>
      <c r="D22" s="52" t="s">
        <v>144</v>
      </c>
      <c r="E22" s="51"/>
      <c r="F22" s="51"/>
      <c r="G22" s="50">
        <f t="shared" si="3"/>
        <v>0</v>
      </c>
      <c r="H22" s="51"/>
      <c r="I22" s="51"/>
      <c r="J22" s="53">
        <f t="shared" si="4"/>
        <v>0</v>
      </c>
      <c r="K22" s="50">
        <f t="shared" si="5"/>
        <v>0</v>
      </c>
      <c r="L22" s="115"/>
      <c r="M22" s="53">
        <f t="shared" si="6"/>
        <v>75021.541513800228</v>
      </c>
      <c r="N22" s="110"/>
    </row>
    <row r="23" spans="1:16">
      <c r="A23" s="26">
        <v>20</v>
      </c>
      <c r="B23" s="27">
        <v>45981</v>
      </c>
      <c r="C23" s="51" t="s">
        <v>144</v>
      </c>
      <c r="D23" s="52" t="s">
        <v>144</v>
      </c>
      <c r="E23" s="51"/>
      <c r="F23" s="51"/>
      <c r="G23" s="50">
        <f t="shared" si="3"/>
        <v>0</v>
      </c>
      <c r="H23" s="51"/>
      <c r="I23" s="51"/>
      <c r="J23" s="53">
        <f t="shared" si="4"/>
        <v>0</v>
      </c>
      <c r="K23" s="50">
        <f t="shared" si="5"/>
        <v>0</v>
      </c>
      <c r="L23" s="115">
        <v>50000</v>
      </c>
      <c r="M23" s="53">
        <f t="shared" si="6"/>
        <v>25021.541513800228</v>
      </c>
      <c r="N23" s="110"/>
    </row>
    <row r="24" spans="1:16">
      <c r="A24" s="26">
        <v>21</v>
      </c>
      <c r="B24" s="27">
        <v>45982</v>
      </c>
      <c r="C24" s="51" t="s">
        <v>144</v>
      </c>
      <c r="D24" s="52" t="s">
        <v>144</v>
      </c>
      <c r="E24" s="51"/>
      <c r="F24" s="51"/>
      <c r="G24" s="50">
        <f t="shared" si="3"/>
        <v>0</v>
      </c>
      <c r="H24" s="51"/>
      <c r="I24" s="51"/>
      <c r="J24" s="53">
        <f t="shared" si="4"/>
        <v>0</v>
      </c>
      <c r="K24" s="50">
        <f t="shared" si="5"/>
        <v>0</v>
      </c>
      <c r="L24" s="115"/>
      <c r="M24" s="53">
        <f t="shared" si="6"/>
        <v>25021.541513800228</v>
      </c>
      <c r="N24" s="110"/>
    </row>
    <row r="25" spans="1:16">
      <c r="A25" s="26">
        <v>22</v>
      </c>
      <c r="B25" s="27">
        <v>45983</v>
      </c>
      <c r="C25" s="51" t="s">
        <v>144</v>
      </c>
      <c r="D25" s="52" t="s">
        <v>144</v>
      </c>
      <c r="E25" s="51"/>
      <c r="F25" s="51"/>
      <c r="G25" s="50">
        <f t="shared" si="3"/>
        <v>0</v>
      </c>
      <c r="H25" s="51"/>
      <c r="I25" s="51"/>
      <c r="J25" s="53">
        <f t="shared" si="4"/>
        <v>0</v>
      </c>
      <c r="K25" s="50">
        <f t="shared" si="5"/>
        <v>0</v>
      </c>
      <c r="L25" s="115"/>
      <c r="M25" s="53">
        <f t="shared" si="6"/>
        <v>25021.541513800228</v>
      </c>
      <c r="N25" s="110"/>
    </row>
    <row r="26" spans="1:16">
      <c r="A26" s="26">
        <v>23</v>
      </c>
      <c r="B26" s="27">
        <v>45984</v>
      </c>
      <c r="C26" s="51" t="s">
        <v>144</v>
      </c>
      <c r="D26" s="52" t="s">
        <v>144</v>
      </c>
      <c r="E26" s="51"/>
      <c r="F26" s="51"/>
      <c r="G26" s="50">
        <f t="shared" si="3"/>
        <v>0</v>
      </c>
      <c r="H26" s="51"/>
      <c r="I26" s="51"/>
      <c r="J26" s="53">
        <f t="shared" si="4"/>
        <v>0</v>
      </c>
      <c r="K26" s="50">
        <f t="shared" si="5"/>
        <v>0</v>
      </c>
      <c r="L26" s="115"/>
      <c r="M26" s="53">
        <f t="shared" si="6"/>
        <v>25021.541513800228</v>
      </c>
      <c r="N26" s="110"/>
    </row>
    <row r="27" spans="1:16">
      <c r="A27" s="26">
        <v>24</v>
      </c>
      <c r="B27" s="27">
        <v>45985</v>
      </c>
      <c r="C27" s="51" t="s">
        <v>144</v>
      </c>
      <c r="D27" s="52" t="s">
        <v>144</v>
      </c>
      <c r="E27" s="51"/>
      <c r="F27" s="51"/>
      <c r="G27" s="50">
        <f t="shared" si="3"/>
        <v>0</v>
      </c>
      <c r="H27" s="51"/>
      <c r="I27" s="51"/>
      <c r="J27" s="53">
        <f t="shared" si="4"/>
        <v>0</v>
      </c>
      <c r="K27" s="50">
        <f t="shared" si="5"/>
        <v>0</v>
      </c>
      <c r="L27" s="115"/>
      <c r="M27" s="53">
        <f t="shared" si="6"/>
        <v>25021.541513800228</v>
      </c>
      <c r="N27" s="110"/>
    </row>
    <row r="28" spans="1:16">
      <c r="A28" s="26">
        <v>25</v>
      </c>
      <c r="B28" s="27">
        <v>45986</v>
      </c>
      <c r="C28" s="51"/>
      <c r="D28" s="52"/>
      <c r="E28" s="51"/>
      <c r="F28" s="51"/>
      <c r="G28" s="50">
        <f t="shared" si="3"/>
        <v>0</v>
      </c>
      <c r="H28" s="51"/>
      <c r="I28" s="51"/>
      <c r="J28" s="53">
        <f t="shared" si="4"/>
        <v>0</v>
      </c>
      <c r="K28" s="50">
        <f t="shared" si="5"/>
        <v>0</v>
      </c>
      <c r="L28" s="115"/>
      <c r="M28" s="53">
        <f t="shared" si="6"/>
        <v>25021.541513800228</v>
      </c>
      <c r="N28" s="110"/>
    </row>
    <row r="29" spans="1:16">
      <c r="A29" s="26">
        <v>26</v>
      </c>
      <c r="B29" s="27">
        <v>45987</v>
      </c>
      <c r="C29" s="51" t="s">
        <v>144</v>
      </c>
      <c r="D29" s="52" t="s">
        <v>144</v>
      </c>
      <c r="E29" s="51"/>
      <c r="F29" s="51"/>
      <c r="G29" s="50">
        <f t="shared" si="3"/>
        <v>0</v>
      </c>
      <c r="H29" s="51"/>
      <c r="I29" s="51"/>
      <c r="J29" s="53">
        <f t="shared" si="4"/>
        <v>0</v>
      </c>
      <c r="K29" s="50">
        <f t="shared" si="5"/>
        <v>0</v>
      </c>
      <c r="L29" s="115"/>
      <c r="M29" s="53">
        <f t="shared" si="6"/>
        <v>25021.541513800228</v>
      </c>
      <c r="N29" s="110"/>
    </row>
    <row r="30" spans="1:16">
      <c r="A30" s="26">
        <v>27</v>
      </c>
      <c r="B30" s="27">
        <v>45988</v>
      </c>
      <c r="C30" s="51" t="s">
        <v>144</v>
      </c>
      <c r="D30" s="52" t="s">
        <v>144</v>
      </c>
      <c r="E30" s="51"/>
      <c r="F30" s="51"/>
      <c r="G30" s="50">
        <f t="shared" si="3"/>
        <v>0</v>
      </c>
      <c r="H30" s="51"/>
      <c r="I30" s="51"/>
      <c r="J30" s="53">
        <f t="shared" si="4"/>
        <v>0</v>
      </c>
      <c r="K30" s="50">
        <f t="shared" si="5"/>
        <v>0</v>
      </c>
      <c r="L30" s="115"/>
      <c r="M30" s="53">
        <f t="shared" si="6"/>
        <v>25021.541513800228</v>
      </c>
      <c r="N30" s="110"/>
    </row>
    <row r="31" spans="1:16">
      <c r="A31" s="26">
        <v>28</v>
      </c>
      <c r="B31" s="27">
        <v>45989</v>
      </c>
      <c r="C31" s="51" t="s">
        <v>144</v>
      </c>
      <c r="D31" s="52" t="s">
        <v>144</v>
      </c>
      <c r="E31" s="51"/>
      <c r="F31" s="51"/>
      <c r="G31" s="50">
        <f t="shared" si="3"/>
        <v>0</v>
      </c>
      <c r="H31" s="51"/>
      <c r="I31" s="51"/>
      <c r="J31" s="53">
        <f t="shared" si="4"/>
        <v>0</v>
      </c>
      <c r="K31" s="50">
        <f t="shared" si="5"/>
        <v>0</v>
      </c>
      <c r="L31" s="115"/>
      <c r="M31" s="53">
        <f t="shared" si="6"/>
        <v>25021.541513800228</v>
      </c>
      <c r="N31" s="110"/>
    </row>
    <row r="32" spans="1:16">
      <c r="A32" s="26">
        <v>29</v>
      </c>
      <c r="B32" s="27">
        <v>45990</v>
      </c>
      <c r="C32" s="50"/>
      <c r="D32" s="52" t="s">
        <v>144</v>
      </c>
      <c r="E32" s="51"/>
      <c r="F32" s="51"/>
      <c r="G32" s="50">
        <f t="shared" si="3"/>
        <v>0</v>
      </c>
      <c r="H32" s="51"/>
      <c r="I32" s="51"/>
      <c r="J32" s="53">
        <f t="shared" si="4"/>
        <v>0</v>
      </c>
      <c r="K32" s="50">
        <f t="shared" si="5"/>
        <v>0</v>
      </c>
      <c r="L32" s="115"/>
      <c r="M32" s="53">
        <f t="shared" si="6"/>
        <v>25021.541513800228</v>
      </c>
      <c r="N32" s="110"/>
    </row>
    <row r="33" spans="1:34">
      <c r="A33" s="26">
        <v>30</v>
      </c>
      <c r="B33" s="27">
        <v>45991</v>
      </c>
      <c r="C33" s="50"/>
      <c r="D33" s="52" t="s">
        <v>144</v>
      </c>
      <c r="E33" s="51"/>
      <c r="F33" s="51"/>
      <c r="G33" s="50">
        <f t="shared" si="3"/>
        <v>0</v>
      </c>
      <c r="H33" s="51"/>
      <c r="I33" s="51"/>
      <c r="J33" s="53">
        <f t="shared" si="4"/>
        <v>0</v>
      </c>
      <c r="K33" s="50">
        <f t="shared" si="5"/>
        <v>0</v>
      </c>
      <c r="L33" s="115"/>
      <c r="M33" s="53">
        <f t="shared" si="6"/>
        <v>25021.541513800228</v>
      </c>
      <c r="N33" s="110"/>
    </row>
    <row r="34" spans="1:34">
      <c r="A34" s="26">
        <v>31</v>
      </c>
      <c r="B34" s="27">
        <v>45992</v>
      </c>
      <c r="C34" s="50"/>
      <c r="D34" s="52" t="s">
        <v>144</v>
      </c>
      <c r="E34" s="51"/>
      <c r="F34" s="51"/>
      <c r="G34" s="50">
        <f t="shared" si="3"/>
        <v>0</v>
      </c>
      <c r="H34" s="51"/>
      <c r="I34" s="51"/>
      <c r="J34" s="53">
        <f t="shared" si="4"/>
        <v>0</v>
      </c>
      <c r="K34" s="50">
        <f t="shared" si="5"/>
        <v>0</v>
      </c>
      <c r="L34" s="115"/>
      <c r="M34" s="53">
        <f t="shared" si="6"/>
        <v>25021.541513800228</v>
      </c>
      <c r="N34" s="110"/>
    </row>
    <row r="35" spans="1:34">
      <c r="A35" s="26">
        <v>32</v>
      </c>
      <c r="B35" s="27"/>
      <c r="C35" s="50"/>
      <c r="D35" s="52" t="s">
        <v>144</v>
      </c>
      <c r="E35" s="51">
        <v>0</v>
      </c>
      <c r="F35" s="51">
        <v>0</v>
      </c>
      <c r="G35" s="50">
        <f t="shared" si="3"/>
        <v>0</v>
      </c>
      <c r="H35" s="51"/>
      <c r="I35" s="51"/>
      <c r="J35" s="53">
        <f t="shared" si="4"/>
        <v>0</v>
      </c>
      <c r="K35" s="50">
        <f t="shared" si="5"/>
        <v>0</v>
      </c>
      <c r="L35" s="115"/>
      <c r="M35" s="53">
        <f t="shared" si="6"/>
        <v>25021.541513800228</v>
      </c>
      <c r="N35" s="110"/>
    </row>
    <row r="36" spans="1:34">
      <c r="A36" s="46"/>
      <c r="B36" s="46"/>
      <c r="C36" s="46"/>
      <c r="D36" s="46"/>
      <c r="E36" s="47">
        <f>SUM(E4:E35)</f>
        <v>164.29</v>
      </c>
      <c r="F36" s="47"/>
      <c r="G36" s="47">
        <f>SUM(G4:G35)</f>
        <v>14999.677</v>
      </c>
      <c r="H36" s="47">
        <f>SUM(H4:H35)</f>
        <v>70</v>
      </c>
      <c r="I36" s="47"/>
      <c r="J36" s="47">
        <f>SUM(J4:J35)</f>
        <v>7226.7999999999993</v>
      </c>
      <c r="K36" s="47">
        <f>SUM(K4:K35)</f>
        <v>22226.476999999999</v>
      </c>
      <c r="L36" s="47">
        <f>SUM(L4:L35)</f>
        <v>100000</v>
      </c>
      <c r="M36" s="47"/>
      <c r="N36" s="47"/>
      <c r="O36" s="33"/>
    </row>
    <row r="37" spans="1:34" s="54" customFormat="1" ht="20.2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>
      <c r="J38" s="49"/>
      <c r="L38" s="49"/>
      <c r="M38" s="49"/>
    </row>
  </sheetData>
  <mergeCells count="2">
    <mergeCell ref="A1:N1"/>
    <mergeCell ref="A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38"/>
  <sheetViews>
    <sheetView workbookViewId="0">
      <selection activeCell="Q7" sqref="Q7"/>
    </sheetView>
  </sheetViews>
  <sheetFormatPr defaultRowHeight="15"/>
  <cols>
    <col min="7" max="7" width="18.42578125" customWidth="1"/>
    <col min="10" max="10" width="10.85546875" bestFit="1" customWidth="1"/>
    <col min="11" max="11" width="10.42578125" bestFit="1" customWidth="1"/>
    <col min="12" max="13" width="11.85546875" bestFit="1" customWidth="1"/>
  </cols>
  <sheetData>
    <row r="1" spans="1:34">
      <c r="A1" s="461" t="s">
        <v>32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</row>
    <row r="2" spans="1:34" ht="25.5">
      <c r="A2" s="93" t="s">
        <v>95</v>
      </c>
      <c r="B2" s="94" t="s">
        <v>96</v>
      </c>
      <c r="C2" s="94" t="s">
        <v>97</v>
      </c>
      <c r="D2" s="94" t="s">
        <v>98</v>
      </c>
      <c r="E2" s="94" t="s">
        <v>99</v>
      </c>
      <c r="F2" s="94" t="s">
        <v>100</v>
      </c>
      <c r="G2" s="94" t="s">
        <v>101</v>
      </c>
      <c r="H2" s="94" t="s">
        <v>102</v>
      </c>
      <c r="I2" s="94" t="s">
        <v>100</v>
      </c>
      <c r="J2" s="119" t="s">
        <v>101</v>
      </c>
      <c r="K2" s="94" t="s">
        <v>103</v>
      </c>
      <c r="L2" s="119" t="s">
        <v>104</v>
      </c>
      <c r="M2" s="118" t="s">
        <v>110</v>
      </c>
      <c r="N2" s="95" t="s">
        <v>106</v>
      </c>
      <c r="O2" s="33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</row>
    <row r="3" spans="1:34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62"/>
      <c r="K3" s="29">
        <v>324799.60000000009</v>
      </c>
      <c r="L3" s="50"/>
      <c r="M3" s="120">
        <f>+K3</f>
        <v>324799.60000000009</v>
      </c>
      <c r="N3" s="50"/>
      <c r="O3" s="33">
        <v>99992.614513800188</v>
      </c>
      <c r="P3" s="53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</row>
    <row r="4" spans="1:34">
      <c r="A4" s="26">
        <v>1</v>
      </c>
      <c r="B4" s="27">
        <v>45962</v>
      </c>
      <c r="C4" s="51" t="s">
        <v>144</v>
      </c>
      <c r="D4" s="52" t="s">
        <v>144</v>
      </c>
      <c r="E4" s="51">
        <v>1500</v>
      </c>
      <c r="F4" s="51">
        <v>91.33</v>
      </c>
      <c r="G4" s="50">
        <f t="shared" ref="G4" si="0">E4*F4</f>
        <v>136995</v>
      </c>
      <c r="H4" s="51">
        <v>105</v>
      </c>
      <c r="I4" s="51">
        <v>103.27</v>
      </c>
      <c r="J4" s="53">
        <f t="shared" ref="J4" si="1">H4*I4</f>
        <v>10843.35</v>
      </c>
      <c r="K4" s="50">
        <f t="shared" ref="K4" si="2">G4+J4</f>
        <v>147838.35</v>
      </c>
      <c r="L4" s="115"/>
      <c r="M4" s="53">
        <f>M3+K4-L4</f>
        <v>472637.95000000007</v>
      </c>
      <c r="N4" s="110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</row>
    <row r="5" spans="1:34">
      <c r="A5" s="26">
        <v>2</v>
      </c>
      <c r="B5" s="27">
        <v>45963</v>
      </c>
      <c r="C5" s="51" t="s">
        <v>144</v>
      </c>
      <c r="D5" s="52" t="s">
        <v>144</v>
      </c>
      <c r="E5" s="51"/>
      <c r="F5" s="51"/>
      <c r="G5" s="50">
        <f t="shared" ref="G5:G35" si="3">E5*F5</f>
        <v>0</v>
      </c>
      <c r="H5" s="51">
        <v>0</v>
      </c>
      <c r="I5" s="51">
        <v>0</v>
      </c>
      <c r="J5" s="53">
        <f t="shared" ref="J5:J35" si="4">H5*I5</f>
        <v>0</v>
      </c>
      <c r="K5" s="50">
        <f t="shared" ref="K5:K35" si="5">G5+J5</f>
        <v>0</v>
      </c>
      <c r="L5" s="115"/>
      <c r="M5" s="53">
        <f t="shared" ref="M5:M35" si="6">M4+K5-L5</f>
        <v>472637.95000000007</v>
      </c>
      <c r="N5" s="110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</row>
    <row r="6" spans="1:34">
      <c r="A6" s="26">
        <v>3</v>
      </c>
      <c r="B6" s="27">
        <v>45964</v>
      </c>
      <c r="C6" s="51" t="s">
        <v>144</v>
      </c>
      <c r="D6" s="52" t="s">
        <v>144</v>
      </c>
      <c r="E6" s="51"/>
      <c r="F6" s="51"/>
      <c r="G6" s="50">
        <f t="shared" si="3"/>
        <v>0</v>
      </c>
      <c r="H6" s="51">
        <v>0</v>
      </c>
      <c r="I6" s="51">
        <v>0</v>
      </c>
      <c r="J6" s="53">
        <f t="shared" si="4"/>
        <v>0</v>
      </c>
      <c r="K6" s="50">
        <f t="shared" si="5"/>
        <v>0</v>
      </c>
      <c r="L6" s="115"/>
      <c r="M6" s="53">
        <f t="shared" si="6"/>
        <v>472637.95000000007</v>
      </c>
      <c r="N6" s="117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</row>
    <row r="7" spans="1:34">
      <c r="A7" s="26">
        <v>4</v>
      </c>
      <c r="B7" s="27">
        <v>45965</v>
      </c>
      <c r="C7" s="51" t="s">
        <v>144</v>
      </c>
      <c r="D7" s="52" t="s">
        <v>144</v>
      </c>
      <c r="E7" s="51"/>
      <c r="F7" s="51"/>
      <c r="G7" s="50">
        <f t="shared" si="3"/>
        <v>0</v>
      </c>
      <c r="H7" s="51">
        <v>0</v>
      </c>
      <c r="I7" s="51">
        <v>0</v>
      </c>
      <c r="J7" s="53">
        <f t="shared" si="4"/>
        <v>0</v>
      </c>
      <c r="K7" s="50">
        <f t="shared" si="5"/>
        <v>0</v>
      </c>
      <c r="L7" s="115"/>
      <c r="M7" s="53">
        <f t="shared" si="6"/>
        <v>472637.95000000007</v>
      </c>
      <c r="N7" s="117"/>
      <c r="O7" s="49">
        <v>1</v>
      </c>
      <c r="P7" s="49" t="s">
        <v>145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</row>
    <row r="8" spans="1:34">
      <c r="A8" s="26">
        <v>5</v>
      </c>
      <c r="B8" s="27">
        <v>45966</v>
      </c>
      <c r="C8" s="51" t="s">
        <v>144</v>
      </c>
      <c r="D8" s="52" t="s">
        <v>144</v>
      </c>
      <c r="E8" s="51"/>
      <c r="F8" s="51"/>
      <c r="G8" s="50">
        <f t="shared" si="3"/>
        <v>0</v>
      </c>
      <c r="H8" s="51">
        <v>0</v>
      </c>
      <c r="I8" s="51">
        <v>0</v>
      </c>
      <c r="J8" s="53">
        <f t="shared" si="4"/>
        <v>0</v>
      </c>
      <c r="K8" s="50">
        <f t="shared" si="5"/>
        <v>0</v>
      </c>
      <c r="L8" s="115"/>
      <c r="M8" s="53">
        <f t="shared" si="6"/>
        <v>472637.95000000007</v>
      </c>
      <c r="N8" s="110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>
      <c r="A9" s="26">
        <v>6</v>
      </c>
      <c r="B9" s="27">
        <v>45967</v>
      </c>
      <c r="C9" s="51" t="s">
        <v>144</v>
      </c>
      <c r="D9" s="52" t="s">
        <v>144</v>
      </c>
      <c r="E9" s="51"/>
      <c r="F9" s="51"/>
      <c r="G9" s="50">
        <f t="shared" si="3"/>
        <v>0</v>
      </c>
      <c r="H9" s="51">
        <v>0</v>
      </c>
      <c r="I9" s="51">
        <v>0</v>
      </c>
      <c r="J9" s="53">
        <f t="shared" si="4"/>
        <v>0</v>
      </c>
      <c r="K9" s="50">
        <f t="shared" si="5"/>
        <v>0</v>
      </c>
      <c r="L9" s="115"/>
      <c r="M9" s="53">
        <f t="shared" si="6"/>
        <v>472637.95000000007</v>
      </c>
      <c r="N9" s="117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</row>
    <row r="10" spans="1:34">
      <c r="A10" s="26">
        <v>7</v>
      </c>
      <c r="B10" s="27">
        <v>45968</v>
      </c>
      <c r="C10" s="51" t="s">
        <v>144</v>
      </c>
      <c r="D10" s="52" t="s">
        <v>144</v>
      </c>
      <c r="E10" s="51">
        <v>800</v>
      </c>
      <c r="F10" s="51">
        <v>91.33</v>
      </c>
      <c r="G10" s="50">
        <f t="shared" si="3"/>
        <v>73064</v>
      </c>
      <c r="H10" s="51">
        <v>105</v>
      </c>
      <c r="I10" s="51">
        <v>103.27</v>
      </c>
      <c r="J10" s="53">
        <f t="shared" si="4"/>
        <v>10843.35</v>
      </c>
      <c r="K10" s="50">
        <f t="shared" si="5"/>
        <v>83907.35</v>
      </c>
      <c r="L10" s="115"/>
      <c r="M10" s="53">
        <f t="shared" si="6"/>
        <v>556545.30000000005</v>
      </c>
      <c r="N10" s="110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</row>
    <row r="11" spans="1:34">
      <c r="A11" s="26">
        <v>8</v>
      </c>
      <c r="B11" s="27">
        <v>45969</v>
      </c>
      <c r="C11" s="51" t="s">
        <v>144</v>
      </c>
      <c r="D11" s="52" t="s">
        <v>144</v>
      </c>
      <c r="E11" s="51"/>
      <c r="F11" s="51"/>
      <c r="G11" s="50">
        <f t="shared" si="3"/>
        <v>0</v>
      </c>
      <c r="H11" s="51">
        <v>0</v>
      </c>
      <c r="I11" s="51">
        <v>0</v>
      </c>
      <c r="J11" s="53">
        <f t="shared" si="4"/>
        <v>0</v>
      </c>
      <c r="K11" s="50">
        <f t="shared" si="5"/>
        <v>0</v>
      </c>
      <c r="L11" s="115"/>
      <c r="M11" s="53">
        <f t="shared" si="6"/>
        <v>556545.30000000005</v>
      </c>
      <c r="N11" s="116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</row>
    <row r="12" spans="1:34">
      <c r="A12" s="26">
        <v>9</v>
      </c>
      <c r="B12" s="27">
        <v>45970</v>
      </c>
      <c r="C12" s="51" t="s">
        <v>144</v>
      </c>
      <c r="D12" s="52" t="s">
        <v>144</v>
      </c>
      <c r="E12" s="51"/>
      <c r="F12" s="51"/>
      <c r="G12" s="50">
        <f t="shared" si="3"/>
        <v>0</v>
      </c>
      <c r="H12" s="51">
        <v>0</v>
      </c>
      <c r="I12" s="51">
        <v>0</v>
      </c>
      <c r="J12" s="53">
        <f t="shared" si="4"/>
        <v>0</v>
      </c>
      <c r="K12" s="50">
        <f t="shared" si="5"/>
        <v>0</v>
      </c>
      <c r="L12" s="115"/>
      <c r="M12" s="53">
        <f t="shared" si="6"/>
        <v>556545.30000000005</v>
      </c>
      <c r="N12" s="110"/>
      <c r="O12" s="49">
        <v>2</v>
      </c>
      <c r="P12" s="49" t="s">
        <v>145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</row>
    <row r="13" spans="1:34">
      <c r="A13" s="26">
        <v>10</v>
      </c>
      <c r="B13" s="27">
        <v>45971</v>
      </c>
      <c r="C13" s="51" t="s">
        <v>144</v>
      </c>
      <c r="D13" s="52" t="s">
        <v>144</v>
      </c>
      <c r="E13" s="51"/>
      <c r="F13" s="51"/>
      <c r="G13" s="50">
        <f t="shared" si="3"/>
        <v>0</v>
      </c>
      <c r="H13" s="51">
        <v>0</v>
      </c>
      <c r="I13" s="51">
        <v>0</v>
      </c>
      <c r="J13" s="53">
        <f t="shared" si="4"/>
        <v>0</v>
      </c>
      <c r="K13" s="50">
        <f t="shared" si="5"/>
        <v>0</v>
      </c>
      <c r="L13" s="115"/>
      <c r="M13" s="53">
        <f t="shared" si="6"/>
        <v>556545.30000000005</v>
      </c>
      <c r="N13" s="110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</row>
    <row r="14" spans="1:34">
      <c r="A14" s="26">
        <v>11</v>
      </c>
      <c r="B14" s="27">
        <v>45972</v>
      </c>
      <c r="C14" s="51" t="s">
        <v>144</v>
      </c>
      <c r="D14" s="52" t="s">
        <v>144</v>
      </c>
      <c r="E14" s="51">
        <v>500</v>
      </c>
      <c r="F14" s="51">
        <v>91.33</v>
      </c>
      <c r="G14" s="50">
        <f t="shared" si="3"/>
        <v>45665</v>
      </c>
      <c r="H14" s="51">
        <v>0</v>
      </c>
      <c r="I14" s="51">
        <v>0</v>
      </c>
      <c r="J14" s="53">
        <f t="shared" si="4"/>
        <v>0</v>
      </c>
      <c r="K14" s="50">
        <f t="shared" si="5"/>
        <v>45665</v>
      </c>
      <c r="L14" s="115"/>
      <c r="M14" s="53">
        <f t="shared" si="6"/>
        <v>602210.30000000005</v>
      </c>
      <c r="N14" s="110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1:34">
      <c r="A15" s="26">
        <v>12</v>
      </c>
      <c r="B15" s="27">
        <v>45973</v>
      </c>
      <c r="C15" s="51" t="s">
        <v>144</v>
      </c>
      <c r="D15" s="52" t="s">
        <v>144</v>
      </c>
      <c r="E15" s="51"/>
      <c r="F15" s="51"/>
      <c r="G15" s="50">
        <f t="shared" si="3"/>
        <v>0</v>
      </c>
      <c r="H15" s="51">
        <v>0</v>
      </c>
      <c r="I15" s="51">
        <v>0</v>
      </c>
      <c r="J15" s="53">
        <f t="shared" si="4"/>
        <v>0</v>
      </c>
      <c r="K15" s="50">
        <f t="shared" si="5"/>
        <v>0</v>
      </c>
      <c r="L15" s="115"/>
      <c r="M15" s="53">
        <f t="shared" si="6"/>
        <v>602210.30000000005</v>
      </c>
      <c r="N15" s="110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</row>
    <row r="16" spans="1:34">
      <c r="A16" s="26">
        <v>13</v>
      </c>
      <c r="B16" s="27">
        <v>45974</v>
      </c>
      <c r="C16" s="51" t="s">
        <v>144</v>
      </c>
      <c r="D16" s="52" t="s">
        <v>144</v>
      </c>
      <c r="E16" s="51">
        <v>218.99</v>
      </c>
      <c r="F16" s="51">
        <v>91.33</v>
      </c>
      <c r="G16" s="50">
        <f t="shared" si="3"/>
        <v>20000.3567</v>
      </c>
      <c r="H16" s="51">
        <v>0</v>
      </c>
      <c r="I16" s="51">
        <v>0</v>
      </c>
      <c r="J16" s="53">
        <f t="shared" si="4"/>
        <v>0</v>
      </c>
      <c r="K16" s="50">
        <f t="shared" si="5"/>
        <v>20000.3567</v>
      </c>
      <c r="L16" s="115">
        <v>20000</v>
      </c>
      <c r="M16" s="53">
        <f t="shared" si="6"/>
        <v>602210.65670000005</v>
      </c>
      <c r="N16" s="110"/>
      <c r="O16" s="49">
        <v>3</v>
      </c>
      <c r="P16" s="49" t="s">
        <v>145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 spans="1:34">
      <c r="A17" s="26">
        <v>14</v>
      </c>
      <c r="B17" s="27">
        <v>45975</v>
      </c>
      <c r="C17" s="51" t="s">
        <v>144</v>
      </c>
      <c r="D17" s="52" t="s">
        <v>144</v>
      </c>
      <c r="E17" s="51"/>
      <c r="F17" s="51"/>
      <c r="G17" s="50">
        <f t="shared" si="3"/>
        <v>0</v>
      </c>
      <c r="H17" s="51">
        <v>0</v>
      </c>
      <c r="I17" s="51">
        <v>0</v>
      </c>
      <c r="J17" s="53">
        <f t="shared" si="4"/>
        <v>0</v>
      </c>
      <c r="K17" s="50">
        <f t="shared" si="5"/>
        <v>0</v>
      </c>
      <c r="L17" s="115"/>
      <c r="M17" s="53">
        <f t="shared" si="6"/>
        <v>602210.65670000005</v>
      </c>
      <c r="N17" s="110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</row>
    <row r="18" spans="1:34">
      <c r="A18" s="26">
        <v>15</v>
      </c>
      <c r="B18" s="27">
        <v>45976</v>
      </c>
      <c r="C18" s="51" t="s">
        <v>144</v>
      </c>
      <c r="D18" s="52" t="s">
        <v>144</v>
      </c>
      <c r="E18" s="51"/>
      <c r="F18" s="51"/>
      <c r="G18" s="50">
        <f t="shared" si="3"/>
        <v>0</v>
      </c>
      <c r="H18" s="51">
        <v>0</v>
      </c>
      <c r="I18" s="51">
        <v>0</v>
      </c>
      <c r="J18" s="53">
        <f t="shared" si="4"/>
        <v>0</v>
      </c>
      <c r="K18" s="50">
        <f t="shared" si="5"/>
        <v>0</v>
      </c>
      <c r="L18" s="115">
        <v>400000</v>
      </c>
      <c r="M18" s="53">
        <f t="shared" si="6"/>
        <v>202210.65670000005</v>
      </c>
      <c r="N18" s="110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</row>
    <row r="19" spans="1:34">
      <c r="A19" s="26">
        <v>16</v>
      </c>
      <c r="B19" s="27">
        <v>45977</v>
      </c>
      <c r="C19" s="51" t="s">
        <v>144</v>
      </c>
      <c r="D19" s="52" t="s">
        <v>144</v>
      </c>
      <c r="E19" s="51"/>
      <c r="F19" s="51"/>
      <c r="G19" s="50">
        <f t="shared" si="3"/>
        <v>0</v>
      </c>
      <c r="H19" s="51">
        <v>0</v>
      </c>
      <c r="I19" s="51">
        <v>0</v>
      </c>
      <c r="J19" s="53">
        <f t="shared" si="4"/>
        <v>0</v>
      </c>
      <c r="K19" s="50">
        <f t="shared" si="5"/>
        <v>0</v>
      </c>
      <c r="L19" s="115"/>
      <c r="M19" s="53">
        <f t="shared" si="6"/>
        <v>202210.65670000005</v>
      </c>
      <c r="N19" s="110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</row>
    <row r="20" spans="1:34">
      <c r="A20" s="26">
        <v>17</v>
      </c>
      <c r="B20" s="27">
        <v>45978</v>
      </c>
      <c r="C20" s="51" t="s">
        <v>144</v>
      </c>
      <c r="D20" s="52" t="s">
        <v>144</v>
      </c>
      <c r="E20" s="51">
        <v>1000</v>
      </c>
      <c r="F20" s="51">
        <v>91.33</v>
      </c>
      <c r="G20" s="50">
        <f t="shared" si="3"/>
        <v>91330</v>
      </c>
      <c r="H20" s="51">
        <v>35</v>
      </c>
      <c r="I20" s="51">
        <v>103.27</v>
      </c>
      <c r="J20" s="53">
        <f t="shared" si="4"/>
        <v>3614.45</v>
      </c>
      <c r="K20" s="50">
        <f t="shared" si="5"/>
        <v>94944.45</v>
      </c>
      <c r="L20" s="115"/>
      <c r="M20" s="53">
        <f t="shared" si="6"/>
        <v>297155.10670000006</v>
      </c>
      <c r="N20" s="110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  <row r="21" spans="1:34">
      <c r="A21" s="26">
        <v>18</v>
      </c>
      <c r="B21" s="27">
        <v>45979</v>
      </c>
      <c r="C21" s="51" t="s">
        <v>144</v>
      </c>
      <c r="D21" s="52" t="s">
        <v>144</v>
      </c>
      <c r="E21" s="51"/>
      <c r="F21" s="51"/>
      <c r="G21" s="50">
        <f t="shared" si="3"/>
        <v>0</v>
      </c>
      <c r="H21" s="51">
        <v>0</v>
      </c>
      <c r="I21" s="51">
        <v>0</v>
      </c>
      <c r="J21" s="53">
        <f t="shared" si="4"/>
        <v>0</v>
      </c>
      <c r="K21" s="50">
        <f t="shared" si="5"/>
        <v>0</v>
      </c>
      <c r="L21" s="115"/>
      <c r="M21" s="53">
        <f t="shared" si="6"/>
        <v>297155.10670000006</v>
      </c>
      <c r="N21" s="110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</row>
    <row r="22" spans="1:34">
      <c r="A22" s="26">
        <v>19</v>
      </c>
      <c r="B22" s="27">
        <v>45980</v>
      </c>
      <c r="C22" s="51" t="s">
        <v>144</v>
      </c>
      <c r="D22" s="52" t="s">
        <v>144</v>
      </c>
      <c r="E22" s="51">
        <v>1500</v>
      </c>
      <c r="F22" s="51">
        <v>91.33</v>
      </c>
      <c r="G22" s="50">
        <f t="shared" si="3"/>
        <v>136995</v>
      </c>
      <c r="H22" s="51">
        <v>70</v>
      </c>
      <c r="I22" s="51">
        <v>103.27</v>
      </c>
      <c r="J22" s="53">
        <f t="shared" si="4"/>
        <v>7228.9</v>
      </c>
      <c r="K22" s="50">
        <f t="shared" si="5"/>
        <v>144223.9</v>
      </c>
      <c r="L22" s="115"/>
      <c r="M22" s="53">
        <f t="shared" si="6"/>
        <v>441379.00670000003</v>
      </c>
      <c r="N22" s="110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</row>
    <row r="23" spans="1:34">
      <c r="A23" s="26">
        <v>20</v>
      </c>
      <c r="B23" s="27">
        <v>45981</v>
      </c>
      <c r="C23" s="51" t="s">
        <v>144</v>
      </c>
      <c r="D23" s="52" t="s">
        <v>144</v>
      </c>
      <c r="E23" s="51"/>
      <c r="F23" s="51"/>
      <c r="G23" s="50">
        <f t="shared" si="3"/>
        <v>0</v>
      </c>
      <c r="H23" s="51">
        <v>0</v>
      </c>
      <c r="I23" s="51">
        <v>0</v>
      </c>
      <c r="J23" s="53">
        <f t="shared" si="4"/>
        <v>0</v>
      </c>
      <c r="K23" s="50">
        <f t="shared" si="5"/>
        <v>0</v>
      </c>
      <c r="L23" s="115"/>
      <c r="M23" s="53">
        <f t="shared" si="6"/>
        <v>441379.00670000003</v>
      </c>
      <c r="N23" s="110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</row>
    <row r="24" spans="1:34">
      <c r="A24" s="26">
        <v>21</v>
      </c>
      <c r="B24" s="27">
        <v>45982</v>
      </c>
      <c r="C24" s="51" t="s">
        <v>144</v>
      </c>
      <c r="D24" s="52" t="s">
        <v>144</v>
      </c>
      <c r="E24" s="51"/>
      <c r="F24" s="51"/>
      <c r="G24" s="50">
        <f t="shared" si="3"/>
        <v>0</v>
      </c>
      <c r="H24" s="51">
        <v>0</v>
      </c>
      <c r="I24" s="51">
        <v>0</v>
      </c>
      <c r="J24" s="53">
        <f t="shared" si="4"/>
        <v>0</v>
      </c>
      <c r="K24" s="50">
        <f t="shared" si="5"/>
        <v>0</v>
      </c>
      <c r="L24" s="115">
        <v>300000</v>
      </c>
      <c r="M24" s="53">
        <f t="shared" si="6"/>
        <v>141379.00670000003</v>
      </c>
      <c r="N24" s="110"/>
      <c r="O24" s="49">
        <v>4</v>
      </c>
      <c r="P24" s="49" t="s">
        <v>145</v>
      </c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</row>
    <row r="25" spans="1:34">
      <c r="A25" s="26">
        <v>22</v>
      </c>
      <c r="B25" s="27">
        <v>45983</v>
      </c>
      <c r="C25" s="51" t="s">
        <v>144</v>
      </c>
      <c r="D25" s="52" t="s">
        <v>144</v>
      </c>
      <c r="E25" s="51"/>
      <c r="F25" s="51"/>
      <c r="G25" s="50">
        <f t="shared" si="3"/>
        <v>0</v>
      </c>
      <c r="H25" s="51">
        <v>0</v>
      </c>
      <c r="I25" s="51">
        <v>0</v>
      </c>
      <c r="J25" s="53">
        <f t="shared" si="4"/>
        <v>0</v>
      </c>
      <c r="K25" s="50">
        <f t="shared" si="5"/>
        <v>0</v>
      </c>
      <c r="L25" s="115"/>
      <c r="M25" s="53">
        <f t="shared" si="6"/>
        <v>141379.00670000003</v>
      </c>
      <c r="N25" s="110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</row>
    <row r="26" spans="1:34">
      <c r="A26" s="26">
        <v>23</v>
      </c>
      <c r="B26" s="27">
        <v>45984</v>
      </c>
      <c r="C26" s="51" t="s">
        <v>144</v>
      </c>
      <c r="D26" s="52" t="s">
        <v>144</v>
      </c>
      <c r="E26" s="51"/>
      <c r="F26" s="51"/>
      <c r="G26" s="50">
        <f t="shared" si="3"/>
        <v>0</v>
      </c>
      <c r="H26" s="51">
        <v>0</v>
      </c>
      <c r="I26" s="51">
        <v>0</v>
      </c>
      <c r="J26" s="53">
        <f t="shared" si="4"/>
        <v>0</v>
      </c>
      <c r="K26" s="50">
        <f t="shared" si="5"/>
        <v>0</v>
      </c>
      <c r="L26" s="115"/>
      <c r="M26" s="53">
        <f t="shared" si="6"/>
        <v>141379.00670000003</v>
      </c>
      <c r="N26" s="110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</row>
    <row r="27" spans="1:34">
      <c r="A27" s="26">
        <v>24</v>
      </c>
      <c r="B27" s="27">
        <v>45985</v>
      </c>
      <c r="C27" s="51" t="s">
        <v>144</v>
      </c>
      <c r="D27" s="52" t="s">
        <v>144</v>
      </c>
      <c r="E27" s="51"/>
      <c r="F27" s="51"/>
      <c r="G27" s="50">
        <f t="shared" si="3"/>
        <v>0</v>
      </c>
      <c r="H27" s="51">
        <v>0</v>
      </c>
      <c r="I27" s="51">
        <v>0</v>
      </c>
      <c r="J27" s="53">
        <f t="shared" si="4"/>
        <v>0</v>
      </c>
      <c r="K27" s="50">
        <f t="shared" si="5"/>
        <v>0</v>
      </c>
      <c r="L27" s="115"/>
      <c r="M27" s="53">
        <f t="shared" si="6"/>
        <v>141379.00670000003</v>
      </c>
      <c r="N27" s="110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</row>
    <row r="28" spans="1:34">
      <c r="A28" s="26">
        <v>25</v>
      </c>
      <c r="B28" s="27">
        <v>45986</v>
      </c>
      <c r="C28" s="51"/>
      <c r="D28" s="52"/>
      <c r="E28" s="51">
        <v>600</v>
      </c>
      <c r="F28" s="51">
        <v>91.33</v>
      </c>
      <c r="G28" s="50">
        <f t="shared" si="3"/>
        <v>54798</v>
      </c>
      <c r="H28" s="51">
        <v>70</v>
      </c>
      <c r="I28" s="51">
        <v>103.27</v>
      </c>
      <c r="J28" s="53">
        <f t="shared" si="4"/>
        <v>7228.9</v>
      </c>
      <c r="K28" s="50">
        <f t="shared" si="5"/>
        <v>62026.9</v>
      </c>
      <c r="L28" s="115"/>
      <c r="M28" s="53">
        <f t="shared" si="6"/>
        <v>203405.90670000002</v>
      </c>
      <c r="N28" s="110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</row>
    <row r="29" spans="1:34">
      <c r="A29" s="26">
        <v>26</v>
      </c>
      <c r="B29" s="27">
        <v>45987</v>
      </c>
      <c r="C29" s="51" t="s">
        <v>144</v>
      </c>
      <c r="D29" s="52" t="s">
        <v>144</v>
      </c>
      <c r="E29" s="51"/>
      <c r="F29" s="51"/>
      <c r="G29" s="50">
        <f t="shared" si="3"/>
        <v>0</v>
      </c>
      <c r="H29" s="51">
        <v>0</v>
      </c>
      <c r="I29" s="51">
        <v>0</v>
      </c>
      <c r="J29" s="53">
        <f t="shared" si="4"/>
        <v>0</v>
      </c>
      <c r="K29" s="50">
        <f t="shared" si="5"/>
        <v>0</v>
      </c>
      <c r="L29" s="115"/>
      <c r="M29" s="53">
        <f t="shared" si="6"/>
        <v>203405.90670000002</v>
      </c>
      <c r="N29" s="110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</row>
    <row r="30" spans="1:34">
      <c r="A30" s="26">
        <v>27</v>
      </c>
      <c r="B30" s="27">
        <v>45988</v>
      </c>
      <c r="C30" s="51" t="s">
        <v>144</v>
      </c>
      <c r="D30" s="52" t="s">
        <v>144</v>
      </c>
      <c r="E30" s="51">
        <v>1500</v>
      </c>
      <c r="F30" s="51">
        <v>91.33</v>
      </c>
      <c r="G30" s="50">
        <f t="shared" si="3"/>
        <v>136995</v>
      </c>
      <c r="H30" s="51">
        <v>0</v>
      </c>
      <c r="I30" s="51">
        <v>0</v>
      </c>
      <c r="J30" s="53">
        <f t="shared" si="4"/>
        <v>0</v>
      </c>
      <c r="K30" s="50">
        <f t="shared" si="5"/>
        <v>136995</v>
      </c>
      <c r="L30" s="115"/>
      <c r="M30" s="53">
        <f t="shared" si="6"/>
        <v>340400.90670000005</v>
      </c>
      <c r="N30" s="110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</row>
    <row r="31" spans="1:34">
      <c r="A31" s="26">
        <v>28</v>
      </c>
      <c r="B31" s="27">
        <v>45989</v>
      </c>
      <c r="C31" s="51" t="s">
        <v>144</v>
      </c>
      <c r="D31" s="52" t="s">
        <v>144</v>
      </c>
      <c r="E31" s="51"/>
      <c r="F31" s="51"/>
      <c r="G31" s="50">
        <f t="shared" si="3"/>
        <v>0</v>
      </c>
      <c r="H31" s="51">
        <v>0</v>
      </c>
      <c r="I31" s="51">
        <v>0</v>
      </c>
      <c r="J31" s="53">
        <f t="shared" si="4"/>
        <v>0</v>
      </c>
      <c r="K31" s="50">
        <f t="shared" si="5"/>
        <v>0</v>
      </c>
      <c r="L31" s="115"/>
      <c r="M31" s="53">
        <f t="shared" si="6"/>
        <v>340400.90670000005</v>
      </c>
      <c r="N31" s="110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</row>
    <row r="32" spans="1:34">
      <c r="A32" s="26">
        <v>29</v>
      </c>
      <c r="B32" s="27">
        <v>45990</v>
      </c>
      <c r="C32" s="50"/>
      <c r="D32" s="52" t="s">
        <v>144</v>
      </c>
      <c r="E32" s="51"/>
      <c r="F32" s="51"/>
      <c r="G32" s="50">
        <f t="shared" si="3"/>
        <v>0</v>
      </c>
      <c r="H32" s="51">
        <v>0</v>
      </c>
      <c r="I32" s="51">
        <v>0</v>
      </c>
      <c r="J32" s="53">
        <f t="shared" si="4"/>
        <v>0</v>
      </c>
      <c r="K32" s="50">
        <f t="shared" si="5"/>
        <v>0</v>
      </c>
      <c r="L32" s="115"/>
      <c r="M32" s="53">
        <f t="shared" si="6"/>
        <v>340400.90670000005</v>
      </c>
      <c r="N32" s="110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</row>
    <row r="33" spans="1:34">
      <c r="A33" s="26">
        <v>30</v>
      </c>
      <c r="B33" s="27">
        <v>45991</v>
      </c>
      <c r="C33" s="50"/>
      <c r="D33" s="52" t="s">
        <v>144</v>
      </c>
      <c r="E33" s="51"/>
      <c r="F33" s="51"/>
      <c r="G33" s="50">
        <f t="shared" si="3"/>
        <v>0</v>
      </c>
      <c r="H33" s="51">
        <v>0</v>
      </c>
      <c r="I33" s="51">
        <v>0</v>
      </c>
      <c r="J33" s="53">
        <f t="shared" si="4"/>
        <v>0</v>
      </c>
      <c r="K33" s="50">
        <f t="shared" si="5"/>
        <v>0</v>
      </c>
      <c r="L33" s="115"/>
      <c r="M33" s="53">
        <f t="shared" si="6"/>
        <v>340400.90670000005</v>
      </c>
      <c r="N33" s="110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</row>
    <row r="34" spans="1:34">
      <c r="A34" s="26">
        <v>31</v>
      </c>
      <c r="B34" s="27">
        <v>45992</v>
      </c>
      <c r="C34" s="50"/>
      <c r="D34" s="52" t="s">
        <v>144</v>
      </c>
      <c r="E34" s="51"/>
      <c r="F34" s="51"/>
      <c r="G34" s="50">
        <f t="shared" si="3"/>
        <v>0</v>
      </c>
      <c r="H34" s="51">
        <v>0</v>
      </c>
      <c r="I34" s="51">
        <v>0</v>
      </c>
      <c r="J34" s="53">
        <f t="shared" si="4"/>
        <v>0</v>
      </c>
      <c r="K34" s="50">
        <f t="shared" si="5"/>
        <v>0</v>
      </c>
      <c r="L34" s="115"/>
      <c r="M34" s="53">
        <f t="shared" si="6"/>
        <v>340400.90670000005</v>
      </c>
      <c r="N34" s="110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</row>
    <row r="35" spans="1:34">
      <c r="A35" s="26">
        <v>32</v>
      </c>
      <c r="B35" s="27"/>
      <c r="C35" s="50"/>
      <c r="D35" s="52" t="s">
        <v>144</v>
      </c>
      <c r="E35" s="51"/>
      <c r="F35" s="51"/>
      <c r="G35" s="50">
        <f t="shared" si="3"/>
        <v>0</v>
      </c>
      <c r="H35" s="51">
        <v>0</v>
      </c>
      <c r="I35" s="51">
        <v>0</v>
      </c>
      <c r="J35" s="53">
        <f t="shared" si="4"/>
        <v>0</v>
      </c>
      <c r="K35" s="50">
        <f t="shared" si="5"/>
        <v>0</v>
      </c>
      <c r="L35" s="115"/>
      <c r="M35" s="53">
        <f t="shared" si="6"/>
        <v>340400.90670000005</v>
      </c>
      <c r="N35" s="110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</row>
    <row r="36" spans="1:34">
      <c r="A36" s="46"/>
      <c r="B36" s="46"/>
      <c r="C36" s="46"/>
      <c r="D36" s="46"/>
      <c r="E36" s="47">
        <f>SUM(E4:E35)</f>
        <v>7618.99</v>
      </c>
      <c r="F36" s="47"/>
      <c r="G36" s="47">
        <f>SUM(G4:G35)</f>
        <v>695842.3567</v>
      </c>
      <c r="H36" s="47">
        <f>SUM(H4:H35)</f>
        <v>385</v>
      </c>
      <c r="I36" s="47"/>
      <c r="J36" s="47">
        <f>SUM(J4:J35)</f>
        <v>39758.950000000004</v>
      </c>
      <c r="K36" s="47">
        <f>SUM(K4:K35)</f>
        <v>735601.30670000007</v>
      </c>
      <c r="L36" s="47">
        <f>SUM(L4:L35)</f>
        <v>720000</v>
      </c>
      <c r="M36" s="47"/>
      <c r="N36" s="47"/>
      <c r="O36" s="33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</row>
    <row r="37" spans="1:34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</row>
  </sheetData>
  <mergeCells count="2">
    <mergeCell ref="A1:N1"/>
    <mergeCell ref="A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B3" activePane="bottomLeft" state="frozen"/>
      <selection pane="bottomLeft" activeCell="B4" sqref="B4"/>
    </sheetView>
  </sheetViews>
  <sheetFormatPr defaultColWidth="9.140625" defaultRowHeight="12.75"/>
  <cols>
    <col min="1" max="1" width="5.28515625" style="33" bestFit="1" customWidth="1"/>
    <col min="2" max="2" width="11.85546875" style="33" bestFit="1" customWidth="1"/>
    <col min="3" max="3" width="10.7109375" style="33" bestFit="1" customWidth="1"/>
    <col min="4" max="4" width="21.5703125" style="33" customWidth="1"/>
    <col min="5" max="5" width="10.85546875" style="33" bestFit="1" customWidth="1"/>
    <col min="6" max="6" width="13.7109375" style="33" bestFit="1" customWidth="1"/>
    <col min="7" max="7" width="15.28515625" style="33" customWidth="1"/>
    <col min="8" max="8" width="10.85546875" style="33" bestFit="1" customWidth="1"/>
    <col min="9" max="9" width="8.140625" style="33" bestFit="1" customWidth="1"/>
    <col min="10" max="10" width="10.85546875" style="33" bestFit="1" customWidth="1"/>
    <col min="11" max="11" width="13.85546875" style="33" bestFit="1" customWidth="1"/>
    <col min="12" max="12" width="12.7109375" style="33" bestFit="1" customWidth="1"/>
    <col min="13" max="13" width="12.7109375" style="33" customWidth="1"/>
    <col min="14" max="14" width="17.7109375" style="33" bestFit="1" customWidth="1"/>
    <col min="15" max="15" width="13.7109375" style="33" customWidth="1"/>
    <col min="16" max="16384" width="9.140625" style="33"/>
  </cols>
  <sheetData>
    <row r="1" spans="1:24" ht="12.75" customHeight="1">
      <c r="A1" s="454" t="s">
        <v>34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24">
      <c r="A2" s="109" t="s">
        <v>95</v>
      </c>
      <c r="B2" s="113" t="s">
        <v>96</v>
      </c>
      <c r="C2" s="113" t="s">
        <v>97</v>
      </c>
      <c r="D2" s="113" t="s">
        <v>98</v>
      </c>
      <c r="E2" s="113" t="s">
        <v>99</v>
      </c>
      <c r="F2" s="113" t="s">
        <v>100</v>
      </c>
      <c r="G2" s="113" t="s">
        <v>101</v>
      </c>
      <c r="H2" s="113" t="s">
        <v>102</v>
      </c>
      <c r="I2" s="113" t="s">
        <v>100</v>
      </c>
      <c r="J2" s="113" t="s">
        <v>101</v>
      </c>
      <c r="K2" s="113" t="s">
        <v>103</v>
      </c>
      <c r="L2" s="113" t="s">
        <v>104</v>
      </c>
      <c r="M2" s="113" t="s">
        <v>110</v>
      </c>
      <c r="N2" s="113" t="s">
        <v>106</v>
      </c>
    </row>
    <row r="3" spans="1:24" ht="15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7"/>
      <c r="K3" s="158">
        <v>2258.5999999999767</v>
      </c>
      <c r="L3" s="157"/>
      <c r="M3" s="157">
        <f>+K3</f>
        <v>2258.5999999999767</v>
      </c>
      <c r="N3" s="114"/>
    </row>
    <row r="4" spans="1:24" ht="15">
      <c r="A4" s="26">
        <v>1</v>
      </c>
      <c r="B4" s="27">
        <v>45962</v>
      </c>
      <c r="C4" s="279"/>
      <c r="D4" s="280"/>
      <c r="E4" s="36"/>
      <c r="F4" s="36"/>
      <c r="G4" s="36">
        <f>E4*F4</f>
        <v>0</v>
      </c>
      <c r="H4" s="129">
        <v>0</v>
      </c>
      <c r="I4" s="129"/>
      <c r="J4" s="36">
        <f>H4*I4</f>
        <v>0</v>
      </c>
      <c r="K4" s="37">
        <f>G4+J4</f>
        <v>0</v>
      </c>
      <c r="L4" s="37">
        <v>0</v>
      </c>
      <c r="M4" s="37">
        <f>M3+K4-L4</f>
        <v>2258.5999999999767</v>
      </c>
      <c r="N4" s="48"/>
    </row>
    <row r="5" spans="1:24" ht="15">
      <c r="A5" s="26">
        <v>2</v>
      </c>
      <c r="B5" s="27">
        <v>45963</v>
      </c>
      <c r="C5" s="279"/>
      <c r="D5" s="280"/>
      <c r="E5" s="36"/>
      <c r="F5" s="36"/>
      <c r="G5" s="36">
        <f t="shared" ref="G5:G7" si="0">E5*F5</f>
        <v>0</v>
      </c>
      <c r="H5" s="129">
        <v>0</v>
      </c>
      <c r="I5" s="129">
        <v>0</v>
      </c>
      <c r="J5" s="36">
        <f t="shared" ref="J5:J7" si="1">H5*I5</f>
        <v>0</v>
      </c>
      <c r="K5" s="37">
        <f t="shared" ref="K5:K7" si="2">G5+J5</f>
        <v>0</v>
      </c>
      <c r="L5" s="37">
        <v>0</v>
      </c>
      <c r="M5" s="37">
        <f t="shared" ref="M5:M34" si="3">M4+K5-L5</f>
        <v>2258.5999999999767</v>
      </c>
      <c r="N5" s="48"/>
    </row>
    <row r="6" spans="1:24" ht="15">
      <c r="A6" s="26">
        <v>3</v>
      </c>
      <c r="B6" s="27">
        <v>45964</v>
      </c>
      <c r="C6" s="279"/>
      <c r="D6" s="280"/>
      <c r="E6" s="36"/>
      <c r="F6" s="36"/>
      <c r="G6" s="36">
        <f t="shared" si="0"/>
        <v>0</v>
      </c>
      <c r="H6" s="129">
        <v>0</v>
      </c>
      <c r="I6" s="129">
        <v>0</v>
      </c>
      <c r="J6" s="36">
        <f t="shared" si="1"/>
        <v>0</v>
      </c>
      <c r="K6" s="37">
        <f t="shared" si="2"/>
        <v>0</v>
      </c>
      <c r="L6" s="37">
        <v>0</v>
      </c>
      <c r="M6" s="37">
        <f t="shared" si="3"/>
        <v>2258.5999999999767</v>
      </c>
      <c r="N6" s="48"/>
    </row>
    <row r="7" spans="1:24" ht="15">
      <c r="A7" s="26">
        <v>4</v>
      </c>
      <c r="B7" s="27">
        <v>45965</v>
      </c>
      <c r="C7" s="279"/>
      <c r="D7" s="280"/>
      <c r="E7" s="36"/>
      <c r="F7" s="36"/>
      <c r="G7" s="36">
        <f t="shared" si="0"/>
        <v>0</v>
      </c>
      <c r="H7" s="129">
        <v>0</v>
      </c>
      <c r="I7" s="129">
        <v>0</v>
      </c>
      <c r="J7" s="36">
        <f t="shared" si="1"/>
        <v>0</v>
      </c>
      <c r="K7" s="37">
        <f t="shared" si="2"/>
        <v>0</v>
      </c>
      <c r="L7" s="37">
        <v>0</v>
      </c>
      <c r="M7" s="37">
        <f t="shared" si="3"/>
        <v>2258.5999999999767</v>
      </c>
      <c r="N7" s="48"/>
    </row>
    <row r="8" spans="1:24" ht="15">
      <c r="A8" s="26">
        <v>5</v>
      </c>
      <c r="B8" s="27">
        <v>45966</v>
      </c>
      <c r="C8" s="279"/>
      <c r="D8" s="280"/>
      <c r="E8" s="36"/>
      <c r="F8" s="36"/>
      <c r="G8" s="36">
        <f t="shared" ref="G8:G34" si="4">E8*F8</f>
        <v>0</v>
      </c>
      <c r="H8" s="129">
        <v>0</v>
      </c>
      <c r="I8" s="129">
        <v>0</v>
      </c>
      <c r="J8" s="36">
        <f t="shared" ref="J8:J34" si="5">H8*I8</f>
        <v>0</v>
      </c>
      <c r="K8" s="37">
        <f t="shared" ref="K8:K34" si="6">G8+J8</f>
        <v>0</v>
      </c>
      <c r="L8" s="37">
        <v>0</v>
      </c>
      <c r="M8" s="37">
        <f t="shared" si="3"/>
        <v>2258.5999999999767</v>
      </c>
      <c r="N8" s="48"/>
    </row>
    <row r="9" spans="1:24" ht="15">
      <c r="A9" s="26">
        <v>6</v>
      </c>
      <c r="B9" s="27">
        <v>45967</v>
      </c>
      <c r="C9" s="279"/>
      <c r="D9" s="280"/>
      <c r="E9" s="36"/>
      <c r="F9" s="36"/>
      <c r="G9" s="36">
        <f t="shared" si="4"/>
        <v>0</v>
      </c>
      <c r="H9" s="129">
        <v>0</v>
      </c>
      <c r="I9" s="129">
        <v>0</v>
      </c>
      <c r="J9" s="36">
        <f t="shared" si="5"/>
        <v>0</v>
      </c>
      <c r="K9" s="37">
        <f t="shared" si="6"/>
        <v>0</v>
      </c>
      <c r="L9" s="37">
        <v>0</v>
      </c>
      <c r="M9" s="37">
        <f t="shared" si="3"/>
        <v>2258.5999999999767</v>
      </c>
      <c r="N9" s="48"/>
    </row>
    <row r="10" spans="1:24" ht="15">
      <c r="A10" s="26">
        <v>7</v>
      </c>
      <c r="B10" s="27">
        <v>45968</v>
      </c>
      <c r="C10" s="279"/>
      <c r="D10" s="280"/>
      <c r="E10" s="36"/>
      <c r="F10" s="36"/>
      <c r="G10" s="36">
        <f t="shared" si="4"/>
        <v>0</v>
      </c>
      <c r="H10" s="129"/>
      <c r="I10" s="129"/>
      <c r="J10" s="36">
        <f t="shared" si="5"/>
        <v>0</v>
      </c>
      <c r="K10" s="37">
        <f t="shared" si="6"/>
        <v>0</v>
      </c>
      <c r="L10" s="37">
        <v>0</v>
      </c>
      <c r="M10" s="37">
        <f t="shared" si="3"/>
        <v>2258.5999999999767</v>
      </c>
      <c r="N10" s="48"/>
    </row>
    <row r="11" spans="1:24" ht="15">
      <c r="A11" s="26">
        <v>8</v>
      </c>
      <c r="B11" s="27">
        <v>45969</v>
      </c>
      <c r="C11" s="279"/>
      <c r="D11" s="280"/>
      <c r="E11" s="36"/>
      <c r="F11" s="36"/>
      <c r="G11" s="36">
        <f t="shared" si="4"/>
        <v>0</v>
      </c>
      <c r="H11" s="129">
        <v>0</v>
      </c>
      <c r="I11" s="129">
        <v>0</v>
      </c>
      <c r="J11" s="36">
        <f t="shared" si="5"/>
        <v>0</v>
      </c>
      <c r="K11" s="37">
        <f t="shared" si="6"/>
        <v>0</v>
      </c>
      <c r="L11" s="37">
        <v>0</v>
      </c>
      <c r="M11" s="37">
        <f t="shared" si="3"/>
        <v>2258.5999999999767</v>
      </c>
      <c r="N11" s="48"/>
    </row>
    <row r="12" spans="1:24" ht="15">
      <c r="A12" s="26">
        <v>9</v>
      </c>
      <c r="B12" s="27">
        <v>45970</v>
      </c>
      <c r="C12" s="279"/>
      <c r="D12" s="280"/>
      <c r="E12" s="36"/>
      <c r="F12" s="36"/>
      <c r="G12" s="36">
        <f t="shared" si="4"/>
        <v>0</v>
      </c>
      <c r="H12" s="129">
        <v>0</v>
      </c>
      <c r="I12" s="129">
        <v>0</v>
      </c>
      <c r="J12" s="36">
        <f t="shared" si="5"/>
        <v>0</v>
      </c>
      <c r="K12" s="37">
        <f t="shared" si="6"/>
        <v>0</v>
      </c>
      <c r="L12" s="37">
        <v>0</v>
      </c>
      <c r="M12" s="37">
        <f t="shared" si="3"/>
        <v>2258.5999999999767</v>
      </c>
      <c r="N12" s="48"/>
    </row>
    <row r="13" spans="1:24" ht="15">
      <c r="A13" s="26">
        <v>10</v>
      </c>
      <c r="B13" s="27">
        <v>45971</v>
      </c>
      <c r="C13" s="279"/>
      <c r="D13" s="280"/>
      <c r="E13" s="36"/>
      <c r="F13" s="36"/>
      <c r="G13" s="36">
        <f t="shared" si="4"/>
        <v>0</v>
      </c>
      <c r="H13" s="129">
        <v>0</v>
      </c>
      <c r="I13" s="129">
        <v>0</v>
      </c>
      <c r="J13" s="36">
        <f t="shared" si="5"/>
        <v>0</v>
      </c>
      <c r="K13" s="37">
        <f t="shared" si="6"/>
        <v>0</v>
      </c>
      <c r="L13" s="37">
        <v>0</v>
      </c>
      <c r="M13" s="37">
        <f t="shared" si="3"/>
        <v>2258.5999999999767</v>
      </c>
      <c r="N13" s="48"/>
    </row>
    <row r="14" spans="1:24" ht="15">
      <c r="A14" s="26">
        <v>11</v>
      </c>
      <c r="B14" s="27">
        <v>45972</v>
      </c>
      <c r="C14" s="279"/>
      <c r="D14" s="280"/>
      <c r="E14" s="36"/>
      <c r="F14" s="36"/>
      <c r="G14" s="36">
        <f t="shared" si="4"/>
        <v>0</v>
      </c>
      <c r="H14" s="129">
        <v>0</v>
      </c>
      <c r="I14" s="129">
        <v>0</v>
      </c>
      <c r="J14" s="36">
        <f t="shared" si="5"/>
        <v>0</v>
      </c>
      <c r="K14" s="37">
        <f t="shared" si="6"/>
        <v>0</v>
      </c>
      <c r="L14" s="37">
        <v>0</v>
      </c>
      <c r="M14" s="37">
        <f t="shared" si="3"/>
        <v>2258.5999999999767</v>
      </c>
      <c r="N14" s="48"/>
    </row>
    <row r="15" spans="1:24" ht="15">
      <c r="A15" s="26">
        <v>12</v>
      </c>
      <c r="B15" s="27">
        <v>45973</v>
      </c>
      <c r="C15" s="279"/>
      <c r="D15" s="280"/>
      <c r="E15" s="36"/>
      <c r="F15" s="36"/>
      <c r="G15" s="36">
        <f t="shared" si="4"/>
        <v>0</v>
      </c>
      <c r="H15" s="129">
        <v>0</v>
      </c>
      <c r="I15" s="129">
        <v>0</v>
      </c>
      <c r="J15" s="36">
        <f t="shared" si="5"/>
        <v>0</v>
      </c>
      <c r="K15" s="37">
        <f t="shared" si="6"/>
        <v>0</v>
      </c>
      <c r="L15" s="37">
        <v>0</v>
      </c>
      <c r="M15" s="37">
        <f t="shared" si="3"/>
        <v>2258.5999999999767</v>
      </c>
      <c r="N15" s="48"/>
    </row>
    <row r="16" spans="1:24" ht="15">
      <c r="A16" s="26">
        <v>13</v>
      </c>
      <c r="B16" s="27">
        <v>45974</v>
      </c>
      <c r="C16" s="279"/>
      <c r="D16" s="280"/>
      <c r="E16" s="36"/>
      <c r="F16" s="36"/>
      <c r="G16" s="36">
        <f t="shared" si="4"/>
        <v>0</v>
      </c>
      <c r="H16" s="129">
        <v>0</v>
      </c>
      <c r="I16" s="129">
        <v>0</v>
      </c>
      <c r="J16" s="36">
        <f t="shared" si="5"/>
        <v>0</v>
      </c>
      <c r="K16" s="37">
        <f t="shared" si="6"/>
        <v>0</v>
      </c>
      <c r="L16" s="37">
        <v>0</v>
      </c>
      <c r="M16" s="37">
        <f t="shared" si="3"/>
        <v>2258.5999999999767</v>
      </c>
      <c r="N16" s="48"/>
      <c r="X16" s="33">
        <f>100*104</f>
        <v>10400</v>
      </c>
    </row>
    <row r="17" spans="1:14" ht="15">
      <c r="A17" s="26">
        <v>14</v>
      </c>
      <c r="B17" s="27">
        <v>45975</v>
      </c>
      <c r="C17" s="279"/>
      <c r="D17" s="280"/>
      <c r="E17" s="36"/>
      <c r="F17" s="36"/>
      <c r="G17" s="36">
        <f t="shared" si="4"/>
        <v>0</v>
      </c>
      <c r="H17" s="129">
        <v>0</v>
      </c>
      <c r="I17" s="129">
        <v>0</v>
      </c>
      <c r="J17" s="36">
        <f t="shared" si="5"/>
        <v>0</v>
      </c>
      <c r="K17" s="37">
        <f t="shared" si="6"/>
        <v>0</v>
      </c>
      <c r="L17" s="37">
        <v>0</v>
      </c>
      <c r="M17" s="37">
        <f t="shared" si="3"/>
        <v>2258.5999999999767</v>
      </c>
      <c r="N17" s="48"/>
    </row>
    <row r="18" spans="1:14" ht="15">
      <c r="A18" s="26">
        <v>15</v>
      </c>
      <c r="B18" s="27">
        <v>45976</v>
      </c>
      <c r="C18" s="279"/>
      <c r="D18" s="280"/>
      <c r="E18" s="36"/>
      <c r="F18" s="36"/>
      <c r="G18" s="36">
        <f t="shared" si="4"/>
        <v>0</v>
      </c>
      <c r="H18" s="129">
        <v>0</v>
      </c>
      <c r="I18" s="129">
        <v>0</v>
      </c>
      <c r="J18" s="36">
        <f t="shared" si="5"/>
        <v>0</v>
      </c>
      <c r="K18" s="37">
        <f t="shared" si="6"/>
        <v>0</v>
      </c>
      <c r="L18" s="37"/>
      <c r="M18" s="37">
        <f t="shared" si="3"/>
        <v>2258.5999999999767</v>
      </c>
      <c r="N18" s="48"/>
    </row>
    <row r="19" spans="1:14" ht="15">
      <c r="A19" s="26">
        <v>16</v>
      </c>
      <c r="B19" s="27">
        <v>45977</v>
      </c>
      <c r="C19" s="279"/>
      <c r="D19" s="280"/>
      <c r="E19" s="36"/>
      <c r="F19" s="36"/>
      <c r="G19" s="36">
        <f t="shared" si="4"/>
        <v>0</v>
      </c>
      <c r="H19" s="129">
        <v>0</v>
      </c>
      <c r="I19" s="129">
        <v>0</v>
      </c>
      <c r="J19" s="36">
        <f t="shared" si="5"/>
        <v>0</v>
      </c>
      <c r="K19" s="37">
        <f t="shared" si="6"/>
        <v>0</v>
      </c>
      <c r="L19" s="37"/>
      <c r="M19" s="37">
        <f t="shared" si="3"/>
        <v>2258.5999999999767</v>
      </c>
      <c r="N19" s="48"/>
    </row>
    <row r="20" spans="1:14" ht="15">
      <c r="A20" s="26">
        <v>17</v>
      </c>
      <c r="B20" s="27">
        <v>45978</v>
      </c>
      <c r="C20" s="279"/>
      <c r="D20" s="280"/>
      <c r="E20" s="36"/>
      <c r="F20" s="36"/>
      <c r="G20" s="36">
        <f t="shared" si="4"/>
        <v>0</v>
      </c>
      <c r="H20" s="129">
        <v>0</v>
      </c>
      <c r="I20" s="129">
        <v>0</v>
      </c>
      <c r="J20" s="36">
        <f t="shared" si="5"/>
        <v>0</v>
      </c>
      <c r="K20" s="37">
        <f t="shared" si="6"/>
        <v>0</v>
      </c>
      <c r="L20" s="37"/>
      <c r="M20" s="37">
        <f t="shared" si="3"/>
        <v>2258.5999999999767</v>
      </c>
      <c r="N20" s="48"/>
    </row>
    <row r="21" spans="1:14" ht="15">
      <c r="A21" s="26">
        <v>18</v>
      </c>
      <c r="B21" s="27">
        <v>45979</v>
      </c>
      <c r="C21" s="279"/>
      <c r="D21" s="280"/>
      <c r="E21" s="36"/>
      <c r="F21" s="36"/>
      <c r="G21" s="36">
        <f t="shared" si="4"/>
        <v>0</v>
      </c>
      <c r="H21" s="129">
        <v>0</v>
      </c>
      <c r="I21" s="129">
        <v>0</v>
      </c>
      <c r="J21" s="36">
        <f t="shared" si="5"/>
        <v>0</v>
      </c>
      <c r="K21" s="37">
        <f t="shared" si="6"/>
        <v>0</v>
      </c>
      <c r="L21" s="37"/>
      <c r="M21" s="37">
        <f t="shared" si="3"/>
        <v>2258.5999999999767</v>
      </c>
      <c r="N21" s="48"/>
    </row>
    <row r="22" spans="1:14" ht="15">
      <c r="A22" s="26">
        <v>19</v>
      </c>
      <c r="B22" s="27">
        <v>45980</v>
      </c>
      <c r="C22" s="279"/>
      <c r="D22" s="280"/>
      <c r="E22" s="36"/>
      <c r="F22" s="36"/>
      <c r="G22" s="36">
        <f t="shared" si="4"/>
        <v>0</v>
      </c>
      <c r="H22" s="129">
        <v>0</v>
      </c>
      <c r="I22" s="129">
        <v>0</v>
      </c>
      <c r="J22" s="36">
        <f t="shared" si="5"/>
        <v>0</v>
      </c>
      <c r="K22" s="37">
        <f t="shared" si="6"/>
        <v>0</v>
      </c>
      <c r="L22" s="37"/>
      <c r="M22" s="37">
        <f t="shared" si="3"/>
        <v>2258.5999999999767</v>
      </c>
      <c r="N22" s="48"/>
    </row>
    <row r="23" spans="1:14" ht="15">
      <c r="A23" s="26">
        <v>20</v>
      </c>
      <c r="B23" s="27">
        <v>45981</v>
      </c>
      <c r="C23" s="279"/>
      <c r="D23" s="280"/>
      <c r="E23" s="36"/>
      <c r="F23" s="36"/>
      <c r="G23" s="36">
        <f t="shared" si="4"/>
        <v>0</v>
      </c>
      <c r="H23" s="129">
        <v>0</v>
      </c>
      <c r="I23" s="129">
        <v>0</v>
      </c>
      <c r="J23" s="36">
        <f t="shared" si="5"/>
        <v>0</v>
      </c>
      <c r="K23" s="37">
        <f t="shared" si="6"/>
        <v>0</v>
      </c>
      <c r="L23" s="37"/>
      <c r="M23" s="37">
        <f t="shared" si="3"/>
        <v>2258.5999999999767</v>
      </c>
      <c r="N23" s="48"/>
    </row>
    <row r="24" spans="1:14" ht="15">
      <c r="A24" s="26">
        <v>21</v>
      </c>
      <c r="B24" s="27">
        <v>45982</v>
      </c>
      <c r="C24" s="279"/>
      <c r="D24" s="280"/>
      <c r="E24" s="36"/>
      <c r="F24" s="36"/>
      <c r="G24" s="36">
        <f t="shared" si="4"/>
        <v>0</v>
      </c>
      <c r="H24" s="129">
        <v>0</v>
      </c>
      <c r="I24" s="129">
        <v>0</v>
      </c>
      <c r="J24" s="36">
        <f t="shared" si="5"/>
        <v>0</v>
      </c>
      <c r="K24" s="37">
        <f t="shared" si="6"/>
        <v>0</v>
      </c>
      <c r="L24" s="37"/>
      <c r="M24" s="37">
        <f t="shared" si="3"/>
        <v>2258.5999999999767</v>
      </c>
      <c r="N24" s="48"/>
    </row>
    <row r="25" spans="1:14" ht="15">
      <c r="A25" s="26">
        <v>22</v>
      </c>
      <c r="B25" s="27">
        <v>45983</v>
      </c>
      <c r="C25" s="279"/>
      <c r="D25" s="280"/>
      <c r="E25" s="36"/>
      <c r="F25" s="36"/>
      <c r="G25" s="36">
        <f t="shared" si="4"/>
        <v>0</v>
      </c>
      <c r="H25" s="129">
        <v>0</v>
      </c>
      <c r="I25" s="129">
        <v>0</v>
      </c>
      <c r="J25" s="36">
        <f t="shared" si="5"/>
        <v>0</v>
      </c>
      <c r="K25" s="37">
        <f t="shared" si="6"/>
        <v>0</v>
      </c>
      <c r="L25" s="37"/>
      <c r="M25" s="37">
        <f t="shared" si="3"/>
        <v>2258.5999999999767</v>
      </c>
      <c r="N25" s="48"/>
    </row>
    <row r="26" spans="1:14" ht="15">
      <c r="A26" s="26">
        <v>23</v>
      </c>
      <c r="B26" s="27">
        <v>45984</v>
      </c>
      <c r="C26" s="279"/>
      <c r="D26" s="280"/>
      <c r="E26" s="36"/>
      <c r="F26" s="36"/>
      <c r="G26" s="36">
        <f t="shared" si="4"/>
        <v>0</v>
      </c>
      <c r="H26" s="129">
        <v>0</v>
      </c>
      <c r="I26" s="129">
        <v>0</v>
      </c>
      <c r="J26" s="36">
        <f t="shared" ref="J26:J31" si="7">H26*I26</f>
        <v>0</v>
      </c>
      <c r="K26" s="37">
        <f t="shared" ref="K26:K31" si="8">G26+J26</f>
        <v>0</v>
      </c>
      <c r="L26" s="37"/>
      <c r="M26" s="37">
        <f t="shared" si="3"/>
        <v>2258.5999999999767</v>
      </c>
      <c r="N26" s="48"/>
    </row>
    <row r="27" spans="1:14" ht="15">
      <c r="A27" s="26">
        <v>24</v>
      </c>
      <c r="B27" s="27">
        <v>45985</v>
      </c>
      <c r="C27" s="279"/>
      <c r="D27" s="280"/>
      <c r="E27" s="36"/>
      <c r="F27" s="36"/>
      <c r="G27" s="36">
        <f t="shared" si="4"/>
        <v>0</v>
      </c>
      <c r="H27" s="129">
        <v>0</v>
      </c>
      <c r="I27" s="129">
        <v>0</v>
      </c>
      <c r="J27" s="36">
        <f t="shared" si="7"/>
        <v>0</v>
      </c>
      <c r="K27" s="37">
        <f t="shared" si="8"/>
        <v>0</v>
      </c>
      <c r="L27" s="37"/>
      <c r="M27" s="37">
        <f t="shared" si="3"/>
        <v>2258.5999999999767</v>
      </c>
      <c r="N27" s="48"/>
    </row>
    <row r="28" spans="1:14" ht="15">
      <c r="A28" s="26">
        <v>25</v>
      </c>
      <c r="B28" s="27">
        <v>45986</v>
      </c>
      <c r="C28" s="279"/>
      <c r="D28" s="280"/>
      <c r="E28" s="36"/>
      <c r="F28" s="36"/>
      <c r="G28" s="36">
        <f t="shared" si="4"/>
        <v>0</v>
      </c>
      <c r="H28" s="129">
        <v>0</v>
      </c>
      <c r="I28" s="129">
        <v>0</v>
      </c>
      <c r="J28" s="36">
        <f t="shared" si="7"/>
        <v>0</v>
      </c>
      <c r="K28" s="37">
        <f t="shared" si="8"/>
        <v>0</v>
      </c>
      <c r="L28" s="37"/>
      <c r="M28" s="37">
        <f t="shared" si="3"/>
        <v>2258.5999999999767</v>
      </c>
      <c r="N28" s="48"/>
    </row>
    <row r="29" spans="1:14" ht="15">
      <c r="A29" s="26">
        <v>26</v>
      </c>
      <c r="B29" s="27">
        <v>45987</v>
      </c>
      <c r="C29" s="279"/>
      <c r="D29" s="280"/>
      <c r="E29" s="36"/>
      <c r="F29" s="36"/>
      <c r="G29" s="36">
        <f t="shared" si="4"/>
        <v>0</v>
      </c>
      <c r="H29" s="129">
        <v>0</v>
      </c>
      <c r="I29" s="129">
        <v>0</v>
      </c>
      <c r="J29" s="36">
        <f t="shared" si="7"/>
        <v>0</v>
      </c>
      <c r="K29" s="37">
        <f t="shared" si="8"/>
        <v>0</v>
      </c>
      <c r="L29" s="37"/>
      <c r="M29" s="37">
        <f t="shared" si="3"/>
        <v>2258.5999999999767</v>
      </c>
      <c r="N29" s="48"/>
    </row>
    <row r="30" spans="1:14" ht="15">
      <c r="A30" s="26">
        <v>27</v>
      </c>
      <c r="B30" s="27">
        <v>45988</v>
      </c>
      <c r="C30" s="279"/>
      <c r="D30" s="280"/>
      <c r="E30" s="36"/>
      <c r="F30" s="36"/>
      <c r="G30" s="36">
        <f t="shared" si="4"/>
        <v>0</v>
      </c>
      <c r="H30" s="129">
        <v>0</v>
      </c>
      <c r="I30" s="129">
        <v>0</v>
      </c>
      <c r="J30" s="36">
        <f t="shared" si="7"/>
        <v>0</v>
      </c>
      <c r="K30" s="37">
        <f t="shared" si="8"/>
        <v>0</v>
      </c>
      <c r="L30" s="37"/>
      <c r="M30" s="37">
        <f t="shared" si="3"/>
        <v>2258.5999999999767</v>
      </c>
      <c r="N30" s="48"/>
    </row>
    <row r="31" spans="1:14" ht="15">
      <c r="A31" s="26">
        <v>28</v>
      </c>
      <c r="B31" s="27">
        <v>45989</v>
      </c>
      <c r="C31" s="279"/>
      <c r="D31" s="280"/>
      <c r="E31" s="36"/>
      <c r="F31" s="36"/>
      <c r="G31" s="36">
        <f t="shared" si="4"/>
        <v>0</v>
      </c>
      <c r="H31" s="129">
        <v>0</v>
      </c>
      <c r="I31" s="129">
        <v>0</v>
      </c>
      <c r="J31" s="36">
        <f t="shared" si="7"/>
        <v>0</v>
      </c>
      <c r="K31" s="37">
        <f t="shared" si="8"/>
        <v>0</v>
      </c>
      <c r="L31" s="37"/>
      <c r="M31" s="37">
        <f t="shared" si="3"/>
        <v>2258.5999999999767</v>
      </c>
      <c r="N31" s="48"/>
    </row>
    <row r="32" spans="1:14" ht="15">
      <c r="A32" s="26">
        <v>29</v>
      </c>
      <c r="B32" s="27">
        <v>45990</v>
      </c>
      <c r="C32" s="279"/>
      <c r="D32" s="280"/>
      <c r="E32" s="36"/>
      <c r="F32" s="36"/>
      <c r="G32" s="36">
        <f t="shared" si="4"/>
        <v>0</v>
      </c>
      <c r="H32" s="129">
        <v>0</v>
      </c>
      <c r="I32" s="129">
        <v>0</v>
      </c>
      <c r="J32" s="36">
        <f t="shared" si="5"/>
        <v>0</v>
      </c>
      <c r="K32" s="37">
        <f t="shared" si="6"/>
        <v>0</v>
      </c>
      <c r="L32" s="37"/>
      <c r="M32" s="37">
        <f t="shared" si="3"/>
        <v>2258.5999999999767</v>
      </c>
      <c r="N32" s="48"/>
    </row>
    <row r="33" spans="1:14" ht="15">
      <c r="A33" s="26">
        <v>30</v>
      </c>
      <c r="B33" s="27">
        <v>45991</v>
      </c>
      <c r="C33" s="279"/>
      <c r="D33" s="280"/>
      <c r="E33" s="36"/>
      <c r="F33" s="36"/>
      <c r="G33" s="36">
        <f t="shared" si="4"/>
        <v>0</v>
      </c>
      <c r="H33" s="129">
        <v>0</v>
      </c>
      <c r="I33" s="129">
        <v>0</v>
      </c>
      <c r="J33" s="36">
        <f t="shared" si="5"/>
        <v>0</v>
      </c>
      <c r="K33" s="37">
        <f t="shared" si="6"/>
        <v>0</v>
      </c>
      <c r="L33" s="37"/>
      <c r="M33" s="37">
        <f t="shared" si="3"/>
        <v>2258.5999999999767</v>
      </c>
      <c r="N33" s="48"/>
    </row>
    <row r="34" spans="1:14" ht="15">
      <c r="A34" s="26">
        <v>31</v>
      </c>
      <c r="B34" s="27"/>
      <c r="C34" s="114"/>
      <c r="D34" s="128"/>
      <c r="E34" s="36"/>
      <c r="F34" s="36"/>
      <c r="G34" s="36">
        <f t="shared" si="4"/>
        <v>0</v>
      </c>
      <c r="H34" s="129">
        <v>0</v>
      </c>
      <c r="I34" s="129">
        <v>0</v>
      </c>
      <c r="J34" s="36">
        <f t="shared" si="5"/>
        <v>0</v>
      </c>
      <c r="K34" s="37">
        <f t="shared" si="6"/>
        <v>0</v>
      </c>
      <c r="L34" s="37">
        <v>0</v>
      </c>
      <c r="M34" s="37">
        <f t="shared" si="3"/>
        <v>2258.5999999999767</v>
      </c>
      <c r="N34" s="48"/>
    </row>
    <row r="35" spans="1:14">
      <c r="A35" s="46"/>
      <c r="B35" s="46"/>
      <c r="C35" s="46"/>
      <c r="D35" s="46"/>
      <c r="E35" s="47">
        <f>SUM(E4:E34)</f>
        <v>0</v>
      </c>
      <c r="F35" s="47"/>
      <c r="G35" s="47">
        <f>SUM(G4:G34)</f>
        <v>0</v>
      </c>
      <c r="H35" s="47">
        <f>SUM(H4:H34)</f>
        <v>0</v>
      </c>
      <c r="I35" s="47"/>
      <c r="J35" s="47">
        <f>SUM(J4:J34)</f>
        <v>0</v>
      </c>
      <c r="K35" s="47">
        <f>SUM(K4:K34)</f>
        <v>0</v>
      </c>
      <c r="L35" s="47">
        <f>SUM(L4:L34)</f>
        <v>0</v>
      </c>
      <c r="M35" s="47"/>
      <c r="N35" s="47"/>
    </row>
    <row r="36" spans="1:1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4">
      <c r="G37" s="40"/>
    </row>
    <row r="38" spans="1:14">
      <c r="B38" s="463"/>
      <c r="C38" s="463"/>
      <c r="D38" s="463"/>
      <c r="E38" s="463"/>
      <c r="I38" s="463"/>
      <c r="J38" s="463"/>
      <c r="K38" s="463"/>
      <c r="L38" s="463"/>
      <c r="M38" s="463"/>
      <c r="N38" s="463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topLeftCell="A24" workbookViewId="0">
      <selection activeCell="N42" sqref="N42"/>
    </sheetView>
  </sheetViews>
  <sheetFormatPr defaultRowHeight="15"/>
  <cols>
    <col min="2" max="2" width="9.57031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4" ht="15.75" customHeight="1">
      <c r="A1" s="454" t="s">
        <v>36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4" ht="25.5">
      <c r="A2" s="109" t="s">
        <v>95</v>
      </c>
      <c r="B2" s="113" t="s">
        <v>96</v>
      </c>
      <c r="C2" s="113" t="s">
        <v>97</v>
      </c>
      <c r="D2" s="113" t="s">
        <v>98</v>
      </c>
      <c r="E2" s="113" t="s">
        <v>99</v>
      </c>
      <c r="F2" s="113" t="s">
        <v>100</v>
      </c>
      <c r="G2" s="113" t="s">
        <v>101</v>
      </c>
      <c r="H2" s="113" t="s">
        <v>102</v>
      </c>
      <c r="I2" s="113" t="s">
        <v>100</v>
      </c>
      <c r="J2" s="113" t="s">
        <v>101</v>
      </c>
      <c r="K2" s="113" t="s">
        <v>103</v>
      </c>
      <c r="L2" s="113" t="s">
        <v>104</v>
      </c>
      <c r="M2" s="113" t="s">
        <v>110</v>
      </c>
      <c r="N2" s="113" t="s">
        <v>106</v>
      </c>
    </row>
    <row r="3" spans="1:14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7"/>
      <c r="K3">
        <v>459638.78690000006</v>
      </c>
      <c r="L3" s="157"/>
      <c r="M3" s="157">
        <f>+K3</f>
        <v>459638.78690000006</v>
      </c>
      <c r="N3" s="114"/>
    </row>
    <row r="4" spans="1:14">
      <c r="A4" s="26">
        <v>1</v>
      </c>
      <c r="B4" s="27">
        <v>45962</v>
      </c>
      <c r="C4" s="114">
        <v>0</v>
      </c>
      <c r="D4" s="128"/>
      <c r="E4" s="37"/>
      <c r="F4" s="37"/>
      <c r="G4" s="37">
        <f>E4*F4</f>
        <v>0</v>
      </c>
      <c r="H4" s="129"/>
      <c r="I4" s="129"/>
      <c r="J4" s="37">
        <f>H4*I4</f>
        <v>0</v>
      </c>
      <c r="K4" s="37">
        <f>G4+J4</f>
        <v>0</v>
      </c>
      <c r="L4" s="37"/>
      <c r="M4" s="37">
        <f t="shared" ref="M4:M33" si="0">M3+K4-L4</f>
        <v>459638.78690000006</v>
      </c>
      <c r="N4" s="48"/>
    </row>
    <row r="5" spans="1:14">
      <c r="A5" s="26">
        <v>2</v>
      </c>
      <c r="B5" s="27">
        <v>45963</v>
      </c>
      <c r="C5" s="114">
        <v>0</v>
      </c>
      <c r="D5" s="128"/>
      <c r="E5" s="37"/>
      <c r="F5" s="37"/>
      <c r="G5" s="37">
        <f t="shared" ref="G5:G33" si="1">E5*F5</f>
        <v>0</v>
      </c>
      <c r="H5" s="129"/>
      <c r="I5" s="129"/>
      <c r="J5" s="37">
        <f t="shared" ref="J5:J33" si="2">H5*I5</f>
        <v>0</v>
      </c>
      <c r="K5" s="37">
        <f t="shared" ref="K5:K33" si="3">G5+J5</f>
        <v>0</v>
      </c>
      <c r="L5" s="37"/>
      <c r="M5" s="37">
        <f t="shared" si="0"/>
        <v>459638.78690000006</v>
      </c>
      <c r="N5" s="48"/>
    </row>
    <row r="6" spans="1:14">
      <c r="A6" s="26">
        <v>3</v>
      </c>
      <c r="B6" s="27">
        <v>45964</v>
      </c>
      <c r="C6" s="114">
        <v>0</v>
      </c>
      <c r="D6" s="128"/>
      <c r="E6" s="37"/>
      <c r="F6" s="37"/>
      <c r="G6" s="37">
        <f t="shared" si="1"/>
        <v>0</v>
      </c>
      <c r="H6" s="129"/>
      <c r="I6" s="129"/>
      <c r="J6" s="37">
        <f t="shared" si="2"/>
        <v>0</v>
      </c>
      <c r="K6" s="37">
        <f t="shared" si="3"/>
        <v>0</v>
      </c>
      <c r="L6" s="37"/>
      <c r="M6" s="37">
        <f t="shared" si="0"/>
        <v>459638.78690000006</v>
      </c>
      <c r="N6" s="48"/>
    </row>
    <row r="7" spans="1:14">
      <c r="A7" s="26">
        <v>4</v>
      </c>
      <c r="B7" s="27">
        <v>45965</v>
      </c>
      <c r="C7" s="114">
        <v>0</v>
      </c>
      <c r="D7" s="128"/>
      <c r="E7" s="37"/>
      <c r="F7" s="37"/>
      <c r="G7" s="37">
        <f t="shared" si="1"/>
        <v>0</v>
      </c>
      <c r="H7" s="129"/>
      <c r="I7" s="129"/>
      <c r="J7" s="37">
        <f t="shared" si="2"/>
        <v>0</v>
      </c>
      <c r="K7" s="37">
        <f t="shared" si="3"/>
        <v>0</v>
      </c>
      <c r="L7" s="37"/>
      <c r="M7" s="37">
        <f t="shared" si="0"/>
        <v>459638.78690000006</v>
      </c>
      <c r="N7" s="48"/>
    </row>
    <row r="8" spans="1:14">
      <c r="A8" s="26">
        <v>5</v>
      </c>
      <c r="B8" s="27">
        <v>45966</v>
      </c>
      <c r="C8" s="114">
        <v>0</v>
      </c>
      <c r="D8" s="128"/>
      <c r="E8" s="37"/>
      <c r="F8" s="37"/>
      <c r="G8" s="37">
        <f t="shared" si="1"/>
        <v>0</v>
      </c>
      <c r="H8" s="129"/>
      <c r="I8" s="129"/>
      <c r="J8" s="37">
        <f t="shared" si="2"/>
        <v>0</v>
      </c>
      <c r="K8" s="37">
        <f t="shared" si="3"/>
        <v>0</v>
      </c>
      <c r="L8" s="37"/>
      <c r="M8" s="37">
        <f t="shared" si="0"/>
        <v>459638.78690000006</v>
      </c>
      <c r="N8" s="48"/>
    </row>
    <row r="9" spans="1:14">
      <c r="A9" s="26">
        <v>6</v>
      </c>
      <c r="B9" s="27">
        <v>45967</v>
      </c>
      <c r="C9" s="114">
        <v>0</v>
      </c>
      <c r="D9" s="128"/>
      <c r="E9" s="37"/>
      <c r="F9" s="37"/>
      <c r="G9" s="37">
        <f t="shared" si="1"/>
        <v>0</v>
      </c>
      <c r="H9" s="129"/>
      <c r="I9" s="129"/>
      <c r="J9" s="37">
        <f t="shared" si="2"/>
        <v>0</v>
      </c>
      <c r="K9" s="37">
        <f t="shared" si="3"/>
        <v>0</v>
      </c>
      <c r="L9" s="37"/>
      <c r="M9" s="37">
        <f t="shared" si="0"/>
        <v>459638.78690000006</v>
      </c>
      <c r="N9" s="48"/>
    </row>
    <row r="10" spans="1:14">
      <c r="A10" s="26">
        <v>7</v>
      </c>
      <c r="B10" s="27">
        <v>45968</v>
      </c>
      <c r="C10" s="114">
        <v>0</v>
      </c>
      <c r="D10" s="128"/>
      <c r="E10" s="37"/>
      <c r="F10" s="37"/>
      <c r="G10" s="37">
        <f t="shared" si="1"/>
        <v>0</v>
      </c>
      <c r="H10" s="129"/>
      <c r="I10" s="129"/>
      <c r="J10" s="37">
        <f t="shared" si="2"/>
        <v>0</v>
      </c>
      <c r="K10" s="37">
        <f t="shared" si="3"/>
        <v>0</v>
      </c>
      <c r="L10" s="37"/>
      <c r="M10" s="37">
        <f t="shared" si="0"/>
        <v>459638.78690000006</v>
      </c>
      <c r="N10" s="48"/>
    </row>
    <row r="11" spans="1:14">
      <c r="A11" s="26">
        <v>8</v>
      </c>
      <c r="B11" s="27">
        <v>45969</v>
      </c>
      <c r="C11" s="114">
        <v>0</v>
      </c>
      <c r="D11" s="128"/>
      <c r="E11" s="37"/>
      <c r="F11" s="37"/>
      <c r="G11" s="37">
        <f t="shared" si="1"/>
        <v>0</v>
      </c>
      <c r="H11" s="129"/>
      <c r="I11" s="129"/>
      <c r="J11" s="37">
        <f t="shared" si="2"/>
        <v>0</v>
      </c>
      <c r="K11" s="37">
        <f t="shared" si="3"/>
        <v>0</v>
      </c>
      <c r="L11" s="37"/>
      <c r="M11" s="37">
        <f t="shared" si="0"/>
        <v>459638.78690000006</v>
      </c>
      <c r="N11" s="48"/>
    </row>
    <row r="12" spans="1:14">
      <c r="A12" s="26">
        <v>9</v>
      </c>
      <c r="B12" s="27">
        <v>45970</v>
      </c>
      <c r="C12" s="114">
        <v>0</v>
      </c>
      <c r="D12" s="128"/>
      <c r="E12" s="37"/>
      <c r="F12" s="37"/>
      <c r="G12" s="37">
        <f t="shared" si="1"/>
        <v>0</v>
      </c>
      <c r="H12" s="129"/>
      <c r="I12" s="129"/>
      <c r="J12" s="37">
        <f t="shared" si="2"/>
        <v>0</v>
      </c>
      <c r="K12" s="37">
        <f t="shared" si="3"/>
        <v>0</v>
      </c>
      <c r="L12" s="37"/>
      <c r="M12" s="37">
        <f t="shared" si="0"/>
        <v>459638.78690000006</v>
      </c>
      <c r="N12" s="48"/>
    </row>
    <row r="13" spans="1:14">
      <c r="A13" s="26">
        <v>10</v>
      </c>
      <c r="B13" s="27">
        <v>45971</v>
      </c>
      <c r="C13" s="114">
        <v>0</v>
      </c>
      <c r="D13" s="128"/>
      <c r="E13" s="37"/>
      <c r="F13" s="37"/>
      <c r="G13" s="37">
        <f t="shared" si="1"/>
        <v>0</v>
      </c>
      <c r="H13" s="129"/>
      <c r="I13" s="129"/>
      <c r="J13" s="37">
        <f t="shared" si="2"/>
        <v>0</v>
      </c>
      <c r="K13" s="37">
        <f t="shared" si="3"/>
        <v>0</v>
      </c>
      <c r="L13" s="37"/>
      <c r="M13" s="37">
        <f t="shared" si="0"/>
        <v>459638.78690000006</v>
      </c>
      <c r="N13" s="48"/>
    </row>
    <row r="14" spans="1:14">
      <c r="A14" s="26">
        <v>11</v>
      </c>
      <c r="B14" s="27">
        <v>45972</v>
      </c>
      <c r="C14" s="114">
        <v>0</v>
      </c>
      <c r="D14" s="128"/>
      <c r="E14" s="37">
        <v>2000</v>
      </c>
      <c r="F14" s="37">
        <v>91.52</v>
      </c>
      <c r="G14" s="37">
        <f t="shared" si="1"/>
        <v>183040</v>
      </c>
      <c r="H14" s="129">
        <v>70</v>
      </c>
      <c r="I14" s="129">
        <v>103.67</v>
      </c>
      <c r="J14" s="37">
        <f t="shared" si="2"/>
        <v>7256.9000000000005</v>
      </c>
      <c r="K14" s="37">
        <f t="shared" si="3"/>
        <v>190296.9</v>
      </c>
      <c r="L14" s="37"/>
      <c r="M14" s="37">
        <f t="shared" si="0"/>
        <v>649935.68690000009</v>
      </c>
      <c r="N14" s="48"/>
    </row>
    <row r="15" spans="1:14">
      <c r="A15" s="26">
        <v>12</v>
      </c>
      <c r="B15" s="27">
        <v>45973</v>
      </c>
      <c r="C15" s="114">
        <v>0</v>
      </c>
      <c r="D15" s="128"/>
      <c r="E15" s="37"/>
      <c r="F15" s="37"/>
      <c r="G15" s="37">
        <f t="shared" si="1"/>
        <v>0</v>
      </c>
      <c r="H15" s="129"/>
      <c r="I15" s="129"/>
      <c r="J15" s="37">
        <f t="shared" si="2"/>
        <v>0</v>
      </c>
      <c r="K15" s="37">
        <f t="shared" si="3"/>
        <v>0</v>
      </c>
      <c r="L15" s="37"/>
      <c r="M15" s="37">
        <f t="shared" si="0"/>
        <v>649935.68690000009</v>
      </c>
      <c r="N15" s="48"/>
    </row>
    <row r="16" spans="1:14">
      <c r="A16" s="26">
        <v>13</v>
      </c>
      <c r="B16" s="27">
        <v>45974</v>
      </c>
      <c r="C16" s="114">
        <v>0</v>
      </c>
      <c r="D16" s="128"/>
      <c r="E16" s="37"/>
      <c r="F16" s="37"/>
      <c r="G16" s="37">
        <f t="shared" si="1"/>
        <v>0</v>
      </c>
      <c r="H16" s="129"/>
      <c r="I16" s="129"/>
      <c r="J16" s="37">
        <f t="shared" si="2"/>
        <v>0</v>
      </c>
      <c r="K16" s="37">
        <f t="shared" si="3"/>
        <v>0</v>
      </c>
      <c r="L16" s="37"/>
      <c r="M16" s="37">
        <f t="shared" si="0"/>
        <v>649935.68690000009</v>
      </c>
      <c r="N16" s="48"/>
    </row>
    <row r="17" spans="1:14">
      <c r="A17" s="26">
        <v>14</v>
      </c>
      <c r="B17" s="27">
        <v>45975</v>
      </c>
      <c r="C17" s="114">
        <v>0</v>
      </c>
      <c r="D17" s="128"/>
      <c r="E17" s="37"/>
      <c r="F17" s="37"/>
      <c r="G17" s="37">
        <f t="shared" si="1"/>
        <v>0</v>
      </c>
      <c r="H17" s="129"/>
      <c r="I17" s="129"/>
      <c r="J17" s="37">
        <f t="shared" si="2"/>
        <v>0</v>
      </c>
      <c r="K17" s="37">
        <f t="shared" si="3"/>
        <v>0</v>
      </c>
      <c r="L17" s="37"/>
      <c r="M17" s="37">
        <f t="shared" si="0"/>
        <v>649935.68690000009</v>
      </c>
      <c r="N17" s="48"/>
    </row>
    <row r="18" spans="1:14">
      <c r="A18" s="26">
        <v>15</v>
      </c>
      <c r="B18" s="27">
        <v>45976</v>
      </c>
      <c r="C18" s="114">
        <v>0</v>
      </c>
      <c r="D18" s="128"/>
      <c r="E18" s="37"/>
      <c r="F18" s="37"/>
      <c r="G18" s="37">
        <f t="shared" si="1"/>
        <v>0</v>
      </c>
      <c r="H18" s="129"/>
      <c r="I18" s="129"/>
      <c r="J18" s="37">
        <f t="shared" si="2"/>
        <v>0</v>
      </c>
      <c r="K18" s="37">
        <f t="shared" si="3"/>
        <v>0</v>
      </c>
      <c r="L18" s="37">
        <v>300000</v>
      </c>
      <c r="M18" s="37">
        <f t="shared" si="0"/>
        <v>349935.68690000009</v>
      </c>
      <c r="N18" s="48"/>
    </row>
    <row r="19" spans="1:14">
      <c r="A19" s="26">
        <v>16</v>
      </c>
      <c r="B19" s="27">
        <v>45977</v>
      </c>
      <c r="C19" s="114">
        <v>0</v>
      </c>
      <c r="D19" s="128"/>
      <c r="E19" s="37"/>
      <c r="F19" s="37"/>
      <c r="G19" s="37">
        <f t="shared" si="1"/>
        <v>0</v>
      </c>
      <c r="H19" s="129"/>
      <c r="I19" s="129"/>
      <c r="J19" s="37">
        <f t="shared" si="2"/>
        <v>0</v>
      </c>
      <c r="K19" s="37">
        <f t="shared" si="3"/>
        <v>0</v>
      </c>
      <c r="L19" s="37"/>
      <c r="M19" s="37">
        <f t="shared" si="0"/>
        <v>349935.68690000009</v>
      </c>
      <c r="N19" s="48"/>
    </row>
    <row r="20" spans="1:14">
      <c r="A20" s="26">
        <v>17</v>
      </c>
      <c r="B20" s="27">
        <v>45978</v>
      </c>
      <c r="C20" s="114">
        <v>0</v>
      </c>
      <c r="D20" s="128"/>
      <c r="E20" s="37"/>
      <c r="F20" s="37"/>
      <c r="G20" s="37">
        <f t="shared" si="1"/>
        <v>0</v>
      </c>
      <c r="H20" s="129">
        <v>70</v>
      </c>
      <c r="I20" s="129">
        <v>103.67</v>
      </c>
      <c r="J20" s="37">
        <f t="shared" si="2"/>
        <v>7256.9000000000005</v>
      </c>
      <c r="K20" s="37">
        <f t="shared" si="3"/>
        <v>7256.9000000000005</v>
      </c>
      <c r="L20" s="37"/>
      <c r="M20" s="37">
        <f t="shared" si="0"/>
        <v>357192.58690000011</v>
      </c>
      <c r="N20" s="48"/>
    </row>
    <row r="21" spans="1:14">
      <c r="A21" s="26">
        <v>18</v>
      </c>
      <c r="B21" s="27">
        <v>45979</v>
      </c>
      <c r="C21" s="114">
        <v>0</v>
      </c>
      <c r="D21" s="128"/>
      <c r="E21" s="37"/>
      <c r="F21" s="37"/>
      <c r="G21" s="37">
        <f t="shared" si="1"/>
        <v>0</v>
      </c>
      <c r="H21" s="129"/>
      <c r="I21" s="129"/>
      <c r="J21" s="37">
        <f t="shared" si="2"/>
        <v>0</v>
      </c>
      <c r="K21" s="37">
        <f t="shared" si="3"/>
        <v>0</v>
      </c>
      <c r="L21" s="37"/>
      <c r="M21" s="37">
        <f t="shared" si="0"/>
        <v>357192.58690000011</v>
      </c>
      <c r="N21" s="48"/>
    </row>
    <row r="22" spans="1:14">
      <c r="A22" s="26">
        <v>19</v>
      </c>
      <c r="B22" s="27">
        <v>45980</v>
      </c>
      <c r="C22" s="114">
        <v>0</v>
      </c>
      <c r="D22" s="128"/>
      <c r="E22" s="37"/>
      <c r="F22" s="37"/>
      <c r="G22" s="37">
        <f t="shared" si="1"/>
        <v>0</v>
      </c>
      <c r="H22" s="129"/>
      <c r="I22" s="129"/>
      <c r="J22" s="37">
        <f t="shared" si="2"/>
        <v>0</v>
      </c>
      <c r="K22" s="37">
        <f t="shared" si="3"/>
        <v>0</v>
      </c>
      <c r="L22" s="37"/>
      <c r="M22" s="37">
        <f t="shared" si="0"/>
        <v>357192.58690000011</v>
      </c>
      <c r="N22" s="48"/>
    </row>
    <row r="23" spans="1:14">
      <c r="A23" s="26">
        <v>20</v>
      </c>
      <c r="B23" s="27">
        <v>45981</v>
      </c>
      <c r="C23" s="114">
        <v>0</v>
      </c>
      <c r="D23" s="128"/>
      <c r="E23" s="37"/>
      <c r="F23" s="37"/>
      <c r="G23" s="37">
        <f t="shared" si="1"/>
        <v>0</v>
      </c>
      <c r="H23" s="129"/>
      <c r="I23" s="129"/>
      <c r="J23" s="37">
        <f t="shared" si="2"/>
        <v>0</v>
      </c>
      <c r="K23" s="37">
        <f t="shared" si="3"/>
        <v>0</v>
      </c>
      <c r="L23" s="37"/>
      <c r="M23" s="37">
        <f t="shared" si="0"/>
        <v>357192.58690000011</v>
      </c>
      <c r="N23" s="48"/>
    </row>
    <row r="24" spans="1:14">
      <c r="A24" s="26">
        <v>21</v>
      </c>
      <c r="B24" s="27">
        <v>45982</v>
      </c>
      <c r="C24" s="114">
        <v>0</v>
      </c>
      <c r="D24" s="128"/>
      <c r="E24" s="37">
        <v>2000</v>
      </c>
      <c r="F24" s="37">
        <v>91.52</v>
      </c>
      <c r="G24" s="37">
        <f t="shared" si="1"/>
        <v>183040</v>
      </c>
      <c r="H24" s="129">
        <v>35</v>
      </c>
      <c r="I24" s="129">
        <v>103.67</v>
      </c>
      <c r="J24" s="37">
        <f t="shared" si="2"/>
        <v>3628.4500000000003</v>
      </c>
      <c r="K24" s="37">
        <f t="shared" si="3"/>
        <v>186668.45</v>
      </c>
      <c r="L24" s="37">
        <v>200000</v>
      </c>
      <c r="M24" s="37">
        <f t="shared" si="0"/>
        <v>343861.03690000018</v>
      </c>
      <c r="N24" s="48"/>
    </row>
    <row r="25" spans="1:14">
      <c r="A25" s="26">
        <v>22</v>
      </c>
      <c r="B25" s="27">
        <v>45983</v>
      </c>
      <c r="C25" s="114">
        <v>0</v>
      </c>
      <c r="D25" s="128"/>
      <c r="E25" s="37"/>
      <c r="F25" s="37"/>
      <c r="G25" s="37">
        <f t="shared" si="1"/>
        <v>0</v>
      </c>
      <c r="H25" s="129"/>
      <c r="I25" s="129"/>
      <c r="J25" s="37">
        <f t="shared" si="2"/>
        <v>0</v>
      </c>
      <c r="K25" s="37">
        <f t="shared" si="3"/>
        <v>0</v>
      </c>
      <c r="L25" s="37"/>
      <c r="M25" s="37">
        <f t="shared" si="0"/>
        <v>343861.03690000018</v>
      </c>
      <c r="N25" s="48"/>
    </row>
    <row r="26" spans="1:14">
      <c r="A26" s="26">
        <v>23</v>
      </c>
      <c r="B26" s="27">
        <v>45984</v>
      </c>
      <c r="C26" s="114">
        <v>0</v>
      </c>
      <c r="D26" s="128"/>
      <c r="E26" s="37"/>
      <c r="F26" s="37"/>
      <c r="G26" s="37">
        <f t="shared" si="1"/>
        <v>0</v>
      </c>
      <c r="H26" s="129"/>
      <c r="I26" s="129"/>
      <c r="J26" s="37">
        <f t="shared" si="2"/>
        <v>0</v>
      </c>
      <c r="K26" s="37">
        <f t="shared" si="3"/>
        <v>0</v>
      </c>
      <c r="L26" s="37"/>
      <c r="M26" s="37">
        <f t="shared" si="0"/>
        <v>343861.03690000018</v>
      </c>
      <c r="N26" s="48"/>
    </row>
    <row r="27" spans="1:14">
      <c r="A27" s="26">
        <v>24</v>
      </c>
      <c r="B27" s="27">
        <v>45985</v>
      </c>
      <c r="C27" s="114">
        <v>0</v>
      </c>
      <c r="D27" s="128"/>
      <c r="E27" s="37"/>
      <c r="F27" s="37"/>
      <c r="G27" s="37">
        <f t="shared" si="1"/>
        <v>0</v>
      </c>
      <c r="H27" s="129"/>
      <c r="I27" s="129"/>
      <c r="J27" s="37">
        <f t="shared" si="2"/>
        <v>0</v>
      </c>
      <c r="K27" s="37">
        <f t="shared" si="3"/>
        <v>0</v>
      </c>
      <c r="L27" s="37"/>
      <c r="M27" s="37">
        <f t="shared" si="0"/>
        <v>343861.03690000018</v>
      </c>
      <c r="N27" s="48"/>
    </row>
    <row r="28" spans="1:14">
      <c r="A28" s="26">
        <v>25</v>
      </c>
      <c r="B28" s="27">
        <v>45986</v>
      </c>
      <c r="C28" s="114">
        <v>0</v>
      </c>
      <c r="D28" s="128"/>
      <c r="E28" s="37"/>
      <c r="F28" s="37"/>
      <c r="G28" s="37">
        <f t="shared" si="1"/>
        <v>0</v>
      </c>
      <c r="H28" s="129"/>
      <c r="I28" s="129"/>
      <c r="J28" s="37">
        <f t="shared" si="2"/>
        <v>0</v>
      </c>
      <c r="K28" s="37">
        <f t="shared" si="3"/>
        <v>0</v>
      </c>
      <c r="L28" s="37"/>
      <c r="M28" s="37">
        <f t="shared" si="0"/>
        <v>343861.03690000018</v>
      </c>
      <c r="N28" s="48"/>
    </row>
    <row r="29" spans="1:14">
      <c r="A29" s="26">
        <v>26</v>
      </c>
      <c r="B29" s="27">
        <v>45987</v>
      </c>
      <c r="C29" s="114">
        <v>0</v>
      </c>
      <c r="D29" s="128"/>
      <c r="E29" s="37"/>
      <c r="F29" s="37"/>
      <c r="G29" s="37">
        <f t="shared" si="1"/>
        <v>0</v>
      </c>
      <c r="H29" s="129"/>
      <c r="I29" s="129"/>
      <c r="J29" s="37">
        <f t="shared" si="2"/>
        <v>0</v>
      </c>
      <c r="K29" s="37">
        <f t="shared" si="3"/>
        <v>0</v>
      </c>
      <c r="L29" s="37"/>
      <c r="M29" s="37">
        <f t="shared" si="0"/>
        <v>343861.03690000018</v>
      </c>
      <c r="N29" s="48"/>
    </row>
    <row r="30" spans="1:14">
      <c r="A30" s="26">
        <v>27</v>
      </c>
      <c r="B30" s="27">
        <v>45988</v>
      </c>
      <c r="C30" s="114">
        <v>0</v>
      </c>
      <c r="D30" s="128"/>
      <c r="E30" s="37"/>
      <c r="F30" s="37"/>
      <c r="G30" s="37">
        <f t="shared" si="1"/>
        <v>0</v>
      </c>
      <c r="H30" s="129"/>
      <c r="I30" s="129"/>
      <c r="J30" s="37">
        <f t="shared" si="2"/>
        <v>0</v>
      </c>
      <c r="K30" s="37">
        <f t="shared" si="3"/>
        <v>0</v>
      </c>
      <c r="L30" s="37"/>
      <c r="M30" s="37">
        <f t="shared" si="0"/>
        <v>343861.03690000018</v>
      </c>
      <c r="N30" s="48"/>
    </row>
    <row r="31" spans="1:14">
      <c r="A31" s="26">
        <v>28</v>
      </c>
      <c r="B31" s="27">
        <v>45989</v>
      </c>
      <c r="C31" s="114">
        <v>0</v>
      </c>
      <c r="D31" s="128"/>
      <c r="E31" s="37"/>
      <c r="F31" s="37"/>
      <c r="G31" s="37">
        <f t="shared" si="1"/>
        <v>0</v>
      </c>
      <c r="H31" s="129">
        <v>100</v>
      </c>
      <c r="I31" s="129">
        <v>103.67</v>
      </c>
      <c r="J31" s="37">
        <f t="shared" si="2"/>
        <v>10367</v>
      </c>
      <c r="K31" s="37">
        <f t="shared" si="3"/>
        <v>10367</v>
      </c>
      <c r="L31" s="37"/>
      <c r="M31" s="37">
        <f t="shared" si="0"/>
        <v>354228.03690000018</v>
      </c>
      <c r="N31" s="48"/>
    </row>
    <row r="32" spans="1:14">
      <c r="A32" s="26">
        <v>29</v>
      </c>
      <c r="B32" s="27">
        <v>45990</v>
      </c>
      <c r="C32" s="114">
        <v>0</v>
      </c>
      <c r="D32" s="128"/>
      <c r="E32" s="37"/>
      <c r="F32" s="37"/>
      <c r="G32" s="37">
        <f t="shared" si="1"/>
        <v>0</v>
      </c>
      <c r="H32" s="129"/>
      <c r="I32" s="129"/>
      <c r="J32" s="37">
        <f t="shared" si="2"/>
        <v>0</v>
      </c>
      <c r="K32" s="37">
        <f t="shared" si="3"/>
        <v>0</v>
      </c>
      <c r="L32" s="37"/>
      <c r="M32" s="37">
        <f t="shared" si="0"/>
        <v>354228.03690000018</v>
      </c>
      <c r="N32" s="48"/>
    </row>
    <row r="33" spans="1:14">
      <c r="A33" s="26">
        <v>30</v>
      </c>
      <c r="B33" s="27">
        <v>45991</v>
      </c>
      <c r="C33" s="114">
        <v>0</v>
      </c>
      <c r="D33" s="128"/>
      <c r="E33" s="37"/>
      <c r="F33" s="37"/>
      <c r="G33" s="37">
        <f t="shared" si="1"/>
        <v>0</v>
      </c>
      <c r="H33" s="129"/>
      <c r="I33" s="129"/>
      <c r="J33" s="37">
        <f t="shared" si="2"/>
        <v>0</v>
      </c>
      <c r="K33" s="37">
        <f t="shared" si="3"/>
        <v>0</v>
      </c>
      <c r="L33" s="37">
        <v>0</v>
      </c>
      <c r="M33" s="37">
        <f t="shared" si="0"/>
        <v>354228.03690000018</v>
      </c>
      <c r="N33" s="48"/>
    </row>
    <row r="34" spans="1:14">
      <c r="A34" s="26">
        <v>31</v>
      </c>
      <c r="B34" s="27"/>
      <c r="C34" s="114"/>
      <c r="D34" s="128"/>
      <c r="E34" s="37"/>
      <c r="F34" s="37"/>
      <c r="G34" s="37"/>
      <c r="H34" s="129"/>
      <c r="I34" s="129"/>
      <c r="J34" s="37"/>
      <c r="K34" s="37"/>
      <c r="L34" s="37"/>
      <c r="M34" s="37"/>
      <c r="N34" s="48"/>
    </row>
    <row r="35" spans="1:14">
      <c r="A35" s="46"/>
      <c r="B35" s="46"/>
      <c r="C35" s="46"/>
      <c r="D35" s="46"/>
      <c r="E35" s="47">
        <f>SUM(E4:E34)</f>
        <v>4000</v>
      </c>
      <c r="F35" s="47"/>
      <c r="G35" s="47">
        <f>SUM(G4:G34)</f>
        <v>366080</v>
      </c>
      <c r="H35" s="47">
        <f>SUM(H4:H34)</f>
        <v>275</v>
      </c>
      <c r="I35" s="47"/>
      <c r="J35" s="47">
        <f>SUM(J4:J34)</f>
        <v>28509.25</v>
      </c>
      <c r="K35" s="47">
        <f>SUM(K4:K34)</f>
        <v>394589.25</v>
      </c>
      <c r="L35" s="47">
        <f>SUM(L4:L34)</f>
        <v>500000</v>
      </c>
      <c r="M35" s="47"/>
      <c r="N35" s="47"/>
    </row>
  </sheetData>
  <mergeCells count="2">
    <mergeCell ref="A1:N1"/>
    <mergeCell ref="A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23" activePane="bottomLeft" state="frozen"/>
      <selection pane="bottomLeft" activeCell="M34" sqref="M34"/>
    </sheetView>
  </sheetViews>
  <sheetFormatPr defaultColWidth="9.28515625" defaultRowHeight="15"/>
  <cols>
    <col min="1" max="1" width="5.42578125" style="57" bestFit="1" customWidth="1"/>
    <col min="2" max="2" width="11" style="57" bestFit="1" customWidth="1"/>
    <col min="3" max="3" width="7.140625" style="57" bestFit="1" customWidth="1"/>
    <col min="4" max="4" width="15.140625" style="57" bestFit="1" customWidth="1"/>
    <col min="5" max="5" width="9.28515625" style="57"/>
    <col min="6" max="6" width="9.85546875" style="57" bestFit="1" customWidth="1"/>
    <col min="7" max="7" width="10.42578125" style="57" bestFit="1" customWidth="1"/>
    <col min="8" max="8" width="9.28515625" style="57"/>
    <col min="9" max="9" width="7.140625" style="57" bestFit="1" customWidth="1"/>
    <col min="10" max="10" width="9.5703125" style="57" bestFit="1" customWidth="1"/>
    <col min="11" max="11" width="12.28515625" style="57" customWidth="1"/>
    <col min="12" max="12" width="11.7109375" style="57" bestFit="1" customWidth="1"/>
    <col min="13" max="13" width="11.7109375" style="57" customWidth="1"/>
    <col min="14" max="14" width="17.7109375" style="57" bestFit="1" customWidth="1"/>
    <col min="15" max="16384" width="9.28515625" style="57"/>
  </cols>
  <sheetData>
    <row r="1" spans="1:15" ht="15.75">
      <c r="A1" s="464" t="s">
        <v>42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</row>
    <row r="2" spans="1:15" ht="25.5">
      <c r="A2" s="93" t="s">
        <v>95</v>
      </c>
      <c r="B2" s="94" t="s">
        <v>96</v>
      </c>
      <c r="C2" s="94" t="s">
        <v>97</v>
      </c>
      <c r="D2" s="94" t="s">
        <v>98</v>
      </c>
      <c r="E2" s="94" t="s">
        <v>99</v>
      </c>
      <c r="F2" s="94" t="s">
        <v>100</v>
      </c>
      <c r="G2" s="94" t="s">
        <v>101</v>
      </c>
      <c r="H2" s="94" t="s">
        <v>102</v>
      </c>
      <c r="I2" s="94" t="s">
        <v>100</v>
      </c>
      <c r="J2" s="119" t="s">
        <v>101</v>
      </c>
      <c r="K2" s="121" t="s">
        <v>103</v>
      </c>
      <c r="L2" s="122" t="s">
        <v>104</v>
      </c>
      <c r="M2" s="123" t="s">
        <v>110</v>
      </c>
      <c r="N2" s="95" t="s">
        <v>106</v>
      </c>
      <c r="O2" s="33"/>
    </row>
    <row r="3" spans="1:15" ht="15.75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7"/>
      <c r="K3" s="58">
        <v>321350.80000000005</v>
      </c>
      <c r="L3" s="130"/>
      <c r="M3" s="127">
        <f>+K3</f>
        <v>321350.80000000005</v>
      </c>
      <c r="N3" s="56"/>
    </row>
    <row r="4" spans="1:15" ht="15.75">
      <c r="A4" s="26">
        <v>1</v>
      </c>
      <c r="B4" s="27">
        <v>45962</v>
      </c>
      <c r="C4" s="125"/>
      <c r="D4" s="126"/>
      <c r="E4" s="85"/>
      <c r="F4" s="124"/>
      <c r="G4" s="124">
        <f>E4*F4</f>
        <v>0</v>
      </c>
      <c r="H4" s="124"/>
      <c r="I4" s="124"/>
      <c r="J4" s="124">
        <f>H4*I4</f>
        <v>0</v>
      </c>
      <c r="K4" s="124">
        <f>G4+J4</f>
        <v>0</v>
      </c>
      <c r="L4" s="124"/>
      <c r="M4" s="130">
        <f>M3+K4-L4</f>
        <v>321350.80000000005</v>
      </c>
      <c r="N4" s="124"/>
    </row>
    <row r="5" spans="1:15" ht="15.75">
      <c r="A5" s="26">
        <v>2</v>
      </c>
      <c r="B5" s="27">
        <v>45963</v>
      </c>
      <c r="C5" s="23"/>
      <c r="D5" s="24"/>
      <c r="E5" s="85"/>
      <c r="F5" s="124"/>
      <c r="G5" s="124">
        <f t="shared" ref="G5:G33" si="0">E5*F5</f>
        <v>0</v>
      </c>
      <c r="H5" s="124"/>
      <c r="I5" s="124"/>
      <c r="J5" s="124">
        <f t="shared" ref="J5:J33" si="1">H5*I5</f>
        <v>0</v>
      </c>
      <c r="K5" s="124">
        <f t="shared" ref="K5:K33" si="2">G5+J5</f>
        <v>0</v>
      </c>
      <c r="L5" s="124"/>
      <c r="M5" s="130">
        <f>M4+K5-L5</f>
        <v>321350.80000000005</v>
      </c>
      <c r="N5" s="48"/>
    </row>
    <row r="6" spans="1:15" ht="18.75" customHeight="1">
      <c r="A6" s="26">
        <v>3</v>
      </c>
      <c r="B6" s="27">
        <v>45964</v>
      </c>
      <c r="C6" s="220"/>
      <c r="D6" s="199"/>
      <c r="E6" s="85"/>
      <c r="F6" s="124"/>
      <c r="G6" s="124">
        <f t="shared" si="0"/>
        <v>0</v>
      </c>
      <c r="H6" s="124"/>
      <c r="I6" s="124"/>
      <c r="J6" s="124">
        <f t="shared" si="1"/>
        <v>0</v>
      </c>
      <c r="K6" s="124">
        <f t="shared" si="2"/>
        <v>0</v>
      </c>
      <c r="L6" s="124"/>
      <c r="M6" s="130">
        <f>M5+K6-L6</f>
        <v>321350.80000000005</v>
      </c>
      <c r="N6" s="56"/>
    </row>
    <row r="7" spans="1:15" ht="15.75">
      <c r="A7" s="26">
        <v>4</v>
      </c>
      <c r="B7" s="27">
        <v>45965</v>
      </c>
      <c r="C7" s="218"/>
      <c r="D7" s="219"/>
      <c r="E7" s="85"/>
      <c r="F7" s="124"/>
      <c r="G7" s="124">
        <f t="shared" ref="G7" si="3">E7*F7</f>
        <v>0</v>
      </c>
      <c r="H7" s="124"/>
      <c r="I7" s="124"/>
      <c r="J7" s="124">
        <f t="shared" ref="J7" si="4">H7*I7</f>
        <v>0</v>
      </c>
      <c r="K7" s="124">
        <f t="shared" ref="K7" si="5">G7+J7</f>
        <v>0</v>
      </c>
      <c r="L7" s="124"/>
      <c r="M7" s="130">
        <f>M6+K7-L7</f>
        <v>321350.80000000005</v>
      </c>
      <c r="N7" s="48"/>
    </row>
    <row r="8" spans="1:15" ht="15.75" customHeight="1">
      <c r="A8" s="26">
        <v>5</v>
      </c>
      <c r="B8" s="27">
        <v>45966</v>
      </c>
      <c r="C8" s="124"/>
      <c r="D8" s="124"/>
      <c r="E8" s="85"/>
      <c r="F8" s="124"/>
      <c r="G8" s="124">
        <f t="shared" si="0"/>
        <v>0</v>
      </c>
      <c r="H8" s="124"/>
      <c r="I8" s="124"/>
      <c r="J8" s="124">
        <f t="shared" si="1"/>
        <v>0</v>
      </c>
      <c r="K8" s="124">
        <f t="shared" si="2"/>
        <v>0</v>
      </c>
      <c r="L8" s="124"/>
      <c r="M8" s="130">
        <f t="shared" ref="M8:M34" si="6">M7+K8-L8</f>
        <v>321350.80000000005</v>
      </c>
      <c r="N8" s="56"/>
    </row>
    <row r="9" spans="1:15" ht="15.75" customHeight="1">
      <c r="A9" s="26">
        <v>6</v>
      </c>
      <c r="B9" s="27">
        <v>45967</v>
      </c>
      <c r="C9" s="56"/>
      <c r="D9" s="124"/>
      <c r="E9" s="85"/>
      <c r="F9" s="124"/>
      <c r="G9" s="124">
        <f t="shared" si="0"/>
        <v>0</v>
      </c>
      <c r="H9" s="124">
        <v>70</v>
      </c>
      <c r="I9" s="124">
        <v>104.08</v>
      </c>
      <c r="J9" s="124">
        <f t="shared" si="1"/>
        <v>7285.5999999999995</v>
      </c>
      <c r="K9" s="124">
        <f t="shared" si="2"/>
        <v>7285.5999999999995</v>
      </c>
      <c r="L9" s="124"/>
      <c r="M9" s="130">
        <f t="shared" si="6"/>
        <v>328636.40000000002</v>
      </c>
      <c r="N9" s="56"/>
    </row>
    <row r="10" spans="1:15" ht="15.75" customHeight="1">
      <c r="A10" s="26">
        <v>7</v>
      </c>
      <c r="B10" s="27">
        <v>45968</v>
      </c>
      <c r="C10" s="56"/>
      <c r="D10" s="124"/>
      <c r="E10" s="85"/>
      <c r="F10" s="124"/>
      <c r="G10" s="124">
        <f t="shared" si="0"/>
        <v>0</v>
      </c>
      <c r="H10" s="124"/>
      <c r="I10" s="124"/>
      <c r="J10" s="124">
        <f t="shared" si="1"/>
        <v>0</v>
      </c>
      <c r="K10" s="124">
        <f t="shared" si="2"/>
        <v>0</v>
      </c>
      <c r="L10" s="124"/>
      <c r="M10" s="130">
        <f t="shared" si="6"/>
        <v>328636.40000000002</v>
      </c>
      <c r="N10" s="56"/>
    </row>
    <row r="11" spans="1:15" ht="15.75" customHeight="1">
      <c r="A11" s="26">
        <v>8</v>
      </c>
      <c r="B11" s="27">
        <v>45969</v>
      </c>
      <c r="C11" s="56"/>
      <c r="D11" s="124"/>
      <c r="E11" s="85"/>
      <c r="F11" s="124"/>
      <c r="G11" s="124">
        <f t="shared" si="0"/>
        <v>0</v>
      </c>
      <c r="H11" s="124"/>
      <c r="I11" s="124"/>
      <c r="J11" s="124">
        <f t="shared" si="1"/>
        <v>0</v>
      </c>
      <c r="K11" s="124">
        <f t="shared" si="2"/>
        <v>0</v>
      </c>
      <c r="L11" s="124"/>
      <c r="M11" s="130">
        <f t="shared" si="6"/>
        <v>328636.40000000002</v>
      </c>
      <c r="N11" s="56"/>
    </row>
    <row r="12" spans="1:15" ht="15.75" customHeight="1">
      <c r="A12" s="26">
        <v>9</v>
      </c>
      <c r="B12" s="27">
        <v>45970</v>
      </c>
      <c r="C12" s="56"/>
      <c r="D12" s="124"/>
      <c r="E12" s="85"/>
      <c r="F12" s="124"/>
      <c r="G12" s="124">
        <f t="shared" si="0"/>
        <v>0</v>
      </c>
      <c r="H12" s="124"/>
      <c r="I12" s="124"/>
      <c r="J12" s="124">
        <f t="shared" si="1"/>
        <v>0</v>
      </c>
      <c r="K12" s="124">
        <f t="shared" si="2"/>
        <v>0</v>
      </c>
      <c r="L12" s="124"/>
      <c r="M12" s="130">
        <f t="shared" si="6"/>
        <v>328636.40000000002</v>
      </c>
      <c r="N12" s="56"/>
    </row>
    <row r="13" spans="1:15" ht="15.75" customHeight="1">
      <c r="A13" s="26">
        <v>10</v>
      </c>
      <c r="B13" s="27">
        <v>45971</v>
      </c>
      <c r="C13" s="56"/>
      <c r="D13" s="124"/>
      <c r="E13" s="85"/>
      <c r="F13" s="124"/>
      <c r="G13" s="124">
        <f t="shared" si="0"/>
        <v>0</v>
      </c>
      <c r="H13" s="124"/>
      <c r="I13" s="124"/>
      <c r="J13" s="124">
        <f t="shared" si="1"/>
        <v>0</v>
      </c>
      <c r="K13" s="124">
        <f t="shared" si="2"/>
        <v>0</v>
      </c>
      <c r="L13" s="124"/>
      <c r="M13" s="130">
        <f t="shared" si="6"/>
        <v>328636.40000000002</v>
      </c>
      <c r="N13" s="56"/>
    </row>
    <row r="14" spans="1:15" ht="15.75" customHeight="1">
      <c r="A14" s="26">
        <v>11</v>
      </c>
      <c r="B14" s="27">
        <v>45972</v>
      </c>
      <c r="C14" s="56"/>
      <c r="D14" s="124"/>
      <c r="E14" s="85"/>
      <c r="F14" s="124"/>
      <c r="G14" s="124">
        <f t="shared" si="0"/>
        <v>0</v>
      </c>
      <c r="H14" s="124"/>
      <c r="I14" s="124"/>
      <c r="J14" s="124">
        <f t="shared" si="1"/>
        <v>0</v>
      </c>
      <c r="K14" s="124">
        <f t="shared" si="2"/>
        <v>0</v>
      </c>
      <c r="L14" s="124"/>
      <c r="M14" s="130">
        <f t="shared" si="6"/>
        <v>328636.40000000002</v>
      </c>
      <c r="N14" s="56"/>
    </row>
    <row r="15" spans="1:15" ht="15.75" customHeight="1">
      <c r="A15" s="26">
        <v>12</v>
      </c>
      <c r="B15" s="27">
        <v>45973</v>
      </c>
      <c r="C15" s="56"/>
      <c r="D15" s="124"/>
      <c r="E15" s="85"/>
      <c r="F15" s="124"/>
      <c r="G15" s="124">
        <f t="shared" si="0"/>
        <v>0</v>
      </c>
      <c r="H15" s="124"/>
      <c r="I15" s="124"/>
      <c r="J15" s="124">
        <f t="shared" si="1"/>
        <v>0</v>
      </c>
      <c r="K15" s="124">
        <f t="shared" si="2"/>
        <v>0</v>
      </c>
      <c r="L15" s="124"/>
      <c r="M15" s="130">
        <f t="shared" si="6"/>
        <v>328636.40000000002</v>
      </c>
      <c r="N15" s="56"/>
    </row>
    <row r="16" spans="1:15" ht="15.75" customHeight="1">
      <c r="A16" s="26">
        <v>13</v>
      </c>
      <c r="B16" s="27">
        <v>45974</v>
      </c>
      <c r="C16" s="56"/>
      <c r="D16" s="124"/>
      <c r="E16" s="85">
        <v>1000</v>
      </c>
      <c r="F16" s="124">
        <v>92.23</v>
      </c>
      <c r="G16" s="124">
        <f t="shared" si="0"/>
        <v>92230</v>
      </c>
      <c r="H16" s="124">
        <v>35</v>
      </c>
      <c r="I16" s="124">
        <v>104.08</v>
      </c>
      <c r="J16" s="124">
        <f t="shared" si="1"/>
        <v>3642.7999999999997</v>
      </c>
      <c r="K16" s="124">
        <f t="shared" si="2"/>
        <v>95872.8</v>
      </c>
      <c r="L16" s="124"/>
      <c r="M16" s="130">
        <f t="shared" si="6"/>
        <v>424509.2</v>
      </c>
      <c r="N16" s="56"/>
    </row>
    <row r="17" spans="1:14" ht="15.75" customHeight="1">
      <c r="A17" s="26">
        <v>14</v>
      </c>
      <c r="B17" s="27">
        <v>45975</v>
      </c>
      <c r="C17" s="56"/>
      <c r="D17" s="124"/>
      <c r="E17" s="85"/>
      <c r="F17" s="124"/>
      <c r="G17" s="124">
        <f t="shared" si="0"/>
        <v>0</v>
      </c>
      <c r="H17" s="124"/>
      <c r="I17" s="124"/>
      <c r="J17" s="124">
        <f t="shared" si="1"/>
        <v>0</v>
      </c>
      <c r="K17" s="124">
        <f t="shared" si="2"/>
        <v>0</v>
      </c>
      <c r="L17" s="124"/>
      <c r="M17" s="130">
        <f t="shared" si="6"/>
        <v>424509.2</v>
      </c>
      <c r="N17" s="56"/>
    </row>
    <row r="18" spans="1:14" ht="15.75" customHeight="1">
      <c r="A18" s="26">
        <v>15</v>
      </c>
      <c r="B18" s="27">
        <v>45976</v>
      </c>
      <c r="C18" s="56"/>
      <c r="D18" s="124"/>
      <c r="E18" s="85"/>
      <c r="F18" s="124"/>
      <c r="G18" s="124">
        <f t="shared" si="0"/>
        <v>0</v>
      </c>
      <c r="H18" s="124"/>
      <c r="I18" s="124"/>
      <c r="J18" s="124">
        <f t="shared" si="1"/>
        <v>0</v>
      </c>
      <c r="K18" s="124">
        <f t="shared" si="2"/>
        <v>0</v>
      </c>
      <c r="L18" s="124">
        <v>200000</v>
      </c>
      <c r="M18" s="130">
        <f t="shared" si="6"/>
        <v>224509.2</v>
      </c>
      <c r="N18" s="56"/>
    </row>
    <row r="19" spans="1:14" ht="15.75" customHeight="1">
      <c r="A19" s="26">
        <v>16</v>
      </c>
      <c r="B19" s="27">
        <v>45977</v>
      </c>
      <c r="C19" s="56"/>
      <c r="D19" s="124"/>
      <c r="E19" s="85"/>
      <c r="F19" s="124"/>
      <c r="G19" s="124">
        <f t="shared" si="0"/>
        <v>0</v>
      </c>
      <c r="H19" s="124"/>
      <c r="I19" s="124"/>
      <c r="J19" s="124">
        <f t="shared" si="1"/>
        <v>0</v>
      </c>
      <c r="K19" s="124">
        <f t="shared" si="2"/>
        <v>0</v>
      </c>
      <c r="L19" s="124"/>
      <c r="M19" s="130">
        <f t="shared" si="6"/>
        <v>224509.2</v>
      </c>
      <c r="N19" s="56"/>
    </row>
    <row r="20" spans="1:14" ht="15.75" customHeight="1">
      <c r="A20" s="26">
        <v>17</v>
      </c>
      <c r="B20" s="27">
        <v>45978</v>
      </c>
      <c r="C20" s="56"/>
      <c r="D20" s="124"/>
      <c r="E20" s="85"/>
      <c r="F20" s="124"/>
      <c r="G20" s="124">
        <f t="shared" si="0"/>
        <v>0</v>
      </c>
      <c r="H20" s="124"/>
      <c r="I20" s="124"/>
      <c r="J20" s="124">
        <f t="shared" si="1"/>
        <v>0</v>
      </c>
      <c r="K20" s="124">
        <f t="shared" si="2"/>
        <v>0</v>
      </c>
      <c r="L20" s="124"/>
      <c r="M20" s="130">
        <f t="shared" si="6"/>
        <v>224509.2</v>
      </c>
      <c r="N20" s="56"/>
    </row>
    <row r="21" spans="1:14" ht="15.75" customHeight="1">
      <c r="A21" s="26">
        <v>18</v>
      </c>
      <c r="B21" s="27">
        <v>45979</v>
      </c>
      <c r="C21" s="56"/>
      <c r="D21" s="124"/>
      <c r="E21" s="85"/>
      <c r="F21" s="124"/>
      <c r="G21" s="124">
        <f t="shared" si="0"/>
        <v>0</v>
      </c>
      <c r="H21" s="124"/>
      <c r="I21" s="124"/>
      <c r="J21" s="124">
        <f t="shared" si="1"/>
        <v>0</v>
      </c>
      <c r="K21" s="124">
        <f t="shared" si="2"/>
        <v>0</v>
      </c>
      <c r="L21" s="124"/>
      <c r="M21" s="130">
        <f t="shared" si="6"/>
        <v>224509.2</v>
      </c>
      <c r="N21" s="56"/>
    </row>
    <row r="22" spans="1:14" ht="15.75" customHeight="1">
      <c r="A22" s="26">
        <v>19</v>
      </c>
      <c r="B22" s="27">
        <v>45980</v>
      </c>
      <c r="C22" s="56"/>
      <c r="D22" s="124"/>
      <c r="E22" s="85"/>
      <c r="F22" s="124"/>
      <c r="G22" s="124">
        <f t="shared" si="0"/>
        <v>0</v>
      </c>
      <c r="H22" s="124"/>
      <c r="I22" s="124"/>
      <c r="J22" s="124">
        <f t="shared" si="1"/>
        <v>0</v>
      </c>
      <c r="K22" s="124">
        <f t="shared" si="2"/>
        <v>0</v>
      </c>
      <c r="L22" s="124"/>
      <c r="M22" s="130">
        <f t="shared" si="6"/>
        <v>224509.2</v>
      </c>
      <c r="N22" s="56"/>
    </row>
    <row r="23" spans="1:14" ht="15.75" customHeight="1">
      <c r="A23" s="26">
        <v>20</v>
      </c>
      <c r="B23" s="27">
        <v>45981</v>
      </c>
      <c r="C23" s="56"/>
      <c r="D23" s="124"/>
      <c r="E23" s="85">
        <v>1500</v>
      </c>
      <c r="F23" s="124">
        <v>92.23</v>
      </c>
      <c r="G23" s="124">
        <f t="shared" si="0"/>
        <v>138345</v>
      </c>
      <c r="H23" s="124">
        <v>70</v>
      </c>
      <c r="I23" s="124">
        <v>104.08</v>
      </c>
      <c r="J23" s="124">
        <f t="shared" si="1"/>
        <v>7285.5999999999995</v>
      </c>
      <c r="K23" s="124">
        <f t="shared" si="2"/>
        <v>145630.6</v>
      </c>
      <c r="L23" s="124"/>
      <c r="M23" s="130">
        <f t="shared" si="6"/>
        <v>370139.80000000005</v>
      </c>
      <c r="N23" s="56"/>
    </row>
    <row r="24" spans="1:14" ht="15.75" customHeight="1">
      <c r="A24" s="26">
        <v>21</v>
      </c>
      <c r="B24" s="27">
        <v>45982</v>
      </c>
      <c r="C24" s="56"/>
      <c r="D24" s="124"/>
      <c r="E24" s="85"/>
      <c r="F24" s="124"/>
      <c r="G24" s="124">
        <f t="shared" si="0"/>
        <v>0</v>
      </c>
      <c r="H24" s="124"/>
      <c r="I24" s="124"/>
      <c r="J24" s="124">
        <f t="shared" si="1"/>
        <v>0</v>
      </c>
      <c r="K24" s="124">
        <f t="shared" si="2"/>
        <v>0</v>
      </c>
      <c r="L24" s="124">
        <v>200000</v>
      </c>
      <c r="M24" s="130">
        <f t="shared" si="6"/>
        <v>170139.80000000005</v>
      </c>
      <c r="N24" s="56"/>
    </row>
    <row r="25" spans="1:14" ht="15.75" customHeight="1">
      <c r="A25" s="26">
        <v>22</v>
      </c>
      <c r="B25" s="27">
        <v>45983</v>
      </c>
      <c r="C25" s="56"/>
      <c r="D25" s="124"/>
      <c r="E25" s="85"/>
      <c r="F25" s="124"/>
      <c r="G25" s="124">
        <f t="shared" si="0"/>
        <v>0</v>
      </c>
      <c r="H25" s="124"/>
      <c r="I25" s="124"/>
      <c r="J25" s="124">
        <f t="shared" si="1"/>
        <v>0</v>
      </c>
      <c r="K25" s="124">
        <f t="shared" si="2"/>
        <v>0</v>
      </c>
      <c r="L25" s="124"/>
      <c r="M25" s="130">
        <f t="shared" si="6"/>
        <v>170139.80000000005</v>
      </c>
      <c r="N25" s="56"/>
    </row>
    <row r="26" spans="1:14" ht="15.75" customHeight="1">
      <c r="A26" s="26">
        <v>23</v>
      </c>
      <c r="B26" s="27">
        <v>45984</v>
      </c>
      <c r="C26" s="56"/>
      <c r="D26" s="124"/>
      <c r="E26" s="85"/>
      <c r="F26" s="124"/>
      <c r="G26" s="124">
        <f t="shared" si="0"/>
        <v>0</v>
      </c>
      <c r="H26" s="124"/>
      <c r="I26" s="124"/>
      <c r="J26" s="124">
        <f t="shared" si="1"/>
        <v>0</v>
      </c>
      <c r="K26" s="124">
        <f t="shared" si="2"/>
        <v>0</v>
      </c>
      <c r="L26" s="124"/>
      <c r="M26" s="130">
        <f t="shared" si="6"/>
        <v>170139.80000000005</v>
      </c>
      <c r="N26" s="56"/>
    </row>
    <row r="27" spans="1:14" ht="15.75" customHeight="1">
      <c r="A27" s="26">
        <v>24</v>
      </c>
      <c r="B27" s="27">
        <v>45985</v>
      </c>
      <c r="C27" s="56"/>
      <c r="D27" s="124"/>
      <c r="E27" s="85"/>
      <c r="F27" s="124"/>
      <c r="G27" s="124">
        <f t="shared" si="0"/>
        <v>0</v>
      </c>
      <c r="H27" s="124"/>
      <c r="I27" s="124"/>
      <c r="J27" s="124">
        <f t="shared" si="1"/>
        <v>0</v>
      </c>
      <c r="K27" s="124">
        <f t="shared" si="2"/>
        <v>0</v>
      </c>
      <c r="L27" s="124"/>
      <c r="M27" s="130">
        <f t="shared" si="6"/>
        <v>170139.80000000005</v>
      </c>
      <c r="N27" s="56"/>
    </row>
    <row r="28" spans="1:14" ht="15.75" customHeight="1">
      <c r="A28" s="26">
        <v>25</v>
      </c>
      <c r="B28" s="27">
        <v>45986</v>
      </c>
      <c r="C28" s="56"/>
      <c r="D28" s="124"/>
      <c r="E28" s="85"/>
      <c r="F28" s="124"/>
      <c r="G28" s="124">
        <f t="shared" si="0"/>
        <v>0</v>
      </c>
      <c r="H28" s="124"/>
      <c r="I28" s="124"/>
      <c r="J28" s="124">
        <f t="shared" si="1"/>
        <v>0</v>
      </c>
      <c r="K28" s="124">
        <f t="shared" si="2"/>
        <v>0</v>
      </c>
      <c r="L28" s="124"/>
      <c r="M28" s="130">
        <f t="shared" si="6"/>
        <v>170139.80000000005</v>
      </c>
      <c r="N28" s="56"/>
    </row>
    <row r="29" spans="1:14" ht="15.75" customHeight="1">
      <c r="A29" s="26">
        <v>26</v>
      </c>
      <c r="B29" s="27">
        <v>45987</v>
      </c>
      <c r="C29" s="56"/>
      <c r="D29" s="124"/>
      <c r="E29" s="85"/>
      <c r="F29" s="124"/>
      <c r="G29" s="124">
        <f t="shared" si="0"/>
        <v>0</v>
      </c>
      <c r="H29" s="124"/>
      <c r="I29" s="124"/>
      <c r="J29" s="124">
        <f t="shared" si="1"/>
        <v>0</v>
      </c>
      <c r="K29" s="124">
        <f t="shared" si="2"/>
        <v>0</v>
      </c>
      <c r="L29" s="124"/>
      <c r="M29" s="130">
        <f t="shared" si="6"/>
        <v>170139.80000000005</v>
      </c>
      <c r="N29" s="56"/>
    </row>
    <row r="30" spans="1:14" ht="15.75" customHeight="1">
      <c r="A30" s="26">
        <v>27</v>
      </c>
      <c r="B30" s="27">
        <v>45988</v>
      </c>
      <c r="C30" s="56"/>
      <c r="D30" s="124"/>
      <c r="E30" s="85">
        <v>2300</v>
      </c>
      <c r="F30" s="124">
        <v>92.23</v>
      </c>
      <c r="G30" s="124">
        <f t="shared" si="0"/>
        <v>212129</v>
      </c>
      <c r="H30" s="124">
        <v>35</v>
      </c>
      <c r="I30" s="124">
        <v>104.08</v>
      </c>
      <c r="J30" s="124">
        <f t="shared" si="1"/>
        <v>3642.7999999999997</v>
      </c>
      <c r="K30" s="124">
        <f t="shared" si="2"/>
        <v>215771.8</v>
      </c>
      <c r="L30" s="124"/>
      <c r="M30" s="130">
        <f t="shared" si="6"/>
        <v>385911.60000000003</v>
      </c>
      <c r="N30" s="56"/>
    </row>
    <row r="31" spans="1:14" ht="15.75" customHeight="1">
      <c r="A31" s="26">
        <v>28</v>
      </c>
      <c r="B31" s="27">
        <v>45989</v>
      </c>
      <c r="C31" s="56"/>
      <c r="D31" s="124"/>
      <c r="E31" s="85"/>
      <c r="F31" s="124"/>
      <c r="G31" s="124">
        <f t="shared" si="0"/>
        <v>0</v>
      </c>
      <c r="H31" s="124"/>
      <c r="I31" s="124"/>
      <c r="J31" s="124">
        <f t="shared" si="1"/>
        <v>0</v>
      </c>
      <c r="K31" s="124">
        <f t="shared" si="2"/>
        <v>0</v>
      </c>
      <c r="L31" s="124"/>
      <c r="M31" s="130">
        <f t="shared" si="6"/>
        <v>385911.60000000003</v>
      </c>
      <c r="N31" s="56"/>
    </row>
    <row r="32" spans="1:14" ht="15.75" customHeight="1">
      <c r="A32" s="26">
        <v>29</v>
      </c>
      <c r="B32" s="27">
        <v>45990</v>
      </c>
      <c r="C32" s="56"/>
      <c r="D32" s="124"/>
      <c r="E32" s="85"/>
      <c r="F32" s="124"/>
      <c r="G32" s="124">
        <f t="shared" si="0"/>
        <v>0</v>
      </c>
      <c r="H32" s="124"/>
      <c r="I32" s="124"/>
      <c r="J32" s="124">
        <f t="shared" si="1"/>
        <v>0</v>
      </c>
      <c r="K32" s="124">
        <f t="shared" si="2"/>
        <v>0</v>
      </c>
      <c r="L32" s="124"/>
      <c r="M32" s="130">
        <f t="shared" si="6"/>
        <v>385911.60000000003</v>
      </c>
      <c r="N32" s="56"/>
    </row>
    <row r="33" spans="1:15" ht="15.75" customHeight="1">
      <c r="A33" s="26">
        <v>30</v>
      </c>
      <c r="B33" s="27">
        <v>45991</v>
      </c>
      <c r="C33" s="56"/>
      <c r="D33" s="124"/>
      <c r="E33" s="85"/>
      <c r="F33" s="124"/>
      <c r="G33" s="124">
        <f t="shared" si="0"/>
        <v>0</v>
      </c>
      <c r="H33" s="124"/>
      <c r="I33" s="124"/>
      <c r="J33" s="124">
        <f t="shared" si="1"/>
        <v>0</v>
      </c>
      <c r="K33" s="124">
        <f t="shared" si="2"/>
        <v>0</v>
      </c>
      <c r="L33" s="124">
        <v>0</v>
      </c>
      <c r="M33" s="130">
        <f t="shared" si="6"/>
        <v>385911.60000000003</v>
      </c>
      <c r="N33" s="56"/>
    </row>
    <row r="34" spans="1:15" ht="15.75" customHeight="1">
      <c r="A34" s="26">
        <v>31</v>
      </c>
      <c r="B34" s="27">
        <v>45992</v>
      </c>
      <c r="C34" s="56"/>
      <c r="D34" s="124"/>
      <c r="E34" s="85"/>
      <c r="F34" s="124"/>
      <c r="G34" s="124">
        <f t="shared" ref="G34" si="7">E34*F34</f>
        <v>0</v>
      </c>
      <c r="H34" s="124"/>
      <c r="I34" s="124"/>
      <c r="J34" s="124">
        <f t="shared" ref="J34" si="8">H34*I34</f>
        <v>0</v>
      </c>
      <c r="K34" s="124">
        <f t="shared" ref="K34" si="9">G34+J34</f>
        <v>0</v>
      </c>
      <c r="L34" s="124"/>
      <c r="M34" s="130">
        <f t="shared" si="6"/>
        <v>385911.60000000003</v>
      </c>
      <c r="N34" s="56"/>
    </row>
    <row r="35" spans="1:15">
      <c r="A35" s="46"/>
      <c r="B35" s="46"/>
      <c r="C35" s="46"/>
      <c r="D35" s="46"/>
      <c r="E35" s="47">
        <f>SUM(E4:E34)</f>
        <v>4800</v>
      </c>
      <c r="F35" s="47"/>
      <c r="G35" s="47">
        <f>SUM(G4:G34)</f>
        <v>442704</v>
      </c>
      <c r="H35" s="47">
        <f>SUM(H4:H34)</f>
        <v>210</v>
      </c>
      <c r="I35" s="47"/>
      <c r="J35" s="47">
        <f>SUM(J4:J34)</f>
        <v>21856.799999999999</v>
      </c>
      <c r="K35" s="47">
        <f>SUM(K4:K34)</f>
        <v>464560.8</v>
      </c>
      <c r="L35" s="47">
        <f>SUM(L4:L34)</f>
        <v>400000</v>
      </c>
      <c r="M35" s="47"/>
      <c r="N35" s="47"/>
      <c r="O35" s="33"/>
    </row>
    <row r="37" spans="1:15">
      <c r="D37" s="49"/>
      <c r="E37" s="49"/>
    </row>
  </sheetData>
  <mergeCells count="2">
    <mergeCell ref="A1:N1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5"/>
  <sheetViews>
    <sheetView workbookViewId="0">
      <pane ySplit="2" topLeftCell="A17" activePane="bottomLeft" state="frozen"/>
      <selection pane="bottomLeft" activeCell="M30" sqref="M30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465" t="s">
        <v>146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88"/>
    </row>
    <row r="2" spans="1:15">
      <c r="A2" s="131" t="s">
        <v>95</v>
      </c>
      <c r="B2" s="132" t="s">
        <v>96</v>
      </c>
      <c r="C2" s="132" t="s">
        <v>97</v>
      </c>
      <c r="D2" s="132" t="s">
        <v>98</v>
      </c>
      <c r="E2" s="132" t="s">
        <v>99</v>
      </c>
      <c r="F2" s="132" t="s">
        <v>100</v>
      </c>
      <c r="G2" s="132" t="s">
        <v>101</v>
      </c>
      <c r="H2" s="132" t="s">
        <v>102</v>
      </c>
      <c r="I2" s="132" t="s">
        <v>100</v>
      </c>
      <c r="J2" s="133" t="s">
        <v>101</v>
      </c>
      <c r="K2" s="131" t="s">
        <v>103</v>
      </c>
      <c r="L2" s="134" t="s">
        <v>104</v>
      </c>
      <c r="M2" s="134" t="s">
        <v>110</v>
      </c>
      <c r="N2" s="132" t="s">
        <v>106</v>
      </c>
      <c r="O2" s="65"/>
    </row>
    <row r="3" spans="1:15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7"/>
      <c r="K3" s="102">
        <v>38935.404999999977</v>
      </c>
      <c r="L3" s="42"/>
      <c r="M3" s="42">
        <f>+K3</f>
        <v>38935.404999999977</v>
      </c>
      <c r="N3" s="17"/>
      <c r="O3" s="65">
        <v>46138.763999999966</v>
      </c>
    </row>
    <row r="4" spans="1:15">
      <c r="A4" s="26">
        <v>1</v>
      </c>
      <c r="B4" s="27">
        <v>45962</v>
      </c>
      <c r="C4" s="135"/>
      <c r="D4" s="136"/>
      <c r="E4" s="99">
        <v>500</v>
      </c>
      <c r="F4" s="99">
        <v>92.14</v>
      </c>
      <c r="G4" s="19">
        <f>E4*F4</f>
        <v>46070</v>
      </c>
      <c r="H4" s="99">
        <v>0</v>
      </c>
      <c r="I4" s="99"/>
      <c r="J4" s="19">
        <f>H4*I4</f>
        <v>0</v>
      </c>
      <c r="K4" s="19">
        <f>G4+J4</f>
        <v>46070</v>
      </c>
      <c r="L4" s="137">
        <v>0</v>
      </c>
      <c r="M4" s="137">
        <f>M3+K4-L4</f>
        <v>85005.40499999997</v>
      </c>
      <c r="N4" s="48"/>
    </row>
    <row r="5" spans="1:15">
      <c r="A5" s="26">
        <v>2</v>
      </c>
      <c r="B5" s="27">
        <v>45963</v>
      </c>
      <c r="C5" s="135"/>
      <c r="D5" s="136"/>
      <c r="E5" s="99"/>
      <c r="F5" s="99"/>
      <c r="G5" s="19">
        <f t="shared" ref="G5:G34" si="0">E5*F5</f>
        <v>0</v>
      </c>
      <c r="H5" s="99"/>
      <c r="I5" s="99"/>
      <c r="J5" s="19">
        <f t="shared" ref="J5:J34" si="1">H5*I5</f>
        <v>0</v>
      </c>
      <c r="K5" s="19">
        <f t="shared" ref="K5:L34" si="2">G5+J5</f>
        <v>0</v>
      </c>
      <c r="L5" s="137">
        <v>0</v>
      </c>
      <c r="M5" s="137">
        <f>M4+K5-L5</f>
        <v>85005.40499999997</v>
      </c>
      <c r="N5" s="48"/>
    </row>
    <row r="6" spans="1:15">
      <c r="A6" s="26">
        <v>3</v>
      </c>
      <c r="B6" s="27">
        <v>45964</v>
      </c>
      <c r="C6" s="135"/>
      <c r="D6" s="136"/>
      <c r="E6" s="99"/>
      <c r="F6" s="99"/>
      <c r="G6" s="19">
        <f t="shared" si="0"/>
        <v>0</v>
      </c>
      <c r="H6" s="99"/>
      <c r="I6" s="99"/>
      <c r="J6" s="19">
        <f t="shared" si="1"/>
        <v>0</v>
      </c>
      <c r="K6" s="19">
        <f t="shared" si="2"/>
        <v>0</v>
      </c>
      <c r="L6" s="137"/>
      <c r="M6" s="137">
        <f>M5+K6-L6</f>
        <v>85005.40499999997</v>
      </c>
      <c r="N6" s="48"/>
    </row>
    <row r="7" spans="1:15">
      <c r="A7" s="26">
        <v>4</v>
      </c>
      <c r="B7" s="27">
        <v>45965</v>
      </c>
      <c r="C7" s="135"/>
      <c r="D7" s="136"/>
      <c r="E7" s="99">
        <v>400</v>
      </c>
      <c r="F7" s="99">
        <v>92.14</v>
      </c>
      <c r="G7" s="19">
        <f t="shared" si="0"/>
        <v>36856</v>
      </c>
      <c r="H7" s="99">
        <v>35</v>
      </c>
      <c r="I7" s="99">
        <v>103.97</v>
      </c>
      <c r="J7" s="19">
        <f t="shared" si="1"/>
        <v>3638.95</v>
      </c>
      <c r="K7" s="19">
        <f t="shared" si="2"/>
        <v>40494.949999999997</v>
      </c>
      <c r="L7" s="137"/>
      <c r="M7" s="137">
        <f>M6+K7-L7</f>
        <v>125500.35499999997</v>
      </c>
      <c r="N7" s="48"/>
    </row>
    <row r="8" spans="1:15">
      <c r="A8" s="26">
        <v>5</v>
      </c>
      <c r="B8" s="27">
        <v>45966</v>
      </c>
      <c r="C8" s="135"/>
      <c r="D8" s="136"/>
      <c r="E8" s="99"/>
      <c r="F8" s="99"/>
      <c r="G8" s="19">
        <f t="shared" si="0"/>
        <v>0</v>
      </c>
      <c r="H8" s="99"/>
      <c r="I8" s="99"/>
      <c r="J8" s="19">
        <f t="shared" si="1"/>
        <v>0</v>
      </c>
      <c r="K8" s="19">
        <f t="shared" si="2"/>
        <v>0</v>
      </c>
      <c r="L8" s="137"/>
      <c r="M8" s="137">
        <f t="shared" ref="M8:M34" si="3">M7+K8-L8</f>
        <v>125500.35499999997</v>
      </c>
      <c r="N8" s="48"/>
      <c r="O8" s="75"/>
    </row>
    <row r="9" spans="1:15">
      <c r="A9" s="26">
        <v>6</v>
      </c>
      <c r="B9" s="27">
        <v>45967</v>
      </c>
      <c r="C9" s="135"/>
      <c r="D9" s="136"/>
      <c r="E9" s="99"/>
      <c r="F9" s="99"/>
      <c r="G9" s="19">
        <f t="shared" si="0"/>
        <v>0</v>
      </c>
      <c r="H9" s="99"/>
      <c r="I9" s="99"/>
      <c r="J9" s="19">
        <f t="shared" si="1"/>
        <v>0</v>
      </c>
      <c r="K9" s="19">
        <f t="shared" si="2"/>
        <v>0</v>
      </c>
      <c r="L9" s="137"/>
      <c r="M9" s="137">
        <f t="shared" si="3"/>
        <v>125500.35499999997</v>
      </c>
      <c r="N9" s="48"/>
      <c r="O9" s="75"/>
    </row>
    <row r="10" spans="1:15">
      <c r="A10" s="26">
        <v>7</v>
      </c>
      <c r="B10" s="27">
        <v>45968</v>
      </c>
      <c r="C10" s="135"/>
      <c r="D10" s="136"/>
      <c r="E10" s="99">
        <v>400</v>
      </c>
      <c r="F10" s="99">
        <v>92.14</v>
      </c>
      <c r="G10" s="19">
        <f t="shared" si="0"/>
        <v>36856</v>
      </c>
      <c r="H10" s="99">
        <v>25</v>
      </c>
      <c r="I10" s="99">
        <v>103.97</v>
      </c>
      <c r="J10" s="19">
        <f t="shared" si="1"/>
        <v>2599.25</v>
      </c>
      <c r="K10" s="19">
        <f t="shared" si="2"/>
        <v>39455.25</v>
      </c>
      <c r="L10" s="137"/>
      <c r="M10" s="137">
        <f t="shared" si="3"/>
        <v>164955.60499999998</v>
      </c>
      <c r="N10" s="48"/>
      <c r="O10" s="75"/>
    </row>
    <row r="11" spans="1:15">
      <c r="A11" s="26">
        <v>8</v>
      </c>
      <c r="B11" s="27">
        <v>45969</v>
      </c>
      <c r="C11" s="135"/>
      <c r="D11" s="136"/>
      <c r="E11" s="99"/>
      <c r="F11" s="99"/>
      <c r="G11" s="19">
        <f t="shared" si="0"/>
        <v>0</v>
      </c>
      <c r="H11" s="99"/>
      <c r="I11" s="99"/>
      <c r="J11" s="19">
        <f t="shared" si="1"/>
        <v>0</v>
      </c>
      <c r="K11" s="19">
        <f t="shared" si="2"/>
        <v>0</v>
      </c>
      <c r="L11" s="137"/>
      <c r="M11" s="137">
        <f t="shared" si="3"/>
        <v>164955.60499999998</v>
      </c>
      <c r="N11" s="48"/>
      <c r="O11" s="75"/>
    </row>
    <row r="12" spans="1:15">
      <c r="A12" s="26">
        <v>9</v>
      </c>
      <c r="B12" s="27">
        <v>45970</v>
      </c>
      <c r="C12" s="135"/>
      <c r="D12" s="136"/>
      <c r="E12" s="99"/>
      <c r="F12" s="99"/>
      <c r="G12" s="19">
        <f t="shared" si="0"/>
        <v>0</v>
      </c>
      <c r="H12" s="99"/>
      <c r="I12" s="99"/>
      <c r="J12" s="19">
        <f t="shared" si="1"/>
        <v>0</v>
      </c>
      <c r="K12" s="19">
        <f t="shared" si="2"/>
        <v>0</v>
      </c>
      <c r="L12" s="137"/>
      <c r="M12" s="137">
        <f t="shared" si="3"/>
        <v>164955.60499999998</v>
      </c>
      <c r="N12" s="48"/>
      <c r="O12" s="75"/>
    </row>
    <row r="13" spans="1:15">
      <c r="A13" s="26">
        <v>10</v>
      </c>
      <c r="B13" s="27">
        <v>45971</v>
      </c>
      <c r="C13" s="135"/>
      <c r="D13" s="136"/>
      <c r="E13" s="99">
        <v>400</v>
      </c>
      <c r="F13" s="99">
        <v>92.14</v>
      </c>
      <c r="G13" s="19">
        <f t="shared" si="0"/>
        <v>36856</v>
      </c>
      <c r="H13" s="99">
        <v>30</v>
      </c>
      <c r="I13" s="99">
        <v>103.97</v>
      </c>
      <c r="J13" s="19">
        <f t="shared" si="1"/>
        <v>3119.1</v>
      </c>
      <c r="K13" s="19">
        <f t="shared" si="2"/>
        <v>39975.1</v>
      </c>
      <c r="L13" s="137"/>
      <c r="M13" s="137">
        <f t="shared" si="3"/>
        <v>204930.70499999999</v>
      </c>
      <c r="N13" s="48"/>
      <c r="O13" s="75"/>
    </row>
    <row r="14" spans="1:15">
      <c r="A14" s="26">
        <v>11</v>
      </c>
      <c r="B14" s="27">
        <v>45972</v>
      </c>
      <c r="C14" s="135"/>
      <c r="D14" s="136"/>
      <c r="E14" s="99"/>
      <c r="F14" s="99"/>
      <c r="G14" s="19">
        <f t="shared" si="0"/>
        <v>0</v>
      </c>
      <c r="H14" s="99"/>
      <c r="I14" s="99"/>
      <c r="J14" s="19">
        <f t="shared" si="1"/>
        <v>0</v>
      </c>
      <c r="K14" s="19">
        <f t="shared" si="2"/>
        <v>0</v>
      </c>
      <c r="L14" s="19"/>
      <c r="M14" s="137">
        <f t="shared" si="3"/>
        <v>204930.70499999999</v>
      </c>
      <c r="N14" s="48"/>
      <c r="O14" s="75"/>
    </row>
    <row r="15" spans="1:15">
      <c r="A15" s="26">
        <v>12</v>
      </c>
      <c r="B15" s="27">
        <v>45973</v>
      </c>
      <c r="C15" s="135"/>
      <c r="D15" s="136"/>
      <c r="E15" s="99"/>
      <c r="F15" s="99"/>
      <c r="G15" s="19">
        <f t="shared" si="0"/>
        <v>0</v>
      </c>
      <c r="H15" s="99"/>
      <c r="I15" s="99"/>
      <c r="J15" s="19">
        <f t="shared" si="1"/>
        <v>0</v>
      </c>
      <c r="K15" s="19">
        <f t="shared" si="2"/>
        <v>0</v>
      </c>
      <c r="L15" s="137"/>
      <c r="M15" s="137">
        <f t="shared" si="3"/>
        <v>204930.70499999999</v>
      </c>
      <c r="N15" s="48"/>
      <c r="O15" s="75"/>
    </row>
    <row r="16" spans="1:15">
      <c r="A16" s="26">
        <v>13</v>
      </c>
      <c r="B16" s="27">
        <v>45974</v>
      </c>
      <c r="C16" s="135"/>
      <c r="D16" s="136"/>
      <c r="E16" s="99">
        <v>500</v>
      </c>
      <c r="F16" s="99">
        <v>92.14</v>
      </c>
      <c r="G16" s="19">
        <f t="shared" si="0"/>
        <v>46070</v>
      </c>
      <c r="H16" s="99">
        <v>20</v>
      </c>
      <c r="I16" s="99">
        <v>103.97</v>
      </c>
      <c r="J16" s="19">
        <f t="shared" si="1"/>
        <v>2079.4</v>
      </c>
      <c r="K16" s="19">
        <f t="shared" si="2"/>
        <v>48149.4</v>
      </c>
      <c r="L16" s="137"/>
      <c r="M16" s="137">
        <f t="shared" si="3"/>
        <v>253080.10499999998</v>
      </c>
      <c r="N16" s="48"/>
      <c r="O16" s="75"/>
    </row>
    <row r="17" spans="1:22">
      <c r="A17" s="26">
        <v>14</v>
      </c>
      <c r="B17" s="27">
        <v>45975</v>
      </c>
      <c r="C17" s="135"/>
      <c r="D17" s="136"/>
      <c r="E17" s="99"/>
      <c r="F17" s="99"/>
      <c r="G17" s="19">
        <f t="shared" si="0"/>
        <v>0</v>
      </c>
      <c r="H17" s="99"/>
      <c r="I17" s="99"/>
      <c r="J17" s="19">
        <f t="shared" si="1"/>
        <v>0</v>
      </c>
      <c r="K17" s="19">
        <f t="shared" si="2"/>
        <v>0</v>
      </c>
      <c r="L17" s="19"/>
      <c r="M17" s="137">
        <f t="shared" si="3"/>
        <v>253080.10499999998</v>
      </c>
      <c r="N17" s="48"/>
      <c r="O17" s="75"/>
      <c r="Q17" s="257">
        <v>2767.8</v>
      </c>
      <c r="S17" s="183">
        <f>Q17-M18</f>
        <v>-80312.304999999978</v>
      </c>
    </row>
    <row r="18" spans="1:22">
      <c r="A18" s="26">
        <v>15</v>
      </c>
      <c r="B18" s="27">
        <v>45976</v>
      </c>
      <c r="C18" s="135"/>
      <c r="D18" s="136"/>
      <c r="E18" s="99"/>
      <c r="F18" s="99"/>
      <c r="G18" s="19">
        <f t="shared" si="0"/>
        <v>0</v>
      </c>
      <c r="H18" s="99"/>
      <c r="I18" s="99"/>
      <c r="J18" s="19">
        <f t="shared" si="1"/>
        <v>0</v>
      </c>
      <c r="K18" s="19">
        <f t="shared" si="2"/>
        <v>0</v>
      </c>
      <c r="L18" s="137">
        <v>170000</v>
      </c>
      <c r="M18" s="137">
        <f t="shared" si="3"/>
        <v>83080.104999999981</v>
      </c>
      <c r="N18" s="48"/>
      <c r="O18" s="75"/>
    </row>
    <row r="19" spans="1:22">
      <c r="A19" s="26">
        <v>16</v>
      </c>
      <c r="B19" s="27">
        <v>45977</v>
      </c>
      <c r="C19" s="135"/>
      <c r="D19" s="136"/>
      <c r="E19" s="99">
        <v>600</v>
      </c>
      <c r="F19" s="99">
        <v>92.14</v>
      </c>
      <c r="G19" s="19">
        <f t="shared" si="0"/>
        <v>55284</v>
      </c>
      <c r="H19" s="99"/>
      <c r="I19" s="99"/>
      <c r="J19" s="19">
        <f t="shared" si="1"/>
        <v>0</v>
      </c>
      <c r="K19" s="19">
        <f t="shared" si="2"/>
        <v>55284</v>
      </c>
      <c r="L19" s="137"/>
      <c r="M19" s="137">
        <f t="shared" si="3"/>
        <v>138364.10499999998</v>
      </c>
      <c r="N19" s="48"/>
      <c r="O19" s="75"/>
    </row>
    <row r="20" spans="1:22">
      <c r="A20" s="26">
        <v>17</v>
      </c>
      <c r="B20" s="27">
        <v>45978</v>
      </c>
      <c r="C20" s="135"/>
      <c r="D20" s="136"/>
      <c r="E20" s="99"/>
      <c r="F20" s="99"/>
      <c r="G20" s="19">
        <f t="shared" si="0"/>
        <v>0</v>
      </c>
      <c r="H20" s="99">
        <v>35</v>
      </c>
      <c r="I20" s="99">
        <v>103.97</v>
      </c>
      <c r="J20" s="19">
        <f t="shared" si="1"/>
        <v>3638.95</v>
      </c>
      <c r="K20" s="19">
        <f t="shared" si="2"/>
        <v>3638.95</v>
      </c>
      <c r="L20" s="137"/>
      <c r="M20" s="137">
        <f t="shared" si="3"/>
        <v>142003.05499999999</v>
      </c>
      <c r="N20" s="48"/>
      <c r="O20" s="75"/>
      <c r="V20">
        <f>400*90.23</f>
        <v>36092</v>
      </c>
    </row>
    <row r="21" spans="1:22">
      <c r="A21" s="26">
        <v>18</v>
      </c>
      <c r="B21" s="27">
        <v>45979</v>
      </c>
      <c r="C21" s="135"/>
      <c r="D21" s="136"/>
      <c r="E21" s="99"/>
      <c r="F21" s="99"/>
      <c r="G21" s="19">
        <f t="shared" si="0"/>
        <v>0</v>
      </c>
      <c r="H21" s="99"/>
      <c r="I21" s="99"/>
      <c r="J21" s="19">
        <f t="shared" si="1"/>
        <v>0</v>
      </c>
      <c r="K21" s="19">
        <f t="shared" si="2"/>
        <v>0</v>
      </c>
      <c r="L21" s="137"/>
      <c r="M21" s="137">
        <f t="shared" si="3"/>
        <v>142003.05499999999</v>
      </c>
      <c r="N21" s="48"/>
      <c r="O21" s="75"/>
      <c r="V21">
        <f>35*104.14</f>
        <v>3644.9</v>
      </c>
    </row>
    <row r="22" spans="1:22">
      <c r="A22" s="26">
        <v>19</v>
      </c>
      <c r="B22" s="27">
        <v>45980</v>
      </c>
      <c r="C22" s="135"/>
      <c r="D22" s="136"/>
      <c r="E22" s="99">
        <v>600</v>
      </c>
      <c r="F22" s="99">
        <v>92.14</v>
      </c>
      <c r="G22" s="19">
        <f t="shared" si="0"/>
        <v>55284</v>
      </c>
      <c r="H22" s="99">
        <v>35</v>
      </c>
      <c r="I22" s="99">
        <v>103.97</v>
      </c>
      <c r="J22" s="19">
        <f t="shared" si="1"/>
        <v>3638.95</v>
      </c>
      <c r="K22" s="19">
        <f t="shared" si="2"/>
        <v>58922.95</v>
      </c>
      <c r="L22" s="137"/>
      <c r="M22" s="137">
        <f t="shared" si="3"/>
        <v>200926.005</v>
      </c>
      <c r="N22" s="48"/>
      <c r="O22" s="75"/>
    </row>
    <row r="23" spans="1:22">
      <c r="A23" s="26">
        <v>20</v>
      </c>
      <c r="B23" s="27">
        <v>45981</v>
      </c>
      <c r="C23" s="135"/>
      <c r="D23" s="136"/>
      <c r="E23" s="99"/>
      <c r="F23" s="99"/>
      <c r="G23" s="19">
        <f t="shared" si="0"/>
        <v>0</v>
      </c>
      <c r="H23" s="99"/>
      <c r="I23" s="99"/>
      <c r="J23" s="19">
        <f t="shared" si="1"/>
        <v>0</v>
      </c>
      <c r="K23" s="19">
        <f t="shared" si="2"/>
        <v>0</v>
      </c>
      <c r="L23" s="137">
        <v>200926</v>
      </c>
      <c r="M23" s="137">
        <f t="shared" si="3"/>
        <v>5.0000000046566129E-3</v>
      </c>
      <c r="N23" s="270"/>
      <c r="O23" s="256"/>
    </row>
    <row r="24" spans="1:22">
      <c r="A24" s="26">
        <v>21</v>
      </c>
      <c r="B24" s="27">
        <v>45982</v>
      </c>
      <c r="C24" s="135"/>
      <c r="D24" s="136"/>
      <c r="E24" s="99"/>
      <c r="F24" s="99"/>
      <c r="G24" s="19">
        <f t="shared" si="0"/>
        <v>0</v>
      </c>
      <c r="H24" s="99"/>
      <c r="I24" s="99"/>
      <c r="J24" s="19">
        <f t="shared" si="1"/>
        <v>0</v>
      </c>
      <c r="K24" s="19">
        <f t="shared" si="2"/>
        <v>0</v>
      </c>
      <c r="L24" s="137"/>
      <c r="M24" s="137">
        <f t="shared" si="3"/>
        <v>5.0000000046566129E-3</v>
      </c>
      <c r="N24" s="48"/>
      <c r="O24" s="75"/>
    </row>
    <row r="25" spans="1:22">
      <c r="A25" s="26">
        <v>22</v>
      </c>
      <c r="B25" s="27">
        <v>45983</v>
      </c>
      <c r="C25" s="135"/>
      <c r="D25" s="136"/>
      <c r="E25" s="99">
        <v>600</v>
      </c>
      <c r="F25" s="99">
        <v>92.14</v>
      </c>
      <c r="G25" s="19">
        <f t="shared" si="0"/>
        <v>55284</v>
      </c>
      <c r="H25" s="99"/>
      <c r="I25" s="99"/>
      <c r="J25" s="19">
        <f t="shared" si="1"/>
        <v>0</v>
      </c>
      <c r="K25" s="19">
        <f t="shared" si="2"/>
        <v>55284</v>
      </c>
      <c r="L25" s="137"/>
      <c r="M25" s="137">
        <f t="shared" si="3"/>
        <v>55284.005000000005</v>
      </c>
      <c r="N25" s="48"/>
      <c r="O25" s="75"/>
    </row>
    <row r="26" spans="1:22">
      <c r="A26" s="26">
        <v>23</v>
      </c>
      <c r="B26" s="27">
        <v>45984</v>
      </c>
      <c r="C26" s="135"/>
      <c r="D26" s="136"/>
      <c r="E26" s="99"/>
      <c r="F26" s="99"/>
      <c r="G26" s="19">
        <f t="shared" si="0"/>
        <v>0</v>
      </c>
      <c r="H26" s="99"/>
      <c r="I26" s="99"/>
      <c r="J26" s="19">
        <f t="shared" si="1"/>
        <v>0</v>
      </c>
      <c r="K26" s="19">
        <f t="shared" si="2"/>
        <v>0</v>
      </c>
      <c r="L26" s="137"/>
      <c r="M26" s="137">
        <f t="shared" si="3"/>
        <v>55284.005000000005</v>
      </c>
      <c r="N26" s="48"/>
      <c r="O26" s="75"/>
    </row>
    <row r="27" spans="1:22">
      <c r="A27" s="26">
        <v>24</v>
      </c>
      <c r="B27" s="27">
        <v>45985</v>
      </c>
      <c r="C27" s="135"/>
      <c r="D27" s="136"/>
      <c r="E27" s="99">
        <v>400</v>
      </c>
      <c r="F27" s="99">
        <v>92.14</v>
      </c>
      <c r="G27" s="19">
        <f t="shared" si="0"/>
        <v>36856</v>
      </c>
      <c r="H27" s="99">
        <v>35</v>
      </c>
      <c r="I27" s="99">
        <v>103.97</v>
      </c>
      <c r="J27" s="19">
        <f t="shared" si="1"/>
        <v>3638.95</v>
      </c>
      <c r="K27" s="19">
        <f t="shared" si="2"/>
        <v>40494.949999999997</v>
      </c>
      <c r="L27" s="137"/>
      <c r="M27" s="137">
        <f t="shared" si="3"/>
        <v>95778.955000000002</v>
      </c>
      <c r="N27" s="48"/>
      <c r="O27" s="75"/>
    </row>
    <row r="28" spans="1:22">
      <c r="A28" s="26">
        <v>25</v>
      </c>
      <c r="B28" s="27">
        <v>45986</v>
      </c>
      <c r="C28" s="135"/>
      <c r="D28" s="136"/>
      <c r="E28" s="99"/>
      <c r="F28" s="99"/>
      <c r="G28" s="19">
        <f t="shared" si="0"/>
        <v>0</v>
      </c>
      <c r="H28" s="99"/>
      <c r="I28" s="99"/>
      <c r="J28" s="19">
        <f t="shared" si="1"/>
        <v>0</v>
      </c>
      <c r="K28" s="19">
        <f t="shared" si="2"/>
        <v>0</v>
      </c>
      <c r="L28" s="137"/>
      <c r="M28" s="137">
        <f t="shared" si="3"/>
        <v>95778.955000000002</v>
      </c>
      <c r="N28" s="48"/>
      <c r="O28" s="75"/>
    </row>
    <row r="29" spans="1:22">
      <c r="A29" s="26">
        <v>26</v>
      </c>
      <c r="B29" s="27">
        <v>45987</v>
      </c>
      <c r="C29" s="135"/>
      <c r="D29" s="136"/>
      <c r="E29" s="99"/>
      <c r="F29" s="99"/>
      <c r="G29" s="19">
        <f t="shared" si="0"/>
        <v>0</v>
      </c>
      <c r="H29" s="99"/>
      <c r="I29" s="99"/>
      <c r="J29" s="19">
        <f t="shared" si="1"/>
        <v>0</v>
      </c>
      <c r="K29" s="19">
        <f t="shared" si="2"/>
        <v>0</v>
      </c>
      <c r="L29" s="137"/>
      <c r="M29" s="137">
        <f t="shared" si="3"/>
        <v>95778.955000000002</v>
      </c>
      <c r="N29" s="48"/>
      <c r="O29" s="75"/>
    </row>
    <row r="30" spans="1:22">
      <c r="A30" s="26">
        <v>27</v>
      </c>
      <c r="B30" s="27">
        <v>45988</v>
      </c>
      <c r="C30" s="135"/>
      <c r="D30" s="136"/>
      <c r="E30" s="99">
        <v>600</v>
      </c>
      <c r="F30" s="99">
        <v>92.14</v>
      </c>
      <c r="G30" s="19">
        <f t="shared" si="0"/>
        <v>55284</v>
      </c>
      <c r="H30" s="99"/>
      <c r="I30" s="99"/>
      <c r="J30" s="19">
        <f t="shared" si="1"/>
        <v>0</v>
      </c>
      <c r="K30" s="19">
        <f t="shared" si="2"/>
        <v>55284</v>
      </c>
      <c r="L30" s="137"/>
      <c r="M30" s="137">
        <f t="shared" si="3"/>
        <v>151062.95500000002</v>
      </c>
      <c r="N30" s="48"/>
      <c r="O30" s="75"/>
      <c r="P30" s="257">
        <v>29774.14</v>
      </c>
    </row>
    <row r="31" spans="1:22">
      <c r="A31" s="26">
        <v>28</v>
      </c>
      <c r="B31" s="27">
        <v>45989</v>
      </c>
      <c r="C31" s="135"/>
      <c r="D31" s="136"/>
      <c r="E31" s="99"/>
      <c r="F31" s="99"/>
      <c r="G31" s="19">
        <f t="shared" si="0"/>
        <v>0</v>
      </c>
      <c r="H31" s="99"/>
      <c r="I31" s="99"/>
      <c r="J31" s="19">
        <f t="shared" si="1"/>
        <v>0</v>
      </c>
      <c r="K31" s="19">
        <f t="shared" si="2"/>
        <v>0</v>
      </c>
      <c r="L31" s="137"/>
      <c r="M31" s="137">
        <f t="shared" si="3"/>
        <v>151062.95500000002</v>
      </c>
      <c r="N31" s="48"/>
      <c r="O31" s="75"/>
      <c r="P31">
        <v>50000</v>
      </c>
    </row>
    <row r="32" spans="1:22">
      <c r="A32" s="26">
        <v>29</v>
      </c>
      <c r="B32" s="27">
        <v>45990</v>
      </c>
      <c r="C32" s="135"/>
      <c r="D32" s="136"/>
      <c r="E32" s="99"/>
      <c r="F32" s="99"/>
      <c r="G32" s="19">
        <f t="shared" si="0"/>
        <v>0</v>
      </c>
      <c r="H32" s="99"/>
      <c r="I32" s="99"/>
      <c r="J32" s="19">
        <f t="shared" si="1"/>
        <v>0</v>
      </c>
      <c r="K32" s="19">
        <f t="shared" si="2"/>
        <v>0</v>
      </c>
      <c r="L32" s="137"/>
      <c r="M32" s="137">
        <f t="shared" si="3"/>
        <v>151062.95500000002</v>
      </c>
      <c r="N32" s="48"/>
      <c r="O32" s="75"/>
      <c r="P32" s="257">
        <f>SUM(P30:P31)</f>
        <v>79774.14</v>
      </c>
    </row>
    <row r="33" spans="1:19">
      <c r="A33" s="26">
        <v>30</v>
      </c>
      <c r="B33" s="27">
        <v>45991</v>
      </c>
      <c r="C33" s="135"/>
      <c r="D33" s="136"/>
      <c r="E33" s="99"/>
      <c r="F33" s="99"/>
      <c r="G33" s="19">
        <f t="shared" si="0"/>
        <v>0</v>
      </c>
      <c r="H33" s="99"/>
      <c r="I33" s="99"/>
      <c r="J33" s="19">
        <f t="shared" si="1"/>
        <v>0</v>
      </c>
      <c r="K33" s="19">
        <f t="shared" si="2"/>
        <v>0</v>
      </c>
      <c r="L33" s="137"/>
      <c r="M33" s="137">
        <f t="shared" si="3"/>
        <v>151062.95500000002</v>
      </c>
      <c r="N33" s="48"/>
      <c r="O33" s="75"/>
    </row>
    <row r="34" spans="1:19">
      <c r="A34" s="26">
        <v>31</v>
      </c>
      <c r="B34" s="27"/>
      <c r="C34" s="135"/>
      <c r="D34" s="136"/>
      <c r="E34" s="99"/>
      <c r="F34" s="99"/>
      <c r="G34" s="19">
        <f t="shared" si="0"/>
        <v>0</v>
      </c>
      <c r="H34" s="99"/>
      <c r="I34" s="99"/>
      <c r="J34" s="19">
        <f t="shared" si="1"/>
        <v>0</v>
      </c>
      <c r="K34" s="19">
        <f t="shared" si="2"/>
        <v>0</v>
      </c>
      <c r="L34" s="137"/>
      <c r="M34" s="137">
        <f t="shared" si="3"/>
        <v>151062.95500000002</v>
      </c>
      <c r="N34" s="48"/>
      <c r="O34" s="75"/>
    </row>
    <row r="35" spans="1:19">
      <c r="A35" s="26"/>
      <c r="B35" s="27"/>
      <c r="C35" s="135"/>
      <c r="D35" s="136"/>
      <c r="E35" s="99">
        <v>0</v>
      </c>
      <c r="F35" s="99">
        <v>0</v>
      </c>
      <c r="G35" s="19">
        <f t="shared" ref="G35" si="4">E35*F35</f>
        <v>0</v>
      </c>
      <c r="H35" s="99">
        <v>0</v>
      </c>
      <c r="I35" s="99"/>
      <c r="J35" s="19">
        <f t="shared" ref="J35" si="5">H35*I35</f>
        <v>0</v>
      </c>
      <c r="K35" s="19">
        <f t="shared" ref="K35" si="6">G35+J35</f>
        <v>0</v>
      </c>
      <c r="L35" s="137">
        <v>0</v>
      </c>
      <c r="M35" s="137">
        <f t="shared" ref="M35" si="7">M34+K35-L35</f>
        <v>151062.95500000002</v>
      </c>
      <c r="N35" s="48"/>
      <c r="O35" s="75"/>
    </row>
    <row r="36" spans="1:19">
      <c r="A36" s="46"/>
      <c r="B36" s="46"/>
      <c r="C36" s="46"/>
      <c r="D36" s="46"/>
      <c r="E36" s="47">
        <f>SUM(E4:E34)</f>
        <v>5000</v>
      </c>
      <c r="F36" s="47"/>
      <c r="G36" s="47">
        <f>SUM(G4:G34)</f>
        <v>460700</v>
      </c>
      <c r="H36" s="47">
        <f>SUM(H4:H34)</f>
        <v>215</v>
      </c>
      <c r="I36" s="47"/>
      <c r="J36" s="47">
        <f>SUM(J4:J34)</f>
        <v>22353.55</v>
      </c>
      <c r="K36" s="47">
        <f>SUM(K4:K34)</f>
        <v>483053.55</v>
      </c>
      <c r="L36" s="47">
        <f>SUM(L4:L34)</f>
        <v>370926</v>
      </c>
      <c r="M36" s="47"/>
      <c r="N36" s="47"/>
      <c r="O36" s="33"/>
    </row>
    <row r="37" spans="1:19">
      <c r="A37" s="78"/>
      <c r="B37" s="79"/>
      <c r="C37" s="78"/>
      <c r="D37" s="78"/>
      <c r="E37" s="80">
        <v>0</v>
      </c>
      <c r="F37" s="80"/>
      <c r="G37" s="80">
        <v>0</v>
      </c>
      <c r="H37" s="80">
        <v>0</v>
      </c>
      <c r="I37" s="80"/>
      <c r="J37" s="81">
        <v>0</v>
      </c>
      <c r="K37" s="81">
        <f>G37+J37</f>
        <v>0</v>
      </c>
      <c r="L37" s="81">
        <v>0</v>
      </c>
      <c r="M37" s="81"/>
      <c r="N37" s="80"/>
      <c r="O37" s="75"/>
    </row>
    <row r="38" spans="1:19">
      <c r="E38" s="142"/>
      <c r="F38" s="142"/>
      <c r="G38" s="142"/>
      <c r="H38" s="142"/>
      <c r="I38" s="142"/>
      <c r="J38" s="142"/>
      <c r="K38" s="142"/>
      <c r="L38" s="142"/>
      <c r="M38" s="257"/>
      <c r="O38" s="75"/>
    </row>
    <row r="39" spans="1:19">
      <c r="O39" s="75"/>
    </row>
    <row r="40" spans="1:19">
      <c r="M40" s="183"/>
      <c r="O40" s="75"/>
    </row>
    <row r="41" spans="1:19">
      <c r="O41" s="75"/>
    </row>
    <row r="42" spans="1:19">
      <c r="O42" s="75"/>
      <c r="S42">
        <v>9052944708</v>
      </c>
    </row>
    <row r="43" spans="1:19">
      <c r="A43" s="75"/>
      <c r="B43" s="65"/>
      <c r="C43" s="75"/>
      <c r="D43" s="75"/>
      <c r="E43" s="75"/>
      <c r="F43" s="75"/>
      <c r="G43" s="82"/>
      <c r="H43" s="75"/>
      <c r="I43" s="75"/>
      <c r="J43" s="65"/>
      <c r="K43" s="65"/>
      <c r="L43" s="65"/>
      <c r="M43" s="65"/>
      <c r="N43" s="75"/>
      <c r="O43" s="80"/>
    </row>
    <row r="44" spans="1:19">
      <c r="A44" s="75"/>
      <c r="B44" s="458"/>
      <c r="C44" s="458"/>
      <c r="D44" s="458"/>
      <c r="E44" s="458"/>
      <c r="F44" s="75"/>
      <c r="G44" s="75"/>
      <c r="H44" s="75"/>
      <c r="I44" s="458"/>
      <c r="J44" s="458"/>
      <c r="K44" s="458"/>
      <c r="L44" s="458"/>
      <c r="M44" s="458"/>
      <c r="N44" s="458"/>
      <c r="O44" s="80"/>
    </row>
    <row r="45" spans="1:19">
      <c r="A45" s="75"/>
      <c r="B45" s="65"/>
      <c r="C45" s="75"/>
      <c r="D45" s="75"/>
      <c r="E45" s="75"/>
      <c r="F45" s="75"/>
      <c r="G45" s="75"/>
      <c r="H45" s="75"/>
      <c r="I45" s="75"/>
      <c r="J45" s="65"/>
      <c r="K45" s="65"/>
      <c r="L45" s="65"/>
      <c r="M45" s="65"/>
      <c r="N45" s="75"/>
      <c r="O45" s="80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N35"/>
  <sheetViews>
    <sheetView topLeftCell="A10" workbookViewId="0">
      <selection activeCell="M33" sqref="M33"/>
    </sheetView>
  </sheetViews>
  <sheetFormatPr defaultRowHeight="15"/>
  <cols>
    <col min="7" max="7" width="9.28515625" bestFit="1" customWidth="1"/>
    <col min="12" max="12" width="16.85546875" customWidth="1"/>
  </cols>
  <sheetData>
    <row r="1" spans="1:14" ht="15.75">
      <c r="A1" s="454" t="s">
        <v>147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4" ht="25.5">
      <c r="A2" s="109" t="s">
        <v>95</v>
      </c>
      <c r="B2" s="113" t="s">
        <v>96</v>
      </c>
      <c r="C2" s="113" t="s">
        <v>97</v>
      </c>
      <c r="D2" s="113" t="s">
        <v>98</v>
      </c>
      <c r="E2" s="113" t="s">
        <v>99</v>
      </c>
      <c r="F2" s="113" t="s">
        <v>100</v>
      </c>
      <c r="G2" s="113" t="s">
        <v>101</v>
      </c>
      <c r="H2" s="113" t="s">
        <v>102</v>
      </c>
      <c r="I2" s="113" t="s">
        <v>100</v>
      </c>
      <c r="J2" s="113" t="s">
        <v>101</v>
      </c>
      <c r="K2" s="113" t="s">
        <v>103</v>
      </c>
      <c r="L2" s="113" t="s">
        <v>104</v>
      </c>
      <c r="M2" s="113" t="s">
        <v>110</v>
      </c>
      <c r="N2" s="113" t="s">
        <v>106</v>
      </c>
    </row>
    <row r="3" spans="1:14">
      <c r="A3" s="466" t="s">
        <v>107</v>
      </c>
      <c r="B3" s="466"/>
      <c r="C3" s="466"/>
      <c r="D3" s="466"/>
      <c r="E3" s="466"/>
      <c r="F3" s="466"/>
      <c r="G3" s="466"/>
      <c r="H3" s="466"/>
      <c r="I3" s="466"/>
      <c r="J3" s="466"/>
      <c r="K3" s="101">
        <v>0</v>
      </c>
      <c r="L3" s="101">
        <v>0</v>
      </c>
      <c r="M3" s="101">
        <f>+K3</f>
        <v>0</v>
      </c>
      <c r="N3" s="17"/>
    </row>
    <row r="4" spans="1:14">
      <c r="A4" s="26">
        <v>1</v>
      </c>
      <c r="B4" s="27">
        <v>45962</v>
      </c>
      <c r="C4" s="17"/>
      <c r="D4" s="17"/>
      <c r="E4" s="92"/>
      <c r="F4" s="92"/>
      <c r="G4" s="17"/>
      <c r="H4" s="92"/>
      <c r="I4" s="92"/>
      <c r="J4" s="17"/>
      <c r="K4" s="17"/>
      <c r="L4" s="17"/>
      <c r="M4" s="17">
        <f>M3+K4-L4</f>
        <v>0</v>
      </c>
      <c r="N4" s="48"/>
    </row>
    <row r="5" spans="1:14">
      <c r="A5" s="26">
        <v>2</v>
      </c>
      <c r="B5" s="27">
        <v>45963</v>
      </c>
      <c r="C5" s="17"/>
      <c r="D5" s="17"/>
      <c r="E5" s="92"/>
      <c r="F5" s="92"/>
      <c r="G5" s="17"/>
      <c r="H5" s="92"/>
      <c r="I5" s="92"/>
      <c r="J5" s="17"/>
      <c r="K5" s="17"/>
      <c r="L5" s="17"/>
      <c r="M5" s="17">
        <f t="shared" ref="M5:M33" si="0">M4+K5-L5</f>
        <v>0</v>
      </c>
      <c r="N5" s="48"/>
    </row>
    <row r="6" spans="1:14">
      <c r="A6" s="26">
        <v>3</v>
      </c>
      <c r="B6" s="27">
        <v>45964</v>
      </c>
      <c r="C6" s="17"/>
      <c r="D6" s="17"/>
      <c r="E6" s="92">
        <v>500</v>
      </c>
      <c r="F6" s="92">
        <v>92.19</v>
      </c>
      <c r="G6" s="17">
        <f>E6*F6</f>
        <v>46095</v>
      </c>
      <c r="H6" s="92">
        <v>30</v>
      </c>
      <c r="I6" s="92">
        <v>104.03</v>
      </c>
      <c r="J6" s="17">
        <f>H6*I6</f>
        <v>3120.9</v>
      </c>
      <c r="K6" s="17">
        <f>G6+J6</f>
        <v>49215.9</v>
      </c>
      <c r="L6" s="17"/>
      <c r="M6" s="17">
        <f t="shared" si="0"/>
        <v>49215.9</v>
      </c>
      <c r="N6" s="48"/>
    </row>
    <row r="7" spans="1:14">
      <c r="A7" s="26">
        <v>4</v>
      </c>
      <c r="B7" s="27">
        <v>45965</v>
      </c>
      <c r="C7" s="17"/>
      <c r="D7" s="17"/>
      <c r="E7" s="92"/>
      <c r="F7" s="92"/>
      <c r="G7" s="17">
        <f t="shared" ref="G7:G33" si="1">E7*F7</f>
        <v>0</v>
      </c>
      <c r="H7" s="92"/>
      <c r="I7" s="92"/>
      <c r="J7" s="17">
        <f t="shared" ref="J7:J34" si="2">H7*I7</f>
        <v>0</v>
      </c>
      <c r="K7" s="17">
        <f t="shared" ref="K7:K33" si="3">G7+J7</f>
        <v>0</v>
      </c>
      <c r="L7" s="17"/>
      <c r="M7" s="17">
        <f t="shared" si="0"/>
        <v>49215.9</v>
      </c>
      <c r="N7" s="48"/>
    </row>
    <row r="8" spans="1:14">
      <c r="A8" s="26">
        <v>5</v>
      </c>
      <c r="B8" s="27">
        <v>45966</v>
      </c>
      <c r="C8" s="17"/>
      <c r="D8" s="17"/>
      <c r="E8" s="92"/>
      <c r="F8" s="92"/>
      <c r="G8" s="17">
        <f t="shared" si="1"/>
        <v>0</v>
      </c>
      <c r="H8" s="92"/>
      <c r="I8" s="92"/>
      <c r="J8" s="17">
        <f t="shared" si="2"/>
        <v>0</v>
      </c>
      <c r="K8" s="17">
        <f t="shared" si="3"/>
        <v>0</v>
      </c>
      <c r="L8" s="17"/>
      <c r="M8" s="17">
        <f t="shared" si="0"/>
        <v>49215.9</v>
      </c>
      <c r="N8" s="48"/>
    </row>
    <row r="9" spans="1:14">
      <c r="A9" s="26">
        <v>6</v>
      </c>
      <c r="B9" s="27">
        <v>45967</v>
      </c>
      <c r="C9" s="17"/>
      <c r="D9" s="17"/>
      <c r="E9" s="92">
        <v>470</v>
      </c>
      <c r="F9" s="92">
        <v>92.19</v>
      </c>
      <c r="G9" s="17">
        <f t="shared" si="1"/>
        <v>43329.299999999996</v>
      </c>
      <c r="H9" s="92"/>
      <c r="I9" s="92"/>
      <c r="J9" s="17">
        <f t="shared" si="2"/>
        <v>0</v>
      </c>
      <c r="K9" s="17">
        <f t="shared" si="3"/>
        <v>43329.299999999996</v>
      </c>
      <c r="L9" s="17"/>
      <c r="M9" s="17">
        <f t="shared" si="0"/>
        <v>92545.2</v>
      </c>
      <c r="N9" s="48"/>
    </row>
    <row r="10" spans="1:14">
      <c r="A10" s="26">
        <v>7</v>
      </c>
      <c r="B10" s="27">
        <v>45968</v>
      </c>
      <c r="C10" s="17"/>
      <c r="D10" s="17"/>
      <c r="E10" s="92"/>
      <c r="F10" s="92"/>
      <c r="G10" s="17">
        <f t="shared" si="1"/>
        <v>0</v>
      </c>
      <c r="H10" s="92"/>
      <c r="I10" s="92"/>
      <c r="J10" s="17">
        <f t="shared" si="2"/>
        <v>0</v>
      </c>
      <c r="K10" s="17">
        <f t="shared" si="3"/>
        <v>0</v>
      </c>
      <c r="L10" s="17"/>
      <c r="M10" s="17">
        <f t="shared" si="0"/>
        <v>92545.2</v>
      </c>
      <c r="N10" s="48"/>
    </row>
    <row r="11" spans="1:14">
      <c r="A11" s="26">
        <v>8</v>
      </c>
      <c r="B11" s="27">
        <v>45969</v>
      </c>
      <c r="C11" s="17"/>
      <c r="D11" s="17"/>
      <c r="E11" s="92">
        <v>400</v>
      </c>
      <c r="F11" s="92">
        <v>92.19</v>
      </c>
      <c r="G11" s="17">
        <f>E11*F11</f>
        <v>36876</v>
      </c>
      <c r="H11" s="92">
        <v>35</v>
      </c>
      <c r="I11" s="92">
        <v>104.03</v>
      </c>
      <c r="J11" s="17">
        <f t="shared" si="2"/>
        <v>3641.05</v>
      </c>
      <c r="K11" s="17">
        <f>G11+J11</f>
        <v>40517.050000000003</v>
      </c>
      <c r="L11" s="17"/>
      <c r="M11" s="17">
        <f t="shared" si="0"/>
        <v>133062.25</v>
      </c>
      <c r="N11" s="48"/>
    </row>
    <row r="12" spans="1:14">
      <c r="A12" s="26">
        <v>9</v>
      </c>
      <c r="B12" s="27">
        <v>45970</v>
      </c>
      <c r="C12" s="17"/>
      <c r="D12" s="17"/>
      <c r="E12" s="92"/>
      <c r="F12" s="92"/>
      <c r="G12" s="17">
        <f t="shared" si="1"/>
        <v>0</v>
      </c>
      <c r="H12" s="92"/>
      <c r="I12" s="92"/>
      <c r="J12" s="17">
        <f t="shared" si="2"/>
        <v>0</v>
      </c>
      <c r="K12" s="17">
        <f t="shared" si="3"/>
        <v>0</v>
      </c>
      <c r="L12" s="17"/>
      <c r="M12" s="17">
        <f t="shared" si="0"/>
        <v>133062.25</v>
      </c>
      <c r="N12" s="48"/>
    </row>
    <row r="13" spans="1:14">
      <c r="A13" s="26">
        <v>10</v>
      </c>
      <c r="B13" s="27">
        <v>45971</v>
      </c>
      <c r="C13" s="17"/>
      <c r="D13" s="17"/>
      <c r="E13" s="92"/>
      <c r="F13" s="92"/>
      <c r="G13" s="17">
        <f t="shared" si="1"/>
        <v>0</v>
      </c>
      <c r="H13" s="92"/>
      <c r="I13" s="92"/>
      <c r="J13" s="17">
        <f t="shared" si="2"/>
        <v>0</v>
      </c>
      <c r="K13" s="17">
        <f t="shared" si="3"/>
        <v>0</v>
      </c>
      <c r="L13" s="17"/>
      <c r="M13" s="17">
        <f t="shared" si="0"/>
        <v>133062.25</v>
      </c>
      <c r="N13" s="48"/>
    </row>
    <row r="14" spans="1:14">
      <c r="A14" s="26">
        <v>11</v>
      </c>
      <c r="B14" s="27">
        <v>45972</v>
      </c>
      <c r="C14" s="17"/>
      <c r="D14" s="17"/>
      <c r="E14" s="389"/>
      <c r="F14" s="92"/>
      <c r="G14" s="17">
        <f t="shared" si="1"/>
        <v>0</v>
      </c>
      <c r="H14" s="92">
        <v>35</v>
      </c>
      <c r="I14" s="92">
        <v>104.03</v>
      </c>
      <c r="J14" s="17">
        <f t="shared" si="2"/>
        <v>3641.05</v>
      </c>
      <c r="K14" s="17">
        <f t="shared" si="3"/>
        <v>3641.05</v>
      </c>
      <c r="L14" s="17">
        <v>0</v>
      </c>
      <c r="M14" s="17">
        <f t="shared" si="0"/>
        <v>136703.29999999999</v>
      </c>
      <c r="N14" s="48"/>
    </row>
    <row r="15" spans="1:14">
      <c r="A15" s="26">
        <v>12</v>
      </c>
      <c r="B15" s="27">
        <v>45973</v>
      </c>
      <c r="C15" s="17"/>
      <c r="D15" s="17"/>
      <c r="E15" s="92"/>
      <c r="F15" s="92"/>
      <c r="G15" s="17">
        <f t="shared" si="1"/>
        <v>0</v>
      </c>
      <c r="H15" s="92"/>
      <c r="I15" s="92"/>
      <c r="J15" s="17">
        <f t="shared" si="2"/>
        <v>0</v>
      </c>
      <c r="K15" s="17">
        <f t="shared" si="3"/>
        <v>0</v>
      </c>
      <c r="L15" s="17">
        <f t="shared" ref="L15:L33" si="4">K15</f>
        <v>0</v>
      </c>
      <c r="M15" s="17">
        <f t="shared" si="0"/>
        <v>136703.29999999999</v>
      </c>
      <c r="N15" s="48"/>
    </row>
    <row r="16" spans="1:14">
      <c r="A16" s="26">
        <v>13</v>
      </c>
      <c r="B16" s="27">
        <v>45974</v>
      </c>
      <c r="C16" s="17"/>
      <c r="D16" s="17"/>
      <c r="E16" s="92">
        <v>400</v>
      </c>
      <c r="F16" s="92">
        <v>92.19</v>
      </c>
      <c r="G16" s="17">
        <f t="shared" si="1"/>
        <v>36876</v>
      </c>
      <c r="H16" s="92">
        <v>20</v>
      </c>
      <c r="I16" s="92">
        <v>104.03</v>
      </c>
      <c r="J16" s="17">
        <f t="shared" si="2"/>
        <v>2080.6</v>
      </c>
      <c r="K16" s="17">
        <f t="shared" si="3"/>
        <v>38956.6</v>
      </c>
      <c r="L16" s="17">
        <v>0</v>
      </c>
      <c r="M16" s="17">
        <f t="shared" si="0"/>
        <v>175659.9</v>
      </c>
      <c r="N16" s="48"/>
    </row>
    <row r="17" spans="1:14">
      <c r="A17" s="26">
        <v>14</v>
      </c>
      <c r="B17" s="27">
        <v>45975</v>
      </c>
      <c r="C17" s="17"/>
      <c r="D17" s="17"/>
      <c r="E17" s="92"/>
      <c r="F17" s="92"/>
      <c r="G17" s="17">
        <f t="shared" si="1"/>
        <v>0</v>
      </c>
      <c r="H17" s="371"/>
      <c r="I17" s="92"/>
      <c r="J17" s="17">
        <f t="shared" si="2"/>
        <v>0</v>
      </c>
      <c r="K17" s="17">
        <f t="shared" si="3"/>
        <v>0</v>
      </c>
      <c r="L17" s="17">
        <v>0</v>
      </c>
      <c r="M17" s="17">
        <f t="shared" si="0"/>
        <v>175659.9</v>
      </c>
      <c r="N17" s="48"/>
    </row>
    <row r="18" spans="1:14">
      <c r="A18" s="26">
        <v>15</v>
      </c>
      <c r="B18" s="27">
        <v>45976</v>
      </c>
      <c r="C18" s="17"/>
      <c r="D18" s="17"/>
      <c r="E18" s="92"/>
      <c r="F18" s="92"/>
      <c r="G18" s="17">
        <f t="shared" si="1"/>
        <v>0</v>
      </c>
      <c r="H18" s="92"/>
      <c r="I18" s="92"/>
      <c r="J18" s="17">
        <f t="shared" si="2"/>
        <v>0</v>
      </c>
      <c r="K18" s="17">
        <f t="shared" si="3"/>
        <v>0</v>
      </c>
      <c r="L18" s="17">
        <v>136703</v>
      </c>
      <c r="M18" s="17">
        <f t="shared" si="0"/>
        <v>38956.899999999994</v>
      </c>
      <c r="N18" s="48"/>
    </row>
    <row r="19" spans="1:14">
      <c r="A19" s="26">
        <v>16</v>
      </c>
      <c r="B19" s="27">
        <v>45977</v>
      </c>
      <c r="C19" s="17"/>
      <c r="D19" s="17"/>
      <c r="E19" s="92"/>
      <c r="F19" s="92"/>
      <c r="G19" s="17">
        <f t="shared" si="1"/>
        <v>0</v>
      </c>
      <c r="H19" s="92"/>
      <c r="I19" s="92"/>
      <c r="J19" s="17">
        <f t="shared" si="2"/>
        <v>0</v>
      </c>
      <c r="K19" s="17">
        <f t="shared" si="3"/>
        <v>0</v>
      </c>
      <c r="L19" s="17">
        <f t="shared" si="4"/>
        <v>0</v>
      </c>
      <c r="M19" s="17">
        <f t="shared" si="0"/>
        <v>38956.899999999994</v>
      </c>
      <c r="N19" s="48"/>
    </row>
    <row r="20" spans="1:14">
      <c r="A20" s="26">
        <v>17</v>
      </c>
      <c r="B20" s="27">
        <v>45978</v>
      </c>
      <c r="C20" s="17"/>
      <c r="D20" s="17"/>
      <c r="E20" s="92"/>
      <c r="F20" s="92"/>
      <c r="G20" s="17">
        <f t="shared" si="1"/>
        <v>0</v>
      </c>
      <c r="H20" s="92"/>
      <c r="I20" s="92"/>
      <c r="J20" s="17">
        <f t="shared" si="2"/>
        <v>0</v>
      </c>
      <c r="K20" s="17">
        <f t="shared" si="3"/>
        <v>0</v>
      </c>
      <c r="L20" s="17">
        <f t="shared" si="4"/>
        <v>0</v>
      </c>
      <c r="M20" s="17">
        <f t="shared" si="0"/>
        <v>38956.899999999994</v>
      </c>
      <c r="N20" s="48"/>
    </row>
    <row r="21" spans="1:14">
      <c r="A21" s="26">
        <v>18</v>
      </c>
      <c r="B21" s="27">
        <v>45979</v>
      </c>
      <c r="C21" s="17"/>
      <c r="D21" s="17"/>
      <c r="E21" s="92">
        <v>470</v>
      </c>
      <c r="F21" s="92">
        <v>92.19</v>
      </c>
      <c r="G21" s="17">
        <f t="shared" si="1"/>
        <v>43329.299999999996</v>
      </c>
      <c r="H21" s="92">
        <v>70</v>
      </c>
      <c r="I21" s="92">
        <v>104.03</v>
      </c>
      <c r="J21" s="17">
        <f t="shared" si="2"/>
        <v>7282.1</v>
      </c>
      <c r="K21" s="17">
        <f t="shared" si="3"/>
        <v>50611.399999999994</v>
      </c>
      <c r="L21" s="17">
        <v>0</v>
      </c>
      <c r="M21" s="17">
        <f t="shared" si="0"/>
        <v>89568.299999999988</v>
      </c>
      <c r="N21" s="48"/>
    </row>
    <row r="22" spans="1:14">
      <c r="A22" s="26">
        <v>19</v>
      </c>
      <c r="B22" s="27">
        <v>45980</v>
      </c>
      <c r="C22" s="17"/>
      <c r="D22" s="17"/>
      <c r="E22" s="92"/>
      <c r="F22" s="92"/>
      <c r="G22" s="17">
        <f t="shared" si="1"/>
        <v>0</v>
      </c>
      <c r="H22" s="92"/>
      <c r="I22" s="92"/>
      <c r="J22" s="17">
        <f t="shared" si="2"/>
        <v>0</v>
      </c>
      <c r="K22" s="17">
        <f t="shared" si="3"/>
        <v>0</v>
      </c>
      <c r="L22" s="17">
        <f t="shared" si="4"/>
        <v>0</v>
      </c>
      <c r="M22" s="17">
        <f t="shared" si="0"/>
        <v>89568.299999999988</v>
      </c>
      <c r="N22" s="48"/>
    </row>
    <row r="23" spans="1:14">
      <c r="A23" s="26">
        <v>20</v>
      </c>
      <c r="B23" s="27">
        <v>45981</v>
      </c>
      <c r="C23" s="17"/>
      <c r="D23" s="17"/>
      <c r="E23" s="92"/>
      <c r="F23" s="92"/>
      <c r="G23" s="17">
        <f t="shared" si="1"/>
        <v>0</v>
      </c>
      <c r="H23" s="92"/>
      <c r="I23" s="92"/>
      <c r="J23" s="17">
        <f t="shared" si="2"/>
        <v>0</v>
      </c>
      <c r="K23" s="17">
        <f t="shared" si="3"/>
        <v>0</v>
      </c>
      <c r="L23" s="17">
        <v>89568</v>
      </c>
      <c r="M23" s="17">
        <f t="shared" si="0"/>
        <v>0.29999999998835847</v>
      </c>
      <c r="N23" s="48"/>
    </row>
    <row r="24" spans="1:14">
      <c r="A24" s="26">
        <v>21</v>
      </c>
      <c r="B24" s="27">
        <v>45982</v>
      </c>
      <c r="C24" s="17"/>
      <c r="D24" s="17"/>
      <c r="E24" s="92">
        <v>400</v>
      </c>
      <c r="F24" s="92">
        <v>92.19</v>
      </c>
      <c r="G24" s="17">
        <f t="shared" si="1"/>
        <v>36876</v>
      </c>
      <c r="H24" s="92">
        <v>35</v>
      </c>
      <c r="I24" s="92">
        <v>104.03</v>
      </c>
      <c r="J24" s="17">
        <f t="shared" si="2"/>
        <v>3641.05</v>
      </c>
      <c r="K24" s="17">
        <f t="shared" si="3"/>
        <v>40517.050000000003</v>
      </c>
      <c r="L24" s="17">
        <v>0</v>
      </c>
      <c r="M24" s="17">
        <f t="shared" si="0"/>
        <v>40517.349999999991</v>
      </c>
      <c r="N24" s="48"/>
    </row>
    <row r="25" spans="1:14">
      <c r="A25" s="26">
        <v>22</v>
      </c>
      <c r="B25" s="27">
        <v>45983</v>
      </c>
      <c r="C25" s="17"/>
      <c r="D25" s="17"/>
      <c r="E25" s="92"/>
      <c r="F25" s="92"/>
      <c r="G25" s="17">
        <f t="shared" si="1"/>
        <v>0</v>
      </c>
      <c r="H25" s="92"/>
      <c r="I25" s="92"/>
      <c r="J25" s="17">
        <f t="shared" si="2"/>
        <v>0</v>
      </c>
      <c r="K25" s="17">
        <f t="shared" si="3"/>
        <v>0</v>
      </c>
      <c r="L25" s="17">
        <f t="shared" si="4"/>
        <v>0</v>
      </c>
      <c r="M25" s="17">
        <f t="shared" si="0"/>
        <v>40517.349999999991</v>
      </c>
      <c r="N25" s="48"/>
    </row>
    <row r="26" spans="1:14">
      <c r="A26" s="26">
        <v>23</v>
      </c>
      <c r="B26" s="27">
        <v>45984</v>
      </c>
      <c r="C26" s="17"/>
      <c r="D26" s="17"/>
      <c r="E26" s="92"/>
      <c r="F26" s="92"/>
      <c r="G26" s="17">
        <f t="shared" si="1"/>
        <v>0</v>
      </c>
      <c r="H26" s="92"/>
      <c r="I26" s="92"/>
      <c r="J26" s="17">
        <f t="shared" si="2"/>
        <v>0</v>
      </c>
      <c r="K26" s="17">
        <f t="shared" si="3"/>
        <v>0</v>
      </c>
      <c r="L26" s="17">
        <f t="shared" si="4"/>
        <v>0</v>
      </c>
      <c r="M26" s="17">
        <f t="shared" si="0"/>
        <v>40517.349999999991</v>
      </c>
      <c r="N26" s="48"/>
    </row>
    <row r="27" spans="1:14">
      <c r="A27" s="26">
        <v>24</v>
      </c>
      <c r="B27" s="27">
        <v>45985</v>
      </c>
      <c r="C27" s="17"/>
      <c r="D27" s="17"/>
      <c r="E27" s="92"/>
      <c r="F27" s="92"/>
      <c r="G27" s="17">
        <f t="shared" si="1"/>
        <v>0</v>
      </c>
      <c r="H27" s="92"/>
      <c r="I27" s="92"/>
      <c r="J27" s="17">
        <f t="shared" si="2"/>
        <v>0</v>
      </c>
      <c r="K27" s="17">
        <f t="shared" si="3"/>
        <v>0</v>
      </c>
      <c r="L27" s="17">
        <f t="shared" si="4"/>
        <v>0</v>
      </c>
      <c r="M27" s="17">
        <f t="shared" si="0"/>
        <v>40517.349999999991</v>
      </c>
      <c r="N27" s="48"/>
    </row>
    <row r="28" spans="1:14">
      <c r="A28" s="26">
        <v>25</v>
      </c>
      <c r="B28" s="27">
        <v>45986</v>
      </c>
      <c r="C28" s="17"/>
      <c r="D28" s="17"/>
      <c r="E28" s="92">
        <v>400</v>
      </c>
      <c r="F28" s="92">
        <v>92.19</v>
      </c>
      <c r="G28" s="17">
        <f t="shared" si="1"/>
        <v>36876</v>
      </c>
      <c r="H28" s="92">
        <v>35</v>
      </c>
      <c r="I28" s="92">
        <v>104.03</v>
      </c>
      <c r="J28" s="17">
        <f t="shared" si="2"/>
        <v>3641.05</v>
      </c>
      <c r="K28" s="17">
        <f t="shared" si="3"/>
        <v>40517.050000000003</v>
      </c>
      <c r="L28" s="17">
        <v>0</v>
      </c>
      <c r="M28" s="17">
        <f t="shared" si="0"/>
        <v>81034.399999999994</v>
      </c>
      <c r="N28" s="48"/>
    </row>
    <row r="29" spans="1:14">
      <c r="A29" s="26">
        <v>26</v>
      </c>
      <c r="B29" s="27">
        <v>45987</v>
      </c>
      <c r="C29" s="17"/>
      <c r="D29" s="17"/>
      <c r="E29" s="92"/>
      <c r="F29" s="92"/>
      <c r="G29" s="17">
        <f t="shared" si="1"/>
        <v>0</v>
      </c>
      <c r="H29" s="92"/>
      <c r="I29" s="92"/>
      <c r="J29" s="17">
        <f t="shared" si="2"/>
        <v>0</v>
      </c>
      <c r="K29" s="17">
        <f t="shared" si="3"/>
        <v>0</v>
      </c>
      <c r="L29" s="17">
        <f t="shared" si="4"/>
        <v>0</v>
      </c>
      <c r="M29" s="17">
        <f t="shared" si="0"/>
        <v>81034.399999999994</v>
      </c>
      <c r="N29" s="48"/>
    </row>
    <row r="30" spans="1:14">
      <c r="A30" s="26">
        <v>27</v>
      </c>
      <c r="B30" s="27">
        <v>45988</v>
      </c>
      <c r="C30" s="17"/>
      <c r="D30" s="17"/>
      <c r="E30" s="92">
        <v>470</v>
      </c>
      <c r="F30" s="92">
        <v>92.19</v>
      </c>
      <c r="G30" s="17">
        <f t="shared" si="1"/>
        <v>43329.299999999996</v>
      </c>
      <c r="H30" s="92">
        <v>35</v>
      </c>
      <c r="I30" s="92">
        <v>104.03</v>
      </c>
      <c r="J30" s="17">
        <f t="shared" si="2"/>
        <v>3641.05</v>
      </c>
      <c r="K30" s="17">
        <f t="shared" si="3"/>
        <v>46970.35</v>
      </c>
      <c r="L30" s="17">
        <v>0</v>
      </c>
      <c r="M30" s="17">
        <f t="shared" si="0"/>
        <v>128004.75</v>
      </c>
      <c r="N30" s="48"/>
    </row>
    <row r="31" spans="1:14">
      <c r="A31" s="26">
        <v>28</v>
      </c>
      <c r="B31" s="27">
        <v>45989</v>
      </c>
      <c r="C31" s="17"/>
      <c r="D31" s="17"/>
      <c r="E31" s="92"/>
      <c r="F31" s="92"/>
      <c r="G31" s="17">
        <f t="shared" si="1"/>
        <v>0</v>
      </c>
      <c r="H31" s="92"/>
      <c r="I31" s="92"/>
      <c r="J31" s="17">
        <f t="shared" si="2"/>
        <v>0</v>
      </c>
      <c r="K31" s="17">
        <f t="shared" si="3"/>
        <v>0</v>
      </c>
      <c r="L31" s="17">
        <f t="shared" si="4"/>
        <v>0</v>
      </c>
      <c r="M31" s="17">
        <f t="shared" si="0"/>
        <v>128004.75</v>
      </c>
      <c r="N31" s="48"/>
    </row>
    <row r="32" spans="1:14">
      <c r="A32" s="26">
        <v>29</v>
      </c>
      <c r="B32" s="27">
        <v>45990</v>
      </c>
      <c r="C32" s="17"/>
      <c r="D32" s="17"/>
      <c r="E32" s="92"/>
      <c r="F32" s="92"/>
      <c r="G32" s="17">
        <f t="shared" si="1"/>
        <v>0</v>
      </c>
      <c r="H32" s="92"/>
      <c r="I32" s="92"/>
      <c r="J32" s="17">
        <f t="shared" si="2"/>
        <v>0</v>
      </c>
      <c r="K32" s="17">
        <f t="shared" si="3"/>
        <v>0</v>
      </c>
      <c r="L32" s="17">
        <f t="shared" si="4"/>
        <v>0</v>
      </c>
      <c r="M32" s="17">
        <f t="shared" si="0"/>
        <v>128004.75</v>
      </c>
      <c r="N32" s="48"/>
    </row>
    <row r="33" spans="1:14">
      <c r="A33" s="26">
        <v>30</v>
      </c>
      <c r="B33" s="27">
        <v>45991</v>
      </c>
      <c r="C33" s="17"/>
      <c r="D33" s="17"/>
      <c r="E33" s="92"/>
      <c r="F33" s="92"/>
      <c r="G33" s="17">
        <f t="shared" si="1"/>
        <v>0</v>
      </c>
      <c r="H33" s="92"/>
      <c r="I33" s="92"/>
      <c r="J33" s="17">
        <f t="shared" si="2"/>
        <v>0</v>
      </c>
      <c r="K33" s="17">
        <f t="shared" si="3"/>
        <v>0</v>
      </c>
      <c r="L33" s="17">
        <f t="shared" si="4"/>
        <v>0</v>
      </c>
      <c r="M33" s="17">
        <f t="shared" si="0"/>
        <v>128004.75</v>
      </c>
      <c r="N33" s="48"/>
    </row>
    <row r="34" spans="1:14">
      <c r="A34" s="26">
        <v>31</v>
      </c>
      <c r="B34" s="27"/>
      <c r="C34" s="17"/>
      <c r="D34" s="17"/>
      <c r="E34" s="92"/>
      <c r="F34" s="92"/>
      <c r="G34" s="17"/>
      <c r="H34" s="92"/>
      <c r="I34" s="92"/>
      <c r="J34" s="17"/>
      <c r="K34" s="17"/>
      <c r="L34" s="17"/>
      <c r="M34" s="17"/>
      <c r="N34" s="48"/>
    </row>
    <row r="35" spans="1:14">
      <c r="A35" s="46"/>
      <c r="B35" s="46"/>
      <c r="C35" s="46"/>
      <c r="D35" s="46"/>
      <c r="E35" s="46">
        <f>SUM(E4:E34)</f>
        <v>3510</v>
      </c>
      <c r="F35" s="46"/>
      <c r="G35" s="46">
        <f>SUM(G4:G34)</f>
        <v>323586.89999999997</v>
      </c>
      <c r="H35" s="46">
        <f>SUM(H4:H34)</f>
        <v>295</v>
      </c>
      <c r="I35" s="46"/>
      <c r="J35" s="46">
        <f>SUM(J4:J34)</f>
        <v>30688.85</v>
      </c>
      <c r="K35" s="46">
        <f>SUM(K4:K34)</f>
        <v>354275.74999999994</v>
      </c>
      <c r="L35" s="46">
        <f>SUM(L4:L34)</f>
        <v>226271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N35"/>
  <sheetViews>
    <sheetView workbookViewId="0">
      <selection activeCell="K33" sqref="K33"/>
    </sheetView>
  </sheetViews>
  <sheetFormatPr defaultRowHeight="15"/>
  <cols>
    <col min="3" max="3" width="15.42578125" customWidth="1"/>
    <col min="4" max="4" width="34.7109375" customWidth="1"/>
  </cols>
  <sheetData>
    <row r="1" spans="1:14" ht="15.75">
      <c r="A1" s="454" t="s">
        <v>148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4" ht="27">
      <c r="A2" s="109" t="s">
        <v>95</v>
      </c>
      <c r="B2" s="113" t="s">
        <v>96</v>
      </c>
      <c r="C2" s="113" t="s">
        <v>97</v>
      </c>
      <c r="D2" s="113" t="s">
        <v>98</v>
      </c>
      <c r="E2" s="113" t="s">
        <v>99</v>
      </c>
      <c r="F2" s="113" t="s">
        <v>100</v>
      </c>
      <c r="G2" s="113" t="s">
        <v>101</v>
      </c>
      <c r="H2" s="113" t="s">
        <v>102</v>
      </c>
      <c r="I2" s="113" t="s">
        <v>100</v>
      </c>
      <c r="J2" s="113" t="s">
        <v>101</v>
      </c>
      <c r="K2" s="113" t="s">
        <v>103</v>
      </c>
      <c r="L2" s="113" t="s">
        <v>104</v>
      </c>
      <c r="M2" s="113" t="s">
        <v>110</v>
      </c>
      <c r="N2" s="113" t="s">
        <v>106</v>
      </c>
    </row>
    <row r="3" spans="1:14">
      <c r="A3" s="466" t="s">
        <v>107</v>
      </c>
      <c r="B3" s="466"/>
      <c r="C3" s="466"/>
      <c r="D3" s="466"/>
      <c r="E3" s="466"/>
      <c r="F3" s="466"/>
      <c r="G3" s="466"/>
      <c r="H3" s="466"/>
      <c r="I3" s="466"/>
      <c r="J3" s="466"/>
      <c r="K3" s="101">
        <v>0</v>
      </c>
      <c r="L3" s="101">
        <v>0</v>
      </c>
      <c r="M3" s="101">
        <f>+K3</f>
        <v>0</v>
      </c>
      <c r="N3" s="17"/>
    </row>
    <row r="4" spans="1:14">
      <c r="A4" s="26">
        <v>1</v>
      </c>
      <c r="B4" s="27">
        <v>45962</v>
      </c>
      <c r="C4" s="17"/>
      <c r="D4" s="17"/>
      <c r="E4" s="92"/>
      <c r="F4" s="92"/>
      <c r="G4" s="17">
        <f>E4*F4</f>
        <v>0</v>
      </c>
      <c r="H4" s="92"/>
      <c r="I4" s="92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8"/>
    </row>
    <row r="5" spans="1:14">
      <c r="A5" s="26">
        <v>2</v>
      </c>
      <c r="B5" s="27">
        <v>45963</v>
      </c>
      <c r="C5" s="17"/>
      <c r="D5" s="17"/>
      <c r="E5" s="92"/>
      <c r="F5" s="92"/>
      <c r="G5" s="17">
        <f t="shared" ref="G5:G33" si="0">E5*F5</f>
        <v>0</v>
      </c>
      <c r="H5" s="92"/>
      <c r="I5" s="92"/>
      <c r="J5" s="17">
        <f t="shared" ref="J5:J33" si="1">H5*I5</f>
        <v>0</v>
      </c>
      <c r="K5" s="17">
        <f>G5+J5</f>
        <v>0</v>
      </c>
      <c r="L5" s="17">
        <f t="shared" ref="L5:L33" si="2">K5</f>
        <v>0</v>
      </c>
      <c r="M5" s="17">
        <f t="shared" ref="M5:M27" si="3">M4+K5-L5</f>
        <v>0</v>
      </c>
      <c r="N5" s="48"/>
    </row>
    <row r="6" spans="1:14">
      <c r="A6" s="26">
        <v>3</v>
      </c>
      <c r="B6" s="27">
        <v>45964</v>
      </c>
      <c r="C6" s="17"/>
      <c r="D6" s="17"/>
      <c r="E6" s="92"/>
      <c r="F6" s="92"/>
      <c r="G6" s="17">
        <f t="shared" si="0"/>
        <v>0</v>
      </c>
      <c r="H6" s="92"/>
      <c r="I6" s="92"/>
      <c r="J6" s="17">
        <f t="shared" si="1"/>
        <v>0</v>
      </c>
      <c r="K6" s="17">
        <f t="shared" ref="K6:K34" si="4">G6+J6</f>
        <v>0</v>
      </c>
      <c r="L6" s="17">
        <f t="shared" si="2"/>
        <v>0</v>
      </c>
      <c r="M6" s="17">
        <f t="shared" si="3"/>
        <v>0</v>
      </c>
      <c r="N6" s="48"/>
    </row>
    <row r="7" spans="1:14">
      <c r="A7" s="26">
        <v>4</v>
      </c>
      <c r="B7" s="27">
        <v>45965</v>
      </c>
      <c r="C7" s="17"/>
      <c r="D7" s="17"/>
      <c r="E7" s="92"/>
      <c r="F7" s="92"/>
      <c r="G7" s="17">
        <f t="shared" si="0"/>
        <v>0</v>
      </c>
      <c r="H7" s="92"/>
      <c r="I7" s="92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8"/>
    </row>
    <row r="8" spans="1:14">
      <c r="A8" s="26">
        <v>5</v>
      </c>
      <c r="B8" s="27">
        <v>45966</v>
      </c>
      <c r="C8" s="17"/>
      <c r="D8" s="17"/>
      <c r="E8" s="92"/>
      <c r="F8" s="92"/>
      <c r="G8" s="17">
        <f t="shared" si="0"/>
        <v>0</v>
      </c>
      <c r="H8" s="92"/>
      <c r="I8" s="92"/>
      <c r="J8" s="17">
        <f t="shared" si="1"/>
        <v>0</v>
      </c>
      <c r="K8" s="17">
        <f t="shared" si="4"/>
        <v>0</v>
      </c>
      <c r="L8" s="17">
        <f t="shared" si="2"/>
        <v>0</v>
      </c>
      <c r="M8" s="17">
        <f t="shared" si="3"/>
        <v>0</v>
      </c>
      <c r="N8" s="48"/>
    </row>
    <row r="9" spans="1:14">
      <c r="A9" s="26">
        <v>6</v>
      </c>
      <c r="B9" s="27">
        <v>45967</v>
      </c>
      <c r="C9" s="17"/>
      <c r="D9" s="17"/>
      <c r="E9" s="92"/>
      <c r="F9" s="92"/>
      <c r="G9" s="17">
        <f t="shared" si="0"/>
        <v>0</v>
      </c>
      <c r="H9" s="92"/>
      <c r="I9" s="92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8"/>
    </row>
    <row r="10" spans="1:14">
      <c r="A10" s="26">
        <v>7</v>
      </c>
      <c r="B10" s="27">
        <v>45968</v>
      </c>
      <c r="C10" s="17"/>
      <c r="D10" s="17"/>
      <c r="E10" s="92"/>
      <c r="F10" s="92"/>
      <c r="G10" s="17">
        <f t="shared" si="0"/>
        <v>0</v>
      </c>
      <c r="H10" s="92"/>
      <c r="I10" s="92"/>
      <c r="J10" s="17">
        <f t="shared" si="1"/>
        <v>0</v>
      </c>
      <c r="K10" s="17">
        <f t="shared" si="4"/>
        <v>0</v>
      </c>
      <c r="L10" s="17">
        <f t="shared" si="2"/>
        <v>0</v>
      </c>
      <c r="M10" s="17">
        <f t="shared" si="3"/>
        <v>0</v>
      </c>
      <c r="N10" s="48"/>
    </row>
    <row r="11" spans="1:14">
      <c r="A11" s="26">
        <v>8</v>
      </c>
      <c r="B11" s="27">
        <v>45969</v>
      </c>
      <c r="C11" s="17"/>
      <c r="D11" s="17"/>
      <c r="E11" s="92"/>
      <c r="F11" s="92"/>
      <c r="G11" s="17">
        <f t="shared" si="0"/>
        <v>0</v>
      </c>
      <c r="H11" s="92"/>
      <c r="I11" s="92"/>
      <c r="J11" s="17">
        <f t="shared" si="1"/>
        <v>0</v>
      </c>
      <c r="K11" s="17">
        <f t="shared" si="4"/>
        <v>0</v>
      </c>
      <c r="L11" s="17">
        <f t="shared" si="2"/>
        <v>0</v>
      </c>
      <c r="M11" s="17">
        <f t="shared" si="3"/>
        <v>0</v>
      </c>
      <c r="N11" s="48"/>
    </row>
    <row r="12" spans="1:14">
      <c r="A12" s="26">
        <v>9</v>
      </c>
      <c r="B12" s="27">
        <v>45970</v>
      </c>
      <c r="C12" s="17"/>
      <c r="D12" s="17"/>
      <c r="E12" s="92">
        <v>55</v>
      </c>
      <c r="F12" s="92">
        <v>92.19</v>
      </c>
      <c r="G12" s="17">
        <f t="shared" si="0"/>
        <v>5070.45</v>
      </c>
      <c r="H12" s="92">
        <v>5</v>
      </c>
      <c r="I12" s="92">
        <v>104.03</v>
      </c>
      <c r="J12" s="17">
        <f t="shared" si="1"/>
        <v>520.15</v>
      </c>
      <c r="K12" s="17">
        <f t="shared" si="4"/>
        <v>5590.5999999999995</v>
      </c>
      <c r="L12" s="17">
        <f t="shared" si="2"/>
        <v>5590.5999999999995</v>
      </c>
      <c r="M12" s="17">
        <f t="shared" si="3"/>
        <v>0</v>
      </c>
      <c r="N12" s="48" t="s">
        <v>149</v>
      </c>
    </row>
    <row r="13" spans="1:14">
      <c r="A13" s="26">
        <v>10</v>
      </c>
      <c r="B13" s="27">
        <v>45971</v>
      </c>
      <c r="C13" s="17"/>
      <c r="D13" s="17"/>
      <c r="E13" s="92"/>
      <c r="F13" s="92"/>
      <c r="G13" s="17">
        <f t="shared" si="0"/>
        <v>0</v>
      </c>
      <c r="H13" s="92"/>
      <c r="I13" s="92"/>
      <c r="J13" s="17">
        <f t="shared" si="1"/>
        <v>0</v>
      </c>
      <c r="K13" s="17">
        <f t="shared" si="4"/>
        <v>0</v>
      </c>
      <c r="L13" s="17">
        <f t="shared" si="2"/>
        <v>0</v>
      </c>
      <c r="M13" s="17">
        <f t="shared" si="3"/>
        <v>0</v>
      </c>
      <c r="N13" s="48"/>
    </row>
    <row r="14" spans="1:14">
      <c r="A14" s="26">
        <v>11</v>
      </c>
      <c r="B14" s="27">
        <v>45972</v>
      </c>
      <c r="C14" s="17"/>
      <c r="D14" s="17"/>
      <c r="E14" s="92"/>
      <c r="F14" s="92"/>
      <c r="G14" s="17">
        <f t="shared" si="0"/>
        <v>0</v>
      </c>
      <c r="H14" s="92">
        <v>10</v>
      </c>
      <c r="I14" s="92">
        <v>104.03</v>
      </c>
      <c r="J14" s="17">
        <f t="shared" si="1"/>
        <v>1040.3</v>
      </c>
      <c r="K14" s="17">
        <f t="shared" si="4"/>
        <v>1040.3</v>
      </c>
      <c r="L14" s="17">
        <f t="shared" si="2"/>
        <v>1040.3</v>
      </c>
      <c r="M14" s="17">
        <f t="shared" si="3"/>
        <v>0</v>
      </c>
      <c r="N14" s="48" t="s">
        <v>149</v>
      </c>
    </row>
    <row r="15" spans="1:14">
      <c r="A15" s="26">
        <v>12</v>
      </c>
      <c r="B15" s="27">
        <v>45973</v>
      </c>
      <c r="C15" s="17"/>
      <c r="D15" s="17"/>
      <c r="E15" s="92"/>
      <c r="F15" s="92"/>
      <c r="G15" s="17">
        <f t="shared" si="0"/>
        <v>0</v>
      </c>
      <c r="H15" s="92"/>
      <c r="I15" s="92"/>
      <c r="J15" s="17">
        <f t="shared" si="1"/>
        <v>0</v>
      </c>
      <c r="K15" s="17">
        <f t="shared" si="4"/>
        <v>0</v>
      </c>
      <c r="L15" s="17">
        <f t="shared" si="2"/>
        <v>0</v>
      </c>
      <c r="M15" s="17">
        <f t="shared" si="3"/>
        <v>0</v>
      </c>
      <c r="N15" s="48"/>
    </row>
    <row r="16" spans="1:14">
      <c r="A16" s="26">
        <v>13</v>
      </c>
      <c r="B16" s="27">
        <v>45974</v>
      </c>
      <c r="C16" s="17"/>
      <c r="D16" s="17"/>
      <c r="E16" s="92"/>
      <c r="F16" s="92"/>
      <c r="G16" s="17">
        <f t="shared" si="0"/>
        <v>0</v>
      </c>
      <c r="H16" s="92"/>
      <c r="I16" s="368"/>
      <c r="J16" s="17">
        <f t="shared" si="1"/>
        <v>0</v>
      </c>
      <c r="K16" s="17">
        <f t="shared" si="4"/>
        <v>0</v>
      </c>
      <c r="L16" s="17">
        <f t="shared" si="2"/>
        <v>0</v>
      </c>
      <c r="M16" s="17">
        <f t="shared" si="3"/>
        <v>0</v>
      </c>
      <c r="N16" s="48"/>
    </row>
    <row r="17" spans="1:14">
      <c r="A17" s="26">
        <v>14</v>
      </c>
      <c r="B17" s="27">
        <v>45975</v>
      </c>
      <c r="C17" s="17"/>
      <c r="D17" s="17"/>
      <c r="E17" s="92"/>
      <c r="F17" s="92"/>
      <c r="G17" s="17">
        <f t="shared" si="0"/>
        <v>0</v>
      </c>
      <c r="H17" s="92"/>
      <c r="I17" s="92"/>
      <c r="J17" s="17">
        <f t="shared" si="1"/>
        <v>0</v>
      </c>
      <c r="K17" s="17">
        <f t="shared" si="4"/>
        <v>0</v>
      </c>
      <c r="L17" s="17">
        <f t="shared" si="2"/>
        <v>0</v>
      </c>
      <c r="M17" s="17">
        <f t="shared" si="3"/>
        <v>0</v>
      </c>
      <c r="N17" s="48"/>
    </row>
    <row r="18" spans="1:14">
      <c r="A18" s="26">
        <v>15</v>
      </c>
      <c r="B18" s="27">
        <v>45976</v>
      </c>
      <c r="C18" s="17"/>
      <c r="D18" s="17"/>
      <c r="E18" s="92"/>
      <c r="F18" s="92"/>
      <c r="G18" s="17">
        <f t="shared" si="0"/>
        <v>0</v>
      </c>
      <c r="H18" s="92"/>
      <c r="I18" s="92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8"/>
    </row>
    <row r="19" spans="1:14">
      <c r="A19" s="26">
        <v>16</v>
      </c>
      <c r="B19" s="27">
        <v>45977</v>
      </c>
      <c r="C19" s="17"/>
      <c r="D19" s="17"/>
      <c r="E19" s="92"/>
      <c r="F19" s="92"/>
      <c r="G19" s="17">
        <f t="shared" si="0"/>
        <v>0</v>
      </c>
      <c r="H19" s="92"/>
      <c r="I19" s="92"/>
      <c r="J19" s="17">
        <f t="shared" si="1"/>
        <v>0</v>
      </c>
      <c r="K19" s="17">
        <f t="shared" si="4"/>
        <v>0</v>
      </c>
      <c r="L19" s="17">
        <f t="shared" si="2"/>
        <v>0</v>
      </c>
      <c r="M19" s="17">
        <f t="shared" si="3"/>
        <v>0</v>
      </c>
      <c r="N19" s="48"/>
    </row>
    <row r="20" spans="1:14">
      <c r="A20" s="26">
        <v>17</v>
      </c>
      <c r="B20" s="27">
        <v>45978</v>
      </c>
      <c r="C20" s="17"/>
      <c r="D20" s="17"/>
      <c r="E20" s="92">
        <v>140</v>
      </c>
      <c r="F20" s="92">
        <v>92.19</v>
      </c>
      <c r="G20" s="17">
        <f t="shared" si="0"/>
        <v>12906.6</v>
      </c>
      <c r="H20" s="92"/>
      <c r="I20" s="92"/>
      <c r="J20" s="17">
        <f t="shared" si="1"/>
        <v>0</v>
      </c>
      <c r="K20" s="17">
        <f t="shared" si="4"/>
        <v>12906.6</v>
      </c>
      <c r="L20" s="17">
        <f t="shared" si="2"/>
        <v>12906.6</v>
      </c>
      <c r="M20" s="17">
        <f t="shared" si="3"/>
        <v>0</v>
      </c>
      <c r="N20" s="48" t="s">
        <v>149</v>
      </c>
    </row>
    <row r="21" spans="1:14">
      <c r="A21" s="26">
        <v>18</v>
      </c>
      <c r="B21" s="27">
        <v>45979</v>
      </c>
      <c r="C21" s="17"/>
      <c r="D21" s="17"/>
      <c r="E21" s="92"/>
      <c r="F21" s="92"/>
      <c r="G21" s="17">
        <f t="shared" si="0"/>
        <v>0</v>
      </c>
      <c r="H21" s="92">
        <v>10</v>
      </c>
      <c r="I21" s="92">
        <v>104.03</v>
      </c>
      <c r="J21" s="17">
        <f t="shared" si="1"/>
        <v>1040.3</v>
      </c>
      <c r="K21" s="17">
        <f t="shared" si="4"/>
        <v>1040.3</v>
      </c>
      <c r="L21" s="17">
        <f t="shared" si="2"/>
        <v>1040.3</v>
      </c>
      <c r="M21" s="17">
        <f t="shared" si="3"/>
        <v>0</v>
      </c>
      <c r="N21" s="48"/>
    </row>
    <row r="22" spans="1:14">
      <c r="A22" s="26">
        <v>19</v>
      </c>
      <c r="B22" s="27">
        <v>45980</v>
      </c>
      <c r="C22" s="17"/>
      <c r="D22" s="17"/>
      <c r="E22" s="92">
        <v>40</v>
      </c>
      <c r="F22" s="92">
        <v>92.19</v>
      </c>
      <c r="G22" s="17">
        <f t="shared" si="0"/>
        <v>3687.6</v>
      </c>
      <c r="H22" s="92"/>
      <c r="I22" s="92"/>
      <c r="J22" s="17">
        <f t="shared" si="1"/>
        <v>0</v>
      </c>
      <c r="K22" s="17">
        <f t="shared" si="4"/>
        <v>3687.6</v>
      </c>
      <c r="L22" s="17">
        <f t="shared" si="2"/>
        <v>3687.6</v>
      </c>
      <c r="M22" s="17">
        <f t="shared" si="3"/>
        <v>0</v>
      </c>
      <c r="N22" s="48"/>
    </row>
    <row r="23" spans="1:14">
      <c r="A23" s="26">
        <v>20</v>
      </c>
      <c r="B23" s="27">
        <v>45981</v>
      </c>
      <c r="C23" s="17"/>
      <c r="D23" s="17"/>
      <c r="E23" s="92"/>
      <c r="F23" s="92"/>
      <c r="G23" s="17">
        <f t="shared" si="0"/>
        <v>0</v>
      </c>
      <c r="H23" s="92"/>
      <c r="I23" s="92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8"/>
    </row>
    <row r="24" spans="1:14">
      <c r="A24" s="26">
        <v>21</v>
      </c>
      <c r="B24" s="27">
        <v>45982</v>
      </c>
      <c r="C24" s="17"/>
      <c r="D24" s="17"/>
      <c r="E24" s="92">
        <v>105</v>
      </c>
      <c r="F24" s="92">
        <v>92.19</v>
      </c>
      <c r="G24" s="17">
        <f t="shared" si="0"/>
        <v>9679.9499999999989</v>
      </c>
      <c r="H24" s="92"/>
      <c r="I24" s="92"/>
      <c r="J24" s="17">
        <f t="shared" si="1"/>
        <v>0</v>
      </c>
      <c r="K24" s="17">
        <f t="shared" si="4"/>
        <v>9679.9499999999989</v>
      </c>
      <c r="L24" s="17">
        <f t="shared" si="2"/>
        <v>9679.9499999999989</v>
      </c>
      <c r="M24" s="17">
        <f t="shared" si="3"/>
        <v>0</v>
      </c>
      <c r="N24" s="48"/>
    </row>
    <row r="25" spans="1:14">
      <c r="A25" s="26">
        <v>22</v>
      </c>
      <c r="B25" s="27">
        <v>45983</v>
      </c>
      <c r="C25" s="17"/>
      <c r="D25" s="17"/>
      <c r="E25" s="92"/>
      <c r="F25" s="92"/>
      <c r="G25" s="17">
        <f t="shared" si="0"/>
        <v>0</v>
      </c>
      <c r="H25" s="92"/>
      <c r="I25" s="92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8"/>
    </row>
    <row r="26" spans="1:14">
      <c r="A26" s="26">
        <v>23</v>
      </c>
      <c r="B26" s="27">
        <v>45984</v>
      </c>
      <c r="C26" s="17"/>
      <c r="D26" s="17"/>
      <c r="E26" s="92"/>
      <c r="F26" s="92"/>
      <c r="G26" s="17">
        <f t="shared" si="0"/>
        <v>0</v>
      </c>
      <c r="H26" s="92"/>
      <c r="I26" s="92"/>
      <c r="J26" s="17">
        <f t="shared" si="1"/>
        <v>0</v>
      </c>
      <c r="K26" s="17">
        <f t="shared" si="4"/>
        <v>0</v>
      </c>
      <c r="L26" s="17">
        <f t="shared" si="2"/>
        <v>0</v>
      </c>
      <c r="M26" s="17">
        <f t="shared" si="3"/>
        <v>0</v>
      </c>
      <c r="N26" s="48"/>
    </row>
    <row r="27" spans="1:14">
      <c r="A27" s="26">
        <v>24</v>
      </c>
      <c r="B27" s="27">
        <v>45985</v>
      </c>
      <c r="C27" s="17"/>
      <c r="D27" s="17"/>
      <c r="E27" s="92">
        <v>39.99</v>
      </c>
      <c r="F27" s="92">
        <v>92.19</v>
      </c>
      <c r="G27" s="17">
        <f t="shared" si="0"/>
        <v>3686.6781000000001</v>
      </c>
      <c r="H27" s="92">
        <v>6</v>
      </c>
      <c r="I27" s="92">
        <v>104.03</v>
      </c>
      <c r="J27" s="17">
        <f t="shared" si="1"/>
        <v>624.18000000000006</v>
      </c>
      <c r="K27" s="17">
        <f t="shared" si="4"/>
        <v>4310.8581000000004</v>
      </c>
      <c r="L27" s="17">
        <f t="shared" si="2"/>
        <v>4310.8581000000004</v>
      </c>
      <c r="M27" s="17">
        <f t="shared" si="3"/>
        <v>0</v>
      </c>
      <c r="N27" s="48"/>
    </row>
    <row r="28" spans="1:14">
      <c r="A28" s="26">
        <v>25</v>
      </c>
      <c r="B28" s="27">
        <v>45986</v>
      </c>
      <c r="C28" s="17"/>
      <c r="D28" s="17"/>
      <c r="E28" s="92"/>
      <c r="F28" s="92"/>
      <c r="G28" s="17">
        <f t="shared" si="0"/>
        <v>0</v>
      </c>
      <c r="H28" s="92"/>
      <c r="I28" s="92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8"/>
    </row>
    <row r="29" spans="1:14">
      <c r="A29" s="26">
        <v>26</v>
      </c>
      <c r="B29" s="27">
        <v>45987</v>
      </c>
      <c r="C29" s="17"/>
      <c r="D29" s="17"/>
      <c r="E29" s="92">
        <v>110</v>
      </c>
      <c r="F29" s="92">
        <v>92.19</v>
      </c>
      <c r="G29" s="17">
        <f t="shared" si="0"/>
        <v>10140.9</v>
      </c>
      <c r="H29" s="92">
        <v>10</v>
      </c>
      <c r="I29" s="92">
        <v>104.03</v>
      </c>
      <c r="J29" s="17">
        <f t="shared" si="1"/>
        <v>1040.3</v>
      </c>
      <c r="K29" s="17">
        <f t="shared" si="4"/>
        <v>11181.199999999999</v>
      </c>
      <c r="L29" s="17">
        <f t="shared" si="2"/>
        <v>11181.199999999999</v>
      </c>
      <c r="M29" s="17">
        <v>0</v>
      </c>
      <c r="N29" s="48"/>
    </row>
    <row r="30" spans="1:14">
      <c r="A30" s="26">
        <v>27</v>
      </c>
      <c r="B30" s="27">
        <v>45988</v>
      </c>
      <c r="C30" s="17"/>
      <c r="D30" s="17"/>
      <c r="E30" s="92">
        <v>35</v>
      </c>
      <c r="F30" s="92">
        <v>92.19</v>
      </c>
      <c r="G30" s="17">
        <f t="shared" si="0"/>
        <v>3226.65</v>
      </c>
      <c r="H30" s="92"/>
      <c r="I30" s="92"/>
      <c r="J30" s="17">
        <f t="shared" si="1"/>
        <v>0</v>
      </c>
      <c r="K30" s="17">
        <f t="shared" si="4"/>
        <v>3226.65</v>
      </c>
      <c r="L30" s="17">
        <f t="shared" si="2"/>
        <v>3226.65</v>
      </c>
      <c r="M30" s="17">
        <v>0</v>
      </c>
      <c r="N30" s="48"/>
    </row>
    <row r="31" spans="1:14">
      <c r="A31" s="26">
        <v>28</v>
      </c>
      <c r="B31" s="27">
        <v>45989</v>
      </c>
      <c r="C31" s="17"/>
      <c r="D31" s="17"/>
      <c r="E31" s="92">
        <v>34.99</v>
      </c>
      <c r="F31" s="92">
        <v>92.19</v>
      </c>
      <c r="G31" s="17">
        <f t="shared" si="0"/>
        <v>3225.7281000000003</v>
      </c>
      <c r="H31" s="92"/>
      <c r="I31" s="92"/>
      <c r="J31" s="17">
        <f t="shared" si="1"/>
        <v>0</v>
      </c>
      <c r="K31" s="17">
        <f t="shared" si="4"/>
        <v>3225.7281000000003</v>
      </c>
      <c r="L31" s="17">
        <f t="shared" si="2"/>
        <v>3225.7281000000003</v>
      </c>
      <c r="M31" s="17">
        <v>0</v>
      </c>
      <c r="N31" s="48"/>
    </row>
    <row r="32" spans="1:14">
      <c r="A32" s="26">
        <v>29</v>
      </c>
      <c r="B32" s="27">
        <v>45990</v>
      </c>
      <c r="C32" s="17"/>
      <c r="D32" s="17"/>
      <c r="E32" s="92">
        <v>105</v>
      </c>
      <c r="F32" s="92">
        <v>92.19</v>
      </c>
      <c r="G32" s="17">
        <f t="shared" si="0"/>
        <v>9679.9499999999989</v>
      </c>
      <c r="H32" s="92"/>
      <c r="I32" s="92"/>
      <c r="J32" s="17">
        <f t="shared" si="1"/>
        <v>0</v>
      </c>
      <c r="K32" s="17">
        <f t="shared" si="4"/>
        <v>9679.9499999999989</v>
      </c>
      <c r="L32" s="17">
        <f t="shared" si="2"/>
        <v>9679.9499999999989</v>
      </c>
      <c r="M32" s="17"/>
      <c r="N32" s="48"/>
    </row>
    <row r="33" spans="1:14">
      <c r="A33" s="26">
        <v>30</v>
      </c>
      <c r="B33" s="27">
        <v>45991</v>
      </c>
      <c r="C33" s="17"/>
      <c r="D33" s="17" t="s">
        <v>150</v>
      </c>
      <c r="E33" s="92">
        <v>40.01</v>
      </c>
      <c r="F33" s="92">
        <v>92.22</v>
      </c>
      <c r="G33" s="17">
        <f t="shared" si="0"/>
        <v>3689.7221999999997</v>
      </c>
      <c r="H33" s="92"/>
      <c r="I33" s="92"/>
      <c r="J33" s="17">
        <f t="shared" si="1"/>
        <v>0</v>
      </c>
      <c r="K33" s="17">
        <f t="shared" si="4"/>
        <v>3689.7221999999997</v>
      </c>
      <c r="L33" s="17">
        <f t="shared" si="2"/>
        <v>3689.7221999999997</v>
      </c>
      <c r="M33" s="17"/>
      <c r="N33" s="48"/>
    </row>
    <row r="34" spans="1:14">
      <c r="A34" s="26">
        <v>31</v>
      </c>
      <c r="B34" s="27"/>
      <c r="C34" s="17"/>
      <c r="D34" s="17"/>
      <c r="E34" s="92"/>
      <c r="F34" s="92"/>
      <c r="G34" s="17"/>
      <c r="H34" s="92"/>
      <c r="I34" s="92"/>
      <c r="J34" s="17"/>
      <c r="K34" s="17"/>
      <c r="L34" s="17"/>
      <c r="M34" s="17"/>
      <c r="N34" s="48"/>
    </row>
    <row r="35" spans="1:14">
      <c r="A35" s="46"/>
      <c r="B35" s="46"/>
      <c r="C35" s="46"/>
      <c r="D35" s="46"/>
      <c r="E35" s="46">
        <f>SUM(E4:E34)</f>
        <v>704.99</v>
      </c>
      <c r="F35" s="46"/>
      <c r="G35" s="46">
        <f>SUM(G4:G34)</f>
        <v>64994.228399999993</v>
      </c>
      <c r="H35" s="46">
        <f>SUM(H4:H34)</f>
        <v>41</v>
      </c>
      <c r="I35" s="46"/>
      <c r="J35" s="46">
        <f>SUM(J4:J34)</f>
        <v>4265.2300000000005</v>
      </c>
      <c r="K35" s="46">
        <f>SUM(K4:K34)</f>
        <v>69259.458400000003</v>
      </c>
      <c r="L35" s="46">
        <f>SUM(L4:L34)</f>
        <v>69259.458400000003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topLeftCell="A6" workbookViewId="0">
      <selection activeCell="L30" sqref="L30"/>
    </sheetView>
  </sheetViews>
  <sheetFormatPr defaultRowHeight="15"/>
  <sheetData>
    <row r="1" spans="1:14" ht="15.75">
      <c r="A1" s="454" t="s">
        <v>151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4" ht="25.5">
      <c r="A2" s="109" t="s">
        <v>95</v>
      </c>
      <c r="B2" s="113" t="s">
        <v>96</v>
      </c>
      <c r="C2" s="113" t="s">
        <v>97</v>
      </c>
      <c r="D2" s="113" t="s">
        <v>98</v>
      </c>
      <c r="E2" s="113" t="s">
        <v>99</v>
      </c>
      <c r="F2" s="113" t="s">
        <v>100</v>
      </c>
      <c r="G2" s="113" t="s">
        <v>101</v>
      </c>
      <c r="H2" s="113" t="s">
        <v>102</v>
      </c>
      <c r="I2" s="113" t="s">
        <v>100</v>
      </c>
      <c r="J2" s="113" t="s">
        <v>101</v>
      </c>
      <c r="K2" s="113" t="s">
        <v>103</v>
      </c>
      <c r="L2" s="113" t="s">
        <v>104</v>
      </c>
      <c r="M2" s="113" t="s">
        <v>110</v>
      </c>
      <c r="N2" s="113" t="s">
        <v>106</v>
      </c>
    </row>
    <row r="3" spans="1:14">
      <c r="A3" s="466" t="s">
        <v>107</v>
      </c>
      <c r="B3" s="466"/>
      <c r="C3" s="466"/>
      <c r="D3" s="466"/>
      <c r="E3" s="466"/>
      <c r="F3" s="466"/>
      <c r="G3" s="466"/>
      <c r="H3" s="466"/>
      <c r="I3" s="466"/>
      <c r="J3" s="466"/>
      <c r="K3" s="101">
        <v>0</v>
      </c>
      <c r="L3" s="101">
        <v>0</v>
      </c>
      <c r="M3" s="101">
        <f>+K3</f>
        <v>0</v>
      </c>
      <c r="N3" s="17"/>
    </row>
    <row r="4" spans="1:14">
      <c r="A4" s="26">
        <v>1</v>
      </c>
      <c r="B4" s="27">
        <v>45962</v>
      </c>
      <c r="C4" s="17"/>
      <c r="D4" s="17"/>
      <c r="E4" s="92"/>
      <c r="F4" s="92"/>
      <c r="G4" s="17">
        <f>E4*F4</f>
        <v>0</v>
      </c>
      <c r="H4" s="92"/>
      <c r="I4" s="92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8"/>
    </row>
    <row r="5" spans="1:14">
      <c r="A5" s="26">
        <v>2</v>
      </c>
      <c r="B5" s="27">
        <v>45963</v>
      </c>
      <c r="C5" s="17"/>
      <c r="D5" s="17"/>
      <c r="E5" s="92">
        <v>240</v>
      </c>
      <c r="F5" s="92">
        <v>92.22</v>
      </c>
      <c r="G5" s="17">
        <f t="shared" ref="G5" si="0">E5*F5</f>
        <v>22132.799999999999</v>
      </c>
      <c r="H5" s="92">
        <v>20</v>
      </c>
      <c r="I5" s="92">
        <v>104.02</v>
      </c>
      <c r="J5" s="17">
        <f t="shared" ref="J5" si="1">H5*I5</f>
        <v>2080.4</v>
      </c>
      <c r="K5" s="17">
        <f>G5+J5</f>
        <v>24213.200000000001</v>
      </c>
      <c r="L5" s="17">
        <f t="shared" ref="L5:L33" si="2">K5</f>
        <v>24213.200000000001</v>
      </c>
      <c r="M5" s="17">
        <f t="shared" ref="M5:M27" si="3">M4+K5-L5</f>
        <v>0</v>
      </c>
      <c r="N5" s="48"/>
    </row>
    <row r="6" spans="1:14">
      <c r="A6" s="26">
        <v>3</v>
      </c>
      <c r="B6" s="27">
        <v>45964</v>
      </c>
      <c r="C6" s="17"/>
      <c r="D6" s="17"/>
      <c r="E6" s="92"/>
      <c r="F6" s="92"/>
      <c r="G6" s="17">
        <f t="shared" ref="G5:G33" si="4">E6*F6</f>
        <v>0</v>
      </c>
      <c r="H6" s="92"/>
      <c r="I6" s="92"/>
      <c r="J6" s="17">
        <f t="shared" ref="J5:J33" si="5">H6*I6</f>
        <v>0</v>
      </c>
      <c r="K6" s="17">
        <f t="shared" ref="K5:K33" si="6">G6+J6</f>
        <v>0</v>
      </c>
      <c r="L6" s="17">
        <f t="shared" si="2"/>
        <v>0</v>
      </c>
      <c r="M6" s="17">
        <f t="shared" si="3"/>
        <v>0</v>
      </c>
      <c r="N6" s="48"/>
    </row>
    <row r="7" spans="1:14">
      <c r="A7" s="26">
        <v>4</v>
      </c>
      <c r="B7" s="27">
        <v>45965</v>
      </c>
      <c r="C7" s="17"/>
      <c r="D7" s="17"/>
      <c r="E7" s="92"/>
      <c r="F7" s="92"/>
      <c r="G7" s="17">
        <f t="shared" si="4"/>
        <v>0</v>
      </c>
      <c r="H7" s="92"/>
      <c r="I7" s="92"/>
      <c r="J7" s="17">
        <f t="shared" si="5"/>
        <v>0</v>
      </c>
      <c r="K7" s="17">
        <f t="shared" si="6"/>
        <v>0</v>
      </c>
      <c r="L7" s="17">
        <f t="shared" si="2"/>
        <v>0</v>
      </c>
      <c r="M7" s="17">
        <f t="shared" si="3"/>
        <v>0</v>
      </c>
      <c r="N7" s="48"/>
    </row>
    <row r="8" spans="1:14">
      <c r="A8" s="26">
        <v>5</v>
      </c>
      <c r="B8" s="27">
        <v>45966</v>
      </c>
      <c r="C8" s="17"/>
      <c r="D8" s="17"/>
      <c r="E8" s="92"/>
      <c r="F8" s="92"/>
      <c r="G8" s="17">
        <f t="shared" si="4"/>
        <v>0</v>
      </c>
      <c r="H8" s="92"/>
      <c r="I8" s="92"/>
      <c r="J8" s="17">
        <f t="shared" si="5"/>
        <v>0</v>
      </c>
      <c r="K8" s="17">
        <f t="shared" si="6"/>
        <v>0</v>
      </c>
      <c r="L8" s="17">
        <f t="shared" si="2"/>
        <v>0</v>
      </c>
      <c r="M8" s="17">
        <f t="shared" si="3"/>
        <v>0</v>
      </c>
      <c r="N8" s="48"/>
    </row>
    <row r="9" spans="1:14">
      <c r="A9" s="26">
        <v>6</v>
      </c>
      <c r="B9" s="27">
        <v>45967</v>
      </c>
      <c r="C9" s="17"/>
      <c r="D9" s="17"/>
      <c r="E9" s="92"/>
      <c r="F9" s="92"/>
      <c r="G9" s="17">
        <f t="shared" si="4"/>
        <v>0</v>
      </c>
      <c r="H9" s="92"/>
      <c r="I9" s="92"/>
      <c r="J9" s="17">
        <f t="shared" si="5"/>
        <v>0</v>
      </c>
      <c r="K9" s="17">
        <f t="shared" si="6"/>
        <v>0</v>
      </c>
      <c r="L9" s="17">
        <f t="shared" si="2"/>
        <v>0</v>
      </c>
      <c r="M9" s="17">
        <f t="shared" si="3"/>
        <v>0</v>
      </c>
      <c r="N9" s="48"/>
    </row>
    <row r="10" spans="1:14">
      <c r="A10" s="26">
        <v>7</v>
      </c>
      <c r="B10" s="27">
        <v>45968</v>
      </c>
      <c r="C10" s="17"/>
      <c r="D10" s="17"/>
      <c r="E10" s="92"/>
      <c r="F10" s="92"/>
      <c r="G10" s="17">
        <f t="shared" si="4"/>
        <v>0</v>
      </c>
      <c r="H10" s="92"/>
      <c r="I10" s="92"/>
      <c r="J10" s="17">
        <f t="shared" si="5"/>
        <v>0</v>
      </c>
      <c r="K10" s="17">
        <f t="shared" si="6"/>
        <v>0</v>
      </c>
      <c r="L10" s="17">
        <f t="shared" si="2"/>
        <v>0</v>
      </c>
      <c r="M10" s="17">
        <f t="shared" si="3"/>
        <v>0</v>
      </c>
      <c r="N10" s="48"/>
    </row>
    <row r="11" spans="1:14">
      <c r="A11" s="26">
        <v>8</v>
      </c>
      <c r="B11" s="27">
        <v>45969</v>
      </c>
      <c r="C11" s="17"/>
      <c r="D11" s="17"/>
      <c r="E11" s="92"/>
      <c r="F11" s="92"/>
      <c r="G11" s="17">
        <f t="shared" si="4"/>
        <v>0</v>
      </c>
      <c r="H11" s="92"/>
      <c r="I11" s="92"/>
      <c r="J11" s="17">
        <f t="shared" si="5"/>
        <v>0</v>
      </c>
      <c r="K11" s="17">
        <f t="shared" si="6"/>
        <v>0</v>
      </c>
      <c r="L11" s="17">
        <f t="shared" si="2"/>
        <v>0</v>
      </c>
      <c r="M11" s="17">
        <f t="shared" si="3"/>
        <v>0</v>
      </c>
      <c r="N11" s="48"/>
    </row>
    <row r="12" spans="1:14">
      <c r="A12" s="26">
        <v>9</v>
      </c>
      <c r="B12" s="27">
        <v>45970</v>
      </c>
      <c r="C12" s="17"/>
      <c r="D12" s="17"/>
      <c r="E12" s="92"/>
      <c r="F12" s="92"/>
      <c r="G12" s="17">
        <f t="shared" si="4"/>
        <v>0</v>
      </c>
      <c r="H12" s="92"/>
      <c r="I12" s="92"/>
      <c r="J12" s="17">
        <f t="shared" si="5"/>
        <v>0</v>
      </c>
      <c r="K12" s="17">
        <f t="shared" si="6"/>
        <v>0</v>
      </c>
      <c r="L12" s="17">
        <f t="shared" si="2"/>
        <v>0</v>
      </c>
      <c r="M12" s="17">
        <f t="shared" si="3"/>
        <v>0</v>
      </c>
      <c r="N12" s="48"/>
    </row>
    <row r="13" spans="1:14">
      <c r="A13" s="26">
        <v>10</v>
      </c>
      <c r="B13" s="27">
        <v>45971</v>
      </c>
      <c r="C13" s="17"/>
      <c r="D13" s="17"/>
      <c r="E13" s="92"/>
      <c r="F13" s="92"/>
      <c r="G13" s="17">
        <f t="shared" si="4"/>
        <v>0</v>
      </c>
      <c r="H13" s="92"/>
      <c r="I13" s="92"/>
      <c r="J13" s="17">
        <f t="shared" si="5"/>
        <v>0</v>
      </c>
      <c r="K13" s="17">
        <f t="shared" si="6"/>
        <v>0</v>
      </c>
      <c r="L13" s="17">
        <f t="shared" si="2"/>
        <v>0</v>
      </c>
      <c r="M13" s="17">
        <f t="shared" si="3"/>
        <v>0</v>
      </c>
      <c r="N13" s="48"/>
    </row>
    <row r="14" spans="1:14">
      <c r="A14" s="26">
        <v>11</v>
      </c>
      <c r="B14" s="27">
        <v>45972</v>
      </c>
      <c r="C14" s="17"/>
      <c r="D14" s="17"/>
      <c r="E14" s="92"/>
      <c r="F14" s="92"/>
      <c r="G14" s="17">
        <f t="shared" si="4"/>
        <v>0</v>
      </c>
      <c r="H14" s="92"/>
      <c r="I14" s="92"/>
      <c r="J14" s="17">
        <f t="shared" si="5"/>
        <v>0</v>
      </c>
      <c r="K14" s="17">
        <f t="shared" si="6"/>
        <v>0</v>
      </c>
      <c r="L14" s="17">
        <f t="shared" si="2"/>
        <v>0</v>
      </c>
      <c r="M14" s="17">
        <f t="shared" si="3"/>
        <v>0</v>
      </c>
      <c r="N14" s="48"/>
    </row>
    <row r="15" spans="1:14">
      <c r="A15" s="26">
        <v>12</v>
      </c>
      <c r="B15" s="27">
        <v>45973</v>
      </c>
      <c r="C15" s="17"/>
      <c r="D15" s="17"/>
      <c r="E15" s="92">
        <v>150</v>
      </c>
      <c r="F15" s="92">
        <v>92.17</v>
      </c>
      <c r="G15" s="17">
        <f t="shared" si="4"/>
        <v>13825.5</v>
      </c>
      <c r="H15" s="92">
        <v>10</v>
      </c>
      <c r="I15" s="92">
        <v>104.02</v>
      </c>
      <c r="J15" s="17">
        <f t="shared" si="5"/>
        <v>1040.2</v>
      </c>
      <c r="K15" s="17">
        <f t="shared" si="6"/>
        <v>14865.7</v>
      </c>
      <c r="L15" s="17">
        <f t="shared" si="2"/>
        <v>14865.7</v>
      </c>
      <c r="M15" s="17">
        <f t="shared" si="3"/>
        <v>0</v>
      </c>
      <c r="N15" s="48"/>
    </row>
    <row r="16" spans="1:14">
      <c r="A16" s="26">
        <v>13</v>
      </c>
      <c r="B16" s="27">
        <v>45974</v>
      </c>
      <c r="C16" s="17"/>
      <c r="D16" s="17"/>
      <c r="E16" s="92"/>
      <c r="F16" s="92"/>
      <c r="G16" s="17">
        <f t="shared" si="4"/>
        <v>0</v>
      </c>
      <c r="H16" s="92"/>
      <c r="I16" s="368"/>
      <c r="J16" s="17">
        <f t="shared" si="5"/>
        <v>0</v>
      </c>
      <c r="K16" s="17">
        <f t="shared" si="6"/>
        <v>0</v>
      </c>
      <c r="L16" s="17">
        <f t="shared" si="2"/>
        <v>0</v>
      </c>
      <c r="M16" s="17">
        <f t="shared" si="3"/>
        <v>0</v>
      </c>
      <c r="N16" s="48"/>
    </row>
    <row r="17" spans="1:14">
      <c r="A17" s="26">
        <v>14</v>
      </c>
      <c r="B17" s="27">
        <v>45975</v>
      </c>
      <c r="C17" s="17"/>
      <c r="D17" s="17"/>
      <c r="E17" s="92"/>
      <c r="F17" s="92"/>
      <c r="G17" s="17">
        <f t="shared" si="4"/>
        <v>0</v>
      </c>
      <c r="H17" s="92"/>
      <c r="I17" s="92"/>
      <c r="J17" s="17">
        <f t="shared" si="5"/>
        <v>0</v>
      </c>
      <c r="K17" s="17">
        <f t="shared" si="6"/>
        <v>0</v>
      </c>
      <c r="L17" s="17">
        <f t="shared" si="2"/>
        <v>0</v>
      </c>
      <c r="M17" s="17">
        <f t="shared" si="3"/>
        <v>0</v>
      </c>
      <c r="N17" s="48"/>
    </row>
    <row r="18" spans="1:14">
      <c r="A18" s="26">
        <v>15</v>
      </c>
      <c r="B18" s="27">
        <v>45976</v>
      </c>
      <c r="C18" s="17"/>
      <c r="D18" s="17"/>
      <c r="E18" s="92"/>
      <c r="F18" s="92"/>
      <c r="G18" s="17">
        <f t="shared" si="4"/>
        <v>0</v>
      </c>
      <c r="H18" s="92"/>
      <c r="I18" s="92"/>
      <c r="J18" s="17">
        <f t="shared" si="5"/>
        <v>0</v>
      </c>
      <c r="K18" s="17">
        <f t="shared" si="6"/>
        <v>0</v>
      </c>
      <c r="L18" s="17">
        <f t="shared" si="2"/>
        <v>0</v>
      </c>
      <c r="M18" s="17">
        <f t="shared" si="3"/>
        <v>0</v>
      </c>
      <c r="N18" s="48"/>
    </row>
    <row r="19" spans="1:14">
      <c r="A19" s="26">
        <v>16</v>
      </c>
      <c r="B19" s="27">
        <v>45977</v>
      </c>
      <c r="C19" s="17"/>
      <c r="D19" s="17"/>
      <c r="E19" s="92"/>
      <c r="F19" s="92"/>
      <c r="G19" s="17">
        <f t="shared" si="4"/>
        <v>0</v>
      </c>
      <c r="H19" s="92"/>
      <c r="I19" s="92"/>
      <c r="J19" s="17">
        <f t="shared" si="5"/>
        <v>0</v>
      </c>
      <c r="K19" s="17">
        <f t="shared" si="6"/>
        <v>0</v>
      </c>
      <c r="L19" s="17">
        <f t="shared" si="2"/>
        <v>0</v>
      </c>
      <c r="M19" s="17">
        <f t="shared" si="3"/>
        <v>0</v>
      </c>
      <c r="N19" s="48"/>
    </row>
    <row r="20" spans="1:14">
      <c r="A20" s="26">
        <v>17</v>
      </c>
      <c r="B20" s="27">
        <v>45978</v>
      </c>
      <c r="C20" s="17"/>
      <c r="D20" s="17"/>
      <c r="E20" s="92"/>
      <c r="F20" s="92"/>
      <c r="G20" s="17">
        <f t="shared" si="4"/>
        <v>0</v>
      </c>
      <c r="H20" s="92"/>
      <c r="I20" s="92"/>
      <c r="J20" s="17">
        <f t="shared" si="5"/>
        <v>0</v>
      </c>
      <c r="K20" s="17">
        <f t="shared" si="6"/>
        <v>0</v>
      </c>
      <c r="L20" s="17">
        <f t="shared" si="2"/>
        <v>0</v>
      </c>
      <c r="M20" s="17">
        <f t="shared" si="3"/>
        <v>0</v>
      </c>
      <c r="N20" s="48"/>
    </row>
    <row r="21" spans="1:14">
      <c r="A21" s="26">
        <v>18</v>
      </c>
      <c r="B21" s="27">
        <v>45979</v>
      </c>
      <c r="C21" s="17"/>
      <c r="D21" s="17"/>
      <c r="E21" s="92"/>
      <c r="F21" s="92"/>
      <c r="G21" s="17">
        <f t="shared" si="4"/>
        <v>0</v>
      </c>
      <c r="H21" s="92"/>
      <c r="I21" s="92"/>
      <c r="J21" s="17">
        <f t="shared" si="5"/>
        <v>0</v>
      </c>
      <c r="K21" s="17">
        <f t="shared" si="6"/>
        <v>0</v>
      </c>
      <c r="L21" s="17">
        <f t="shared" si="2"/>
        <v>0</v>
      </c>
      <c r="M21" s="17">
        <f t="shared" si="3"/>
        <v>0</v>
      </c>
      <c r="N21" s="48"/>
    </row>
    <row r="22" spans="1:14">
      <c r="A22" s="26">
        <v>19</v>
      </c>
      <c r="B22" s="27">
        <v>45980</v>
      </c>
      <c r="C22" s="17"/>
      <c r="D22" s="17"/>
      <c r="E22" s="92"/>
      <c r="F22" s="92"/>
      <c r="G22" s="17">
        <f t="shared" si="4"/>
        <v>0</v>
      </c>
      <c r="H22" s="92"/>
      <c r="I22" s="92"/>
      <c r="J22" s="17">
        <f t="shared" si="5"/>
        <v>0</v>
      </c>
      <c r="K22" s="17">
        <f t="shared" si="6"/>
        <v>0</v>
      </c>
      <c r="L22" s="17">
        <f t="shared" si="2"/>
        <v>0</v>
      </c>
      <c r="M22" s="17">
        <f t="shared" si="3"/>
        <v>0</v>
      </c>
      <c r="N22" s="48"/>
    </row>
    <row r="23" spans="1:14">
      <c r="A23" s="26">
        <v>20</v>
      </c>
      <c r="B23" s="27">
        <v>45981</v>
      </c>
      <c r="C23" s="17"/>
      <c r="D23" s="17"/>
      <c r="E23" s="92"/>
      <c r="F23" s="92"/>
      <c r="G23" s="17">
        <f t="shared" si="4"/>
        <v>0</v>
      </c>
      <c r="H23" s="92"/>
      <c r="I23" s="92"/>
      <c r="J23" s="17">
        <f t="shared" si="5"/>
        <v>0</v>
      </c>
      <c r="K23" s="17">
        <f t="shared" si="6"/>
        <v>0</v>
      </c>
      <c r="L23" s="17">
        <f t="shared" si="2"/>
        <v>0</v>
      </c>
      <c r="M23" s="17">
        <f t="shared" si="3"/>
        <v>0</v>
      </c>
      <c r="N23" s="48"/>
    </row>
    <row r="24" spans="1:14">
      <c r="A24" s="26">
        <v>21</v>
      </c>
      <c r="B24" s="27">
        <v>45982</v>
      </c>
      <c r="C24" s="17"/>
      <c r="D24" s="17"/>
      <c r="E24" s="92"/>
      <c r="F24" s="92"/>
      <c r="G24" s="17">
        <f t="shared" si="4"/>
        <v>0</v>
      </c>
      <c r="H24" s="92"/>
      <c r="I24" s="92"/>
      <c r="J24" s="17">
        <f t="shared" si="5"/>
        <v>0</v>
      </c>
      <c r="K24" s="17">
        <f t="shared" si="6"/>
        <v>0</v>
      </c>
      <c r="L24" s="17">
        <f t="shared" si="2"/>
        <v>0</v>
      </c>
      <c r="M24" s="17">
        <f t="shared" si="3"/>
        <v>0</v>
      </c>
      <c r="N24" s="48"/>
    </row>
    <row r="25" spans="1:14">
      <c r="A25" s="26">
        <v>22</v>
      </c>
      <c r="B25" s="27">
        <v>45983</v>
      </c>
      <c r="C25" s="17"/>
      <c r="D25" s="17"/>
      <c r="E25" s="92"/>
      <c r="F25" s="92"/>
      <c r="G25" s="17">
        <f t="shared" si="4"/>
        <v>0</v>
      </c>
      <c r="H25" s="92"/>
      <c r="I25" s="92"/>
      <c r="J25" s="17">
        <f t="shared" si="5"/>
        <v>0</v>
      </c>
      <c r="K25" s="17">
        <f t="shared" si="6"/>
        <v>0</v>
      </c>
      <c r="L25" s="17">
        <f t="shared" si="2"/>
        <v>0</v>
      </c>
      <c r="M25" s="17">
        <f t="shared" si="3"/>
        <v>0</v>
      </c>
      <c r="N25" s="48"/>
    </row>
    <row r="26" spans="1:14">
      <c r="A26" s="26">
        <v>23</v>
      </c>
      <c r="B26" s="27">
        <v>45984</v>
      </c>
      <c r="C26" s="17"/>
      <c r="D26" s="17"/>
      <c r="E26" s="92"/>
      <c r="F26" s="92"/>
      <c r="G26" s="17">
        <f t="shared" si="4"/>
        <v>0</v>
      </c>
      <c r="H26" s="92"/>
      <c r="I26" s="92"/>
      <c r="J26" s="17">
        <f t="shared" si="5"/>
        <v>0</v>
      </c>
      <c r="K26" s="17">
        <f t="shared" si="6"/>
        <v>0</v>
      </c>
      <c r="L26" s="17">
        <f t="shared" si="2"/>
        <v>0</v>
      </c>
      <c r="M26" s="17">
        <f t="shared" si="3"/>
        <v>0</v>
      </c>
      <c r="N26" s="48"/>
    </row>
    <row r="27" spans="1:14">
      <c r="A27" s="26">
        <v>24</v>
      </c>
      <c r="B27" s="27">
        <v>45985</v>
      </c>
      <c r="C27" s="17"/>
      <c r="D27" s="17"/>
      <c r="E27" s="92"/>
      <c r="F27" s="92"/>
      <c r="G27" s="17">
        <f t="shared" si="4"/>
        <v>0</v>
      </c>
      <c r="H27" s="92"/>
      <c r="I27" s="92"/>
      <c r="J27" s="17">
        <f t="shared" si="5"/>
        <v>0</v>
      </c>
      <c r="K27" s="17">
        <f t="shared" si="6"/>
        <v>0</v>
      </c>
      <c r="L27" s="17">
        <f t="shared" si="2"/>
        <v>0</v>
      </c>
      <c r="M27" s="17">
        <f t="shared" si="3"/>
        <v>0</v>
      </c>
      <c r="N27" s="48"/>
    </row>
    <row r="28" spans="1:14">
      <c r="A28" s="26">
        <v>25</v>
      </c>
      <c r="B28" s="27">
        <v>45986</v>
      </c>
      <c r="C28" s="17"/>
      <c r="D28" s="17"/>
      <c r="E28" s="92"/>
      <c r="F28" s="92"/>
      <c r="G28" s="17">
        <f t="shared" si="4"/>
        <v>0</v>
      </c>
      <c r="H28" s="92"/>
      <c r="I28" s="92"/>
      <c r="J28" s="17">
        <f t="shared" si="5"/>
        <v>0</v>
      </c>
      <c r="K28" s="17">
        <f>G28+J28</f>
        <v>0</v>
      </c>
      <c r="L28" s="17">
        <f t="shared" si="2"/>
        <v>0</v>
      </c>
      <c r="M28" s="17">
        <v>0</v>
      </c>
      <c r="N28" s="48"/>
    </row>
    <row r="29" spans="1:14">
      <c r="A29" s="26">
        <v>26</v>
      </c>
      <c r="B29" s="27">
        <v>45987</v>
      </c>
      <c r="C29" s="17"/>
      <c r="D29" s="17"/>
      <c r="E29" s="92"/>
      <c r="F29" s="92"/>
      <c r="G29" s="17">
        <f t="shared" si="4"/>
        <v>0</v>
      </c>
      <c r="H29" s="92"/>
      <c r="I29" s="92"/>
      <c r="J29" s="17">
        <f t="shared" si="5"/>
        <v>0</v>
      </c>
      <c r="K29" s="17">
        <f t="shared" si="6"/>
        <v>0</v>
      </c>
      <c r="L29" s="17">
        <f t="shared" si="2"/>
        <v>0</v>
      </c>
      <c r="M29" s="17">
        <v>0</v>
      </c>
      <c r="N29" s="48"/>
    </row>
    <row r="30" spans="1:14">
      <c r="A30" s="26">
        <v>27</v>
      </c>
      <c r="B30" s="27">
        <v>45988</v>
      </c>
      <c r="C30" s="17"/>
      <c r="D30" s="17"/>
      <c r="E30" s="92">
        <v>190</v>
      </c>
      <c r="F30" s="92">
        <v>92.17</v>
      </c>
      <c r="G30" s="17">
        <f t="shared" si="4"/>
        <v>17512.3</v>
      </c>
      <c r="H30" s="92">
        <v>20</v>
      </c>
      <c r="I30" s="92">
        <v>104.02</v>
      </c>
      <c r="J30" s="17">
        <f t="shared" si="5"/>
        <v>2080.4</v>
      </c>
      <c r="K30" s="17">
        <f t="shared" si="6"/>
        <v>19592.7</v>
      </c>
      <c r="L30" s="17">
        <f t="shared" si="2"/>
        <v>19592.7</v>
      </c>
      <c r="M30" s="17">
        <v>0</v>
      </c>
      <c r="N30" s="48"/>
    </row>
    <row r="31" spans="1:14">
      <c r="A31" s="26">
        <v>28</v>
      </c>
      <c r="B31" s="27">
        <v>45989</v>
      </c>
      <c r="C31" s="17"/>
      <c r="D31" s="17"/>
      <c r="E31" s="92"/>
      <c r="F31" s="92"/>
      <c r="G31" s="17">
        <f t="shared" si="4"/>
        <v>0</v>
      </c>
      <c r="H31" s="92"/>
      <c r="I31" s="92"/>
      <c r="J31" s="17">
        <f t="shared" si="5"/>
        <v>0</v>
      </c>
      <c r="K31" s="17">
        <f t="shared" si="6"/>
        <v>0</v>
      </c>
      <c r="L31" s="17">
        <f t="shared" si="2"/>
        <v>0</v>
      </c>
      <c r="M31" s="17">
        <v>0</v>
      </c>
      <c r="N31" s="48"/>
    </row>
    <row r="32" spans="1:14">
      <c r="A32" s="26">
        <v>29</v>
      </c>
      <c r="B32" s="27">
        <v>45990</v>
      </c>
      <c r="C32" s="17"/>
      <c r="D32" s="17"/>
      <c r="E32" s="92"/>
      <c r="F32" s="92"/>
      <c r="G32" s="17">
        <f t="shared" si="4"/>
        <v>0</v>
      </c>
      <c r="H32" s="92"/>
      <c r="I32" s="92"/>
      <c r="J32" s="17">
        <f t="shared" si="5"/>
        <v>0</v>
      </c>
      <c r="K32" s="17">
        <f t="shared" si="6"/>
        <v>0</v>
      </c>
      <c r="L32" s="17">
        <f t="shared" si="2"/>
        <v>0</v>
      </c>
      <c r="M32" s="17"/>
      <c r="N32" s="48"/>
    </row>
    <row r="33" spans="1:14">
      <c r="A33" s="26">
        <v>30</v>
      </c>
      <c r="B33" s="27">
        <v>45991</v>
      </c>
      <c r="C33" s="17"/>
      <c r="D33" s="17"/>
      <c r="E33" s="92"/>
      <c r="F33" s="92"/>
      <c r="G33" s="17">
        <f t="shared" si="4"/>
        <v>0</v>
      </c>
      <c r="H33" s="92"/>
      <c r="I33" s="92"/>
      <c r="J33" s="17">
        <f t="shared" si="5"/>
        <v>0</v>
      </c>
      <c r="K33" s="17">
        <f t="shared" si="6"/>
        <v>0</v>
      </c>
      <c r="L33" s="17">
        <f t="shared" si="2"/>
        <v>0</v>
      </c>
      <c r="M33" s="17"/>
      <c r="N33" s="48"/>
    </row>
    <row r="34" spans="1:14">
      <c r="A34" s="26">
        <v>31</v>
      </c>
      <c r="B34" s="27"/>
      <c r="C34" s="17"/>
      <c r="D34" s="17"/>
      <c r="E34" s="92"/>
      <c r="F34" s="92"/>
      <c r="G34" s="17"/>
      <c r="H34" s="92"/>
      <c r="I34" s="92"/>
      <c r="J34" s="17"/>
      <c r="K34" s="17"/>
      <c r="L34" s="17"/>
      <c r="M34" s="17"/>
      <c r="N34" s="48"/>
    </row>
    <row r="35" spans="1:14">
      <c r="A35" s="46"/>
      <c r="B35" s="46"/>
      <c r="C35" s="46"/>
      <c r="D35" s="46"/>
      <c r="E35" s="46">
        <f>SUM(E4:E34)</f>
        <v>580</v>
      </c>
      <c r="F35" s="46"/>
      <c r="G35" s="46">
        <f>SUM(G4:G34)</f>
        <v>53470.600000000006</v>
      </c>
      <c r="H35" s="46">
        <f>SUM(H4:H34)</f>
        <v>50</v>
      </c>
      <c r="I35" s="46"/>
      <c r="J35" s="46">
        <f>SUM(J4:J34)</f>
        <v>5201</v>
      </c>
      <c r="K35" s="46">
        <f>SUM(K4:K34)</f>
        <v>58671.600000000006</v>
      </c>
      <c r="L35" s="46">
        <f>SUM(L4:L34)</f>
        <v>58671.600000000006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topLeftCell="A10" workbookViewId="0">
      <selection activeCell="Q28" sqref="Q28"/>
    </sheetView>
  </sheetViews>
  <sheetFormatPr defaultRowHeight="15"/>
  <sheetData>
    <row r="1" spans="1:14" ht="15.75">
      <c r="A1" s="454" t="s">
        <v>152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4" ht="27">
      <c r="A2" s="109" t="s">
        <v>95</v>
      </c>
      <c r="B2" s="113" t="s">
        <v>96</v>
      </c>
      <c r="C2" s="113" t="s">
        <v>97</v>
      </c>
      <c r="D2" s="113" t="s">
        <v>98</v>
      </c>
      <c r="E2" s="113" t="s">
        <v>99</v>
      </c>
      <c r="F2" s="113" t="s">
        <v>100</v>
      </c>
      <c r="G2" s="113" t="s">
        <v>101</v>
      </c>
      <c r="H2" s="113" t="s">
        <v>102</v>
      </c>
      <c r="I2" s="113" t="s">
        <v>100</v>
      </c>
      <c r="J2" s="113" t="s">
        <v>101</v>
      </c>
      <c r="K2" s="113" t="s">
        <v>103</v>
      </c>
      <c r="L2" s="113" t="s">
        <v>104</v>
      </c>
      <c r="M2" s="113" t="s">
        <v>110</v>
      </c>
      <c r="N2" s="113" t="s">
        <v>106</v>
      </c>
    </row>
    <row r="3" spans="1:14">
      <c r="A3" s="466" t="s">
        <v>107</v>
      </c>
      <c r="B3" s="466"/>
      <c r="C3" s="466"/>
      <c r="D3" s="466"/>
      <c r="E3" s="466"/>
      <c r="F3" s="466"/>
      <c r="G3" s="466"/>
      <c r="H3" s="466"/>
      <c r="I3" s="466"/>
      <c r="J3" s="466"/>
      <c r="K3" s="101">
        <v>0</v>
      </c>
      <c r="L3" s="101">
        <v>0</v>
      </c>
      <c r="M3" s="101">
        <f>+K3</f>
        <v>0</v>
      </c>
      <c r="N3" s="17"/>
    </row>
    <row r="4" spans="1:14">
      <c r="A4" s="26">
        <v>1</v>
      </c>
      <c r="B4" s="27">
        <v>45962</v>
      </c>
      <c r="C4" s="17"/>
      <c r="D4" s="17"/>
      <c r="E4" s="92"/>
      <c r="F4" s="92"/>
      <c r="G4" s="17">
        <f>E4*F4</f>
        <v>0</v>
      </c>
      <c r="H4" s="92"/>
      <c r="I4" s="92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8"/>
    </row>
    <row r="5" spans="1:14">
      <c r="A5" s="26">
        <v>2</v>
      </c>
      <c r="B5" s="27">
        <v>45963</v>
      </c>
      <c r="C5" s="17"/>
      <c r="D5" s="17"/>
      <c r="E5" s="92"/>
      <c r="F5" s="92"/>
      <c r="G5" s="17">
        <f t="shared" ref="G5:G33" si="0">E5*F5</f>
        <v>0</v>
      </c>
      <c r="H5" s="92"/>
      <c r="I5" s="92"/>
      <c r="J5" s="17">
        <f t="shared" ref="J5:J33" si="1">H5*I5</f>
        <v>0</v>
      </c>
      <c r="K5" s="17">
        <f>G5+J5</f>
        <v>0</v>
      </c>
      <c r="L5" s="17">
        <f t="shared" ref="L5:L33" si="2">K5</f>
        <v>0</v>
      </c>
      <c r="M5" s="17">
        <f t="shared" ref="M5:M27" si="3">M4+K5-L5</f>
        <v>0</v>
      </c>
      <c r="N5" s="48"/>
    </row>
    <row r="6" spans="1:14">
      <c r="A6" s="26">
        <v>3</v>
      </c>
      <c r="B6" s="27">
        <v>45964</v>
      </c>
      <c r="C6" s="17"/>
      <c r="D6" s="17"/>
      <c r="E6" s="92"/>
      <c r="F6" s="92"/>
      <c r="G6" s="17">
        <f t="shared" si="0"/>
        <v>0</v>
      </c>
      <c r="H6" s="92"/>
      <c r="I6" s="92"/>
      <c r="J6" s="17">
        <f t="shared" si="1"/>
        <v>0</v>
      </c>
      <c r="K6" s="17">
        <f t="shared" ref="K6:K34" si="4">G6+J6</f>
        <v>0</v>
      </c>
      <c r="L6" s="17">
        <f t="shared" si="2"/>
        <v>0</v>
      </c>
      <c r="M6" s="17">
        <f t="shared" si="3"/>
        <v>0</v>
      </c>
      <c r="N6" s="48"/>
    </row>
    <row r="7" spans="1:14">
      <c r="A7" s="26">
        <v>4</v>
      </c>
      <c r="B7" s="27">
        <v>45965</v>
      </c>
      <c r="C7" s="17"/>
      <c r="D7" s="17"/>
      <c r="E7" s="92"/>
      <c r="F7" s="92"/>
      <c r="G7" s="17">
        <f t="shared" si="0"/>
        <v>0</v>
      </c>
      <c r="H7" s="92"/>
      <c r="I7" s="92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8"/>
    </row>
    <row r="8" spans="1:14">
      <c r="A8" s="26">
        <v>5</v>
      </c>
      <c r="B8" s="27">
        <v>45966</v>
      </c>
      <c r="C8" s="17"/>
      <c r="D8" s="17"/>
      <c r="E8" s="92"/>
      <c r="F8" s="92"/>
      <c r="G8" s="17">
        <f t="shared" si="0"/>
        <v>0</v>
      </c>
      <c r="H8" s="92"/>
      <c r="I8" s="92"/>
      <c r="J8" s="17">
        <f t="shared" si="1"/>
        <v>0</v>
      </c>
      <c r="K8" s="17">
        <f t="shared" si="4"/>
        <v>0</v>
      </c>
      <c r="L8" s="17">
        <f t="shared" si="2"/>
        <v>0</v>
      </c>
      <c r="M8" s="17">
        <f t="shared" si="3"/>
        <v>0</v>
      </c>
      <c r="N8" s="48"/>
    </row>
    <row r="9" spans="1:14">
      <c r="A9" s="26">
        <v>6</v>
      </c>
      <c r="B9" s="27">
        <v>45967</v>
      </c>
      <c r="C9" s="17"/>
      <c r="D9" s="17"/>
      <c r="E9" s="92"/>
      <c r="F9" s="92"/>
      <c r="G9" s="17">
        <f t="shared" si="0"/>
        <v>0</v>
      </c>
      <c r="H9" s="92"/>
      <c r="I9" s="92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8"/>
    </row>
    <row r="10" spans="1:14">
      <c r="A10" s="26">
        <v>7</v>
      </c>
      <c r="B10" s="27">
        <v>45968</v>
      </c>
      <c r="C10" s="17"/>
      <c r="D10" s="17"/>
      <c r="E10" s="92"/>
      <c r="F10" s="92"/>
      <c r="G10" s="17">
        <f t="shared" si="0"/>
        <v>0</v>
      </c>
      <c r="H10" s="92"/>
      <c r="I10" s="92"/>
      <c r="J10" s="17">
        <f t="shared" si="1"/>
        <v>0</v>
      </c>
      <c r="K10" s="17">
        <f t="shared" si="4"/>
        <v>0</v>
      </c>
      <c r="L10" s="17">
        <f t="shared" si="2"/>
        <v>0</v>
      </c>
      <c r="M10" s="17">
        <f t="shared" si="3"/>
        <v>0</v>
      </c>
      <c r="N10" s="48"/>
    </row>
    <row r="11" spans="1:14">
      <c r="A11" s="26">
        <v>8</v>
      </c>
      <c r="B11" s="27">
        <v>45969</v>
      </c>
      <c r="C11" s="17"/>
      <c r="D11" s="17"/>
      <c r="E11" s="92"/>
      <c r="F11" s="92"/>
      <c r="G11" s="17">
        <f t="shared" si="0"/>
        <v>0</v>
      </c>
      <c r="H11" s="92"/>
      <c r="I11" s="92"/>
      <c r="J11" s="17">
        <f t="shared" si="1"/>
        <v>0</v>
      </c>
      <c r="K11" s="17">
        <f t="shared" si="4"/>
        <v>0</v>
      </c>
      <c r="L11" s="17">
        <f t="shared" si="2"/>
        <v>0</v>
      </c>
      <c r="M11" s="17">
        <f t="shared" si="3"/>
        <v>0</v>
      </c>
      <c r="N11" s="48"/>
    </row>
    <row r="12" spans="1:14">
      <c r="A12" s="26">
        <v>9</v>
      </c>
      <c r="B12" s="27">
        <v>45970</v>
      </c>
      <c r="C12" s="17"/>
      <c r="D12" s="17"/>
      <c r="E12" s="92"/>
      <c r="F12" s="92"/>
      <c r="G12" s="17">
        <f t="shared" si="0"/>
        <v>0</v>
      </c>
      <c r="H12" s="92"/>
      <c r="I12" s="92"/>
      <c r="J12" s="17">
        <f t="shared" si="1"/>
        <v>0</v>
      </c>
      <c r="K12" s="17">
        <f t="shared" si="4"/>
        <v>0</v>
      </c>
      <c r="L12" s="17">
        <f t="shared" si="2"/>
        <v>0</v>
      </c>
      <c r="M12" s="17">
        <f t="shared" si="3"/>
        <v>0</v>
      </c>
      <c r="N12" s="48"/>
    </row>
    <row r="13" spans="1:14">
      <c r="A13" s="26">
        <v>10</v>
      </c>
      <c r="B13" s="27">
        <v>45971</v>
      </c>
      <c r="C13" s="17"/>
      <c r="D13" s="17"/>
      <c r="E13" s="92"/>
      <c r="F13" s="92"/>
      <c r="G13" s="17">
        <f t="shared" si="0"/>
        <v>0</v>
      </c>
      <c r="H13" s="92"/>
      <c r="I13" s="92"/>
      <c r="J13" s="17">
        <f t="shared" si="1"/>
        <v>0</v>
      </c>
      <c r="K13" s="17">
        <f t="shared" si="4"/>
        <v>0</v>
      </c>
      <c r="L13" s="17">
        <f t="shared" si="2"/>
        <v>0</v>
      </c>
      <c r="M13" s="17">
        <f t="shared" si="3"/>
        <v>0</v>
      </c>
      <c r="N13" s="48"/>
    </row>
    <row r="14" spans="1:14">
      <c r="A14" s="26">
        <v>11</v>
      </c>
      <c r="B14" s="27">
        <v>45972</v>
      </c>
      <c r="C14" s="17"/>
      <c r="D14" s="17"/>
      <c r="E14" s="92"/>
      <c r="F14" s="92"/>
      <c r="G14" s="17">
        <f t="shared" si="0"/>
        <v>0</v>
      </c>
      <c r="H14" s="92"/>
      <c r="I14" s="92"/>
      <c r="J14" s="17">
        <f t="shared" si="1"/>
        <v>0</v>
      </c>
      <c r="K14" s="17">
        <f t="shared" si="4"/>
        <v>0</v>
      </c>
      <c r="L14" s="17">
        <f t="shared" si="2"/>
        <v>0</v>
      </c>
      <c r="M14" s="17">
        <f t="shared" si="3"/>
        <v>0</v>
      </c>
      <c r="N14" s="48"/>
    </row>
    <row r="15" spans="1:14">
      <c r="A15" s="26">
        <v>12</v>
      </c>
      <c r="B15" s="27">
        <v>45973</v>
      </c>
      <c r="C15" s="17"/>
      <c r="D15" s="17"/>
      <c r="E15" s="92"/>
      <c r="F15" s="92"/>
      <c r="G15" s="17">
        <f t="shared" si="0"/>
        <v>0</v>
      </c>
      <c r="H15" s="92"/>
      <c r="I15" s="92"/>
      <c r="J15" s="17">
        <f t="shared" si="1"/>
        <v>0</v>
      </c>
      <c r="K15" s="17">
        <f t="shared" si="4"/>
        <v>0</v>
      </c>
      <c r="L15" s="17">
        <f t="shared" si="2"/>
        <v>0</v>
      </c>
      <c r="M15" s="17">
        <f t="shared" si="3"/>
        <v>0</v>
      </c>
      <c r="N15" s="48"/>
    </row>
    <row r="16" spans="1:14">
      <c r="A16" s="26">
        <v>13</v>
      </c>
      <c r="B16" s="27">
        <v>45974</v>
      </c>
      <c r="C16" s="17"/>
      <c r="D16" s="17"/>
      <c r="E16" s="92"/>
      <c r="F16" s="92"/>
      <c r="G16" s="17">
        <f t="shared" si="0"/>
        <v>0</v>
      </c>
      <c r="H16" s="92"/>
      <c r="I16" s="368"/>
      <c r="J16" s="17">
        <f t="shared" si="1"/>
        <v>0</v>
      </c>
      <c r="K16" s="17">
        <f t="shared" si="4"/>
        <v>0</v>
      </c>
      <c r="L16" s="17">
        <f t="shared" si="2"/>
        <v>0</v>
      </c>
      <c r="M16" s="17">
        <f t="shared" si="3"/>
        <v>0</v>
      </c>
      <c r="N16" s="48"/>
    </row>
    <row r="17" spans="1:14">
      <c r="A17" s="26">
        <v>14</v>
      </c>
      <c r="B17" s="27">
        <v>45975</v>
      </c>
      <c r="C17" s="17"/>
      <c r="D17" s="17"/>
      <c r="E17" s="92"/>
      <c r="F17" s="92"/>
      <c r="G17" s="17">
        <f t="shared" si="0"/>
        <v>0</v>
      </c>
      <c r="H17" s="92"/>
      <c r="I17" s="92"/>
      <c r="J17" s="17">
        <f t="shared" si="1"/>
        <v>0</v>
      </c>
      <c r="K17" s="17">
        <f t="shared" si="4"/>
        <v>0</v>
      </c>
      <c r="L17" s="17">
        <f t="shared" si="2"/>
        <v>0</v>
      </c>
      <c r="M17" s="17">
        <f t="shared" si="3"/>
        <v>0</v>
      </c>
      <c r="N17" s="48"/>
    </row>
    <row r="18" spans="1:14">
      <c r="A18" s="26">
        <v>15</v>
      </c>
      <c r="B18" s="27">
        <v>45976</v>
      </c>
      <c r="C18" s="17"/>
      <c r="D18" s="17"/>
      <c r="E18" s="92"/>
      <c r="F18" s="92"/>
      <c r="G18" s="17">
        <f t="shared" si="0"/>
        <v>0</v>
      </c>
      <c r="H18" s="92"/>
      <c r="I18" s="92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8"/>
    </row>
    <row r="19" spans="1:14">
      <c r="A19" s="26">
        <v>16</v>
      </c>
      <c r="B19" s="27">
        <v>45977</v>
      </c>
      <c r="C19" s="17"/>
      <c r="D19" s="17"/>
      <c r="E19" s="92"/>
      <c r="F19" s="92"/>
      <c r="G19" s="17">
        <f t="shared" si="0"/>
        <v>0</v>
      </c>
      <c r="H19" s="92"/>
      <c r="I19" s="92"/>
      <c r="J19" s="17">
        <f t="shared" si="1"/>
        <v>0</v>
      </c>
      <c r="K19" s="17">
        <f t="shared" si="4"/>
        <v>0</v>
      </c>
      <c r="L19" s="17">
        <f t="shared" si="2"/>
        <v>0</v>
      </c>
      <c r="M19" s="17">
        <f t="shared" si="3"/>
        <v>0</v>
      </c>
      <c r="N19" s="48"/>
    </row>
    <row r="20" spans="1:14">
      <c r="A20" s="26">
        <v>17</v>
      </c>
      <c r="B20" s="27">
        <v>45978</v>
      </c>
      <c r="C20" s="17"/>
      <c r="D20" s="17"/>
      <c r="E20" s="92"/>
      <c r="F20" s="92"/>
      <c r="G20" s="17">
        <f t="shared" si="0"/>
        <v>0</v>
      </c>
      <c r="H20" s="92"/>
      <c r="I20" s="92"/>
      <c r="J20" s="17">
        <f t="shared" si="1"/>
        <v>0</v>
      </c>
      <c r="K20" s="17">
        <f t="shared" si="4"/>
        <v>0</v>
      </c>
      <c r="L20" s="17">
        <f t="shared" si="2"/>
        <v>0</v>
      </c>
      <c r="M20" s="17">
        <f t="shared" si="3"/>
        <v>0</v>
      </c>
      <c r="N20" s="48"/>
    </row>
    <row r="21" spans="1:14">
      <c r="A21" s="26">
        <v>18</v>
      </c>
      <c r="B21" s="27">
        <v>45979</v>
      </c>
      <c r="C21" s="17"/>
      <c r="D21" s="17"/>
      <c r="E21" s="92">
        <v>100</v>
      </c>
      <c r="F21" s="92">
        <v>92.02</v>
      </c>
      <c r="G21" s="17">
        <f t="shared" si="0"/>
        <v>9202</v>
      </c>
      <c r="H21" s="92"/>
      <c r="I21" s="92"/>
      <c r="J21" s="17">
        <f t="shared" si="1"/>
        <v>0</v>
      </c>
      <c r="K21" s="17">
        <f t="shared" si="4"/>
        <v>9202</v>
      </c>
      <c r="L21" s="17">
        <f t="shared" si="2"/>
        <v>9202</v>
      </c>
      <c r="M21" s="17">
        <f t="shared" si="3"/>
        <v>0</v>
      </c>
      <c r="N21" s="48"/>
    </row>
    <row r="22" spans="1:14">
      <c r="A22" s="26">
        <v>19</v>
      </c>
      <c r="B22" s="27">
        <v>45980</v>
      </c>
      <c r="C22" s="17"/>
      <c r="D22" s="17"/>
      <c r="E22" s="92"/>
      <c r="F22" s="92"/>
      <c r="G22" s="17">
        <f t="shared" si="0"/>
        <v>0</v>
      </c>
      <c r="H22" s="92"/>
      <c r="I22" s="92"/>
      <c r="J22" s="17">
        <f t="shared" si="1"/>
        <v>0</v>
      </c>
      <c r="K22" s="17">
        <f t="shared" si="4"/>
        <v>0</v>
      </c>
      <c r="L22" s="17">
        <f t="shared" si="2"/>
        <v>0</v>
      </c>
      <c r="M22" s="17">
        <f t="shared" si="3"/>
        <v>0</v>
      </c>
      <c r="N22" s="48"/>
    </row>
    <row r="23" spans="1:14">
      <c r="A23" s="26">
        <v>20</v>
      </c>
      <c r="B23" s="27">
        <v>45981</v>
      </c>
      <c r="C23" s="17"/>
      <c r="D23" s="17"/>
      <c r="E23" s="92"/>
      <c r="F23" s="92"/>
      <c r="G23" s="17">
        <f t="shared" si="0"/>
        <v>0</v>
      </c>
      <c r="H23" s="92"/>
      <c r="I23" s="92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8"/>
    </row>
    <row r="24" spans="1:14">
      <c r="A24" s="26">
        <v>21</v>
      </c>
      <c r="B24" s="27">
        <v>45982</v>
      </c>
      <c r="C24" s="17"/>
      <c r="D24" s="17"/>
      <c r="E24" s="92"/>
      <c r="F24" s="92"/>
      <c r="G24" s="17">
        <f t="shared" si="0"/>
        <v>0</v>
      </c>
      <c r="H24" s="92"/>
      <c r="I24" s="92"/>
      <c r="J24" s="17">
        <f t="shared" si="1"/>
        <v>0</v>
      </c>
      <c r="K24" s="17">
        <f t="shared" si="4"/>
        <v>0</v>
      </c>
      <c r="L24" s="17">
        <f t="shared" si="2"/>
        <v>0</v>
      </c>
      <c r="M24" s="17">
        <f t="shared" si="3"/>
        <v>0</v>
      </c>
      <c r="N24" s="48"/>
    </row>
    <row r="25" spans="1:14">
      <c r="A25" s="26">
        <v>22</v>
      </c>
      <c r="B25" s="27">
        <v>45983</v>
      </c>
      <c r="C25" s="17"/>
      <c r="D25" s="17"/>
      <c r="E25" s="92"/>
      <c r="F25" s="92"/>
      <c r="G25" s="17">
        <f t="shared" si="0"/>
        <v>0</v>
      </c>
      <c r="H25" s="92"/>
      <c r="I25" s="92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8"/>
    </row>
    <row r="26" spans="1:14">
      <c r="A26" s="26">
        <v>23</v>
      </c>
      <c r="B26" s="27">
        <v>45984</v>
      </c>
      <c r="C26" s="17"/>
      <c r="D26" s="17"/>
      <c r="E26" s="92"/>
      <c r="F26" s="92"/>
      <c r="G26" s="17">
        <f t="shared" si="0"/>
        <v>0</v>
      </c>
      <c r="H26" s="92"/>
      <c r="I26" s="92"/>
      <c r="J26" s="17">
        <f t="shared" si="1"/>
        <v>0</v>
      </c>
      <c r="K26" s="17">
        <f t="shared" si="4"/>
        <v>0</v>
      </c>
      <c r="L26" s="17">
        <f t="shared" si="2"/>
        <v>0</v>
      </c>
      <c r="M26" s="17">
        <f t="shared" si="3"/>
        <v>0</v>
      </c>
      <c r="N26" s="48"/>
    </row>
    <row r="27" spans="1:14">
      <c r="A27" s="26">
        <v>24</v>
      </c>
      <c r="B27" s="27">
        <v>45985</v>
      </c>
      <c r="C27" s="17"/>
      <c r="D27" s="17"/>
      <c r="E27" s="92"/>
      <c r="F27" s="92"/>
      <c r="G27" s="17">
        <f t="shared" si="0"/>
        <v>0</v>
      </c>
      <c r="H27" s="92"/>
      <c r="I27" s="92"/>
      <c r="J27" s="17">
        <f t="shared" si="1"/>
        <v>0</v>
      </c>
      <c r="K27" s="17">
        <f t="shared" si="4"/>
        <v>0</v>
      </c>
      <c r="L27" s="17">
        <f t="shared" si="2"/>
        <v>0</v>
      </c>
      <c r="M27" s="17">
        <f t="shared" si="3"/>
        <v>0</v>
      </c>
      <c r="N27" s="48"/>
    </row>
    <row r="28" spans="1:14">
      <c r="A28" s="26">
        <v>25</v>
      </c>
      <c r="B28" s="27">
        <v>45986</v>
      </c>
      <c r="C28" s="17"/>
      <c r="D28" s="17"/>
      <c r="E28" s="92"/>
      <c r="F28" s="92"/>
      <c r="G28" s="17">
        <f t="shared" si="0"/>
        <v>0</v>
      </c>
      <c r="H28" s="92"/>
      <c r="I28" s="92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8"/>
    </row>
    <row r="29" spans="1:14">
      <c r="A29" s="26">
        <v>26</v>
      </c>
      <c r="B29" s="27">
        <v>45987</v>
      </c>
      <c r="C29" s="17"/>
      <c r="D29" s="17"/>
      <c r="E29" s="92"/>
      <c r="F29" s="92"/>
      <c r="G29" s="17">
        <f t="shared" si="0"/>
        <v>0</v>
      </c>
      <c r="H29" s="92"/>
      <c r="I29" s="92"/>
      <c r="J29" s="17">
        <f t="shared" si="1"/>
        <v>0</v>
      </c>
      <c r="K29" s="17">
        <f t="shared" si="4"/>
        <v>0</v>
      </c>
      <c r="L29" s="17">
        <f t="shared" si="2"/>
        <v>0</v>
      </c>
      <c r="M29" s="17">
        <v>0</v>
      </c>
      <c r="N29" s="48"/>
    </row>
    <row r="30" spans="1:14">
      <c r="A30" s="26">
        <v>27</v>
      </c>
      <c r="B30" s="27">
        <v>45988</v>
      </c>
      <c r="C30" s="17"/>
      <c r="D30" s="17"/>
      <c r="E30" s="92"/>
      <c r="F30" s="92"/>
      <c r="G30" s="17">
        <f t="shared" si="0"/>
        <v>0</v>
      </c>
      <c r="H30" s="92"/>
      <c r="I30" s="92"/>
      <c r="J30" s="17">
        <f t="shared" si="1"/>
        <v>0</v>
      </c>
      <c r="K30" s="17">
        <f t="shared" si="4"/>
        <v>0</v>
      </c>
      <c r="L30" s="17">
        <f t="shared" si="2"/>
        <v>0</v>
      </c>
      <c r="M30" s="17">
        <v>0</v>
      </c>
      <c r="N30" s="48"/>
    </row>
    <row r="31" spans="1:14">
      <c r="A31" s="26">
        <v>28</v>
      </c>
      <c r="B31" s="27">
        <v>45989</v>
      </c>
      <c r="C31" s="17"/>
      <c r="D31" s="17"/>
      <c r="E31" s="92"/>
      <c r="F31" s="92"/>
      <c r="G31" s="17">
        <f t="shared" si="0"/>
        <v>0</v>
      </c>
      <c r="H31" s="92"/>
      <c r="I31" s="92"/>
      <c r="J31" s="17">
        <f t="shared" si="1"/>
        <v>0</v>
      </c>
      <c r="K31" s="17">
        <f t="shared" si="4"/>
        <v>0</v>
      </c>
      <c r="L31" s="17">
        <f t="shared" si="2"/>
        <v>0</v>
      </c>
      <c r="M31" s="17">
        <v>0</v>
      </c>
      <c r="N31" s="48"/>
    </row>
    <row r="32" spans="1:14">
      <c r="A32" s="26">
        <v>29</v>
      </c>
      <c r="B32" s="27">
        <v>45990</v>
      </c>
      <c r="C32" s="17"/>
      <c r="D32" s="17"/>
      <c r="E32" s="92"/>
      <c r="F32" s="92"/>
      <c r="G32" s="17">
        <f t="shared" si="0"/>
        <v>0</v>
      </c>
      <c r="H32" s="92"/>
      <c r="I32" s="92"/>
      <c r="J32" s="17">
        <f t="shared" si="1"/>
        <v>0</v>
      </c>
      <c r="K32" s="17">
        <f t="shared" si="4"/>
        <v>0</v>
      </c>
      <c r="L32" s="17">
        <f t="shared" si="2"/>
        <v>0</v>
      </c>
      <c r="M32" s="17"/>
      <c r="N32" s="48"/>
    </row>
    <row r="33" spans="1:14">
      <c r="A33" s="26">
        <v>30</v>
      </c>
      <c r="B33" s="27">
        <v>45991</v>
      </c>
      <c r="C33" s="17"/>
      <c r="D33" s="17"/>
      <c r="E33" s="92"/>
      <c r="F33" s="92"/>
      <c r="G33" s="17">
        <f t="shared" si="0"/>
        <v>0</v>
      </c>
      <c r="H33" s="92"/>
      <c r="I33" s="92"/>
      <c r="J33" s="17">
        <f t="shared" si="1"/>
        <v>0</v>
      </c>
      <c r="K33" s="17">
        <f t="shared" si="4"/>
        <v>0</v>
      </c>
      <c r="L33" s="17">
        <f t="shared" si="2"/>
        <v>0</v>
      </c>
      <c r="M33" s="17"/>
      <c r="N33" s="48"/>
    </row>
    <row r="34" spans="1:14">
      <c r="A34" s="26">
        <v>31</v>
      </c>
      <c r="B34" s="27"/>
      <c r="C34" s="17"/>
      <c r="D34" s="17"/>
      <c r="E34" s="92"/>
      <c r="F34" s="92"/>
      <c r="G34" s="17"/>
      <c r="H34" s="92"/>
      <c r="I34" s="92"/>
      <c r="J34" s="17"/>
      <c r="K34" s="17"/>
      <c r="L34" s="17"/>
      <c r="M34" s="17"/>
      <c r="N34" s="48"/>
    </row>
    <row r="35" spans="1:14">
      <c r="A35" s="46"/>
      <c r="B35" s="46"/>
      <c r="C35" s="46"/>
      <c r="D35" s="46"/>
      <c r="E35" s="46">
        <f>SUM(E4:E34)</f>
        <v>100</v>
      </c>
      <c r="F35" s="46"/>
      <c r="G35" s="46">
        <f>SUM(G4:G34)</f>
        <v>9202</v>
      </c>
      <c r="H35" s="46">
        <f>SUM(H4:H34)</f>
        <v>0</v>
      </c>
      <c r="I35" s="46"/>
      <c r="J35" s="46">
        <f>SUM(J4:J34)</f>
        <v>0</v>
      </c>
      <c r="K35" s="46">
        <f>SUM(K4:K34)</f>
        <v>9202</v>
      </c>
      <c r="L35" s="46">
        <f>SUM(L4:L34)</f>
        <v>9202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8"/>
  <sheetViews>
    <sheetView topLeftCell="A10" workbookViewId="0">
      <selection activeCell="M31" sqref="M31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467" t="s">
        <v>49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1:20">
      <c r="A2" s="131" t="s">
        <v>95</v>
      </c>
      <c r="B2" s="131" t="s">
        <v>96</v>
      </c>
      <c r="C2" s="131" t="s">
        <v>97</v>
      </c>
      <c r="D2" s="131" t="s">
        <v>98</v>
      </c>
      <c r="E2" s="184" t="s">
        <v>99</v>
      </c>
      <c r="F2" s="184" t="s">
        <v>100</v>
      </c>
      <c r="G2" s="184" t="s">
        <v>101</v>
      </c>
      <c r="H2" s="184" t="s">
        <v>102</v>
      </c>
      <c r="I2" s="184" t="s">
        <v>100</v>
      </c>
      <c r="J2" s="184" t="s">
        <v>101</v>
      </c>
      <c r="K2" s="184" t="s">
        <v>103</v>
      </c>
      <c r="L2" s="131" t="s">
        <v>153</v>
      </c>
      <c r="M2" s="134" t="s">
        <v>104</v>
      </c>
      <c r="N2" s="131" t="s">
        <v>106</v>
      </c>
    </row>
    <row r="3" spans="1:20">
      <c r="A3" s="17"/>
      <c r="B3" s="17"/>
      <c r="C3" s="17"/>
      <c r="D3" s="17" t="s">
        <v>107</v>
      </c>
      <c r="E3" s="17"/>
      <c r="F3" s="17"/>
      <c r="G3" s="17"/>
      <c r="H3" s="17"/>
      <c r="I3" s="17"/>
      <c r="J3" s="17"/>
      <c r="K3" s="189">
        <v>50161.119999999995</v>
      </c>
      <c r="L3" s="17"/>
      <c r="M3" s="189">
        <v>50161.119999999995</v>
      </c>
      <c r="N3" s="17"/>
    </row>
    <row r="4" spans="1:20">
      <c r="A4" s="26">
        <v>1</v>
      </c>
      <c r="B4" s="27">
        <v>45962</v>
      </c>
      <c r="C4" s="144"/>
      <c r="D4" s="144"/>
      <c r="E4" s="99">
        <v>40</v>
      </c>
      <c r="F4" s="99">
        <v>90.88</v>
      </c>
      <c r="G4" s="189">
        <f>F4*E4</f>
        <v>3635.2</v>
      </c>
      <c r="H4" s="99">
        <v>0</v>
      </c>
      <c r="I4" s="99">
        <v>102.77</v>
      </c>
      <c r="J4" s="189">
        <f t="shared" ref="J4" si="0">H4*I4</f>
        <v>0</v>
      </c>
      <c r="K4" s="189">
        <f>G4+J4</f>
        <v>3635.2</v>
      </c>
      <c r="L4" s="189">
        <v>0</v>
      </c>
      <c r="M4" s="189">
        <f>M3+K4-L4</f>
        <v>53796.319999999992</v>
      </c>
      <c r="N4" s="144"/>
    </row>
    <row r="5" spans="1:20">
      <c r="A5" s="26">
        <v>2</v>
      </c>
      <c r="B5" s="27">
        <v>45963</v>
      </c>
      <c r="C5" s="17"/>
      <c r="D5" s="144"/>
      <c r="E5" s="99">
        <v>0</v>
      </c>
      <c r="F5" s="99">
        <v>0</v>
      </c>
      <c r="G5" s="189">
        <f t="shared" ref="G5:G33" si="1">F5*E5</f>
        <v>0</v>
      </c>
      <c r="H5" s="99">
        <v>10</v>
      </c>
      <c r="I5" s="99">
        <v>102.77</v>
      </c>
      <c r="J5" s="189">
        <f t="shared" ref="J5:J33" si="2">H5*I5</f>
        <v>1027.7</v>
      </c>
      <c r="K5" s="189">
        <f t="shared" ref="K5:K33" si="3">G5+J5</f>
        <v>1027.7</v>
      </c>
      <c r="L5" s="189">
        <v>0</v>
      </c>
      <c r="M5" s="189">
        <f t="shared" ref="M5:M33" si="4">M4+K5-L5</f>
        <v>54824.01999999999</v>
      </c>
      <c r="N5" s="17"/>
      <c r="S5">
        <v>90.88</v>
      </c>
      <c r="T5">
        <v>102.77</v>
      </c>
    </row>
    <row r="6" spans="1:20">
      <c r="A6" s="26">
        <v>3</v>
      </c>
      <c r="B6" s="27">
        <v>45964</v>
      </c>
      <c r="C6" s="17"/>
      <c r="D6" s="144"/>
      <c r="E6" s="99">
        <v>0</v>
      </c>
      <c r="F6" s="99">
        <v>0</v>
      </c>
      <c r="G6" s="189">
        <f t="shared" si="1"/>
        <v>0</v>
      </c>
      <c r="H6" s="99">
        <v>0</v>
      </c>
      <c r="I6" s="99">
        <v>102.77</v>
      </c>
      <c r="J6" s="189">
        <f t="shared" si="2"/>
        <v>0</v>
      </c>
      <c r="K6" s="189">
        <f t="shared" si="3"/>
        <v>0</v>
      </c>
      <c r="L6" s="189">
        <v>0</v>
      </c>
      <c r="M6" s="189">
        <f t="shared" si="4"/>
        <v>54824.01999999999</v>
      </c>
      <c r="N6" s="17"/>
    </row>
    <row r="7" spans="1:20">
      <c r="A7" s="26">
        <v>4</v>
      </c>
      <c r="B7" s="27">
        <v>45965</v>
      </c>
      <c r="C7" s="17"/>
      <c r="D7" s="144"/>
      <c r="E7" s="99">
        <v>70</v>
      </c>
      <c r="F7" s="99">
        <v>90.88</v>
      </c>
      <c r="G7" s="189">
        <f t="shared" si="1"/>
        <v>6361.5999999999995</v>
      </c>
      <c r="H7" s="99">
        <v>0</v>
      </c>
      <c r="I7" s="99">
        <v>102.77</v>
      </c>
      <c r="J7" s="189">
        <f t="shared" si="2"/>
        <v>0</v>
      </c>
      <c r="K7" s="189">
        <f t="shared" si="3"/>
        <v>6361.5999999999995</v>
      </c>
      <c r="L7" s="189">
        <v>0</v>
      </c>
      <c r="M7" s="189">
        <f t="shared" si="4"/>
        <v>61185.619999999988</v>
      </c>
      <c r="N7" s="17"/>
    </row>
    <row r="8" spans="1:20">
      <c r="A8" s="26">
        <v>5</v>
      </c>
      <c r="B8" s="27">
        <v>45966</v>
      </c>
      <c r="C8" s="17"/>
      <c r="D8" s="144"/>
      <c r="E8" s="99">
        <v>0</v>
      </c>
      <c r="F8" s="99">
        <v>0</v>
      </c>
      <c r="G8" s="189">
        <f t="shared" si="1"/>
        <v>0</v>
      </c>
      <c r="H8" s="99">
        <v>0</v>
      </c>
      <c r="I8" s="99">
        <v>102.77</v>
      </c>
      <c r="J8" s="189">
        <f t="shared" si="2"/>
        <v>0</v>
      </c>
      <c r="K8" s="189">
        <f t="shared" si="3"/>
        <v>0</v>
      </c>
      <c r="L8" s="189">
        <v>0</v>
      </c>
      <c r="M8" s="189">
        <f t="shared" si="4"/>
        <v>61185.619999999988</v>
      </c>
      <c r="N8" s="17"/>
    </row>
    <row r="9" spans="1:20">
      <c r="A9" s="26">
        <v>6</v>
      </c>
      <c r="B9" s="27">
        <v>45967</v>
      </c>
      <c r="C9" s="17"/>
      <c r="D9" s="144"/>
      <c r="E9" s="99">
        <v>20</v>
      </c>
      <c r="F9" s="99">
        <v>90.88</v>
      </c>
      <c r="G9" s="189">
        <f t="shared" si="1"/>
        <v>1817.6</v>
      </c>
      <c r="H9" s="99">
        <v>10</v>
      </c>
      <c r="I9" s="99">
        <v>102.77</v>
      </c>
      <c r="J9" s="189">
        <f t="shared" si="2"/>
        <v>1027.7</v>
      </c>
      <c r="K9" s="189">
        <f t="shared" si="3"/>
        <v>2845.3</v>
      </c>
      <c r="L9" s="189">
        <v>49074.35</v>
      </c>
      <c r="M9" s="189">
        <f t="shared" si="4"/>
        <v>14956.569999999992</v>
      </c>
      <c r="N9" s="17"/>
    </row>
    <row r="10" spans="1:20">
      <c r="A10" s="26">
        <v>7</v>
      </c>
      <c r="B10" s="27">
        <v>45968</v>
      </c>
      <c r="C10" s="17"/>
      <c r="D10" s="144"/>
      <c r="E10" s="99">
        <v>0</v>
      </c>
      <c r="F10" s="99">
        <v>0</v>
      </c>
      <c r="G10" s="189">
        <f t="shared" si="1"/>
        <v>0</v>
      </c>
      <c r="H10" s="99">
        <v>0</v>
      </c>
      <c r="I10" s="99">
        <v>102.77</v>
      </c>
      <c r="J10" s="189">
        <f t="shared" si="2"/>
        <v>0</v>
      </c>
      <c r="K10" s="189">
        <f t="shared" si="3"/>
        <v>0</v>
      </c>
      <c r="L10" s="189">
        <v>0</v>
      </c>
      <c r="M10" s="189">
        <f t="shared" si="4"/>
        <v>14956.569999999992</v>
      </c>
      <c r="N10" s="17"/>
    </row>
    <row r="11" spans="1:20">
      <c r="A11" s="26">
        <v>8</v>
      </c>
      <c r="B11" s="27">
        <v>45969</v>
      </c>
      <c r="C11" s="17"/>
      <c r="D11" s="144"/>
      <c r="E11" s="99">
        <v>0</v>
      </c>
      <c r="F11" s="99">
        <v>0</v>
      </c>
      <c r="G11" s="189">
        <f t="shared" si="1"/>
        <v>0</v>
      </c>
      <c r="H11" s="99">
        <v>0</v>
      </c>
      <c r="I11" s="99">
        <v>102.77</v>
      </c>
      <c r="J11" s="189">
        <f t="shared" si="2"/>
        <v>0</v>
      </c>
      <c r="K11" s="189">
        <f t="shared" si="3"/>
        <v>0</v>
      </c>
      <c r="L11" s="189">
        <v>0</v>
      </c>
      <c r="M11" s="189">
        <f t="shared" si="4"/>
        <v>14956.569999999992</v>
      </c>
      <c r="N11" s="17"/>
    </row>
    <row r="12" spans="1:20">
      <c r="A12" s="26">
        <v>9</v>
      </c>
      <c r="B12" s="27">
        <v>45970</v>
      </c>
      <c r="C12" s="17"/>
      <c r="D12" s="144"/>
      <c r="E12" s="99">
        <v>0</v>
      </c>
      <c r="F12" s="99">
        <v>0</v>
      </c>
      <c r="G12" s="189">
        <f t="shared" si="1"/>
        <v>0</v>
      </c>
      <c r="H12" s="99">
        <v>0</v>
      </c>
      <c r="I12" s="99">
        <v>102.77</v>
      </c>
      <c r="J12" s="189">
        <f t="shared" si="2"/>
        <v>0</v>
      </c>
      <c r="K12" s="189">
        <f t="shared" si="3"/>
        <v>0</v>
      </c>
      <c r="L12" s="189">
        <v>0</v>
      </c>
      <c r="M12" s="189">
        <f t="shared" si="4"/>
        <v>14956.569999999992</v>
      </c>
      <c r="N12" s="17"/>
    </row>
    <row r="13" spans="1:20">
      <c r="A13" s="26">
        <v>10</v>
      </c>
      <c r="B13" s="27">
        <v>45971</v>
      </c>
      <c r="C13" s="17"/>
      <c r="D13" s="144"/>
      <c r="E13" s="99">
        <v>20</v>
      </c>
      <c r="F13" s="99">
        <v>90.88</v>
      </c>
      <c r="G13" s="189">
        <f t="shared" si="1"/>
        <v>1817.6</v>
      </c>
      <c r="H13" s="99">
        <v>5</v>
      </c>
      <c r="I13" s="99">
        <v>102.77</v>
      </c>
      <c r="J13" s="189">
        <f t="shared" si="2"/>
        <v>513.85</v>
      </c>
      <c r="K13" s="189">
        <f t="shared" si="3"/>
        <v>2331.4499999999998</v>
      </c>
      <c r="L13" s="189">
        <v>0</v>
      </c>
      <c r="M13" s="189">
        <f>M12+K13-L13</f>
        <v>17288.019999999993</v>
      </c>
      <c r="N13" s="17"/>
    </row>
    <row r="14" spans="1:20">
      <c r="A14" s="26">
        <v>11</v>
      </c>
      <c r="B14" s="27">
        <v>45972</v>
      </c>
      <c r="C14" s="17"/>
      <c r="D14" s="144"/>
      <c r="E14" s="99">
        <v>0</v>
      </c>
      <c r="F14" s="99">
        <v>0</v>
      </c>
      <c r="G14" s="189">
        <f t="shared" si="1"/>
        <v>0</v>
      </c>
      <c r="H14" s="99">
        <v>0</v>
      </c>
      <c r="I14" s="99">
        <v>102.77</v>
      </c>
      <c r="J14" s="189">
        <f t="shared" si="2"/>
        <v>0</v>
      </c>
      <c r="K14" s="189">
        <f t="shared" si="3"/>
        <v>0</v>
      </c>
      <c r="L14" s="189">
        <v>0</v>
      </c>
      <c r="M14" s="189">
        <f t="shared" si="4"/>
        <v>17288.019999999993</v>
      </c>
      <c r="N14" s="17"/>
    </row>
    <row r="15" spans="1:20">
      <c r="A15" s="26">
        <v>12</v>
      </c>
      <c r="B15" s="27">
        <v>45973</v>
      </c>
      <c r="C15" s="17"/>
      <c r="D15" s="144"/>
      <c r="E15" s="99">
        <v>0</v>
      </c>
      <c r="F15" s="99">
        <v>0</v>
      </c>
      <c r="G15" s="189">
        <f t="shared" si="1"/>
        <v>0</v>
      </c>
      <c r="H15" s="99">
        <v>0</v>
      </c>
      <c r="I15" s="99">
        <v>102.77</v>
      </c>
      <c r="J15" s="189">
        <f t="shared" si="2"/>
        <v>0</v>
      </c>
      <c r="K15" s="189">
        <f t="shared" si="3"/>
        <v>0</v>
      </c>
      <c r="L15" s="189">
        <v>0</v>
      </c>
      <c r="M15" s="189">
        <f t="shared" si="4"/>
        <v>17288.019999999993</v>
      </c>
      <c r="N15" s="17"/>
    </row>
    <row r="16" spans="1:20">
      <c r="A16" s="26">
        <v>13</v>
      </c>
      <c r="B16" s="27">
        <v>45974</v>
      </c>
      <c r="C16" s="17"/>
      <c r="D16" s="144"/>
      <c r="E16" s="99">
        <v>30</v>
      </c>
      <c r="F16" s="99">
        <v>90.88</v>
      </c>
      <c r="G16" s="189">
        <f t="shared" si="1"/>
        <v>2726.3999999999996</v>
      </c>
      <c r="H16" s="99">
        <v>0</v>
      </c>
      <c r="I16" s="99">
        <v>102.77</v>
      </c>
      <c r="J16" s="189">
        <f t="shared" si="2"/>
        <v>0</v>
      </c>
      <c r="K16" s="189">
        <f t="shared" si="3"/>
        <v>2726.3999999999996</v>
      </c>
      <c r="L16" s="189">
        <v>0</v>
      </c>
      <c r="M16" s="189">
        <f t="shared" si="4"/>
        <v>20014.419999999991</v>
      </c>
      <c r="N16" s="17"/>
    </row>
    <row r="17" spans="1:15">
      <c r="A17" s="26">
        <v>14</v>
      </c>
      <c r="B17" s="27">
        <v>45975</v>
      </c>
      <c r="C17" s="17"/>
      <c r="D17" s="144"/>
      <c r="E17" s="99">
        <v>0</v>
      </c>
      <c r="F17" s="99">
        <v>0</v>
      </c>
      <c r="G17" s="189">
        <f t="shared" si="1"/>
        <v>0</v>
      </c>
      <c r="H17" s="99">
        <v>0</v>
      </c>
      <c r="I17" s="99">
        <v>102.77</v>
      </c>
      <c r="J17" s="189">
        <f t="shared" si="2"/>
        <v>0</v>
      </c>
      <c r="K17" s="189">
        <f t="shared" si="3"/>
        <v>0</v>
      </c>
      <c r="L17" s="189">
        <v>0</v>
      </c>
      <c r="M17" s="189">
        <f t="shared" si="4"/>
        <v>20014.419999999991</v>
      </c>
      <c r="N17" s="17"/>
    </row>
    <row r="18" spans="1:15">
      <c r="A18" s="26">
        <v>15</v>
      </c>
      <c r="B18" s="27">
        <v>45976</v>
      </c>
      <c r="C18" s="17"/>
      <c r="D18" s="144"/>
      <c r="E18" s="99">
        <v>5</v>
      </c>
      <c r="F18" s="99">
        <v>90.88</v>
      </c>
      <c r="G18" s="189">
        <f t="shared" si="1"/>
        <v>454.4</v>
      </c>
      <c r="H18" s="99">
        <v>11</v>
      </c>
      <c r="I18" s="99">
        <v>102.77</v>
      </c>
      <c r="J18" s="189">
        <f t="shared" si="2"/>
        <v>1130.47</v>
      </c>
      <c r="K18" s="189">
        <f t="shared" si="3"/>
        <v>1584.87</v>
      </c>
      <c r="L18" s="189">
        <v>0</v>
      </c>
      <c r="M18" s="189">
        <f>M17+K18-L18</f>
        <v>21599.28999999999</v>
      </c>
      <c r="N18" s="17"/>
    </row>
    <row r="19" spans="1:15">
      <c r="A19" s="26">
        <v>16</v>
      </c>
      <c r="B19" s="27">
        <v>45977</v>
      </c>
      <c r="C19" s="17"/>
      <c r="D19" s="144"/>
      <c r="E19" s="99">
        <v>0</v>
      </c>
      <c r="F19" s="99">
        <v>0</v>
      </c>
      <c r="G19" s="189">
        <f t="shared" si="1"/>
        <v>0</v>
      </c>
      <c r="H19" s="99">
        <v>5</v>
      </c>
      <c r="I19" s="99">
        <v>102.77</v>
      </c>
      <c r="J19" s="189">
        <f t="shared" si="2"/>
        <v>513.85</v>
      </c>
      <c r="K19" s="189">
        <f t="shared" si="3"/>
        <v>513.85</v>
      </c>
      <c r="L19" s="189">
        <v>0</v>
      </c>
      <c r="M19" s="189">
        <f t="shared" si="4"/>
        <v>22113.139999999989</v>
      </c>
      <c r="N19" s="17"/>
    </row>
    <row r="20" spans="1:15">
      <c r="A20" s="26">
        <v>17</v>
      </c>
      <c r="B20" s="27">
        <v>45978</v>
      </c>
      <c r="C20" s="17"/>
      <c r="D20" s="144"/>
      <c r="E20" s="99">
        <v>30.91</v>
      </c>
      <c r="F20" s="99">
        <v>90.88</v>
      </c>
      <c r="G20" s="189">
        <f t="shared" si="1"/>
        <v>2809.1007999999997</v>
      </c>
      <c r="H20" s="99">
        <v>0</v>
      </c>
      <c r="I20" s="99">
        <v>102.77</v>
      </c>
      <c r="J20" s="189">
        <f t="shared" si="2"/>
        <v>0</v>
      </c>
      <c r="K20" s="189">
        <f t="shared" si="3"/>
        <v>2809.1007999999997</v>
      </c>
      <c r="L20" s="189">
        <v>0</v>
      </c>
      <c r="M20" s="189">
        <f t="shared" si="4"/>
        <v>24922.240799999989</v>
      </c>
      <c r="N20" s="17"/>
      <c r="O20">
        <v>16.68</v>
      </c>
    </row>
    <row r="21" spans="1:15">
      <c r="A21" s="26">
        <v>18</v>
      </c>
      <c r="B21" s="27">
        <v>45979</v>
      </c>
      <c r="C21" s="17"/>
      <c r="D21" s="144"/>
      <c r="E21" s="99">
        <v>100</v>
      </c>
      <c r="F21" s="99">
        <v>90.88</v>
      </c>
      <c r="G21" s="189">
        <f t="shared" si="1"/>
        <v>9088</v>
      </c>
      <c r="H21" s="99">
        <v>5</v>
      </c>
      <c r="I21" s="99">
        <v>102.77</v>
      </c>
      <c r="J21" s="189">
        <f t="shared" si="2"/>
        <v>513.85</v>
      </c>
      <c r="K21" s="189">
        <f t="shared" si="3"/>
        <v>9601.85</v>
      </c>
      <c r="L21" s="189">
        <v>0</v>
      </c>
      <c r="M21" s="189">
        <f>M20+K21-L21</f>
        <v>34524.090799999991</v>
      </c>
      <c r="N21" s="17"/>
    </row>
    <row r="22" spans="1:15">
      <c r="A22" s="26">
        <v>19</v>
      </c>
      <c r="B22" s="27">
        <v>45980</v>
      </c>
      <c r="C22" s="17"/>
      <c r="D22" s="144"/>
      <c r="E22" s="99">
        <v>120</v>
      </c>
      <c r="F22" s="99">
        <v>90.88</v>
      </c>
      <c r="G22" s="189">
        <f t="shared" si="1"/>
        <v>10905.599999999999</v>
      </c>
      <c r="H22" s="99">
        <v>0</v>
      </c>
      <c r="I22" s="99">
        <v>102.77</v>
      </c>
      <c r="J22" s="189">
        <f t="shared" si="2"/>
        <v>0</v>
      </c>
      <c r="K22" s="189">
        <f t="shared" si="3"/>
        <v>10905.599999999999</v>
      </c>
      <c r="L22" s="189">
        <v>0</v>
      </c>
      <c r="M22" s="189">
        <f t="shared" si="4"/>
        <v>45429.690799999989</v>
      </c>
      <c r="N22" s="17"/>
    </row>
    <row r="23" spans="1:15">
      <c r="A23" s="26">
        <v>20</v>
      </c>
      <c r="B23" s="27">
        <v>45981</v>
      </c>
      <c r="C23" s="17"/>
      <c r="D23" s="144"/>
      <c r="E23" s="99">
        <v>0</v>
      </c>
      <c r="F23" s="99">
        <v>0</v>
      </c>
      <c r="G23" s="189">
        <f t="shared" si="1"/>
        <v>0</v>
      </c>
      <c r="H23" s="99">
        <v>0</v>
      </c>
      <c r="I23" s="99">
        <v>102.77</v>
      </c>
      <c r="J23" s="189">
        <f t="shared" si="2"/>
        <v>0</v>
      </c>
      <c r="K23" s="189">
        <f t="shared" si="3"/>
        <v>0</v>
      </c>
      <c r="L23" s="189">
        <f t="shared" ref="L14:L33" si="5">+K23</f>
        <v>0</v>
      </c>
      <c r="M23" s="189">
        <f t="shared" si="4"/>
        <v>45429.690799999989</v>
      </c>
      <c r="N23" s="17">
        <v>0</v>
      </c>
    </row>
    <row r="24" spans="1:15">
      <c r="A24" s="26">
        <v>21</v>
      </c>
      <c r="B24" s="27">
        <v>45982</v>
      </c>
      <c r="C24" s="17"/>
      <c r="D24" s="144"/>
      <c r="E24" s="99">
        <v>0</v>
      </c>
      <c r="F24" s="99">
        <v>0</v>
      </c>
      <c r="G24" s="189">
        <f t="shared" si="1"/>
        <v>0</v>
      </c>
      <c r="H24" s="99">
        <v>5</v>
      </c>
      <c r="I24" s="99">
        <v>102.77</v>
      </c>
      <c r="J24" s="189">
        <f t="shared" si="2"/>
        <v>513.85</v>
      </c>
      <c r="K24" s="189">
        <f t="shared" si="3"/>
        <v>513.85</v>
      </c>
      <c r="L24" s="189">
        <v>21193.23</v>
      </c>
      <c r="M24" s="189">
        <f t="shared" si="4"/>
        <v>24750.310799999988</v>
      </c>
      <c r="N24" s="17"/>
    </row>
    <row r="25" spans="1:15">
      <c r="A25" s="26">
        <v>22</v>
      </c>
      <c r="B25" s="27">
        <v>45983</v>
      </c>
      <c r="C25" s="17"/>
      <c r="D25" s="144"/>
      <c r="E25" s="99">
        <v>0</v>
      </c>
      <c r="F25" s="99">
        <v>0</v>
      </c>
      <c r="G25" s="189">
        <f t="shared" si="1"/>
        <v>0</v>
      </c>
      <c r="H25" s="99">
        <v>0</v>
      </c>
      <c r="I25" s="99">
        <v>102.77</v>
      </c>
      <c r="J25" s="189">
        <f t="shared" si="2"/>
        <v>0</v>
      </c>
      <c r="K25" s="189">
        <f t="shared" si="3"/>
        <v>0</v>
      </c>
      <c r="L25" s="189">
        <f t="shared" si="5"/>
        <v>0</v>
      </c>
      <c r="M25" s="189">
        <f t="shared" si="4"/>
        <v>24750.310799999988</v>
      </c>
      <c r="N25" s="17"/>
    </row>
    <row r="26" spans="1:15">
      <c r="A26" s="26">
        <v>23</v>
      </c>
      <c r="B26" s="27">
        <v>45984</v>
      </c>
      <c r="C26" s="17"/>
      <c r="D26" s="144"/>
      <c r="E26" s="99">
        <v>0</v>
      </c>
      <c r="F26" s="99">
        <v>0</v>
      </c>
      <c r="G26" s="189">
        <f t="shared" si="1"/>
        <v>0</v>
      </c>
      <c r="H26" s="99">
        <v>0</v>
      </c>
      <c r="I26" s="99">
        <v>102.77</v>
      </c>
      <c r="J26" s="189">
        <f t="shared" si="2"/>
        <v>0</v>
      </c>
      <c r="K26" s="189">
        <f t="shared" si="3"/>
        <v>0</v>
      </c>
      <c r="L26" s="189">
        <v>0</v>
      </c>
      <c r="M26" s="189">
        <f t="shared" si="4"/>
        <v>24750.310799999988</v>
      </c>
      <c r="N26" s="17"/>
    </row>
    <row r="27" spans="1:15">
      <c r="A27" s="26">
        <v>24</v>
      </c>
      <c r="B27" s="27">
        <v>45985</v>
      </c>
      <c r="C27" s="17"/>
      <c r="D27" s="144"/>
      <c r="E27" s="99">
        <v>0</v>
      </c>
      <c r="F27" s="99">
        <v>0</v>
      </c>
      <c r="G27" s="189">
        <f t="shared" si="1"/>
        <v>0</v>
      </c>
      <c r="H27" s="99">
        <v>0</v>
      </c>
      <c r="I27" s="99">
        <v>102.77</v>
      </c>
      <c r="J27" s="189">
        <f t="shared" si="2"/>
        <v>0</v>
      </c>
      <c r="K27" s="189">
        <f t="shared" si="3"/>
        <v>0</v>
      </c>
      <c r="L27" s="189">
        <v>0</v>
      </c>
      <c r="M27" s="189">
        <f t="shared" si="4"/>
        <v>24750.310799999988</v>
      </c>
      <c r="N27" s="17"/>
    </row>
    <row r="28" spans="1:15">
      <c r="A28" s="26">
        <v>25</v>
      </c>
      <c r="B28" s="27">
        <v>45986</v>
      </c>
      <c r="C28" s="17"/>
      <c r="D28" s="144"/>
      <c r="E28" s="99">
        <v>0</v>
      </c>
      <c r="F28" s="99">
        <v>0</v>
      </c>
      <c r="G28" s="189">
        <f t="shared" si="1"/>
        <v>0</v>
      </c>
      <c r="H28" s="99">
        <v>0</v>
      </c>
      <c r="I28" s="99">
        <v>102.77</v>
      </c>
      <c r="J28" s="189">
        <f t="shared" si="2"/>
        <v>0</v>
      </c>
      <c r="K28" s="189">
        <f t="shared" si="3"/>
        <v>0</v>
      </c>
      <c r="L28" s="189">
        <v>0</v>
      </c>
      <c r="M28" s="189">
        <f t="shared" si="4"/>
        <v>24750.310799999988</v>
      </c>
      <c r="N28" s="17"/>
    </row>
    <row r="29" spans="1:15">
      <c r="A29" s="26">
        <v>26</v>
      </c>
      <c r="B29" s="27">
        <v>45987</v>
      </c>
      <c r="C29" s="17"/>
      <c r="D29" s="144"/>
      <c r="E29" s="99">
        <v>0</v>
      </c>
      <c r="F29" s="99">
        <v>0</v>
      </c>
      <c r="G29" s="189">
        <f t="shared" si="1"/>
        <v>0</v>
      </c>
      <c r="H29" s="99">
        <v>0</v>
      </c>
      <c r="I29" s="99">
        <v>102.77</v>
      </c>
      <c r="J29" s="189">
        <f t="shared" si="2"/>
        <v>0</v>
      </c>
      <c r="K29" s="189">
        <f t="shared" si="3"/>
        <v>0</v>
      </c>
      <c r="L29" s="189">
        <f t="shared" si="5"/>
        <v>0</v>
      </c>
      <c r="M29" s="189">
        <f t="shared" si="4"/>
        <v>24750.310799999988</v>
      </c>
      <c r="N29" s="17"/>
    </row>
    <row r="30" spans="1:15">
      <c r="A30" s="26">
        <v>27</v>
      </c>
      <c r="B30" s="27">
        <v>45988</v>
      </c>
      <c r="C30" s="17"/>
      <c r="D30" s="144"/>
      <c r="E30" s="99">
        <v>30</v>
      </c>
      <c r="F30" s="99">
        <v>90.88</v>
      </c>
      <c r="G30" s="189">
        <f t="shared" si="1"/>
        <v>2726.3999999999996</v>
      </c>
      <c r="H30" s="99">
        <v>5</v>
      </c>
      <c r="I30" s="99">
        <v>102.77</v>
      </c>
      <c r="J30" s="189">
        <f t="shared" si="2"/>
        <v>513.85</v>
      </c>
      <c r="K30" s="189">
        <f t="shared" si="3"/>
        <v>3240.2499999999995</v>
      </c>
      <c r="L30" s="189">
        <v>0</v>
      </c>
      <c r="M30" s="189">
        <f t="shared" si="4"/>
        <v>27990.560799999988</v>
      </c>
      <c r="N30" s="17"/>
    </row>
    <row r="31" spans="1:15">
      <c r="A31" s="26">
        <v>28</v>
      </c>
      <c r="B31" s="27">
        <v>45989</v>
      </c>
      <c r="C31" s="17"/>
      <c r="D31" s="144"/>
      <c r="E31" s="99">
        <v>0</v>
      </c>
      <c r="F31" s="99">
        <v>0</v>
      </c>
      <c r="G31" s="189">
        <f t="shared" si="1"/>
        <v>0</v>
      </c>
      <c r="H31" s="99">
        <v>10</v>
      </c>
      <c r="I31" s="99">
        <v>102.77</v>
      </c>
      <c r="J31" s="189">
        <f t="shared" si="2"/>
        <v>1027.7</v>
      </c>
      <c r="K31" s="189">
        <f t="shared" si="3"/>
        <v>1027.7</v>
      </c>
      <c r="L31" s="189">
        <v>0</v>
      </c>
      <c r="M31" s="189">
        <f t="shared" si="4"/>
        <v>29018.260799999989</v>
      </c>
      <c r="N31" s="17"/>
    </row>
    <row r="32" spans="1:15">
      <c r="A32" s="26">
        <v>29</v>
      </c>
      <c r="B32" s="27">
        <v>45990</v>
      </c>
      <c r="C32" s="17"/>
      <c r="D32" s="144"/>
      <c r="E32" s="99">
        <v>0</v>
      </c>
      <c r="F32" s="99">
        <v>0</v>
      </c>
      <c r="G32" s="189">
        <f t="shared" si="1"/>
        <v>0</v>
      </c>
      <c r="H32" s="99">
        <v>0</v>
      </c>
      <c r="I32" s="99">
        <v>102.77</v>
      </c>
      <c r="J32" s="189">
        <f t="shared" si="2"/>
        <v>0</v>
      </c>
      <c r="K32" s="189">
        <f t="shared" si="3"/>
        <v>0</v>
      </c>
      <c r="L32" s="189">
        <f t="shared" si="5"/>
        <v>0</v>
      </c>
      <c r="M32" s="189">
        <f t="shared" si="4"/>
        <v>29018.260799999989</v>
      </c>
      <c r="N32" s="17"/>
    </row>
    <row r="33" spans="1:14">
      <c r="A33" s="26">
        <v>30</v>
      </c>
      <c r="B33" s="27">
        <v>45991</v>
      </c>
      <c r="C33" s="17"/>
      <c r="D33" s="144"/>
      <c r="E33" s="99">
        <v>0</v>
      </c>
      <c r="F33" s="99">
        <v>0</v>
      </c>
      <c r="G33" s="189">
        <f t="shared" si="1"/>
        <v>0</v>
      </c>
      <c r="H33" s="99">
        <v>0</v>
      </c>
      <c r="I33" s="99">
        <v>102.77</v>
      </c>
      <c r="J33" s="189">
        <f t="shared" si="2"/>
        <v>0</v>
      </c>
      <c r="K33" s="189">
        <f t="shared" si="3"/>
        <v>0</v>
      </c>
      <c r="L33" s="189">
        <v>0</v>
      </c>
      <c r="M33" s="189">
        <f t="shared" si="4"/>
        <v>29018.260799999989</v>
      </c>
      <c r="N33" s="17"/>
    </row>
    <row r="34" spans="1:14">
      <c r="A34" s="26">
        <v>31</v>
      </c>
      <c r="B34" s="27"/>
      <c r="C34" s="17"/>
      <c r="D34" s="17"/>
      <c r="E34" s="99"/>
      <c r="F34" s="99"/>
      <c r="G34" s="189"/>
      <c r="H34" s="99"/>
      <c r="I34" s="99"/>
      <c r="J34" s="189"/>
      <c r="K34" s="189"/>
      <c r="L34" s="144"/>
      <c r="M34" s="189"/>
      <c r="N34" s="17"/>
    </row>
    <row r="35" spans="1:14">
      <c r="A35" s="46"/>
      <c r="B35" s="46"/>
      <c r="C35" s="46"/>
      <c r="D35" s="46"/>
      <c r="E35" s="46">
        <f>SUM(E4:E34)</f>
        <v>465.90999999999997</v>
      </c>
      <c r="F35" s="46"/>
      <c r="G35" s="46">
        <f>SUM(G4:G34)</f>
        <v>42341.900799999996</v>
      </c>
      <c r="H35" s="46">
        <f>SUM(H4:H34)</f>
        <v>66</v>
      </c>
      <c r="I35" s="46"/>
      <c r="J35" s="46">
        <f>SUM(J4:J34)</f>
        <v>6782.8200000000015</v>
      </c>
      <c r="K35" s="46">
        <f>SUM(K4:K34)</f>
        <v>49124.720799999996</v>
      </c>
      <c r="L35" s="46">
        <f>SUM(L4:L34)</f>
        <v>70267.58</v>
      </c>
      <c r="M35" s="46">
        <f>SUM(M4:M34)</f>
        <v>895100.13119999995</v>
      </c>
      <c r="N35" s="46"/>
    </row>
    <row r="36" spans="1:14">
      <c r="E36">
        <v>1541.87</v>
      </c>
    </row>
    <row r="37" spans="1:14">
      <c r="E37">
        <v>1661</v>
      </c>
      <c r="H37">
        <v>43.92</v>
      </c>
      <c r="K37" s="22"/>
    </row>
    <row r="38" spans="1:14">
      <c r="E38">
        <f>E37-E36</f>
        <v>119.13000000000011</v>
      </c>
    </row>
  </sheetData>
  <mergeCells count="1">
    <mergeCell ref="A1:N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D717-3CA9-494A-8EBD-D74F2C499AC3}">
  <dimension ref="A1:Q37"/>
  <sheetViews>
    <sheetView topLeftCell="A6" workbookViewId="0">
      <selection activeCell="F14" sqref="F14"/>
    </sheetView>
  </sheetViews>
  <sheetFormatPr defaultRowHeight="15"/>
  <cols>
    <col min="1" max="1" width="5.140625" bestFit="1" customWidth="1"/>
    <col min="3" max="3" width="8" bestFit="1" customWidth="1"/>
    <col min="4" max="4" width="16" bestFit="1" customWidth="1"/>
    <col min="5" max="5" width="10.7109375" bestFit="1" customWidth="1"/>
    <col min="6" max="6" width="6.140625" bestFit="1" customWidth="1"/>
    <col min="7" max="7" width="10.42578125" bestFit="1" customWidth="1"/>
    <col min="8" max="8" width="10.7109375" bestFit="1" customWidth="1"/>
    <col min="9" max="9" width="9.28515625" customWidth="1"/>
    <col min="10" max="10" width="8.7109375" bestFit="1" customWidth="1"/>
    <col min="11" max="12" width="13.5703125" bestFit="1" customWidth="1"/>
    <col min="13" max="13" width="11.28515625" bestFit="1" customWidth="1"/>
    <col min="14" max="14" width="8.7109375" bestFit="1" customWidth="1"/>
  </cols>
  <sheetData>
    <row r="1" spans="1:17" ht="15.75">
      <c r="A1" s="467" t="s">
        <v>51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98"/>
      <c r="P1" s="98"/>
      <c r="Q1" s="98"/>
    </row>
    <row r="2" spans="1:17">
      <c r="A2" s="70" t="s">
        <v>95</v>
      </c>
      <c r="B2" s="70" t="s">
        <v>96</v>
      </c>
      <c r="C2" s="70" t="s">
        <v>97</v>
      </c>
      <c r="D2" s="70" t="s">
        <v>98</v>
      </c>
      <c r="E2" s="97" t="s">
        <v>99</v>
      </c>
      <c r="F2" s="97" t="s">
        <v>100</v>
      </c>
      <c r="G2" s="97" t="s">
        <v>101</v>
      </c>
      <c r="H2" s="97" t="s">
        <v>102</v>
      </c>
      <c r="I2" s="97" t="s">
        <v>100</v>
      </c>
      <c r="J2" s="97" t="s">
        <v>101</v>
      </c>
      <c r="K2" s="97" t="s">
        <v>103</v>
      </c>
      <c r="L2" s="91" t="s">
        <v>104</v>
      </c>
      <c r="M2" s="91" t="s">
        <v>108</v>
      </c>
      <c r="N2" s="70" t="s">
        <v>106</v>
      </c>
    </row>
    <row r="3" spans="1:17">
      <c r="A3" s="17"/>
      <c r="B3" s="17"/>
      <c r="C3" s="17"/>
      <c r="D3" s="17" t="s">
        <v>107</v>
      </c>
      <c r="E3" s="17"/>
      <c r="F3" s="17"/>
      <c r="G3" s="17"/>
      <c r="H3" s="17"/>
      <c r="I3" s="17"/>
      <c r="J3" s="17"/>
      <c r="K3" s="42">
        <v>659195.20419999992</v>
      </c>
      <c r="L3" s="17"/>
      <c r="M3" s="42">
        <v>659195.20419999992</v>
      </c>
      <c r="N3" s="17"/>
      <c r="O3" s="42">
        <v>26506.399999999994</v>
      </c>
    </row>
    <row r="4" spans="1:17">
      <c r="A4" s="26">
        <v>1</v>
      </c>
      <c r="B4" s="27">
        <v>45962</v>
      </c>
      <c r="C4" s="17"/>
      <c r="D4" s="17"/>
      <c r="E4" s="99"/>
      <c r="F4" s="99"/>
      <c r="G4" s="42">
        <f>E4*F4</f>
        <v>0</v>
      </c>
      <c r="H4" s="48"/>
      <c r="I4" s="48"/>
      <c r="J4" s="42">
        <f>H4*I4</f>
        <v>0</v>
      </c>
      <c r="K4" s="42">
        <f>G4+J4</f>
        <v>0</v>
      </c>
      <c r="L4" s="42">
        <v>0</v>
      </c>
      <c r="M4" s="42">
        <f>M3+K4-L4</f>
        <v>659195.20419999992</v>
      </c>
      <c r="N4" s="17"/>
    </row>
    <row r="5" spans="1:17">
      <c r="A5" s="26">
        <v>2</v>
      </c>
      <c r="B5" s="27">
        <v>45963</v>
      </c>
      <c r="C5" s="17"/>
      <c r="D5" s="17"/>
      <c r="E5" s="99"/>
      <c r="F5" s="99"/>
      <c r="G5" s="42">
        <f t="shared" ref="G5:G36" si="0">E5*F5</f>
        <v>0</v>
      </c>
      <c r="H5" s="48"/>
      <c r="I5" s="48"/>
      <c r="J5" s="42">
        <f t="shared" ref="J5:J36" si="1">H5*I5</f>
        <v>0</v>
      </c>
      <c r="K5" s="42">
        <f t="shared" ref="K5:K36" si="2">G5+J5</f>
        <v>0</v>
      </c>
      <c r="L5" s="42">
        <v>0</v>
      </c>
      <c r="M5" s="42">
        <f>M4+K5-L5</f>
        <v>659195.20419999992</v>
      </c>
      <c r="N5" s="17"/>
    </row>
    <row r="6" spans="1:17">
      <c r="A6" s="26">
        <v>3</v>
      </c>
      <c r="B6" s="27">
        <v>45964</v>
      </c>
      <c r="C6" s="17"/>
      <c r="D6" s="17"/>
      <c r="E6" s="99">
        <v>600</v>
      </c>
      <c r="F6" s="99">
        <v>91.32</v>
      </c>
      <c r="G6" s="42">
        <f t="shared" si="0"/>
        <v>54791.999999999993</v>
      </c>
      <c r="H6" s="48"/>
      <c r="I6" s="48"/>
      <c r="J6" s="42">
        <f t="shared" si="1"/>
        <v>0</v>
      </c>
      <c r="K6" s="42">
        <f t="shared" si="2"/>
        <v>54791.999999999993</v>
      </c>
      <c r="L6" s="42">
        <v>500000</v>
      </c>
      <c r="M6" s="42">
        <f>M5+K6-L6</f>
        <v>213987.20419999992</v>
      </c>
      <c r="N6" s="17"/>
    </row>
    <row r="7" spans="1:17">
      <c r="A7" s="26">
        <v>4</v>
      </c>
      <c r="B7" s="27">
        <v>45965</v>
      </c>
      <c r="C7" s="17"/>
      <c r="D7" s="17"/>
      <c r="E7" s="372"/>
      <c r="F7" s="372"/>
      <c r="G7" s="42">
        <f t="shared" si="0"/>
        <v>0</v>
      </c>
      <c r="H7" s="48">
        <v>6</v>
      </c>
      <c r="I7" s="48">
        <v>103.24</v>
      </c>
      <c r="J7" s="42">
        <f t="shared" si="1"/>
        <v>619.43999999999994</v>
      </c>
      <c r="K7" s="42">
        <f t="shared" si="2"/>
        <v>619.43999999999994</v>
      </c>
      <c r="L7" s="42">
        <v>0</v>
      </c>
      <c r="M7" s="42">
        <f>M6+K7-L7</f>
        <v>214606.64419999992</v>
      </c>
      <c r="N7" s="17"/>
    </row>
    <row r="8" spans="1:17">
      <c r="A8" s="26">
        <v>5</v>
      </c>
      <c r="B8" s="27">
        <v>45966</v>
      </c>
      <c r="C8" s="17"/>
      <c r="D8" s="17"/>
      <c r="E8" s="372">
        <v>600</v>
      </c>
      <c r="F8" s="372">
        <v>91.32</v>
      </c>
      <c r="G8" s="42">
        <f t="shared" si="0"/>
        <v>54791.999999999993</v>
      </c>
      <c r="H8" s="48">
        <v>10</v>
      </c>
      <c r="I8" s="48">
        <v>103.24</v>
      </c>
      <c r="J8" s="42">
        <f t="shared" si="1"/>
        <v>1032.3999999999999</v>
      </c>
      <c r="K8" s="42">
        <f t="shared" si="2"/>
        <v>55824.399999999994</v>
      </c>
      <c r="L8" s="42">
        <v>0</v>
      </c>
      <c r="M8" s="42">
        <f>M7+K8-L8</f>
        <v>270431.04419999989</v>
      </c>
      <c r="N8" s="17"/>
    </row>
    <row r="9" spans="1:17">
      <c r="A9" s="26">
        <v>6</v>
      </c>
      <c r="B9" s="27">
        <v>45967</v>
      </c>
      <c r="C9" s="17"/>
      <c r="D9" s="17"/>
      <c r="E9" s="99">
        <v>639.79</v>
      </c>
      <c r="F9" s="372">
        <v>91.32</v>
      </c>
      <c r="G9" s="42">
        <f t="shared" si="0"/>
        <v>58425.62279999999</v>
      </c>
      <c r="H9" s="48">
        <v>6</v>
      </c>
      <c r="I9" s="48">
        <v>103.24</v>
      </c>
      <c r="J9" s="42">
        <f t="shared" si="1"/>
        <v>619.43999999999994</v>
      </c>
      <c r="K9" s="42">
        <f t="shared" si="2"/>
        <v>59045.062799999992</v>
      </c>
      <c r="L9" s="42">
        <v>0</v>
      </c>
      <c r="M9" s="42">
        <f t="shared" ref="M9:M36" si="3">M8+K9-L9</f>
        <v>329476.1069999999</v>
      </c>
      <c r="N9" s="17"/>
    </row>
    <row r="10" spans="1:17">
      <c r="A10" s="26">
        <v>7</v>
      </c>
      <c r="B10" s="27">
        <v>45968</v>
      </c>
      <c r="C10" s="17"/>
      <c r="D10" s="17"/>
      <c r="E10" s="99"/>
      <c r="F10" s="372"/>
      <c r="G10" s="42">
        <f t="shared" si="0"/>
        <v>0</v>
      </c>
      <c r="H10" s="48"/>
      <c r="I10" s="48"/>
      <c r="J10" s="42">
        <f t="shared" si="1"/>
        <v>0</v>
      </c>
      <c r="K10" s="42">
        <f t="shared" si="2"/>
        <v>0</v>
      </c>
      <c r="L10" s="42">
        <v>0</v>
      </c>
      <c r="M10" s="42">
        <f t="shared" si="3"/>
        <v>329476.1069999999</v>
      </c>
      <c r="N10" s="17"/>
    </row>
    <row r="11" spans="1:17">
      <c r="A11" s="26">
        <v>8</v>
      </c>
      <c r="B11" s="27">
        <v>45969</v>
      </c>
      <c r="C11" s="17"/>
      <c r="D11" s="17"/>
      <c r="E11" s="99">
        <v>600</v>
      </c>
      <c r="F11" s="372">
        <v>91.32</v>
      </c>
      <c r="G11" s="42">
        <f t="shared" si="0"/>
        <v>54791.999999999993</v>
      </c>
      <c r="H11" s="48">
        <v>6</v>
      </c>
      <c r="I11" s="48">
        <v>103.24</v>
      </c>
      <c r="J11" s="42">
        <f t="shared" si="1"/>
        <v>619.43999999999994</v>
      </c>
      <c r="K11" s="42">
        <f t="shared" si="2"/>
        <v>55411.439999999995</v>
      </c>
      <c r="L11" s="42">
        <v>0</v>
      </c>
      <c r="M11" s="42">
        <f t="shared" si="3"/>
        <v>384887.5469999999</v>
      </c>
      <c r="N11" s="17"/>
    </row>
    <row r="12" spans="1:17">
      <c r="A12" s="26">
        <v>9</v>
      </c>
      <c r="B12" s="27">
        <v>45970</v>
      </c>
      <c r="C12" s="17"/>
      <c r="D12" s="17"/>
      <c r="E12" s="99"/>
      <c r="F12" s="99"/>
      <c r="G12" s="42">
        <f t="shared" si="0"/>
        <v>0</v>
      </c>
      <c r="H12" s="48"/>
      <c r="I12" s="48"/>
      <c r="J12" s="42">
        <f t="shared" si="1"/>
        <v>0</v>
      </c>
      <c r="K12" s="42">
        <f t="shared" si="2"/>
        <v>0</v>
      </c>
      <c r="L12" s="42">
        <v>0</v>
      </c>
      <c r="M12" s="42">
        <f>M11+K12-L12</f>
        <v>384887.5469999999</v>
      </c>
      <c r="N12" s="17"/>
    </row>
    <row r="13" spans="1:17">
      <c r="A13" s="26">
        <v>10</v>
      </c>
      <c r="B13" s="27">
        <v>45971</v>
      </c>
      <c r="C13" s="17"/>
      <c r="D13" s="17"/>
      <c r="E13" s="99">
        <v>600</v>
      </c>
      <c r="F13" s="99">
        <v>91.32</v>
      </c>
      <c r="G13" s="42">
        <f t="shared" si="0"/>
        <v>54791.999999999993</v>
      </c>
      <c r="H13" s="48">
        <v>5</v>
      </c>
      <c r="I13" s="48">
        <v>103.24</v>
      </c>
      <c r="J13" s="42">
        <f t="shared" si="1"/>
        <v>516.19999999999993</v>
      </c>
      <c r="K13" s="42">
        <f t="shared" si="2"/>
        <v>55308.19999999999</v>
      </c>
      <c r="L13" s="42">
        <v>0</v>
      </c>
      <c r="M13" s="42">
        <f t="shared" si="3"/>
        <v>440195.74699999992</v>
      </c>
      <c r="N13" s="17"/>
    </row>
    <row r="14" spans="1:17">
      <c r="A14" s="26">
        <v>11</v>
      </c>
      <c r="B14" s="27">
        <v>45972</v>
      </c>
      <c r="C14" s="17"/>
      <c r="D14" s="17">
        <v>671.67</v>
      </c>
      <c r="E14" s="99">
        <v>691.92</v>
      </c>
      <c r="F14" s="99">
        <v>91.32</v>
      </c>
      <c r="G14" s="42">
        <f t="shared" si="0"/>
        <v>63186.134399999988</v>
      </c>
      <c r="H14" s="48">
        <v>18</v>
      </c>
      <c r="I14" s="48">
        <v>103.24</v>
      </c>
      <c r="J14" s="42">
        <f t="shared" si="1"/>
        <v>1858.32</v>
      </c>
      <c r="K14" s="42">
        <f t="shared" si="2"/>
        <v>65044.454399999988</v>
      </c>
      <c r="L14" s="42">
        <v>0</v>
      </c>
      <c r="M14" s="42">
        <f>M13+K14-L14</f>
        <v>505240.2013999999</v>
      </c>
      <c r="N14" s="17"/>
    </row>
    <row r="15" spans="1:17">
      <c r="A15" s="26">
        <v>12</v>
      </c>
      <c r="B15" s="27">
        <v>45973</v>
      </c>
      <c r="C15" s="17"/>
      <c r="D15" s="99"/>
      <c r="E15" s="99"/>
      <c r="F15" s="99"/>
      <c r="G15" s="42">
        <f t="shared" si="0"/>
        <v>0</v>
      </c>
      <c r="H15" s="48"/>
      <c r="I15" s="48"/>
      <c r="J15" s="42">
        <f t="shared" si="1"/>
        <v>0</v>
      </c>
      <c r="K15" s="42">
        <f t="shared" si="2"/>
        <v>0</v>
      </c>
      <c r="L15" s="42">
        <v>0</v>
      </c>
      <c r="M15" s="42">
        <f t="shared" si="3"/>
        <v>505240.2013999999</v>
      </c>
      <c r="N15" s="17"/>
    </row>
    <row r="16" spans="1:17">
      <c r="A16" s="26">
        <v>13</v>
      </c>
      <c r="B16" s="27">
        <v>45974</v>
      </c>
      <c r="C16" s="17"/>
      <c r="D16" s="17">
        <v>0</v>
      </c>
      <c r="E16" s="99">
        <v>660</v>
      </c>
      <c r="F16" s="99">
        <v>91.32</v>
      </c>
      <c r="G16" s="42">
        <f t="shared" si="0"/>
        <v>60271.199999999997</v>
      </c>
      <c r="H16" s="48">
        <v>16</v>
      </c>
      <c r="I16" s="48">
        <v>103.24</v>
      </c>
      <c r="J16" s="42">
        <f t="shared" si="1"/>
        <v>1651.84</v>
      </c>
      <c r="K16" s="42">
        <f t="shared" si="2"/>
        <v>61923.039999999994</v>
      </c>
      <c r="L16" s="42">
        <v>0</v>
      </c>
      <c r="M16" s="42">
        <f t="shared" si="3"/>
        <v>567163.24139999994</v>
      </c>
      <c r="N16" s="17"/>
      <c r="Q16" s="397"/>
    </row>
    <row r="17" spans="1:16">
      <c r="A17" s="26">
        <v>14</v>
      </c>
      <c r="B17" s="27">
        <v>45975</v>
      </c>
      <c r="C17" s="17"/>
      <c r="D17" s="17"/>
      <c r="E17" s="99">
        <v>600</v>
      </c>
      <c r="F17" s="99">
        <v>91.32</v>
      </c>
      <c r="G17" s="42">
        <f t="shared" si="0"/>
        <v>54791.999999999993</v>
      </c>
      <c r="H17" s="48">
        <v>5</v>
      </c>
      <c r="I17" s="48">
        <v>103.24</v>
      </c>
      <c r="J17" s="42">
        <f t="shared" si="1"/>
        <v>516.19999999999993</v>
      </c>
      <c r="K17" s="42">
        <f t="shared" si="2"/>
        <v>55308.19999999999</v>
      </c>
      <c r="L17" s="42">
        <v>0</v>
      </c>
      <c r="M17" s="42">
        <f t="shared" si="3"/>
        <v>622471.44139999989</v>
      </c>
      <c r="N17" s="17"/>
    </row>
    <row r="18" spans="1:16">
      <c r="A18" s="26">
        <v>15</v>
      </c>
      <c r="B18" s="27">
        <v>45976</v>
      </c>
      <c r="C18" s="17"/>
      <c r="D18" s="17"/>
      <c r="E18" s="99">
        <v>734.56</v>
      </c>
      <c r="F18" s="99">
        <v>91.32</v>
      </c>
      <c r="G18" s="42">
        <f t="shared" si="0"/>
        <v>67080.019199999995</v>
      </c>
      <c r="H18" s="48"/>
      <c r="I18" s="48"/>
      <c r="J18" s="42">
        <f t="shared" si="1"/>
        <v>0</v>
      </c>
      <c r="K18" s="42">
        <f t="shared" si="2"/>
        <v>67080.019199999995</v>
      </c>
      <c r="L18" s="42">
        <v>300000</v>
      </c>
      <c r="M18" s="42">
        <f t="shared" si="3"/>
        <v>389551.46059999987</v>
      </c>
      <c r="N18" s="17"/>
    </row>
    <row r="19" spans="1:16">
      <c r="A19" s="26">
        <v>16</v>
      </c>
      <c r="B19" s="27">
        <v>45977</v>
      </c>
      <c r="C19" s="17"/>
      <c r="D19" s="17"/>
      <c r="E19" s="99"/>
      <c r="F19" s="99"/>
      <c r="G19" s="42">
        <f t="shared" si="0"/>
        <v>0</v>
      </c>
      <c r="H19" s="48"/>
      <c r="I19" s="48"/>
      <c r="J19" s="42">
        <f t="shared" si="1"/>
        <v>0</v>
      </c>
      <c r="K19" s="42">
        <f t="shared" si="2"/>
        <v>0</v>
      </c>
      <c r="L19" s="42">
        <v>0</v>
      </c>
      <c r="M19" s="42">
        <f t="shared" si="3"/>
        <v>389551.46059999987</v>
      </c>
      <c r="N19" s="17"/>
    </row>
    <row r="20" spans="1:16">
      <c r="A20" s="26">
        <v>17</v>
      </c>
      <c r="B20" s="27">
        <v>45978</v>
      </c>
      <c r="C20" s="17"/>
      <c r="D20" s="17"/>
      <c r="E20" s="99">
        <v>55</v>
      </c>
      <c r="F20" s="99">
        <v>91.32</v>
      </c>
      <c r="G20" s="42">
        <f t="shared" si="0"/>
        <v>5022.5999999999995</v>
      </c>
      <c r="H20" s="48">
        <v>11</v>
      </c>
      <c r="I20" s="48">
        <v>103.24</v>
      </c>
      <c r="J20" s="42">
        <f t="shared" si="1"/>
        <v>1135.6399999999999</v>
      </c>
      <c r="K20" s="42">
        <f t="shared" si="2"/>
        <v>6158.24</v>
      </c>
      <c r="L20" s="42">
        <v>0</v>
      </c>
      <c r="M20" s="42">
        <f t="shared" si="3"/>
        <v>395709.70059999987</v>
      </c>
      <c r="N20" s="17"/>
    </row>
    <row r="21" spans="1:16">
      <c r="A21" s="26">
        <v>18</v>
      </c>
      <c r="B21" s="27">
        <v>45979</v>
      </c>
      <c r="C21" s="17"/>
      <c r="D21" s="17"/>
      <c r="E21" s="372">
        <v>640</v>
      </c>
      <c r="F21" s="99">
        <v>91.32</v>
      </c>
      <c r="G21" s="42">
        <f t="shared" si="0"/>
        <v>58444.799999999996</v>
      </c>
      <c r="H21" s="48"/>
      <c r="I21" s="48"/>
      <c r="J21" s="42">
        <f t="shared" si="1"/>
        <v>0</v>
      </c>
      <c r="K21" s="42">
        <f t="shared" si="2"/>
        <v>58444.799999999996</v>
      </c>
      <c r="L21" s="42">
        <v>0</v>
      </c>
      <c r="M21" s="42">
        <f t="shared" si="3"/>
        <v>454154.50059999985</v>
      </c>
      <c r="N21" s="17"/>
    </row>
    <row r="22" spans="1:16">
      <c r="A22" s="26">
        <v>19</v>
      </c>
      <c r="B22" s="27">
        <v>45980</v>
      </c>
      <c r="C22" s="17"/>
      <c r="D22" s="17"/>
      <c r="E22" s="372">
        <v>714.01</v>
      </c>
      <c r="F22" s="99">
        <v>91.32</v>
      </c>
      <c r="G22" s="42">
        <f t="shared" si="0"/>
        <v>65203.393199999991</v>
      </c>
      <c r="H22" s="48">
        <v>6</v>
      </c>
      <c r="I22" s="48">
        <v>103.24</v>
      </c>
      <c r="J22" s="42">
        <f t="shared" si="1"/>
        <v>619.43999999999994</v>
      </c>
      <c r="K22" s="42">
        <f t="shared" si="2"/>
        <v>65822.833199999994</v>
      </c>
      <c r="L22" s="42">
        <v>0</v>
      </c>
      <c r="M22" s="42">
        <f t="shared" si="3"/>
        <v>519977.33379999985</v>
      </c>
      <c r="N22" s="17"/>
    </row>
    <row r="23" spans="1:16">
      <c r="A23" s="26">
        <v>20</v>
      </c>
      <c r="B23" s="27">
        <v>45981</v>
      </c>
      <c r="C23" s="17"/>
      <c r="D23" s="17"/>
      <c r="E23" s="99">
        <v>20</v>
      </c>
      <c r="F23" s="99">
        <v>91.32</v>
      </c>
      <c r="G23" s="42">
        <f t="shared" si="0"/>
        <v>1826.3999999999999</v>
      </c>
      <c r="H23" s="48">
        <v>5</v>
      </c>
      <c r="I23" s="48">
        <v>103.24</v>
      </c>
      <c r="J23" s="42">
        <f t="shared" si="1"/>
        <v>516.19999999999993</v>
      </c>
      <c r="K23" s="42">
        <f t="shared" si="2"/>
        <v>2342.6</v>
      </c>
      <c r="L23" s="42">
        <v>400000</v>
      </c>
      <c r="M23" s="42">
        <f t="shared" si="3"/>
        <v>122319.93379999982</v>
      </c>
      <c r="N23" s="17"/>
    </row>
    <row r="24" spans="1:16">
      <c r="A24" s="26">
        <v>21</v>
      </c>
      <c r="B24" s="27">
        <v>45982</v>
      </c>
      <c r="C24" s="17"/>
      <c r="D24" s="17"/>
      <c r="E24" s="99">
        <v>660</v>
      </c>
      <c r="F24" s="99">
        <v>91.32</v>
      </c>
      <c r="G24" s="42">
        <f t="shared" si="0"/>
        <v>60271.199999999997</v>
      </c>
      <c r="H24" s="48">
        <v>5</v>
      </c>
      <c r="I24" s="48">
        <v>103.24</v>
      </c>
      <c r="J24" s="42">
        <f t="shared" si="1"/>
        <v>516.19999999999993</v>
      </c>
      <c r="K24" s="42">
        <f t="shared" si="2"/>
        <v>60787.399999999994</v>
      </c>
      <c r="L24" s="42">
        <v>0</v>
      </c>
      <c r="M24" s="42">
        <f t="shared" si="3"/>
        <v>183107.33379999982</v>
      </c>
      <c r="N24" s="17"/>
    </row>
    <row r="25" spans="1:16">
      <c r="A25" s="26">
        <v>22</v>
      </c>
      <c r="B25" s="27">
        <v>45983</v>
      </c>
      <c r="C25" s="17"/>
      <c r="D25" s="17"/>
      <c r="E25" s="99">
        <v>653.79</v>
      </c>
      <c r="F25" s="99">
        <v>91.32</v>
      </c>
      <c r="G25" s="42">
        <f t="shared" si="0"/>
        <v>59704.102799999993</v>
      </c>
      <c r="H25" s="48">
        <v>17</v>
      </c>
      <c r="I25" s="48">
        <v>103.24</v>
      </c>
      <c r="J25" s="42">
        <f t="shared" si="1"/>
        <v>1755.08</v>
      </c>
      <c r="K25" s="42">
        <f t="shared" si="2"/>
        <v>61459.182799999995</v>
      </c>
      <c r="L25" s="42">
        <v>0</v>
      </c>
      <c r="M25" s="42">
        <f t="shared" si="3"/>
        <v>244566.5165999998</v>
      </c>
      <c r="N25" s="17"/>
    </row>
    <row r="26" spans="1:16">
      <c r="A26" s="26">
        <v>23</v>
      </c>
      <c r="B26" s="27">
        <v>45984</v>
      </c>
      <c r="C26" s="17"/>
      <c r="D26" s="17"/>
      <c r="E26" s="99">
        <v>40</v>
      </c>
      <c r="F26" s="99">
        <v>91.32</v>
      </c>
      <c r="G26" s="42">
        <f t="shared" si="0"/>
        <v>3652.7999999999997</v>
      </c>
      <c r="H26" s="48"/>
      <c r="I26" s="48"/>
      <c r="J26" s="42">
        <f t="shared" si="1"/>
        <v>0</v>
      </c>
      <c r="K26" s="42">
        <f t="shared" si="2"/>
        <v>3652.7999999999997</v>
      </c>
      <c r="L26" s="42">
        <v>0</v>
      </c>
      <c r="M26" s="42">
        <f t="shared" si="3"/>
        <v>248219.31659999979</v>
      </c>
      <c r="N26" s="17"/>
    </row>
    <row r="27" spans="1:16">
      <c r="A27" s="26">
        <v>24</v>
      </c>
      <c r="B27" s="27">
        <v>45985</v>
      </c>
      <c r="C27" s="17"/>
      <c r="D27" s="17"/>
      <c r="E27" s="99">
        <v>450</v>
      </c>
      <c r="F27" s="99">
        <v>91.32</v>
      </c>
      <c r="G27" s="42">
        <f t="shared" si="0"/>
        <v>41094</v>
      </c>
      <c r="H27" s="48"/>
      <c r="I27" s="48"/>
      <c r="J27" s="42">
        <f t="shared" si="1"/>
        <v>0</v>
      </c>
      <c r="K27" s="42">
        <f t="shared" si="2"/>
        <v>41094</v>
      </c>
      <c r="L27" s="42">
        <v>0</v>
      </c>
      <c r="M27" s="42">
        <f t="shared" si="3"/>
        <v>289313.31659999979</v>
      </c>
      <c r="N27" s="17"/>
      <c r="P27" s="22"/>
    </row>
    <row r="28" spans="1:16">
      <c r="A28" s="26">
        <v>25</v>
      </c>
      <c r="B28" s="27">
        <v>45986</v>
      </c>
      <c r="C28" s="17"/>
      <c r="D28" s="17"/>
      <c r="E28" s="99">
        <v>689.43</v>
      </c>
      <c r="F28" s="99">
        <v>91.32</v>
      </c>
      <c r="G28" s="42">
        <f t="shared" si="0"/>
        <v>62958.747599999988</v>
      </c>
      <c r="H28" s="48">
        <v>6</v>
      </c>
      <c r="I28" s="48">
        <v>103.24</v>
      </c>
      <c r="J28" s="42">
        <f t="shared" si="1"/>
        <v>619.43999999999994</v>
      </c>
      <c r="K28" s="42">
        <f t="shared" si="2"/>
        <v>63578.18759999999</v>
      </c>
      <c r="L28" s="42">
        <v>0</v>
      </c>
      <c r="M28" s="42">
        <f t="shared" si="3"/>
        <v>352891.50419999979</v>
      </c>
      <c r="N28" s="17"/>
    </row>
    <row r="29" spans="1:16">
      <c r="A29" s="26">
        <v>26</v>
      </c>
      <c r="B29" s="27">
        <v>45987</v>
      </c>
      <c r="C29" s="17"/>
      <c r="D29" s="246"/>
      <c r="E29" s="99">
        <v>480</v>
      </c>
      <c r="F29" s="99">
        <v>91.32</v>
      </c>
      <c r="G29" s="42">
        <f t="shared" si="0"/>
        <v>43833.599999999999</v>
      </c>
      <c r="H29" s="48">
        <v>5</v>
      </c>
      <c r="I29" s="48">
        <v>103.24</v>
      </c>
      <c r="J29" s="42">
        <f t="shared" si="1"/>
        <v>516.19999999999993</v>
      </c>
      <c r="K29" s="42">
        <f t="shared" si="2"/>
        <v>44349.799999999996</v>
      </c>
      <c r="L29" s="42">
        <v>0</v>
      </c>
      <c r="M29" s="42">
        <f t="shared" si="3"/>
        <v>397241.30419999978</v>
      </c>
      <c r="N29" s="17"/>
    </row>
    <row r="30" spans="1:16">
      <c r="A30" s="26">
        <v>27</v>
      </c>
      <c r="B30" s="27">
        <v>45988</v>
      </c>
      <c r="C30" s="17"/>
      <c r="D30" s="17"/>
      <c r="E30" s="99">
        <v>450</v>
      </c>
      <c r="F30" s="99">
        <v>91.32</v>
      </c>
      <c r="G30" s="42">
        <f t="shared" si="0"/>
        <v>41094</v>
      </c>
      <c r="H30" s="48">
        <v>10</v>
      </c>
      <c r="I30" s="48">
        <v>103.24</v>
      </c>
      <c r="J30" s="42">
        <f t="shared" si="1"/>
        <v>1032.3999999999999</v>
      </c>
      <c r="K30" s="42">
        <f t="shared" si="2"/>
        <v>42126.400000000001</v>
      </c>
      <c r="L30" s="42">
        <v>0</v>
      </c>
      <c r="M30" s="42">
        <f t="shared" si="3"/>
        <v>439367.7041999998</v>
      </c>
      <c r="N30" s="17"/>
    </row>
    <row r="31" spans="1:16">
      <c r="A31" s="26">
        <v>28</v>
      </c>
      <c r="B31" s="27">
        <v>45989</v>
      </c>
      <c r="C31" s="17"/>
      <c r="D31" s="17"/>
      <c r="E31" s="99">
        <v>525</v>
      </c>
      <c r="F31" s="99">
        <v>91.32</v>
      </c>
      <c r="G31" s="42">
        <f t="shared" si="0"/>
        <v>47943</v>
      </c>
      <c r="H31" s="48">
        <v>5</v>
      </c>
      <c r="I31" s="48">
        <v>103.24</v>
      </c>
      <c r="J31" s="42">
        <f t="shared" si="1"/>
        <v>516.19999999999993</v>
      </c>
      <c r="K31" s="42">
        <f t="shared" si="2"/>
        <v>48459.199999999997</v>
      </c>
      <c r="L31" s="42">
        <v>0</v>
      </c>
      <c r="M31" s="42">
        <f t="shared" si="3"/>
        <v>487826.90419999982</v>
      </c>
      <c r="N31" s="17"/>
    </row>
    <row r="32" spans="1:16">
      <c r="A32" s="26">
        <v>29</v>
      </c>
      <c r="B32" s="27">
        <v>45990</v>
      </c>
      <c r="C32" s="17"/>
      <c r="D32" s="17"/>
      <c r="E32" s="99">
        <v>450</v>
      </c>
      <c r="F32" s="99">
        <v>91.32</v>
      </c>
      <c r="G32" s="42">
        <f t="shared" si="0"/>
        <v>41094</v>
      </c>
      <c r="H32" s="48">
        <v>5</v>
      </c>
      <c r="I32" s="48">
        <v>103.24</v>
      </c>
      <c r="J32" s="42">
        <f t="shared" si="1"/>
        <v>516.19999999999993</v>
      </c>
      <c r="K32" s="42">
        <f t="shared" si="2"/>
        <v>41610.199999999997</v>
      </c>
      <c r="L32" s="42">
        <v>0</v>
      </c>
      <c r="M32" s="42">
        <f t="shared" si="3"/>
        <v>529437.10419999983</v>
      </c>
      <c r="N32" s="17"/>
    </row>
    <row r="33" spans="1:17">
      <c r="A33" s="26">
        <v>30</v>
      </c>
      <c r="B33" s="27">
        <v>45991</v>
      </c>
      <c r="C33" s="17"/>
      <c r="D33" s="17"/>
      <c r="E33" s="99">
        <v>260</v>
      </c>
      <c r="F33" s="99">
        <v>91.32</v>
      </c>
      <c r="G33" s="42">
        <f t="shared" si="0"/>
        <v>23743.199999999997</v>
      </c>
      <c r="H33" s="48">
        <v>10</v>
      </c>
      <c r="I33" s="48">
        <v>103.24</v>
      </c>
      <c r="J33" s="42">
        <f t="shared" si="1"/>
        <v>1032.3999999999999</v>
      </c>
      <c r="K33" s="42">
        <f t="shared" si="2"/>
        <v>24775.599999999999</v>
      </c>
      <c r="L33" s="42">
        <v>0</v>
      </c>
      <c r="M33" s="42">
        <f t="shared" si="3"/>
        <v>554212.7041999998</v>
      </c>
      <c r="N33" s="17"/>
    </row>
    <row r="34" spans="1:17">
      <c r="A34" s="26">
        <v>31</v>
      </c>
      <c r="B34" s="27"/>
      <c r="C34" s="17"/>
      <c r="D34" s="17"/>
      <c r="E34" s="99"/>
      <c r="F34" s="99"/>
      <c r="G34" s="42">
        <f t="shared" si="0"/>
        <v>0</v>
      </c>
      <c r="H34" s="48"/>
      <c r="I34" s="48"/>
      <c r="J34" s="42">
        <f t="shared" si="1"/>
        <v>0</v>
      </c>
      <c r="K34" s="42">
        <f t="shared" si="2"/>
        <v>0</v>
      </c>
      <c r="L34" s="42">
        <v>0</v>
      </c>
      <c r="M34" s="42">
        <f>M33+K34-L34</f>
        <v>554212.7041999998</v>
      </c>
      <c r="N34" s="17"/>
      <c r="Q34" s="257"/>
    </row>
    <row r="35" spans="1:17">
      <c r="A35" s="26">
        <v>32</v>
      </c>
      <c r="B35" s="27"/>
      <c r="C35" s="17"/>
      <c r="D35" s="17"/>
      <c r="E35" s="99"/>
      <c r="F35" s="99"/>
      <c r="G35" s="42">
        <f t="shared" si="0"/>
        <v>0</v>
      </c>
      <c r="H35" s="48"/>
      <c r="I35" s="48"/>
      <c r="J35" s="42">
        <f t="shared" si="1"/>
        <v>0</v>
      </c>
      <c r="K35" s="42">
        <f t="shared" si="2"/>
        <v>0</v>
      </c>
      <c r="L35" s="42">
        <v>0</v>
      </c>
      <c r="M35" s="42">
        <f t="shared" si="3"/>
        <v>554212.7041999998</v>
      </c>
      <c r="N35" s="17"/>
      <c r="Q35" s="257"/>
    </row>
    <row r="36" spans="1:17">
      <c r="A36" s="26">
        <v>33</v>
      </c>
      <c r="B36" s="27"/>
      <c r="C36" s="17"/>
      <c r="D36" s="17"/>
      <c r="E36" s="99"/>
      <c r="F36" s="99"/>
      <c r="G36" s="42">
        <f t="shared" si="0"/>
        <v>0</v>
      </c>
      <c r="H36" s="48"/>
      <c r="I36" s="48"/>
      <c r="J36" s="42">
        <f t="shared" si="1"/>
        <v>0</v>
      </c>
      <c r="K36" s="42">
        <f t="shared" si="2"/>
        <v>0</v>
      </c>
      <c r="L36" s="42">
        <v>0</v>
      </c>
      <c r="M36" s="42">
        <f t="shared" si="3"/>
        <v>554212.7041999998</v>
      </c>
      <c r="N36" s="17"/>
      <c r="Q36" s="257"/>
    </row>
    <row r="37" spans="1:17">
      <c r="A37" s="46"/>
      <c r="B37" s="46"/>
      <c r="C37" s="46"/>
      <c r="D37" s="46"/>
      <c r="E37" s="46">
        <f>SUM(E4:E36)</f>
        <v>11813.5</v>
      </c>
      <c r="F37" s="46"/>
      <c r="G37" s="46">
        <f>SUM(G4:G36)</f>
        <v>1078808.82</v>
      </c>
      <c r="H37" s="46">
        <f>SUM(H4:H36)</f>
        <v>157</v>
      </c>
      <c r="I37" s="46"/>
      <c r="J37" s="46">
        <f>SUM(J4:J36)</f>
        <v>16208.680000000004</v>
      </c>
      <c r="K37" s="46">
        <f>SUM(K4:K36)</f>
        <v>1095017.5</v>
      </c>
      <c r="L37" s="46">
        <f>SUM(L4:L36)</f>
        <v>1200000</v>
      </c>
      <c r="M37" s="46"/>
      <c r="N37" s="46"/>
    </row>
  </sheetData>
  <mergeCells count="1">
    <mergeCell ref="A1:N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23" activePane="bottomLeft" state="frozen"/>
      <selection pane="bottomLeft" activeCell="H38" sqref="H38"/>
    </sheetView>
  </sheetViews>
  <sheetFormatPr defaultRowHeight="15"/>
  <cols>
    <col min="1" max="1" width="5.140625" style="75" bestFit="1" customWidth="1"/>
    <col min="2" max="2" width="10.85546875" style="75" bestFit="1" customWidth="1"/>
    <col min="3" max="3" width="8" style="75" bestFit="1" customWidth="1"/>
    <col min="4" max="4" width="16" style="75" bestFit="1" customWidth="1"/>
    <col min="5" max="5" width="10.7109375" style="75" bestFit="1" customWidth="1"/>
    <col min="6" max="6" width="14.5703125" style="75" bestFit="1" customWidth="1"/>
    <col min="7" max="7" width="11.85546875" style="75" bestFit="1" customWidth="1"/>
    <col min="8" max="8" width="10.7109375" style="75" bestFit="1" customWidth="1"/>
    <col min="9" max="9" width="7.28515625" style="75" bestFit="1" customWidth="1"/>
    <col min="10" max="10" width="10.85546875" style="75" bestFit="1" customWidth="1"/>
    <col min="11" max="11" width="14.5703125" style="75" bestFit="1" customWidth="1"/>
    <col min="12" max="12" width="13.5703125" style="75" bestFit="1" customWidth="1"/>
    <col min="13" max="13" width="13.5703125" style="75" customWidth="1"/>
    <col min="14" max="14" width="14.140625" style="75" bestFit="1" customWidth="1"/>
    <col min="15" max="15" width="11.28515625" style="75" customWidth="1"/>
    <col min="16" max="16" width="9.140625" style="75" customWidth="1"/>
    <col min="17" max="16384" width="9.140625" style="75"/>
  </cols>
  <sheetData>
    <row r="1" spans="1:17" ht="15.75">
      <c r="A1" s="454" t="s">
        <v>55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88"/>
    </row>
    <row r="2" spans="1:17" ht="30">
      <c r="A2" s="70" t="s">
        <v>95</v>
      </c>
      <c r="B2" s="89" t="s">
        <v>96</v>
      </c>
      <c r="C2" s="89" t="s">
        <v>97</v>
      </c>
      <c r="D2" s="89" t="s">
        <v>98</v>
      </c>
      <c r="E2" s="89" t="s">
        <v>99</v>
      </c>
      <c r="F2" s="89" t="s">
        <v>100</v>
      </c>
      <c r="G2" s="89" t="s">
        <v>101</v>
      </c>
      <c r="H2" s="89" t="s">
        <v>102</v>
      </c>
      <c r="I2" s="89" t="s">
        <v>100</v>
      </c>
      <c r="J2" s="90" t="s">
        <v>101</v>
      </c>
      <c r="K2" s="70" t="s">
        <v>103</v>
      </c>
      <c r="L2" s="91" t="s">
        <v>104</v>
      </c>
      <c r="M2" s="91" t="s">
        <v>110</v>
      </c>
      <c r="N2" s="89" t="s">
        <v>106</v>
      </c>
      <c r="O2" s="65"/>
    </row>
    <row r="3" spans="1:17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7"/>
      <c r="K3" s="171">
        <v>235015.75960000016</v>
      </c>
      <c r="L3" s="73"/>
      <c r="M3" s="171">
        <v>235015.75960000016</v>
      </c>
      <c r="N3" s="73"/>
      <c r="O3" s="65">
        <v>235015.76</v>
      </c>
      <c r="P3" s="256">
        <f>O3-M3</f>
        <v>3.9999984437599778E-4</v>
      </c>
    </row>
    <row r="4" spans="1:17">
      <c r="A4" s="26">
        <v>1</v>
      </c>
      <c r="B4" s="27">
        <v>45962</v>
      </c>
      <c r="C4" s="73"/>
      <c r="D4" s="167"/>
      <c r="E4" s="172"/>
      <c r="F4" s="172"/>
      <c r="G4" s="8">
        <f>E4*F4</f>
        <v>0</v>
      </c>
      <c r="H4" s="172"/>
      <c r="I4" s="172"/>
      <c r="J4" s="8">
        <f>H4*I4</f>
        <v>0</v>
      </c>
      <c r="K4" s="8">
        <f>G4+J4</f>
        <v>0</v>
      </c>
      <c r="L4" s="173">
        <v>0</v>
      </c>
      <c r="M4" s="173">
        <f t="shared" ref="M4:M20" si="0">M3+K4-L4</f>
        <v>235015.75960000016</v>
      </c>
      <c r="N4" s="43"/>
      <c r="Q4" s="75">
        <v>235410</v>
      </c>
    </row>
    <row r="5" spans="1:17">
      <c r="A5" s="26">
        <v>2</v>
      </c>
      <c r="B5" s="27">
        <v>45963</v>
      </c>
      <c r="C5" s="73"/>
      <c r="D5" s="167"/>
      <c r="E5" s="172"/>
      <c r="F5" s="172"/>
      <c r="G5" s="8">
        <f t="shared" ref="G5:G34" si="1">E5*F5</f>
        <v>0</v>
      </c>
      <c r="H5" s="172"/>
      <c r="I5" s="172"/>
      <c r="J5" s="8">
        <f t="shared" ref="J5:J34" si="2">H5*I5</f>
        <v>0</v>
      </c>
      <c r="K5" s="8">
        <f t="shared" ref="K5:K34" si="3">G5+J5</f>
        <v>0</v>
      </c>
      <c r="L5" s="173">
        <v>0</v>
      </c>
      <c r="M5" s="173">
        <f t="shared" si="0"/>
        <v>235015.75960000016</v>
      </c>
      <c r="N5" s="43"/>
    </row>
    <row r="6" spans="1:17">
      <c r="A6" s="26">
        <v>3</v>
      </c>
      <c r="B6" s="27">
        <v>45964</v>
      </c>
      <c r="C6" s="73"/>
      <c r="D6" s="167"/>
      <c r="E6" s="172">
        <v>70</v>
      </c>
      <c r="F6" s="172">
        <v>91.93</v>
      </c>
      <c r="G6" s="8">
        <f t="shared" si="1"/>
        <v>6435.1</v>
      </c>
      <c r="H6" s="172">
        <v>0</v>
      </c>
      <c r="I6" s="172">
        <v>0</v>
      </c>
      <c r="J6" s="8">
        <f t="shared" si="2"/>
        <v>0</v>
      </c>
      <c r="K6" s="8">
        <f t="shared" si="3"/>
        <v>6435.1</v>
      </c>
      <c r="L6" s="173">
        <v>0</v>
      </c>
      <c r="M6" s="173">
        <f t="shared" si="0"/>
        <v>241450.85960000017</v>
      </c>
      <c r="N6" s="43"/>
    </row>
    <row r="7" spans="1:17">
      <c r="A7" s="26">
        <v>4</v>
      </c>
      <c r="B7" s="27">
        <v>45965</v>
      </c>
      <c r="C7" s="73"/>
      <c r="D7" s="167"/>
      <c r="E7" s="172">
        <v>410.86</v>
      </c>
      <c r="F7" s="172">
        <v>91.93</v>
      </c>
      <c r="G7" s="8">
        <f t="shared" si="1"/>
        <v>37770.359800000006</v>
      </c>
      <c r="H7" s="172"/>
      <c r="I7" s="365"/>
      <c r="J7" s="8">
        <f t="shared" si="2"/>
        <v>0</v>
      </c>
      <c r="K7" s="8">
        <f t="shared" si="3"/>
        <v>37770.359800000006</v>
      </c>
      <c r="L7" s="173">
        <v>0</v>
      </c>
      <c r="M7" s="173">
        <f t="shared" si="0"/>
        <v>279221.21940000018</v>
      </c>
      <c r="N7" s="43"/>
    </row>
    <row r="8" spans="1:17">
      <c r="A8" s="26">
        <v>5</v>
      </c>
      <c r="B8" s="27">
        <v>45966</v>
      </c>
      <c r="C8" s="73"/>
      <c r="D8" s="167"/>
      <c r="E8" s="172">
        <v>58</v>
      </c>
      <c r="F8" s="172">
        <v>91.93</v>
      </c>
      <c r="G8" s="8">
        <f t="shared" si="1"/>
        <v>5331.9400000000005</v>
      </c>
      <c r="H8" s="172">
        <v>10</v>
      </c>
      <c r="I8" s="365">
        <v>103.89</v>
      </c>
      <c r="J8" s="8">
        <f t="shared" si="2"/>
        <v>1038.9000000000001</v>
      </c>
      <c r="K8" s="8">
        <f t="shared" si="3"/>
        <v>6370.84</v>
      </c>
      <c r="L8" s="173">
        <v>0</v>
      </c>
      <c r="M8" s="173">
        <f t="shared" si="0"/>
        <v>285592.0594000002</v>
      </c>
      <c r="N8" s="43"/>
    </row>
    <row r="9" spans="1:17">
      <c r="A9" s="26">
        <v>6</v>
      </c>
      <c r="B9" s="27">
        <v>45967</v>
      </c>
      <c r="C9" s="73"/>
      <c r="D9" s="167"/>
      <c r="E9" s="172">
        <v>250</v>
      </c>
      <c r="F9" s="172">
        <v>91.93</v>
      </c>
      <c r="G9" s="8">
        <f t="shared" si="1"/>
        <v>22982.5</v>
      </c>
      <c r="H9" s="172">
        <v>45</v>
      </c>
      <c r="I9" s="390">
        <v>111.13</v>
      </c>
      <c r="J9" s="8">
        <f t="shared" si="2"/>
        <v>5000.8499999999995</v>
      </c>
      <c r="K9" s="8">
        <f t="shared" si="3"/>
        <v>27983.35</v>
      </c>
      <c r="L9" s="173"/>
      <c r="M9" s="173">
        <f t="shared" si="0"/>
        <v>313575.40940000018</v>
      </c>
      <c r="N9" s="43"/>
    </row>
    <row r="10" spans="1:17">
      <c r="A10" s="26">
        <v>7</v>
      </c>
      <c r="B10" s="27">
        <v>45968</v>
      </c>
      <c r="C10" s="73"/>
      <c r="D10" s="167"/>
      <c r="E10" s="172">
        <v>270</v>
      </c>
      <c r="F10" s="172">
        <v>91.93</v>
      </c>
      <c r="G10" s="8">
        <f t="shared" si="1"/>
        <v>24821.100000000002</v>
      </c>
      <c r="H10" s="172"/>
      <c r="I10" s="365"/>
      <c r="J10" s="8">
        <f t="shared" si="2"/>
        <v>0</v>
      </c>
      <c r="K10" s="8">
        <f t="shared" si="3"/>
        <v>24821.100000000002</v>
      </c>
      <c r="L10" s="173"/>
      <c r="M10" s="173">
        <f t="shared" si="0"/>
        <v>338396.50940000016</v>
      </c>
      <c r="N10" s="43"/>
    </row>
    <row r="11" spans="1:17">
      <c r="A11" s="26">
        <v>8</v>
      </c>
      <c r="B11" s="27">
        <v>45969</v>
      </c>
      <c r="C11" s="73"/>
      <c r="D11" s="167"/>
      <c r="E11" s="172">
        <v>280</v>
      </c>
      <c r="F11" s="172">
        <v>91.93</v>
      </c>
      <c r="G11" s="8">
        <f t="shared" si="1"/>
        <v>25740.400000000001</v>
      </c>
      <c r="H11" s="172"/>
      <c r="I11" s="172"/>
      <c r="J11" s="8">
        <f t="shared" si="2"/>
        <v>0</v>
      </c>
      <c r="K11" s="8">
        <f t="shared" si="3"/>
        <v>25740.400000000001</v>
      </c>
      <c r="L11" s="173"/>
      <c r="M11" s="173">
        <f t="shared" si="0"/>
        <v>364136.90940000018</v>
      </c>
      <c r="N11" s="43" t="s">
        <v>114</v>
      </c>
      <c r="P11" s="255"/>
      <c r="Q11" s="256"/>
    </row>
    <row r="12" spans="1:17">
      <c r="A12" s="26">
        <v>9</v>
      </c>
      <c r="B12" s="27">
        <v>45970</v>
      </c>
      <c r="C12" s="73"/>
      <c r="D12" s="167"/>
      <c r="E12" s="172"/>
      <c r="F12" s="172"/>
      <c r="G12" s="8">
        <f t="shared" si="1"/>
        <v>0</v>
      </c>
      <c r="H12" s="172"/>
      <c r="I12" s="172"/>
      <c r="J12" s="8">
        <f t="shared" si="2"/>
        <v>0</v>
      </c>
      <c r="K12" s="8">
        <f t="shared" si="3"/>
        <v>0</v>
      </c>
      <c r="L12" s="173"/>
      <c r="M12" s="173">
        <f t="shared" si="0"/>
        <v>364136.90940000018</v>
      </c>
      <c r="N12" s="43"/>
    </row>
    <row r="13" spans="1:17">
      <c r="A13" s="26">
        <v>10</v>
      </c>
      <c r="B13" s="27">
        <v>45971</v>
      </c>
      <c r="C13" s="73"/>
      <c r="D13" s="167"/>
      <c r="E13" s="172">
        <v>50</v>
      </c>
      <c r="F13" s="172">
        <v>91.93</v>
      </c>
      <c r="G13" s="8">
        <f t="shared" si="1"/>
        <v>4596.5</v>
      </c>
      <c r="H13" s="172"/>
      <c r="I13" s="172"/>
      <c r="J13" s="8">
        <f t="shared" si="2"/>
        <v>0</v>
      </c>
      <c r="K13" s="8">
        <f t="shared" si="3"/>
        <v>4596.5</v>
      </c>
      <c r="L13" s="173"/>
      <c r="M13" s="173">
        <f t="shared" si="0"/>
        <v>368733.40940000018</v>
      </c>
      <c r="N13" s="43"/>
    </row>
    <row r="14" spans="1:17">
      <c r="A14" s="26">
        <v>11</v>
      </c>
      <c r="B14" s="27">
        <v>45972</v>
      </c>
      <c r="C14" s="73"/>
      <c r="D14" s="167"/>
      <c r="E14" s="172">
        <v>270</v>
      </c>
      <c r="F14" s="172">
        <v>91.93</v>
      </c>
      <c r="G14" s="8">
        <f t="shared" si="1"/>
        <v>24821.100000000002</v>
      </c>
      <c r="H14" s="172">
        <v>35</v>
      </c>
      <c r="I14" s="172">
        <v>103.89</v>
      </c>
      <c r="J14" s="8">
        <f t="shared" si="2"/>
        <v>3636.15</v>
      </c>
      <c r="K14" s="8">
        <f t="shared" si="3"/>
        <v>28457.250000000004</v>
      </c>
      <c r="L14" s="173"/>
      <c r="M14" s="173">
        <f t="shared" si="0"/>
        <v>397190.65940000018</v>
      </c>
      <c r="N14" s="43"/>
    </row>
    <row r="15" spans="1:17">
      <c r="A15" s="26">
        <v>12</v>
      </c>
      <c r="B15" s="27">
        <v>45973</v>
      </c>
      <c r="C15" s="73"/>
      <c r="D15" s="167"/>
      <c r="E15" s="172">
        <v>100</v>
      </c>
      <c r="F15" s="172">
        <v>91.93</v>
      </c>
      <c r="G15" s="8">
        <f t="shared" si="1"/>
        <v>9193</v>
      </c>
      <c r="H15" s="172"/>
      <c r="I15" s="172"/>
      <c r="J15" s="8">
        <f t="shared" si="2"/>
        <v>0</v>
      </c>
      <c r="K15" s="8">
        <f t="shared" si="3"/>
        <v>9193</v>
      </c>
      <c r="L15" s="173"/>
      <c r="M15" s="173">
        <f t="shared" si="0"/>
        <v>406383.65940000018</v>
      </c>
      <c r="N15" s="43"/>
    </row>
    <row r="16" spans="1:17">
      <c r="A16" s="26">
        <v>13</v>
      </c>
      <c r="B16" s="27">
        <v>45974</v>
      </c>
      <c r="C16" s="73"/>
      <c r="D16" s="167"/>
      <c r="E16" s="172"/>
      <c r="F16" s="365"/>
      <c r="G16" s="8">
        <f t="shared" si="1"/>
        <v>0</v>
      </c>
      <c r="H16" s="369"/>
      <c r="I16" s="172"/>
      <c r="J16" s="8">
        <f t="shared" si="2"/>
        <v>0</v>
      </c>
      <c r="K16" s="8">
        <f t="shared" si="3"/>
        <v>0</v>
      </c>
      <c r="L16" s="173"/>
      <c r="M16" s="173">
        <f t="shared" si="0"/>
        <v>406383.65940000018</v>
      </c>
      <c r="N16" s="43"/>
    </row>
    <row r="17" spans="1:14">
      <c r="A17" s="26">
        <v>14</v>
      </c>
      <c r="B17" s="27">
        <v>45975</v>
      </c>
      <c r="C17" s="73"/>
      <c r="D17" s="167"/>
      <c r="E17" s="172">
        <v>215</v>
      </c>
      <c r="F17" s="365">
        <v>91.93</v>
      </c>
      <c r="G17" s="8">
        <f t="shared" si="1"/>
        <v>19764.95</v>
      </c>
      <c r="H17" s="172"/>
      <c r="I17" s="172"/>
      <c r="J17" s="8">
        <f t="shared" si="2"/>
        <v>0</v>
      </c>
      <c r="K17" s="8">
        <f t="shared" si="3"/>
        <v>19764.95</v>
      </c>
      <c r="L17" s="173"/>
      <c r="M17" s="173">
        <f t="shared" si="0"/>
        <v>426148.60940000019</v>
      </c>
      <c r="N17" s="43"/>
    </row>
    <row r="18" spans="1:14">
      <c r="A18" s="26">
        <v>15</v>
      </c>
      <c r="B18" s="27">
        <v>45976</v>
      </c>
      <c r="C18" s="73"/>
      <c r="D18" s="167"/>
      <c r="E18" s="172">
        <v>260</v>
      </c>
      <c r="F18" s="365">
        <v>91.93</v>
      </c>
      <c r="G18" s="8">
        <f t="shared" si="1"/>
        <v>23901.800000000003</v>
      </c>
      <c r="H18" s="172">
        <v>55</v>
      </c>
      <c r="I18" s="172">
        <v>103.89</v>
      </c>
      <c r="J18" s="8">
        <f t="shared" si="2"/>
        <v>5713.95</v>
      </c>
      <c r="K18" s="8">
        <f t="shared" si="3"/>
        <v>29615.750000000004</v>
      </c>
      <c r="L18" s="173">
        <v>235210</v>
      </c>
      <c r="M18" s="173">
        <f t="shared" si="0"/>
        <v>220554.35940000019</v>
      </c>
      <c r="N18" s="43"/>
    </row>
    <row r="19" spans="1:14">
      <c r="A19" s="26">
        <v>16</v>
      </c>
      <c r="B19" s="27">
        <v>45977</v>
      </c>
      <c r="C19" s="73"/>
      <c r="D19" s="167"/>
      <c r="E19" s="172"/>
      <c r="F19" s="365"/>
      <c r="G19" s="8">
        <f t="shared" si="1"/>
        <v>0</v>
      </c>
      <c r="H19" s="172"/>
      <c r="I19" s="172"/>
      <c r="J19" s="8">
        <f t="shared" si="2"/>
        <v>0</v>
      </c>
      <c r="K19" s="8">
        <f t="shared" si="3"/>
        <v>0</v>
      </c>
      <c r="L19" s="173"/>
      <c r="M19" s="173">
        <f t="shared" si="0"/>
        <v>220554.35940000019</v>
      </c>
      <c r="N19" s="43"/>
    </row>
    <row r="20" spans="1:14">
      <c r="A20" s="26">
        <v>17</v>
      </c>
      <c r="B20" s="27">
        <v>45978</v>
      </c>
      <c r="C20" s="73"/>
      <c r="D20" s="167"/>
      <c r="E20" s="172">
        <v>20</v>
      </c>
      <c r="F20" s="365">
        <v>91.93</v>
      </c>
      <c r="G20" s="8">
        <f t="shared" si="1"/>
        <v>1838.6000000000001</v>
      </c>
      <c r="H20" s="172"/>
      <c r="I20" s="172"/>
      <c r="J20" s="8">
        <f t="shared" si="2"/>
        <v>0</v>
      </c>
      <c r="K20" s="8">
        <f t="shared" si="3"/>
        <v>1838.6000000000001</v>
      </c>
      <c r="L20" s="173"/>
      <c r="M20" s="173">
        <f t="shared" si="0"/>
        <v>222392.9594000002</v>
      </c>
      <c r="N20" s="43"/>
    </row>
    <row r="21" spans="1:14">
      <c r="A21" s="26">
        <v>18</v>
      </c>
      <c r="B21" s="27">
        <v>45979</v>
      </c>
      <c r="C21" s="73"/>
      <c r="D21" s="167"/>
      <c r="E21" s="172">
        <v>30</v>
      </c>
      <c r="F21" s="365">
        <v>91.93</v>
      </c>
      <c r="G21" s="8">
        <f t="shared" si="1"/>
        <v>2757.9</v>
      </c>
      <c r="H21" s="172"/>
      <c r="I21" s="365"/>
      <c r="J21" s="8">
        <f t="shared" si="2"/>
        <v>0</v>
      </c>
      <c r="K21" s="8">
        <f t="shared" si="3"/>
        <v>2757.9</v>
      </c>
      <c r="L21" s="173"/>
      <c r="M21" s="173">
        <f t="shared" ref="M21:M34" si="4">M20+K21-L21</f>
        <v>225150.85940000019</v>
      </c>
      <c r="N21" s="43"/>
    </row>
    <row r="22" spans="1:14">
      <c r="A22" s="26">
        <v>19</v>
      </c>
      <c r="B22" s="27">
        <v>45980</v>
      </c>
      <c r="C22" s="73"/>
      <c r="D22" s="167"/>
      <c r="E22" s="172">
        <v>290</v>
      </c>
      <c r="F22" s="365">
        <v>91.93</v>
      </c>
      <c r="G22" s="8">
        <f t="shared" si="1"/>
        <v>26659.7</v>
      </c>
      <c r="H22" s="172">
        <v>35</v>
      </c>
      <c r="I22" s="172">
        <v>103.89</v>
      </c>
      <c r="J22" s="8">
        <f t="shared" si="2"/>
        <v>3636.15</v>
      </c>
      <c r="K22" s="8">
        <f t="shared" si="3"/>
        <v>30295.850000000002</v>
      </c>
      <c r="L22" s="173"/>
      <c r="M22" s="173">
        <f t="shared" si="4"/>
        <v>255446.7094000002</v>
      </c>
      <c r="N22" s="43"/>
    </row>
    <row r="23" spans="1:14">
      <c r="A23" s="26">
        <v>20</v>
      </c>
      <c r="B23" s="27">
        <v>45981</v>
      </c>
      <c r="C23" s="73"/>
      <c r="D23" s="167"/>
      <c r="E23" s="172">
        <v>270.12</v>
      </c>
      <c r="F23" s="365">
        <v>91.93</v>
      </c>
      <c r="G23" s="8">
        <f t="shared" si="1"/>
        <v>24832.131600000001</v>
      </c>
      <c r="H23" s="172"/>
      <c r="I23" s="172"/>
      <c r="J23" s="8">
        <f t="shared" si="2"/>
        <v>0</v>
      </c>
      <c r="K23" s="8">
        <f t="shared" si="3"/>
        <v>24832.131600000001</v>
      </c>
      <c r="L23" s="173"/>
      <c r="M23" s="173">
        <f t="shared" si="4"/>
        <v>280278.84100000019</v>
      </c>
      <c r="N23" s="43"/>
    </row>
    <row r="24" spans="1:14">
      <c r="A24" s="26">
        <v>21</v>
      </c>
      <c r="B24" s="27">
        <v>45982</v>
      </c>
      <c r="C24" s="73"/>
      <c r="D24" s="167"/>
      <c r="E24" s="172"/>
      <c r="F24" s="172"/>
      <c r="G24" s="8">
        <f t="shared" si="1"/>
        <v>0</v>
      </c>
      <c r="H24" s="172"/>
      <c r="I24" s="172"/>
      <c r="J24" s="8">
        <f t="shared" si="2"/>
        <v>0</v>
      </c>
      <c r="K24" s="8">
        <f t="shared" si="3"/>
        <v>0</v>
      </c>
      <c r="L24" s="173">
        <v>0</v>
      </c>
      <c r="M24" s="173">
        <f t="shared" si="4"/>
        <v>280278.84100000019</v>
      </c>
      <c r="N24" s="43"/>
    </row>
    <row r="25" spans="1:14">
      <c r="A25" s="26">
        <v>22</v>
      </c>
      <c r="B25" s="27">
        <v>45983</v>
      </c>
      <c r="C25" s="73"/>
      <c r="D25" s="167"/>
      <c r="E25" s="172"/>
      <c r="F25" s="172"/>
      <c r="G25" s="8">
        <f t="shared" si="1"/>
        <v>0</v>
      </c>
      <c r="H25" s="172"/>
      <c r="I25" s="172"/>
      <c r="J25" s="8">
        <f t="shared" si="2"/>
        <v>0</v>
      </c>
      <c r="K25" s="8">
        <f t="shared" si="3"/>
        <v>0</v>
      </c>
      <c r="L25" s="173">
        <v>0</v>
      </c>
      <c r="M25" s="173">
        <f t="shared" si="4"/>
        <v>280278.84100000019</v>
      </c>
      <c r="N25" s="43"/>
    </row>
    <row r="26" spans="1:14">
      <c r="A26" s="26">
        <v>23</v>
      </c>
      <c r="B26" s="27">
        <v>45984</v>
      </c>
      <c r="C26" s="73"/>
      <c r="D26" s="167"/>
      <c r="E26" s="172"/>
      <c r="F26" s="172"/>
      <c r="G26" s="8">
        <f t="shared" si="1"/>
        <v>0</v>
      </c>
      <c r="H26" s="172"/>
      <c r="I26" s="172"/>
      <c r="J26" s="8">
        <f t="shared" si="2"/>
        <v>0</v>
      </c>
      <c r="K26" s="8">
        <f t="shared" si="3"/>
        <v>0</v>
      </c>
      <c r="L26" s="173">
        <v>0</v>
      </c>
      <c r="M26" s="173">
        <f t="shared" si="4"/>
        <v>280278.84100000019</v>
      </c>
      <c r="N26" s="43"/>
    </row>
    <row r="27" spans="1:14">
      <c r="A27" s="26">
        <v>24</v>
      </c>
      <c r="B27" s="27">
        <v>45985</v>
      </c>
      <c r="C27" s="73"/>
      <c r="D27" s="167"/>
      <c r="E27" s="172">
        <v>35</v>
      </c>
      <c r="F27" s="172">
        <v>91.93</v>
      </c>
      <c r="G27" s="8">
        <f t="shared" si="1"/>
        <v>3217.55</v>
      </c>
      <c r="H27" s="172">
        <v>10</v>
      </c>
      <c r="I27" s="172">
        <v>103.89</v>
      </c>
      <c r="J27" s="8">
        <f t="shared" si="2"/>
        <v>1038.9000000000001</v>
      </c>
      <c r="K27" s="8">
        <f t="shared" si="3"/>
        <v>4256.4500000000007</v>
      </c>
      <c r="L27" s="173">
        <v>0</v>
      </c>
      <c r="M27" s="173">
        <f t="shared" si="4"/>
        <v>284535.2910000002</v>
      </c>
      <c r="N27" s="43"/>
    </row>
    <row r="28" spans="1:14">
      <c r="A28" s="26">
        <v>25</v>
      </c>
      <c r="B28" s="27">
        <v>45986</v>
      </c>
      <c r="C28" s="73"/>
      <c r="D28" s="167"/>
      <c r="E28" s="172">
        <v>415</v>
      </c>
      <c r="F28" s="172">
        <v>91.93</v>
      </c>
      <c r="G28" s="8">
        <f t="shared" si="1"/>
        <v>38150.950000000004</v>
      </c>
      <c r="H28" s="172">
        <v>35</v>
      </c>
      <c r="I28" s="172">
        <v>103.89</v>
      </c>
      <c r="J28" s="8">
        <f t="shared" si="2"/>
        <v>3636.15</v>
      </c>
      <c r="K28" s="8">
        <f t="shared" si="3"/>
        <v>41787.100000000006</v>
      </c>
      <c r="L28" s="173">
        <v>0</v>
      </c>
      <c r="M28" s="173">
        <f t="shared" si="4"/>
        <v>326322.39100000018</v>
      </c>
      <c r="N28" s="43"/>
    </row>
    <row r="29" spans="1:14">
      <c r="A29" s="26">
        <v>26</v>
      </c>
      <c r="B29" s="27">
        <v>45987</v>
      </c>
      <c r="C29" s="207"/>
      <c r="D29" s="167"/>
      <c r="E29" s="172">
        <v>50</v>
      </c>
      <c r="F29" s="172">
        <v>91.93</v>
      </c>
      <c r="G29" s="8">
        <f t="shared" si="1"/>
        <v>4596.5</v>
      </c>
      <c r="H29" s="172"/>
      <c r="I29" s="172"/>
      <c r="J29" s="8">
        <f t="shared" si="2"/>
        <v>0</v>
      </c>
      <c r="K29" s="8">
        <f t="shared" si="3"/>
        <v>4596.5</v>
      </c>
      <c r="L29" s="173">
        <v>0</v>
      </c>
      <c r="M29" s="173">
        <f t="shared" si="4"/>
        <v>330918.89100000018</v>
      </c>
      <c r="N29" s="43"/>
    </row>
    <row r="30" spans="1:14">
      <c r="A30" s="26">
        <v>27</v>
      </c>
      <c r="B30" s="27">
        <v>45988</v>
      </c>
      <c r="C30" s="73"/>
      <c r="D30" s="167"/>
      <c r="E30" s="172">
        <v>0</v>
      </c>
      <c r="F30" s="172">
        <v>91.93</v>
      </c>
      <c r="G30" s="8">
        <f t="shared" si="1"/>
        <v>0</v>
      </c>
      <c r="H30" s="172">
        <v>0</v>
      </c>
      <c r="I30" s="172">
        <v>0</v>
      </c>
      <c r="J30" s="8">
        <f t="shared" si="2"/>
        <v>0</v>
      </c>
      <c r="K30" s="8">
        <f t="shared" si="3"/>
        <v>0</v>
      </c>
      <c r="L30" s="173">
        <v>0</v>
      </c>
      <c r="M30" s="173">
        <f t="shared" si="4"/>
        <v>330918.89100000018</v>
      </c>
      <c r="N30" s="43"/>
    </row>
    <row r="31" spans="1:14">
      <c r="A31" s="26">
        <v>28</v>
      </c>
      <c r="B31" s="27">
        <v>45989</v>
      </c>
      <c r="C31" s="73"/>
      <c r="D31" s="167"/>
      <c r="E31" s="172">
        <v>200</v>
      </c>
      <c r="F31" s="172">
        <v>91.93</v>
      </c>
      <c r="G31" s="8">
        <f t="shared" si="1"/>
        <v>18386</v>
      </c>
      <c r="H31" s="172">
        <v>30</v>
      </c>
      <c r="I31" s="172">
        <v>103.89</v>
      </c>
      <c r="J31" s="8">
        <f t="shared" si="2"/>
        <v>3116.7</v>
      </c>
      <c r="K31" s="8">
        <f t="shared" si="3"/>
        <v>21502.7</v>
      </c>
      <c r="L31" s="173">
        <v>0</v>
      </c>
      <c r="M31" s="173">
        <f t="shared" si="4"/>
        <v>352421.59100000019</v>
      </c>
      <c r="N31" s="43"/>
    </row>
    <row r="32" spans="1:14">
      <c r="A32" s="26">
        <v>29</v>
      </c>
      <c r="B32" s="27">
        <v>45990</v>
      </c>
      <c r="C32" s="73"/>
      <c r="D32" s="167"/>
      <c r="E32" s="172">
        <v>455</v>
      </c>
      <c r="F32" s="172">
        <v>91.93</v>
      </c>
      <c r="G32" s="8">
        <f t="shared" si="1"/>
        <v>41828.15</v>
      </c>
      <c r="H32" s="172"/>
      <c r="I32" s="172"/>
      <c r="J32" s="8">
        <f t="shared" si="2"/>
        <v>0</v>
      </c>
      <c r="K32" s="8">
        <f t="shared" si="3"/>
        <v>41828.15</v>
      </c>
      <c r="L32" s="173">
        <v>0</v>
      </c>
      <c r="M32" s="173">
        <f t="shared" si="4"/>
        <v>394249.74100000021</v>
      </c>
      <c r="N32" s="43"/>
    </row>
    <row r="33" spans="1:15">
      <c r="A33" s="26">
        <v>30</v>
      </c>
      <c r="B33" s="27">
        <v>45991</v>
      </c>
      <c r="C33" s="73"/>
      <c r="D33" s="167"/>
      <c r="E33" s="172"/>
      <c r="F33" s="172"/>
      <c r="G33" s="8">
        <f t="shared" si="1"/>
        <v>0</v>
      </c>
      <c r="H33" s="172"/>
      <c r="I33" s="172"/>
      <c r="J33" s="8">
        <f t="shared" si="2"/>
        <v>0</v>
      </c>
      <c r="K33" s="8">
        <f t="shared" si="3"/>
        <v>0</v>
      </c>
      <c r="L33" s="173">
        <v>0</v>
      </c>
      <c r="M33" s="173">
        <f t="shared" si="4"/>
        <v>394249.74100000021</v>
      </c>
      <c r="N33" s="43"/>
    </row>
    <row r="34" spans="1:15">
      <c r="A34" s="26">
        <v>31</v>
      </c>
      <c r="B34" s="27"/>
      <c r="C34" s="73"/>
      <c r="D34" s="167"/>
      <c r="E34" s="172"/>
      <c r="F34" s="172">
        <v>0</v>
      </c>
      <c r="G34" s="8">
        <f t="shared" si="1"/>
        <v>0</v>
      </c>
      <c r="H34" s="172"/>
      <c r="I34" s="172"/>
      <c r="J34" s="8">
        <f t="shared" si="2"/>
        <v>0</v>
      </c>
      <c r="K34" s="8">
        <f t="shared" si="3"/>
        <v>0</v>
      </c>
      <c r="L34" s="173">
        <v>0</v>
      </c>
      <c r="M34" s="173">
        <f t="shared" si="4"/>
        <v>394249.74100000021</v>
      </c>
      <c r="N34" s="43"/>
    </row>
    <row r="35" spans="1:15">
      <c r="A35" s="168"/>
      <c r="B35" s="168"/>
      <c r="C35" s="168"/>
      <c r="D35" s="168"/>
      <c r="E35" s="169">
        <f>SUM(E4:E34)</f>
        <v>3998.98</v>
      </c>
      <c r="F35" s="169"/>
      <c r="G35" s="169">
        <f>SUM(G4:G34)</f>
        <v>367626.23140000011</v>
      </c>
      <c r="H35" s="169">
        <f>SUM(H4:H34)</f>
        <v>255</v>
      </c>
      <c r="I35" s="69"/>
      <c r="J35" s="169">
        <f>SUM(J4:J34)</f>
        <v>26817.750000000004</v>
      </c>
      <c r="K35" s="169">
        <f>SUM(K4:K34)</f>
        <v>394443.98140000011</v>
      </c>
      <c r="L35" s="169">
        <f>SUM(L4:L34)</f>
        <v>235210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</row>
    <row r="42" spans="1:15">
      <c r="B42" s="65"/>
      <c r="G42" s="82"/>
      <c r="J42" s="65"/>
      <c r="K42" s="65"/>
      <c r="L42" s="65"/>
      <c r="M42" s="65"/>
      <c r="O42" s="80"/>
    </row>
    <row r="43" spans="1:15">
      <c r="B43" s="458"/>
      <c r="C43" s="458"/>
      <c r="D43" s="458"/>
      <c r="E43" s="458"/>
      <c r="I43" s="458"/>
      <c r="J43" s="458"/>
      <c r="K43" s="458"/>
      <c r="L43" s="458"/>
      <c r="M43" s="458"/>
      <c r="N43" s="458"/>
      <c r="O43" s="80"/>
    </row>
    <row r="44" spans="1:15">
      <c r="B44" s="65"/>
      <c r="J44" s="65"/>
      <c r="K44" s="65"/>
      <c r="L44" s="65"/>
      <c r="M44" s="65"/>
      <c r="O44" s="80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20" activePane="bottomLeft" state="frozen"/>
      <selection pane="bottomLeft" activeCell="M33" sqref="M33"/>
    </sheetView>
  </sheetViews>
  <sheetFormatPr defaultRowHeight="15"/>
  <cols>
    <col min="1" max="1" width="5.140625" style="83" bestFit="1" customWidth="1"/>
    <col min="2" max="2" width="10.85546875" style="83" bestFit="1" customWidth="1"/>
    <col min="3" max="3" width="16" style="83" bestFit="1" customWidth="1"/>
    <col min="4" max="4" width="13.28515625" style="83" bestFit="1" customWidth="1"/>
    <col min="5" max="6" width="10.7109375" style="83" bestFit="1" customWidth="1"/>
    <col min="7" max="7" width="11.5703125" style="83" bestFit="1" customWidth="1"/>
    <col min="8" max="8" width="10.7109375" style="83" bestFit="1" customWidth="1"/>
    <col min="9" max="9" width="7.140625" style="83" bestFit="1" customWidth="1"/>
    <col min="10" max="10" width="9.7109375" style="83" bestFit="1" customWidth="1"/>
    <col min="11" max="11" width="13.5703125" style="83" bestFit="1" customWidth="1"/>
    <col min="12" max="12" width="13.5703125" style="268" bestFit="1" customWidth="1"/>
    <col min="13" max="13" width="15" style="83" customWidth="1"/>
    <col min="14" max="14" width="14.28515625" style="83" bestFit="1" customWidth="1"/>
    <col min="15" max="16384" width="9.140625" style="83"/>
  </cols>
  <sheetData>
    <row r="1" spans="1:15" ht="15.75">
      <c r="A1" s="443" t="s">
        <v>53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59"/>
    </row>
    <row r="2" spans="1:15" ht="30">
      <c r="A2" s="104" t="s">
        <v>95</v>
      </c>
      <c r="B2" s="105" t="s">
        <v>96</v>
      </c>
      <c r="C2" s="105" t="s">
        <v>97</v>
      </c>
      <c r="D2" s="105" t="s">
        <v>111</v>
      </c>
      <c r="E2" s="105" t="s">
        <v>99</v>
      </c>
      <c r="F2" s="105" t="s">
        <v>100</v>
      </c>
      <c r="G2" s="105" t="s">
        <v>101</v>
      </c>
      <c r="H2" s="105" t="s">
        <v>102</v>
      </c>
      <c r="I2" s="105" t="s">
        <v>100</v>
      </c>
      <c r="J2" s="145" t="s">
        <v>101</v>
      </c>
      <c r="K2" s="106" t="s">
        <v>103</v>
      </c>
      <c r="L2" s="242" t="s">
        <v>104</v>
      </c>
      <c r="M2" s="150" t="s">
        <v>110</v>
      </c>
      <c r="N2" s="107" t="s">
        <v>106</v>
      </c>
      <c r="O2" s="65"/>
    </row>
    <row r="3" spans="1:15">
      <c r="A3" s="469" t="s">
        <v>107</v>
      </c>
      <c r="B3" s="470"/>
      <c r="C3" s="470"/>
      <c r="D3" s="470"/>
      <c r="E3" s="470"/>
      <c r="F3" s="470"/>
      <c r="G3" s="470"/>
      <c r="H3" s="470"/>
      <c r="I3" s="470"/>
      <c r="J3" s="471"/>
      <c r="K3" s="221">
        <v>61661.701499999974</v>
      </c>
      <c r="L3" s="221"/>
      <c r="M3" s="221">
        <v>61661.701499999974</v>
      </c>
      <c r="N3" s="164"/>
      <c r="O3" s="8"/>
    </row>
    <row r="4" spans="1:15">
      <c r="A4" s="26">
        <v>1</v>
      </c>
      <c r="B4" s="27">
        <v>45962</v>
      </c>
      <c r="C4" s="25"/>
      <c r="D4" s="18"/>
      <c r="E4" s="51"/>
      <c r="F4" s="51"/>
      <c r="G4" s="8">
        <f>E4*F4</f>
        <v>0</v>
      </c>
      <c r="H4" s="51">
        <v>0</v>
      </c>
      <c r="I4" s="51">
        <v>0</v>
      </c>
      <c r="J4" s="8">
        <f>H4*I4</f>
        <v>0</v>
      </c>
      <c r="K4" s="8">
        <f>G4+J4</f>
        <v>0</v>
      </c>
      <c r="L4" s="266">
        <v>0</v>
      </c>
      <c r="M4" s="8">
        <f>M3+K4-L4</f>
        <v>61661.701499999974</v>
      </c>
      <c r="N4" s="8"/>
      <c r="O4" s="65"/>
    </row>
    <row r="5" spans="1:15">
      <c r="A5" s="26">
        <v>2</v>
      </c>
      <c r="B5" s="27">
        <v>45963</v>
      </c>
      <c r="C5" s="25"/>
      <c r="D5" s="18"/>
      <c r="E5" s="51">
        <v>50</v>
      </c>
      <c r="F5" s="51">
        <v>91.77</v>
      </c>
      <c r="G5" s="8">
        <f t="shared" ref="G5:G34" si="0">E5*F5</f>
        <v>4588.5</v>
      </c>
      <c r="H5" s="51"/>
      <c r="I5" s="51"/>
      <c r="J5" s="8">
        <f t="shared" ref="J5:J34" si="1">H5*I5</f>
        <v>0</v>
      </c>
      <c r="K5" s="8">
        <f t="shared" ref="K5:K34" si="2">G5+J5</f>
        <v>4588.5</v>
      </c>
      <c r="L5" s="266">
        <v>0</v>
      </c>
      <c r="M5" s="8">
        <f t="shared" ref="M5:M15" si="3">M4+K5-L5</f>
        <v>66250.201499999966</v>
      </c>
      <c r="N5" s="8"/>
      <c r="O5" s="65"/>
    </row>
    <row r="6" spans="1:15">
      <c r="A6" s="26">
        <v>3</v>
      </c>
      <c r="B6" s="27">
        <v>45964</v>
      </c>
      <c r="C6" s="25"/>
      <c r="D6" s="18"/>
      <c r="E6" s="51"/>
      <c r="F6" s="51"/>
      <c r="G6" s="8">
        <f t="shared" ref="G6:G33" si="4">E6*F6</f>
        <v>0</v>
      </c>
      <c r="H6" s="51"/>
      <c r="I6" s="51"/>
      <c r="J6" s="8">
        <f t="shared" ref="J6:J33" si="5">H6*I6</f>
        <v>0</v>
      </c>
      <c r="K6" s="8">
        <f t="shared" ref="K6:K33" si="6">G6+J6</f>
        <v>0</v>
      </c>
      <c r="L6" s="266">
        <v>0</v>
      </c>
      <c r="M6" s="8">
        <f t="shared" si="3"/>
        <v>66250.201499999966</v>
      </c>
      <c r="N6" s="8"/>
      <c r="O6" s="65"/>
    </row>
    <row r="7" spans="1:15">
      <c r="A7" s="26">
        <v>4</v>
      </c>
      <c r="B7" s="27">
        <v>45965</v>
      </c>
      <c r="C7" s="25"/>
      <c r="D7" s="18"/>
      <c r="E7" s="51"/>
      <c r="F7" s="51"/>
      <c r="G7" s="8">
        <f t="shared" si="4"/>
        <v>0</v>
      </c>
      <c r="H7" s="51">
        <v>5</v>
      </c>
      <c r="I7" s="51">
        <v>103.7</v>
      </c>
      <c r="J7" s="8">
        <f t="shared" si="5"/>
        <v>518.5</v>
      </c>
      <c r="K7" s="8">
        <f t="shared" si="6"/>
        <v>518.5</v>
      </c>
      <c r="L7" s="266">
        <v>0</v>
      </c>
      <c r="M7" s="8">
        <f t="shared" si="3"/>
        <v>66768.701499999966</v>
      </c>
      <c r="N7" s="8"/>
      <c r="O7" s="65"/>
    </row>
    <row r="8" spans="1:15">
      <c r="A8" s="26">
        <v>5</v>
      </c>
      <c r="B8" s="27">
        <v>45966</v>
      </c>
      <c r="C8" s="25"/>
      <c r="D8" s="18"/>
      <c r="E8" s="51"/>
      <c r="F8" s="51"/>
      <c r="G8" s="8">
        <f t="shared" si="4"/>
        <v>0</v>
      </c>
      <c r="H8" s="51"/>
      <c r="I8" s="51"/>
      <c r="J8" s="8">
        <f t="shared" si="5"/>
        <v>0</v>
      </c>
      <c r="K8" s="8">
        <f t="shared" si="6"/>
        <v>0</v>
      </c>
      <c r="L8" s="266">
        <v>0</v>
      </c>
      <c r="M8" s="8">
        <f t="shared" si="3"/>
        <v>66768.701499999966</v>
      </c>
      <c r="N8" s="8"/>
      <c r="O8" s="65"/>
    </row>
    <row r="9" spans="1:15">
      <c r="A9" s="26">
        <v>6</v>
      </c>
      <c r="B9" s="27">
        <v>45967</v>
      </c>
      <c r="C9" s="25"/>
      <c r="D9" s="18"/>
      <c r="E9" s="51">
        <v>30</v>
      </c>
      <c r="F9" s="51">
        <v>91.77</v>
      </c>
      <c r="G9" s="8">
        <f t="shared" si="4"/>
        <v>2753.1</v>
      </c>
      <c r="H9" s="51">
        <v>5</v>
      </c>
      <c r="I9" s="51">
        <v>103.7</v>
      </c>
      <c r="J9" s="8">
        <f t="shared" si="5"/>
        <v>518.5</v>
      </c>
      <c r="K9" s="8">
        <f t="shared" si="6"/>
        <v>3271.6</v>
      </c>
      <c r="L9" s="266">
        <v>0</v>
      </c>
      <c r="M9" s="8">
        <f t="shared" si="3"/>
        <v>70040.301499999972</v>
      </c>
      <c r="N9" s="8"/>
      <c r="O9" s="65"/>
    </row>
    <row r="10" spans="1:15">
      <c r="A10" s="26">
        <v>7</v>
      </c>
      <c r="B10" s="27">
        <v>45968</v>
      </c>
      <c r="C10" s="25"/>
      <c r="D10" s="18"/>
      <c r="E10" s="51"/>
      <c r="F10" s="51"/>
      <c r="G10" s="8">
        <f t="shared" si="4"/>
        <v>0</v>
      </c>
      <c r="H10" s="51">
        <v>0</v>
      </c>
      <c r="I10" s="51">
        <v>103.7</v>
      </c>
      <c r="J10" s="8">
        <f t="shared" si="5"/>
        <v>0</v>
      </c>
      <c r="K10" s="8">
        <f t="shared" si="6"/>
        <v>0</v>
      </c>
      <c r="L10" s="266">
        <v>0</v>
      </c>
      <c r="M10" s="8">
        <f t="shared" si="3"/>
        <v>70040.301499999972</v>
      </c>
      <c r="N10" s="8"/>
      <c r="O10" s="65"/>
    </row>
    <row r="11" spans="1:15">
      <c r="A11" s="26">
        <v>8</v>
      </c>
      <c r="B11" s="27">
        <v>45969</v>
      </c>
      <c r="C11" s="25"/>
      <c r="D11" s="18"/>
      <c r="E11" s="51"/>
      <c r="F11" s="51"/>
      <c r="G11" s="8">
        <f t="shared" si="4"/>
        <v>0</v>
      </c>
      <c r="H11" s="51">
        <v>10</v>
      </c>
      <c r="I11" s="51">
        <v>103.7</v>
      </c>
      <c r="J11" s="8">
        <f t="shared" si="5"/>
        <v>1037</v>
      </c>
      <c r="K11" s="8">
        <f t="shared" si="6"/>
        <v>1037</v>
      </c>
      <c r="L11" s="266">
        <v>0</v>
      </c>
      <c r="M11" s="8">
        <f t="shared" si="3"/>
        <v>71077.301499999972</v>
      </c>
      <c r="N11" s="8"/>
      <c r="O11" s="65"/>
    </row>
    <row r="12" spans="1:15">
      <c r="A12" s="26">
        <v>9</v>
      </c>
      <c r="B12" s="27">
        <v>45970</v>
      </c>
      <c r="C12" s="25"/>
      <c r="D12" s="18"/>
      <c r="E12" s="51"/>
      <c r="F12" s="51"/>
      <c r="G12" s="8">
        <f t="shared" si="4"/>
        <v>0</v>
      </c>
      <c r="H12" s="51"/>
      <c r="I12" s="51"/>
      <c r="J12" s="8">
        <f t="shared" si="5"/>
        <v>0</v>
      </c>
      <c r="K12" s="8">
        <f t="shared" si="6"/>
        <v>0</v>
      </c>
      <c r="L12" s="266">
        <v>0</v>
      </c>
      <c r="M12" s="8">
        <f t="shared" si="3"/>
        <v>71077.301499999972</v>
      </c>
      <c r="N12" s="8"/>
      <c r="O12" s="65"/>
    </row>
    <row r="13" spans="1:15">
      <c r="A13" s="26">
        <v>10</v>
      </c>
      <c r="B13" s="27">
        <v>45971</v>
      </c>
      <c r="C13" s="25"/>
      <c r="D13" s="18"/>
      <c r="E13" s="51"/>
      <c r="F13" s="51"/>
      <c r="G13" s="8">
        <f t="shared" si="4"/>
        <v>0</v>
      </c>
      <c r="H13" s="51"/>
      <c r="I13" s="51"/>
      <c r="J13" s="8">
        <f t="shared" si="5"/>
        <v>0</v>
      </c>
      <c r="K13" s="8">
        <f t="shared" si="6"/>
        <v>0</v>
      </c>
      <c r="L13" s="266">
        <v>0</v>
      </c>
      <c r="M13" s="8">
        <f t="shared" si="3"/>
        <v>71077.301499999972</v>
      </c>
      <c r="N13" s="19"/>
      <c r="O13" s="65"/>
    </row>
    <row r="14" spans="1:15">
      <c r="A14" s="26">
        <v>11</v>
      </c>
      <c r="B14" s="27">
        <v>45972</v>
      </c>
      <c r="C14" s="25"/>
      <c r="D14" s="18"/>
      <c r="E14" s="51"/>
      <c r="F14" s="51"/>
      <c r="G14" s="8">
        <f t="shared" si="4"/>
        <v>0</v>
      </c>
      <c r="H14" s="51"/>
      <c r="I14" s="51"/>
      <c r="J14" s="8">
        <f t="shared" si="5"/>
        <v>0</v>
      </c>
      <c r="K14" s="8">
        <f t="shared" si="6"/>
        <v>0</v>
      </c>
      <c r="L14" s="266">
        <v>0</v>
      </c>
      <c r="M14" s="8">
        <f t="shared" si="3"/>
        <v>71077.301499999972</v>
      </c>
      <c r="N14" s="19"/>
      <c r="O14" s="65"/>
    </row>
    <row r="15" spans="1:15">
      <c r="A15" s="26">
        <v>12</v>
      </c>
      <c r="B15" s="27">
        <v>45973</v>
      </c>
      <c r="C15" s="25"/>
      <c r="D15" s="18"/>
      <c r="E15" s="51"/>
      <c r="F15" s="51"/>
      <c r="G15" s="8">
        <f t="shared" si="4"/>
        <v>0</v>
      </c>
      <c r="H15" s="51"/>
      <c r="I15" s="51"/>
      <c r="J15" s="8">
        <f t="shared" si="5"/>
        <v>0</v>
      </c>
      <c r="K15" s="8">
        <f t="shared" si="6"/>
        <v>0</v>
      </c>
      <c r="L15" s="266">
        <v>0</v>
      </c>
      <c r="M15" s="8">
        <f t="shared" si="3"/>
        <v>71077.301499999972</v>
      </c>
      <c r="N15" s="19"/>
      <c r="O15" s="65"/>
    </row>
    <row r="16" spans="1:15">
      <c r="A16" s="26">
        <v>13</v>
      </c>
      <c r="B16" s="27">
        <v>45974</v>
      </c>
      <c r="C16" s="25"/>
      <c r="D16" s="18"/>
      <c r="E16" s="51"/>
      <c r="F16" s="51"/>
      <c r="G16" s="8">
        <f t="shared" si="4"/>
        <v>0</v>
      </c>
      <c r="H16" s="51"/>
      <c r="I16" s="51"/>
      <c r="J16" s="8">
        <f t="shared" si="5"/>
        <v>0</v>
      </c>
      <c r="K16" s="8">
        <f t="shared" si="6"/>
        <v>0</v>
      </c>
      <c r="L16" s="266">
        <v>0</v>
      </c>
      <c r="M16" s="8">
        <f t="shared" ref="M16:M24" si="7">M15+K16-L16</f>
        <v>71077.301499999972</v>
      </c>
      <c r="N16" s="19"/>
      <c r="O16" s="65"/>
    </row>
    <row r="17" spans="1:18">
      <c r="A17" s="26">
        <v>14</v>
      </c>
      <c r="B17" s="27">
        <v>45975</v>
      </c>
      <c r="C17" s="25"/>
      <c r="D17" s="18"/>
      <c r="E17" s="51"/>
      <c r="F17" s="51"/>
      <c r="G17" s="8">
        <f t="shared" si="4"/>
        <v>0</v>
      </c>
      <c r="H17" s="51"/>
      <c r="I17" s="51"/>
      <c r="J17" s="8">
        <f t="shared" si="5"/>
        <v>0</v>
      </c>
      <c r="K17" s="8">
        <f t="shared" si="6"/>
        <v>0</v>
      </c>
      <c r="L17" s="266">
        <v>0</v>
      </c>
      <c r="M17" s="8">
        <f t="shared" si="7"/>
        <v>71077.301499999972</v>
      </c>
      <c r="N17" s="19"/>
      <c r="O17" s="65"/>
    </row>
    <row r="18" spans="1:18">
      <c r="A18" s="26">
        <v>15</v>
      </c>
      <c r="B18" s="27">
        <v>45976</v>
      </c>
      <c r="C18" s="25"/>
      <c r="D18" s="18"/>
      <c r="E18" s="51"/>
      <c r="F18" s="51"/>
      <c r="G18" s="8">
        <f t="shared" si="4"/>
        <v>0</v>
      </c>
      <c r="H18" s="51"/>
      <c r="I18" s="51"/>
      <c r="J18" s="8">
        <f t="shared" si="5"/>
        <v>0</v>
      </c>
      <c r="K18" s="8">
        <f t="shared" si="6"/>
        <v>0</v>
      </c>
      <c r="L18" s="266">
        <v>60000</v>
      </c>
      <c r="M18" s="8">
        <f t="shared" si="7"/>
        <v>11077.301499999972</v>
      </c>
      <c r="N18" s="19"/>
      <c r="O18" s="65"/>
    </row>
    <row r="19" spans="1:18">
      <c r="A19" s="26">
        <v>16</v>
      </c>
      <c r="B19" s="27">
        <v>45977</v>
      </c>
      <c r="C19" s="25"/>
      <c r="D19" s="18"/>
      <c r="E19" s="51"/>
      <c r="F19" s="51"/>
      <c r="G19" s="8">
        <f t="shared" si="4"/>
        <v>0</v>
      </c>
      <c r="H19" s="51"/>
      <c r="I19" s="51"/>
      <c r="J19" s="8">
        <f t="shared" si="5"/>
        <v>0</v>
      </c>
      <c r="K19" s="8">
        <f t="shared" si="6"/>
        <v>0</v>
      </c>
      <c r="L19" s="266">
        <v>0</v>
      </c>
      <c r="M19" s="8">
        <f t="shared" si="7"/>
        <v>11077.301499999972</v>
      </c>
      <c r="N19" s="19"/>
      <c r="O19" s="65"/>
    </row>
    <row r="20" spans="1:18">
      <c r="A20" s="26">
        <v>17</v>
      </c>
      <c r="B20" s="27">
        <v>45978</v>
      </c>
      <c r="C20" s="25"/>
      <c r="D20" s="18"/>
      <c r="E20" s="51"/>
      <c r="F20" s="51"/>
      <c r="G20" s="8">
        <f t="shared" si="4"/>
        <v>0</v>
      </c>
      <c r="H20" s="51"/>
      <c r="I20" s="51"/>
      <c r="J20" s="8">
        <f t="shared" si="5"/>
        <v>0</v>
      </c>
      <c r="K20" s="8">
        <f t="shared" si="6"/>
        <v>0</v>
      </c>
      <c r="L20" s="266">
        <v>0</v>
      </c>
      <c r="M20" s="8">
        <f t="shared" si="7"/>
        <v>11077.301499999972</v>
      </c>
      <c r="N20" s="19"/>
      <c r="O20" s="65"/>
    </row>
    <row r="21" spans="1:18">
      <c r="A21" s="26">
        <v>18</v>
      </c>
      <c r="B21" s="27">
        <v>45979</v>
      </c>
      <c r="C21" s="25"/>
      <c r="D21" s="18"/>
      <c r="E21" s="51">
        <v>5</v>
      </c>
      <c r="F21" s="51">
        <v>91.77</v>
      </c>
      <c r="G21" s="8">
        <f t="shared" si="4"/>
        <v>458.84999999999997</v>
      </c>
      <c r="H21" s="51">
        <v>0</v>
      </c>
      <c r="I21" s="51">
        <v>0</v>
      </c>
      <c r="J21" s="8">
        <f t="shared" si="5"/>
        <v>0</v>
      </c>
      <c r="K21" s="8">
        <f t="shared" si="6"/>
        <v>458.84999999999997</v>
      </c>
      <c r="L21" s="266">
        <v>0</v>
      </c>
      <c r="M21" s="8">
        <f t="shared" si="7"/>
        <v>11536.151499999973</v>
      </c>
      <c r="N21" s="19"/>
      <c r="O21" s="65"/>
    </row>
    <row r="22" spans="1:18">
      <c r="A22" s="26">
        <v>19</v>
      </c>
      <c r="B22" s="27">
        <v>45980</v>
      </c>
      <c r="C22" s="25"/>
      <c r="D22" s="18"/>
      <c r="E22" s="51"/>
      <c r="F22" s="51"/>
      <c r="G22" s="8">
        <f t="shared" si="4"/>
        <v>0</v>
      </c>
      <c r="H22" s="51">
        <v>5</v>
      </c>
      <c r="I22" s="51">
        <v>103.7</v>
      </c>
      <c r="J22" s="8">
        <f t="shared" si="5"/>
        <v>518.5</v>
      </c>
      <c r="K22" s="8">
        <f t="shared" si="6"/>
        <v>518.5</v>
      </c>
      <c r="L22" s="266">
        <v>0</v>
      </c>
      <c r="M22" s="8">
        <f t="shared" si="7"/>
        <v>12054.651499999973</v>
      </c>
      <c r="N22" s="19"/>
      <c r="O22" s="65"/>
    </row>
    <row r="23" spans="1:18">
      <c r="A23" s="26">
        <v>20</v>
      </c>
      <c r="B23" s="27">
        <v>45981</v>
      </c>
      <c r="C23" s="25"/>
      <c r="D23" s="18"/>
      <c r="E23" s="51">
        <v>5</v>
      </c>
      <c r="F23" s="51">
        <v>91.77</v>
      </c>
      <c r="G23" s="8">
        <f t="shared" si="4"/>
        <v>458.84999999999997</v>
      </c>
      <c r="H23" s="51">
        <v>5</v>
      </c>
      <c r="I23" s="51">
        <v>103.7</v>
      </c>
      <c r="J23" s="8">
        <f t="shared" si="5"/>
        <v>518.5</v>
      </c>
      <c r="K23" s="8">
        <f t="shared" si="6"/>
        <v>977.34999999999991</v>
      </c>
      <c r="L23" s="266">
        <v>0</v>
      </c>
      <c r="M23" s="8">
        <f t="shared" si="7"/>
        <v>13032.001499999973</v>
      </c>
      <c r="N23" s="19"/>
      <c r="O23" s="65"/>
    </row>
    <row r="24" spans="1:18">
      <c r="A24" s="26">
        <v>21</v>
      </c>
      <c r="B24" s="27">
        <v>45982</v>
      </c>
      <c r="C24" s="25"/>
      <c r="D24" s="18"/>
      <c r="E24" s="51">
        <v>35</v>
      </c>
      <c r="F24" s="51">
        <v>91.77</v>
      </c>
      <c r="G24" s="8">
        <f t="shared" si="4"/>
        <v>3211.95</v>
      </c>
      <c r="H24" s="51"/>
      <c r="I24" s="51"/>
      <c r="J24" s="8">
        <f t="shared" si="5"/>
        <v>0</v>
      </c>
      <c r="K24" s="8">
        <f t="shared" si="6"/>
        <v>3211.95</v>
      </c>
      <c r="L24" s="266">
        <v>0</v>
      </c>
      <c r="M24" s="8">
        <f t="shared" si="7"/>
        <v>16243.951499999974</v>
      </c>
      <c r="N24" s="19"/>
      <c r="O24" s="65"/>
    </row>
    <row r="25" spans="1:18">
      <c r="A25" s="26">
        <v>22</v>
      </c>
      <c r="B25" s="27">
        <v>45983</v>
      </c>
      <c r="C25" s="25"/>
      <c r="D25" s="18"/>
      <c r="E25" s="51"/>
      <c r="F25" s="51"/>
      <c r="G25" s="8">
        <f t="shared" si="4"/>
        <v>0</v>
      </c>
      <c r="H25" s="51"/>
      <c r="I25" s="51"/>
      <c r="J25" s="8">
        <f t="shared" si="5"/>
        <v>0</v>
      </c>
      <c r="K25" s="8">
        <f t="shared" si="6"/>
        <v>0</v>
      </c>
      <c r="L25" s="266">
        <v>0</v>
      </c>
      <c r="M25" s="8">
        <f t="shared" ref="M25:M34" si="8">M24+K25-L25</f>
        <v>16243.951499999974</v>
      </c>
      <c r="N25" s="19"/>
      <c r="O25" s="65"/>
    </row>
    <row r="26" spans="1:18">
      <c r="A26" s="26">
        <v>23</v>
      </c>
      <c r="B26" s="27">
        <v>45984</v>
      </c>
      <c r="C26" s="25"/>
      <c r="D26" s="18"/>
      <c r="E26" s="51"/>
      <c r="F26" s="51"/>
      <c r="G26" s="8">
        <f t="shared" si="4"/>
        <v>0</v>
      </c>
      <c r="H26" s="51"/>
      <c r="I26" s="51"/>
      <c r="J26" s="8">
        <f t="shared" si="5"/>
        <v>0</v>
      </c>
      <c r="K26" s="8">
        <f t="shared" si="6"/>
        <v>0</v>
      </c>
      <c r="L26" s="266">
        <v>0</v>
      </c>
      <c r="M26" s="8">
        <f t="shared" si="8"/>
        <v>16243.951499999974</v>
      </c>
      <c r="N26" s="19"/>
      <c r="O26" s="65"/>
      <c r="Q26" s="83" t="s">
        <v>154</v>
      </c>
    </row>
    <row r="27" spans="1:18">
      <c r="A27" s="26">
        <v>24</v>
      </c>
      <c r="B27" s="27">
        <v>45985</v>
      </c>
      <c r="C27" s="25"/>
      <c r="D27" s="18"/>
      <c r="E27" s="51">
        <v>35</v>
      </c>
      <c r="F27" s="51">
        <v>91.77</v>
      </c>
      <c r="G27" s="8">
        <f t="shared" si="4"/>
        <v>3211.95</v>
      </c>
      <c r="H27" s="51">
        <v>5</v>
      </c>
      <c r="I27" s="51">
        <v>103.7</v>
      </c>
      <c r="J27" s="8">
        <f t="shared" si="5"/>
        <v>518.5</v>
      </c>
      <c r="K27" s="8">
        <f t="shared" si="6"/>
        <v>3730.45</v>
      </c>
      <c r="L27" s="266">
        <v>0</v>
      </c>
      <c r="M27" s="8">
        <f t="shared" si="8"/>
        <v>19974.401499999974</v>
      </c>
      <c r="N27" s="19"/>
      <c r="O27" s="65"/>
      <c r="Q27" s="83">
        <v>30</v>
      </c>
      <c r="R27" s="83">
        <v>50</v>
      </c>
    </row>
    <row r="28" spans="1:18">
      <c r="A28" s="26">
        <v>25</v>
      </c>
      <c r="B28" s="27">
        <v>45986</v>
      </c>
      <c r="C28" s="25"/>
      <c r="D28" s="18"/>
      <c r="E28" s="51">
        <v>30</v>
      </c>
      <c r="F28" s="51">
        <v>91.77</v>
      </c>
      <c r="G28" s="8">
        <f t="shared" si="4"/>
        <v>2753.1</v>
      </c>
      <c r="H28" s="51">
        <v>5</v>
      </c>
      <c r="I28" s="51">
        <v>103.7</v>
      </c>
      <c r="J28" s="8">
        <f t="shared" si="5"/>
        <v>518.5</v>
      </c>
      <c r="K28" s="8">
        <f t="shared" si="6"/>
        <v>3271.6</v>
      </c>
      <c r="L28" s="266">
        <v>0</v>
      </c>
      <c r="M28" s="8">
        <f t="shared" si="8"/>
        <v>23246.001499999973</v>
      </c>
      <c r="N28" s="19"/>
      <c r="O28" s="65"/>
      <c r="Q28" s="83">
        <v>50</v>
      </c>
      <c r="R28" s="83">
        <v>4.51</v>
      </c>
    </row>
    <row r="29" spans="1:18">
      <c r="A29" s="26">
        <v>26</v>
      </c>
      <c r="B29" s="27">
        <v>45987</v>
      </c>
      <c r="C29" s="25"/>
      <c r="D29" s="18"/>
      <c r="E29" s="51"/>
      <c r="F29" s="51"/>
      <c r="G29" s="8">
        <f t="shared" si="4"/>
        <v>0</v>
      </c>
      <c r="H29" s="51"/>
      <c r="I29" s="51"/>
      <c r="J29" s="8">
        <f t="shared" si="5"/>
        <v>0</v>
      </c>
      <c r="K29" s="8">
        <f t="shared" si="6"/>
        <v>0</v>
      </c>
      <c r="L29" s="266">
        <v>0</v>
      </c>
      <c r="M29" s="8">
        <f t="shared" si="8"/>
        <v>23246.001499999973</v>
      </c>
      <c r="N29" s="19"/>
      <c r="O29" s="65"/>
    </row>
    <row r="30" spans="1:18">
      <c r="A30" s="26">
        <v>27</v>
      </c>
      <c r="B30" s="27">
        <v>45988</v>
      </c>
      <c r="C30" s="25"/>
      <c r="D30" s="18"/>
      <c r="E30" s="51">
        <v>65</v>
      </c>
      <c r="F30" s="51">
        <v>91.77</v>
      </c>
      <c r="G30" s="8">
        <f t="shared" si="4"/>
        <v>5965.05</v>
      </c>
      <c r="H30" s="51">
        <v>5</v>
      </c>
      <c r="I30" s="51">
        <v>103.7</v>
      </c>
      <c r="J30" s="8">
        <f t="shared" si="5"/>
        <v>518.5</v>
      </c>
      <c r="K30" s="8">
        <f t="shared" si="6"/>
        <v>6483.55</v>
      </c>
      <c r="L30" s="266">
        <v>0</v>
      </c>
      <c r="M30" s="8">
        <f t="shared" si="8"/>
        <v>29729.551499999972</v>
      </c>
      <c r="N30" s="19"/>
      <c r="O30" s="65"/>
    </row>
    <row r="31" spans="1:18">
      <c r="A31" s="231">
        <v>28</v>
      </c>
      <c r="B31" s="27">
        <v>45989</v>
      </c>
      <c r="C31" s="25"/>
      <c r="D31" s="18"/>
      <c r="E31" s="51">
        <v>185</v>
      </c>
      <c r="F31" s="51">
        <v>91.77</v>
      </c>
      <c r="G31" s="8">
        <f t="shared" si="4"/>
        <v>16977.45</v>
      </c>
      <c r="H31" s="51"/>
      <c r="I31" s="51"/>
      <c r="J31" s="8">
        <f t="shared" si="5"/>
        <v>0</v>
      </c>
      <c r="K31" s="8">
        <f t="shared" si="6"/>
        <v>16977.45</v>
      </c>
      <c r="L31" s="266">
        <v>0</v>
      </c>
      <c r="M31" s="8">
        <f t="shared" si="8"/>
        <v>46707.001499999969</v>
      </c>
      <c r="N31" s="19"/>
      <c r="O31" s="65"/>
    </row>
    <row r="32" spans="1:18">
      <c r="A32" s="26">
        <v>29</v>
      </c>
      <c r="B32" s="27">
        <v>45990</v>
      </c>
      <c r="C32" s="25"/>
      <c r="D32" s="18"/>
      <c r="E32" s="51"/>
      <c r="F32" s="51"/>
      <c r="G32" s="8">
        <f t="shared" si="4"/>
        <v>0</v>
      </c>
      <c r="H32" s="51"/>
      <c r="I32" s="51"/>
      <c r="J32" s="8">
        <f t="shared" si="5"/>
        <v>0</v>
      </c>
      <c r="K32" s="8">
        <f t="shared" si="6"/>
        <v>0</v>
      </c>
      <c r="L32" s="266">
        <v>0</v>
      </c>
      <c r="M32" s="8">
        <f t="shared" si="8"/>
        <v>46707.001499999969</v>
      </c>
      <c r="N32" s="19"/>
      <c r="O32" s="65"/>
    </row>
    <row r="33" spans="1:15">
      <c r="A33" s="26">
        <v>30</v>
      </c>
      <c r="B33" s="27">
        <v>45991</v>
      </c>
      <c r="C33" s="25"/>
      <c r="D33" s="18"/>
      <c r="E33" s="51">
        <v>220</v>
      </c>
      <c r="F33" s="51">
        <v>91.77</v>
      </c>
      <c r="G33" s="8">
        <f t="shared" si="4"/>
        <v>20189.399999999998</v>
      </c>
      <c r="H33" s="51">
        <v>5</v>
      </c>
      <c r="I33" s="51">
        <v>103.7</v>
      </c>
      <c r="J33" s="8">
        <f t="shared" si="5"/>
        <v>518.5</v>
      </c>
      <c r="K33" s="8">
        <f t="shared" si="6"/>
        <v>20707.899999999998</v>
      </c>
      <c r="L33" s="266">
        <v>0</v>
      </c>
      <c r="M33" s="8">
        <f t="shared" si="8"/>
        <v>67414.901499999964</v>
      </c>
      <c r="N33" s="19"/>
      <c r="O33" s="65"/>
    </row>
    <row r="34" spans="1:15">
      <c r="A34" s="26">
        <v>31</v>
      </c>
      <c r="B34" s="27"/>
      <c r="C34" s="25"/>
      <c r="D34" s="18"/>
      <c r="E34" s="51">
        <v>0</v>
      </c>
      <c r="F34" s="51">
        <v>0</v>
      </c>
      <c r="G34" s="8">
        <f t="shared" si="0"/>
        <v>0</v>
      </c>
      <c r="H34" s="51">
        <v>0</v>
      </c>
      <c r="I34" s="51">
        <v>0</v>
      </c>
      <c r="J34" s="8">
        <f t="shared" si="1"/>
        <v>0</v>
      </c>
      <c r="K34" s="8">
        <f t="shared" si="2"/>
        <v>0</v>
      </c>
      <c r="L34" s="266">
        <v>0</v>
      </c>
      <c r="M34" s="8">
        <f t="shared" si="8"/>
        <v>67414.901499999964</v>
      </c>
      <c r="N34" s="19"/>
      <c r="O34" s="65"/>
    </row>
    <row r="35" spans="1:15">
      <c r="A35" s="168"/>
      <c r="B35" s="168"/>
      <c r="C35" s="168"/>
      <c r="D35" s="168"/>
      <c r="E35" s="169">
        <f>SUM(E4:E34)</f>
        <v>660</v>
      </c>
      <c r="F35" s="169"/>
      <c r="G35" s="169">
        <f>SUM(G4:G34)</f>
        <v>60568.2</v>
      </c>
      <c r="H35" s="169">
        <f>SUM(H4:H34)</f>
        <v>50</v>
      </c>
      <c r="I35" s="169"/>
      <c r="J35" s="169">
        <f>SUM(J4:J34)</f>
        <v>5185</v>
      </c>
      <c r="K35" s="169">
        <f>SUM(K4:K34)</f>
        <v>65753.2</v>
      </c>
      <c r="L35" s="169">
        <f>SUM(L4:L34)</f>
        <v>60000</v>
      </c>
      <c r="M35" s="169"/>
      <c r="N35" s="169"/>
      <c r="O35" s="65"/>
    </row>
    <row r="36" spans="1:15">
      <c r="A36" s="79"/>
      <c r="B36" s="79"/>
      <c r="C36" s="79"/>
      <c r="D36" s="79"/>
      <c r="E36" s="81"/>
      <c r="F36" s="81"/>
      <c r="G36" s="81"/>
      <c r="H36" s="81"/>
      <c r="I36" s="81"/>
      <c r="J36" s="81"/>
      <c r="K36" s="81"/>
      <c r="L36" s="267"/>
      <c r="M36" s="81"/>
      <c r="N36" s="81"/>
      <c r="O36" s="65"/>
    </row>
    <row r="37" spans="1:15">
      <c r="E37" s="271"/>
      <c r="F37" s="271"/>
      <c r="G37" s="271"/>
      <c r="H37" s="271"/>
      <c r="I37" s="271"/>
      <c r="J37" s="271"/>
      <c r="K37" s="271"/>
      <c r="L37" s="271"/>
      <c r="O37" s="65"/>
    </row>
    <row r="38" spans="1:15">
      <c r="O38" s="65"/>
    </row>
    <row r="39" spans="1:15">
      <c r="O39" s="65"/>
    </row>
    <row r="40" spans="1:15">
      <c r="O40" s="65"/>
    </row>
    <row r="41" spans="1:15">
      <c r="O41" s="65"/>
    </row>
    <row r="42" spans="1:15">
      <c r="A42" s="65"/>
      <c r="B42" s="65"/>
      <c r="C42" s="65"/>
      <c r="D42" s="65"/>
      <c r="E42" s="65"/>
      <c r="F42" s="65"/>
      <c r="G42" s="87"/>
      <c r="H42" s="65"/>
      <c r="I42" s="65"/>
      <c r="J42" s="65"/>
      <c r="K42" s="65"/>
      <c r="L42" s="79"/>
      <c r="M42" s="65"/>
      <c r="N42" s="65"/>
      <c r="O42" s="81"/>
    </row>
    <row r="43" spans="1:15">
      <c r="A43" s="65"/>
      <c r="B43" s="468"/>
      <c r="C43" s="468"/>
      <c r="D43" s="468"/>
      <c r="E43" s="468"/>
      <c r="F43" s="65"/>
      <c r="G43" s="65"/>
      <c r="H43" s="65"/>
      <c r="I43" s="468"/>
      <c r="J43" s="468"/>
      <c r="K43" s="468"/>
      <c r="L43" s="468"/>
      <c r="M43" s="468"/>
      <c r="N43" s="468"/>
      <c r="O43" s="81"/>
    </row>
    <row r="44" spans="1:15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79"/>
      <c r="M44" s="65"/>
      <c r="N44" s="65"/>
      <c r="O44" s="81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topLeftCell="A5" workbookViewId="0">
      <selection activeCell="L31" sqref="L31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2" customWidth="1"/>
    <col min="8" max="8" width="12" style="22" customWidth="1"/>
    <col min="9" max="9" width="9.140625" style="22"/>
    <col min="10" max="10" width="11.140625" style="22" customWidth="1"/>
    <col min="11" max="11" width="12" style="22" customWidth="1"/>
    <col min="12" max="12" width="11.85546875" style="22" customWidth="1"/>
    <col min="13" max="13" width="13.85546875" customWidth="1"/>
  </cols>
  <sheetData>
    <row r="1" spans="1:14" ht="15.75">
      <c r="A1" s="443" t="s">
        <v>57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</row>
    <row r="2" spans="1:14">
      <c r="A2" s="104" t="s">
        <v>95</v>
      </c>
      <c r="B2" s="105" t="s">
        <v>96</v>
      </c>
      <c r="C2" s="105" t="s">
        <v>97</v>
      </c>
      <c r="D2" s="105" t="s">
        <v>111</v>
      </c>
      <c r="E2" s="105" t="s">
        <v>99</v>
      </c>
      <c r="F2" s="105" t="s">
        <v>100</v>
      </c>
      <c r="G2" s="241" t="s">
        <v>101</v>
      </c>
      <c r="H2" s="241" t="s">
        <v>102</v>
      </c>
      <c r="I2" s="241" t="s">
        <v>100</v>
      </c>
      <c r="J2" s="241" t="s">
        <v>101</v>
      </c>
      <c r="K2" s="242" t="s">
        <v>103</v>
      </c>
      <c r="L2" s="242" t="s">
        <v>104</v>
      </c>
      <c r="M2" s="150" t="s">
        <v>110</v>
      </c>
      <c r="N2" s="107" t="s">
        <v>106</v>
      </c>
    </row>
    <row r="3" spans="1:14">
      <c r="A3" s="472" t="s">
        <v>107</v>
      </c>
      <c r="B3" s="473"/>
      <c r="C3" s="473"/>
      <c r="D3" s="473"/>
      <c r="E3" s="473"/>
      <c r="F3" s="473"/>
      <c r="G3" s="473"/>
      <c r="H3" s="473"/>
      <c r="I3" s="473"/>
      <c r="J3" s="474"/>
      <c r="K3" s="226">
        <v>0</v>
      </c>
      <c r="L3" s="226"/>
      <c r="M3" s="182">
        <f>+K3</f>
        <v>0</v>
      </c>
      <c r="N3" s="227"/>
    </row>
    <row r="4" spans="1:14">
      <c r="A4" s="26">
        <v>1</v>
      </c>
      <c r="B4" s="27">
        <v>45962</v>
      </c>
      <c r="C4" s="17"/>
      <c r="D4" s="17"/>
      <c r="E4" s="204"/>
      <c r="F4" s="204"/>
      <c r="G4" s="221">
        <f>E4*F4</f>
        <v>0</v>
      </c>
      <c r="H4" s="286">
        <v>12.69</v>
      </c>
      <c r="I4" s="221">
        <v>103.53</v>
      </c>
      <c r="J4" s="221">
        <f>H4*I4</f>
        <v>1313.7956999999999</v>
      </c>
      <c r="K4" s="221">
        <f>G4+J4</f>
        <v>1313.7956999999999</v>
      </c>
      <c r="L4" s="221">
        <f>+K4</f>
        <v>1313.7956999999999</v>
      </c>
      <c r="M4" s="204"/>
      <c r="N4" s="17"/>
    </row>
    <row r="5" spans="1:14">
      <c r="A5" s="26">
        <v>2</v>
      </c>
      <c r="B5" s="27">
        <v>45963</v>
      </c>
      <c r="C5" s="17"/>
      <c r="D5" s="17"/>
      <c r="E5" s="204"/>
      <c r="F5" s="204"/>
      <c r="G5" s="221">
        <f t="shared" ref="G5:G32" si="0">E5*F5</f>
        <v>0</v>
      </c>
      <c r="H5" s="286">
        <v>4.8499999999999996</v>
      </c>
      <c r="I5" s="221">
        <v>103.53</v>
      </c>
      <c r="J5" s="221">
        <f>H5*I5</f>
        <v>502.12049999999999</v>
      </c>
      <c r="K5" s="221">
        <f t="shared" ref="K5:K34" si="1">G5+J5</f>
        <v>502.12049999999999</v>
      </c>
      <c r="L5" s="221">
        <f t="shared" ref="L5:L33" si="2">+K5</f>
        <v>502.12049999999999</v>
      </c>
      <c r="M5" s="204"/>
      <c r="N5" s="17"/>
    </row>
    <row r="6" spans="1:14">
      <c r="A6" s="26">
        <v>3</v>
      </c>
      <c r="B6" s="27">
        <v>45964</v>
      </c>
      <c r="C6" s="17"/>
      <c r="D6" s="17"/>
      <c r="E6" s="204">
        <v>30</v>
      </c>
      <c r="F6" s="204">
        <v>91.59</v>
      </c>
      <c r="G6" s="221">
        <f t="shared" si="0"/>
        <v>2747.7000000000003</v>
      </c>
      <c r="H6" s="221"/>
      <c r="I6" s="221"/>
      <c r="J6" s="221">
        <f t="shared" ref="J6:J34" si="3">H6*I6</f>
        <v>0</v>
      </c>
      <c r="K6" s="221">
        <f t="shared" si="1"/>
        <v>2747.7000000000003</v>
      </c>
      <c r="L6" s="221">
        <f t="shared" si="2"/>
        <v>2747.7000000000003</v>
      </c>
      <c r="M6" s="204"/>
      <c r="N6" s="17"/>
    </row>
    <row r="7" spans="1:14">
      <c r="A7" s="26">
        <v>4</v>
      </c>
      <c r="B7" s="27">
        <v>45965</v>
      </c>
      <c r="C7" s="17"/>
      <c r="D7" s="17"/>
      <c r="E7" s="204"/>
      <c r="F7" s="204"/>
      <c r="G7" s="221">
        <f t="shared" si="0"/>
        <v>0</v>
      </c>
      <c r="H7" s="221"/>
      <c r="I7" s="221"/>
      <c r="J7" s="221">
        <f t="shared" si="3"/>
        <v>0</v>
      </c>
      <c r="K7" s="221">
        <f t="shared" si="1"/>
        <v>0</v>
      </c>
      <c r="L7" s="221">
        <f t="shared" si="2"/>
        <v>0</v>
      </c>
      <c r="M7" s="204"/>
      <c r="N7" s="17"/>
    </row>
    <row r="8" spans="1:14">
      <c r="A8" s="26">
        <v>5</v>
      </c>
      <c r="B8" s="27">
        <v>45966</v>
      </c>
      <c r="C8" s="17"/>
      <c r="D8" s="17"/>
      <c r="E8" s="204"/>
      <c r="F8" s="204"/>
      <c r="G8" s="221">
        <f t="shared" si="0"/>
        <v>0</v>
      </c>
      <c r="H8" s="221"/>
      <c r="I8" s="221"/>
      <c r="J8" s="221">
        <f t="shared" si="3"/>
        <v>0</v>
      </c>
      <c r="K8" s="221">
        <f t="shared" si="1"/>
        <v>0</v>
      </c>
      <c r="L8" s="221">
        <f t="shared" si="2"/>
        <v>0</v>
      </c>
      <c r="M8" s="204"/>
      <c r="N8" s="17"/>
    </row>
    <row r="9" spans="1:14">
      <c r="A9" s="26">
        <v>6</v>
      </c>
      <c r="B9" s="27">
        <v>45967</v>
      </c>
      <c r="C9" s="17"/>
      <c r="D9" s="17"/>
      <c r="E9" s="204"/>
      <c r="F9" s="204"/>
      <c r="G9" s="221">
        <f t="shared" si="0"/>
        <v>0</v>
      </c>
      <c r="H9" s="221"/>
      <c r="I9" s="221"/>
      <c r="J9" s="221">
        <f t="shared" si="3"/>
        <v>0</v>
      </c>
      <c r="K9" s="221">
        <f t="shared" si="1"/>
        <v>0</v>
      </c>
      <c r="L9" s="221">
        <f t="shared" si="2"/>
        <v>0</v>
      </c>
      <c r="M9" s="204"/>
      <c r="N9" s="17"/>
    </row>
    <row r="10" spans="1:14">
      <c r="A10" s="26">
        <v>7</v>
      </c>
      <c r="B10" s="27">
        <v>45968</v>
      </c>
      <c r="C10" s="17"/>
      <c r="D10" s="17"/>
      <c r="E10" s="204"/>
      <c r="F10" s="204"/>
      <c r="G10" s="221">
        <f t="shared" si="0"/>
        <v>0</v>
      </c>
      <c r="H10" s="221"/>
      <c r="I10" s="221"/>
      <c r="J10" s="221">
        <f t="shared" si="3"/>
        <v>0</v>
      </c>
      <c r="K10" s="221">
        <f t="shared" si="1"/>
        <v>0</v>
      </c>
      <c r="L10" s="221">
        <f t="shared" si="2"/>
        <v>0</v>
      </c>
      <c r="M10" s="204"/>
      <c r="N10" s="17"/>
    </row>
    <row r="11" spans="1:14">
      <c r="A11" s="26">
        <v>8</v>
      </c>
      <c r="B11" s="27">
        <v>45969</v>
      </c>
      <c r="C11" s="17"/>
      <c r="D11" s="17"/>
      <c r="E11" s="204">
        <v>25</v>
      </c>
      <c r="F11" s="204">
        <v>91.59</v>
      </c>
      <c r="G11" s="221">
        <f t="shared" si="0"/>
        <v>2289.75</v>
      </c>
      <c r="H11" s="221"/>
      <c r="I11" s="221"/>
      <c r="J11" s="221">
        <f t="shared" si="3"/>
        <v>0</v>
      </c>
      <c r="K11" s="221">
        <f t="shared" si="1"/>
        <v>2289.75</v>
      </c>
      <c r="L11" s="221">
        <f t="shared" si="2"/>
        <v>2289.75</v>
      </c>
      <c r="M11" s="204"/>
      <c r="N11" s="17"/>
    </row>
    <row r="12" spans="1:14">
      <c r="A12" s="26">
        <v>9</v>
      </c>
      <c r="B12" s="27">
        <v>45970</v>
      </c>
      <c r="C12" s="17"/>
      <c r="D12" s="17"/>
      <c r="E12" s="204">
        <v>25</v>
      </c>
      <c r="F12" s="204">
        <v>91.59</v>
      </c>
      <c r="G12" s="221">
        <f t="shared" si="0"/>
        <v>2289.75</v>
      </c>
      <c r="H12" s="221"/>
      <c r="I12" s="221"/>
      <c r="J12" s="221">
        <f t="shared" si="3"/>
        <v>0</v>
      </c>
      <c r="K12" s="221">
        <f t="shared" si="1"/>
        <v>2289.75</v>
      </c>
      <c r="L12" s="221">
        <f t="shared" si="2"/>
        <v>2289.75</v>
      </c>
      <c r="M12" s="204"/>
      <c r="N12" s="17"/>
    </row>
    <row r="13" spans="1:14">
      <c r="A13" s="26">
        <v>10</v>
      </c>
      <c r="B13" s="27">
        <v>45971</v>
      </c>
      <c r="C13" s="17"/>
      <c r="D13" s="17"/>
      <c r="E13" s="204"/>
      <c r="F13" s="204"/>
      <c r="G13" s="221">
        <f t="shared" si="0"/>
        <v>0</v>
      </c>
      <c r="H13" s="221"/>
      <c r="I13" s="221"/>
      <c r="J13" s="221">
        <f t="shared" si="3"/>
        <v>0</v>
      </c>
      <c r="K13" s="221">
        <f t="shared" si="1"/>
        <v>0</v>
      </c>
      <c r="L13" s="221">
        <f t="shared" si="2"/>
        <v>0</v>
      </c>
      <c r="M13" s="204"/>
      <c r="N13" s="17"/>
    </row>
    <row r="14" spans="1:14">
      <c r="A14" s="26">
        <v>11</v>
      </c>
      <c r="B14" s="27">
        <v>45972</v>
      </c>
      <c r="C14" s="17"/>
      <c r="D14" s="17"/>
      <c r="E14" s="204">
        <v>25</v>
      </c>
      <c r="F14" s="204">
        <v>91.59</v>
      </c>
      <c r="G14" s="221">
        <f t="shared" si="0"/>
        <v>2289.75</v>
      </c>
      <c r="H14" s="221"/>
      <c r="I14" s="221"/>
      <c r="J14" s="221">
        <f t="shared" si="3"/>
        <v>0</v>
      </c>
      <c r="K14" s="221">
        <f t="shared" si="1"/>
        <v>2289.75</v>
      </c>
      <c r="L14" s="221">
        <f t="shared" si="2"/>
        <v>2289.75</v>
      </c>
      <c r="M14" s="204"/>
      <c r="N14" s="17"/>
    </row>
    <row r="15" spans="1:14">
      <c r="A15" s="26">
        <v>12</v>
      </c>
      <c r="B15" s="27">
        <v>45973</v>
      </c>
      <c r="C15" s="17"/>
      <c r="D15" s="17"/>
      <c r="E15" s="204"/>
      <c r="F15" s="204"/>
      <c r="G15" s="221">
        <f t="shared" si="0"/>
        <v>0</v>
      </c>
      <c r="H15" s="221"/>
      <c r="I15" s="221"/>
      <c r="J15" s="221">
        <f t="shared" si="3"/>
        <v>0</v>
      </c>
      <c r="K15" s="221">
        <f t="shared" si="1"/>
        <v>0</v>
      </c>
      <c r="L15" s="221">
        <f t="shared" si="2"/>
        <v>0</v>
      </c>
      <c r="M15" s="204"/>
      <c r="N15" s="17"/>
    </row>
    <row r="16" spans="1:14">
      <c r="A16" s="26">
        <v>13</v>
      </c>
      <c r="B16" s="27">
        <v>45974</v>
      </c>
      <c r="C16" s="17"/>
      <c r="D16" s="17"/>
      <c r="E16" s="204">
        <v>20</v>
      </c>
      <c r="F16" s="204">
        <v>91.59</v>
      </c>
      <c r="G16" s="221">
        <f t="shared" si="0"/>
        <v>1831.8000000000002</v>
      </c>
      <c r="H16" s="221"/>
      <c r="I16" s="221"/>
      <c r="J16" s="221">
        <f t="shared" si="3"/>
        <v>0</v>
      </c>
      <c r="K16" s="221">
        <f t="shared" si="1"/>
        <v>1831.8000000000002</v>
      </c>
      <c r="L16" s="221">
        <f t="shared" si="2"/>
        <v>1831.8000000000002</v>
      </c>
      <c r="M16" s="204"/>
      <c r="N16" s="17"/>
    </row>
    <row r="17" spans="1:15">
      <c r="A17" s="26">
        <v>14</v>
      </c>
      <c r="B17" s="27">
        <v>45975</v>
      </c>
      <c r="C17" s="17"/>
      <c r="D17" s="17"/>
      <c r="E17" s="204">
        <v>25</v>
      </c>
      <c r="F17" s="204">
        <v>91.59</v>
      </c>
      <c r="G17" s="221">
        <f t="shared" si="0"/>
        <v>2289.75</v>
      </c>
      <c r="H17" s="221"/>
      <c r="I17" s="221"/>
      <c r="J17" s="221">
        <f t="shared" si="3"/>
        <v>0</v>
      </c>
      <c r="K17" s="221">
        <f t="shared" si="1"/>
        <v>2289.75</v>
      </c>
      <c r="L17" s="221">
        <f t="shared" si="2"/>
        <v>2289.75</v>
      </c>
      <c r="M17" s="204"/>
      <c r="N17" s="17"/>
    </row>
    <row r="18" spans="1:15">
      <c r="A18" s="26">
        <v>15</v>
      </c>
      <c r="B18" s="27">
        <v>45976</v>
      </c>
      <c r="C18" s="17"/>
      <c r="D18" s="17"/>
      <c r="E18" s="204">
        <v>20</v>
      </c>
      <c r="F18" s="204">
        <v>91.59</v>
      </c>
      <c r="G18" s="221">
        <f t="shared" si="0"/>
        <v>1831.8000000000002</v>
      </c>
      <c r="H18" s="221">
        <v>12</v>
      </c>
      <c r="I18" s="221">
        <v>103.53</v>
      </c>
      <c r="J18" s="221">
        <f t="shared" si="3"/>
        <v>1242.3600000000001</v>
      </c>
      <c r="K18" s="221">
        <f t="shared" si="1"/>
        <v>3074.1600000000003</v>
      </c>
      <c r="L18" s="221">
        <f t="shared" si="2"/>
        <v>3074.1600000000003</v>
      </c>
      <c r="M18" s="204"/>
      <c r="N18" s="17"/>
    </row>
    <row r="19" spans="1:15">
      <c r="A19" s="26">
        <v>16</v>
      </c>
      <c r="B19" s="27">
        <v>45977</v>
      </c>
      <c r="C19" s="17"/>
      <c r="D19" s="17"/>
      <c r="E19" s="204">
        <v>30</v>
      </c>
      <c r="F19" s="204">
        <v>91.59</v>
      </c>
      <c r="G19" s="221">
        <f t="shared" si="0"/>
        <v>2747.7000000000003</v>
      </c>
      <c r="H19" s="221"/>
      <c r="I19" s="221"/>
      <c r="J19" s="221">
        <f t="shared" si="3"/>
        <v>0</v>
      </c>
      <c r="K19" s="221">
        <f t="shared" si="1"/>
        <v>2747.7000000000003</v>
      </c>
      <c r="L19" s="221">
        <f t="shared" si="2"/>
        <v>2747.7000000000003</v>
      </c>
      <c r="M19" s="204"/>
      <c r="N19" s="17"/>
    </row>
    <row r="20" spans="1:15">
      <c r="A20" s="26">
        <v>17</v>
      </c>
      <c r="B20" s="27">
        <v>45978</v>
      </c>
      <c r="C20" s="17"/>
      <c r="D20" s="17"/>
      <c r="E20" s="204"/>
      <c r="F20" s="204"/>
      <c r="G20" s="221">
        <f t="shared" si="0"/>
        <v>0</v>
      </c>
      <c r="H20" s="221"/>
      <c r="I20" s="221"/>
      <c r="J20" s="221">
        <f t="shared" si="3"/>
        <v>0</v>
      </c>
      <c r="K20" s="221">
        <f t="shared" si="1"/>
        <v>0</v>
      </c>
      <c r="L20" s="221">
        <f t="shared" si="2"/>
        <v>0</v>
      </c>
      <c r="M20" s="204"/>
      <c r="N20" s="17"/>
    </row>
    <row r="21" spans="1:15">
      <c r="A21" s="26">
        <v>18</v>
      </c>
      <c r="B21" s="27">
        <v>45979</v>
      </c>
      <c r="C21" s="17"/>
      <c r="D21" s="17"/>
      <c r="E21" s="204">
        <v>115</v>
      </c>
      <c r="F21" s="204">
        <v>91.59</v>
      </c>
      <c r="G21" s="221">
        <f t="shared" si="0"/>
        <v>10532.85</v>
      </c>
      <c r="H21" s="221"/>
      <c r="I21" s="221"/>
      <c r="J21" s="221">
        <f t="shared" si="3"/>
        <v>0</v>
      </c>
      <c r="K21" s="221">
        <f t="shared" si="1"/>
        <v>10532.85</v>
      </c>
      <c r="L21" s="221">
        <f t="shared" si="2"/>
        <v>10532.85</v>
      </c>
      <c r="M21" s="204"/>
    </row>
    <row r="22" spans="1:15">
      <c r="A22" s="26">
        <v>19</v>
      </c>
      <c r="B22" s="27">
        <v>45980</v>
      </c>
      <c r="C22" s="17"/>
      <c r="D22" s="17"/>
      <c r="E22" s="204">
        <v>20</v>
      </c>
      <c r="F22" s="204">
        <v>91.59</v>
      </c>
      <c r="G22" s="221">
        <f t="shared" si="0"/>
        <v>1831.8000000000002</v>
      </c>
      <c r="H22" s="221"/>
      <c r="I22" s="221"/>
      <c r="J22" s="221">
        <f t="shared" si="3"/>
        <v>0</v>
      </c>
      <c r="K22" s="221">
        <f t="shared" si="1"/>
        <v>1831.8000000000002</v>
      </c>
      <c r="L22" s="221">
        <f t="shared" si="2"/>
        <v>1831.8000000000002</v>
      </c>
      <c r="M22" s="204"/>
      <c r="N22" s="17"/>
    </row>
    <row r="23" spans="1:15">
      <c r="A23" s="26">
        <v>20</v>
      </c>
      <c r="B23" s="27">
        <v>45981</v>
      </c>
      <c r="C23" s="17"/>
      <c r="D23" s="17"/>
      <c r="E23" s="204"/>
      <c r="F23" s="204"/>
      <c r="G23" s="221">
        <f t="shared" si="0"/>
        <v>0</v>
      </c>
      <c r="H23" s="221"/>
      <c r="I23" s="221"/>
      <c r="J23" s="221">
        <f t="shared" si="3"/>
        <v>0</v>
      </c>
      <c r="K23" s="221">
        <f t="shared" si="1"/>
        <v>0</v>
      </c>
      <c r="L23" s="221">
        <f t="shared" si="2"/>
        <v>0</v>
      </c>
      <c r="M23" s="204"/>
      <c r="N23" s="17"/>
    </row>
    <row r="24" spans="1:15">
      <c r="A24" s="26">
        <v>21</v>
      </c>
      <c r="B24" s="27">
        <v>45982</v>
      </c>
      <c r="C24" s="17"/>
      <c r="D24" s="17"/>
      <c r="E24" s="204"/>
      <c r="F24" s="204"/>
      <c r="G24" s="221">
        <f t="shared" si="0"/>
        <v>0</v>
      </c>
      <c r="H24" s="221"/>
      <c r="I24" s="221"/>
      <c r="J24" s="221">
        <f t="shared" si="3"/>
        <v>0</v>
      </c>
      <c r="K24" s="221">
        <f t="shared" si="1"/>
        <v>0</v>
      </c>
      <c r="L24" s="221">
        <f t="shared" si="2"/>
        <v>0</v>
      </c>
      <c r="M24" s="204"/>
      <c r="N24" s="17"/>
    </row>
    <row r="25" spans="1:15">
      <c r="A25" s="26">
        <v>22</v>
      </c>
      <c r="B25" s="27">
        <v>45983</v>
      </c>
      <c r="C25" s="17"/>
      <c r="D25" s="17"/>
      <c r="E25" s="204"/>
      <c r="F25" s="204"/>
      <c r="G25" s="221">
        <f t="shared" si="0"/>
        <v>0</v>
      </c>
      <c r="H25" s="221"/>
      <c r="I25" s="221"/>
      <c r="J25" s="221">
        <f t="shared" si="3"/>
        <v>0</v>
      </c>
      <c r="K25" s="221">
        <f t="shared" si="1"/>
        <v>0</v>
      </c>
      <c r="L25" s="221">
        <f t="shared" si="2"/>
        <v>0</v>
      </c>
      <c r="M25" s="204"/>
      <c r="N25" s="17"/>
    </row>
    <row r="26" spans="1:15">
      <c r="A26" s="26">
        <v>23</v>
      </c>
      <c r="B26" s="27">
        <v>45984</v>
      </c>
      <c r="C26" s="17"/>
      <c r="D26" s="17"/>
      <c r="E26" s="204"/>
      <c r="F26" s="204"/>
      <c r="G26" s="221">
        <f t="shared" si="0"/>
        <v>0</v>
      </c>
      <c r="H26" s="221"/>
      <c r="I26" s="221"/>
      <c r="J26" s="221">
        <f t="shared" si="3"/>
        <v>0</v>
      </c>
      <c r="K26" s="221">
        <f t="shared" si="1"/>
        <v>0</v>
      </c>
      <c r="L26" s="221">
        <f t="shared" si="2"/>
        <v>0</v>
      </c>
      <c r="M26" s="204"/>
      <c r="N26" s="17"/>
    </row>
    <row r="27" spans="1:15">
      <c r="A27" s="26">
        <v>24</v>
      </c>
      <c r="B27" s="27">
        <v>45985</v>
      </c>
      <c r="C27" s="17"/>
      <c r="D27" s="17"/>
      <c r="E27" s="204"/>
      <c r="F27" s="204"/>
      <c r="G27" s="221">
        <f t="shared" si="0"/>
        <v>0</v>
      </c>
      <c r="H27" s="221"/>
      <c r="I27" s="221"/>
      <c r="J27" s="221">
        <f t="shared" si="3"/>
        <v>0</v>
      </c>
      <c r="K27" s="221">
        <f t="shared" ref="K27:K33" si="4">G27+J27</f>
        <v>0</v>
      </c>
      <c r="L27" s="221">
        <f t="shared" si="2"/>
        <v>0</v>
      </c>
      <c r="M27" s="204"/>
      <c r="N27" s="17"/>
      <c r="O27">
        <v>0</v>
      </c>
    </row>
    <row r="28" spans="1:15">
      <c r="A28" s="26">
        <v>25</v>
      </c>
      <c r="B28" s="27">
        <v>45986</v>
      </c>
      <c r="C28" s="17"/>
      <c r="D28" s="17"/>
      <c r="E28" s="204"/>
      <c r="F28" s="204"/>
      <c r="G28" s="221">
        <f t="shared" si="0"/>
        <v>0</v>
      </c>
      <c r="H28" s="221"/>
      <c r="I28" s="221"/>
      <c r="J28" s="221">
        <f t="shared" si="3"/>
        <v>0</v>
      </c>
      <c r="K28" s="221">
        <f t="shared" si="4"/>
        <v>0</v>
      </c>
      <c r="L28" s="221">
        <f t="shared" si="2"/>
        <v>0</v>
      </c>
      <c r="M28" s="204"/>
      <c r="N28" s="17"/>
    </row>
    <row r="29" spans="1:15">
      <c r="A29" s="26">
        <v>26</v>
      </c>
      <c r="B29" s="27">
        <v>45987</v>
      </c>
      <c r="C29" s="17"/>
      <c r="D29" s="17"/>
      <c r="E29" s="204"/>
      <c r="F29" s="204"/>
      <c r="G29" s="221">
        <f t="shared" si="0"/>
        <v>0</v>
      </c>
      <c r="H29" s="221"/>
      <c r="I29" s="221"/>
      <c r="J29" s="221">
        <f t="shared" si="3"/>
        <v>0</v>
      </c>
      <c r="K29" s="221">
        <f t="shared" si="4"/>
        <v>0</v>
      </c>
      <c r="L29" s="221">
        <f t="shared" si="2"/>
        <v>0</v>
      </c>
      <c r="M29" s="204"/>
      <c r="N29" s="17"/>
    </row>
    <row r="30" spans="1:15">
      <c r="A30" s="26">
        <v>27</v>
      </c>
      <c r="B30" s="27">
        <v>45988</v>
      </c>
      <c r="C30" s="17"/>
      <c r="D30" s="17"/>
      <c r="E30" s="204"/>
      <c r="F30" s="204"/>
      <c r="G30" s="221">
        <f t="shared" si="0"/>
        <v>0</v>
      </c>
      <c r="H30" s="221"/>
      <c r="I30" s="221"/>
      <c r="J30" s="221">
        <f t="shared" si="3"/>
        <v>0</v>
      </c>
      <c r="K30" s="221">
        <f t="shared" si="4"/>
        <v>0</v>
      </c>
      <c r="L30" s="221">
        <f t="shared" si="2"/>
        <v>0</v>
      </c>
      <c r="M30" s="204"/>
      <c r="N30" s="17"/>
    </row>
    <row r="31" spans="1:15">
      <c r="A31" s="231">
        <v>28</v>
      </c>
      <c r="B31" s="27">
        <v>45989</v>
      </c>
      <c r="C31" s="17"/>
      <c r="D31" s="17"/>
      <c r="E31" s="204"/>
      <c r="F31" s="204"/>
      <c r="G31" s="221">
        <f t="shared" si="0"/>
        <v>0</v>
      </c>
      <c r="H31" s="221">
        <v>12.32</v>
      </c>
      <c r="I31" s="221">
        <v>103.53</v>
      </c>
      <c r="J31" s="221">
        <f t="shared" si="3"/>
        <v>1275.4896000000001</v>
      </c>
      <c r="K31" s="221">
        <f t="shared" si="4"/>
        <v>1275.4896000000001</v>
      </c>
      <c r="L31" s="221">
        <f t="shared" si="2"/>
        <v>1275.4896000000001</v>
      </c>
      <c r="M31" s="204"/>
      <c r="N31" s="100"/>
    </row>
    <row r="32" spans="1:15">
      <c r="A32" s="26">
        <v>29</v>
      </c>
      <c r="B32" s="27">
        <v>45990</v>
      </c>
      <c r="C32" s="17"/>
      <c r="D32" s="17"/>
      <c r="E32" s="204"/>
      <c r="F32" s="204"/>
      <c r="G32" s="221">
        <f t="shared" si="0"/>
        <v>0</v>
      </c>
      <c r="H32" s="221"/>
      <c r="I32" s="221"/>
      <c r="J32" s="221">
        <f t="shared" si="3"/>
        <v>0</v>
      </c>
      <c r="K32" s="221">
        <f t="shared" si="4"/>
        <v>0</v>
      </c>
      <c r="L32" s="221">
        <f t="shared" si="2"/>
        <v>0</v>
      </c>
      <c r="M32" s="204"/>
      <c r="N32" s="17"/>
    </row>
    <row r="33" spans="1:14">
      <c r="A33" s="26">
        <v>30</v>
      </c>
      <c r="B33" s="27">
        <v>45991</v>
      </c>
      <c r="C33" s="17"/>
      <c r="D33" s="17"/>
      <c r="E33" s="204"/>
      <c r="F33" s="204"/>
      <c r="G33" s="221">
        <f t="shared" ref="G33:G34" si="5">E33*F33</f>
        <v>0</v>
      </c>
      <c r="H33" s="221"/>
      <c r="I33" s="221"/>
      <c r="J33" s="221">
        <f t="shared" si="3"/>
        <v>0</v>
      </c>
      <c r="K33" s="221">
        <f t="shared" si="4"/>
        <v>0</v>
      </c>
      <c r="L33" s="221">
        <f t="shared" si="2"/>
        <v>0</v>
      </c>
      <c r="M33" s="204"/>
      <c r="N33" s="17"/>
    </row>
    <row r="34" spans="1:14">
      <c r="A34" s="26">
        <v>31</v>
      </c>
      <c r="B34" s="27"/>
      <c r="C34" s="17"/>
      <c r="D34" s="17"/>
      <c r="E34" s="204"/>
      <c r="F34" s="204"/>
      <c r="G34" s="221">
        <f t="shared" si="5"/>
        <v>0</v>
      </c>
      <c r="H34" s="221"/>
      <c r="I34" s="221"/>
      <c r="J34" s="221">
        <f t="shared" si="3"/>
        <v>0</v>
      </c>
      <c r="K34" s="221">
        <f t="shared" si="1"/>
        <v>0</v>
      </c>
      <c r="L34" s="221"/>
      <c r="M34" s="204"/>
      <c r="N34" s="17"/>
    </row>
    <row r="35" spans="1:14">
      <c r="A35" s="191"/>
      <c r="B35" s="191"/>
      <c r="C35" s="191"/>
      <c r="D35" s="191"/>
      <c r="E35" s="191">
        <f>SUM(E4:E34)</f>
        <v>335</v>
      </c>
      <c r="F35" s="191"/>
      <c r="G35" s="191">
        <f>SUM(G4:G34)</f>
        <v>30682.649999999998</v>
      </c>
      <c r="H35" s="191">
        <f>SUM(H4:H34)</f>
        <v>41.86</v>
      </c>
      <c r="I35" s="191"/>
      <c r="J35" s="191">
        <f>SUM(J4:J34)</f>
        <v>4333.7658000000001</v>
      </c>
      <c r="K35" s="191">
        <f>SUM(K4:K34)</f>
        <v>35016.415800000002</v>
      </c>
      <c r="L35" s="191">
        <f>SUM(L4:L34)</f>
        <v>35016.415800000002</v>
      </c>
      <c r="M35" s="191"/>
      <c r="N35" s="191"/>
    </row>
  </sheetData>
  <mergeCells count="2">
    <mergeCell ref="A1:N1"/>
    <mergeCell ref="A3:J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R35"/>
  <sheetViews>
    <sheetView workbookViewId="0">
      <pane ySplit="2" topLeftCell="A20" activePane="bottomLeft" state="frozen"/>
      <selection pane="bottomLeft" activeCell="L33" sqref="L33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8" ht="15.75" customHeight="1">
      <c r="A1" s="475" t="s">
        <v>59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</row>
    <row r="2" spans="1:18">
      <c r="A2" s="70" t="s">
        <v>95</v>
      </c>
      <c r="B2" s="70" t="s">
        <v>96</v>
      </c>
      <c r="C2" s="70" t="s">
        <v>97</v>
      </c>
      <c r="D2" s="70" t="s">
        <v>98</v>
      </c>
      <c r="E2" s="97" t="s">
        <v>99</v>
      </c>
      <c r="F2" s="97" t="s">
        <v>100</v>
      </c>
      <c r="G2" s="97" t="s">
        <v>101</v>
      </c>
      <c r="H2" s="97" t="s">
        <v>102</v>
      </c>
      <c r="I2" s="97" t="s">
        <v>100</v>
      </c>
      <c r="J2" s="97" t="s">
        <v>101</v>
      </c>
      <c r="K2" s="97" t="s">
        <v>103</v>
      </c>
      <c r="L2" s="91" t="s">
        <v>104</v>
      </c>
      <c r="M2" s="91" t="s">
        <v>110</v>
      </c>
      <c r="N2" s="70" t="s">
        <v>106</v>
      </c>
    </row>
    <row r="3" spans="1:18">
      <c r="A3" s="476" t="s">
        <v>107</v>
      </c>
      <c r="B3" s="476"/>
      <c r="C3" s="476"/>
      <c r="D3" s="476"/>
      <c r="E3" s="476"/>
      <c r="F3" s="476"/>
      <c r="G3" s="476"/>
      <c r="H3" s="476"/>
      <c r="I3" s="476"/>
      <c r="J3" s="476"/>
      <c r="K3" s="187">
        <v>0</v>
      </c>
      <c r="L3" s="108"/>
      <c r="M3" s="108">
        <f>+K3</f>
        <v>0</v>
      </c>
    </row>
    <row r="4" spans="1:18">
      <c r="A4" s="26">
        <v>1</v>
      </c>
      <c r="B4" s="27">
        <v>45962</v>
      </c>
      <c r="C4" s="6"/>
      <c r="D4" s="6"/>
      <c r="E4" s="285">
        <v>100</v>
      </c>
      <c r="F4" s="48">
        <v>91.92</v>
      </c>
      <c r="G4" s="72">
        <f>E4*F4</f>
        <v>9192</v>
      </c>
      <c r="H4" s="48">
        <v>0</v>
      </c>
      <c r="I4" s="48">
        <v>0</v>
      </c>
      <c r="J4" s="48">
        <v>0</v>
      </c>
      <c r="K4" s="72">
        <f>G4+J4</f>
        <v>9192</v>
      </c>
      <c r="L4" s="72">
        <f>+K4</f>
        <v>9192</v>
      </c>
      <c r="M4" s="72">
        <f>M3+K4-L4</f>
        <v>0</v>
      </c>
      <c r="N4" s="6" t="s">
        <v>155</v>
      </c>
    </row>
    <row r="5" spans="1:18">
      <c r="A5" s="26">
        <v>2</v>
      </c>
      <c r="B5" s="27">
        <v>45963</v>
      </c>
      <c r="C5" s="6"/>
      <c r="D5" s="6"/>
      <c r="E5" s="285">
        <v>65.760000000000005</v>
      </c>
      <c r="F5" s="48">
        <v>91.92</v>
      </c>
      <c r="G5" s="72">
        <f t="shared" ref="G5:G33" si="0">E5*F5</f>
        <v>6044.659200000001</v>
      </c>
      <c r="H5" s="48">
        <v>0</v>
      </c>
      <c r="I5" s="48">
        <v>0</v>
      </c>
      <c r="J5" s="72">
        <f t="shared" ref="J5:J33" si="1">H5*I5</f>
        <v>0</v>
      </c>
      <c r="K5" s="72">
        <f t="shared" ref="K5:K33" si="2">G5+J5</f>
        <v>6044.659200000001</v>
      </c>
      <c r="L5" s="72">
        <f t="shared" ref="L5:L33" si="3">+K5</f>
        <v>6044.659200000001</v>
      </c>
      <c r="M5" s="72">
        <f t="shared" ref="M5:M30" si="4">M4+K5-L5</f>
        <v>0</v>
      </c>
      <c r="N5" s="6"/>
    </row>
    <row r="6" spans="1:18">
      <c r="A6" s="26">
        <v>3</v>
      </c>
      <c r="B6" s="27">
        <v>45964</v>
      </c>
      <c r="C6" s="6"/>
      <c r="D6" s="6"/>
      <c r="E6" s="285">
        <v>30</v>
      </c>
      <c r="F6" s="48">
        <v>91.92</v>
      </c>
      <c r="G6" s="72">
        <f t="shared" si="0"/>
        <v>2757.6</v>
      </c>
      <c r="H6" s="48">
        <v>0</v>
      </c>
      <c r="I6" s="48">
        <v>0</v>
      </c>
      <c r="J6" s="72">
        <f t="shared" si="1"/>
        <v>0</v>
      </c>
      <c r="K6" s="72">
        <f t="shared" si="2"/>
        <v>2757.6</v>
      </c>
      <c r="L6" s="72">
        <f t="shared" si="3"/>
        <v>2757.6</v>
      </c>
      <c r="M6" s="72">
        <f t="shared" si="4"/>
        <v>0</v>
      </c>
      <c r="N6" s="6"/>
    </row>
    <row r="7" spans="1:18">
      <c r="A7" s="26">
        <v>4</v>
      </c>
      <c r="B7" s="27">
        <v>45965</v>
      </c>
      <c r="C7" s="6"/>
      <c r="D7" s="6"/>
      <c r="E7" s="285">
        <v>50</v>
      </c>
      <c r="F7" s="48">
        <v>91.92</v>
      </c>
      <c r="G7" s="72">
        <f t="shared" si="0"/>
        <v>4596</v>
      </c>
      <c r="H7" s="48">
        <v>0</v>
      </c>
      <c r="I7" s="48">
        <v>0</v>
      </c>
      <c r="J7" s="72">
        <f t="shared" si="1"/>
        <v>0</v>
      </c>
      <c r="K7" s="72">
        <f t="shared" si="2"/>
        <v>4596</v>
      </c>
      <c r="L7" s="72">
        <f t="shared" si="3"/>
        <v>4596</v>
      </c>
      <c r="M7" s="72">
        <f t="shared" si="4"/>
        <v>0</v>
      </c>
      <c r="N7" s="6"/>
    </row>
    <row r="8" spans="1:18">
      <c r="A8" s="26">
        <v>5</v>
      </c>
      <c r="B8" s="27">
        <v>45966</v>
      </c>
      <c r="C8" s="6"/>
      <c r="D8" s="6"/>
      <c r="E8" s="285">
        <v>100</v>
      </c>
      <c r="F8" s="48">
        <v>91.92</v>
      </c>
      <c r="G8" s="72">
        <f t="shared" si="0"/>
        <v>9192</v>
      </c>
      <c r="H8" s="48">
        <v>11.61</v>
      </c>
      <c r="I8" s="48">
        <v>103.96</v>
      </c>
      <c r="J8" s="72">
        <f t="shared" si="1"/>
        <v>1206.9755999999998</v>
      </c>
      <c r="K8" s="72">
        <f t="shared" si="2"/>
        <v>10398.9756</v>
      </c>
      <c r="L8" s="72">
        <f t="shared" si="3"/>
        <v>10398.9756</v>
      </c>
      <c r="M8" s="72">
        <f t="shared" si="4"/>
        <v>0</v>
      </c>
      <c r="N8" s="6"/>
    </row>
    <row r="9" spans="1:18">
      <c r="A9" s="26">
        <v>6</v>
      </c>
      <c r="B9" s="27">
        <v>45967</v>
      </c>
      <c r="C9" s="6"/>
      <c r="D9" s="6"/>
      <c r="E9" s="285">
        <v>0</v>
      </c>
      <c r="F9" s="48">
        <v>0</v>
      </c>
      <c r="G9" s="72">
        <f t="shared" si="0"/>
        <v>0</v>
      </c>
      <c r="H9" s="48">
        <v>7.32</v>
      </c>
      <c r="I9" s="48">
        <v>103.96</v>
      </c>
      <c r="J9" s="72">
        <f t="shared" si="1"/>
        <v>760.98720000000003</v>
      </c>
      <c r="K9" s="72">
        <f t="shared" si="2"/>
        <v>760.98720000000003</v>
      </c>
      <c r="L9" s="72">
        <f t="shared" si="3"/>
        <v>760.98720000000003</v>
      </c>
      <c r="M9" s="72">
        <f t="shared" si="4"/>
        <v>0</v>
      </c>
      <c r="N9" s="6"/>
      <c r="R9" s="48">
        <v>91.92</v>
      </c>
    </row>
    <row r="10" spans="1:18">
      <c r="A10" s="26">
        <v>7</v>
      </c>
      <c r="B10" s="27">
        <v>45968</v>
      </c>
      <c r="C10" s="6"/>
      <c r="D10" s="6"/>
      <c r="E10" s="285">
        <v>0</v>
      </c>
      <c r="F10" s="48">
        <v>0</v>
      </c>
      <c r="G10" s="72">
        <f t="shared" si="0"/>
        <v>0</v>
      </c>
      <c r="H10" s="48">
        <v>0</v>
      </c>
      <c r="I10" s="48">
        <v>0</v>
      </c>
      <c r="J10" s="72">
        <f t="shared" si="1"/>
        <v>0</v>
      </c>
      <c r="K10" s="72">
        <f t="shared" si="2"/>
        <v>0</v>
      </c>
      <c r="L10" s="72">
        <f t="shared" si="3"/>
        <v>0</v>
      </c>
      <c r="M10" s="72">
        <f t="shared" si="4"/>
        <v>0</v>
      </c>
      <c r="N10" s="6"/>
    </row>
    <row r="11" spans="1:18">
      <c r="A11" s="26">
        <v>8</v>
      </c>
      <c r="B11" s="27">
        <v>45969</v>
      </c>
      <c r="C11" s="6"/>
      <c r="D11" s="6"/>
      <c r="E11" s="285">
        <v>50</v>
      </c>
      <c r="F11" s="48">
        <v>91.92</v>
      </c>
      <c r="G11" s="72">
        <f t="shared" si="0"/>
        <v>4596</v>
      </c>
      <c r="H11" s="48">
        <v>0</v>
      </c>
      <c r="I11" s="48">
        <v>0</v>
      </c>
      <c r="J11" s="72">
        <f t="shared" si="1"/>
        <v>0</v>
      </c>
      <c r="K11" s="72">
        <f t="shared" si="2"/>
        <v>4596</v>
      </c>
      <c r="L11" s="72">
        <f t="shared" si="3"/>
        <v>4596</v>
      </c>
      <c r="M11" s="72">
        <f t="shared" si="4"/>
        <v>0</v>
      </c>
      <c r="N11" s="6"/>
      <c r="R11" s="5">
        <f>6.5/675.74</f>
        <v>9.6190842631781459E-3</v>
      </c>
    </row>
    <row r="12" spans="1:18">
      <c r="A12" s="26">
        <v>9</v>
      </c>
      <c r="B12" s="27">
        <v>45970</v>
      </c>
      <c r="C12" s="6"/>
      <c r="D12" s="6"/>
      <c r="E12" s="285">
        <v>0</v>
      </c>
      <c r="F12" s="48">
        <v>0</v>
      </c>
      <c r="G12" s="72">
        <f t="shared" si="0"/>
        <v>0</v>
      </c>
      <c r="H12" s="48">
        <v>0</v>
      </c>
      <c r="I12" s="48">
        <v>0</v>
      </c>
      <c r="J12" s="72">
        <f t="shared" si="1"/>
        <v>0</v>
      </c>
      <c r="K12" s="72">
        <f t="shared" si="2"/>
        <v>0</v>
      </c>
      <c r="L12" s="72">
        <f t="shared" si="3"/>
        <v>0</v>
      </c>
      <c r="M12" s="72">
        <f t="shared" si="4"/>
        <v>0</v>
      </c>
      <c r="N12" s="6"/>
    </row>
    <row r="13" spans="1:18">
      <c r="A13" s="26">
        <v>10</v>
      </c>
      <c r="B13" s="27">
        <v>45971</v>
      </c>
      <c r="C13" s="6"/>
      <c r="D13" s="6"/>
      <c r="E13" s="285">
        <v>0</v>
      </c>
      <c r="F13" s="48">
        <v>0</v>
      </c>
      <c r="G13" s="72">
        <f t="shared" si="0"/>
        <v>0</v>
      </c>
      <c r="H13" s="48">
        <v>0</v>
      </c>
      <c r="I13" s="48">
        <v>0</v>
      </c>
      <c r="J13" s="72">
        <f t="shared" si="1"/>
        <v>0</v>
      </c>
      <c r="K13" s="72">
        <f t="shared" si="2"/>
        <v>0</v>
      </c>
      <c r="L13" s="72">
        <f t="shared" si="3"/>
        <v>0</v>
      </c>
      <c r="M13" s="72">
        <f t="shared" si="4"/>
        <v>0</v>
      </c>
      <c r="N13" s="6"/>
      <c r="R13" s="5">
        <f>675.74/6.5</f>
        <v>103.96000000000001</v>
      </c>
    </row>
    <row r="14" spans="1:18">
      <c r="A14" s="26">
        <v>11</v>
      </c>
      <c r="B14" s="27">
        <v>45972</v>
      </c>
      <c r="C14" s="6"/>
      <c r="D14" s="6"/>
      <c r="E14" s="285">
        <v>0</v>
      </c>
      <c r="F14" s="48">
        <v>0</v>
      </c>
      <c r="G14" s="72">
        <f t="shared" si="0"/>
        <v>0</v>
      </c>
      <c r="H14" s="48">
        <v>0</v>
      </c>
      <c r="I14" s="48">
        <v>0</v>
      </c>
      <c r="J14" s="72">
        <f t="shared" si="1"/>
        <v>0</v>
      </c>
      <c r="K14" s="72">
        <f t="shared" si="2"/>
        <v>0</v>
      </c>
      <c r="L14" s="72">
        <f t="shared" si="3"/>
        <v>0</v>
      </c>
      <c r="M14" s="72">
        <f t="shared" si="4"/>
        <v>0</v>
      </c>
      <c r="N14" s="6"/>
    </row>
    <row r="15" spans="1:18">
      <c r="A15" s="26">
        <v>12</v>
      </c>
      <c r="B15" s="27">
        <v>45973</v>
      </c>
      <c r="C15" s="6"/>
      <c r="D15" s="6"/>
      <c r="E15" s="285">
        <v>0</v>
      </c>
      <c r="F15" s="48">
        <v>0</v>
      </c>
      <c r="G15" s="72">
        <f t="shared" si="0"/>
        <v>0</v>
      </c>
      <c r="H15" s="48">
        <v>0</v>
      </c>
      <c r="I15" s="48">
        <v>0</v>
      </c>
      <c r="J15" s="72">
        <f t="shared" si="1"/>
        <v>0</v>
      </c>
      <c r="K15" s="72">
        <f t="shared" si="2"/>
        <v>0</v>
      </c>
      <c r="L15" s="72">
        <f t="shared" si="3"/>
        <v>0</v>
      </c>
      <c r="M15" s="72">
        <f t="shared" si="4"/>
        <v>0</v>
      </c>
      <c r="N15" s="6"/>
    </row>
    <row r="16" spans="1:18">
      <c r="A16" s="26">
        <v>13</v>
      </c>
      <c r="B16" s="27">
        <v>45974</v>
      </c>
      <c r="C16" s="6"/>
      <c r="D16" s="6"/>
      <c r="E16" s="285">
        <v>75</v>
      </c>
      <c r="F16" s="48">
        <v>91.92</v>
      </c>
      <c r="G16" s="72">
        <f t="shared" si="0"/>
        <v>6894</v>
      </c>
      <c r="H16" s="48">
        <v>0</v>
      </c>
      <c r="I16" s="48">
        <v>0</v>
      </c>
      <c r="J16" s="72">
        <f t="shared" si="1"/>
        <v>0</v>
      </c>
      <c r="K16" s="72">
        <f t="shared" si="2"/>
        <v>6894</v>
      </c>
      <c r="L16" s="72">
        <f t="shared" si="3"/>
        <v>6894</v>
      </c>
      <c r="M16" s="72">
        <f t="shared" si="4"/>
        <v>0</v>
      </c>
      <c r="N16" s="6"/>
    </row>
    <row r="17" spans="1:14">
      <c r="A17" s="26">
        <v>14</v>
      </c>
      <c r="B17" s="27">
        <v>45975</v>
      </c>
      <c r="C17" s="186"/>
      <c r="D17" s="6"/>
      <c r="E17" s="285">
        <v>40</v>
      </c>
      <c r="F17" s="48">
        <v>91.92</v>
      </c>
      <c r="G17" s="72">
        <f t="shared" si="0"/>
        <v>3676.8</v>
      </c>
      <c r="H17" s="48">
        <v>5</v>
      </c>
      <c r="I17" s="48">
        <v>103.96</v>
      </c>
      <c r="J17" s="72">
        <f t="shared" si="1"/>
        <v>519.79999999999995</v>
      </c>
      <c r="K17" s="72">
        <f t="shared" si="2"/>
        <v>4196.6000000000004</v>
      </c>
      <c r="L17" s="72">
        <f t="shared" si="3"/>
        <v>4196.6000000000004</v>
      </c>
      <c r="M17" s="72">
        <f t="shared" si="4"/>
        <v>0</v>
      </c>
      <c r="N17" s="6"/>
    </row>
    <row r="18" spans="1:14">
      <c r="A18" s="26">
        <v>15</v>
      </c>
      <c r="B18" s="27">
        <v>45976</v>
      </c>
      <c r="C18" s="186"/>
      <c r="D18" s="6"/>
      <c r="E18" s="285">
        <v>100</v>
      </c>
      <c r="F18" s="48">
        <v>91.92</v>
      </c>
      <c r="G18" s="72">
        <f t="shared" si="0"/>
        <v>9192</v>
      </c>
      <c r="H18" s="48">
        <v>0</v>
      </c>
      <c r="I18" s="48">
        <v>0</v>
      </c>
      <c r="J18" s="72">
        <f t="shared" si="1"/>
        <v>0</v>
      </c>
      <c r="K18" s="72">
        <f t="shared" si="2"/>
        <v>9192</v>
      </c>
      <c r="L18" s="72">
        <f t="shared" si="3"/>
        <v>9192</v>
      </c>
      <c r="M18" s="72">
        <f t="shared" si="4"/>
        <v>0</v>
      </c>
      <c r="N18" s="6"/>
    </row>
    <row r="19" spans="1:14">
      <c r="A19" s="26">
        <v>16</v>
      </c>
      <c r="B19" s="27">
        <v>45977</v>
      </c>
      <c r="C19" s="186"/>
      <c r="D19" s="6"/>
      <c r="E19" s="285">
        <v>80</v>
      </c>
      <c r="F19" s="48">
        <v>91.92</v>
      </c>
      <c r="G19" s="72">
        <f t="shared" si="0"/>
        <v>7353.6</v>
      </c>
      <c r="H19" s="48">
        <v>3</v>
      </c>
      <c r="I19" s="48">
        <v>103.96</v>
      </c>
      <c r="J19" s="72">
        <f t="shared" si="1"/>
        <v>311.88</v>
      </c>
      <c r="K19" s="72">
        <f t="shared" si="2"/>
        <v>7665.4800000000005</v>
      </c>
      <c r="L19" s="72">
        <f t="shared" si="3"/>
        <v>7665.4800000000005</v>
      </c>
      <c r="M19" s="72">
        <f t="shared" si="4"/>
        <v>0</v>
      </c>
      <c r="N19" s="6"/>
    </row>
    <row r="20" spans="1:14">
      <c r="A20" s="26">
        <v>17</v>
      </c>
      <c r="B20" s="27">
        <v>45978</v>
      </c>
      <c r="C20" s="186"/>
      <c r="D20" s="6"/>
      <c r="E20" s="285">
        <v>80</v>
      </c>
      <c r="F20" s="48">
        <v>91.92</v>
      </c>
      <c r="G20" s="72">
        <f t="shared" si="0"/>
        <v>7353.6</v>
      </c>
      <c r="H20" s="48">
        <v>0</v>
      </c>
      <c r="I20" s="48">
        <v>0</v>
      </c>
      <c r="J20" s="72">
        <f t="shared" si="1"/>
        <v>0</v>
      </c>
      <c r="K20" s="72">
        <f t="shared" si="2"/>
        <v>7353.6</v>
      </c>
      <c r="L20" s="72">
        <f t="shared" si="3"/>
        <v>7353.6</v>
      </c>
      <c r="M20" s="72">
        <f t="shared" si="4"/>
        <v>0</v>
      </c>
      <c r="N20" s="6"/>
    </row>
    <row r="21" spans="1:14">
      <c r="A21" s="26">
        <v>18</v>
      </c>
      <c r="B21" s="27">
        <v>45979</v>
      </c>
      <c r="C21" s="186"/>
      <c r="D21" s="6"/>
      <c r="E21" s="285">
        <v>0</v>
      </c>
      <c r="F21" s="48">
        <v>0</v>
      </c>
      <c r="G21" s="72">
        <f t="shared" si="0"/>
        <v>0</v>
      </c>
      <c r="H21" s="48">
        <v>6</v>
      </c>
      <c r="I21" s="48">
        <v>103.96</v>
      </c>
      <c r="J21" s="72">
        <f t="shared" si="1"/>
        <v>623.76</v>
      </c>
      <c r="K21" s="72">
        <f t="shared" si="2"/>
        <v>623.76</v>
      </c>
      <c r="L21" s="72">
        <f t="shared" si="3"/>
        <v>623.76</v>
      </c>
      <c r="M21" s="72">
        <f t="shared" si="4"/>
        <v>0</v>
      </c>
      <c r="N21" s="6"/>
    </row>
    <row r="22" spans="1:14">
      <c r="A22" s="26">
        <v>19</v>
      </c>
      <c r="B22" s="27">
        <v>45980</v>
      </c>
      <c r="C22" s="186"/>
      <c r="D22" s="6"/>
      <c r="E22" s="285">
        <v>0</v>
      </c>
      <c r="F22" s="48">
        <v>0</v>
      </c>
      <c r="G22" s="72">
        <f t="shared" si="0"/>
        <v>0</v>
      </c>
      <c r="H22" s="48">
        <v>0</v>
      </c>
      <c r="I22" s="48">
        <v>0</v>
      </c>
      <c r="J22" s="72">
        <f t="shared" si="1"/>
        <v>0</v>
      </c>
      <c r="K22" s="72">
        <f t="shared" si="2"/>
        <v>0</v>
      </c>
      <c r="L22" s="72">
        <f t="shared" si="3"/>
        <v>0</v>
      </c>
      <c r="M22" s="72">
        <f t="shared" si="4"/>
        <v>0</v>
      </c>
      <c r="N22" s="6"/>
    </row>
    <row r="23" spans="1:14">
      <c r="A23" s="26">
        <v>20</v>
      </c>
      <c r="B23" s="27">
        <v>45981</v>
      </c>
      <c r="C23" s="186"/>
      <c r="D23" s="6"/>
      <c r="E23" s="285">
        <v>100</v>
      </c>
      <c r="F23" s="48">
        <v>91.92</v>
      </c>
      <c r="G23" s="72">
        <f t="shared" si="0"/>
        <v>9192</v>
      </c>
      <c r="H23" s="48">
        <v>6</v>
      </c>
      <c r="I23" s="48">
        <v>103.96</v>
      </c>
      <c r="J23" s="72">
        <f t="shared" si="1"/>
        <v>623.76</v>
      </c>
      <c r="K23" s="72">
        <f t="shared" si="2"/>
        <v>9815.76</v>
      </c>
      <c r="L23" s="72">
        <f t="shared" si="3"/>
        <v>9815.76</v>
      </c>
      <c r="M23" s="72">
        <f t="shared" si="4"/>
        <v>0</v>
      </c>
      <c r="N23" s="6"/>
    </row>
    <row r="24" spans="1:14">
      <c r="A24" s="26">
        <v>21</v>
      </c>
      <c r="B24" s="27">
        <v>45982</v>
      </c>
      <c r="C24" s="186"/>
      <c r="D24" s="6"/>
      <c r="E24" s="285">
        <v>120</v>
      </c>
      <c r="F24" s="48">
        <v>91.92</v>
      </c>
      <c r="G24" s="72">
        <f t="shared" si="0"/>
        <v>11030.4</v>
      </c>
      <c r="H24" s="48">
        <v>0</v>
      </c>
      <c r="I24" s="48">
        <v>0</v>
      </c>
      <c r="J24" s="72">
        <f t="shared" si="1"/>
        <v>0</v>
      </c>
      <c r="K24" s="72">
        <f t="shared" si="2"/>
        <v>11030.4</v>
      </c>
      <c r="L24" s="72">
        <f t="shared" si="3"/>
        <v>11030.4</v>
      </c>
      <c r="M24" s="72">
        <f t="shared" si="4"/>
        <v>0</v>
      </c>
      <c r="N24" s="6"/>
    </row>
    <row r="25" spans="1:14">
      <c r="A25" s="26">
        <v>22</v>
      </c>
      <c r="B25" s="27">
        <v>45983</v>
      </c>
      <c r="C25" s="186"/>
      <c r="D25" s="6"/>
      <c r="E25" s="285">
        <v>0</v>
      </c>
      <c r="F25" s="48">
        <v>0</v>
      </c>
      <c r="G25" s="72">
        <f t="shared" si="0"/>
        <v>0</v>
      </c>
      <c r="H25" s="48">
        <v>0</v>
      </c>
      <c r="I25" s="48">
        <v>0</v>
      </c>
      <c r="J25" s="72">
        <f t="shared" si="1"/>
        <v>0</v>
      </c>
      <c r="K25" s="72">
        <f t="shared" si="2"/>
        <v>0</v>
      </c>
      <c r="L25" s="72">
        <f t="shared" si="3"/>
        <v>0</v>
      </c>
      <c r="M25" s="72">
        <f t="shared" si="4"/>
        <v>0</v>
      </c>
      <c r="N25" s="6"/>
    </row>
    <row r="26" spans="1:14">
      <c r="A26" s="26">
        <v>23</v>
      </c>
      <c r="B26" s="27">
        <v>45984</v>
      </c>
      <c r="C26" s="186"/>
      <c r="D26" s="6"/>
      <c r="E26" s="285">
        <v>75.53</v>
      </c>
      <c r="F26" s="48">
        <v>91.92</v>
      </c>
      <c r="G26" s="72">
        <f t="shared" ref="G26" si="5">E26*F26</f>
        <v>6942.7175999999999</v>
      </c>
      <c r="H26" s="48">
        <v>6.37</v>
      </c>
      <c r="I26" s="48">
        <v>103.96</v>
      </c>
      <c r="J26" s="72">
        <f t="shared" ref="J26" si="6">H26*I26</f>
        <v>662.22519999999997</v>
      </c>
      <c r="K26" s="72">
        <f t="shared" si="2"/>
        <v>7604.9427999999998</v>
      </c>
      <c r="L26" s="72">
        <f t="shared" si="3"/>
        <v>7604.9427999999998</v>
      </c>
      <c r="M26" s="72">
        <f t="shared" si="4"/>
        <v>0</v>
      </c>
      <c r="N26" s="6"/>
    </row>
    <row r="27" spans="1:14">
      <c r="A27" s="26">
        <v>24</v>
      </c>
      <c r="B27" s="27">
        <v>45985</v>
      </c>
      <c r="C27" s="186"/>
      <c r="D27" s="6"/>
      <c r="E27" s="285">
        <v>80</v>
      </c>
      <c r="F27" s="48">
        <v>91.92</v>
      </c>
      <c r="G27" s="72">
        <f t="shared" si="0"/>
        <v>7353.6</v>
      </c>
      <c r="H27" s="48">
        <v>6.2</v>
      </c>
      <c r="I27" s="48">
        <v>103.96</v>
      </c>
      <c r="J27" s="72">
        <f t="shared" si="1"/>
        <v>644.55200000000002</v>
      </c>
      <c r="K27" s="72">
        <f t="shared" si="2"/>
        <v>7998.152</v>
      </c>
      <c r="L27" s="72">
        <f t="shared" si="3"/>
        <v>7998.152</v>
      </c>
      <c r="M27" s="72">
        <f t="shared" si="4"/>
        <v>0</v>
      </c>
      <c r="N27" s="6"/>
    </row>
    <row r="28" spans="1:14">
      <c r="A28" s="26">
        <v>25</v>
      </c>
      <c r="B28" s="27">
        <v>45986</v>
      </c>
      <c r="C28" s="186"/>
      <c r="D28" s="6"/>
      <c r="E28" s="285">
        <v>90</v>
      </c>
      <c r="F28" s="48">
        <v>91.92</v>
      </c>
      <c r="G28" s="72">
        <f t="shared" si="0"/>
        <v>8272.7999999999993</v>
      </c>
      <c r="H28" s="48">
        <v>0</v>
      </c>
      <c r="I28" s="48">
        <v>0</v>
      </c>
      <c r="J28" s="72">
        <f t="shared" si="1"/>
        <v>0</v>
      </c>
      <c r="K28" s="72">
        <f t="shared" si="2"/>
        <v>8272.7999999999993</v>
      </c>
      <c r="L28" s="72">
        <f t="shared" si="3"/>
        <v>8272.7999999999993</v>
      </c>
      <c r="M28" s="72">
        <f t="shared" si="4"/>
        <v>0</v>
      </c>
      <c r="N28" s="6"/>
    </row>
    <row r="29" spans="1:14">
      <c r="A29" s="26">
        <v>26</v>
      </c>
      <c r="B29" s="27">
        <v>45987</v>
      </c>
      <c r="C29" s="186"/>
      <c r="D29" s="6"/>
      <c r="E29" s="285">
        <v>0</v>
      </c>
      <c r="F29" s="48">
        <v>0</v>
      </c>
      <c r="G29" s="72">
        <f t="shared" si="0"/>
        <v>0</v>
      </c>
      <c r="H29" s="48">
        <v>0</v>
      </c>
      <c r="I29" s="48">
        <v>0</v>
      </c>
      <c r="J29" s="72">
        <f t="shared" si="1"/>
        <v>0</v>
      </c>
      <c r="K29" s="72">
        <f t="shared" si="2"/>
        <v>0</v>
      </c>
      <c r="L29" s="72">
        <f t="shared" si="3"/>
        <v>0</v>
      </c>
      <c r="M29" s="72">
        <f t="shared" si="4"/>
        <v>0</v>
      </c>
      <c r="N29" s="6"/>
    </row>
    <row r="30" spans="1:14">
      <c r="A30" s="26">
        <v>27</v>
      </c>
      <c r="B30" s="27">
        <v>45988</v>
      </c>
      <c r="C30" s="186"/>
      <c r="D30" s="6"/>
      <c r="E30" s="285">
        <v>80</v>
      </c>
      <c r="F30" s="48">
        <v>91.92</v>
      </c>
      <c r="G30" s="72">
        <f t="shared" si="0"/>
        <v>7353.6</v>
      </c>
      <c r="H30" s="48">
        <v>0</v>
      </c>
      <c r="I30" s="48">
        <v>0</v>
      </c>
      <c r="J30" s="72">
        <f t="shared" si="1"/>
        <v>0</v>
      </c>
      <c r="K30" s="72">
        <f t="shared" si="2"/>
        <v>7353.6</v>
      </c>
      <c r="L30" s="72">
        <f t="shared" si="3"/>
        <v>7353.6</v>
      </c>
      <c r="M30" s="72">
        <f t="shared" si="4"/>
        <v>0</v>
      </c>
      <c r="N30" s="6"/>
    </row>
    <row r="31" spans="1:14">
      <c r="A31" s="231">
        <v>28</v>
      </c>
      <c r="B31" s="27">
        <v>45989</v>
      </c>
      <c r="C31" s="186"/>
      <c r="D31" s="6"/>
      <c r="E31" s="285">
        <v>80</v>
      </c>
      <c r="F31" s="48">
        <v>91.92</v>
      </c>
      <c r="G31" s="72">
        <f t="shared" si="0"/>
        <v>7353.6</v>
      </c>
      <c r="H31" s="48">
        <v>5</v>
      </c>
      <c r="I31" s="48">
        <v>103.96</v>
      </c>
      <c r="J31" s="72">
        <f t="shared" si="1"/>
        <v>519.79999999999995</v>
      </c>
      <c r="K31" s="72">
        <f t="shared" si="2"/>
        <v>7873.4000000000005</v>
      </c>
      <c r="L31" s="72">
        <f t="shared" si="3"/>
        <v>7873.4000000000005</v>
      </c>
      <c r="M31" s="72">
        <f t="shared" ref="M31:M32" si="7">M30+K31-L31</f>
        <v>0</v>
      </c>
      <c r="N31" s="6"/>
    </row>
    <row r="32" spans="1:14">
      <c r="A32" s="26">
        <v>29</v>
      </c>
      <c r="B32" s="27">
        <v>45990</v>
      </c>
      <c r="C32" s="186"/>
      <c r="D32" s="6"/>
      <c r="E32" s="285">
        <v>100</v>
      </c>
      <c r="F32" s="48">
        <v>91.92</v>
      </c>
      <c r="G32" s="72">
        <f t="shared" si="0"/>
        <v>9192</v>
      </c>
      <c r="H32" s="48">
        <v>0</v>
      </c>
      <c r="I32" s="48">
        <v>0</v>
      </c>
      <c r="J32" s="72">
        <f t="shared" si="1"/>
        <v>0</v>
      </c>
      <c r="K32" s="72">
        <f t="shared" si="2"/>
        <v>9192</v>
      </c>
      <c r="L32" s="72">
        <f t="shared" si="3"/>
        <v>9192</v>
      </c>
      <c r="M32" s="72">
        <f t="shared" si="7"/>
        <v>0</v>
      </c>
      <c r="N32" s="6"/>
    </row>
    <row r="33" spans="1:14">
      <c r="A33" s="26">
        <v>30</v>
      </c>
      <c r="B33" s="27">
        <v>45991</v>
      </c>
      <c r="C33" s="186"/>
      <c r="D33" s="6"/>
      <c r="E33" s="285">
        <v>20</v>
      </c>
      <c r="F33" s="48">
        <v>91.92</v>
      </c>
      <c r="G33" s="72">
        <f t="shared" si="0"/>
        <v>1838.4</v>
      </c>
      <c r="H33" s="48">
        <v>0</v>
      </c>
      <c r="I33" s="48">
        <v>0</v>
      </c>
      <c r="J33" s="72">
        <f t="shared" si="1"/>
        <v>0</v>
      </c>
      <c r="K33" s="72">
        <f t="shared" si="2"/>
        <v>1838.4</v>
      </c>
      <c r="L33" s="72">
        <f t="shared" si="3"/>
        <v>1838.4</v>
      </c>
      <c r="M33" s="72">
        <f t="shared" ref="M33:M34" si="8">M32+K33-L33</f>
        <v>0</v>
      </c>
      <c r="N33" s="6"/>
    </row>
    <row r="34" spans="1:14">
      <c r="A34" s="26">
        <v>31</v>
      </c>
      <c r="B34" s="27">
        <v>45992</v>
      </c>
      <c r="C34" s="186"/>
      <c r="D34" s="6"/>
      <c r="E34" s="285">
        <v>0</v>
      </c>
      <c r="F34" s="48">
        <v>0</v>
      </c>
      <c r="G34" s="72">
        <f t="shared" ref="G34" si="9">E34*F34</f>
        <v>0</v>
      </c>
      <c r="H34" s="48">
        <v>0</v>
      </c>
      <c r="I34" s="48">
        <v>0</v>
      </c>
      <c r="J34" s="72">
        <f t="shared" ref="J34" si="10">H34*I34</f>
        <v>0</v>
      </c>
      <c r="K34" s="72">
        <f t="shared" ref="K34" si="11">G34+J34</f>
        <v>0</v>
      </c>
      <c r="L34" s="72">
        <f t="shared" ref="L34" si="12">+K34</f>
        <v>0</v>
      </c>
      <c r="M34" s="72">
        <f t="shared" si="8"/>
        <v>0</v>
      </c>
      <c r="N34" s="6"/>
    </row>
    <row r="35" spans="1:14">
      <c r="A35" s="46"/>
      <c r="B35" s="46"/>
      <c r="C35" s="46"/>
      <c r="D35" s="46"/>
      <c r="E35" s="46">
        <f>SUM(E4:E34)</f>
        <v>1516.29</v>
      </c>
      <c r="F35" s="46"/>
      <c r="G35" s="46">
        <f>SUM(G4:G34)</f>
        <v>139377.3768</v>
      </c>
      <c r="H35" s="46">
        <f>SUM(H4:H34)</f>
        <v>56.5</v>
      </c>
      <c r="I35" s="46"/>
      <c r="J35" s="46">
        <f>SUM(J4:J34)</f>
        <v>5873.74</v>
      </c>
      <c r="K35" s="46">
        <f>SUM(K4:K34)</f>
        <v>145251.11679999999</v>
      </c>
      <c r="L35" s="46">
        <f>SUM(L4:L34)</f>
        <v>145251.11679999999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Q54"/>
  <sheetViews>
    <sheetView workbookViewId="0">
      <pane ySplit="2" topLeftCell="A33" activePane="bottomLeft" state="frozen"/>
      <selection pane="bottomLeft" activeCell="M39" sqref="M39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2" bestFit="1" customWidth="1"/>
    <col min="6" max="6" width="9.5703125" style="22" bestFit="1" customWidth="1"/>
    <col min="7" max="7" width="10.42578125" style="22" bestFit="1" customWidth="1"/>
    <col min="8" max="8" width="10.7109375" style="22" bestFit="1" customWidth="1"/>
    <col min="9" max="9" width="7.140625" style="22" bestFit="1" customWidth="1"/>
    <col min="10" max="10" width="8.7109375" style="22" bestFit="1" customWidth="1"/>
    <col min="11" max="11" width="13.5703125" style="22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4" ht="15.75">
      <c r="A1" s="477" t="s">
        <v>61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</row>
    <row r="2" spans="1:14" ht="30">
      <c r="A2" s="70" t="s">
        <v>95</v>
      </c>
      <c r="B2" s="89" t="s">
        <v>96</v>
      </c>
      <c r="C2" s="89" t="s">
        <v>97</v>
      </c>
      <c r="D2" s="89" t="s">
        <v>98</v>
      </c>
      <c r="E2" s="96" t="s">
        <v>99</v>
      </c>
      <c r="F2" s="96" t="s">
        <v>100</v>
      </c>
      <c r="G2" s="96" t="s">
        <v>101</v>
      </c>
      <c r="H2" s="96" t="s">
        <v>102</v>
      </c>
      <c r="I2" s="96" t="s">
        <v>100</v>
      </c>
      <c r="J2" s="96" t="s">
        <v>101</v>
      </c>
      <c r="K2" s="97" t="s">
        <v>103</v>
      </c>
      <c r="L2" s="91" t="s">
        <v>104</v>
      </c>
      <c r="M2" s="91" t="s">
        <v>110</v>
      </c>
      <c r="N2" s="132" t="s">
        <v>106</v>
      </c>
    </row>
    <row r="3" spans="1:14">
      <c r="A3" s="450" t="s">
        <v>107</v>
      </c>
      <c r="B3" s="450"/>
      <c r="C3" s="450"/>
      <c r="D3" s="450"/>
      <c r="E3" s="450"/>
      <c r="F3" s="450"/>
      <c r="G3" s="450"/>
      <c r="H3" s="450"/>
      <c r="I3" s="450"/>
      <c r="J3" s="460"/>
      <c r="K3" s="214">
        <v>705601.30959999992</v>
      </c>
      <c r="M3" s="142">
        <f>+K3</f>
        <v>705601.30959999992</v>
      </c>
      <c r="N3" s="100"/>
    </row>
    <row r="4" spans="1:14">
      <c r="A4" s="26">
        <v>1</v>
      </c>
      <c r="B4" s="27">
        <v>45962</v>
      </c>
      <c r="C4" s="17"/>
      <c r="D4" s="17"/>
      <c r="E4" s="42"/>
      <c r="F4" s="42"/>
      <c r="G4" s="42">
        <f>E4*F4</f>
        <v>0</v>
      </c>
      <c r="H4" s="42">
        <v>7</v>
      </c>
      <c r="I4" s="42">
        <v>105.19</v>
      </c>
      <c r="J4" s="42">
        <f>H4*I4</f>
        <v>736.32999999999993</v>
      </c>
      <c r="K4" s="42">
        <f>G4+J4</f>
        <v>736.32999999999993</v>
      </c>
      <c r="L4" s="42">
        <v>0</v>
      </c>
      <c r="M4" s="143">
        <f>M3+K4-L4</f>
        <v>706337.63959999988</v>
      </c>
      <c r="N4" s="17"/>
    </row>
    <row r="5" spans="1:14">
      <c r="A5" s="26">
        <v>2</v>
      </c>
      <c r="B5" s="27">
        <v>45963</v>
      </c>
      <c r="C5" s="17"/>
      <c r="D5" s="17"/>
      <c r="E5" s="42">
        <v>580</v>
      </c>
      <c r="F5" s="42">
        <v>91.71</v>
      </c>
      <c r="G5" s="42">
        <f t="shared" ref="G5:G52" si="0">E5*F5</f>
        <v>53191.799999999996</v>
      </c>
      <c r="H5" s="42"/>
      <c r="I5" s="42"/>
      <c r="J5" s="42">
        <f t="shared" ref="J5:J52" si="1">H5*I5</f>
        <v>0</v>
      </c>
      <c r="K5" s="42">
        <f t="shared" ref="K5:K52" si="2">G5+J5</f>
        <v>53191.799999999996</v>
      </c>
      <c r="L5" s="42">
        <v>0</v>
      </c>
      <c r="M5" s="143">
        <f t="shared" ref="M5:M53" si="3">M4+K5-L5</f>
        <v>759529.43959999993</v>
      </c>
      <c r="N5" s="17"/>
    </row>
    <row r="6" spans="1:14">
      <c r="A6" s="26">
        <v>3</v>
      </c>
      <c r="B6" s="27">
        <v>45964</v>
      </c>
      <c r="C6" s="17"/>
      <c r="D6" s="17"/>
      <c r="E6" s="42">
        <v>540</v>
      </c>
      <c r="F6" s="42">
        <v>91.71</v>
      </c>
      <c r="G6" s="42">
        <f t="shared" si="0"/>
        <v>49523.399999999994</v>
      </c>
      <c r="H6" s="42">
        <v>5</v>
      </c>
      <c r="I6" s="42">
        <v>105.19</v>
      </c>
      <c r="J6" s="42">
        <f t="shared" si="1"/>
        <v>525.95000000000005</v>
      </c>
      <c r="K6" s="42">
        <f t="shared" si="2"/>
        <v>50049.349999999991</v>
      </c>
      <c r="L6" s="42">
        <v>0</v>
      </c>
      <c r="M6" s="143">
        <f t="shared" si="3"/>
        <v>809578.7895999999</v>
      </c>
      <c r="N6" s="17"/>
    </row>
    <row r="7" spans="1:14">
      <c r="A7" s="26">
        <v>4</v>
      </c>
      <c r="B7" s="27">
        <v>45964</v>
      </c>
      <c r="C7" s="17"/>
      <c r="D7" s="17"/>
      <c r="E7" s="42"/>
      <c r="F7" s="42"/>
      <c r="G7" s="42"/>
      <c r="H7" s="42">
        <v>8.65</v>
      </c>
      <c r="I7" s="42">
        <v>105.5</v>
      </c>
      <c r="J7" s="42">
        <f t="shared" si="1"/>
        <v>912.57500000000005</v>
      </c>
      <c r="K7" s="42">
        <f t="shared" si="2"/>
        <v>912.57500000000005</v>
      </c>
      <c r="L7" s="42">
        <v>912.58</v>
      </c>
      <c r="M7" s="143">
        <f t="shared" si="3"/>
        <v>809578.7845999999</v>
      </c>
      <c r="N7" s="17"/>
    </row>
    <row r="8" spans="1:14">
      <c r="A8" s="26">
        <v>5</v>
      </c>
      <c r="B8" s="27">
        <v>45965</v>
      </c>
      <c r="C8" s="17"/>
      <c r="D8" s="17"/>
      <c r="E8" s="42">
        <v>70</v>
      </c>
      <c r="F8" s="42">
        <v>91.71</v>
      </c>
      <c r="G8" s="42">
        <f t="shared" si="0"/>
        <v>6419.7</v>
      </c>
      <c r="H8" s="42">
        <v>5</v>
      </c>
      <c r="I8" s="42">
        <v>105.19</v>
      </c>
      <c r="J8" s="42">
        <f t="shared" si="1"/>
        <v>525.95000000000005</v>
      </c>
      <c r="K8" s="42">
        <f t="shared" si="2"/>
        <v>6945.65</v>
      </c>
      <c r="L8" s="42">
        <v>0</v>
      </c>
      <c r="M8" s="143">
        <f t="shared" si="3"/>
        <v>816524.43459999992</v>
      </c>
      <c r="N8" s="17"/>
    </row>
    <row r="9" spans="1:14">
      <c r="A9" s="26">
        <v>6</v>
      </c>
      <c r="B9" s="27">
        <v>45966</v>
      </c>
      <c r="C9" s="17"/>
      <c r="D9" s="17"/>
      <c r="E9" s="42">
        <v>579.80999999999995</v>
      </c>
      <c r="F9" s="42">
        <v>91.71</v>
      </c>
      <c r="G9" s="42">
        <f t="shared" si="0"/>
        <v>53174.37509999999</v>
      </c>
      <c r="H9" s="42"/>
      <c r="I9" s="42"/>
      <c r="J9" s="42">
        <f t="shared" si="1"/>
        <v>0</v>
      </c>
      <c r="K9" s="42">
        <f t="shared" si="2"/>
        <v>53174.37509999999</v>
      </c>
      <c r="L9" s="42">
        <v>0</v>
      </c>
      <c r="M9" s="143">
        <f t="shared" si="3"/>
        <v>869698.80969999987</v>
      </c>
      <c r="N9" s="17"/>
    </row>
    <row r="10" spans="1:14">
      <c r="A10" s="26">
        <v>7</v>
      </c>
      <c r="B10" s="27">
        <v>45967</v>
      </c>
      <c r="C10" s="17"/>
      <c r="D10" s="17"/>
      <c r="E10" s="42">
        <v>450</v>
      </c>
      <c r="F10" s="42">
        <v>91.71</v>
      </c>
      <c r="G10" s="42">
        <f t="shared" si="0"/>
        <v>41269.5</v>
      </c>
      <c r="H10" s="42">
        <v>21</v>
      </c>
      <c r="I10" s="42">
        <v>105.19</v>
      </c>
      <c r="J10" s="42">
        <f t="shared" si="1"/>
        <v>2208.9899999999998</v>
      </c>
      <c r="K10" s="42">
        <f t="shared" si="2"/>
        <v>43478.49</v>
      </c>
      <c r="L10" s="42">
        <v>0</v>
      </c>
      <c r="M10" s="143">
        <f t="shared" si="3"/>
        <v>913177.29969999986</v>
      </c>
      <c r="N10" s="17"/>
    </row>
    <row r="11" spans="1:14">
      <c r="A11" s="26">
        <v>8</v>
      </c>
      <c r="B11" s="27">
        <v>45968</v>
      </c>
      <c r="C11" s="17"/>
      <c r="D11" s="17"/>
      <c r="E11" s="42">
        <v>600</v>
      </c>
      <c r="F11" s="42">
        <v>91.71</v>
      </c>
      <c r="G11" s="42">
        <f t="shared" si="0"/>
        <v>55025.999999999993</v>
      </c>
      <c r="H11" s="42"/>
      <c r="I11" s="42"/>
      <c r="J11" s="42">
        <f t="shared" si="1"/>
        <v>0</v>
      </c>
      <c r="K11" s="42">
        <f t="shared" si="2"/>
        <v>55025.999999999993</v>
      </c>
      <c r="L11" s="42">
        <v>0</v>
      </c>
      <c r="M11" s="143">
        <f t="shared" si="3"/>
        <v>968203.29969999986</v>
      </c>
      <c r="N11" s="17"/>
    </row>
    <row r="12" spans="1:14">
      <c r="A12" s="26">
        <v>9</v>
      </c>
      <c r="B12" s="27">
        <v>45969</v>
      </c>
      <c r="C12" s="17"/>
      <c r="D12" s="17"/>
      <c r="E12" s="42">
        <v>860</v>
      </c>
      <c r="F12" s="42">
        <v>91.71</v>
      </c>
      <c r="G12" s="42">
        <f t="shared" si="0"/>
        <v>78870.599999999991</v>
      </c>
      <c r="H12" s="42">
        <v>2</v>
      </c>
      <c r="I12" s="42">
        <v>105.19</v>
      </c>
      <c r="J12" s="42">
        <f t="shared" si="1"/>
        <v>210.38</v>
      </c>
      <c r="K12" s="42">
        <f t="shared" si="2"/>
        <v>79080.98</v>
      </c>
      <c r="L12" s="42">
        <v>0</v>
      </c>
      <c r="M12" s="143">
        <f t="shared" si="3"/>
        <v>1047284.2796999998</v>
      </c>
      <c r="N12" s="17"/>
    </row>
    <row r="13" spans="1:14">
      <c r="A13" s="26">
        <v>10</v>
      </c>
      <c r="B13" s="27">
        <v>45970</v>
      </c>
      <c r="C13" s="17"/>
      <c r="D13" s="17"/>
      <c r="E13" s="42">
        <v>505</v>
      </c>
      <c r="F13" s="42">
        <v>91.71</v>
      </c>
      <c r="G13" s="42">
        <f t="shared" si="0"/>
        <v>46313.549999999996</v>
      </c>
      <c r="H13" s="42"/>
      <c r="I13" s="42"/>
      <c r="J13" s="42">
        <f t="shared" si="1"/>
        <v>0</v>
      </c>
      <c r="K13" s="42">
        <f t="shared" si="2"/>
        <v>46313.549999999996</v>
      </c>
      <c r="L13" s="42">
        <v>0</v>
      </c>
      <c r="M13" s="143">
        <f t="shared" si="3"/>
        <v>1093597.8296999999</v>
      </c>
      <c r="N13" s="48"/>
    </row>
    <row r="14" spans="1:14">
      <c r="A14" s="26">
        <v>11</v>
      </c>
      <c r="B14" s="27">
        <v>45971</v>
      </c>
      <c r="C14" s="17"/>
      <c r="D14" s="17"/>
      <c r="E14" s="42">
        <v>520</v>
      </c>
      <c r="F14" s="42">
        <v>91.71</v>
      </c>
      <c r="G14" s="42">
        <f t="shared" si="0"/>
        <v>47689.2</v>
      </c>
      <c r="H14" s="42"/>
      <c r="I14" s="42"/>
      <c r="J14" s="42">
        <v>0</v>
      </c>
      <c r="K14" s="42">
        <f t="shared" si="2"/>
        <v>47689.2</v>
      </c>
      <c r="L14" s="42">
        <v>0</v>
      </c>
      <c r="M14" s="143">
        <f t="shared" si="3"/>
        <v>1141287.0296999998</v>
      </c>
      <c r="N14" s="48"/>
    </row>
    <row r="15" spans="1:14">
      <c r="A15" s="26">
        <v>12</v>
      </c>
      <c r="B15" s="27">
        <v>45971</v>
      </c>
      <c r="C15" s="17"/>
      <c r="D15" s="17"/>
      <c r="E15" s="42">
        <v>30.79</v>
      </c>
      <c r="F15" s="42">
        <v>97.41</v>
      </c>
      <c r="G15" s="42">
        <f t="shared" si="0"/>
        <v>2999.2538999999997</v>
      </c>
      <c r="H15" s="42"/>
      <c r="I15" s="42"/>
      <c r="J15" s="42"/>
      <c r="K15" s="42">
        <f t="shared" si="2"/>
        <v>2999.2538999999997</v>
      </c>
      <c r="L15" s="42">
        <v>3000</v>
      </c>
      <c r="M15" s="143">
        <f t="shared" si="3"/>
        <v>1141286.2835999997</v>
      </c>
      <c r="N15" s="48"/>
    </row>
    <row r="16" spans="1:14">
      <c r="A16" s="26">
        <v>13</v>
      </c>
      <c r="B16" s="27">
        <v>45972</v>
      </c>
      <c r="C16" s="17"/>
      <c r="D16" s="17"/>
      <c r="E16" s="42">
        <v>70</v>
      </c>
      <c r="F16" s="42">
        <v>97.41</v>
      </c>
      <c r="G16" s="42">
        <f t="shared" si="0"/>
        <v>6818.7</v>
      </c>
      <c r="H16" s="42">
        <v>6</v>
      </c>
      <c r="I16" s="42">
        <v>105.19</v>
      </c>
      <c r="J16" s="42">
        <f t="shared" si="1"/>
        <v>631.14</v>
      </c>
      <c r="K16" s="42">
        <f t="shared" si="2"/>
        <v>7449.84</v>
      </c>
      <c r="L16" s="42">
        <v>0</v>
      </c>
      <c r="M16" s="143">
        <f t="shared" si="3"/>
        <v>1148736.1235999998</v>
      </c>
      <c r="N16" s="48"/>
    </row>
    <row r="17" spans="1:16">
      <c r="A17" s="26">
        <v>14</v>
      </c>
      <c r="B17" s="27">
        <v>45972</v>
      </c>
      <c r="C17" s="17"/>
      <c r="D17" s="17"/>
      <c r="E17" s="42">
        <v>30</v>
      </c>
      <c r="F17" s="42">
        <v>91.61</v>
      </c>
      <c r="G17" s="42">
        <f t="shared" si="0"/>
        <v>2748.3</v>
      </c>
      <c r="H17" s="42"/>
      <c r="I17" s="42"/>
      <c r="J17" s="42"/>
      <c r="K17" s="42">
        <f t="shared" si="2"/>
        <v>2748.3</v>
      </c>
      <c r="L17" s="42"/>
      <c r="M17" s="143">
        <f t="shared" si="3"/>
        <v>1151484.4235999999</v>
      </c>
      <c r="N17" s="48"/>
    </row>
    <row r="18" spans="1:16">
      <c r="A18" s="26">
        <v>15</v>
      </c>
      <c r="B18" s="27">
        <v>45973</v>
      </c>
      <c r="C18" s="17"/>
      <c r="D18" s="17"/>
      <c r="E18" s="42">
        <v>601.85</v>
      </c>
      <c r="F18" s="42">
        <v>91.71</v>
      </c>
      <c r="G18" s="42">
        <f t="shared" si="0"/>
        <v>55195.663499999995</v>
      </c>
      <c r="H18" s="42"/>
      <c r="I18" s="42"/>
      <c r="J18" s="42">
        <f t="shared" si="1"/>
        <v>0</v>
      </c>
      <c r="K18" s="42">
        <f t="shared" si="2"/>
        <v>55195.663499999995</v>
      </c>
      <c r="L18" s="42">
        <v>0</v>
      </c>
      <c r="M18" s="143">
        <f t="shared" si="3"/>
        <v>1206680.0870999999</v>
      </c>
      <c r="N18" s="48"/>
    </row>
    <row r="19" spans="1:16">
      <c r="A19" s="26">
        <v>16</v>
      </c>
      <c r="B19" s="27">
        <v>45974</v>
      </c>
      <c r="C19" s="17"/>
      <c r="D19" s="17"/>
      <c r="E19" s="42">
        <v>495</v>
      </c>
      <c r="F19" s="42">
        <v>91.71</v>
      </c>
      <c r="G19" s="42">
        <f t="shared" si="0"/>
        <v>45396.45</v>
      </c>
      <c r="H19" s="42">
        <v>6</v>
      </c>
      <c r="I19" s="42">
        <v>105.19</v>
      </c>
      <c r="J19" s="42">
        <f t="shared" si="1"/>
        <v>631.14</v>
      </c>
      <c r="K19" s="42">
        <f t="shared" si="2"/>
        <v>46027.59</v>
      </c>
      <c r="L19" s="42">
        <v>0</v>
      </c>
      <c r="M19" s="143">
        <f t="shared" si="3"/>
        <v>1252707.6771</v>
      </c>
      <c r="N19" s="48"/>
      <c r="P19" s="22"/>
    </row>
    <row r="20" spans="1:16">
      <c r="A20" s="26">
        <v>17</v>
      </c>
      <c r="B20" s="27">
        <v>45975</v>
      </c>
      <c r="C20" s="17"/>
      <c r="D20" s="17"/>
      <c r="E20" s="42">
        <v>546.23</v>
      </c>
      <c r="F20" s="42">
        <v>91.71</v>
      </c>
      <c r="G20" s="42">
        <f t="shared" si="0"/>
        <v>50094.753299999997</v>
      </c>
      <c r="H20" s="42"/>
      <c r="I20" s="42"/>
      <c r="J20" s="42">
        <f t="shared" si="1"/>
        <v>0</v>
      </c>
      <c r="K20" s="42">
        <f t="shared" si="2"/>
        <v>50094.753299999997</v>
      </c>
      <c r="L20" s="42">
        <v>0</v>
      </c>
      <c r="M20" s="143">
        <f t="shared" si="3"/>
        <v>1302802.4304</v>
      </c>
      <c r="N20" s="48"/>
      <c r="P20" s="22"/>
    </row>
    <row r="21" spans="1:16">
      <c r="A21" s="26">
        <v>18</v>
      </c>
      <c r="B21" s="27">
        <v>45975</v>
      </c>
      <c r="C21" s="17"/>
      <c r="D21" s="17"/>
      <c r="E21" s="42">
        <v>10.87</v>
      </c>
      <c r="F21" s="42">
        <v>92.03</v>
      </c>
      <c r="G21" s="42">
        <f t="shared" si="0"/>
        <v>1000.3661</v>
      </c>
      <c r="H21" s="42"/>
      <c r="I21" s="42"/>
      <c r="J21" s="42"/>
      <c r="K21" s="42">
        <f t="shared" si="2"/>
        <v>1000.3661</v>
      </c>
      <c r="L21" s="42">
        <v>1000.26</v>
      </c>
      <c r="M21" s="143">
        <f t="shared" si="3"/>
        <v>1302802.5364999999</v>
      </c>
      <c r="N21" s="48"/>
      <c r="P21" s="22"/>
    </row>
    <row r="22" spans="1:16">
      <c r="A22" s="26">
        <v>19</v>
      </c>
      <c r="B22" s="27">
        <v>45975</v>
      </c>
      <c r="C22" s="17"/>
      <c r="D22" s="17"/>
      <c r="E22" s="42">
        <v>70</v>
      </c>
      <c r="F22" s="42">
        <v>91.61</v>
      </c>
      <c r="G22" s="42">
        <f t="shared" si="0"/>
        <v>6412.7</v>
      </c>
      <c r="H22" s="42"/>
      <c r="I22" s="42"/>
      <c r="J22" s="42"/>
      <c r="K22" s="42">
        <f t="shared" si="2"/>
        <v>6412.7</v>
      </c>
      <c r="L22" s="42"/>
      <c r="M22" s="143">
        <f t="shared" si="3"/>
        <v>1309215.2364999999</v>
      </c>
      <c r="N22" s="48"/>
      <c r="P22" s="22"/>
    </row>
    <row r="23" spans="1:16">
      <c r="A23" s="26">
        <v>20</v>
      </c>
      <c r="B23" s="27">
        <v>45976</v>
      </c>
      <c r="C23" s="17"/>
      <c r="D23" s="17"/>
      <c r="E23" s="42">
        <v>580</v>
      </c>
      <c r="F23" s="42">
        <v>91.71</v>
      </c>
      <c r="G23" s="42">
        <f t="shared" si="0"/>
        <v>53191.799999999996</v>
      </c>
      <c r="H23" s="42"/>
      <c r="I23" s="42"/>
      <c r="J23" s="42">
        <f t="shared" si="1"/>
        <v>0</v>
      </c>
      <c r="K23" s="42">
        <f t="shared" si="2"/>
        <v>53191.799999999996</v>
      </c>
      <c r="L23" s="42">
        <v>0</v>
      </c>
      <c r="M23" s="143">
        <f t="shared" si="3"/>
        <v>1362407.0364999999</v>
      </c>
      <c r="N23" s="48"/>
      <c r="P23" s="22"/>
    </row>
    <row r="24" spans="1:16">
      <c r="A24" s="26">
        <v>21</v>
      </c>
      <c r="B24" s="27">
        <v>45977</v>
      </c>
      <c r="C24" s="17"/>
      <c r="D24" s="17"/>
      <c r="E24" s="42">
        <v>500</v>
      </c>
      <c r="F24" s="42">
        <v>91.71</v>
      </c>
      <c r="G24" s="42">
        <f t="shared" si="0"/>
        <v>45855</v>
      </c>
      <c r="H24" s="42"/>
      <c r="I24" s="42"/>
      <c r="J24" s="42">
        <f t="shared" si="1"/>
        <v>0</v>
      </c>
      <c r="K24" s="42">
        <f t="shared" si="2"/>
        <v>45855</v>
      </c>
      <c r="L24" s="42">
        <v>0</v>
      </c>
      <c r="M24" s="143">
        <f t="shared" si="3"/>
        <v>1408262.0364999999</v>
      </c>
      <c r="N24" s="48"/>
      <c r="P24" s="22"/>
    </row>
    <row r="25" spans="1:16">
      <c r="A25" s="26">
        <v>22</v>
      </c>
      <c r="B25" s="27">
        <v>45977</v>
      </c>
      <c r="C25" s="17"/>
      <c r="D25" s="17"/>
      <c r="E25" s="42">
        <v>100</v>
      </c>
      <c r="F25" s="42">
        <v>91.61</v>
      </c>
      <c r="G25" s="42">
        <f t="shared" si="0"/>
        <v>9161</v>
      </c>
      <c r="H25" s="42"/>
      <c r="I25" s="42"/>
      <c r="J25" s="42"/>
      <c r="K25" s="42">
        <f t="shared" si="2"/>
        <v>9161</v>
      </c>
      <c r="L25" s="42"/>
      <c r="M25" s="143">
        <f t="shared" si="3"/>
        <v>1417423.0364999999</v>
      </c>
      <c r="N25" s="48"/>
      <c r="P25" s="22"/>
    </row>
    <row r="26" spans="1:16">
      <c r="A26" s="26">
        <v>23</v>
      </c>
      <c r="B26" s="27">
        <v>45978</v>
      </c>
      <c r="C26" s="17"/>
      <c r="D26" s="17"/>
      <c r="E26" s="42">
        <v>115</v>
      </c>
      <c r="F26" s="42">
        <v>91.71</v>
      </c>
      <c r="G26" s="42">
        <f t="shared" si="0"/>
        <v>10546.65</v>
      </c>
      <c r="H26" s="42">
        <v>2</v>
      </c>
      <c r="I26" s="42">
        <v>105.19</v>
      </c>
      <c r="J26" s="42">
        <f t="shared" si="1"/>
        <v>210.38</v>
      </c>
      <c r="K26" s="42">
        <f t="shared" si="2"/>
        <v>10757.029999999999</v>
      </c>
      <c r="L26" s="42">
        <v>0</v>
      </c>
      <c r="M26" s="143">
        <f t="shared" si="3"/>
        <v>1428180.0665</v>
      </c>
      <c r="N26" s="48"/>
      <c r="P26" s="22"/>
    </row>
    <row r="27" spans="1:16">
      <c r="A27" s="26">
        <v>24</v>
      </c>
      <c r="B27" s="27">
        <v>45979</v>
      </c>
      <c r="C27" s="17"/>
      <c r="D27" s="17"/>
      <c r="E27" s="42">
        <v>675</v>
      </c>
      <c r="F27" s="42">
        <v>91.71</v>
      </c>
      <c r="G27" s="42">
        <f t="shared" si="0"/>
        <v>61904.249999999993</v>
      </c>
      <c r="H27" s="42">
        <v>6</v>
      </c>
      <c r="I27" s="42">
        <v>105.19</v>
      </c>
      <c r="J27" s="42">
        <f t="shared" si="1"/>
        <v>631.14</v>
      </c>
      <c r="K27" s="42">
        <f t="shared" si="2"/>
        <v>62535.389999999992</v>
      </c>
      <c r="L27" s="42">
        <v>0</v>
      </c>
      <c r="M27" s="143">
        <f t="shared" si="3"/>
        <v>1490715.4564999999</v>
      </c>
      <c r="N27" s="48"/>
      <c r="P27" s="22"/>
    </row>
    <row r="28" spans="1:16">
      <c r="A28" s="26">
        <v>25</v>
      </c>
      <c r="B28" s="27">
        <v>45980</v>
      </c>
      <c r="C28" s="17"/>
      <c r="D28" s="17"/>
      <c r="E28" s="42">
        <v>138.56</v>
      </c>
      <c r="F28" s="42">
        <v>91.71</v>
      </c>
      <c r="G28" s="42">
        <f t="shared" si="0"/>
        <v>12707.337599999999</v>
      </c>
      <c r="H28" s="42"/>
      <c r="I28" s="42"/>
      <c r="J28" s="42">
        <f t="shared" si="1"/>
        <v>0</v>
      </c>
      <c r="K28" s="42">
        <f t="shared" si="2"/>
        <v>12707.337599999999</v>
      </c>
      <c r="L28" s="42">
        <v>0</v>
      </c>
      <c r="M28" s="143">
        <f t="shared" si="3"/>
        <v>1503422.7940999998</v>
      </c>
      <c r="N28" s="48"/>
    </row>
    <row r="29" spans="1:16">
      <c r="A29" s="26">
        <v>26</v>
      </c>
      <c r="B29" s="27">
        <v>45980</v>
      </c>
      <c r="C29" s="17"/>
      <c r="D29" s="17"/>
      <c r="E29" s="42">
        <v>500</v>
      </c>
      <c r="F29" s="42">
        <v>91.61</v>
      </c>
      <c r="G29" s="42">
        <f t="shared" si="0"/>
        <v>45805</v>
      </c>
      <c r="H29" s="42">
        <v>6</v>
      </c>
      <c r="I29" s="42">
        <v>105.19</v>
      </c>
      <c r="J29" s="42">
        <f t="shared" si="1"/>
        <v>631.14</v>
      </c>
      <c r="K29" s="42">
        <f t="shared" si="2"/>
        <v>46436.14</v>
      </c>
      <c r="L29" s="42">
        <v>0</v>
      </c>
      <c r="M29" s="143">
        <f t="shared" si="3"/>
        <v>1549858.9340999997</v>
      </c>
      <c r="N29" s="48"/>
    </row>
    <row r="30" spans="1:16">
      <c r="A30" s="26">
        <v>27</v>
      </c>
      <c r="B30" s="27">
        <v>45981</v>
      </c>
      <c r="C30" s="17"/>
      <c r="D30" s="17"/>
      <c r="E30" s="42">
        <v>600</v>
      </c>
      <c r="F30" s="42">
        <v>91.71</v>
      </c>
      <c r="G30" s="42">
        <f t="shared" si="0"/>
        <v>55025.999999999993</v>
      </c>
      <c r="H30" s="42"/>
      <c r="I30" s="42"/>
      <c r="J30" s="42">
        <f t="shared" si="1"/>
        <v>0</v>
      </c>
      <c r="K30" s="42">
        <f t="shared" si="2"/>
        <v>55025.999999999993</v>
      </c>
      <c r="L30" s="42">
        <v>0</v>
      </c>
      <c r="M30" s="143">
        <f t="shared" si="3"/>
        <v>1604884.9340999997</v>
      </c>
      <c r="N30" s="48"/>
    </row>
    <row r="31" spans="1:16">
      <c r="A31" s="26">
        <v>28</v>
      </c>
      <c r="B31" s="27">
        <v>45981</v>
      </c>
      <c r="C31" s="17"/>
      <c r="D31" s="17"/>
      <c r="E31" s="42">
        <v>70</v>
      </c>
      <c r="F31" s="42">
        <v>91.61</v>
      </c>
      <c r="G31" s="42">
        <f t="shared" si="0"/>
        <v>6412.7</v>
      </c>
      <c r="H31" s="42"/>
      <c r="I31" s="42"/>
      <c r="J31" s="42">
        <f t="shared" si="1"/>
        <v>0</v>
      </c>
      <c r="K31" s="42">
        <f t="shared" si="2"/>
        <v>6412.7</v>
      </c>
      <c r="L31" s="42">
        <v>1000000</v>
      </c>
      <c r="M31" s="143">
        <f t="shared" si="3"/>
        <v>611297.63409999968</v>
      </c>
      <c r="N31" s="48"/>
    </row>
    <row r="32" spans="1:16">
      <c r="A32" s="26">
        <v>29</v>
      </c>
      <c r="B32" s="27">
        <v>45982</v>
      </c>
      <c r="C32" s="17"/>
      <c r="D32" s="17"/>
      <c r="E32" s="42">
        <v>905</v>
      </c>
      <c r="F32" s="42">
        <v>91.71</v>
      </c>
      <c r="G32" s="42">
        <f t="shared" si="0"/>
        <v>82997.549999999988</v>
      </c>
      <c r="H32" s="42"/>
      <c r="I32" s="42"/>
      <c r="J32" s="42">
        <f t="shared" si="1"/>
        <v>0</v>
      </c>
      <c r="K32" s="42">
        <f t="shared" si="2"/>
        <v>82997.549999999988</v>
      </c>
      <c r="L32" s="42">
        <v>0</v>
      </c>
      <c r="M32" s="143">
        <f t="shared" si="3"/>
        <v>694295.18409999972</v>
      </c>
      <c r="N32" s="48"/>
    </row>
    <row r="33" spans="1:17">
      <c r="A33" s="26">
        <v>30</v>
      </c>
      <c r="B33" s="27">
        <v>45983</v>
      </c>
      <c r="C33" s="17"/>
      <c r="D33" s="17"/>
      <c r="E33" s="42">
        <v>1570</v>
      </c>
      <c r="F33" s="42">
        <v>91.71</v>
      </c>
      <c r="G33" s="42">
        <f t="shared" si="0"/>
        <v>143984.69999999998</v>
      </c>
      <c r="H33" s="42">
        <v>3</v>
      </c>
      <c r="I33" s="42">
        <v>105.19</v>
      </c>
      <c r="J33" s="42">
        <f t="shared" si="1"/>
        <v>315.57</v>
      </c>
      <c r="K33" s="42">
        <f t="shared" si="2"/>
        <v>144300.26999999999</v>
      </c>
      <c r="L33" s="42">
        <v>0</v>
      </c>
      <c r="M33" s="143">
        <f t="shared" si="3"/>
        <v>838595.45409999974</v>
      </c>
      <c r="N33" s="48"/>
    </row>
    <row r="34" spans="1:17">
      <c r="A34" s="26">
        <v>31</v>
      </c>
      <c r="B34" s="27">
        <v>45984</v>
      </c>
      <c r="C34" s="17"/>
      <c r="D34" s="17"/>
      <c r="E34" s="42"/>
      <c r="F34" s="42"/>
      <c r="G34" s="42">
        <f t="shared" si="0"/>
        <v>0</v>
      </c>
      <c r="H34" s="42">
        <v>6</v>
      </c>
      <c r="I34" s="42">
        <v>105.19</v>
      </c>
      <c r="J34" s="42">
        <f t="shared" si="1"/>
        <v>631.14</v>
      </c>
      <c r="K34" s="42">
        <f t="shared" si="2"/>
        <v>631.14</v>
      </c>
      <c r="L34" s="42">
        <v>0</v>
      </c>
      <c r="M34" s="143">
        <f t="shared" si="3"/>
        <v>839226.59409999975</v>
      </c>
      <c r="N34" s="48"/>
    </row>
    <row r="35" spans="1:17">
      <c r="A35" s="26">
        <v>32</v>
      </c>
      <c r="B35" s="27">
        <v>45985</v>
      </c>
      <c r="C35" s="17"/>
      <c r="D35" s="17"/>
      <c r="E35" s="42">
        <v>400</v>
      </c>
      <c r="F35" s="42">
        <v>91.71</v>
      </c>
      <c r="G35" s="42">
        <f t="shared" si="0"/>
        <v>36684</v>
      </c>
      <c r="H35" s="42">
        <v>6</v>
      </c>
      <c r="I35" s="42">
        <v>105.19</v>
      </c>
      <c r="J35" s="42">
        <f t="shared" si="1"/>
        <v>631.14</v>
      </c>
      <c r="K35" s="42">
        <f t="shared" si="2"/>
        <v>37315.14</v>
      </c>
      <c r="L35" s="42">
        <v>0</v>
      </c>
      <c r="M35" s="143">
        <f t="shared" si="3"/>
        <v>876541.73409999977</v>
      </c>
      <c r="N35" s="48"/>
    </row>
    <row r="36" spans="1:17">
      <c r="A36" s="26">
        <v>33</v>
      </c>
      <c r="B36" s="27">
        <v>45986</v>
      </c>
      <c r="C36" s="17"/>
      <c r="D36" s="17"/>
      <c r="E36" s="42">
        <v>400</v>
      </c>
      <c r="F36" s="42">
        <v>91.71</v>
      </c>
      <c r="G36" s="42">
        <f t="shared" si="0"/>
        <v>36684</v>
      </c>
      <c r="H36" s="42"/>
      <c r="I36" s="42"/>
      <c r="J36" s="42">
        <f t="shared" si="1"/>
        <v>0</v>
      </c>
      <c r="K36" s="42">
        <f t="shared" si="2"/>
        <v>36684</v>
      </c>
      <c r="L36" s="42">
        <v>0</v>
      </c>
      <c r="M36" s="143">
        <f t="shared" si="3"/>
        <v>913225.73409999977</v>
      </c>
      <c r="N36" s="48"/>
    </row>
    <row r="37" spans="1:17">
      <c r="A37" s="26">
        <v>34</v>
      </c>
      <c r="B37" s="27">
        <v>45988</v>
      </c>
      <c r="C37" s="17"/>
      <c r="D37" s="17"/>
      <c r="E37" s="42">
        <v>600</v>
      </c>
      <c r="F37" s="42">
        <v>91.71</v>
      </c>
      <c r="G37" s="42">
        <f t="shared" si="0"/>
        <v>55025.999999999993</v>
      </c>
      <c r="H37" s="42">
        <v>12</v>
      </c>
      <c r="I37" s="42">
        <v>105.19</v>
      </c>
      <c r="J37" s="42">
        <f t="shared" si="1"/>
        <v>1262.28</v>
      </c>
      <c r="K37" s="42">
        <f t="shared" si="2"/>
        <v>56288.279999999992</v>
      </c>
      <c r="L37" s="42">
        <v>0</v>
      </c>
      <c r="M37" s="143">
        <f t="shared" si="3"/>
        <v>969514.0140999998</v>
      </c>
      <c r="N37" s="48"/>
      <c r="P37">
        <v>41</v>
      </c>
    </row>
    <row r="38" spans="1:17">
      <c r="A38" s="26">
        <v>35</v>
      </c>
      <c r="B38" s="27">
        <v>45989</v>
      </c>
      <c r="C38" s="17"/>
      <c r="D38" s="17"/>
      <c r="E38" s="42">
        <v>1499.61</v>
      </c>
      <c r="F38" s="42">
        <v>91.71</v>
      </c>
      <c r="G38" s="42">
        <f t="shared" si="0"/>
        <v>137529.23309999998</v>
      </c>
      <c r="H38" s="42">
        <v>30</v>
      </c>
      <c r="I38" s="42">
        <v>105.19</v>
      </c>
      <c r="J38" s="42">
        <f t="shared" si="1"/>
        <v>3155.7</v>
      </c>
      <c r="K38" s="42">
        <f t="shared" si="2"/>
        <v>140684.93309999999</v>
      </c>
      <c r="L38" s="42">
        <v>0</v>
      </c>
      <c r="M38" s="143">
        <f t="shared" si="3"/>
        <v>1110198.9471999998</v>
      </c>
      <c r="N38" s="48"/>
      <c r="P38">
        <v>40</v>
      </c>
      <c r="Q38">
        <v>5</v>
      </c>
    </row>
    <row r="39" spans="1:17">
      <c r="A39" s="26">
        <v>36</v>
      </c>
      <c r="B39" s="27">
        <v>45990</v>
      </c>
      <c r="C39" s="17"/>
      <c r="D39" s="17"/>
      <c r="E39" s="42">
        <v>400</v>
      </c>
      <c r="F39" s="42">
        <v>91.71</v>
      </c>
      <c r="G39" s="42">
        <f t="shared" si="0"/>
        <v>36684</v>
      </c>
      <c r="H39" s="42">
        <v>15</v>
      </c>
      <c r="I39" s="42">
        <v>105.19</v>
      </c>
      <c r="J39" s="42">
        <f t="shared" si="1"/>
        <v>1577.85</v>
      </c>
      <c r="K39" s="42">
        <f t="shared" si="2"/>
        <v>38261.85</v>
      </c>
      <c r="L39" s="42">
        <v>0</v>
      </c>
      <c r="M39" s="143">
        <f t="shared" si="3"/>
        <v>1148460.7971999999</v>
      </c>
      <c r="N39" s="48"/>
    </row>
    <row r="40" spans="1:17">
      <c r="A40" s="26">
        <v>37</v>
      </c>
      <c r="B40" s="27"/>
      <c r="C40" s="17"/>
      <c r="D40" s="17"/>
      <c r="E40" s="42"/>
      <c r="F40" s="42"/>
      <c r="G40" s="42">
        <f t="shared" si="0"/>
        <v>0</v>
      </c>
      <c r="H40" s="42"/>
      <c r="I40" s="42"/>
      <c r="J40" s="42">
        <f t="shared" si="1"/>
        <v>0</v>
      </c>
      <c r="K40" s="42">
        <f t="shared" si="2"/>
        <v>0</v>
      </c>
      <c r="L40" s="42">
        <v>0</v>
      </c>
      <c r="M40" s="143">
        <f t="shared" si="3"/>
        <v>1148460.7971999999</v>
      </c>
      <c r="N40" s="48"/>
    </row>
    <row r="41" spans="1:17">
      <c r="A41" s="26">
        <v>38</v>
      </c>
      <c r="B41" s="27"/>
      <c r="C41" s="17"/>
      <c r="D41" s="17"/>
      <c r="E41" s="42"/>
      <c r="F41" s="42"/>
      <c r="G41" s="42">
        <f t="shared" si="0"/>
        <v>0</v>
      </c>
      <c r="H41" s="42"/>
      <c r="I41" s="42"/>
      <c r="J41" s="42">
        <f t="shared" si="1"/>
        <v>0</v>
      </c>
      <c r="K41" s="42">
        <f t="shared" si="2"/>
        <v>0</v>
      </c>
      <c r="L41" s="42">
        <v>0</v>
      </c>
      <c r="M41" s="143">
        <f t="shared" si="3"/>
        <v>1148460.7971999999</v>
      </c>
      <c r="N41" s="48"/>
    </row>
    <row r="42" spans="1:17">
      <c r="A42" s="26">
        <v>39</v>
      </c>
      <c r="B42" s="27"/>
      <c r="C42" s="17"/>
      <c r="D42" s="17"/>
      <c r="E42" s="42"/>
      <c r="F42" s="42"/>
      <c r="G42" s="42">
        <f t="shared" si="0"/>
        <v>0</v>
      </c>
      <c r="H42" s="42"/>
      <c r="I42" s="42"/>
      <c r="J42" s="42">
        <f t="shared" si="1"/>
        <v>0</v>
      </c>
      <c r="K42" s="42">
        <f t="shared" si="2"/>
        <v>0</v>
      </c>
      <c r="L42" s="42">
        <v>0</v>
      </c>
      <c r="M42" s="143">
        <f t="shared" si="3"/>
        <v>1148460.7971999999</v>
      </c>
      <c r="N42" s="48"/>
    </row>
    <row r="43" spans="1:17">
      <c r="A43" s="26">
        <v>40</v>
      </c>
      <c r="B43" s="27"/>
      <c r="C43" s="17"/>
      <c r="D43" s="17"/>
      <c r="E43" s="42"/>
      <c r="F43" s="42"/>
      <c r="G43" s="42">
        <f t="shared" si="0"/>
        <v>0</v>
      </c>
      <c r="H43" s="42"/>
      <c r="I43" s="42"/>
      <c r="J43" s="42">
        <f t="shared" si="1"/>
        <v>0</v>
      </c>
      <c r="K43" s="42">
        <f t="shared" si="2"/>
        <v>0</v>
      </c>
      <c r="L43" s="42">
        <v>0</v>
      </c>
      <c r="M43" s="143">
        <f t="shared" si="3"/>
        <v>1148460.7971999999</v>
      </c>
      <c r="N43" s="48"/>
    </row>
    <row r="44" spans="1:17">
      <c r="A44" s="26">
        <v>41</v>
      </c>
      <c r="B44" s="27"/>
      <c r="C44" s="17"/>
      <c r="D44" s="17"/>
      <c r="E44" s="42"/>
      <c r="F44" s="42"/>
      <c r="G44" s="42">
        <f t="shared" si="0"/>
        <v>0</v>
      </c>
      <c r="H44" s="42"/>
      <c r="I44" s="42"/>
      <c r="J44" s="42">
        <f t="shared" si="1"/>
        <v>0</v>
      </c>
      <c r="K44" s="42">
        <f t="shared" si="2"/>
        <v>0</v>
      </c>
      <c r="L44" s="42">
        <v>0</v>
      </c>
      <c r="M44" s="143">
        <f t="shared" si="3"/>
        <v>1148460.7971999999</v>
      </c>
      <c r="N44" s="48"/>
    </row>
    <row r="45" spans="1:17">
      <c r="A45" s="26">
        <v>42</v>
      </c>
      <c r="B45" s="27"/>
      <c r="C45" s="17"/>
      <c r="D45" s="17"/>
      <c r="E45" s="42"/>
      <c r="F45" s="42"/>
      <c r="G45" s="42">
        <f t="shared" si="0"/>
        <v>0</v>
      </c>
      <c r="H45" s="42"/>
      <c r="I45" s="42"/>
      <c r="J45" s="42">
        <f t="shared" si="1"/>
        <v>0</v>
      </c>
      <c r="K45" s="42">
        <f t="shared" si="2"/>
        <v>0</v>
      </c>
      <c r="L45" s="42">
        <v>0</v>
      </c>
      <c r="M45" s="143">
        <f t="shared" si="3"/>
        <v>1148460.7971999999</v>
      </c>
      <c r="N45" s="48"/>
    </row>
    <row r="46" spans="1:17">
      <c r="A46" s="26">
        <v>43</v>
      </c>
      <c r="B46" s="27"/>
      <c r="C46" s="17"/>
      <c r="D46" s="17"/>
      <c r="E46" s="42"/>
      <c r="F46" s="42"/>
      <c r="G46" s="42">
        <f t="shared" si="0"/>
        <v>0</v>
      </c>
      <c r="H46" s="42"/>
      <c r="I46" s="42"/>
      <c r="J46" s="42">
        <f t="shared" si="1"/>
        <v>0</v>
      </c>
      <c r="K46" s="42">
        <f t="shared" si="2"/>
        <v>0</v>
      </c>
      <c r="L46" s="42">
        <v>0</v>
      </c>
      <c r="M46" s="143">
        <f t="shared" si="3"/>
        <v>1148460.7971999999</v>
      </c>
      <c r="N46" s="48"/>
    </row>
    <row r="47" spans="1:17">
      <c r="A47" s="26">
        <v>44</v>
      </c>
      <c r="B47" s="27"/>
      <c r="C47" s="17"/>
      <c r="D47" s="17"/>
      <c r="E47" s="42"/>
      <c r="F47" s="42"/>
      <c r="G47" s="42">
        <f t="shared" si="0"/>
        <v>0</v>
      </c>
      <c r="H47" s="42"/>
      <c r="I47" s="42"/>
      <c r="J47" s="42">
        <f t="shared" si="1"/>
        <v>0</v>
      </c>
      <c r="K47" s="42">
        <f t="shared" si="2"/>
        <v>0</v>
      </c>
      <c r="L47" s="42">
        <v>0</v>
      </c>
      <c r="M47" s="143">
        <f t="shared" si="3"/>
        <v>1148460.7971999999</v>
      </c>
      <c r="N47" s="48"/>
    </row>
    <row r="48" spans="1:17">
      <c r="A48" s="26">
        <v>45</v>
      </c>
      <c r="B48" s="27"/>
      <c r="C48" s="17"/>
      <c r="D48" s="17"/>
      <c r="E48" s="42"/>
      <c r="F48" s="42"/>
      <c r="G48" s="42">
        <f t="shared" si="0"/>
        <v>0</v>
      </c>
      <c r="H48" s="42"/>
      <c r="I48" s="42"/>
      <c r="J48" s="42">
        <f t="shared" si="1"/>
        <v>0</v>
      </c>
      <c r="K48" s="42">
        <f t="shared" si="2"/>
        <v>0</v>
      </c>
      <c r="L48" s="42">
        <v>0</v>
      </c>
      <c r="M48" s="143">
        <f t="shared" si="3"/>
        <v>1148460.7971999999</v>
      </c>
      <c r="N48" s="48"/>
    </row>
    <row r="49" spans="1:16">
      <c r="A49" s="26">
        <v>46</v>
      </c>
      <c r="B49" s="27"/>
      <c r="C49" s="17"/>
      <c r="D49" s="17"/>
      <c r="E49" s="42"/>
      <c r="F49" s="42"/>
      <c r="G49" s="42">
        <f t="shared" si="0"/>
        <v>0</v>
      </c>
      <c r="H49" s="42"/>
      <c r="I49" s="42"/>
      <c r="J49" s="42">
        <f t="shared" si="1"/>
        <v>0</v>
      </c>
      <c r="K49" s="42">
        <f t="shared" si="2"/>
        <v>0</v>
      </c>
      <c r="L49" s="42">
        <v>0</v>
      </c>
      <c r="M49" s="143">
        <f t="shared" si="3"/>
        <v>1148460.7971999999</v>
      </c>
      <c r="N49" s="48"/>
    </row>
    <row r="50" spans="1:16">
      <c r="A50" s="26">
        <v>47</v>
      </c>
      <c r="B50" s="27"/>
      <c r="C50" s="17"/>
      <c r="D50" s="17"/>
      <c r="E50" s="42"/>
      <c r="F50" s="42"/>
      <c r="G50" s="42">
        <f t="shared" si="0"/>
        <v>0</v>
      </c>
      <c r="H50" s="42"/>
      <c r="I50" s="42"/>
      <c r="J50" s="42">
        <f t="shared" si="1"/>
        <v>0</v>
      </c>
      <c r="K50" s="42">
        <f t="shared" si="2"/>
        <v>0</v>
      </c>
      <c r="L50" s="42">
        <v>0</v>
      </c>
      <c r="M50" s="143">
        <f t="shared" si="3"/>
        <v>1148460.7971999999</v>
      </c>
      <c r="N50" s="48"/>
    </row>
    <row r="51" spans="1:16">
      <c r="A51" s="26">
        <v>48</v>
      </c>
      <c r="B51" s="27"/>
      <c r="C51" s="100"/>
      <c r="D51" s="100"/>
      <c r="E51" s="42"/>
      <c r="F51" s="42"/>
      <c r="G51" s="42">
        <f t="shared" si="0"/>
        <v>0</v>
      </c>
      <c r="H51" s="42"/>
      <c r="I51" s="42"/>
      <c r="J51" s="42">
        <f t="shared" si="1"/>
        <v>0</v>
      </c>
      <c r="K51" s="42">
        <f t="shared" si="2"/>
        <v>0</v>
      </c>
      <c r="L51" s="42">
        <v>0</v>
      </c>
      <c r="M51" s="143">
        <f t="shared" si="3"/>
        <v>1148460.7971999999</v>
      </c>
      <c r="N51" s="239"/>
    </row>
    <row r="52" spans="1:16">
      <c r="A52" s="26">
        <v>49</v>
      </c>
      <c r="B52" s="27"/>
      <c r="C52" s="17"/>
      <c r="D52" s="17"/>
      <c r="E52" s="42"/>
      <c r="F52" s="42"/>
      <c r="G52" s="42">
        <f t="shared" si="0"/>
        <v>0</v>
      </c>
      <c r="H52" s="42"/>
      <c r="I52" s="42"/>
      <c r="J52" s="42">
        <f t="shared" si="1"/>
        <v>0</v>
      </c>
      <c r="K52" s="42">
        <f t="shared" si="2"/>
        <v>0</v>
      </c>
      <c r="L52" s="42">
        <v>0</v>
      </c>
      <c r="M52" s="143">
        <f t="shared" si="3"/>
        <v>1148460.7971999999</v>
      </c>
      <c r="N52" s="48"/>
    </row>
    <row r="53" spans="1:16">
      <c r="A53" s="26">
        <v>50</v>
      </c>
      <c r="B53" s="27"/>
      <c r="C53" s="17"/>
      <c r="D53" s="17"/>
      <c r="E53" s="42"/>
      <c r="F53" s="42"/>
      <c r="G53" s="42">
        <f t="shared" ref="G53" si="4">E53*F53</f>
        <v>0</v>
      </c>
      <c r="H53" s="42"/>
      <c r="I53" s="42"/>
      <c r="J53" s="42">
        <f t="shared" ref="J53" si="5">H53*I53</f>
        <v>0</v>
      </c>
      <c r="K53" s="42">
        <f t="shared" ref="K53" si="6">G53+J53</f>
        <v>0</v>
      </c>
      <c r="L53" s="42">
        <v>0</v>
      </c>
      <c r="M53" s="143">
        <f t="shared" si="3"/>
        <v>1148460.7971999999</v>
      </c>
      <c r="N53" s="48"/>
      <c r="O53">
        <v>1109792.2825999993</v>
      </c>
      <c r="P53" s="183">
        <f>M53-O53</f>
        <v>38668.514600000577</v>
      </c>
    </row>
    <row r="54" spans="1:16">
      <c r="A54" s="191"/>
      <c r="B54" s="191"/>
      <c r="C54" s="191"/>
      <c r="D54" s="191"/>
      <c r="E54" s="191">
        <f>SUM(E4:E53)</f>
        <v>15612.72</v>
      </c>
      <c r="F54" s="191"/>
      <c r="G54" s="191">
        <f>SUM(G4:G53)</f>
        <v>1432343.5325999998</v>
      </c>
      <c r="H54" s="191">
        <f>SUM(H4:H53)</f>
        <v>146.65</v>
      </c>
      <c r="I54" s="191"/>
      <c r="J54" s="191">
        <f>SUM(J4:J53)</f>
        <v>15428.795</v>
      </c>
      <c r="K54" s="191">
        <f>SUM(K4:K53)</f>
        <v>1447772.3275999997</v>
      </c>
      <c r="L54" s="191">
        <f>SUM(L4:L53)</f>
        <v>1004912.84</v>
      </c>
      <c r="M54" s="191"/>
      <c r="N54" s="191"/>
    </row>
  </sheetData>
  <mergeCells count="2">
    <mergeCell ref="A1:N1"/>
    <mergeCell ref="A3:J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39"/>
  <sheetViews>
    <sheetView tabSelected="1" workbookViewId="0">
      <pane ySplit="2" topLeftCell="A28" activePane="bottomLeft" state="frozen"/>
      <selection pane="bottomLeft" activeCell="M35" sqref="M35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2.5703125" bestFit="1" customWidth="1"/>
  </cols>
  <sheetData>
    <row r="1" spans="1:15" ht="15.75" customHeight="1">
      <c r="A1" s="443" t="s">
        <v>63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59"/>
    </row>
    <row r="2" spans="1:15" ht="30">
      <c r="A2" s="60" t="s">
        <v>95</v>
      </c>
      <c r="B2" s="61" t="s">
        <v>96</v>
      </c>
      <c r="C2" s="61" t="s">
        <v>97</v>
      </c>
      <c r="D2" s="61" t="s">
        <v>98</v>
      </c>
      <c r="E2" s="61" t="s">
        <v>99</v>
      </c>
      <c r="F2" s="61" t="s">
        <v>100</v>
      </c>
      <c r="G2" s="61" t="s">
        <v>101</v>
      </c>
      <c r="H2" s="61" t="s">
        <v>102</v>
      </c>
      <c r="I2" s="61" t="s">
        <v>100</v>
      </c>
      <c r="J2" s="62" t="s">
        <v>101</v>
      </c>
      <c r="K2" s="63" t="s">
        <v>103</v>
      </c>
      <c r="L2" s="64" t="s">
        <v>104</v>
      </c>
      <c r="M2" s="123" t="s">
        <v>110</v>
      </c>
      <c r="N2" s="107" t="s">
        <v>106</v>
      </c>
      <c r="O2" s="65"/>
    </row>
    <row r="3" spans="1:15">
      <c r="A3" s="139" t="s">
        <v>107</v>
      </c>
      <c r="B3" s="140"/>
      <c r="C3" s="140"/>
      <c r="D3" s="140"/>
      <c r="E3" s="140"/>
      <c r="F3" s="140"/>
      <c r="G3" s="140"/>
      <c r="H3" s="140"/>
      <c r="I3" s="140"/>
      <c r="J3" s="140"/>
      <c r="K3" s="281">
        <v>276716.64999999991</v>
      </c>
      <c r="L3" s="141"/>
      <c r="M3" s="282">
        <f>+K3</f>
        <v>276716.64999999991</v>
      </c>
      <c r="N3" s="17"/>
      <c r="O3" s="65">
        <v>1194596.9738</v>
      </c>
    </row>
    <row r="4" spans="1:15">
      <c r="A4" s="50">
        <v>1</v>
      </c>
      <c r="B4" s="213">
        <v>45962</v>
      </c>
      <c r="C4" s="10">
        <v>0</v>
      </c>
      <c r="D4" s="18"/>
      <c r="E4" s="8">
        <v>0</v>
      </c>
      <c r="F4" s="8">
        <v>0</v>
      </c>
      <c r="G4" s="16">
        <f>E4*F4</f>
        <v>0</v>
      </c>
      <c r="H4" s="7">
        <v>0</v>
      </c>
      <c r="I4" s="7">
        <v>0</v>
      </c>
      <c r="J4" s="21">
        <f>H4*I4</f>
        <v>0</v>
      </c>
      <c r="K4" s="8">
        <f>G4+J4</f>
        <v>0</v>
      </c>
      <c r="L4" s="8"/>
      <c r="M4" s="8">
        <f t="shared" ref="M4:M16" si="0">M3+K4-L4</f>
        <v>276716.64999999991</v>
      </c>
      <c r="N4" s="19"/>
      <c r="O4" s="1"/>
    </row>
    <row r="5" spans="1:15">
      <c r="A5" s="50">
        <v>2</v>
      </c>
      <c r="B5" s="213">
        <v>45963</v>
      </c>
      <c r="C5" s="10">
        <v>0</v>
      </c>
      <c r="D5" s="18"/>
      <c r="E5" s="8">
        <v>0</v>
      </c>
      <c r="F5" s="8">
        <v>0</v>
      </c>
      <c r="G5" s="16">
        <f t="shared" ref="G5" si="1">E5*F5</f>
        <v>0</v>
      </c>
      <c r="H5" s="7">
        <v>0</v>
      </c>
      <c r="I5" s="7">
        <v>0</v>
      </c>
      <c r="J5" s="21">
        <f t="shared" ref="J5" si="2">H5*I5</f>
        <v>0</v>
      </c>
      <c r="K5" s="8">
        <f t="shared" ref="K5" si="3">G5+J5</f>
        <v>0</v>
      </c>
      <c r="L5" s="8"/>
      <c r="M5" s="8">
        <f t="shared" si="0"/>
        <v>276716.64999999991</v>
      </c>
      <c r="N5" s="8"/>
      <c r="O5" s="1"/>
    </row>
    <row r="6" spans="1:15">
      <c r="A6" s="50">
        <v>3</v>
      </c>
      <c r="B6" s="213">
        <v>45964</v>
      </c>
      <c r="C6" s="10">
        <v>0</v>
      </c>
      <c r="D6" s="18"/>
      <c r="E6" s="8">
        <v>0</v>
      </c>
      <c r="F6" s="8">
        <v>0</v>
      </c>
      <c r="G6" s="16">
        <f t="shared" ref="G6:G7" si="4">E6*F6</f>
        <v>0</v>
      </c>
      <c r="H6" s="7">
        <v>0</v>
      </c>
      <c r="I6" s="7">
        <v>0</v>
      </c>
      <c r="J6" s="21">
        <f t="shared" ref="J6:J7" si="5">H6*I6</f>
        <v>0</v>
      </c>
      <c r="K6" s="8">
        <f t="shared" ref="K6:K7" si="6">G6+J6</f>
        <v>0</v>
      </c>
      <c r="L6" s="8"/>
      <c r="M6" s="8">
        <f t="shared" si="0"/>
        <v>276716.64999999991</v>
      </c>
      <c r="N6" s="8"/>
      <c r="O6" s="1"/>
    </row>
    <row r="7" spans="1:15">
      <c r="A7" s="50">
        <v>4</v>
      </c>
      <c r="B7" s="213">
        <v>45965</v>
      </c>
      <c r="C7" s="10">
        <v>0</v>
      </c>
      <c r="D7" s="18"/>
      <c r="E7" s="8">
        <v>0</v>
      </c>
      <c r="F7" s="8">
        <v>0</v>
      </c>
      <c r="G7" s="16">
        <v>0</v>
      </c>
      <c r="H7" s="7">
        <v>0</v>
      </c>
      <c r="I7" s="396">
        <v>0</v>
      </c>
      <c r="J7" s="21">
        <v>0</v>
      </c>
      <c r="K7" s="8">
        <v>0</v>
      </c>
      <c r="L7" s="8"/>
      <c r="M7" s="8">
        <f t="shared" si="0"/>
        <v>276716.64999999991</v>
      </c>
      <c r="N7" s="8"/>
      <c r="O7" s="1"/>
    </row>
    <row r="8" spans="1:15">
      <c r="A8" s="50">
        <v>5</v>
      </c>
      <c r="B8" s="213">
        <v>45966</v>
      </c>
      <c r="C8" s="10">
        <v>0</v>
      </c>
      <c r="D8" s="18"/>
      <c r="E8" s="8">
        <v>0</v>
      </c>
      <c r="F8" s="8">
        <v>0</v>
      </c>
      <c r="G8" s="16">
        <f t="shared" ref="G8:G35" si="7">E8*F8</f>
        <v>0</v>
      </c>
      <c r="H8" s="7">
        <v>0</v>
      </c>
      <c r="I8" s="7">
        <v>0</v>
      </c>
      <c r="J8" s="21">
        <f t="shared" ref="J8:J35" si="8">H8*I8</f>
        <v>0</v>
      </c>
      <c r="K8" s="8">
        <f t="shared" ref="K8:K35" si="9">G8+J8</f>
        <v>0</v>
      </c>
      <c r="L8" s="8"/>
      <c r="M8" s="8">
        <f t="shared" si="0"/>
        <v>276716.64999999991</v>
      </c>
      <c r="N8" s="8"/>
      <c r="O8" s="1"/>
    </row>
    <row r="9" spans="1:15">
      <c r="A9" s="50">
        <v>6</v>
      </c>
      <c r="B9" s="213">
        <v>45967</v>
      </c>
      <c r="C9" s="10">
        <v>0</v>
      </c>
      <c r="D9" s="18"/>
      <c r="E9" s="8">
        <v>0</v>
      </c>
      <c r="F9" s="8">
        <v>0</v>
      </c>
      <c r="G9" s="16">
        <f t="shared" ref="G9:G34" si="10">E9*F9</f>
        <v>0</v>
      </c>
      <c r="H9" s="7">
        <v>0</v>
      </c>
      <c r="I9" s="7">
        <v>0</v>
      </c>
      <c r="J9" s="21">
        <f t="shared" ref="J9:J34" si="11">H9*I9</f>
        <v>0</v>
      </c>
      <c r="K9" s="8">
        <f t="shared" ref="K9:K34" si="12">G9+J9</f>
        <v>0</v>
      </c>
      <c r="L9" s="8"/>
      <c r="M9" s="8">
        <f t="shared" si="0"/>
        <v>276716.64999999991</v>
      </c>
      <c r="N9" s="8"/>
      <c r="O9" s="1"/>
    </row>
    <row r="10" spans="1:15">
      <c r="A10" s="50">
        <v>7</v>
      </c>
      <c r="B10" s="213">
        <v>45968</v>
      </c>
      <c r="C10" s="10">
        <v>0</v>
      </c>
      <c r="D10" s="18"/>
      <c r="E10" s="8">
        <v>0</v>
      </c>
      <c r="F10" s="8">
        <v>0</v>
      </c>
      <c r="G10" s="16">
        <f t="shared" si="10"/>
        <v>0</v>
      </c>
      <c r="H10" s="7">
        <v>0</v>
      </c>
      <c r="I10" s="7">
        <v>0</v>
      </c>
      <c r="J10" s="21">
        <f t="shared" si="11"/>
        <v>0</v>
      </c>
      <c r="K10" s="8">
        <f t="shared" si="12"/>
        <v>0</v>
      </c>
      <c r="L10" s="8"/>
      <c r="M10" s="8">
        <f t="shared" si="0"/>
        <v>276716.64999999991</v>
      </c>
      <c r="N10" s="8"/>
      <c r="O10" s="1"/>
    </row>
    <row r="11" spans="1:15">
      <c r="A11" s="50">
        <v>8</v>
      </c>
      <c r="B11" s="213">
        <v>45969</v>
      </c>
      <c r="C11" s="10">
        <v>0</v>
      </c>
      <c r="D11" s="18"/>
      <c r="E11" s="8">
        <v>0</v>
      </c>
      <c r="F11" s="8">
        <v>0</v>
      </c>
      <c r="G11" s="16">
        <f t="shared" si="10"/>
        <v>0</v>
      </c>
      <c r="H11" s="7">
        <v>0</v>
      </c>
      <c r="I11" s="7">
        <v>0</v>
      </c>
      <c r="J11" s="21">
        <f t="shared" si="11"/>
        <v>0</v>
      </c>
      <c r="K11" s="8">
        <f t="shared" si="12"/>
        <v>0</v>
      </c>
      <c r="L11" s="8"/>
      <c r="M11" s="8">
        <f t="shared" si="0"/>
        <v>276716.64999999991</v>
      </c>
      <c r="N11" s="8"/>
      <c r="O11" s="1"/>
    </row>
    <row r="12" spans="1:15">
      <c r="A12" s="50">
        <v>9</v>
      </c>
      <c r="B12" s="213">
        <v>45970</v>
      </c>
      <c r="C12" s="10">
        <v>0</v>
      </c>
      <c r="D12" s="18"/>
      <c r="E12" s="8">
        <v>0</v>
      </c>
      <c r="F12" s="8">
        <v>0</v>
      </c>
      <c r="G12" s="16">
        <f t="shared" si="10"/>
        <v>0</v>
      </c>
      <c r="H12" s="7">
        <v>0</v>
      </c>
      <c r="I12" s="7">
        <v>0</v>
      </c>
      <c r="J12" s="21">
        <f t="shared" si="11"/>
        <v>0</v>
      </c>
      <c r="K12" s="8">
        <f t="shared" si="12"/>
        <v>0</v>
      </c>
      <c r="L12" s="8"/>
      <c r="M12" s="8">
        <f t="shared" si="0"/>
        <v>276716.64999999991</v>
      </c>
      <c r="N12" s="8"/>
      <c r="O12" s="1"/>
    </row>
    <row r="13" spans="1:15">
      <c r="A13" s="50">
        <v>10</v>
      </c>
      <c r="B13" s="213">
        <v>45971</v>
      </c>
      <c r="C13" s="10">
        <v>0</v>
      </c>
      <c r="D13" s="18"/>
      <c r="E13" s="8">
        <v>600</v>
      </c>
      <c r="F13" s="8">
        <v>91.14</v>
      </c>
      <c r="G13" s="16">
        <f t="shared" si="10"/>
        <v>54684</v>
      </c>
      <c r="H13" s="7">
        <v>20</v>
      </c>
      <c r="I13" s="396">
        <v>104.6</v>
      </c>
      <c r="J13" s="21">
        <f t="shared" si="11"/>
        <v>2092</v>
      </c>
      <c r="K13" s="8">
        <f t="shared" si="12"/>
        <v>56776</v>
      </c>
      <c r="L13" s="8"/>
      <c r="M13" s="192">
        <f t="shared" si="0"/>
        <v>333492.64999999991</v>
      </c>
      <c r="N13" s="8"/>
      <c r="O13" s="1"/>
    </row>
    <row r="14" spans="1:15">
      <c r="A14" s="50">
        <v>11</v>
      </c>
      <c r="B14" s="213">
        <v>45972</v>
      </c>
      <c r="C14" s="10">
        <v>0</v>
      </c>
      <c r="D14" s="18"/>
      <c r="E14" s="8"/>
      <c r="F14" s="8"/>
      <c r="G14" s="16">
        <f t="shared" si="10"/>
        <v>0</v>
      </c>
      <c r="H14" s="7"/>
      <c r="I14" s="7"/>
      <c r="J14" s="21">
        <f t="shared" si="11"/>
        <v>0</v>
      </c>
      <c r="K14" s="8">
        <f t="shared" si="12"/>
        <v>0</v>
      </c>
      <c r="L14" s="8"/>
      <c r="M14" s="8">
        <f t="shared" si="0"/>
        <v>333492.64999999991</v>
      </c>
      <c r="N14" s="203"/>
      <c r="O14" s="1"/>
    </row>
    <row r="15" spans="1:15">
      <c r="A15" s="50">
        <v>12</v>
      </c>
      <c r="B15" s="213">
        <v>45973</v>
      </c>
      <c r="C15" s="10">
        <v>0</v>
      </c>
      <c r="D15" s="18"/>
      <c r="E15" s="8">
        <v>500</v>
      </c>
      <c r="F15" s="8">
        <v>91.14</v>
      </c>
      <c r="G15" s="16">
        <f t="shared" si="10"/>
        <v>45570</v>
      </c>
      <c r="H15" s="7">
        <v>20</v>
      </c>
      <c r="I15" s="7">
        <v>104.6</v>
      </c>
      <c r="J15" s="21">
        <f t="shared" si="11"/>
        <v>2092</v>
      </c>
      <c r="K15" s="8">
        <f t="shared" si="12"/>
        <v>47662</v>
      </c>
      <c r="L15" s="8"/>
      <c r="M15" s="8">
        <f t="shared" si="0"/>
        <v>381154.64999999991</v>
      </c>
      <c r="N15" s="203"/>
      <c r="O15" s="1"/>
    </row>
    <row r="16" spans="1:15">
      <c r="A16" s="50">
        <v>13</v>
      </c>
      <c r="B16" s="213">
        <v>45974</v>
      </c>
      <c r="C16" s="10">
        <v>0</v>
      </c>
      <c r="D16" s="18"/>
      <c r="E16" s="8"/>
      <c r="F16" s="8"/>
      <c r="G16" s="16">
        <f t="shared" si="10"/>
        <v>0</v>
      </c>
      <c r="H16" s="7"/>
      <c r="I16" s="7"/>
      <c r="J16" s="21">
        <f t="shared" si="11"/>
        <v>0</v>
      </c>
      <c r="K16" s="8">
        <f t="shared" si="12"/>
        <v>0</v>
      </c>
      <c r="L16" s="8"/>
      <c r="M16" s="8">
        <f t="shared" si="0"/>
        <v>381154.64999999991</v>
      </c>
      <c r="N16" s="203"/>
      <c r="O16" s="1"/>
    </row>
    <row r="17" spans="1:15">
      <c r="A17" s="50">
        <v>14</v>
      </c>
      <c r="B17" s="213">
        <v>45975</v>
      </c>
      <c r="C17" s="10">
        <v>0</v>
      </c>
      <c r="D17" s="18"/>
      <c r="E17" s="8"/>
      <c r="F17" s="8"/>
      <c r="G17" s="16">
        <f t="shared" si="10"/>
        <v>0</v>
      </c>
      <c r="H17" s="7"/>
      <c r="I17" s="7"/>
      <c r="J17" s="21">
        <f t="shared" si="11"/>
        <v>0</v>
      </c>
      <c r="K17" s="8">
        <f t="shared" si="12"/>
        <v>0</v>
      </c>
      <c r="L17" s="8"/>
      <c r="M17" s="8">
        <f t="shared" ref="M17:M35" si="13">M16+K17-L17</f>
        <v>381154.64999999991</v>
      </c>
      <c r="N17" s="203"/>
      <c r="O17" s="1"/>
    </row>
    <row r="18" spans="1:15">
      <c r="A18" s="50">
        <v>15</v>
      </c>
      <c r="B18" s="213">
        <v>45976</v>
      </c>
      <c r="C18" s="10">
        <v>0</v>
      </c>
      <c r="D18" s="18"/>
      <c r="E18" s="8"/>
      <c r="F18" s="8"/>
      <c r="G18" s="16">
        <f t="shared" si="10"/>
        <v>0</v>
      </c>
      <c r="H18" s="7"/>
      <c r="I18" s="7"/>
      <c r="J18" s="21">
        <f t="shared" si="11"/>
        <v>0</v>
      </c>
      <c r="K18" s="8">
        <f t="shared" si="12"/>
        <v>0</v>
      </c>
      <c r="L18" s="8"/>
      <c r="M18" s="8">
        <f t="shared" si="13"/>
        <v>381154.64999999991</v>
      </c>
      <c r="N18" s="203"/>
      <c r="O18" s="1"/>
    </row>
    <row r="19" spans="1:15">
      <c r="A19" s="50">
        <v>16</v>
      </c>
      <c r="B19" s="213">
        <v>45977</v>
      </c>
      <c r="C19" s="10">
        <v>0</v>
      </c>
      <c r="D19" s="18"/>
      <c r="E19" s="8"/>
      <c r="F19" s="8"/>
      <c r="G19" s="16">
        <f t="shared" si="10"/>
        <v>0</v>
      </c>
      <c r="H19" s="7"/>
      <c r="I19" s="7"/>
      <c r="J19" s="21">
        <f t="shared" si="11"/>
        <v>0</v>
      </c>
      <c r="K19" s="8">
        <f t="shared" si="12"/>
        <v>0</v>
      </c>
      <c r="L19" s="8"/>
      <c r="M19" s="8">
        <f t="shared" si="13"/>
        <v>381154.64999999991</v>
      </c>
      <c r="N19" s="203"/>
      <c r="O19" s="1"/>
    </row>
    <row r="20" spans="1:15">
      <c r="A20" s="50">
        <v>17</v>
      </c>
      <c r="B20" s="213">
        <v>45978</v>
      </c>
      <c r="C20" s="10">
        <v>0</v>
      </c>
      <c r="D20" s="18"/>
      <c r="E20" s="8"/>
      <c r="F20" s="8"/>
      <c r="G20" s="16">
        <f t="shared" si="10"/>
        <v>0</v>
      </c>
      <c r="H20" s="7"/>
      <c r="I20" s="7"/>
      <c r="J20" s="21">
        <f t="shared" si="11"/>
        <v>0</v>
      </c>
      <c r="K20" s="8">
        <f t="shared" si="12"/>
        <v>0</v>
      </c>
      <c r="L20" s="8"/>
      <c r="M20" s="8">
        <f t="shared" si="13"/>
        <v>381154.64999999991</v>
      </c>
      <c r="N20" s="203"/>
      <c r="O20" s="1"/>
    </row>
    <row r="21" spans="1:15">
      <c r="A21" s="50">
        <v>18</v>
      </c>
      <c r="B21" s="213">
        <v>45979</v>
      </c>
      <c r="C21" s="10">
        <v>0</v>
      </c>
      <c r="D21" s="18"/>
      <c r="E21" s="8"/>
      <c r="F21" s="8"/>
      <c r="G21" s="16">
        <f t="shared" si="10"/>
        <v>0</v>
      </c>
      <c r="H21" s="7"/>
      <c r="I21" s="7"/>
      <c r="J21" s="21">
        <f t="shared" si="11"/>
        <v>0</v>
      </c>
      <c r="K21" s="8">
        <f t="shared" si="12"/>
        <v>0</v>
      </c>
      <c r="L21" s="8"/>
      <c r="M21" s="8">
        <f t="shared" si="13"/>
        <v>381154.64999999991</v>
      </c>
      <c r="N21" s="203"/>
      <c r="O21" s="1"/>
    </row>
    <row r="22" spans="1:15">
      <c r="A22" s="50">
        <v>19</v>
      </c>
      <c r="B22" s="213">
        <v>45980</v>
      </c>
      <c r="C22" s="10">
        <v>0</v>
      </c>
      <c r="D22" s="18"/>
      <c r="E22" s="8"/>
      <c r="F22" s="8"/>
      <c r="G22" s="16">
        <f t="shared" si="10"/>
        <v>0</v>
      </c>
      <c r="H22" s="7">
        <v>0</v>
      </c>
      <c r="I22" s="7">
        <v>0</v>
      </c>
      <c r="J22" s="21">
        <f t="shared" si="11"/>
        <v>0</v>
      </c>
      <c r="K22" s="8">
        <f t="shared" si="12"/>
        <v>0</v>
      </c>
      <c r="L22" s="8"/>
      <c r="M22" s="8">
        <f t="shared" si="13"/>
        <v>381154.64999999991</v>
      </c>
      <c r="N22" s="203"/>
      <c r="O22" s="1"/>
    </row>
    <row r="23" spans="1:15">
      <c r="A23" s="50">
        <v>20</v>
      </c>
      <c r="B23" s="213">
        <v>45981</v>
      </c>
      <c r="C23" s="10">
        <v>0</v>
      </c>
      <c r="D23" s="18"/>
      <c r="E23" s="8"/>
      <c r="F23" s="8"/>
      <c r="G23" s="16">
        <f t="shared" si="10"/>
        <v>0</v>
      </c>
      <c r="H23" s="7">
        <v>0</v>
      </c>
      <c r="I23" s="7">
        <v>0</v>
      </c>
      <c r="J23" s="21">
        <f t="shared" si="11"/>
        <v>0</v>
      </c>
      <c r="K23" s="8">
        <f t="shared" si="12"/>
        <v>0</v>
      </c>
      <c r="L23" s="8"/>
      <c r="M23" s="8">
        <f t="shared" si="13"/>
        <v>381154.64999999991</v>
      </c>
      <c r="N23" s="203"/>
      <c r="O23" s="1"/>
    </row>
    <row r="24" spans="1:15">
      <c r="A24" s="50">
        <v>21</v>
      </c>
      <c r="B24" s="213">
        <v>45982</v>
      </c>
      <c r="C24" s="10">
        <v>0</v>
      </c>
      <c r="D24" s="18"/>
      <c r="E24" s="8">
        <v>0</v>
      </c>
      <c r="F24" s="8">
        <v>0</v>
      </c>
      <c r="G24" s="16">
        <f t="shared" si="10"/>
        <v>0</v>
      </c>
      <c r="H24" s="7">
        <v>0</v>
      </c>
      <c r="I24" s="7">
        <v>0</v>
      </c>
      <c r="J24" s="21">
        <f t="shared" si="11"/>
        <v>0</v>
      </c>
      <c r="K24" s="8">
        <f t="shared" si="12"/>
        <v>0</v>
      </c>
      <c r="L24" s="8"/>
      <c r="M24" s="8">
        <f t="shared" si="13"/>
        <v>381154.64999999991</v>
      </c>
      <c r="N24" s="203"/>
      <c r="O24" s="1"/>
    </row>
    <row r="25" spans="1:15">
      <c r="A25" s="50">
        <v>22</v>
      </c>
      <c r="B25" s="213">
        <v>45983</v>
      </c>
      <c r="C25" s="10">
        <v>0</v>
      </c>
      <c r="D25" s="18"/>
      <c r="E25" s="8">
        <v>0</v>
      </c>
      <c r="F25" s="8">
        <v>0</v>
      </c>
      <c r="G25" s="16">
        <f t="shared" si="10"/>
        <v>0</v>
      </c>
      <c r="H25" s="7">
        <v>0</v>
      </c>
      <c r="I25" s="7">
        <v>0</v>
      </c>
      <c r="J25" s="21">
        <f t="shared" si="11"/>
        <v>0</v>
      </c>
      <c r="K25" s="8">
        <f t="shared" si="12"/>
        <v>0</v>
      </c>
      <c r="L25" s="8"/>
      <c r="M25" s="8">
        <f t="shared" si="13"/>
        <v>381154.64999999991</v>
      </c>
      <c r="N25" s="203"/>
      <c r="O25" s="1"/>
    </row>
    <row r="26" spans="1:15">
      <c r="A26" s="50">
        <v>23</v>
      </c>
      <c r="B26" s="213">
        <v>45984</v>
      </c>
      <c r="C26" s="10">
        <v>0</v>
      </c>
      <c r="D26" s="18"/>
      <c r="E26" s="8">
        <v>0</v>
      </c>
      <c r="F26" s="8">
        <v>0</v>
      </c>
      <c r="G26" s="16">
        <f t="shared" si="10"/>
        <v>0</v>
      </c>
      <c r="H26" s="7">
        <v>0</v>
      </c>
      <c r="I26" s="7">
        <v>0</v>
      </c>
      <c r="J26" s="21">
        <f t="shared" si="11"/>
        <v>0</v>
      </c>
      <c r="K26" s="8">
        <f t="shared" si="12"/>
        <v>0</v>
      </c>
      <c r="L26" s="8"/>
      <c r="M26" s="8">
        <f t="shared" si="13"/>
        <v>381154.64999999991</v>
      </c>
      <c r="N26" s="203"/>
      <c r="O26" s="1"/>
    </row>
    <row r="27" spans="1:15">
      <c r="A27" s="50">
        <v>24</v>
      </c>
      <c r="B27" s="213">
        <v>45985</v>
      </c>
      <c r="C27" s="10">
        <v>0</v>
      </c>
      <c r="D27" s="18"/>
      <c r="E27" s="8">
        <v>0</v>
      </c>
      <c r="F27" s="8">
        <v>0</v>
      </c>
      <c r="G27" s="16">
        <f t="shared" si="10"/>
        <v>0</v>
      </c>
      <c r="H27" s="7">
        <v>0</v>
      </c>
      <c r="I27" s="7">
        <v>0</v>
      </c>
      <c r="J27" s="21">
        <f t="shared" si="11"/>
        <v>0</v>
      </c>
      <c r="K27" s="8">
        <f t="shared" si="12"/>
        <v>0</v>
      </c>
      <c r="L27" s="8"/>
      <c r="M27" s="8">
        <f t="shared" si="13"/>
        <v>381154.64999999991</v>
      </c>
      <c r="N27" s="203"/>
      <c r="O27" s="1"/>
    </row>
    <row r="28" spans="1:15">
      <c r="A28" s="50">
        <v>25</v>
      </c>
      <c r="B28" s="213">
        <v>45986</v>
      </c>
      <c r="C28" s="10">
        <v>0</v>
      </c>
      <c r="D28" s="18"/>
      <c r="E28" s="8">
        <v>600</v>
      </c>
      <c r="F28" s="8">
        <v>91.14</v>
      </c>
      <c r="G28" s="16">
        <f t="shared" si="10"/>
        <v>54684</v>
      </c>
      <c r="H28" s="7">
        <v>20</v>
      </c>
      <c r="I28" s="7">
        <v>104.6</v>
      </c>
      <c r="J28" s="21">
        <f t="shared" si="11"/>
        <v>2092</v>
      </c>
      <c r="K28" s="8">
        <f t="shared" si="12"/>
        <v>56776</v>
      </c>
      <c r="L28" s="8"/>
      <c r="M28" s="8">
        <f t="shared" si="13"/>
        <v>437930.64999999991</v>
      </c>
      <c r="N28" s="203"/>
      <c r="O28" s="1"/>
    </row>
    <row r="29" spans="1:15">
      <c r="A29" s="50">
        <v>26</v>
      </c>
      <c r="B29" s="213">
        <v>45987</v>
      </c>
      <c r="C29" s="10">
        <v>0</v>
      </c>
      <c r="D29" s="18"/>
      <c r="E29" s="8">
        <v>0</v>
      </c>
      <c r="F29" s="8">
        <v>0</v>
      </c>
      <c r="G29" s="16">
        <f t="shared" si="10"/>
        <v>0</v>
      </c>
      <c r="H29" s="7">
        <v>0</v>
      </c>
      <c r="I29" s="7">
        <v>0</v>
      </c>
      <c r="J29" s="21">
        <f t="shared" si="11"/>
        <v>0</v>
      </c>
      <c r="K29" s="8">
        <f t="shared" si="12"/>
        <v>0</v>
      </c>
      <c r="L29" s="8"/>
      <c r="M29" s="8">
        <f t="shared" si="13"/>
        <v>437930.64999999991</v>
      </c>
      <c r="N29" s="203"/>
      <c r="O29" s="1"/>
    </row>
    <row r="30" spans="1:15">
      <c r="A30" s="50">
        <v>27</v>
      </c>
      <c r="B30" s="213">
        <v>45988</v>
      </c>
      <c r="C30" s="10">
        <v>0</v>
      </c>
      <c r="D30" s="18"/>
      <c r="E30" s="8">
        <v>0</v>
      </c>
      <c r="F30" s="8">
        <v>0</v>
      </c>
      <c r="G30" s="16">
        <f t="shared" si="10"/>
        <v>0</v>
      </c>
      <c r="H30" s="7">
        <v>0</v>
      </c>
      <c r="I30" s="7">
        <v>0</v>
      </c>
      <c r="J30" s="21">
        <f t="shared" si="11"/>
        <v>0</v>
      </c>
      <c r="K30" s="8">
        <f t="shared" si="12"/>
        <v>0</v>
      </c>
      <c r="L30" s="8"/>
      <c r="M30" s="8">
        <f t="shared" si="13"/>
        <v>437930.64999999991</v>
      </c>
      <c r="N30" s="203"/>
      <c r="O30" s="1"/>
    </row>
    <row r="31" spans="1:15">
      <c r="A31" s="50">
        <v>28</v>
      </c>
      <c r="B31" s="213">
        <v>45989</v>
      </c>
      <c r="C31" s="10">
        <v>0</v>
      </c>
      <c r="D31" s="18"/>
      <c r="E31" s="8">
        <v>0</v>
      </c>
      <c r="F31" s="8">
        <v>0</v>
      </c>
      <c r="G31" s="16">
        <f t="shared" si="10"/>
        <v>0</v>
      </c>
      <c r="H31" s="7">
        <v>0</v>
      </c>
      <c r="I31" s="7">
        <v>0</v>
      </c>
      <c r="J31" s="21">
        <f t="shared" si="11"/>
        <v>0</v>
      </c>
      <c r="K31" s="8">
        <f t="shared" si="12"/>
        <v>0</v>
      </c>
      <c r="L31" s="8"/>
      <c r="M31" s="8">
        <f t="shared" si="13"/>
        <v>437930.64999999991</v>
      </c>
      <c r="N31" s="203"/>
      <c r="O31" s="1"/>
    </row>
    <row r="32" spans="1:15">
      <c r="A32" s="50">
        <v>29</v>
      </c>
      <c r="B32" s="213">
        <v>45990</v>
      </c>
      <c r="C32" s="10">
        <v>0</v>
      </c>
      <c r="D32" s="18"/>
      <c r="E32" s="8">
        <v>0</v>
      </c>
      <c r="F32" s="8">
        <v>0</v>
      </c>
      <c r="G32" s="16">
        <f t="shared" si="10"/>
        <v>0</v>
      </c>
      <c r="H32" s="7">
        <v>0</v>
      </c>
      <c r="I32" s="7">
        <v>0</v>
      </c>
      <c r="J32" s="21">
        <f t="shared" si="11"/>
        <v>0</v>
      </c>
      <c r="K32" s="8">
        <f t="shared" si="12"/>
        <v>0</v>
      </c>
      <c r="L32" s="8"/>
      <c r="M32" s="8">
        <f t="shared" si="13"/>
        <v>437930.64999999991</v>
      </c>
      <c r="N32" s="203"/>
      <c r="O32" s="1"/>
    </row>
    <row r="33" spans="1:17">
      <c r="A33" s="50">
        <v>30</v>
      </c>
      <c r="B33" s="213">
        <v>45991</v>
      </c>
      <c r="C33" s="10">
        <v>0</v>
      </c>
      <c r="D33" s="18"/>
      <c r="E33" s="8">
        <v>0</v>
      </c>
      <c r="F33" s="8">
        <v>0</v>
      </c>
      <c r="G33" s="16">
        <f t="shared" si="10"/>
        <v>0</v>
      </c>
      <c r="H33" s="7">
        <v>0</v>
      </c>
      <c r="I33" s="7">
        <v>0</v>
      </c>
      <c r="J33" s="21">
        <f t="shared" si="11"/>
        <v>0</v>
      </c>
      <c r="K33" s="8">
        <f t="shared" si="12"/>
        <v>0</v>
      </c>
      <c r="L33" s="8"/>
      <c r="M33" s="8">
        <f t="shared" si="13"/>
        <v>437930.64999999991</v>
      </c>
      <c r="N33" s="203"/>
      <c r="O33" s="1"/>
    </row>
    <row r="34" spans="1:17">
      <c r="A34" s="50">
        <v>31</v>
      </c>
      <c r="B34" s="213"/>
      <c r="C34" s="264">
        <v>0</v>
      </c>
      <c r="D34" s="265"/>
      <c r="E34" s="8">
        <v>0</v>
      </c>
      <c r="F34" s="8">
        <v>0</v>
      </c>
      <c r="G34" s="16">
        <f t="shared" si="10"/>
        <v>0</v>
      </c>
      <c r="H34" s="7">
        <v>0</v>
      </c>
      <c r="I34" s="7">
        <v>0</v>
      </c>
      <c r="J34" s="21">
        <f t="shared" si="11"/>
        <v>0</v>
      </c>
      <c r="K34" s="8">
        <f t="shared" si="12"/>
        <v>0</v>
      </c>
      <c r="L34" s="8"/>
      <c r="M34" s="8">
        <f t="shared" si="13"/>
        <v>437930.64999999991</v>
      </c>
      <c r="N34" s="203"/>
      <c r="O34" s="1"/>
    </row>
    <row r="35" spans="1:17">
      <c r="A35" s="50">
        <v>32</v>
      </c>
      <c r="B35" s="213"/>
      <c r="C35" s="25"/>
      <c r="D35" s="18"/>
      <c r="E35" s="8">
        <v>0</v>
      </c>
      <c r="F35" s="8">
        <v>0</v>
      </c>
      <c r="G35" s="16">
        <f t="shared" si="7"/>
        <v>0</v>
      </c>
      <c r="H35" s="7">
        <v>0</v>
      </c>
      <c r="I35" s="7">
        <v>0</v>
      </c>
      <c r="J35" s="21">
        <f t="shared" si="8"/>
        <v>0</v>
      </c>
      <c r="K35" s="8">
        <f t="shared" si="9"/>
        <v>0</v>
      </c>
      <c r="L35" s="8"/>
      <c r="M35" s="8">
        <f t="shared" si="13"/>
        <v>437930.64999999991</v>
      </c>
      <c r="N35" s="203"/>
      <c r="O35" s="1"/>
      <c r="P35">
        <v>1194597.71</v>
      </c>
      <c r="Q35" s="328">
        <f>P35-M35</f>
        <v>756667.06</v>
      </c>
    </row>
    <row r="36" spans="1:17">
      <c r="A36" s="168"/>
      <c r="B36" s="168"/>
      <c r="C36" s="168"/>
      <c r="D36" s="168"/>
      <c r="E36" s="169">
        <f>SUM(E4:E35)</f>
        <v>1700</v>
      </c>
      <c r="F36" s="169"/>
      <c r="G36" s="169">
        <f>SUM(G4:G35)</f>
        <v>154938</v>
      </c>
      <c r="H36" s="169">
        <f>SUM(H4:H35)</f>
        <v>60</v>
      </c>
      <c r="I36" s="169"/>
      <c r="J36" s="169">
        <f>SUM(J4:J35)</f>
        <v>6276</v>
      </c>
      <c r="K36" s="169">
        <f>SUM(K4:K35)</f>
        <v>161214</v>
      </c>
      <c r="L36" s="169">
        <f>SUM(L4:L35)</f>
        <v>0</v>
      </c>
      <c r="M36" s="169"/>
      <c r="N36" s="69"/>
      <c r="O36" s="65"/>
    </row>
    <row r="37" spans="1:17">
      <c r="A37" s="2"/>
      <c r="B37" s="2"/>
      <c r="C37" s="2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</row>
    <row r="38" spans="1:17">
      <c r="A38" s="1"/>
      <c r="B38" s="442"/>
      <c r="C38" s="442"/>
      <c r="D38" s="442"/>
      <c r="E38" s="442"/>
      <c r="F38" s="1"/>
      <c r="G38" s="1"/>
      <c r="H38" s="1"/>
      <c r="I38" s="442"/>
      <c r="J38" s="442"/>
      <c r="K38" s="442"/>
      <c r="L38" s="442"/>
      <c r="M38" s="442"/>
      <c r="N38" s="442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R51"/>
  <sheetViews>
    <sheetView workbookViewId="0">
      <pane ySplit="2" topLeftCell="A23" activePane="bottomLeft" state="frozen"/>
      <selection pane="bottomLeft" activeCell="E33" sqref="E33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855468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5" ht="15.75">
      <c r="A1" s="447" t="s">
        <v>65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59"/>
    </row>
    <row r="2" spans="1:15" ht="18" customHeight="1">
      <c r="A2" s="70" t="s">
        <v>95</v>
      </c>
      <c r="B2" s="89" t="s">
        <v>96</v>
      </c>
      <c r="C2" s="89" t="s">
        <v>97</v>
      </c>
      <c r="D2" s="89" t="s">
        <v>98</v>
      </c>
      <c r="E2" s="89" t="s">
        <v>99</v>
      </c>
      <c r="F2" s="89" t="s">
        <v>100</v>
      </c>
      <c r="G2" s="89" t="s">
        <v>101</v>
      </c>
      <c r="H2" s="89" t="s">
        <v>102</v>
      </c>
      <c r="I2" s="89" t="s">
        <v>100</v>
      </c>
      <c r="J2" s="90" t="s">
        <v>101</v>
      </c>
      <c r="K2" s="70" t="s">
        <v>103</v>
      </c>
      <c r="L2" s="91" t="s">
        <v>104</v>
      </c>
      <c r="M2" s="174" t="s">
        <v>110</v>
      </c>
      <c r="N2" s="89" t="s">
        <v>106</v>
      </c>
      <c r="O2" s="65"/>
    </row>
    <row r="3" spans="1:15" ht="18" customHeight="1">
      <c r="A3" s="152"/>
      <c r="B3" s="153"/>
      <c r="C3" s="153"/>
      <c r="D3" s="139" t="s">
        <v>107</v>
      </c>
      <c r="E3" s="153"/>
      <c r="F3" s="153"/>
      <c r="G3" s="153"/>
      <c r="H3" s="153"/>
      <c r="I3" s="153"/>
      <c r="J3" s="154"/>
      <c r="K3" s="283"/>
      <c r="L3" s="247">
        <v>127726.19469999995</v>
      </c>
      <c r="M3" s="247">
        <v>127726.19469999995</v>
      </c>
      <c r="N3" s="153"/>
      <c r="O3" s="65"/>
    </row>
    <row r="4" spans="1:15">
      <c r="A4" s="50">
        <v>1</v>
      </c>
      <c r="B4" s="213">
        <v>45962</v>
      </c>
      <c r="C4" s="25"/>
      <c r="D4" s="25"/>
      <c r="E4" s="8">
        <v>0</v>
      </c>
      <c r="F4" s="8">
        <v>0</v>
      </c>
      <c r="G4" s="8">
        <v>0</v>
      </c>
      <c r="H4" s="9">
        <v>7</v>
      </c>
      <c r="I4" s="9">
        <v>103.4</v>
      </c>
      <c r="J4" s="8">
        <f>H4*I4</f>
        <v>723.80000000000007</v>
      </c>
      <c r="K4" s="8">
        <f>G4+J4</f>
        <v>723.80000000000007</v>
      </c>
      <c r="L4" s="155">
        <v>0</v>
      </c>
      <c r="M4" s="8">
        <f>M3+K4-L4</f>
        <v>128449.99469999995</v>
      </c>
      <c r="N4" s="48"/>
      <c r="O4" s="1"/>
    </row>
    <row r="5" spans="1:15">
      <c r="A5" s="50">
        <v>2</v>
      </c>
      <c r="B5" s="213">
        <v>45963</v>
      </c>
      <c r="C5" s="25"/>
      <c r="D5" s="25"/>
      <c r="E5" s="8">
        <v>100</v>
      </c>
      <c r="F5" s="8">
        <v>91.47</v>
      </c>
      <c r="G5" s="8">
        <f t="shared" ref="G5:G34" si="0">E5*F5</f>
        <v>9147</v>
      </c>
      <c r="H5" s="9">
        <v>0</v>
      </c>
      <c r="I5" s="9">
        <v>0</v>
      </c>
      <c r="J5" s="8">
        <f t="shared" ref="J5:J34" si="1">H5*I5</f>
        <v>0</v>
      </c>
      <c r="K5" s="8">
        <f t="shared" ref="K5:K34" si="2">G5+J5</f>
        <v>9147</v>
      </c>
      <c r="L5" s="155">
        <v>0</v>
      </c>
      <c r="M5" s="8">
        <f t="shared" ref="M5:M35" si="3">M4+K5-L5</f>
        <v>137596.99469999995</v>
      </c>
      <c r="N5" s="48"/>
      <c r="O5" s="1"/>
    </row>
    <row r="6" spans="1:15">
      <c r="A6" s="50">
        <v>3</v>
      </c>
      <c r="B6" s="213">
        <v>45964</v>
      </c>
      <c r="C6" s="25"/>
      <c r="D6" s="25"/>
      <c r="E6" s="8">
        <v>173</v>
      </c>
      <c r="F6" s="8">
        <v>91.47</v>
      </c>
      <c r="G6" s="8">
        <f t="shared" si="0"/>
        <v>15824.31</v>
      </c>
      <c r="H6" s="9">
        <v>0</v>
      </c>
      <c r="I6" s="9">
        <v>0</v>
      </c>
      <c r="J6" s="8">
        <f t="shared" si="1"/>
        <v>0</v>
      </c>
      <c r="K6" s="8">
        <f t="shared" si="2"/>
        <v>15824.31</v>
      </c>
      <c r="L6" s="155">
        <v>0</v>
      </c>
      <c r="M6" s="8">
        <f t="shared" si="3"/>
        <v>153421.30469999995</v>
      </c>
      <c r="N6" s="48"/>
      <c r="O6" s="1"/>
    </row>
    <row r="7" spans="1:15">
      <c r="A7" s="50">
        <v>4</v>
      </c>
      <c r="B7" s="213">
        <v>45965</v>
      </c>
      <c r="C7" s="25"/>
      <c r="D7" s="25"/>
      <c r="E7" s="8">
        <v>328.27</v>
      </c>
      <c r="F7" s="8">
        <v>91.47</v>
      </c>
      <c r="G7" s="8">
        <f t="shared" si="0"/>
        <v>30026.856899999999</v>
      </c>
      <c r="H7" s="9">
        <v>6.71</v>
      </c>
      <c r="I7" s="9">
        <v>103.4</v>
      </c>
      <c r="J7" s="8">
        <f t="shared" si="1"/>
        <v>693.81400000000008</v>
      </c>
      <c r="K7" s="8">
        <f t="shared" si="2"/>
        <v>30720.670899999997</v>
      </c>
      <c r="L7" s="155">
        <v>0</v>
      </c>
      <c r="M7" s="8">
        <f t="shared" si="3"/>
        <v>184141.97559999995</v>
      </c>
      <c r="N7" s="48"/>
      <c r="O7" s="1"/>
    </row>
    <row r="8" spans="1:15">
      <c r="A8" s="50">
        <v>5</v>
      </c>
      <c r="B8" s="213">
        <v>45966</v>
      </c>
      <c r="C8" s="25"/>
      <c r="D8" s="25"/>
      <c r="E8" s="8">
        <v>205</v>
      </c>
      <c r="F8" s="8">
        <v>91.47</v>
      </c>
      <c r="G8" s="8">
        <f t="shared" si="0"/>
        <v>18751.349999999999</v>
      </c>
      <c r="H8" s="9">
        <v>10</v>
      </c>
      <c r="I8" s="9">
        <v>103.4</v>
      </c>
      <c r="J8" s="8">
        <f t="shared" si="1"/>
        <v>1034</v>
      </c>
      <c r="K8" s="8">
        <f t="shared" si="2"/>
        <v>19785.349999999999</v>
      </c>
      <c r="L8" s="155">
        <v>0</v>
      </c>
      <c r="M8" s="8">
        <f t="shared" si="3"/>
        <v>203927.32559999995</v>
      </c>
      <c r="N8" s="48"/>
      <c r="O8" s="1"/>
    </row>
    <row r="9" spans="1:15">
      <c r="A9" s="50">
        <v>6</v>
      </c>
      <c r="B9" s="213">
        <v>45967</v>
      </c>
      <c r="C9" s="25"/>
      <c r="D9" s="25"/>
      <c r="E9" s="8">
        <v>40</v>
      </c>
      <c r="F9" s="8">
        <v>91.47</v>
      </c>
      <c r="G9" s="8">
        <f t="shared" si="0"/>
        <v>3658.8</v>
      </c>
      <c r="H9" s="9">
        <v>0</v>
      </c>
      <c r="I9" s="9">
        <v>0</v>
      </c>
      <c r="J9" s="8">
        <f t="shared" si="1"/>
        <v>0</v>
      </c>
      <c r="K9" s="8">
        <f t="shared" si="2"/>
        <v>3658.8</v>
      </c>
      <c r="L9" s="155">
        <v>0</v>
      </c>
      <c r="M9" s="8">
        <f t="shared" si="3"/>
        <v>207586.12559999994</v>
      </c>
      <c r="N9" s="48"/>
      <c r="O9" s="1"/>
    </row>
    <row r="10" spans="1:15">
      <c r="A10" s="50">
        <v>7</v>
      </c>
      <c r="B10" s="213">
        <v>45968</v>
      </c>
      <c r="C10" s="25"/>
      <c r="D10" s="25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5">
        <v>0</v>
      </c>
      <c r="M10" s="8">
        <f t="shared" si="3"/>
        <v>207586.12559999994</v>
      </c>
      <c r="N10" s="48"/>
      <c r="O10" s="1"/>
    </row>
    <row r="11" spans="1:15">
      <c r="A11" s="50">
        <v>8</v>
      </c>
      <c r="B11" s="213">
        <v>45969</v>
      </c>
      <c r="C11" s="25"/>
      <c r="D11" s="25"/>
      <c r="E11" s="8">
        <v>138.9</v>
      </c>
      <c r="F11" s="8">
        <v>91.47</v>
      </c>
      <c r="G11" s="8">
        <f t="shared" si="0"/>
        <v>12705.183000000001</v>
      </c>
      <c r="H11" s="9">
        <v>0</v>
      </c>
      <c r="I11" s="9">
        <v>0</v>
      </c>
      <c r="J11" s="8">
        <f t="shared" si="1"/>
        <v>0</v>
      </c>
      <c r="K11" s="8">
        <f t="shared" si="2"/>
        <v>12705.183000000001</v>
      </c>
      <c r="L11" s="155">
        <v>0</v>
      </c>
      <c r="M11" s="8">
        <f t="shared" si="3"/>
        <v>220291.30859999993</v>
      </c>
      <c r="N11" s="48"/>
      <c r="O11" s="1"/>
    </row>
    <row r="12" spans="1:15">
      <c r="A12" s="50">
        <v>9</v>
      </c>
      <c r="B12" s="213">
        <v>45970</v>
      </c>
      <c r="C12" s="25"/>
      <c r="D12" s="25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55">
        <v>0</v>
      </c>
      <c r="M12" s="8">
        <f t="shared" si="3"/>
        <v>220291.30859999993</v>
      </c>
      <c r="N12" s="48"/>
      <c r="O12" s="1" t="s">
        <v>156</v>
      </c>
    </row>
    <row r="13" spans="1:15">
      <c r="A13" s="50">
        <v>10</v>
      </c>
      <c r="B13" s="213">
        <v>45971</v>
      </c>
      <c r="C13" s="25"/>
      <c r="D13" s="25"/>
      <c r="E13" s="8">
        <v>275</v>
      </c>
      <c r="F13" s="8">
        <v>91.47</v>
      </c>
      <c r="G13" s="8">
        <f t="shared" si="0"/>
        <v>25154.25</v>
      </c>
      <c r="H13" s="9">
        <v>31.65</v>
      </c>
      <c r="I13" s="9">
        <v>103.4</v>
      </c>
      <c r="J13" s="8">
        <f t="shared" si="1"/>
        <v>3272.61</v>
      </c>
      <c r="K13" s="8">
        <f t="shared" si="2"/>
        <v>28426.86</v>
      </c>
      <c r="L13" s="155">
        <v>0</v>
      </c>
      <c r="M13" s="8">
        <f t="shared" si="3"/>
        <v>248718.16859999992</v>
      </c>
      <c r="N13" s="48"/>
      <c r="O13" s="1"/>
    </row>
    <row r="14" spans="1:15">
      <c r="A14" s="50">
        <v>11</v>
      </c>
      <c r="B14" s="213">
        <v>45972</v>
      </c>
      <c r="C14" s="25"/>
      <c r="D14" s="25"/>
      <c r="E14" s="8">
        <v>60.12</v>
      </c>
      <c r="F14" s="8">
        <v>91.47</v>
      </c>
      <c r="G14" s="8">
        <f t="shared" si="0"/>
        <v>5499.1763999999994</v>
      </c>
      <c r="H14" s="9">
        <v>0</v>
      </c>
      <c r="I14" s="9">
        <v>0</v>
      </c>
      <c r="J14" s="8">
        <f t="shared" si="1"/>
        <v>0</v>
      </c>
      <c r="K14" s="8">
        <f t="shared" si="2"/>
        <v>5499.1763999999994</v>
      </c>
      <c r="L14" s="155">
        <v>5500</v>
      </c>
      <c r="M14" s="8">
        <f t="shared" si="3"/>
        <v>248717.34499999991</v>
      </c>
      <c r="N14" s="48"/>
      <c r="O14" s="1"/>
    </row>
    <row r="15" spans="1:15">
      <c r="A15" s="50">
        <v>12</v>
      </c>
      <c r="B15" s="213">
        <v>45973</v>
      </c>
      <c r="C15" s="25"/>
      <c r="D15" s="25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55">
        <v>0</v>
      </c>
      <c r="M15" s="8">
        <f t="shared" si="3"/>
        <v>248717.34499999991</v>
      </c>
      <c r="N15" s="48"/>
      <c r="O15" s="1"/>
    </row>
    <row r="16" spans="1:15">
      <c r="A16" s="50">
        <v>13</v>
      </c>
      <c r="B16" s="213">
        <v>45974</v>
      </c>
      <c r="C16" s="25"/>
      <c r="D16" s="25"/>
      <c r="E16" s="8">
        <v>50</v>
      </c>
      <c r="F16" s="8">
        <v>91.49</v>
      </c>
      <c r="G16" s="8">
        <f t="shared" si="0"/>
        <v>4574.5</v>
      </c>
      <c r="H16" s="9">
        <v>5</v>
      </c>
      <c r="I16" s="9">
        <v>103.4</v>
      </c>
      <c r="J16" s="8">
        <f t="shared" si="1"/>
        <v>517</v>
      </c>
      <c r="K16" s="8">
        <f t="shared" si="2"/>
        <v>5091.5</v>
      </c>
      <c r="L16" s="155">
        <v>5091.5</v>
      </c>
      <c r="M16" s="8">
        <f>M15+K16-L16</f>
        <v>248717.34499999991</v>
      </c>
      <c r="N16" s="48"/>
      <c r="O16" s="1"/>
    </row>
    <row r="17" spans="1:18">
      <c r="A17" s="50"/>
      <c r="B17" s="213">
        <v>45974</v>
      </c>
      <c r="C17" s="25"/>
      <c r="D17" s="25"/>
      <c r="E17" s="8">
        <v>30</v>
      </c>
      <c r="F17" s="8">
        <v>91.47</v>
      </c>
      <c r="G17" s="8">
        <f t="shared" si="0"/>
        <v>2744.1</v>
      </c>
      <c r="H17" s="9"/>
      <c r="I17" s="9"/>
      <c r="J17" s="8"/>
      <c r="K17" s="8">
        <f t="shared" si="2"/>
        <v>2744.1</v>
      </c>
      <c r="L17" s="155">
        <v>2744.1</v>
      </c>
      <c r="M17" s="8">
        <f>M16+K17-L17</f>
        <v>248717.34499999991</v>
      </c>
      <c r="N17" s="48"/>
      <c r="O17" s="1"/>
    </row>
    <row r="18" spans="1:18">
      <c r="A18" s="50">
        <v>14</v>
      </c>
      <c r="B18" s="213">
        <v>45975</v>
      </c>
      <c r="C18" s="25"/>
      <c r="D18" s="25"/>
      <c r="E18" s="8">
        <v>218.65</v>
      </c>
      <c r="F18" s="8">
        <v>91.47</v>
      </c>
      <c r="G18" s="8">
        <f t="shared" si="0"/>
        <v>19999.915499999999</v>
      </c>
      <c r="H18" s="9">
        <v>3.99</v>
      </c>
      <c r="I18" s="9">
        <v>103.4</v>
      </c>
      <c r="J18" s="8">
        <f t="shared" si="1"/>
        <v>412.56600000000003</v>
      </c>
      <c r="K18" s="8">
        <f t="shared" si="2"/>
        <v>20412.481499999998</v>
      </c>
      <c r="L18" s="155">
        <v>20000</v>
      </c>
      <c r="M18" s="8">
        <f t="shared" ref="M18:M36" si="4">M17+K18-L18</f>
        <v>249129.82649999991</v>
      </c>
      <c r="N18" s="48"/>
      <c r="O18" s="1"/>
    </row>
    <row r="19" spans="1:18">
      <c r="A19" s="50">
        <v>15</v>
      </c>
      <c r="B19" s="213">
        <v>45976</v>
      </c>
      <c r="C19" s="25"/>
      <c r="D19" s="25"/>
      <c r="E19" s="286">
        <v>34</v>
      </c>
      <c r="F19" s="286">
        <v>91.47</v>
      </c>
      <c r="G19" s="8">
        <f t="shared" si="0"/>
        <v>3109.98</v>
      </c>
      <c r="H19" s="286">
        <v>13.86</v>
      </c>
      <c r="I19" s="9">
        <v>103.4</v>
      </c>
      <c r="J19" s="8">
        <f t="shared" si="1"/>
        <v>1433.124</v>
      </c>
      <c r="K19" s="8">
        <f t="shared" si="2"/>
        <v>4543.1040000000003</v>
      </c>
      <c r="L19" s="155">
        <v>248000</v>
      </c>
      <c r="M19" s="8">
        <f t="shared" si="4"/>
        <v>5672.9304999999003</v>
      </c>
      <c r="N19" s="48"/>
      <c r="O19" s="1"/>
    </row>
    <row r="20" spans="1:18">
      <c r="A20" s="50">
        <v>16</v>
      </c>
      <c r="B20" s="213">
        <v>45977</v>
      </c>
      <c r="C20" s="25"/>
      <c r="D20" s="25"/>
      <c r="E20" s="286">
        <v>50</v>
      </c>
      <c r="F20" s="286">
        <v>91.47</v>
      </c>
      <c r="G20" s="8">
        <f t="shared" si="0"/>
        <v>4573.5</v>
      </c>
      <c r="H20" s="286">
        <v>8</v>
      </c>
      <c r="I20" s="9">
        <v>103.4</v>
      </c>
      <c r="J20" s="8">
        <f t="shared" si="1"/>
        <v>827.2</v>
      </c>
      <c r="K20" s="8">
        <f t="shared" si="2"/>
        <v>5400.7</v>
      </c>
      <c r="L20" s="155">
        <v>4400</v>
      </c>
      <c r="M20" s="8">
        <f t="shared" si="4"/>
        <v>6673.6304999999011</v>
      </c>
      <c r="N20" s="48"/>
      <c r="O20" s="1"/>
    </row>
    <row r="21" spans="1:18">
      <c r="A21" s="50">
        <v>17</v>
      </c>
      <c r="B21" s="213">
        <v>45978</v>
      </c>
      <c r="C21" s="25"/>
      <c r="D21" s="25"/>
      <c r="E21" s="8">
        <v>365.65</v>
      </c>
      <c r="F21" s="286">
        <v>91.47</v>
      </c>
      <c r="G21" s="8">
        <f t="shared" si="0"/>
        <v>33446.005499999999</v>
      </c>
      <c r="H21" s="9">
        <v>13</v>
      </c>
      <c r="I21" s="9">
        <v>103.4</v>
      </c>
      <c r="J21" s="8">
        <f t="shared" si="1"/>
        <v>1344.2</v>
      </c>
      <c r="K21" s="8">
        <f t="shared" si="2"/>
        <v>34790.205499999996</v>
      </c>
      <c r="L21" s="155">
        <v>0</v>
      </c>
      <c r="M21" s="8">
        <f t="shared" si="4"/>
        <v>41463.835999999894</v>
      </c>
      <c r="N21" s="48"/>
      <c r="O21" s="1"/>
    </row>
    <row r="22" spans="1:18">
      <c r="A22" s="50">
        <v>18</v>
      </c>
      <c r="B22" s="213">
        <v>45979</v>
      </c>
      <c r="C22" s="25"/>
      <c r="D22" s="25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55">
        <v>0</v>
      </c>
      <c r="M22" s="8">
        <f t="shared" si="4"/>
        <v>41463.835999999894</v>
      </c>
      <c r="N22" s="48"/>
      <c r="O22" s="1"/>
    </row>
    <row r="23" spans="1:18">
      <c r="A23" s="50">
        <v>19</v>
      </c>
      <c r="B23" s="213">
        <v>45980</v>
      </c>
      <c r="C23" s="25"/>
      <c r="D23" s="25"/>
      <c r="E23" s="8">
        <v>70.12</v>
      </c>
      <c r="F23" s="8">
        <v>91.47</v>
      </c>
      <c r="G23" s="8">
        <f t="shared" si="0"/>
        <v>6413.8764000000001</v>
      </c>
      <c r="H23" s="9">
        <v>0</v>
      </c>
      <c r="I23" s="9">
        <v>0</v>
      </c>
      <c r="J23" s="8">
        <f t="shared" si="1"/>
        <v>0</v>
      </c>
      <c r="K23" s="8">
        <f t="shared" si="2"/>
        <v>6413.8764000000001</v>
      </c>
      <c r="L23" s="155">
        <v>0</v>
      </c>
      <c r="M23" s="8">
        <f t="shared" si="4"/>
        <v>47877.712399999895</v>
      </c>
      <c r="N23" s="48"/>
      <c r="O23" s="1"/>
    </row>
    <row r="24" spans="1:18">
      <c r="A24" s="50">
        <v>20</v>
      </c>
      <c r="B24" s="213">
        <v>45981</v>
      </c>
      <c r="C24" s="25"/>
      <c r="D24" s="25"/>
      <c r="E24" s="8">
        <v>92.41</v>
      </c>
      <c r="F24" s="8">
        <v>91.47</v>
      </c>
      <c r="G24" s="8">
        <f t="shared" si="0"/>
        <v>8452.7426999999989</v>
      </c>
      <c r="H24" s="9">
        <v>0</v>
      </c>
      <c r="I24" s="9">
        <v>0</v>
      </c>
      <c r="J24" s="8">
        <f t="shared" si="1"/>
        <v>0</v>
      </c>
      <c r="K24" s="8">
        <f t="shared" si="2"/>
        <v>8452.7426999999989</v>
      </c>
      <c r="L24" s="155">
        <v>0</v>
      </c>
      <c r="M24" s="8">
        <f t="shared" si="4"/>
        <v>56330.45509999989</v>
      </c>
      <c r="N24" s="48"/>
      <c r="O24" s="1"/>
    </row>
    <row r="25" spans="1:18">
      <c r="A25" s="50">
        <v>21</v>
      </c>
      <c r="B25" s="213">
        <v>45982</v>
      </c>
      <c r="C25" s="25"/>
      <c r="D25" s="25"/>
      <c r="E25" s="8">
        <v>177</v>
      </c>
      <c r="F25" s="8">
        <v>91.47</v>
      </c>
      <c r="G25" s="8">
        <f t="shared" si="0"/>
        <v>16190.19</v>
      </c>
      <c r="H25" s="9">
        <v>0</v>
      </c>
      <c r="I25" s="9">
        <v>0</v>
      </c>
      <c r="J25" s="8">
        <f t="shared" si="1"/>
        <v>0</v>
      </c>
      <c r="K25" s="8">
        <f t="shared" si="2"/>
        <v>16190.19</v>
      </c>
      <c r="L25" s="155">
        <v>40000</v>
      </c>
      <c r="M25" s="8">
        <f t="shared" si="4"/>
        <v>32520.645099999892</v>
      </c>
      <c r="N25" s="48"/>
      <c r="O25" s="1"/>
    </row>
    <row r="26" spans="1:18">
      <c r="A26" s="50">
        <v>22</v>
      </c>
      <c r="B26" s="213">
        <v>45983</v>
      </c>
      <c r="C26" s="25"/>
      <c r="D26" s="25"/>
      <c r="E26" s="8">
        <v>458</v>
      </c>
      <c r="F26" s="8">
        <v>91.47</v>
      </c>
      <c r="G26" s="8">
        <f t="shared" si="0"/>
        <v>41893.26</v>
      </c>
      <c r="H26" s="9">
        <v>18.5</v>
      </c>
      <c r="I26" s="9">
        <v>103.4</v>
      </c>
      <c r="J26" s="8">
        <f t="shared" si="1"/>
        <v>1912.9</v>
      </c>
      <c r="K26" s="8">
        <f t="shared" si="2"/>
        <v>43806.16</v>
      </c>
      <c r="L26" s="155">
        <v>0</v>
      </c>
      <c r="M26" s="8">
        <f t="shared" si="4"/>
        <v>76326.805099999896</v>
      </c>
      <c r="N26" s="48"/>
      <c r="O26" s="1"/>
    </row>
    <row r="27" spans="1:18">
      <c r="A27" s="50">
        <v>23</v>
      </c>
      <c r="B27" s="213">
        <v>45984</v>
      </c>
      <c r="C27" s="25"/>
      <c r="D27" s="25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55">
        <v>0</v>
      </c>
      <c r="M27" s="8">
        <f t="shared" si="4"/>
        <v>76326.805099999896</v>
      </c>
      <c r="N27" s="48"/>
      <c r="O27" s="1"/>
    </row>
    <row r="28" spans="1:18">
      <c r="A28" s="50">
        <v>24</v>
      </c>
      <c r="B28" s="213">
        <v>45985</v>
      </c>
      <c r="C28" s="25"/>
      <c r="D28" s="25"/>
      <c r="E28" s="8">
        <v>237.55</v>
      </c>
      <c r="F28" s="8">
        <v>91.47</v>
      </c>
      <c r="G28" s="8">
        <f t="shared" si="0"/>
        <v>21728.698500000002</v>
      </c>
      <c r="H28" s="9">
        <v>0</v>
      </c>
      <c r="I28" s="9">
        <v>0</v>
      </c>
      <c r="J28" s="8">
        <f t="shared" si="1"/>
        <v>0</v>
      </c>
      <c r="K28" s="8">
        <f t="shared" si="2"/>
        <v>21728.698500000002</v>
      </c>
      <c r="L28" s="155">
        <v>0</v>
      </c>
      <c r="M28" s="8">
        <f t="shared" si="4"/>
        <v>98055.503599999895</v>
      </c>
      <c r="N28" s="48"/>
      <c r="O28" s="1"/>
    </row>
    <row r="29" spans="1:18">
      <c r="A29" s="50">
        <v>25</v>
      </c>
      <c r="B29" s="213">
        <v>45986</v>
      </c>
      <c r="C29" s="25"/>
      <c r="D29" s="25"/>
      <c r="E29" s="8">
        <v>333.63</v>
      </c>
      <c r="F29" s="8">
        <v>91.47</v>
      </c>
      <c r="G29" s="8">
        <f t="shared" si="0"/>
        <v>30517.1361</v>
      </c>
      <c r="H29" s="9">
        <v>10</v>
      </c>
      <c r="I29" s="9">
        <v>103.4</v>
      </c>
      <c r="J29" s="8">
        <f t="shared" si="1"/>
        <v>1034</v>
      </c>
      <c r="K29" s="8">
        <f t="shared" si="2"/>
        <v>31551.1361</v>
      </c>
      <c r="L29" s="155">
        <v>0</v>
      </c>
      <c r="M29" s="8">
        <f t="shared" si="4"/>
        <v>129606.6396999999</v>
      </c>
      <c r="N29" s="48"/>
      <c r="O29" s="1"/>
    </row>
    <row r="30" spans="1:18">
      <c r="A30" s="50">
        <v>26</v>
      </c>
      <c r="B30" s="213">
        <v>45987</v>
      </c>
      <c r="C30" s="25"/>
      <c r="D30" s="25"/>
      <c r="E30" s="8">
        <v>270.81</v>
      </c>
      <c r="F30" s="8">
        <v>91.47</v>
      </c>
      <c r="G30" s="8">
        <f t="shared" si="0"/>
        <v>24770.990699999998</v>
      </c>
      <c r="H30" s="9">
        <v>11.02</v>
      </c>
      <c r="I30" s="9">
        <v>103.4</v>
      </c>
      <c r="J30" s="8">
        <f t="shared" si="1"/>
        <v>1139.4680000000001</v>
      </c>
      <c r="K30" s="8">
        <f t="shared" si="2"/>
        <v>25910.458699999999</v>
      </c>
      <c r="L30" s="155">
        <v>0</v>
      </c>
      <c r="M30" s="8">
        <f t="shared" si="4"/>
        <v>155517.0983999999</v>
      </c>
      <c r="N30" s="48"/>
      <c r="O30" s="1"/>
    </row>
    <row r="31" spans="1:18">
      <c r="A31" s="50">
        <v>27</v>
      </c>
      <c r="B31" s="213">
        <v>45988</v>
      </c>
      <c r="C31" s="25"/>
      <c r="D31" s="25"/>
      <c r="E31" s="8">
        <v>345.96</v>
      </c>
      <c r="F31" s="8">
        <v>91.47</v>
      </c>
      <c r="G31" s="8">
        <f t="shared" si="0"/>
        <v>31644.961199999998</v>
      </c>
      <c r="H31" s="9">
        <v>0</v>
      </c>
      <c r="I31" s="9">
        <v>0</v>
      </c>
      <c r="J31" s="8">
        <f t="shared" si="1"/>
        <v>0</v>
      </c>
      <c r="K31" s="8">
        <f t="shared" si="2"/>
        <v>31644.961199999998</v>
      </c>
      <c r="L31" s="155">
        <v>0</v>
      </c>
      <c r="M31" s="8">
        <f t="shared" si="4"/>
        <v>187162.05959999989</v>
      </c>
      <c r="N31" s="48"/>
      <c r="O31" s="1"/>
      <c r="R31">
        <v>46.61</v>
      </c>
    </row>
    <row r="32" spans="1:18">
      <c r="A32" s="50">
        <v>28</v>
      </c>
      <c r="B32" s="213">
        <v>45989</v>
      </c>
      <c r="C32" s="25"/>
      <c r="D32" s="25"/>
      <c r="E32" s="8">
        <v>415.59</v>
      </c>
      <c r="F32" s="8">
        <v>91.47</v>
      </c>
      <c r="G32" s="8">
        <f t="shared" si="0"/>
        <v>38014.0173</v>
      </c>
      <c r="H32" s="9">
        <v>0</v>
      </c>
      <c r="I32" s="9">
        <v>0</v>
      </c>
      <c r="J32" s="8">
        <f t="shared" si="1"/>
        <v>0</v>
      </c>
      <c r="K32" s="8">
        <f t="shared" si="2"/>
        <v>38014.0173</v>
      </c>
      <c r="L32" s="155">
        <v>0</v>
      </c>
      <c r="M32" s="8">
        <f t="shared" si="4"/>
        <v>225176.0768999999</v>
      </c>
      <c r="N32" s="48"/>
      <c r="O32" s="1"/>
      <c r="R32">
        <v>100</v>
      </c>
    </row>
    <row r="33" spans="1:18">
      <c r="A33" s="208">
        <v>29</v>
      </c>
      <c r="B33" s="213">
        <v>45990</v>
      </c>
      <c r="C33" s="25"/>
      <c r="D33" s="25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55">
        <v>0</v>
      </c>
      <c r="M33" s="8">
        <f t="shared" si="4"/>
        <v>225176.0768999999</v>
      </c>
      <c r="N33" s="48"/>
      <c r="O33" s="1"/>
      <c r="R33">
        <v>35</v>
      </c>
    </row>
    <row r="34" spans="1:18">
      <c r="A34" s="208">
        <v>30</v>
      </c>
      <c r="B34" s="213">
        <v>45991</v>
      </c>
      <c r="C34" s="25"/>
      <c r="D34" s="25"/>
      <c r="E34" s="8">
        <v>0</v>
      </c>
      <c r="F34" s="8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>
        <f t="shared" si="2"/>
        <v>0</v>
      </c>
      <c r="L34" s="155">
        <v>0</v>
      </c>
      <c r="M34" s="8">
        <f t="shared" si="4"/>
        <v>225176.0768999999</v>
      </c>
      <c r="N34" s="48" t="s">
        <v>157</v>
      </c>
      <c r="O34" s="1"/>
    </row>
    <row r="35" spans="1:18">
      <c r="A35" s="208">
        <v>31</v>
      </c>
      <c r="B35" s="213">
        <v>45992</v>
      </c>
      <c r="C35" s="25"/>
      <c r="D35" s="25"/>
      <c r="E35" s="8">
        <v>0</v>
      </c>
      <c r="F35" s="8">
        <v>0</v>
      </c>
      <c r="G35" s="8">
        <f t="shared" ref="G35" si="5">E35*F35</f>
        <v>0</v>
      </c>
      <c r="H35" s="9">
        <v>0</v>
      </c>
      <c r="I35" s="9">
        <v>0</v>
      </c>
      <c r="J35" s="8">
        <f t="shared" ref="J35" si="6">H35*I35</f>
        <v>0</v>
      </c>
      <c r="K35" s="8">
        <f t="shared" ref="K35" si="7">G35+J35</f>
        <v>0</v>
      </c>
      <c r="L35" s="155">
        <v>0</v>
      </c>
      <c r="M35" s="8">
        <f t="shared" si="4"/>
        <v>225176.0768999999</v>
      </c>
      <c r="N35" s="48"/>
      <c r="O35" s="1"/>
    </row>
    <row r="36" spans="1:18">
      <c r="A36" s="208"/>
      <c r="B36" s="213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55"/>
      <c r="M36" s="8">
        <f t="shared" si="4"/>
        <v>225176.0768999999</v>
      </c>
      <c r="N36" s="48"/>
      <c r="O36" s="1"/>
    </row>
    <row r="37" spans="1:18">
      <c r="A37" s="68"/>
      <c r="B37" s="68"/>
      <c r="C37" s="68"/>
      <c r="D37" s="68"/>
      <c r="E37" s="69">
        <f>SUM(E4:E35)</f>
        <v>4469.66</v>
      </c>
      <c r="F37" s="69"/>
      <c r="G37" s="69">
        <f>SUM(G4:G35)</f>
        <v>408840.80020000006</v>
      </c>
      <c r="H37" s="69">
        <f>SUM(H4:H35)</f>
        <v>138.72999999999999</v>
      </c>
      <c r="I37" s="69"/>
      <c r="J37" s="69">
        <f>SUM(J4:J35)</f>
        <v>14344.682000000001</v>
      </c>
      <c r="K37" s="69">
        <f>SUM(K4:K35)</f>
        <v>423185.48220000003</v>
      </c>
      <c r="L37" s="69">
        <f>SUM(L4:L35)</f>
        <v>325735.59999999998</v>
      </c>
      <c r="M37" s="69"/>
      <c r="N37" s="69"/>
      <c r="O37" s="65"/>
    </row>
    <row r="38" spans="1:18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8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8">
      <c r="A40" s="1"/>
      <c r="B40" s="442"/>
      <c r="C40" s="442"/>
      <c r="D40" s="442"/>
      <c r="E40" s="442"/>
      <c r="F40" s="1"/>
      <c r="G40" s="1"/>
      <c r="H40" s="1"/>
      <c r="I40" s="478">
        <f>K25+L25</f>
        <v>56190.19</v>
      </c>
      <c r="J40" s="442"/>
      <c r="K40" s="442"/>
      <c r="L40" s="442"/>
      <c r="M40" s="442"/>
      <c r="N40" s="442"/>
      <c r="O40" s="4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B40:E40"/>
    <mergeCell ref="I40:N40"/>
    <mergeCell ref="A1:N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Q49"/>
  <sheetViews>
    <sheetView topLeftCell="A10" workbookViewId="0">
      <selection activeCell="M33" sqref="M33"/>
    </sheetView>
  </sheetViews>
  <sheetFormatPr defaultRowHeight="15"/>
  <cols>
    <col min="1" max="1" width="5.140625" bestFit="1" customWidth="1"/>
    <col min="2" max="2" width="10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1.5703125" bestFit="1" customWidth="1"/>
    <col min="9" max="10" width="10.85546875" bestFit="1" customWidth="1"/>
    <col min="11" max="12" width="13.5703125" bestFit="1" customWidth="1"/>
    <col min="13" max="13" width="10.140625" bestFit="1" customWidth="1"/>
    <col min="14" max="14" width="10.42578125" bestFit="1" customWidth="1"/>
    <col min="15" max="15" width="9.42578125" customWidth="1"/>
  </cols>
  <sheetData>
    <row r="1" spans="1:15" ht="15.75">
      <c r="A1" s="447" t="s">
        <v>67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59"/>
    </row>
    <row r="2" spans="1:15" ht="30">
      <c r="A2" s="70" t="s">
        <v>95</v>
      </c>
      <c r="B2" s="89" t="s">
        <v>96</v>
      </c>
      <c r="C2" s="89" t="s">
        <v>97</v>
      </c>
      <c r="D2" s="89" t="s">
        <v>98</v>
      </c>
      <c r="E2" s="89" t="s">
        <v>99</v>
      </c>
      <c r="F2" s="89" t="s">
        <v>100</v>
      </c>
      <c r="G2" s="89" t="s">
        <v>101</v>
      </c>
      <c r="H2" s="89" t="s">
        <v>102</v>
      </c>
      <c r="I2" s="89" t="s">
        <v>100</v>
      </c>
      <c r="J2" s="90" t="s">
        <v>101</v>
      </c>
      <c r="K2" s="70" t="s">
        <v>103</v>
      </c>
      <c r="L2" s="91" t="s">
        <v>104</v>
      </c>
      <c r="M2" s="174" t="s">
        <v>110</v>
      </c>
      <c r="N2" s="89" t="s">
        <v>106</v>
      </c>
      <c r="O2" s="65"/>
    </row>
    <row r="3" spans="1:15">
      <c r="A3" s="152"/>
      <c r="B3" s="153"/>
      <c r="C3" s="153"/>
      <c r="D3" s="139" t="s">
        <v>107</v>
      </c>
      <c r="E3" s="153"/>
      <c r="F3" s="153"/>
      <c r="G3" s="153"/>
      <c r="H3" s="153"/>
      <c r="I3" s="153"/>
      <c r="J3" s="154"/>
      <c r="K3" s="152">
        <v>36956.063999999998</v>
      </c>
      <c r="L3" s="155">
        <v>0</v>
      </c>
      <c r="M3" s="155">
        <f>+K3</f>
        <v>36956.063999999998</v>
      </c>
      <c r="N3" s="153"/>
      <c r="O3" s="65"/>
    </row>
    <row r="4" spans="1:15">
      <c r="A4" s="50">
        <v>1</v>
      </c>
      <c r="B4" s="213">
        <v>45962</v>
      </c>
      <c r="C4" s="25"/>
      <c r="D4" s="25"/>
      <c r="E4" s="286"/>
      <c r="F4" s="286"/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55">
        <v>0</v>
      </c>
      <c r="M4" s="8">
        <f>M3+K4-L4</f>
        <v>36956.063999999998</v>
      </c>
      <c r="N4" s="48"/>
      <c r="O4" s="1"/>
    </row>
    <row r="5" spans="1:15">
      <c r="A5" s="50">
        <v>2</v>
      </c>
      <c r="B5" s="213">
        <v>45963</v>
      </c>
      <c r="C5" s="25"/>
      <c r="D5" s="25"/>
      <c r="E5" s="286"/>
      <c r="F5" s="286"/>
      <c r="G5" s="8">
        <f t="shared" ref="G5:G33" si="0">E5*F5</f>
        <v>0</v>
      </c>
      <c r="H5" s="9">
        <v>0</v>
      </c>
      <c r="I5" s="9">
        <v>0</v>
      </c>
      <c r="J5" s="8">
        <f t="shared" ref="J5:J33" si="1">H5*I5</f>
        <v>0</v>
      </c>
      <c r="K5" s="8">
        <f t="shared" ref="K5:L33" si="2">G5+J5</f>
        <v>0</v>
      </c>
      <c r="L5" s="155"/>
      <c r="M5" s="8">
        <f t="shared" ref="M5:M8" si="3">M4+K5-L5</f>
        <v>36956.063999999998</v>
      </c>
      <c r="N5" s="48"/>
      <c r="O5" s="1"/>
    </row>
    <row r="6" spans="1:15">
      <c r="A6" s="50">
        <v>3</v>
      </c>
      <c r="B6" s="213">
        <v>45964</v>
      </c>
      <c r="C6" s="25"/>
      <c r="D6" s="25"/>
      <c r="E6" s="286">
        <v>95</v>
      </c>
      <c r="F6" s="286">
        <v>91.8</v>
      </c>
      <c r="G6" s="8">
        <f t="shared" si="0"/>
        <v>8721</v>
      </c>
      <c r="H6" s="9">
        <v>10</v>
      </c>
      <c r="I6" s="9">
        <v>103.76</v>
      </c>
      <c r="J6" s="8">
        <f t="shared" si="1"/>
        <v>1037.6000000000001</v>
      </c>
      <c r="K6" s="8">
        <f t="shared" si="2"/>
        <v>9758.6</v>
      </c>
      <c r="L6" s="155"/>
      <c r="M6" s="8">
        <f t="shared" si="3"/>
        <v>46714.663999999997</v>
      </c>
      <c r="N6" s="48"/>
      <c r="O6" s="1"/>
    </row>
    <row r="7" spans="1:15">
      <c r="A7" s="50">
        <v>4</v>
      </c>
      <c r="B7" s="213">
        <v>45965</v>
      </c>
      <c r="C7" s="25"/>
      <c r="D7" s="25"/>
      <c r="E7" s="286">
        <v>50</v>
      </c>
      <c r="F7" s="286">
        <v>91.8</v>
      </c>
      <c r="G7" s="8">
        <f t="shared" si="0"/>
        <v>4590</v>
      </c>
      <c r="H7" s="9"/>
      <c r="I7" s="9"/>
      <c r="J7" s="8">
        <f t="shared" si="1"/>
        <v>0</v>
      </c>
      <c r="K7" s="8">
        <f t="shared" si="2"/>
        <v>4590</v>
      </c>
      <c r="L7" s="8"/>
      <c r="M7" s="8">
        <f t="shared" si="3"/>
        <v>51304.663999999997</v>
      </c>
      <c r="N7" s="48"/>
      <c r="O7" s="1"/>
    </row>
    <row r="8" spans="1:15">
      <c r="A8" s="50">
        <v>5</v>
      </c>
      <c r="B8" s="213">
        <v>45966</v>
      </c>
      <c r="C8" s="25"/>
      <c r="D8" s="25"/>
      <c r="E8" s="286">
        <v>100</v>
      </c>
      <c r="F8" s="286">
        <v>91.8</v>
      </c>
      <c r="G8" s="8">
        <f t="shared" si="0"/>
        <v>9180</v>
      </c>
      <c r="H8" s="9">
        <v>5</v>
      </c>
      <c r="I8" s="9">
        <v>103.76</v>
      </c>
      <c r="J8" s="8">
        <f t="shared" si="1"/>
        <v>518.80000000000007</v>
      </c>
      <c r="K8" s="8">
        <f t="shared" si="2"/>
        <v>9698.7999999999993</v>
      </c>
      <c r="L8" s="155"/>
      <c r="M8" s="8">
        <f t="shared" si="3"/>
        <v>61003.463999999993</v>
      </c>
      <c r="N8" s="48"/>
      <c r="O8" s="1"/>
    </row>
    <row r="9" spans="1:15">
      <c r="A9" s="50">
        <v>6</v>
      </c>
      <c r="B9" s="213">
        <v>45967</v>
      </c>
      <c r="C9" s="25"/>
      <c r="D9" s="25"/>
      <c r="E9" s="286">
        <v>60</v>
      </c>
      <c r="F9" s="286">
        <v>91.8</v>
      </c>
      <c r="G9" s="8">
        <f t="shared" si="0"/>
        <v>5508</v>
      </c>
      <c r="H9" s="9">
        <v>5</v>
      </c>
      <c r="I9" s="9">
        <v>103.76</v>
      </c>
      <c r="J9" s="8">
        <f t="shared" si="1"/>
        <v>518.80000000000007</v>
      </c>
      <c r="K9" s="8">
        <f t="shared" si="2"/>
        <v>6026.8</v>
      </c>
      <c r="L9" s="155">
        <v>25000</v>
      </c>
      <c r="M9" s="8">
        <f t="shared" ref="M9:M33" si="4">M8+K9-L9</f>
        <v>42030.263999999996</v>
      </c>
      <c r="N9" s="48"/>
      <c r="O9" s="1"/>
    </row>
    <row r="10" spans="1:15">
      <c r="A10" s="50">
        <v>7</v>
      </c>
      <c r="B10" s="213">
        <v>45968</v>
      </c>
      <c r="C10" s="25"/>
      <c r="D10" s="25"/>
      <c r="E10" s="286">
        <v>285</v>
      </c>
      <c r="F10" s="286">
        <v>91.8</v>
      </c>
      <c r="G10" s="8">
        <f t="shared" si="0"/>
        <v>26163</v>
      </c>
      <c r="H10" s="9"/>
      <c r="I10" s="9"/>
      <c r="J10" s="8">
        <f t="shared" si="1"/>
        <v>0</v>
      </c>
      <c r="K10" s="8">
        <f t="shared" si="2"/>
        <v>26163</v>
      </c>
      <c r="L10" s="155"/>
      <c r="M10" s="8">
        <f t="shared" si="4"/>
        <v>68193.263999999996</v>
      </c>
      <c r="N10" s="48"/>
      <c r="O10" s="1"/>
    </row>
    <row r="11" spans="1:15">
      <c r="A11" s="50">
        <v>8</v>
      </c>
      <c r="B11" s="213">
        <v>45969</v>
      </c>
      <c r="C11" s="25"/>
      <c r="D11" s="25"/>
      <c r="E11" s="286">
        <v>150</v>
      </c>
      <c r="F11" s="286">
        <v>91.8</v>
      </c>
      <c r="G11" s="8">
        <f t="shared" si="0"/>
        <v>13770</v>
      </c>
      <c r="H11" s="9">
        <v>5</v>
      </c>
      <c r="I11" s="9">
        <v>103.76</v>
      </c>
      <c r="J11" s="8">
        <f t="shared" si="1"/>
        <v>518.80000000000007</v>
      </c>
      <c r="K11" s="8">
        <f t="shared" si="2"/>
        <v>14288.8</v>
      </c>
      <c r="L11" s="155"/>
      <c r="M11" s="8">
        <f t="shared" si="4"/>
        <v>82482.063999999998</v>
      </c>
      <c r="N11" s="48"/>
      <c r="O11" s="1"/>
    </row>
    <row r="12" spans="1:15">
      <c r="A12" s="50">
        <v>9</v>
      </c>
      <c r="B12" s="213">
        <v>45970</v>
      </c>
      <c r="C12" s="25"/>
      <c r="D12" s="25"/>
      <c r="E12" s="286"/>
      <c r="F12" s="286"/>
      <c r="G12" s="8">
        <f t="shared" si="0"/>
        <v>0</v>
      </c>
      <c r="H12" s="9">
        <v>10</v>
      </c>
      <c r="I12" s="9">
        <v>103.76</v>
      </c>
      <c r="J12" s="8">
        <f t="shared" si="1"/>
        <v>1037.6000000000001</v>
      </c>
      <c r="K12" s="8">
        <f t="shared" si="2"/>
        <v>1037.6000000000001</v>
      </c>
      <c r="L12" s="155"/>
      <c r="M12" s="8">
        <f t="shared" si="4"/>
        <v>83519.664000000004</v>
      </c>
      <c r="N12" s="48"/>
      <c r="O12" s="1" t="s">
        <v>156</v>
      </c>
    </row>
    <row r="13" spans="1:15">
      <c r="A13" s="50">
        <v>10</v>
      </c>
      <c r="B13" s="213">
        <v>45971</v>
      </c>
      <c r="C13" s="25"/>
      <c r="D13" s="25"/>
      <c r="E13" s="286"/>
      <c r="F13" s="286"/>
      <c r="G13" s="8">
        <f t="shared" si="0"/>
        <v>0</v>
      </c>
      <c r="H13" s="366"/>
      <c r="I13" s="9"/>
      <c r="J13" s="8">
        <f t="shared" si="1"/>
        <v>0</v>
      </c>
      <c r="K13" s="8">
        <f t="shared" si="2"/>
        <v>0</v>
      </c>
      <c r="L13" s="155"/>
      <c r="M13" s="8">
        <f t="shared" si="4"/>
        <v>83519.664000000004</v>
      </c>
      <c r="N13" s="48"/>
      <c r="O13" s="1"/>
    </row>
    <row r="14" spans="1:15">
      <c r="A14" s="50">
        <v>11</v>
      </c>
      <c r="B14" s="213">
        <v>45972</v>
      </c>
      <c r="C14" s="25"/>
      <c r="D14" s="25"/>
      <c r="E14" s="286"/>
      <c r="F14" s="286"/>
      <c r="G14" s="8">
        <f t="shared" si="0"/>
        <v>0</v>
      </c>
      <c r="H14" s="9">
        <v>5</v>
      </c>
      <c r="I14" s="9">
        <v>103.76</v>
      </c>
      <c r="J14" s="8">
        <f t="shared" si="1"/>
        <v>518.80000000000007</v>
      </c>
      <c r="K14" s="8">
        <f t="shared" si="2"/>
        <v>518.80000000000007</v>
      </c>
      <c r="L14" s="155"/>
      <c r="M14" s="8">
        <f t="shared" si="4"/>
        <v>84038.464000000007</v>
      </c>
      <c r="N14" s="48"/>
      <c r="O14" s="1"/>
    </row>
    <row r="15" spans="1:15">
      <c r="A15" s="50">
        <v>12</v>
      </c>
      <c r="B15" s="213">
        <v>45973</v>
      </c>
      <c r="C15" s="25"/>
      <c r="D15" s="25"/>
      <c r="E15" s="286"/>
      <c r="F15" s="286"/>
      <c r="G15" s="8">
        <f t="shared" si="0"/>
        <v>0</v>
      </c>
      <c r="H15" s="9"/>
      <c r="I15" s="9"/>
      <c r="J15" s="8">
        <f t="shared" si="1"/>
        <v>0</v>
      </c>
      <c r="K15" s="8">
        <f t="shared" si="2"/>
        <v>0</v>
      </c>
      <c r="L15" s="155"/>
      <c r="M15" s="8">
        <f t="shared" si="4"/>
        <v>84038.464000000007</v>
      </c>
      <c r="N15" s="48"/>
      <c r="O15" s="1"/>
    </row>
    <row r="16" spans="1:15">
      <c r="A16" s="50">
        <v>13</v>
      </c>
      <c r="B16" s="213">
        <v>45974</v>
      </c>
      <c r="C16" s="25"/>
      <c r="D16" s="25"/>
      <c r="E16" s="286">
        <v>50</v>
      </c>
      <c r="F16" s="286">
        <v>91.8</v>
      </c>
      <c r="G16" s="8">
        <f t="shared" si="0"/>
        <v>4590</v>
      </c>
      <c r="H16" s="9"/>
      <c r="I16" s="9"/>
      <c r="J16" s="8">
        <f t="shared" si="1"/>
        <v>0</v>
      </c>
      <c r="K16" s="8">
        <f t="shared" si="2"/>
        <v>4590</v>
      </c>
      <c r="L16" s="155"/>
      <c r="M16" s="8">
        <f t="shared" si="4"/>
        <v>88628.464000000007</v>
      </c>
      <c r="N16" s="48"/>
      <c r="O16" s="1"/>
    </row>
    <row r="17" spans="1:17">
      <c r="A17" s="50">
        <v>14</v>
      </c>
      <c r="B17" s="213">
        <v>45975</v>
      </c>
      <c r="C17" s="25"/>
      <c r="D17" s="25"/>
      <c r="E17" s="286">
        <v>50</v>
      </c>
      <c r="F17" s="286">
        <v>91.8</v>
      </c>
      <c r="G17" s="8">
        <f t="shared" si="0"/>
        <v>4590</v>
      </c>
      <c r="H17" s="9">
        <v>5</v>
      </c>
      <c r="I17" s="9">
        <v>103.76</v>
      </c>
      <c r="J17" s="8">
        <f t="shared" si="1"/>
        <v>518.80000000000007</v>
      </c>
      <c r="K17" s="8">
        <f t="shared" si="2"/>
        <v>5108.8</v>
      </c>
      <c r="L17" s="155"/>
      <c r="M17" s="8">
        <f t="shared" si="4"/>
        <v>93737.26400000001</v>
      </c>
      <c r="N17" s="48"/>
      <c r="O17" s="1"/>
    </row>
    <row r="18" spans="1:17">
      <c r="A18" s="50">
        <v>15</v>
      </c>
      <c r="B18" s="213">
        <v>45976</v>
      </c>
      <c r="C18" s="25"/>
      <c r="D18" s="25"/>
      <c r="E18" s="286">
        <v>50</v>
      </c>
      <c r="F18" s="286">
        <v>91.8</v>
      </c>
      <c r="G18" s="8">
        <f t="shared" si="0"/>
        <v>4590</v>
      </c>
      <c r="H18" s="9"/>
      <c r="I18" s="9"/>
      <c r="J18" s="8">
        <f t="shared" si="1"/>
        <v>0</v>
      </c>
      <c r="K18" s="8">
        <f t="shared" si="2"/>
        <v>4590</v>
      </c>
      <c r="L18" s="155">
        <v>40000</v>
      </c>
      <c r="M18" s="8">
        <f t="shared" si="4"/>
        <v>58327.26400000001</v>
      </c>
      <c r="N18" s="48"/>
      <c r="O18" s="1"/>
    </row>
    <row r="19" spans="1:17">
      <c r="A19" s="50">
        <v>16</v>
      </c>
      <c r="B19" s="213">
        <v>45977</v>
      </c>
      <c r="C19" s="25"/>
      <c r="D19" s="25"/>
      <c r="E19" s="286"/>
      <c r="F19" s="286"/>
      <c r="G19" s="8">
        <f t="shared" si="0"/>
        <v>0</v>
      </c>
      <c r="H19" s="9"/>
      <c r="I19" s="9"/>
      <c r="J19" s="8">
        <f t="shared" si="1"/>
        <v>0</v>
      </c>
      <c r="K19" s="8">
        <f t="shared" si="2"/>
        <v>0</v>
      </c>
      <c r="L19" s="155"/>
      <c r="M19" s="8">
        <f t="shared" si="4"/>
        <v>58327.26400000001</v>
      </c>
      <c r="N19" s="48"/>
      <c r="O19" s="1"/>
    </row>
    <row r="20" spans="1:17">
      <c r="A20" s="50">
        <v>17</v>
      </c>
      <c r="B20" s="213">
        <v>45978</v>
      </c>
      <c r="C20" s="25"/>
      <c r="D20" s="25"/>
      <c r="E20" s="286">
        <v>50</v>
      </c>
      <c r="F20" s="286">
        <v>91.8</v>
      </c>
      <c r="G20" s="8">
        <f t="shared" si="0"/>
        <v>4590</v>
      </c>
      <c r="H20" s="9">
        <v>10</v>
      </c>
      <c r="I20" s="9">
        <v>103.76</v>
      </c>
      <c r="J20" s="8">
        <f t="shared" si="1"/>
        <v>1037.6000000000001</v>
      </c>
      <c r="K20" s="8">
        <f t="shared" si="2"/>
        <v>5627.6</v>
      </c>
      <c r="L20" s="155"/>
      <c r="M20" s="8">
        <f t="shared" si="4"/>
        <v>63954.864000000009</v>
      </c>
      <c r="N20" s="48"/>
      <c r="O20" s="1"/>
    </row>
    <row r="21" spans="1:17">
      <c r="A21" s="50">
        <v>18</v>
      </c>
      <c r="B21" s="213">
        <v>45979</v>
      </c>
      <c r="C21" s="25"/>
      <c r="D21" s="25"/>
      <c r="E21" s="286">
        <v>195</v>
      </c>
      <c r="F21" s="286">
        <v>91.8</v>
      </c>
      <c r="G21" s="8">
        <f t="shared" si="0"/>
        <v>17901</v>
      </c>
      <c r="H21" s="9">
        <v>5</v>
      </c>
      <c r="I21" s="9">
        <v>103.76</v>
      </c>
      <c r="J21" s="8">
        <f t="shared" si="1"/>
        <v>518.80000000000007</v>
      </c>
      <c r="K21" s="8">
        <f t="shared" si="2"/>
        <v>18419.8</v>
      </c>
      <c r="L21" s="155"/>
      <c r="M21" s="8">
        <f t="shared" si="4"/>
        <v>82374.664000000004</v>
      </c>
      <c r="N21" s="48"/>
      <c r="O21" s="1"/>
    </row>
    <row r="22" spans="1:17">
      <c r="A22" s="50">
        <v>19</v>
      </c>
      <c r="B22" s="213">
        <v>45980</v>
      </c>
      <c r="C22" s="25"/>
      <c r="D22" s="25"/>
      <c r="E22" s="286">
        <v>100</v>
      </c>
      <c r="F22" s="286">
        <v>91.8</v>
      </c>
      <c r="G22" s="8">
        <f t="shared" si="0"/>
        <v>9180</v>
      </c>
      <c r="H22" s="9">
        <v>10</v>
      </c>
      <c r="I22" s="9">
        <v>103.76</v>
      </c>
      <c r="J22" s="8">
        <f t="shared" si="1"/>
        <v>1037.6000000000001</v>
      </c>
      <c r="K22" s="8">
        <f t="shared" si="2"/>
        <v>10217.6</v>
      </c>
      <c r="L22" s="155">
        <v>0</v>
      </c>
      <c r="M22" s="8">
        <f t="shared" si="4"/>
        <v>92592.26400000001</v>
      </c>
      <c r="N22" s="48"/>
      <c r="O22" s="1"/>
    </row>
    <row r="23" spans="1:17">
      <c r="A23" s="50">
        <v>20</v>
      </c>
      <c r="B23" s="213">
        <v>45981</v>
      </c>
      <c r="C23" s="25"/>
      <c r="D23" s="25"/>
      <c r="E23" s="286"/>
      <c r="F23" s="286"/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5">
        <v>90000</v>
      </c>
      <c r="M23" s="8">
        <f t="shared" si="4"/>
        <v>2592.2640000000101</v>
      </c>
      <c r="N23" s="48"/>
      <c r="O23" s="1"/>
    </row>
    <row r="24" spans="1:17">
      <c r="A24" s="50">
        <v>21</v>
      </c>
      <c r="B24" s="213">
        <v>45982</v>
      </c>
      <c r="C24" s="25"/>
      <c r="D24" s="25"/>
      <c r="E24" s="286">
        <v>50</v>
      </c>
      <c r="F24" s="286">
        <v>91.8</v>
      </c>
      <c r="G24" s="8">
        <f t="shared" si="0"/>
        <v>4590</v>
      </c>
      <c r="H24" s="9">
        <v>5</v>
      </c>
      <c r="I24" s="9">
        <v>103.76</v>
      </c>
      <c r="J24" s="8">
        <f t="shared" si="1"/>
        <v>518.80000000000007</v>
      </c>
      <c r="K24" s="8">
        <f t="shared" si="2"/>
        <v>5108.8</v>
      </c>
      <c r="L24" s="155">
        <v>0</v>
      </c>
      <c r="M24" s="8">
        <f t="shared" si="4"/>
        <v>7701.0640000000103</v>
      </c>
      <c r="N24" s="48"/>
      <c r="O24" s="1"/>
    </row>
    <row r="25" spans="1:17">
      <c r="A25" s="50">
        <v>22</v>
      </c>
      <c r="B25" s="213">
        <v>45983</v>
      </c>
      <c r="C25" s="25"/>
      <c r="D25" s="25"/>
      <c r="E25" s="286">
        <v>70</v>
      </c>
      <c r="F25" s="286">
        <v>91.8</v>
      </c>
      <c r="G25" s="8">
        <f t="shared" si="0"/>
        <v>6426</v>
      </c>
      <c r="H25" s="9">
        <v>0</v>
      </c>
      <c r="I25" s="9">
        <v>0</v>
      </c>
      <c r="J25" s="8">
        <f t="shared" si="1"/>
        <v>0</v>
      </c>
      <c r="K25" s="8">
        <f t="shared" si="2"/>
        <v>6426</v>
      </c>
      <c r="L25" s="155">
        <v>0</v>
      </c>
      <c r="M25" s="8">
        <f t="shared" si="4"/>
        <v>14127.064000000009</v>
      </c>
      <c r="N25" s="48"/>
      <c r="O25" s="1"/>
    </row>
    <row r="26" spans="1:17">
      <c r="A26" s="50">
        <v>23</v>
      </c>
      <c r="B26" s="213">
        <v>45984</v>
      </c>
      <c r="C26" s="25"/>
      <c r="D26" s="25"/>
      <c r="E26" s="286"/>
      <c r="F26" s="286"/>
      <c r="G26" s="8">
        <f t="shared" si="0"/>
        <v>0</v>
      </c>
      <c r="H26" s="9">
        <v>5</v>
      </c>
      <c r="I26" s="9">
        <v>103.76</v>
      </c>
      <c r="J26" s="8">
        <f t="shared" si="1"/>
        <v>518.80000000000007</v>
      </c>
      <c r="K26" s="8">
        <f t="shared" si="2"/>
        <v>518.80000000000007</v>
      </c>
      <c r="L26" s="155">
        <v>0</v>
      </c>
      <c r="M26" s="8">
        <f t="shared" si="4"/>
        <v>14645.864000000009</v>
      </c>
      <c r="N26" s="48"/>
      <c r="O26" s="1"/>
    </row>
    <row r="27" spans="1:17">
      <c r="A27" s="50">
        <v>24</v>
      </c>
      <c r="B27" s="213">
        <v>45985</v>
      </c>
      <c r="C27" s="25"/>
      <c r="D27" s="25"/>
      <c r="E27" s="286">
        <v>48.44</v>
      </c>
      <c r="F27" s="286">
        <v>91.8</v>
      </c>
      <c r="G27" s="8">
        <f t="shared" si="0"/>
        <v>4446.7919999999995</v>
      </c>
      <c r="H27" s="9">
        <v>10</v>
      </c>
      <c r="I27" s="9">
        <v>103.76</v>
      </c>
      <c r="J27" s="8">
        <f t="shared" si="1"/>
        <v>1037.6000000000001</v>
      </c>
      <c r="K27" s="8">
        <f t="shared" si="2"/>
        <v>5484.3919999999998</v>
      </c>
      <c r="L27" s="155">
        <v>0</v>
      </c>
      <c r="M27" s="8">
        <f t="shared" si="4"/>
        <v>20130.256000000008</v>
      </c>
      <c r="N27" s="48"/>
      <c r="O27" s="1"/>
    </row>
    <row r="28" spans="1:17">
      <c r="A28" s="50">
        <v>25</v>
      </c>
      <c r="B28" s="213">
        <v>45986</v>
      </c>
      <c r="C28" s="25"/>
      <c r="D28" s="25"/>
      <c r="E28" s="286">
        <v>20</v>
      </c>
      <c r="F28" s="286">
        <v>91.8</v>
      </c>
      <c r="G28" s="8">
        <f t="shared" si="0"/>
        <v>1836</v>
      </c>
      <c r="H28" s="9">
        <v>5</v>
      </c>
      <c r="I28" s="9">
        <v>103.76</v>
      </c>
      <c r="J28" s="8">
        <f t="shared" si="1"/>
        <v>518.80000000000007</v>
      </c>
      <c r="K28" s="8">
        <f t="shared" si="2"/>
        <v>2354.8000000000002</v>
      </c>
      <c r="L28" s="155">
        <v>0</v>
      </c>
      <c r="M28" s="8">
        <f t="shared" si="4"/>
        <v>22485.056000000008</v>
      </c>
      <c r="N28" s="48"/>
      <c r="O28" s="1"/>
    </row>
    <row r="29" spans="1:17">
      <c r="A29" s="50">
        <v>26</v>
      </c>
      <c r="B29" s="213">
        <v>45987</v>
      </c>
      <c r="C29" s="25"/>
      <c r="D29" s="25"/>
      <c r="E29" s="286">
        <v>20</v>
      </c>
      <c r="F29" s="286">
        <v>91.8</v>
      </c>
      <c r="G29" s="8">
        <f t="shared" si="0"/>
        <v>1836</v>
      </c>
      <c r="H29" s="9">
        <v>5</v>
      </c>
      <c r="I29" s="9">
        <v>103.76</v>
      </c>
      <c r="J29" s="8">
        <f t="shared" si="1"/>
        <v>518.80000000000007</v>
      </c>
      <c r="K29" s="8">
        <f t="shared" si="2"/>
        <v>2354.8000000000002</v>
      </c>
      <c r="L29" s="155">
        <v>0</v>
      </c>
      <c r="M29" s="8">
        <f t="shared" si="4"/>
        <v>24839.856000000007</v>
      </c>
      <c r="N29" s="48"/>
      <c r="O29" s="1"/>
      <c r="Q29">
        <v>30</v>
      </c>
    </row>
    <row r="30" spans="1:17">
      <c r="A30" s="50">
        <v>27</v>
      </c>
      <c r="B30" s="213">
        <v>45988</v>
      </c>
      <c r="C30" s="25"/>
      <c r="D30" s="25"/>
      <c r="E30" s="286"/>
      <c r="F30" s="286"/>
      <c r="G30" s="8">
        <f t="shared" si="0"/>
        <v>0</v>
      </c>
      <c r="H30" s="9">
        <v>4.1900000000000004</v>
      </c>
      <c r="I30" s="9">
        <v>103.76</v>
      </c>
      <c r="J30" s="8">
        <f t="shared" si="1"/>
        <v>434.75440000000009</v>
      </c>
      <c r="K30" s="8">
        <f t="shared" si="2"/>
        <v>434.75440000000009</v>
      </c>
      <c r="L30" s="155">
        <v>0</v>
      </c>
      <c r="M30" s="8">
        <f t="shared" si="4"/>
        <v>25274.610400000009</v>
      </c>
      <c r="N30" s="48"/>
      <c r="O30" s="1"/>
      <c r="Q30">
        <v>20.02</v>
      </c>
    </row>
    <row r="31" spans="1:17">
      <c r="A31" s="50">
        <v>28</v>
      </c>
      <c r="B31" s="213">
        <v>45989</v>
      </c>
      <c r="C31" s="25"/>
      <c r="D31" s="25"/>
      <c r="E31" s="286">
        <v>20</v>
      </c>
      <c r="F31" s="286">
        <v>91.8</v>
      </c>
      <c r="G31" s="8">
        <f t="shared" si="0"/>
        <v>1836</v>
      </c>
      <c r="H31" s="9">
        <v>10</v>
      </c>
      <c r="I31" s="9">
        <v>103.76</v>
      </c>
      <c r="J31" s="8">
        <f t="shared" si="1"/>
        <v>1037.6000000000001</v>
      </c>
      <c r="K31" s="8">
        <f t="shared" si="2"/>
        <v>2873.6000000000004</v>
      </c>
      <c r="L31" s="155">
        <v>0</v>
      </c>
      <c r="M31" s="8">
        <f t="shared" si="4"/>
        <v>28148.210400000011</v>
      </c>
      <c r="N31" s="48"/>
      <c r="O31" s="1"/>
    </row>
    <row r="32" spans="1:17">
      <c r="A32" s="208">
        <v>29</v>
      </c>
      <c r="B32" s="213">
        <v>45990</v>
      </c>
      <c r="C32" s="25"/>
      <c r="D32" s="25"/>
      <c r="E32" s="286">
        <v>230</v>
      </c>
      <c r="F32" s="286">
        <v>91.8</v>
      </c>
      <c r="G32" s="8">
        <f t="shared" si="0"/>
        <v>21114</v>
      </c>
      <c r="H32" s="9">
        <v>5</v>
      </c>
      <c r="I32" s="9">
        <v>103.76</v>
      </c>
      <c r="J32" s="8">
        <f t="shared" si="1"/>
        <v>518.80000000000007</v>
      </c>
      <c r="K32" s="8">
        <f t="shared" si="2"/>
        <v>21632.799999999999</v>
      </c>
      <c r="L32" s="155">
        <v>0</v>
      </c>
      <c r="M32" s="8">
        <f t="shared" si="4"/>
        <v>49781.010400000014</v>
      </c>
      <c r="N32" s="48"/>
      <c r="O32" s="1"/>
    </row>
    <row r="33" spans="1:15">
      <c r="A33" s="208">
        <v>30</v>
      </c>
      <c r="B33" s="213">
        <v>45991</v>
      </c>
      <c r="C33" s="25"/>
      <c r="D33" s="25"/>
      <c r="E33" s="286">
        <v>95</v>
      </c>
      <c r="F33" s="286">
        <v>91.8</v>
      </c>
      <c r="G33" s="8">
        <f t="shared" si="0"/>
        <v>8721</v>
      </c>
      <c r="H33" s="9">
        <v>0</v>
      </c>
      <c r="I33" s="9">
        <v>0</v>
      </c>
      <c r="J33" s="8">
        <f t="shared" si="1"/>
        <v>0</v>
      </c>
      <c r="K33" s="8">
        <f t="shared" si="2"/>
        <v>8721</v>
      </c>
      <c r="L33" s="155">
        <v>0</v>
      </c>
      <c r="M33" s="8">
        <f t="shared" si="4"/>
        <v>58502.010400000014</v>
      </c>
      <c r="N33" s="48"/>
      <c r="O33" s="1"/>
    </row>
    <row r="34" spans="1:15">
      <c r="A34" s="208">
        <v>31</v>
      </c>
      <c r="B34" s="213"/>
      <c r="C34" s="25"/>
      <c r="D34" s="25"/>
      <c r="E34" s="8"/>
      <c r="F34" s="8"/>
      <c r="G34" s="8">
        <f t="shared" ref="G34" si="5">E34*F34</f>
        <v>0</v>
      </c>
      <c r="H34" s="9">
        <v>0</v>
      </c>
      <c r="I34" s="9">
        <v>0</v>
      </c>
      <c r="J34" s="8">
        <f t="shared" ref="J34" si="6">H34*I34</f>
        <v>0</v>
      </c>
      <c r="K34" s="8">
        <f t="shared" ref="K34" si="7">G34+J34</f>
        <v>0</v>
      </c>
      <c r="L34" s="155">
        <v>0</v>
      </c>
      <c r="M34" s="8"/>
      <c r="N34" s="48"/>
      <c r="O34" s="1"/>
    </row>
    <row r="35" spans="1:15">
      <c r="A35" s="68"/>
      <c r="B35" s="68"/>
      <c r="C35" s="68"/>
      <c r="D35" s="68"/>
      <c r="E35" s="69">
        <f>SUM(E4:E34)</f>
        <v>1788.44</v>
      </c>
      <c r="F35" s="69"/>
      <c r="G35" s="69">
        <f>SUM(G4:G34)</f>
        <v>164178.79200000002</v>
      </c>
      <c r="H35" s="69">
        <f>SUM(H4:H34)</f>
        <v>119.19</v>
      </c>
      <c r="I35" s="69"/>
      <c r="J35" s="69">
        <f>SUM(J4:J34)</f>
        <v>12367.154399999999</v>
      </c>
      <c r="K35" s="69">
        <f>SUM(K4:K34)</f>
        <v>176545.94639999999</v>
      </c>
      <c r="L35" s="69">
        <f>SUM(L4:L34)</f>
        <v>155000</v>
      </c>
      <c r="M35" s="69"/>
      <c r="N35" s="69"/>
      <c r="O35" s="65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42"/>
      <c r="C38" s="442"/>
      <c r="D38" s="442"/>
      <c r="E38" s="442"/>
      <c r="F38" s="1"/>
      <c r="G38" s="1"/>
      <c r="H38" s="1"/>
      <c r="I38" s="478">
        <f>K24+L24</f>
        <v>5108.8</v>
      </c>
      <c r="J38" s="442"/>
      <c r="K38" s="442"/>
      <c r="L38" s="442"/>
      <c r="M38" s="442"/>
      <c r="N38" s="442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Q49"/>
  <sheetViews>
    <sheetView topLeftCell="A17" workbookViewId="0">
      <selection activeCell="M34" sqref="M34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0" max="10" width="10.85546875" bestFit="1" customWidth="1"/>
    <col min="11" max="12" width="13.5703125" bestFit="1" customWidth="1"/>
    <col min="13" max="13" width="10.85546875" bestFit="1" customWidth="1"/>
    <col min="14" max="14" width="10.42578125" bestFit="1" customWidth="1"/>
    <col min="17" max="17" width="12.140625" customWidth="1"/>
  </cols>
  <sheetData>
    <row r="1" spans="1:17" ht="15.75">
      <c r="A1" s="447" t="s">
        <v>158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59"/>
    </row>
    <row r="2" spans="1:17" ht="45">
      <c r="A2" s="70" t="s">
        <v>95</v>
      </c>
      <c r="B2" s="89" t="s">
        <v>96</v>
      </c>
      <c r="C2" s="89" t="s">
        <v>97</v>
      </c>
      <c r="D2" s="89" t="s">
        <v>98</v>
      </c>
      <c r="E2" s="89" t="s">
        <v>99</v>
      </c>
      <c r="F2" s="89" t="s">
        <v>100</v>
      </c>
      <c r="G2" s="89" t="s">
        <v>101</v>
      </c>
      <c r="H2" s="89" t="s">
        <v>102</v>
      </c>
      <c r="I2" s="89" t="s">
        <v>100</v>
      </c>
      <c r="J2" s="90" t="s">
        <v>101</v>
      </c>
      <c r="K2" s="70" t="s">
        <v>103</v>
      </c>
      <c r="L2" s="91" t="s">
        <v>104</v>
      </c>
      <c r="M2" s="174" t="s">
        <v>110</v>
      </c>
      <c r="N2" s="89" t="s">
        <v>106</v>
      </c>
      <c r="O2" s="65"/>
    </row>
    <row r="3" spans="1:17">
      <c r="A3" s="152"/>
      <c r="B3" s="153"/>
      <c r="C3" s="153"/>
      <c r="D3" s="139" t="s">
        <v>107</v>
      </c>
      <c r="E3" s="153"/>
      <c r="F3" s="153"/>
      <c r="G3" s="153"/>
      <c r="H3" s="153"/>
      <c r="I3" s="153"/>
      <c r="J3" s="154"/>
      <c r="K3" s="152">
        <v>190300.9142</v>
      </c>
      <c r="L3" s="155"/>
      <c r="M3" s="155">
        <v>190300.9142</v>
      </c>
      <c r="N3" s="153"/>
      <c r="O3" s="65"/>
    </row>
    <row r="4" spans="1:17">
      <c r="A4" s="50">
        <v>1</v>
      </c>
      <c r="B4" s="213">
        <v>45962</v>
      </c>
      <c r="C4" s="25"/>
      <c r="D4" s="25"/>
      <c r="E4" s="8">
        <v>30.22</v>
      </c>
      <c r="F4" s="8">
        <v>92.04</v>
      </c>
      <c r="G4" s="8">
        <f>E4*F4</f>
        <v>2781.4488000000001</v>
      </c>
      <c r="H4" s="9">
        <v>0</v>
      </c>
      <c r="I4" s="9">
        <v>0</v>
      </c>
      <c r="J4" s="8">
        <f>H4*I4</f>
        <v>0</v>
      </c>
      <c r="K4" s="8">
        <f>G4+J4</f>
        <v>2781.4488000000001</v>
      </c>
      <c r="L4" s="155">
        <v>0</v>
      </c>
      <c r="M4" s="8">
        <f>M3+K4-L4</f>
        <v>193082.36300000001</v>
      </c>
      <c r="N4" s="48"/>
      <c r="O4" s="1"/>
    </row>
    <row r="5" spans="1:17">
      <c r="A5" s="50">
        <v>2</v>
      </c>
      <c r="B5" s="213">
        <v>45963</v>
      </c>
      <c r="C5" s="25"/>
      <c r="D5" s="25"/>
      <c r="E5" s="8">
        <v>0</v>
      </c>
      <c r="F5" s="8">
        <v>0</v>
      </c>
      <c r="G5" s="8">
        <f t="shared" ref="G5:G33" si="0">E5*F5</f>
        <v>0</v>
      </c>
      <c r="H5" s="9">
        <v>0</v>
      </c>
      <c r="I5" s="9">
        <v>0</v>
      </c>
      <c r="J5" s="8">
        <f t="shared" ref="J5:J33" si="1">H5*I5</f>
        <v>0</v>
      </c>
      <c r="K5" s="8">
        <f t="shared" ref="K5:K33" si="2">G5+J5</f>
        <v>0</v>
      </c>
      <c r="L5" s="155">
        <v>0</v>
      </c>
      <c r="M5" s="8">
        <f t="shared" ref="M5:M23" si="3">M4+K5-L5</f>
        <v>193082.36300000001</v>
      </c>
      <c r="N5" s="48"/>
      <c r="O5" s="1"/>
    </row>
    <row r="6" spans="1:17">
      <c r="A6" s="50">
        <v>3</v>
      </c>
      <c r="B6" s="213">
        <v>45964</v>
      </c>
      <c r="C6" s="25"/>
      <c r="D6" s="25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5">
        <v>0</v>
      </c>
      <c r="M6" s="8">
        <f t="shared" si="3"/>
        <v>193082.36300000001</v>
      </c>
      <c r="N6" s="48"/>
      <c r="O6" s="1"/>
    </row>
    <row r="7" spans="1:17">
      <c r="A7" s="50">
        <v>4</v>
      </c>
      <c r="B7" s="213">
        <v>45965</v>
      </c>
      <c r="C7" s="25"/>
      <c r="D7" s="25"/>
      <c r="E7" s="8">
        <v>100</v>
      </c>
      <c r="F7" s="8">
        <v>92.04</v>
      </c>
      <c r="G7" s="8">
        <f t="shared" si="0"/>
        <v>9204</v>
      </c>
      <c r="H7" s="9">
        <v>0</v>
      </c>
      <c r="I7" s="9">
        <v>0</v>
      </c>
      <c r="J7" s="8">
        <f t="shared" si="1"/>
        <v>0</v>
      </c>
      <c r="K7" s="8">
        <f t="shared" si="2"/>
        <v>9204</v>
      </c>
      <c r="L7" s="155">
        <v>0</v>
      </c>
      <c r="M7" s="8">
        <f t="shared" si="3"/>
        <v>202286.36300000001</v>
      </c>
      <c r="N7" s="48"/>
      <c r="O7" s="1"/>
    </row>
    <row r="8" spans="1:17">
      <c r="A8" s="50">
        <v>5</v>
      </c>
      <c r="B8" s="213">
        <v>45966</v>
      </c>
      <c r="C8" s="25"/>
      <c r="D8" s="25"/>
      <c r="E8" s="8">
        <v>33.479999999999997</v>
      </c>
      <c r="F8" s="8">
        <v>92.04</v>
      </c>
      <c r="G8" s="8">
        <f t="shared" si="0"/>
        <v>3081.4991999999997</v>
      </c>
      <c r="H8" s="9">
        <v>12</v>
      </c>
      <c r="I8" s="9">
        <v>104.02</v>
      </c>
      <c r="J8" s="8">
        <f t="shared" si="1"/>
        <v>1248.24</v>
      </c>
      <c r="K8" s="8">
        <f t="shared" si="2"/>
        <v>4329.7392</v>
      </c>
      <c r="L8" s="155">
        <v>0</v>
      </c>
      <c r="M8" s="8">
        <f t="shared" si="3"/>
        <v>206616.10220000002</v>
      </c>
      <c r="N8" s="48"/>
      <c r="O8" s="1"/>
    </row>
    <row r="9" spans="1:17">
      <c r="A9" s="50">
        <v>6</v>
      </c>
      <c r="B9" s="213">
        <v>45967</v>
      </c>
      <c r="C9" s="25"/>
      <c r="D9" s="25"/>
      <c r="E9" s="8">
        <v>100</v>
      </c>
      <c r="F9" s="8">
        <v>92.04</v>
      </c>
      <c r="G9" s="8">
        <f t="shared" si="0"/>
        <v>9204</v>
      </c>
      <c r="H9" s="9">
        <v>0</v>
      </c>
      <c r="I9" s="9">
        <v>0</v>
      </c>
      <c r="J9" s="8">
        <f t="shared" si="1"/>
        <v>0</v>
      </c>
      <c r="K9" s="8">
        <f t="shared" si="2"/>
        <v>9204</v>
      </c>
      <c r="L9" s="155">
        <v>0</v>
      </c>
      <c r="M9" s="8">
        <f t="shared" si="3"/>
        <v>215820.10220000002</v>
      </c>
      <c r="N9" s="48"/>
      <c r="O9" s="1"/>
    </row>
    <row r="10" spans="1:17">
      <c r="A10" s="50">
        <v>7</v>
      </c>
      <c r="B10" s="213">
        <v>45968</v>
      </c>
      <c r="C10" s="25"/>
      <c r="D10" s="25"/>
      <c r="E10" s="8">
        <v>0</v>
      </c>
      <c r="F10" s="8">
        <v>0</v>
      </c>
      <c r="G10" s="8">
        <f t="shared" si="0"/>
        <v>0</v>
      </c>
      <c r="H10" s="9">
        <v>6</v>
      </c>
      <c r="I10" s="9">
        <v>104.02</v>
      </c>
      <c r="J10" s="8">
        <f t="shared" si="1"/>
        <v>624.12</v>
      </c>
      <c r="K10" s="8">
        <f t="shared" si="2"/>
        <v>624.12</v>
      </c>
      <c r="L10" s="155">
        <v>0</v>
      </c>
      <c r="M10" s="8">
        <f t="shared" si="3"/>
        <v>216444.22220000002</v>
      </c>
      <c r="N10" s="48"/>
      <c r="O10" s="1"/>
    </row>
    <row r="11" spans="1:17">
      <c r="A11" s="50">
        <v>8</v>
      </c>
      <c r="B11" s="213">
        <v>45969</v>
      </c>
      <c r="C11" s="25"/>
      <c r="D11" s="25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55">
        <v>0</v>
      </c>
      <c r="M11" s="8">
        <f t="shared" si="3"/>
        <v>216444.22220000002</v>
      </c>
      <c r="N11" s="48"/>
      <c r="O11" s="1"/>
    </row>
    <row r="12" spans="1:17">
      <c r="A12" s="50">
        <v>9</v>
      </c>
      <c r="B12" s="213">
        <v>45970</v>
      </c>
      <c r="C12" s="25"/>
      <c r="D12" s="25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55">
        <v>0</v>
      </c>
      <c r="M12" s="8">
        <f t="shared" si="3"/>
        <v>216444.22220000002</v>
      </c>
      <c r="N12" s="48"/>
      <c r="O12" s="1" t="s">
        <v>156</v>
      </c>
    </row>
    <row r="13" spans="1:17">
      <c r="A13" s="50">
        <v>10</v>
      </c>
      <c r="B13" s="213">
        <v>45971</v>
      </c>
      <c r="C13" s="25"/>
      <c r="D13" s="25"/>
      <c r="E13" s="8">
        <v>150</v>
      </c>
      <c r="F13" s="8">
        <v>92.04</v>
      </c>
      <c r="G13" s="8">
        <f t="shared" si="0"/>
        <v>13806.000000000002</v>
      </c>
      <c r="H13" s="9">
        <v>0</v>
      </c>
      <c r="I13" s="9">
        <v>0</v>
      </c>
      <c r="J13" s="8">
        <f t="shared" si="1"/>
        <v>0</v>
      </c>
      <c r="K13" s="8">
        <f t="shared" si="2"/>
        <v>13806.000000000002</v>
      </c>
      <c r="L13" s="155">
        <v>0</v>
      </c>
      <c r="M13" s="8">
        <f t="shared" si="3"/>
        <v>230250.22220000002</v>
      </c>
      <c r="N13" s="48"/>
      <c r="O13" s="1"/>
      <c r="Q13" s="155"/>
    </row>
    <row r="14" spans="1:17">
      <c r="A14" s="50">
        <v>11</v>
      </c>
      <c r="B14" s="213">
        <v>45972</v>
      </c>
      <c r="C14" s="25"/>
      <c r="D14" s="25"/>
      <c r="E14" s="8">
        <v>31.39</v>
      </c>
      <c r="F14" s="8">
        <v>92.04</v>
      </c>
      <c r="G14" s="8">
        <f t="shared" si="0"/>
        <v>2889.1356000000001</v>
      </c>
      <c r="H14" s="9">
        <v>0</v>
      </c>
      <c r="I14" s="9">
        <v>0</v>
      </c>
      <c r="J14" s="8">
        <f t="shared" si="1"/>
        <v>0</v>
      </c>
      <c r="K14" s="8">
        <f t="shared" si="2"/>
        <v>2889.1356000000001</v>
      </c>
      <c r="L14" s="155">
        <v>0</v>
      </c>
      <c r="M14" s="8">
        <f t="shared" si="3"/>
        <v>233139.35780000003</v>
      </c>
      <c r="N14" s="48"/>
      <c r="O14" s="1"/>
    </row>
    <row r="15" spans="1:17">
      <c r="A15" s="50">
        <v>12</v>
      </c>
      <c r="B15" s="213">
        <v>45973</v>
      </c>
      <c r="C15" s="25"/>
      <c r="D15" s="25"/>
      <c r="E15" s="8">
        <v>40</v>
      </c>
      <c r="F15" s="8">
        <v>92.04</v>
      </c>
      <c r="G15" s="8">
        <f t="shared" si="0"/>
        <v>3681.6000000000004</v>
      </c>
      <c r="H15" s="9">
        <v>0</v>
      </c>
      <c r="I15" s="9">
        <v>0</v>
      </c>
      <c r="J15" s="8">
        <f t="shared" si="1"/>
        <v>0</v>
      </c>
      <c r="K15" s="8">
        <f t="shared" si="2"/>
        <v>3681.6000000000004</v>
      </c>
      <c r="L15" s="155">
        <v>0</v>
      </c>
      <c r="M15" s="8">
        <f t="shared" si="3"/>
        <v>236820.95780000003</v>
      </c>
      <c r="N15" s="48"/>
      <c r="O15" s="1"/>
    </row>
    <row r="16" spans="1:17">
      <c r="A16" s="50">
        <v>13</v>
      </c>
      <c r="B16" s="213">
        <v>45974</v>
      </c>
      <c r="C16" s="25"/>
      <c r="D16" s="25"/>
      <c r="E16" s="8">
        <v>24.61</v>
      </c>
      <c r="F16" s="8">
        <v>92.04</v>
      </c>
      <c r="G16" s="8">
        <f t="shared" si="0"/>
        <v>2265.1044000000002</v>
      </c>
      <c r="H16" s="9">
        <v>13.22</v>
      </c>
      <c r="I16" s="9">
        <v>104.02</v>
      </c>
      <c r="J16" s="8">
        <f t="shared" si="1"/>
        <v>1375.1443999999999</v>
      </c>
      <c r="K16" s="8">
        <f t="shared" si="2"/>
        <v>3640.2488000000003</v>
      </c>
      <c r="L16" s="155">
        <v>0</v>
      </c>
      <c r="M16" s="8">
        <f t="shared" si="3"/>
        <v>240461.20660000003</v>
      </c>
      <c r="N16" s="48"/>
      <c r="O16" s="1"/>
    </row>
    <row r="17" spans="1:15">
      <c r="A17" s="50">
        <v>14</v>
      </c>
      <c r="B17" s="213">
        <v>45975</v>
      </c>
      <c r="C17" s="25"/>
      <c r="D17" s="25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55">
        <v>0</v>
      </c>
      <c r="M17" s="8">
        <f t="shared" si="3"/>
        <v>240461.20660000003</v>
      </c>
      <c r="N17" s="48"/>
      <c r="O17" s="1"/>
    </row>
    <row r="18" spans="1:15">
      <c r="A18" s="50">
        <v>15</v>
      </c>
      <c r="B18" s="213">
        <v>45976</v>
      </c>
      <c r="C18" s="25"/>
      <c r="D18" s="25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55">
        <v>0</v>
      </c>
      <c r="M18" s="8">
        <f t="shared" si="3"/>
        <v>240461.20660000003</v>
      </c>
      <c r="N18" s="48"/>
      <c r="O18" s="1"/>
    </row>
    <row r="19" spans="1:15">
      <c r="A19" s="50">
        <v>16</v>
      </c>
      <c r="B19" s="213">
        <v>45977</v>
      </c>
      <c r="C19" s="25"/>
      <c r="D19" s="25"/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55">
        <v>0</v>
      </c>
      <c r="M19" s="8">
        <f t="shared" si="3"/>
        <v>240461.20660000003</v>
      </c>
      <c r="N19" s="48"/>
      <c r="O19" s="1"/>
    </row>
    <row r="20" spans="1:15">
      <c r="A20" s="50">
        <v>17</v>
      </c>
      <c r="B20" s="213">
        <v>45978</v>
      </c>
      <c r="C20" s="25"/>
      <c r="D20" s="25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55">
        <v>0</v>
      </c>
      <c r="M20" s="8">
        <f t="shared" si="3"/>
        <v>240461.20660000003</v>
      </c>
      <c r="N20" s="48"/>
      <c r="O20" s="1"/>
    </row>
    <row r="21" spans="1:15">
      <c r="A21" s="50">
        <v>18</v>
      </c>
      <c r="B21" s="213">
        <v>45979</v>
      </c>
      <c r="C21" s="25"/>
      <c r="D21" s="25"/>
      <c r="E21" s="8">
        <v>0</v>
      </c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55">
        <v>0</v>
      </c>
      <c r="M21" s="8">
        <f t="shared" si="3"/>
        <v>240461.20660000003</v>
      </c>
      <c r="N21" s="48"/>
      <c r="O21" s="1"/>
    </row>
    <row r="22" spans="1:15">
      <c r="A22" s="50">
        <v>19</v>
      </c>
      <c r="B22" s="213">
        <v>45980</v>
      </c>
      <c r="C22" s="25"/>
      <c r="D22" s="25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55">
        <v>0</v>
      </c>
      <c r="M22" s="8">
        <f t="shared" si="3"/>
        <v>240461.20660000003</v>
      </c>
      <c r="N22" s="48"/>
      <c r="O22" s="1"/>
    </row>
    <row r="23" spans="1:15">
      <c r="A23" s="50">
        <v>20</v>
      </c>
      <c r="B23" s="213">
        <v>45981</v>
      </c>
      <c r="C23" s="25"/>
      <c r="D23" s="25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5">
        <v>200000</v>
      </c>
      <c r="M23" s="8">
        <f t="shared" si="3"/>
        <v>40461.206600000034</v>
      </c>
      <c r="N23" s="48"/>
      <c r="O23" s="1"/>
    </row>
    <row r="24" spans="1:15">
      <c r="A24" s="50">
        <v>21</v>
      </c>
      <c r="B24" s="213">
        <v>45982</v>
      </c>
      <c r="C24" s="25"/>
      <c r="D24" s="25"/>
      <c r="E24" s="8">
        <v>274.83</v>
      </c>
      <c r="F24" s="8">
        <v>92.04</v>
      </c>
      <c r="G24" s="8">
        <f t="shared" si="0"/>
        <v>25295.353200000001</v>
      </c>
      <c r="H24" s="9">
        <v>5</v>
      </c>
      <c r="I24" s="9">
        <v>104.02</v>
      </c>
      <c r="J24" s="8">
        <f t="shared" si="1"/>
        <v>520.1</v>
      </c>
      <c r="K24" s="8">
        <f t="shared" si="2"/>
        <v>25815.4532</v>
      </c>
      <c r="L24" s="155">
        <v>0</v>
      </c>
      <c r="M24" s="8">
        <f t="shared" ref="M24:M34" si="4">M23+K24-L24</f>
        <v>66276.659800000038</v>
      </c>
      <c r="N24" s="48"/>
      <c r="O24" s="1"/>
    </row>
    <row r="25" spans="1:15">
      <c r="A25" s="50">
        <v>22</v>
      </c>
      <c r="B25" s="213">
        <v>45983</v>
      </c>
      <c r="C25" s="25"/>
      <c r="D25" s="25"/>
      <c r="E25" s="8">
        <v>0</v>
      </c>
      <c r="F25" s="8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55">
        <v>0</v>
      </c>
      <c r="M25" s="8">
        <f t="shared" si="4"/>
        <v>66276.659800000038</v>
      </c>
      <c r="N25" s="48"/>
      <c r="O25" s="1"/>
    </row>
    <row r="26" spans="1:15">
      <c r="A26" s="50">
        <v>23</v>
      </c>
      <c r="B26" s="213">
        <v>45984</v>
      </c>
      <c r="C26" s="25"/>
      <c r="D26" s="25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55">
        <v>0</v>
      </c>
      <c r="M26" s="8">
        <f t="shared" si="4"/>
        <v>66276.659800000038</v>
      </c>
      <c r="N26" s="48"/>
      <c r="O26" s="1"/>
    </row>
    <row r="27" spans="1:15">
      <c r="A27" s="50">
        <v>24</v>
      </c>
      <c r="B27" s="213">
        <v>45985</v>
      </c>
      <c r="C27" s="25"/>
      <c r="D27" s="25"/>
      <c r="E27" s="8">
        <v>266.79000000000002</v>
      </c>
      <c r="F27" s="8">
        <v>92.04</v>
      </c>
      <c r="G27" s="8">
        <f t="shared" si="0"/>
        <v>24555.351600000002</v>
      </c>
      <c r="H27" s="9">
        <v>0</v>
      </c>
      <c r="I27" s="9">
        <v>0</v>
      </c>
      <c r="J27" s="8">
        <f t="shared" si="1"/>
        <v>0</v>
      </c>
      <c r="K27" s="8">
        <f t="shared" si="2"/>
        <v>24555.351600000002</v>
      </c>
      <c r="L27" s="155">
        <v>0</v>
      </c>
      <c r="M27" s="8">
        <f t="shared" si="4"/>
        <v>90832.011400000047</v>
      </c>
      <c r="N27" s="48"/>
      <c r="O27" s="1"/>
    </row>
    <row r="28" spans="1:15">
      <c r="A28" s="50">
        <v>25</v>
      </c>
      <c r="B28" s="213">
        <v>45986</v>
      </c>
      <c r="C28" s="25"/>
      <c r="D28" s="25"/>
      <c r="E28" s="8">
        <v>0</v>
      </c>
      <c r="F28" s="8">
        <v>0</v>
      </c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55">
        <v>0</v>
      </c>
      <c r="M28" s="8">
        <f t="shared" si="4"/>
        <v>90832.011400000047</v>
      </c>
      <c r="N28" s="48"/>
      <c r="O28" s="1"/>
    </row>
    <row r="29" spans="1:15">
      <c r="A29" s="50">
        <v>26</v>
      </c>
      <c r="B29" s="213">
        <v>45987</v>
      </c>
      <c r="C29" s="25"/>
      <c r="D29" s="25"/>
      <c r="E29" s="8">
        <v>0</v>
      </c>
      <c r="F29" s="8">
        <v>0</v>
      </c>
      <c r="G29" s="8">
        <f t="shared" si="0"/>
        <v>0</v>
      </c>
      <c r="H29" s="9">
        <v>20.77</v>
      </c>
      <c r="I29" s="9">
        <v>104.02</v>
      </c>
      <c r="J29" s="8">
        <f t="shared" si="1"/>
        <v>2160.4953999999998</v>
      </c>
      <c r="K29" s="8">
        <f t="shared" si="2"/>
        <v>2160.4953999999998</v>
      </c>
      <c r="L29" s="155">
        <v>0</v>
      </c>
      <c r="M29" s="8">
        <f t="shared" si="4"/>
        <v>92992.506800000046</v>
      </c>
      <c r="N29" s="48"/>
      <c r="O29" s="1"/>
    </row>
    <row r="30" spans="1:15">
      <c r="A30" s="50">
        <v>27</v>
      </c>
      <c r="B30" s="213">
        <v>45988</v>
      </c>
      <c r="C30" s="25"/>
      <c r="D30" s="25"/>
      <c r="E30" s="8">
        <v>365.01</v>
      </c>
      <c r="F30" s="8">
        <v>92.04</v>
      </c>
      <c r="G30" s="8">
        <f t="shared" si="0"/>
        <v>33595.520400000001</v>
      </c>
      <c r="H30" s="9">
        <v>0</v>
      </c>
      <c r="I30" s="9">
        <v>0</v>
      </c>
      <c r="J30" s="8">
        <f t="shared" si="1"/>
        <v>0</v>
      </c>
      <c r="K30" s="8">
        <f t="shared" si="2"/>
        <v>33595.520400000001</v>
      </c>
      <c r="L30" s="155">
        <v>0</v>
      </c>
      <c r="M30" s="8">
        <f t="shared" si="4"/>
        <v>126588.02720000004</v>
      </c>
      <c r="N30" s="48"/>
      <c r="O30" s="1"/>
    </row>
    <row r="31" spans="1:15">
      <c r="A31" s="50">
        <v>28</v>
      </c>
      <c r="B31" s="213">
        <v>45989</v>
      </c>
      <c r="C31" s="25"/>
      <c r="D31" s="25"/>
      <c r="E31" s="8">
        <v>70</v>
      </c>
      <c r="F31" s="8">
        <v>92.04</v>
      </c>
      <c r="G31" s="8">
        <f t="shared" si="0"/>
        <v>6442.8</v>
      </c>
      <c r="H31" s="9">
        <v>5</v>
      </c>
      <c r="I31" s="9">
        <v>104.02</v>
      </c>
      <c r="J31" s="8">
        <f t="shared" si="1"/>
        <v>520.1</v>
      </c>
      <c r="K31" s="8">
        <f t="shared" si="2"/>
        <v>6962.9000000000005</v>
      </c>
      <c r="L31" s="155">
        <v>0</v>
      </c>
      <c r="M31" s="8">
        <f t="shared" si="4"/>
        <v>133550.92720000003</v>
      </c>
      <c r="N31" s="48"/>
      <c r="O31" s="1"/>
    </row>
    <row r="32" spans="1:15">
      <c r="A32" s="208">
        <v>29</v>
      </c>
      <c r="B32" s="213">
        <v>45990</v>
      </c>
      <c r="C32" s="25"/>
      <c r="D32" s="25"/>
      <c r="E32" s="8">
        <v>0</v>
      </c>
      <c r="F32" s="8">
        <v>0</v>
      </c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55">
        <v>0</v>
      </c>
      <c r="M32" s="8">
        <f t="shared" si="4"/>
        <v>133550.92720000003</v>
      </c>
      <c r="N32" s="48"/>
      <c r="O32" s="1"/>
    </row>
    <row r="33" spans="1:17">
      <c r="A33" s="208">
        <v>30</v>
      </c>
      <c r="B33" s="213">
        <v>45991</v>
      </c>
      <c r="C33" s="25"/>
      <c r="D33" s="25"/>
      <c r="E33" s="8">
        <v>26.59</v>
      </c>
      <c r="F33" s="8">
        <v>92.04</v>
      </c>
      <c r="G33" s="8">
        <f t="shared" si="0"/>
        <v>2447.3436000000002</v>
      </c>
      <c r="H33" s="9">
        <v>0</v>
      </c>
      <c r="I33" s="9">
        <v>0</v>
      </c>
      <c r="J33" s="8">
        <f t="shared" si="1"/>
        <v>0</v>
      </c>
      <c r="K33" s="8">
        <f t="shared" si="2"/>
        <v>2447.3436000000002</v>
      </c>
      <c r="L33" s="155">
        <v>0</v>
      </c>
      <c r="M33" s="8">
        <f t="shared" si="4"/>
        <v>135998.27080000003</v>
      </c>
      <c r="N33" s="48"/>
      <c r="O33" s="1"/>
      <c r="Q33">
        <v>30</v>
      </c>
    </row>
    <row r="34" spans="1:17">
      <c r="A34" s="208">
        <v>31</v>
      </c>
      <c r="B34" s="213"/>
      <c r="C34" s="25"/>
      <c r="D34" s="25"/>
      <c r="E34" s="8">
        <v>0</v>
      </c>
      <c r="F34" s="8">
        <v>0</v>
      </c>
      <c r="G34" s="8">
        <f t="shared" ref="G34" si="5">E34*F34</f>
        <v>0</v>
      </c>
      <c r="H34" s="9">
        <v>0</v>
      </c>
      <c r="I34" s="9">
        <v>0</v>
      </c>
      <c r="J34" s="8">
        <f t="shared" ref="J34" si="6">H34*I34</f>
        <v>0</v>
      </c>
      <c r="K34" s="8">
        <f t="shared" ref="K34" si="7">G34+J34</f>
        <v>0</v>
      </c>
      <c r="L34" s="155">
        <f t="shared" ref="L34" si="8">+K34</f>
        <v>0</v>
      </c>
      <c r="M34" s="8">
        <f t="shared" si="4"/>
        <v>135998.27080000003</v>
      </c>
      <c r="N34" s="48"/>
      <c r="O34" s="1"/>
    </row>
    <row r="35" spans="1:17">
      <c r="A35" s="68"/>
      <c r="B35" s="68"/>
      <c r="C35" s="68"/>
      <c r="D35" s="68"/>
      <c r="E35" s="69">
        <f>SUM(E4:E34)</f>
        <v>1512.9199999999998</v>
      </c>
      <c r="F35" s="69"/>
      <c r="G35" s="69">
        <f>SUM(G4:G34)</f>
        <v>139249.1568</v>
      </c>
      <c r="H35" s="69">
        <f>SUM(H4:H34)</f>
        <v>61.989999999999995</v>
      </c>
      <c r="I35" s="69"/>
      <c r="J35" s="69">
        <f>SUM(J4:J34)</f>
        <v>6448.1998000000003</v>
      </c>
      <c r="K35" s="69">
        <f>SUM(K4:K34)</f>
        <v>145697.3566</v>
      </c>
      <c r="L35" s="69">
        <f>SUM(L4:L34)</f>
        <v>200000</v>
      </c>
      <c r="M35" s="69"/>
      <c r="N35" s="69"/>
      <c r="O35" s="65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442"/>
      <c r="C38" s="442"/>
      <c r="D38" s="442"/>
      <c r="E38" s="442"/>
      <c r="F38" s="1"/>
      <c r="G38" s="1"/>
      <c r="H38" s="1"/>
      <c r="I38" s="478">
        <f>K24+L24</f>
        <v>25815.4532</v>
      </c>
      <c r="J38" s="442"/>
      <c r="K38" s="442"/>
      <c r="L38" s="442"/>
      <c r="M38" s="442"/>
      <c r="N38" s="442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7" activePane="bottomLeft" state="frozen"/>
      <selection pane="bottomLeft" activeCell="M25" sqref="M25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56" t="s">
        <v>71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88"/>
    </row>
    <row r="2" spans="1:16">
      <c r="A2" s="104" t="s">
        <v>95</v>
      </c>
      <c r="B2" s="105" t="s">
        <v>96</v>
      </c>
      <c r="C2" s="105" t="s">
        <v>97</v>
      </c>
      <c r="D2" s="105" t="s">
        <v>111</v>
      </c>
      <c r="E2" s="105" t="s">
        <v>99</v>
      </c>
      <c r="F2" s="105" t="s">
        <v>100</v>
      </c>
      <c r="G2" s="105" t="s">
        <v>101</v>
      </c>
      <c r="H2" s="105" t="s">
        <v>102</v>
      </c>
      <c r="I2" s="105" t="s">
        <v>100</v>
      </c>
      <c r="J2" s="145" t="s">
        <v>101</v>
      </c>
      <c r="K2" s="106" t="s">
        <v>103</v>
      </c>
      <c r="L2" s="146" t="s">
        <v>104</v>
      </c>
      <c r="M2" s="150" t="s">
        <v>110</v>
      </c>
      <c r="N2" s="107" t="s">
        <v>106</v>
      </c>
      <c r="O2" s="65"/>
    </row>
    <row r="3" spans="1:16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7"/>
      <c r="K3" s="171">
        <v>98252.261500000008</v>
      </c>
      <c r="L3" s="17"/>
      <c r="M3" s="112">
        <v>98252.261500000008</v>
      </c>
      <c r="N3" s="17"/>
      <c r="O3" s="65"/>
    </row>
    <row r="4" spans="1:16">
      <c r="A4" s="50">
        <v>1</v>
      </c>
      <c r="B4" s="213">
        <v>45962</v>
      </c>
      <c r="C4" s="159"/>
      <c r="D4" s="160"/>
      <c r="E4" s="161">
        <v>0</v>
      </c>
      <c r="F4" s="161">
        <v>0</v>
      </c>
      <c r="G4" s="147">
        <f>E4*F4</f>
        <v>0</v>
      </c>
      <c r="H4" s="161">
        <v>0</v>
      </c>
      <c r="I4" s="162">
        <v>0</v>
      </c>
      <c r="J4" s="20">
        <f>H4*I4</f>
        <v>0</v>
      </c>
      <c r="K4" s="20">
        <f>G4+J4</f>
        <v>0</v>
      </c>
      <c r="L4" s="148"/>
      <c r="M4" s="148">
        <f t="shared" ref="M4:M21" si="0">M3+K4-L4</f>
        <v>98252.261500000008</v>
      </c>
      <c r="N4" s="149"/>
    </row>
    <row r="5" spans="1:16">
      <c r="A5" s="50">
        <v>2</v>
      </c>
      <c r="B5" s="213">
        <v>45963</v>
      </c>
      <c r="C5" s="11"/>
      <c r="D5" s="11"/>
      <c r="E5" s="161">
        <v>0</v>
      </c>
      <c r="F5" s="161">
        <v>0</v>
      </c>
      <c r="G5" s="147">
        <f t="shared" ref="G5:G34" si="1">E5*F5</f>
        <v>0</v>
      </c>
      <c r="H5" s="161">
        <v>0</v>
      </c>
      <c r="I5" s="162">
        <v>0</v>
      </c>
      <c r="J5" s="20">
        <f t="shared" ref="J5:J34" si="2">H5*I5</f>
        <v>0</v>
      </c>
      <c r="K5" s="20">
        <f t="shared" ref="K5:K34" si="3">G5+J5</f>
        <v>0</v>
      </c>
      <c r="L5" s="148"/>
      <c r="M5" s="14">
        <f t="shared" si="0"/>
        <v>98252.261500000008</v>
      </c>
      <c r="N5" s="12"/>
    </row>
    <row r="6" spans="1:16">
      <c r="A6" s="50">
        <v>3</v>
      </c>
      <c r="B6" s="213">
        <v>45964</v>
      </c>
      <c r="C6" s="11"/>
      <c r="D6" s="11"/>
      <c r="E6" s="161">
        <v>0</v>
      </c>
      <c r="F6" s="161">
        <v>0</v>
      </c>
      <c r="G6" s="147">
        <f t="shared" si="1"/>
        <v>0</v>
      </c>
      <c r="H6" s="161">
        <v>0</v>
      </c>
      <c r="I6" s="162">
        <v>0</v>
      </c>
      <c r="J6" s="20">
        <f t="shared" si="2"/>
        <v>0</v>
      </c>
      <c r="K6" s="20">
        <f t="shared" si="3"/>
        <v>0</v>
      </c>
      <c r="L6" s="148"/>
      <c r="M6" s="14">
        <f t="shared" si="0"/>
        <v>98252.261500000008</v>
      </c>
      <c r="N6" s="13"/>
    </row>
    <row r="7" spans="1:16">
      <c r="A7" s="50">
        <v>4</v>
      </c>
      <c r="B7" s="213">
        <v>45965</v>
      </c>
      <c r="C7" s="76"/>
      <c r="D7" s="77"/>
      <c r="E7" s="161">
        <v>0</v>
      </c>
      <c r="F7" s="161">
        <v>0</v>
      </c>
      <c r="G7" s="147">
        <f t="shared" si="1"/>
        <v>0</v>
      </c>
      <c r="H7" s="161">
        <v>0</v>
      </c>
      <c r="I7" s="162">
        <v>0</v>
      </c>
      <c r="J7" s="20">
        <f t="shared" si="2"/>
        <v>0</v>
      </c>
      <c r="K7" s="20">
        <f t="shared" si="3"/>
        <v>0</v>
      </c>
      <c r="L7" s="148"/>
      <c r="M7" s="14">
        <f t="shared" si="0"/>
        <v>98252.261500000008</v>
      </c>
      <c r="N7" s="43"/>
    </row>
    <row r="8" spans="1:16">
      <c r="A8" s="50">
        <v>5</v>
      </c>
      <c r="B8" s="213">
        <v>45966</v>
      </c>
      <c r="C8" s="76"/>
      <c r="D8" s="77"/>
      <c r="E8" s="161">
        <v>0</v>
      </c>
      <c r="F8" s="161">
        <v>0</v>
      </c>
      <c r="G8" s="147">
        <f t="shared" si="1"/>
        <v>0</v>
      </c>
      <c r="H8" s="161">
        <v>0</v>
      </c>
      <c r="I8" s="162">
        <v>0</v>
      </c>
      <c r="J8" s="20">
        <f t="shared" si="2"/>
        <v>0</v>
      </c>
      <c r="K8" s="20">
        <f t="shared" si="3"/>
        <v>0</v>
      </c>
      <c r="L8" s="148"/>
      <c r="M8" s="14">
        <f t="shared" si="0"/>
        <v>98252.261500000008</v>
      </c>
      <c r="N8" s="43"/>
      <c r="O8" s="259">
        <v>8497892194</v>
      </c>
      <c r="P8" s="260" t="s">
        <v>159</v>
      </c>
    </row>
    <row r="9" spans="1:16">
      <c r="A9" s="50">
        <v>6</v>
      </c>
      <c r="B9" s="213">
        <v>45967</v>
      </c>
      <c r="C9" s="76"/>
      <c r="D9" s="77"/>
      <c r="E9" s="161">
        <v>0</v>
      </c>
      <c r="F9" s="161">
        <v>0</v>
      </c>
      <c r="G9" s="147">
        <f t="shared" si="1"/>
        <v>0</v>
      </c>
      <c r="H9" s="161">
        <v>0</v>
      </c>
      <c r="I9" s="162">
        <v>0</v>
      </c>
      <c r="J9" s="20">
        <f t="shared" si="2"/>
        <v>0</v>
      </c>
      <c r="K9" s="20">
        <f t="shared" si="3"/>
        <v>0</v>
      </c>
      <c r="L9" s="148"/>
      <c r="M9" s="14">
        <f t="shared" si="0"/>
        <v>98252.261500000008</v>
      </c>
      <c r="N9" s="43"/>
      <c r="O9" s="75"/>
    </row>
    <row r="10" spans="1:16">
      <c r="A10" s="50">
        <v>7</v>
      </c>
      <c r="B10" s="213">
        <v>45968</v>
      </c>
      <c r="C10" s="76"/>
      <c r="D10" s="77"/>
      <c r="E10" s="161">
        <v>0</v>
      </c>
      <c r="F10" s="161">
        <v>0</v>
      </c>
      <c r="G10" s="147">
        <f t="shared" si="1"/>
        <v>0</v>
      </c>
      <c r="H10" s="161">
        <v>0</v>
      </c>
      <c r="I10" s="162">
        <v>0</v>
      </c>
      <c r="J10" s="20">
        <f t="shared" si="2"/>
        <v>0</v>
      </c>
      <c r="K10" s="20">
        <f t="shared" si="3"/>
        <v>0</v>
      </c>
      <c r="L10" s="148"/>
      <c r="M10" s="14">
        <f t="shared" si="0"/>
        <v>98252.261500000008</v>
      </c>
      <c r="N10" s="43"/>
      <c r="O10" s="75"/>
    </row>
    <row r="11" spans="1:16">
      <c r="A11" s="50">
        <v>8</v>
      </c>
      <c r="B11" s="213">
        <v>45969</v>
      </c>
      <c r="C11" s="76"/>
      <c r="D11" s="77"/>
      <c r="E11" s="161">
        <v>0</v>
      </c>
      <c r="F11" s="161">
        <v>0</v>
      </c>
      <c r="G11" s="147">
        <f t="shared" si="1"/>
        <v>0</v>
      </c>
      <c r="H11" s="161">
        <v>0</v>
      </c>
      <c r="I11" s="162">
        <v>0</v>
      </c>
      <c r="J11" s="20">
        <f t="shared" si="2"/>
        <v>0</v>
      </c>
      <c r="K11" s="20">
        <f t="shared" si="3"/>
        <v>0</v>
      </c>
      <c r="L11" s="148"/>
      <c r="M11" s="14">
        <f t="shared" si="0"/>
        <v>98252.261500000008</v>
      </c>
      <c r="N11" s="43"/>
      <c r="O11" s="75"/>
    </row>
    <row r="12" spans="1:16">
      <c r="A12" s="50">
        <v>9</v>
      </c>
      <c r="B12" s="213">
        <v>45970</v>
      </c>
      <c r="C12" s="76"/>
      <c r="D12" s="77"/>
      <c r="E12" s="161">
        <v>0</v>
      </c>
      <c r="F12" s="161">
        <v>0</v>
      </c>
      <c r="G12" s="147">
        <f t="shared" si="1"/>
        <v>0</v>
      </c>
      <c r="H12" s="161">
        <v>0</v>
      </c>
      <c r="I12" s="162">
        <v>0</v>
      </c>
      <c r="J12" s="20">
        <f t="shared" si="2"/>
        <v>0</v>
      </c>
      <c r="K12" s="20">
        <f t="shared" si="3"/>
        <v>0</v>
      </c>
      <c r="L12" s="148"/>
      <c r="M12" s="14">
        <f t="shared" si="0"/>
        <v>98252.261500000008</v>
      </c>
      <c r="N12" s="43"/>
      <c r="O12" s="75"/>
    </row>
    <row r="13" spans="1:16">
      <c r="A13" s="50">
        <v>10</v>
      </c>
      <c r="B13" s="213">
        <v>45971</v>
      </c>
      <c r="C13" s="76"/>
      <c r="D13" s="77"/>
      <c r="E13" s="161">
        <v>0</v>
      </c>
      <c r="F13" s="161">
        <v>0</v>
      </c>
      <c r="G13" s="147">
        <f t="shared" si="1"/>
        <v>0</v>
      </c>
      <c r="H13" s="161">
        <v>0</v>
      </c>
      <c r="I13" s="162">
        <v>0</v>
      </c>
      <c r="J13" s="20">
        <f t="shared" si="2"/>
        <v>0</v>
      </c>
      <c r="K13" s="20">
        <f t="shared" si="3"/>
        <v>0</v>
      </c>
      <c r="L13" s="148"/>
      <c r="M13" s="14">
        <f t="shared" si="0"/>
        <v>98252.261500000008</v>
      </c>
      <c r="N13" s="43"/>
      <c r="O13" s="75"/>
    </row>
    <row r="14" spans="1:16">
      <c r="A14" s="50">
        <v>11</v>
      </c>
      <c r="B14" s="213">
        <v>45972</v>
      </c>
      <c r="C14" s="76"/>
      <c r="D14" s="77"/>
      <c r="E14" s="161">
        <v>0</v>
      </c>
      <c r="F14" s="161">
        <v>0</v>
      </c>
      <c r="G14" s="147">
        <f t="shared" si="1"/>
        <v>0</v>
      </c>
      <c r="H14" s="161">
        <v>0</v>
      </c>
      <c r="I14" s="162">
        <v>0</v>
      </c>
      <c r="J14" s="20">
        <f t="shared" si="2"/>
        <v>0</v>
      </c>
      <c r="K14" s="20">
        <f t="shared" si="3"/>
        <v>0</v>
      </c>
      <c r="L14" s="148"/>
      <c r="M14" s="14">
        <f t="shared" si="0"/>
        <v>98252.261500000008</v>
      </c>
      <c r="N14" s="43"/>
      <c r="O14" s="75"/>
    </row>
    <row r="15" spans="1:16">
      <c r="A15" s="50">
        <v>12</v>
      </c>
      <c r="B15" s="213">
        <v>45973</v>
      </c>
      <c r="C15" s="76"/>
      <c r="D15" s="77"/>
      <c r="E15" s="161">
        <v>0</v>
      </c>
      <c r="F15" s="161">
        <v>0</v>
      </c>
      <c r="G15" s="147">
        <f t="shared" si="1"/>
        <v>0</v>
      </c>
      <c r="H15" s="161">
        <v>5</v>
      </c>
      <c r="I15" s="162">
        <v>103.8</v>
      </c>
      <c r="J15" s="20">
        <f t="shared" si="2"/>
        <v>519</v>
      </c>
      <c r="K15" s="20">
        <f t="shared" si="3"/>
        <v>519</v>
      </c>
      <c r="L15" s="148"/>
      <c r="M15" s="14">
        <f t="shared" si="0"/>
        <v>98771.261500000008</v>
      </c>
      <c r="N15" s="43"/>
      <c r="O15" s="75"/>
    </row>
    <row r="16" spans="1:16">
      <c r="A16" s="50">
        <v>13</v>
      </c>
      <c r="B16" s="213">
        <v>45974</v>
      </c>
      <c r="C16" s="76"/>
      <c r="D16" s="77"/>
      <c r="E16" s="161">
        <v>0</v>
      </c>
      <c r="F16" s="161">
        <v>0</v>
      </c>
      <c r="G16" s="147">
        <f t="shared" si="1"/>
        <v>0</v>
      </c>
      <c r="H16" s="161">
        <v>0</v>
      </c>
      <c r="I16" s="162">
        <v>0</v>
      </c>
      <c r="J16" s="20">
        <f t="shared" si="2"/>
        <v>0</v>
      </c>
      <c r="K16" s="20">
        <f t="shared" si="3"/>
        <v>0</v>
      </c>
      <c r="L16" s="148"/>
      <c r="M16" s="258">
        <f t="shared" si="0"/>
        <v>98771.261500000008</v>
      </c>
      <c r="N16" s="43"/>
      <c r="O16" s="75"/>
    </row>
    <row r="17" spans="1:18">
      <c r="A17" s="50">
        <v>14</v>
      </c>
      <c r="B17" s="213">
        <v>45975</v>
      </c>
      <c r="C17" s="76"/>
      <c r="D17" s="77"/>
      <c r="E17" s="161">
        <v>0</v>
      </c>
      <c r="F17" s="161">
        <v>0</v>
      </c>
      <c r="G17" s="147">
        <f t="shared" si="1"/>
        <v>0</v>
      </c>
      <c r="H17" s="161">
        <v>0</v>
      </c>
      <c r="I17" s="162">
        <v>0</v>
      </c>
      <c r="J17" s="20">
        <f t="shared" si="2"/>
        <v>0</v>
      </c>
      <c r="K17" s="20">
        <f t="shared" si="3"/>
        <v>0</v>
      </c>
      <c r="L17" s="148"/>
      <c r="M17" s="14">
        <f t="shared" si="0"/>
        <v>98771.261500000008</v>
      </c>
      <c r="N17" s="43"/>
      <c r="O17" s="75"/>
    </row>
    <row r="18" spans="1:18">
      <c r="A18" s="50">
        <v>15</v>
      </c>
      <c r="B18" s="213">
        <v>45976</v>
      </c>
      <c r="C18" s="76"/>
      <c r="D18" s="77"/>
      <c r="E18" s="161">
        <v>0</v>
      </c>
      <c r="F18" s="161">
        <v>0</v>
      </c>
      <c r="G18" s="147">
        <f t="shared" si="1"/>
        <v>0</v>
      </c>
      <c r="H18" s="161">
        <v>0</v>
      </c>
      <c r="I18" s="162">
        <v>0</v>
      </c>
      <c r="J18" s="20">
        <f t="shared" si="2"/>
        <v>0</v>
      </c>
      <c r="K18" s="20">
        <f t="shared" si="3"/>
        <v>0</v>
      </c>
      <c r="L18" s="148"/>
      <c r="M18" s="14">
        <f t="shared" si="0"/>
        <v>98771.261500000008</v>
      </c>
      <c r="N18" s="43"/>
      <c r="O18" s="75"/>
    </row>
    <row r="19" spans="1:18">
      <c r="A19" s="50">
        <v>16</v>
      </c>
      <c r="B19" s="213">
        <v>45977</v>
      </c>
      <c r="C19" s="200"/>
      <c r="D19" s="201"/>
      <c r="E19" s="161">
        <v>0</v>
      </c>
      <c r="F19" s="161">
        <v>0</v>
      </c>
      <c r="G19" s="147">
        <f t="shared" si="1"/>
        <v>0</v>
      </c>
      <c r="H19" s="161">
        <v>0</v>
      </c>
      <c r="I19" s="162">
        <v>0</v>
      </c>
      <c r="J19" s="20">
        <f t="shared" si="2"/>
        <v>0</v>
      </c>
      <c r="K19" s="20">
        <f t="shared" si="3"/>
        <v>0</v>
      </c>
      <c r="L19" s="148"/>
      <c r="M19" s="15">
        <f t="shared" si="0"/>
        <v>98771.261500000008</v>
      </c>
      <c r="N19" s="202"/>
      <c r="O19" s="75"/>
    </row>
    <row r="20" spans="1:18">
      <c r="A20" s="50">
        <v>17</v>
      </c>
      <c r="B20" s="213">
        <v>45978</v>
      </c>
      <c r="C20" s="73"/>
      <c r="D20" s="77"/>
      <c r="E20" s="161">
        <v>0</v>
      </c>
      <c r="F20" s="161">
        <v>0</v>
      </c>
      <c r="G20" s="147">
        <f t="shared" si="1"/>
        <v>0</v>
      </c>
      <c r="H20" s="161">
        <v>0</v>
      </c>
      <c r="I20" s="162">
        <v>0</v>
      </c>
      <c r="J20" s="20">
        <f t="shared" si="2"/>
        <v>0</v>
      </c>
      <c r="K20" s="20">
        <f t="shared" si="3"/>
        <v>0</v>
      </c>
      <c r="L20" s="148"/>
      <c r="M20" s="15">
        <f t="shared" si="0"/>
        <v>98771.261500000008</v>
      </c>
      <c r="N20" s="43"/>
      <c r="O20" s="75"/>
    </row>
    <row r="21" spans="1:18">
      <c r="A21" s="50">
        <v>18</v>
      </c>
      <c r="B21" s="213">
        <v>45979</v>
      </c>
      <c r="C21" s="73"/>
      <c r="D21" s="77"/>
      <c r="E21" s="161">
        <v>0</v>
      </c>
      <c r="F21" s="161">
        <v>0</v>
      </c>
      <c r="G21" s="147">
        <f t="shared" si="1"/>
        <v>0</v>
      </c>
      <c r="H21" s="161">
        <v>0</v>
      </c>
      <c r="I21" s="162">
        <v>0</v>
      </c>
      <c r="J21" s="20">
        <f t="shared" si="2"/>
        <v>0</v>
      </c>
      <c r="K21" s="20">
        <f t="shared" si="3"/>
        <v>0</v>
      </c>
      <c r="L21" s="148"/>
      <c r="M21" s="15">
        <f t="shared" si="0"/>
        <v>98771.261500000008</v>
      </c>
      <c r="N21" s="43"/>
      <c r="O21" s="75"/>
    </row>
    <row r="22" spans="1:18">
      <c r="A22" s="50">
        <v>19</v>
      </c>
      <c r="B22" s="213">
        <v>45980</v>
      </c>
      <c r="C22" s="73"/>
      <c r="D22" s="77"/>
      <c r="E22" s="161">
        <v>0</v>
      </c>
      <c r="F22" s="161">
        <v>0</v>
      </c>
      <c r="G22" s="147">
        <f t="shared" si="1"/>
        <v>0</v>
      </c>
      <c r="H22" s="161">
        <v>0</v>
      </c>
      <c r="I22" s="162">
        <v>0</v>
      </c>
      <c r="J22" s="20">
        <f t="shared" si="2"/>
        <v>0</v>
      </c>
      <c r="K22" s="20">
        <f t="shared" si="3"/>
        <v>0</v>
      </c>
      <c r="L22" s="148"/>
      <c r="M22" s="15">
        <f t="shared" ref="M22:M30" si="4">M21+K22-L22</f>
        <v>98771.261500000008</v>
      </c>
      <c r="N22" s="43"/>
      <c r="O22" s="75"/>
    </row>
    <row r="23" spans="1:18">
      <c r="A23" s="50">
        <v>20</v>
      </c>
      <c r="B23" s="213">
        <v>45981</v>
      </c>
      <c r="C23" s="73"/>
      <c r="D23" s="77"/>
      <c r="E23" s="161">
        <v>0</v>
      </c>
      <c r="F23" s="161">
        <v>0</v>
      </c>
      <c r="G23" s="147">
        <f t="shared" si="1"/>
        <v>0</v>
      </c>
      <c r="H23" s="161">
        <v>0</v>
      </c>
      <c r="I23" s="162">
        <v>0</v>
      </c>
      <c r="J23" s="20">
        <f t="shared" si="2"/>
        <v>0</v>
      </c>
      <c r="K23" s="20">
        <f t="shared" si="3"/>
        <v>0</v>
      </c>
      <c r="L23" s="148">
        <v>98000</v>
      </c>
      <c r="M23" s="15">
        <f t="shared" si="4"/>
        <v>771.2615000000078</v>
      </c>
      <c r="N23" s="43"/>
      <c r="O23" s="75"/>
    </row>
    <row r="24" spans="1:18">
      <c r="A24" s="50">
        <v>21</v>
      </c>
      <c r="B24" s="213">
        <v>45982</v>
      </c>
      <c r="C24" s="73"/>
      <c r="D24" s="77"/>
      <c r="E24" s="161">
        <v>0</v>
      </c>
      <c r="F24" s="161">
        <v>0</v>
      </c>
      <c r="G24" s="147">
        <f t="shared" si="1"/>
        <v>0</v>
      </c>
      <c r="H24" s="161">
        <v>0</v>
      </c>
      <c r="I24" s="162">
        <v>0</v>
      </c>
      <c r="J24" s="20">
        <f t="shared" si="2"/>
        <v>0</v>
      </c>
      <c r="K24" s="20">
        <f t="shared" si="3"/>
        <v>0</v>
      </c>
      <c r="L24" s="148"/>
      <c r="M24" s="15">
        <f t="shared" si="4"/>
        <v>771.2615000000078</v>
      </c>
      <c r="N24" s="43"/>
      <c r="O24" s="75"/>
    </row>
    <row r="25" spans="1:18">
      <c r="A25" s="50">
        <v>22</v>
      </c>
      <c r="B25" s="213">
        <v>45983</v>
      </c>
      <c r="C25" s="73"/>
      <c r="D25" s="77"/>
      <c r="E25" s="161">
        <v>0</v>
      </c>
      <c r="F25" s="161">
        <v>0</v>
      </c>
      <c r="G25" s="147">
        <f t="shared" si="1"/>
        <v>0</v>
      </c>
      <c r="H25" s="161">
        <v>5</v>
      </c>
      <c r="I25" s="162">
        <v>103.8</v>
      </c>
      <c r="J25" s="20">
        <f t="shared" si="2"/>
        <v>519</v>
      </c>
      <c r="K25" s="20">
        <f t="shared" si="3"/>
        <v>519</v>
      </c>
      <c r="L25" s="148"/>
      <c r="M25" s="15">
        <f t="shared" si="4"/>
        <v>1290.2615000000078</v>
      </c>
      <c r="N25" s="43"/>
      <c r="O25" s="75"/>
    </row>
    <row r="26" spans="1:18">
      <c r="A26" s="50">
        <v>23</v>
      </c>
      <c r="B26" s="213">
        <v>45984</v>
      </c>
      <c r="C26" s="73"/>
      <c r="D26" s="77"/>
      <c r="E26" s="161">
        <v>0</v>
      </c>
      <c r="F26" s="161">
        <v>0</v>
      </c>
      <c r="G26" s="147">
        <f t="shared" si="1"/>
        <v>0</v>
      </c>
      <c r="H26" s="161">
        <v>0</v>
      </c>
      <c r="I26" s="162">
        <v>0</v>
      </c>
      <c r="J26" s="20">
        <f t="shared" si="2"/>
        <v>0</v>
      </c>
      <c r="K26" s="20">
        <f t="shared" si="3"/>
        <v>0</v>
      </c>
      <c r="L26" s="148"/>
      <c r="M26" s="15">
        <f t="shared" si="4"/>
        <v>1290.2615000000078</v>
      </c>
      <c r="N26" s="43"/>
      <c r="O26" s="75"/>
    </row>
    <row r="27" spans="1:18">
      <c r="A27" s="50">
        <v>24</v>
      </c>
      <c r="B27" s="213">
        <v>45985</v>
      </c>
      <c r="C27" s="73"/>
      <c r="D27" s="77"/>
      <c r="E27" s="161">
        <v>0</v>
      </c>
      <c r="F27" s="161">
        <v>0</v>
      </c>
      <c r="G27" s="147">
        <f t="shared" si="1"/>
        <v>0</v>
      </c>
      <c r="H27" s="161">
        <v>0</v>
      </c>
      <c r="I27" s="162">
        <v>0</v>
      </c>
      <c r="J27" s="20">
        <f t="shared" si="2"/>
        <v>0</v>
      </c>
      <c r="K27" s="20">
        <f t="shared" si="3"/>
        <v>0</v>
      </c>
      <c r="L27" s="148"/>
      <c r="M27" s="15">
        <f t="shared" si="4"/>
        <v>1290.2615000000078</v>
      </c>
      <c r="N27" s="43"/>
      <c r="O27" s="75"/>
      <c r="R27">
        <v>66742</v>
      </c>
    </row>
    <row r="28" spans="1:18">
      <c r="A28" s="232">
        <v>25</v>
      </c>
      <c r="B28" s="213">
        <v>45986</v>
      </c>
      <c r="C28" s="207"/>
      <c r="D28" s="201"/>
      <c r="E28" s="161">
        <v>0</v>
      </c>
      <c r="F28" s="161">
        <v>0</v>
      </c>
      <c r="G28" s="147">
        <f t="shared" si="1"/>
        <v>0</v>
      </c>
      <c r="H28" s="161">
        <v>0</v>
      </c>
      <c r="I28" s="162">
        <v>0</v>
      </c>
      <c r="J28" s="20">
        <f t="shared" si="2"/>
        <v>0</v>
      </c>
      <c r="K28" s="20">
        <f t="shared" si="3"/>
        <v>0</v>
      </c>
      <c r="L28" s="148"/>
      <c r="M28" s="15">
        <f t="shared" si="4"/>
        <v>1290.2615000000078</v>
      </c>
      <c r="N28" s="202"/>
      <c r="O28" s="75"/>
    </row>
    <row r="29" spans="1:18">
      <c r="A29" s="50">
        <v>26</v>
      </c>
      <c r="B29" s="213">
        <v>45987</v>
      </c>
      <c r="C29" s="73"/>
      <c r="D29" s="77"/>
      <c r="E29" s="161">
        <v>0</v>
      </c>
      <c r="F29" s="161">
        <v>0</v>
      </c>
      <c r="G29" s="147">
        <f t="shared" si="1"/>
        <v>0</v>
      </c>
      <c r="H29" s="161">
        <v>0</v>
      </c>
      <c r="I29" s="162">
        <v>0</v>
      </c>
      <c r="J29" s="20">
        <f t="shared" si="2"/>
        <v>0</v>
      </c>
      <c r="K29" s="20">
        <f t="shared" si="3"/>
        <v>0</v>
      </c>
      <c r="L29" s="148"/>
      <c r="M29" s="15">
        <f t="shared" si="4"/>
        <v>1290.2615000000078</v>
      </c>
      <c r="N29" s="43"/>
      <c r="O29" s="75"/>
    </row>
    <row r="30" spans="1:18">
      <c r="A30" s="50">
        <v>27</v>
      </c>
      <c r="B30" s="213">
        <v>45988</v>
      </c>
      <c r="C30" s="73"/>
      <c r="D30" s="77"/>
      <c r="E30" s="161">
        <v>0</v>
      </c>
      <c r="F30" s="161">
        <v>0</v>
      </c>
      <c r="G30" s="147">
        <f t="shared" si="1"/>
        <v>0</v>
      </c>
      <c r="H30" s="161">
        <v>0</v>
      </c>
      <c r="I30" s="162">
        <v>103.8</v>
      </c>
      <c r="J30" s="20">
        <f t="shared" si="2"/>
        <v>0</v>
      </c>
      <c r="K30" s="20">
        <f t="shared" si="3"/>
        <v>0</v>
      </c>
      <c r="L30" s="148"/>
      <c r="M30" s="15">
        <f t="shared" si="4"/>
        <v>1290.2615000000078</v>
      </c>
      <c r="N30" s="43"/>
      <c r="O30" s="75"/>
    </row>
    <row r="31" spans="1:18">
      <c r="A31" s="50">
        <v>28</v>
      </c>
      <c r="B31" s="213">
        <v>45989</v>
      </c>
      <c r="C31" s="73"/>
      <c r="D31" s="77"/>
      <c r="E31" s="161">
        <v>0</v>
      </c>
      <c r="F31" s="161">
        <v>0</v>
      </c>
      <c r="G31" s="147">
        <f t="shared" si="1"/>
        <v>0</v>
      </c>
      <c r="H31" s="161">
        <v>0</v>
      </c>
      <c r="I31" s="162">
        <v>0</v>
      </c>
      <c r="J31" s="20">
        <f t="shared" si="2"/>
        <v>0</v>
      </c>
      <c r="K31" s="20">
        <f t="shared" si="3"/>
        <v>0</v>
      </c>
      <c r="L31" s="148"/>
      <c r="M31" s="15">
        <f>M30+K31-L31</f>
        <v>1290.2615000000078</v>
      </c>
      <c r="N31" s="43"/>
      <c r="O31" s="75"/>
    </row>
    <row r="32" spans="1:18">
      <c r="A32" s="50">
        <v>29</v>
      </c>
      <c r="B32" s="213">
        <v>45990</v>
      </c>
      <c r="C32" s="73"/>
      <c r="D32" s="77"/>
      <c r="E32" s="161">
        <v>0</v>
      </c>
      <c r="F32" s="161">
        <v>0</v>
      </c>
      <c r="G32" s="147">
        <f t="shared" si="1"/>
        <v>0</v>
      </c>
      <c r="H32" s="161">
        <v>0</v>
      </c>
      <c r="I32" s="162">
        <v>0</v>
      </c>
      <c r="J32" s="20">
        <f t="shared" si="2"/>
        <v>0</v>
      </c>
      <c r="K32" s="20">
        <f t="shared" si="3"/>
        <v>0</v>
      </c>
      <c r="L32" s="148"/>
      <c r="M32" s="15">
        <f>M31+K32-L32</f>
        <v>1290.2615000000078</v>
      </c>
      <c r="N32" s="43"/>
      <c r="O32" s="75"/>
    </row>
    <row r="33" spans="1:15">
      <c r="A33" s="50">
        <v>30</v>
      </c>
      <c r="B33" s="213">
        <v>45991</v>
      </c>
      <c r="C33" s="73"/>
      <c r="D33" s="77"/>
      <c r="E33" s="161">
        <v>0</v>
      </c>
      <c r="F33" s="161">
        <v>0</v>
      </c>
      <c r="G33" s="147">
        <f t="shared" si="1"/>
        <v>0</v>
      </c>
      <c r="H33" s="161">
        <v>0</v>
      </c>
      <c r="I33" s="162">
        <v>0</v>
      </c>
      <c r="J33" s="20">
        <f t="shared" si="2"/>
        <v>0</v>
      </c>
      <c r="K33" s="20">
        <f t="shared" si="3"/>
        <v>0</v>
      </c>
      <c r="L33" s="148"/>
      <c r="M33" s="15">
        <f>M32+K33-L33</f>
        <v>1290.2615000000078</v>
      </c>
      <c r="N33" s="43"/>
      <c r="O33" s="75"/>
    </row>
    <row r="34" spans="1:15">
      <c r="A34" s="50">
        <v>31</v>
      </c>
      <c r="B34" s="213"/>
      <c r="C34" s="73"/>
      <c r="D34" s="77"/>
      <c r="E34" s="161">
        <v>0</v>
      </c>
      <c r="F34" s="161">
        <v>0</v>
      </c>
      <c r="G34" s="147">
        <f t="shared" si="1"/>
        <v>0</v>
      </c>
      <c r="H34" s="161">
        <v>0</v>
      </c>
      <c r="I34" s="162">
        <v>0</v>
      </c>
      <c r="J34" s="20">
        <f t="shared" si="2"/>
        <v>0</v>
      </c>
      <c r="K34" s="20">
        <f t="shared" si="3"/>
        <v>0</v>
      </c>
      <c r="L34" s="148"/>
      <c r="M34" s="15">
        <f>M33+K34-L34</f>
        <v>1290.2615000000078</v>
      </c>
      <c r="N34" s="43"/>
      <c r="O34" s="75"/>
    </row>
    <row r="35" spans="1:15">
      <c r="A35" s="168"/>
      <c r="B35" s="168"/>
      <c r="C35" s="168"/>
      <c r="D35" s="168"/>
      <c r="E35" s="169">
        <f>SUM(E4:E34)</f>
        <v>0</v>
      </c>
      <c r="F35" s="169"/>
      <c r="G35" s="169">
        <f>SUM(G4:G34)</f>
        <v>0</v>
      </c>
      <c r="H35" s="169">
        <f>SUM(H4:H34)</f>
        <v>10</v>
      </c>
      <c r="I35" s="169"/>
      <c r="J35" s="169">
        <f>SUM(J4:J34)</f>
        <v>1038</v>
      </c>
      <c r="K35" s="169">
        <f>SUM(K4:K34)</f>
        <v>1038</v>
      </c>
      <c r="L35" s="169">
        <f>SUM(L4:L34)</f>
        <v>98000</v>
      </c>
      <c r="M35" s="169"/>
      <c r="N35" s="1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58"/>
      <c r="C43" s="458"/>
      <c r="D43" s="458"/>
      <c r="E43" s="458"/>
      <c r="F43" s="75"/>
      <c r="G43" s="75"/>
      <c r="H43" s="75"/>
      <c r="I43" s="458"/>
      <c r="J43" s="458"/>
      <c r="K43" s="458"/>
      <c r="L43" s="458"/>
      <c r="M43" s="458"/>
      <c r="N43" s="458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1"/>
  <sheetViews>
    <sheetView topLeftCell="A13" workbookViewId="0">
      <selection activeCell="M33" sqref="M33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2" bestFit="1" customWidth="1"/>
  </cols>
  <sheetData>
    <row r="1" spans="1:16" ht="15.75">
      <c r="A1" s="443" t="s">
        <v>73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</row>
    <row r="2" spans="1:16" ht="30">
      <c r="A2" s="104" t="s">
        <v>95</v>
      </c>
      <c r="B2" s="105" t="s">
        <v>96</v>
      </c>
      <c r="C2" s="105" t="s">
        <v>97</v>
      </c>
      <c r="D2" s="105" t="s">
        <v>98</v>
      </c>
      <c r="E2" s="105" t="s">
        <v>99</v>
      </c>
      <c r="F2" s="105" t="s">
        <v>100</v>
      </c>
      <c r="G2" s="193" t="s">
        <v>101</v>
      </c>
      <c r="H2" s="105" t="s">
        <v>102</v>
      </c>
      <c r="I2" s="105" t="s">
        <v>100</v>
      </c>
      <c r="J2" s="196" t="s">
        <v>101</v>
      </c>
      <c r="K2" s="106" t="s">
        <v>103</v>
      </c>
      <c r="L2" s="146" t="s">
        <v>104</v>
      </c>
      <c r="M2" s="329" t="s">
        <v>110</v>
      </c>
      <c r="N2" s="107" t="s">
        <v>106</v>
      </c>
    </row>
    <row r="3" spans="1:16">
      <c r="A3" s="163"/>
      <c r="B3" s="17"/>
      <c r="C3" s="17"/>
      <c r="D3" s="234" t="s">
        <v>107</v>
      </c>
      <c r="E3" s="17"/>
      <c r="F3" s="17"/>
      <c r="G3" s="194"/>
      <c r="H3" s="17"/>
      <c r="I3" s="17"/>
      <c r="J3" s="194"/>
      <c r="K3" s="347">
        <v>1316713.4470000004</v>
      </c>
      <c r="L3" s="17"/>
      <c r="M3" s="42">
        <v>1316713.4470000004</v>
      </c>
      <c r="N3" s="17">
        <v>0</v>
      </c>
      <c r="O3">
        <v>0</v>
      </c>
      <c r="P3" s="22">
        <v>0</v>
      </c>
    </row>
    <row r="4" spans="1:16">
      <c r="A4" s="208">
        <v>1</v>
      </c>
      <c r="B4" s="233">
        <v>45962</v>
      </c>
      <c r="C4" s="144"/>
      <c r="D4" s="144"/>
      <c r="E4" s="261">
        <v>36.61</v>
      </c>
      <c r="F4" s="324">
        <v>91.48</v>
      </c>
      <c r="G4" s="269">
        <f>E4*F4</f>
        <v>3349.0828000000001</v>
      </c>
      <c r="H4" s="261"/>
      <c r="I4" s="261"/>
      <c r="J4" s="261">
        <f>H4*I4</f>
        <v>0</v>
      </c>
      <c r="K4" s="269">
        <f>G4+J4</f>
        <v>3349.0828000000001</v>
      </c>
      <c r="L4" s="144"/>
      <c r="M4" s="330">
        <f>M3+K4-L4</f>
        <v>1320062.5298000004</v>
      </c>
      <c r="N4" s="144"/>
      <c r="O4" s="22"/>
    </row>
    <row r="5" spans="1:16">
      <c r="A5" s="50">
        <v>2</v>
      </c>
      <c r="B5" s="233">
        <v>45963</v>
      </c>
      <c r="C5" s="17"/>
      <c r="D5" s="17"/>
      <c r="E5" s="261">
        <v>79.819999999999993</v>
      </c>
      <c r="F5" s="324">
        <v>91.48</v>
      </c>
      <c r="G5" s="269">
        <f t="shared" ref="G5:G39" si="0">E5*F5</f>
        <v>7301.9335999999994</v>
      </c>
      <c r="H5" s="261"/>
      <c r="I5" s="261"/>
      <c r="J5" s="261">
        <f t="shared" ref="J5:J39" si="1">H5*I5</f>
        <v>0</v>
      </c>
      <c r="K5" s="269">
        <f t="shared" ref="K5:K39" si="2">G5+J5</f>
        <v>7301.9335999999994</v>
      </c>
      <c r="L5" s="144"/>
      <c r="M5" s="330">
        <f t="shared" ref="M5:M39" si="3">M4+K5-L5</f>
        <v>1327364.4634000005</v>
      </c>
      <c r="N5" s="17"/>
    </row>
    <row r="6" spans="1:16">
      <c r="A6" s="50">
        <v>3</v>
      </c>
      <c r="B6" s="233">
        <v>45964</v>
      </c>
      <c r="C6" s="17"/>
      <c r="D6" s="17"/>
      <c r="E6" s="261">
        <v>667.11</v>
      </c>
      <c r="F6" s="324">
        <v>91.48</v>
      </c>
      <c r="G6" s="269">
        <f t="shared" si="0"/>
        <v>61027.222800000003</v>
      </c>
      <c r="H6" s="261">
        <v>22</v>
      </c>
      <c r="I6" s="261">
        <v>103.41</v>
      </c>
      <c r="J6" s="261">
        <f t="shared" si="1"/>
        <v>2275.02</v>
      </c>
      <c r="K6" s="269">
        <f t="shared" si="2"/>
        <v>63302.2428</v>
      </c>
      <c r="L6" s="144"/>
      <c r="M6" s="330">
        <f t="shared" si="3"/>
        <v>1390666.7062000004</v>
      </c>
      <c r="N6" s="17"/>
    </row>
    <row r="7" spans="1:16">
      <c r="A7" s="208">
        <v>4</v>
      </c>
      <c r="B7" s="233">
        <v>45965</v>
      </c>
      <c r="C7" s="17"/>
      <c r="D7" s="17"/>
      <c r="E7" s="261">
        <v>248.68</v>
      </c>
      <c r="F7" s="324">
        <v>91.48</v>
      </c>
      <c r="G7" s="269">
        <f t="shared" si="0"/>
        <v>22749.2464</v>
      </c>
      <c r="H7" s="261"/>
      <c r="I7" s="261"/>
      <c r="J7" s="261">
        <f t="shared" si="1"/>
        <v>0</v>
      </c>
      <c r="K7" s="269">
        <f t="shared" si="2"/>
        <v>22749.2464</v>
      </c>
      <c r="L7" s="144"/>
      <c r="M7" s="330">
        <f t="shared" si="3"/>
        <v>1413415.9526000004</v>
      </c>
      <c r="N7" s="17"/>
    </row>
    <row r="8" spans="1:16">
      <c r="A8" s="50">
        <v>5</v>
      </c>
      <c r="B8" s="233">
        <v>45966</v>
      </c>
      <c r="C8" s="17"/>
      <c r="D8" s="17"/>
      <c r="E8" s="261">
        <v>423.45</v>
      </c>
      <c r="F8" s="324">
        <v>91.48</v>
      </c>
      <c r="G8" s="269">
        <f t="shared" si="0"/>
        <v>38737.205999999998</v>
      </c>
      <c r="H8" s="261">
        <v>6</v>
      </c>
      <c r="I8" s="261">
        <v>103.41</v>
      </c>
      <c r="J8" s="261">
        <f t="shared" si="1"/>
        <v>620.46</v>
      </c>
      <c r="K8" s="269">
        <f t="shared" si="2"/>
        <v>39357.665999999997</v>
      </c>
      <c r="L8" s="144"/>
      <c r="M8" s="330">
        <f t="shared" si="3"/>
        <v>1452773.6186000004</v>
      </c>
      <c r="N8" s="17"/>
    </row>
    <row r="9" spans="1:16">
      <c r="A9" s="50">
        <v>6</v>
      </c>
      <c r="B9" s="233">
        <v>45967</v>
      </c>
      <c r="C9" s="17"/>
      <c r="D9" s="17"/>
      <c r="E9" s="261">
        <v>795.15</v>
      </c>
      <c r="F9" s="324">
        <v>91.48</v>
      </c>
      <c r="G9" s="269">
        <f t="shared" si="0"/>
        <v>72740.322</v>
      </c>
      <c r="H9" s="261">
        <v>6</v>
      </c>
      <c r="I9" s="261">
        <v>103.41</v>
      </c>
      <c r="J9" s="261">
        <f t="shared" si="1"/>
        <v>620.46</v>
      </c>
      <c r="K9" s="269">
        <f t="shared" si="2"/>
        <v>73360.782000000007</v>
      </c>
      <c r="L9" s="144"/>
      <c r="M9" s="330">
        <f t="shared" si="3"/>
        <v>1526134.4006000003</v>
      </c>
      <c r="N9" s="17"/>
    </row>
    <row r="10" spans="1:16">
      <c r="A10" s="208">
        <v>7</v>
      </c>
      <c r="B10" s="233">
        <v>45968</v>
      </c>
      <c r="C10" s="17"/>
      <c r="D10" s="17"/>
      <c r="E10" s="261">
        <v>578.11</v>
      </c>
      <c r="F10" s="324">
        <v>91.48</v>
      </c>
      <c r="G10" s="269">
        <f t="shared" si="0"/>
        <v>52885.502800000002</v>
      </c>
      <c r="H10" s="261">
        <v>31</v>
      </c>
      <c r="I10" s="261">
        <v>103.41</v>
      </c>
      <c r="J10" s="261">
        <f t="shared" si="1"/>
        <v>3205.71</v>
      </c>
      <c r="K10" s="269">
        <f t="shared" si="2"/>
        <v>56091.212800000001</v>
      </c>
      <c r="L10" s="144"/>
      <c r="M10" s="330">
        <f t="shared" si="3"/>
        <v>1582225.6134000004</v>
      </c>
      <c r="N10" s="17"/>
    </row>
    <row r="11" spans="1:16">
      <c r="A11" s="50">
        <v>8</v>
      </c>
      <c r="B11" s="233">
        <v>45969</v>
      </c>
      <c r="C11" s="17"/>
      <c r="D11" s="17"/>
      <c r="E11" s="261">
        <v>102.61</v>
      </c>
      <c r="F11" s="324">
        <v>91.48</v>
      </c>
      <c r="G11" s="269">
        <f t="shared" si="0"/>
        <v>9386.7628000000004</v>
      </c>
      <c r="H11" s="261"/>
      <c r="I11" s="261"/>
      <c r="J11" s="261">
        <f t="shared" si="1"/>
        <v>0</v>
      </c>
      <c r="K11" s="269">
        <f t="shared" si="2"/>
        <v>9386.7628000000004</v>
      </c>
      <c r="L11" s="144"/>
      <c r="M11" s="330">
        <f t="shared" si="3"/>
        <v>1591612.3762000003</v>
      </c>
      <c r="N11" s="17"/>
    </row>
    <row r="12" spans="1:16">
      <c r="A12" s="50">
        <v>9</v>
      </c>
      <c r="B12" s="233">
        <v>45970</v>
      </c>
      <c r="C12" s="17"/>
      <c r="D12" s="17"/>
      <c r="E12" s="261">
        <v>66.41</v>
      </c>
      <c r="F12" s="324">
        <v>91.48</v>
      </c>
      <c r="G12" s="269">
        <f t="shared" si="0"/>
        <v>6075.1868000000004</v>
      </c>
      <c r="H12" s="261">
        <v>6</v>
      </c>
      <c r="I12" s="261">
        <v>103.41</v>
      </c>
      <c r="J12" s="261">
        <f t="shared" si="1"/>
        <v>620.46</v>
      </c>
      <c r="K12" s="269">
        <f t="shared" si="2"/>
        <v>6695.6468000000004</v>
      </c>
      <c r="L12" s="144"/>
      <c r="M12" s="330">
        <f t="shared" si="3"/>
        <v>1598308.0230000003</v>
      </c>
      <c r="N12" s="17"/>
    </row>
    <row r="13" spans="1:16">
      <c r="A13" s="208">
        <v>10</v>
      </c>
      <c r="B13" s="233">
        <v>45971</v>
      </c>
      <c r="C13" s="17"/>
      <c r="D13" s="17"/>
      <c r="E13" s="261">
        <v>645</v>
      </c>
      <c r="F13" s="324">
        <v>91.48</v>
      </c>
      <c r="G13" s="269">
        <f t="shared" si="0"/>
        <v>59004.600000000006</v>
      </c>
      <c r="H13" s="261">
        <v>17</v>
      </c>
      <c r="I13" s="261">
        <v>103.41</v>
      </c>
      <c r="J13" s="261">
        <f t="shared" si="1"/>
        <v>1757.97</v>
      </c>
      <c r="K13" s="269">
        <f t="shared" si="2"/>
        <v>60762.570000000007</v>
      </c>
      <c r="L13" s="144"/>
      <c r="M13" s="330">
        <f t="shared" si="3"/>
        <v>1659070.5930000003</v>
      </c>
      <c r="N13" s="17"/>
    </row>
    <row r="14" spans="1:16">
      <c r="A14" s="50">
        <v>11</v>
      </c>
      <c r="B14" s="233">
        <v>45972</v>
      </c>
      <c r="C14" s="17"/>
      <c r="D14" s="17"/>
      <c r="E14" s="261">
        <v>84.6</v>
      </c>
      <c r="F14" s="324">
        <v>91.48</v>
      </c>
      <c r="G14" s="269">
        <f t="shared" si="0"/>
        <v>7739.2079999999996</v>
      </c>
      <c r="H14" s="261">
        <v>0</v>
      </c>
      <c r="I14" s="261">
        <v>103.41</v>
      </c>
      <c r="J14" s="261">
        <f t="shared" si="1"/>
        <v>0</v>
      </c>
      <c r="K14" s="269">
        <f t="shared" si="2"/>
        <v>7739.2079999999996</v>
      </c>
      <c r="L14" s="144"/>
      <c r="M14" s="330">
        <f t="shared" si="3"/>
        <v>1666809.8010000004</v>
      </c>
      <c r="N14" s="17"/>
    </row>
    <row r="15" spans="1:16">
      <c r="A15" s="50">
        <v>12</v>
      </c>
      <c r="B15" s="233">
        <v>45973</v>
      </c>
      <c r="C15" s="17"/>
      <c r="D15" s="17"/>
      <c r="E15" s="261">
        <v>426.84</v>
      </c>
      <c r="F15" s="324">
        <v>91.48</v>
      </c>
      <c r="G15" s="269">
        <f t="shared" si="0"/>
        <v>39047.323199999999</v>
      </c>
      <c r="H15" s="261">
        <v>12</v>
      </c>
      <c r="I15" s="261">
        <v>103.41</v>
      </c>
      <c r="J15" s="261">
        <f t="shared" si="1"/>
        <v>1240.92</v>
      </c>
      <c r="K15" s="269">
        <f t="shared" si="2"/>
        <v>40288.243199999997</v>
      </c>
      <c r="L15" s="144"/>
      <c r="M15" s="330">
        <f t="shared" si="3"/>
        <v>1707098.0442000004</v>
      </c>
      <c r="N15" s="17"/>
    </row>
    <row r="16" spans="1:16">
      <c r="A16" s="208">
        <v>13</v>
      </c>
      <c r="B16" s="233">
        <v>45974</v>
      </c>
      <c r="C16" s="17"/>
      <c r="D16" s="17"/>
      <c r="E16" s="261"/>
      <c r="F16" s="324"/>
      <c r="G16" s="269">
        <f t="shared" si="0"/>
        <v>0</v>
      </c>
      <c r="H16" s="261"/>
      <c r="I16" s="261"/>
      <c r="J16" s="261">
        <f t="shared" si="1"/>
        <v>0</v>
      </c>
      <c r="K16" s="269">
        <f t="shared" si="2"/>
        <v>0</v>
      </c>
      <c r="L16" s="144"/>
      <c r="M16" s="330">
        <f t="shared" si="3"/>
        <v>1707098.0442000004</v>
      </c>
      <c r="N16" s="17"/>
    </row>
    <row r="17" spans="1:16">
      <c r="A17" s="50">
        <v>14</v>
      </c>
      <c r="B17" s="233">
        <v>45975</v>
      </c>
      <c r="C17" s="17"/>
      <c r="D17" s="17"/>
      <c r="E17" s="261"/>
      <c r="F17" s="324"/>
      <c r="G17" s="269">
        <f t="shared" si="0"/>
        <v>0</v>
      </c>
      <c r="H17" s="261"/>
      <c r="I17" s="261"/>
      <c r="J17" s="261">
        <f t="shared" si="1"/>
        <v>0</v>
      </c>
      <c r="K17" s="269">
        <f t="shared" si="2"/>
        <v>0</v>
      </c>
      <c r="L17" s="144"/>
      <c r="M17" s="330">
        <f t="shared" si="3"/>
        <v>1707098.0442000004</v>
      </c>
      <c r="N17" s="17"/>
      <c r="P17" s="284"/>
    </row>
    <row r="18" spans="1:16">
      <c r="A18" s="50">
        <v>15</v>
      </c>
      <c r="B18" s="233">
        <v>45976</v>
      </c>
      <c r="C18" s="17"/>
      <c r="D18" s="17"/>
      <c r="E18" s="261"/>
      <c r="F18" s="324"/>
      <c r="G18" s="269">
        <f t="shared" si="0"/>
        <v>0</v>
      </c>
      <c r="H18" s="261"/>
      <c r="I18" s="261"/>
      <c r="J18" s="261">
        <f t="shared" si="1"/>
        <v>0</v>
      </c>
      <c r="K18" s="269">
        <f t="shared" si="2"/>
        <v>0</v>
      </c>
      <c r="L18" s="144">
        <v>1300000</v>
      </c>
      <c r="M18" s="330">
        <f t="shared" si="3"/>
        <v>407098.04420000035</v>
      </c>
      <c r="N18" s="17"/>
    </row>
    <row r="19" spans="1:16">
      <c r="A19" s="208">
        <v>16</v>
      </c>
      <c r="B19" s="233">
        <v>45977</v>
      </c>
      <c r="C19" s="17"/>
      <c r="D19" s="17"/>
      <c r="E19" s="261">
        <v>726.85</v>
      </c>
      <c r="F19" s="324">
        <v>91.48</v>
      </c>
      <c r="G19" s="269">
        <f t="shared" si="0"/>
        <v>66492.238000000012</v>
      </c>
      <c r="H19" s="261">
        <v>17</v>
      </c>
      <c r="I19" s="261">
        <v>103.41</v>
      </c>
      <c r="J19" s="261">
        <f t="shared" si="1"/>
        <v>1757.97</v>
      </c>
      <c r="K19" s="269">
        <f t="shared" si="2"/>
        <v>68250.208000000013</v>
      </c>
      <c r="L19" s="144"/>
      <c r="M19" s="330">
        <f t="shared" si="3"/>
        <v>475348.25220000034</v>
      </c>
      <c r="N19" s="17"/>
      <c r="P19" s="22">
        <f>M19-O19</f>
        <v>475348.25220000034</v>
      </c>
    </row>
    <row r="20" spans="1:16">
      <c r="A20" s="50">
        <v>17</v>
      </c>
      <c r="B20" s="233">
        <v>45978</v>
      </c>
      <c r="C20" s="17"/>
      <c r="D20" s="17"/>
      <c r="E20" s="261">
        <v>1050.71</v>
      </c>
      <c r="F20" s="324">
        <v>91.48</v>
      </c>
      <c r="G20" s="269">
        <f t="shared" si="0"/>
        <v>96118.950800000006</v>
      </c>
      <c r="H20" s="261">
        <v>17</v>
      </c>
      <c r="I20" s="261">
        <v>103.41</v>
      </c>
      <c r="J20" s="261">
        <f t="shared" si="1"/>
        <v>1757.97</v>
      </c>
      <c r="K20" s="269">
        <f t="shared" si="2"/>
        <v>97876.920800000007</v>
      </c>
      <c r="L20" s="144"/>
      <c r="M20" s="330">
        <f t="shared" si="3"/>
        <v>573225.1730000003</v>
      </c>
      <c r="N20" s="17"/>
    </row>
    <row r="21" spans="1:16">
      <c r="A21" s="50">
        <v>18</v>
      </c>
      <c r="B21" s="233">
        <v>45979</v>
      </c>
      <c r="C21" s="17"/>
      <c r="D21" s="17"/>
      <c r="E21" s="261">
        <v>157</v>
      </c>
      <c r="F21" s="324">
        <v>91.48</v>
      </c>
      <c r="G21" s="269">
        <f t="shared" si="0"/>
        <v>14362.36</v>
      </c>
      <c r="H21" s="261"/>
      <c r="I21" s="261"/>
      <c r="J21" s="261">
        <f t="shared" si="1"/>
        <v>0</v>
      </c>
      <c r="K21" s="269">
        <f t="shared" si="2"/>
        <v>14362.36</v>
      </c>
      <c r="L21" s="144"/>
      <c r="M21" s="330">
        <f t="shared" si="3"/>
        <v>587587.53300000029</v>
      </c>
      <c r="N21" s="17"/>
    </row>
    <row r="22" spans="1:16">
      <c r="A22" s="208">
        <v>19</v>
      </c>
      <c r="B22" s="233">
        <v>45980</v>
      </c>
      <c r="C22" s="17"/>
      <c r="D22" s="17"/>
      <c r="E22" s="261">
        <v>724.9</v>
      </c>
      <c r="F22" s="324">
        <v>91.48</v>
      </c>
      <c r="G22" s="269">
        <f t="shared" si="0"/>
        <v>66313.851999999999</v>
      </c>
      <c r="H22" s="261">
        <v>21</v>
      </c>
      <c r="I22" s="261">
        <v>103.41</v>
      </c>
      <c r="J22" s="261">
        <f t="shared" si="1"/>
        <v>2171.61</v>
      </c>
      <c r="K22" s="269">
        <f t="shared" si="2"/>
        <v>68485.462</v>
      </c>
      <c r="L22" s="144"/>
      <c r="M22" s="330">
        <f t="shared" si="3"/>
        <v>656072.99500000034</v>
      </c>
      <c r="N22" s="17"/>
    </row>
    <row r="23" spans="1:16">
      <c r="A23" s="50">
        <v>20</v>
      </c>
      <c r="B23" s="233">
        <v>45981</v>
      </c>
      <c r="C23" s="17"/>
      <c r="D23" s="17"/>
      <c r="E23" s="261"/>
      <c r="F23" s="261"/>
      <c r="G23" s="269">
        <f t="shared" si="0"/>
        <v>0</v>
      </c>
      <c r="H23" s="261">
        <v>23</v>
      </c>
      <c r="I23" s="261">
        <v>103.41</v>
      </c>
      <c r="J23" s="261">
        <f t="shared" si="1"/>
        <v>2378.4299999999998</v>
      </c>
      <c r="K23" s="269">
        <f t="shared" si="2"/>
        <v>2378.4299999999998</v>
      </c>
      <c r="L23" s="144"/>
      <c r="M23" s="330">
        <f t="shared" si="3"/>
        <v>658451.4250000004</v>
      </c>
      <c r="N23" s="17"/>
    </row>
    <row r="24" spans="1:16">
      <c r="A24" s="50">
        <v>21</v>
      </c>
      <c r="B24" s="233">
        <v>45982</v>
      </c>
      <c r="C24" s="17"/>
      <c r="D24" s="17"/>
      <c r="E24" s="261">
        <v>481.66</v>
      </c>
      <c r="F24" s="324">
        <v>91.48</v>
      </c>
      <c r="G24" s="269">
        <f t="shared" si="0"/>
        <v>44062.256800000003</v>
      </c>
      <c r="H24" s="261">
        <v>20</v>
      </c>
      <c r="I24" s="261">
        <v>103.41</v>
      </c>
      <c r="J24" s="261">
        <f t="shared" si="1"/>
        <v>2068.1999999999998</v>
      </c>
      <c r="K24" s="269">
        <f t="shared" si="2"/>
        <v>46130.4568</v>
      </c>
      <c r="L24" s="144">
        <v>400000</v>
      </c>
      <c r="M24" s="330">
        <f t="shared" si="3"/>
        <v>304581.88180000044</v>
      </c>
      <c r="N24" s="17"/>
    </row>
    <row r="25" spans="1:16">
      <c r="A25" s="208">
        <v>22</v>
      </c>
      <c r="B25" s="233">
        <v>45983</v>
      </c>
      <c r="C25" s="17"/>
      <c r="D25" s="17"/>
      <c r="E25" s="261">
        <v>604.16999999999996</v>
      </c>
      <c r="F25" s="324">
        <v>91.48</v>
      </c>
      <c r="G25" s="269">
        <f t="shared" si="0"/>
        <v>55269.471599999997</v>
      </c>
      <c r="H25" s="261">
        <v>28</v>
      </c>
      <c r="I25" s="261">
        <v>103.41</v>
      </c>
      <c r="J25" s="261">
        <f t="shared" si="1"/>
        <v>2895.48</v>
      </c>
      <c r="K25" s="269">
        <f t="shared" si="2"/>
        <v>58164.9516</v>
      </c>
      <c r="L25" s="144"/>
      <c r="M25" s="330">
        <f t="shared" si="3"/>
        <v>362746.83340000047</v>
      </c>
      <c r="N25" s="17"/>
    </row>
    <row r="26" spans="1:16">
      <c r="A26" s="50">
        <v>23</v>
      </c>
      <c r="B26" s="233">
        <v>45984</v>
      </c>
      <c r="C26" s="17"/>
      <c r="D26" s="17"/>
      <c r="E26" s="261">
        <v>591.64</v>
      </c>
      <c r="F26" s="324">
        <v>91.48</v>
      </c>
      <c r="G26" s="269">
        <f t="shared" si="0"/>
        <v>54123.227200000001</v>
      </c>
      <c r="H26" s="261">
        <v>17</v>
      </c>
      <c r="I26" s="261">
        <v>103.41</v>
      </c>
      <c r="J26" s="261">
        <f t="shared" si="1"/>
        <v>1757.97</v>
      </c>
      <c r="K26" s="269">
        <f t="shared" si="2"/>
        <v>55881.197200000002</v>
      </c>
      <c r="L26" s="144"/>
      <c r="M26" s="330">
        <f t="shared" si="3"/>
        <v>418628.03060000046</v>
      </c>
      <c r="N26" s="17"/>
    </row>
    <row r="27" spans="1:16">
      <c r="A27" s="50">
        <v>24</v>
      </c>
      <c r="B27" s="233">
        <v>45985</v>
      </c>
      <c r="C27" s="17"/>
      <c r="D27" s="17"/>
      <c r="E27" s="261">
        <v>717.46</v>
      </c>
      <c r="F27" s="324">
        <v>91.48</v>
      </c>
      <c r="G27" s="269">
        <f t="shared" si="0"/>
        <v>65633.2408</v>
      </c>
      <c r="H27" s="261"/>
      <c r="I27" s="261"/>
      <c r="J27" s="261">
        <f t="shared" si="1"/>
        <v>0</v>
      </c>
      <c r="K27" s="269">
        <f t="shared" si="2"/>
        <v>65633.2408</v>
      </c>
      <c r="L27" s="144"/>
      <c r="M27" s="330">
        <f t="shared" si="3"/>
        <v>484261.27140000043</v>
      </c>
      <c r="N27" s="17"/>
    </row>
    <row r="28" spans="1:16">
      <c r="A28" s="208">
        <v>25</v>
      </c>
      <c r="B28" s="233">
        <v>45986</v>
      </c>
      <c r="C28" s="17"/>
      <c r="D28" s="17"/>
      <c r="E28" s="261">
        <v>180.65</v>
      </c>
      <c r="F28" s="324">
        <v>91.48</v>
      </c>
      <c r="G28" s="269">
        <f t="shared" si="0"/>
        <v>16525.862000000001</v>
      </c>
      <c r="H28" s="261">
        <v>16</v>
      </c>
      <c r="I28" s="261">
        <v>103.41</v>
      </c>
      <c r="J28" s="261">
        <f t="shared" si="1"/>
        <v>1654.56</v>
      </c>
      <c r="K28" s="269">
        <f t="shared" si="2"/>
        <v>18180.422000000002</v>
      </c>
      <c r="L28" s="144"/>
      <c r="M28" s="330">
        <f t="shared" si="3"/>
        <v>502441.69340000045</v>
      </c>
      <c r="N28" s="17"/>
    </row>
    <row r="29" spans="1:16">
      <c r="A29" s="50">
        <v>26</v>
      </c>
      <c r="B29" s="233">
        <v>45987</v>
      </c>
      <c r="C29" s="17"/>
      <c r="D29" s="17"/>
      <c r="E29" s="261">
        <v>279</v>
      </c>
      <c r="F29" s="324">
        <v>91.48</v>
      </c>
      <c r="G29" s="269">
        <f t="shared" si="0"/>
        <v>25522.920000000002</v>
      </c>
      <c r="H29" s="261">
        <v>16</v>
      </c>
      <c r="I29" s="261">
        <v>103.41</v>
      </c>
      <c r="J29" s="261">
        <f t="shared" si="1"/>
        <v>1654.56</v>
      </c>
      <c r="K29" s="269">
        <f t="shared" si="2"/>
        <v>27177.480000000003</v>
      </c>
      <c r="L29" s="144"/>
      <c r="M29" s="330">
        <f t="shared" si="3"/>
        <v>529619.17340000044</v>
      </c>
      <c r="N29" s="17"/>
    </row>
    <row r="30" spans="1:16">
      <c r="A30" s="50">
        <v>27</v>
      </c>
      <c r="B30" s="233">
        <v>45988</v>
      </c>
      <c r="C30" s="17"/>
      <c r="D30" s="17"/>
      <c r="E30" s="261">
        <v>707.44</v>
      </c>
      <c r="F30" s="324">
        <v>91.48</v>
      </c>
      <c r="G30" s="269">
        <f t="shared" si="0"/>
        <v>64716.611200000007</v>
      </c>
      <c r="H30" s="261">
        <v>5</v>
      </c>
      <c r="I30" s="261">
        <v>103.41</v>
      </c>
      <c r="J30" s="261">
        <f t="shared" si="1"/>
        <v>517.04999999999995</v>
      </c>
      <c r="K30" s="269">
        <f t="shared" si="2"/>
        <v>65233.66120000001</v>
      </c>
      <c r="L30" s="144"/>
      <c r="M30" s="330">
        <f t="shared" si="3"/>
        <v>594852.83460000041</v>
      </c>
      <c r="N30" s="17"/>
    </row>
    <row r="31" spans="1:16">
      <c r="A31" s="208">
        <v>28</v>
      </c>
      <c r="B31" s="233">
        <v>45989</v>
      </c>
      <c r="C31" s="100"/>
      <c r="D31" s="100"/>
      <c r="E31" s="261">
        <v>227.24</v>
      </c>
      <c r="F31" s="324">
        <v>91.48</v>
      </c>
      <c r="G31" s="269">
        <f t="shared" si="0"/>
        <v>20787.915200000003</v>
      </c>
      <c r="H31" s="261">
        <v>11</v>
      </c>
      <c r="I31" s="261">
        <v>103.41</v>
      </c>
      <c r="J31" s="261">
        <f t="shared" si="1"/>
        <v>1137.51</v>
      </c>
      <c r="K31" s="269">
        <f t="shared" si="2"/>
        <v>21925.425200000001</v>
      </c>
      <c r="L31" s="144"/>
      <c r="M31" s="330">
        <f t="shared" si="3"/>
        <v>616778.25980000047</v>
      </c>
      <c r="N31" s="100"/>
    </row>
    <row r="32" spans="1:16">
      <c r="A32" s="50">
        <v>29</v>
      </c>
      <c r="B32" s="233">
        <v>45990</v>
      </c>
      <c r="C32" s="17"/>
      <c r="D32" s="17"/>
      <c r="E32" s="261"/>
      <c r="F32" s="261"/>
      <c r="G32" s="269">
        <f t="shared" si="0"/>
        <v>0</v>
      </c>
      <c r="H32" s="261">
        <v>5</v>
      </c>
      <c r="I32" s="261">
        <v>103.41</v>
      </c>
      <c r="J32" s="261">
        <f t="shared" si="1"/>
        <v>517.04999999999995</v>
      </c>
      <c r="K32" s="269">
        <f t="shared" si="2"/>
        <v>517.04999999999995</v>
      </c>
      <c r="L32" s="144"/>
      <c r="M32" s="330">
        <f t="shared" si="3"/>
        <v>617295.30980000051</v>
      </c>
      <c r="N32" s="17"/>
    </row>
    <row r="33" spans="1:16">
      <c r="A33" s="50">
        <v>30</v>
      </c>
      <c r="B33" s="233">
        <v>45991</v>
      </c>
      <c r="C33" s="17"/>
      <c r="D33" s="17"/>
      <c r="E33" s="261">
        <v>20.89</v>
      </c>
      <c r="F33" s="324">
        <v>91.48</v>
      </c>
      <c r="G33" s="269">
        <f t="shared" si="0"/>
        <v>1911.0172000000002</v>
      </c>
      <c r="H33" s="261"/>
      <c r="I33" s="261"/>
      <c r="J33" s="261">
        <f t="shared" si="1"/>
        <v>0</v>
      </c>
      <c r="K33" s="269">
        <f t="shared" si="2"/>
        <v>1911.0172000000002</v>
      </c>
      <c r="L33" s="144"/>
      <c r="M33" s="330">
        <f t="shared" si="3"/>
        <v>619206.32700000051</v>
      </c>
      <c r="N33" s="17"/>
    </row>
    <row r="34" spans="1:16">
      <c r="A34" s="208">
        <v>31</v>
      </c>
      <c r="B34" s="233">
        <v>45992</v>
      </c>
      <c r="C34" s="17"/>
      <c r="D34" s="17"/>
      <c r="E34" s="261"/>
      <c r="F34" s="261"/>
      <c r="G34" s="269">
        <f t="shared" si="0"/>
        <v>0</v>
      </c>
      <c r="H34" s="261"/>
      <c r="I34" s="261"/>
      <c r="J34" s="261">
        <f t="shared" si="1"/>
        <v>0</v>
      </c>
      <c r="K34" s="269">
        <f t="shared" si="2"/>
        <v>0</v>
      </c>
      <c r="L34" s="144"/>
      <c r="M34" s="330">
        <f t="shared" si="3"/>
        <v>619206.32700000051</v>
      </c>
      <c r="N34" s="17"/>
    </row>
    <row r="35" spans="1:16">
      <c r="A35" s="50">
        <v>32</v>
      </c>
      <c r="B35" s="233"/>
      <c r="C35" s="17"/>
      <c r="D35" s="17"/>
      <c r="E35" s="261"/>
      <c r="F35" s="261"/>
      <c r="G35" s="269">
        <f t="shared" si="0"/>
        <v>0</v>
      </c>
      <c r="H35" s="261"/>
      <c r="I35" s="261"/>
      <c r="J35" s="261">
        <f t="shared" si="1"/>
        <v>0</v>
      </c>
      <c r="K35" s="269">
        <f t="shared" si="2"/>
        <v>0</v>
      </c>
      <c r="L35" s="144"/>
      <c r="M35" s="330">
        <f t="shared" si="3"/>
        <v>619206.32700000051</v>
      </c>
      <c r="N35" s="17"/>
    </row>
    <row r="36" spans="1:16">
      <c r="A36" s="50">
        <v>33</v>
      </c>
      <c r="B36" s="233"/>
      <c r="C36" s="17"/>
      <c r="D36" s="17"/>
      <c r="E36" s="261"/>
      <c r="F36" s="261"/>
      <c r="G36" s="269">
        <f t="shared" si="0"/>
        <v>0</v>
      </c>
      <c r="H36" s="261"/>
      <c r="I36" s="261"/>
      <c r="J36" s="261">
        <f t="shared" si="1"/>
        <v>0</v>
      </c>
      <c r="K36" s="269">
        <f t="shared" si="2"/>
        <v>0</v>
      </c>
      <c r="L36" s="144"/>
      <c r="M36" s="330">
        <f t="shared" si="3"/>
        <v>619206.32700000051</v>
      </c>
      <c r="N36" s="17"/>
    </row>
    <row r="37" spans="1:16">
      <c r="A37" s="208">
        <v>34</v>
      </c>
      <c r="B37" s="233"/>
      <c r="C37" s="17"/>
      <c r="D37" s="17"/>
      <c r="E37" s="261">
        <v>0</v>
      </c>
      <c r="F37" s="261">
        <v>0</v>
      </c>
      <c r="G37" s="269">
        <f t="shared" si="0"/>
        <v>0</v>
      </c>
      <c r="H37" s="261"/>
      <c r="I37" s="261"/>
      <c r="J37" s="261">
        <f t="shared" si="1"/>
        <v>0</v>
      </c>
      <c r="K37" s="269">
        <f t="shared" si="2"/>
        <v>0</v>
      </c>
      <c r="L37" s="144"/>
      <c r="M37" s="330">
        <f t="shared" si="3"/>
        <v>619206.32700000051</v>
      </c>
      <c r="N37" s="100"/>
    </row>
    <row r="38" spans="1:16">
      <c r="A38" s="50">
        <v>35</v>
      </c>
      <c r="B38" s="233"/>
      <c r="C38" s="17"/>
      <c r="D38" s="17"/>
      <c r="E38" s="261">
        <v>0</v>
      </c>
      <c r="F38" s="261">
        <v>0</v>
      </c>
      <c r="G38" s="269">
        <f t="shared" si="0"/>
        <v>0</v>
      </c>
      <c r="H38" s="261"/>
      <c r="I38" s="261"/>
      <c r="J38" s="261">
        <f t="shared" si="1"/>
        <v>0</v>
      </c>
      <c r="K38" s="269">
        <f t="shared" si="2"/>
        <v>0</v>
      </c>
      <c r="L38" s="144"/>
      <c r="M38" s="330">
        <f t="shared" si="3"/>
        <v>619206.32700000051</v>
      </c>
      <c r="N38" s="17"/>
      <c r="P38" s="22"/>
    </row>
    <row r="39" spans="1:16">
      <c r="A39" s="49"/>
      <c r="B39" s="233"/>
      <c r="C39" s="17"/>
      <c r="D39" s="17"/>
      <c r="E39" s="261">
        <v>0</v>
      </c>
      <c r="F39" s="261">
        <v>0</v>
      </c>
      <c r="G39" s="269">
        <f t="shared" si="0"/>
        <v>0</v>
      </c>
      <c r="H39" s="261"/>
      <c r="I39" s="261"/>
      <c r="J39" s="261">
        <f t="shared" si="1"/>
        <v>0</v>
      </c>
      <c r="K39" s="269">
        <f t="shared" si="2"/>
        <v>0</v>
      </c>
      <c r="L39" s="144"/>
      <c r="M39" s="330">
        <f t="shared" si="3"/>
        <v>619206.32700000051</v>
      </c>
      <c r="N39" s="17"/>
      <c r="P39" s="22"/>
    </row>
    <row r="40" spans="1:16">
      <c r="A40" s="191"/>
      <c r="B40" s="191"/>
      <c r="C40" s="191"/>
      <c r="D40" s="191"/>
      <c r="E40" s="191">
        <f>SUM(E4:E37)</f>
        <v>10623.999999999998</v>
      </c>
      <c r="F40" s="191"/>
      <c r="G40" s="191">
        <f>SUM(G4:G37)</f>
        <v>971883.52000000014</v>
      </c>
      <c r="H40" s="191">
        <f>SUM(H4:H37)</f>
        <v>296</v>
      </c>
      <c r="I40" s="191"/>
      <c r="J40" s="191">
        <f>SUM(J4:J37)</f>
        <v>30609.360000000001</v>
      </c>
      <c r="K40" s="191">
        <f>SUM(K4:K37)</f>
        <v>1002492.8800000002</v>
      </c>
      <c r="L40" s="191">
        <f>SUM(L4:L37)</f>
        <v>1700000</v>
      </c>
      <c r="M40" s="191"/>
      <c r="N40" s="191"/>
    </row>
    <row r="41" spans="1:16">
      <c r="P41" s="22"/>
    </row>
  </sheetData>
  <mergeCells count="1">
    <mergeCell ref="A1:N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N35"/>
  <sheetViews>
    <sheetView topLeftCell="A14" workbookViewId="0">
      <selection activeCell="M34" sqref="M34"/>
    </sheetView>
  </sheetViews>
  <sheetFormatPr defaultRowHeight="15"/>
  <cols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4" ht="15.75">
      <c r="A1" s="479" t="s">
        <v>160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</row>
    <row r="2" spans="1:14" ht="45">
      <c r="A2" s="131" t="s">
        <v>95</v>
      </c>
      <c r="B2" s="225" t="s">
        <v>96</v>
      </c>
      <c r="C2" s="225" t="s">
        <v>97</v>
      </c>
      <c r="D2" s="225" t="s">
        <v>111</v>
      </c>
      <c r="E2" s="225" t="s">
        <v>99</v>
      </c>
      <c r="F2" s="225" t="s">
        <v>100</v>
      </c>
      <c r="G2" s="225" t="s">
        <v>101</v>
      </c>
      <c r="H2" s="225" t="s">
        <v>102</v>
      </c>
      <c r="I2" s="225" t="s">
        <v>100</v>
      </c>
      <c r="J2" s="225" t="s">
        <v>101</v>
      </c>
      <c r="K2" s="184" t="s">
        <v>103</v>
      </c>
      <c r="L2" s="184" t="s">
        <v>104</v>
      </c>
      <c r="M2" s="184" t="s">
        <v>110</v>
      </c>
      <c r="N2" s="225" t="s">
        <v>106</v>
      </c>
    </row>
    <row r="3" spans="1:14">
      <c r="A3" s="480" t="s">
        <v>107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>
        <v>41443.571599999967</v>
      </c>
      <c r="N3" s="480"/>
    </row>
    <row r="4" spans="1:14">
      <c r="A4" s="208">
        <v>1</v>
      </c>
      <c r="B4" s="233">
        <v>45962</v>
      </c>
      <c r="C4" s="42">
        <v>0</v>
      </c>
      <c r="D4" s="42"/>
      <c r="E4" s="286"/>
      <c r="F4" s="324"/>
      <c r="G4" s="42"/>
      <c r="H4" s="42"/>
      <c r="I4" s="42">
        <v>0</v>
      </c>
      <c r="J4" s="42">
        <f>H4*I4</f>
        <v>0</v>
      </c>
      <c r="K4" s="42">
        <f>G4+J4</f>
        <v>0</v>
      </c>
      <c r="L4" s="42">
        <v>0</v>
      </c>
      <c r="M4" s="42">
        <f>M3+K4-L4</f>
        <v>41443.571599999967</v>
      </c>
      <c r="N4" s="42"/>
    </row>
    <row r="5" spans="1:14">
      <c r="A5" s="50">
        <v>2</v>
      </c>
      <c r="B5" s="233">
        <v>45963</v>
      </c>
      <c r="C5" s="42">
        <v>0</v>
      </c>
      <c r="D5" s="42"/>
      <c r="E5" s="286">
        <v>443.74</v>
      </c>
      <c r="F5" s="324">
        <v>91.31</v>
      </c>
      <c r="G5" s="42">
        <f>E5*F5</f>
        <v>40517.899400000002</v>
      </c>
      <c r="H5" s="42"/>
      <c r="I5" s="42">
        <v>0</v>
      </c>
      <c r="J5" s="42">
        <f t="shared" ref="J5:J34" si="0">H5*I5</f>
        <v>0</v>
      </c>
      <c r="K5" s="42">
        <f t="shared" ref="K5:K34" si="1">G5+J5</f>
        <v>40517.899400000002</v>
      </c>
      <c r="L5" s="42">
        <v>0</v>
      </c>
      <c r="M5" s="42">
        <f t="shared" ref="M5:M34" si="2">M4+K5-L5</f>
        <v>81961.470999999961</v>
      </c>
      <c r="N5" s="42"/>
    </row>
    <row r="6" spans="1:14">
      <c r="A6" s="50">
        <v>3</v>
      </c>
      <c r="B6" s="233">
        <v>45964</v>
      </c>
      <c r="C6" s="42">
        <v>0</v>
      </c>
      <c r="D6" s="42"/>
      <c r="E6" s="286">
        <v>50</v>
      </c>
      <c r="F6" s="324">
        <v>91.31</v>
      </c>
      <c r="G6" s="42">
        <f>E6*F6</f>
        <v>4565.5</v>
      </c>
      <c r="H6" s="42">
        <v>12</v>
      </c>
      <c r="I6" s="42">
        <v>103.23</v>
      </c>
      <c r="J6" s="42">
        <f t="shared" si="0"/>
        <v>1238.76</v>
      </c>
      <c r="K6" s="42">
        <f t="shared" si="1"/>
        <v>5804.26</v>
      </c>
      <c r="L6" s="42">
        <v>0</v>
      </c>
      <c r="M6" s="42">
        <f t="shared" si="2"/>
        <v>87765.730999999956</v>
      </c>
      <c r="N6" s="42"/>
    </row>
    <row r="7" spans="1:14">
      <c r="A7" s="50">
        <v>4</v>
      </c>
      <c r="B7" s="233">
        <v>45965</v>
      </c>
      <c r="C7" s="42">
        <v>0</v>
      </c>
      <c r="D7" s="42"/>
      <c r="E7" s="286"/>
      <c r="F7" s="324"/>
      <c r="G7" s="42">
        <f t="shared" ref="G7:G31" si="3">E7*F7</f>
        <v>0</v>
      </c>
      <c r="H7" s="42"/>
      <c r="I7" s="42">
        <v>0</v>
      </c>
      <c r="J7" s="42">
        <f t="shared" si="0"/>
        <v>0</v>
      </c>
      <c r="K7" s="42">
        <f t="shared" si="1"/>
        <v>0</v>
      </c>
      <c r="L7" s="42">
        <v>0</v>
      </c>
      <c r="M7" s="42">
        <f t="shared" si="2"/>
        <v>87765.730999999956</v>
      </c>
      <c r="N7" s="42"/>
    </row>
    <row r="8" spans="1:14">
      <c r="A8" s="50">
        <v>5</v>
      </c>
      <c r="B8" s="233">
        <v>45966</v>
      </c>
      <c r="C8" s="42">
        <v>0</v>
      </c>
      <c r="D8" s="42"/>
      <c r="E8" s="286">
        <v>445.65</v>
      </c>
      <c r="F8" s="324">
        <v>91.31</v>
      </c>
      <c r="G8" s="42">
        <f t="shared" si="3"/>
        <v>40692.301500000001</v>
      </c>
      <c r="H8" s="42">
        <v>6</v>
      </c>
      <c r="I8" s="42">
        <v>103.23</v>
      </c>
      <c r="J8" s="42">
        <f t="shared" si="0"/>
        <v>619.38</v>
      </c>
      <c r="K8" s="42">
        <f t="shared" si="1"/>
        <v>41311.681499999999</v>
      </c>
      <c r="L8" s="42">
        <v>0</v>
      </c>
      <c r="M8" s="42">
        <f t="shared" si="2"/>
        <v>129077.41249999995</v>
      </c>
      <c r="N8" s="42"/>
    </row>
    <row r="9" spans="1:14">
      <c r="A9" s="50">
        <v>6</v>
      </c>
      <c r="B9" s="233">
        <v>45967</v>
      </c>
      <c r="C9" s="42">
        <v>0</v>
      </c>
      <c r="D9" s="42"/>
      <c r="E9" s="286">
        <v>200</v>
      </c>
      <c r="F9" s="324">
        <v>91.31</v>
      </c>
      <c r="G9" s="42">
        <f t="shared" si="3"/>
        <v>18262</v>
      </c>
      <c r="H9" s="42">
        <v>11</v>
      </c>
      <c r="I9" s="42">
        <v>103.23</v>
      </c>
      <c r="J9" s="42">
        <f t="shared" si="0"/>
        <v>1135.53</v>
      </c>
      <c r="K9" s="42">
        <f t="shared" si="1"/>
        <v>19397.53</v>
      </c>
      <c r="L9" s="42">
        <v>0</v>
      </c>
      <c r="M9" s="42">
        <f t="shared" si="2"/>
        <v>148474.94249999995</v>
      </c>
      <c r="N9" s="42"/>
    </row>
    <row r="10" spans="1:14">
      <c r="A10" s="50">
        <v>7</v>
      </c>
      <c r="B10" s="233">
        <v>45968</v>
      </c>
      <c r="C10" s="42">
        <v>0</v>
      </c>
      <c r="D10" s="42"/>
      <c r="E10" s="286">
        <v>600</v>
      </c>
      <c r="F10" s="324">
        <v>91.31</v>
      </c>
      <c r="G10" s="42">
        <f t="shared" si="3"/>
        <v>54786</v>
      </c>
      <c r="H10" s="42"/>
      <c r="I10" s="42">
        <v>0</v>
      </c>
      <c r="J10" s="42">
        <f t="shared" si="0"/>
        <v>0</v>
      </c>
      <c r="K10" s="42">
        <f t="shared" si="1"/>
        <v>54786</v>
      </c>
      <c r="L10" s="42">
        <v>0</v>
      </c>
      <c r="M10" s="42">
        <f t="shared" si="2"/>
        <v>203260.94249999995</v>
      </c>
      <c r="N10" s="42"/>
    </row>
    <row r="11" spans="1:14">
      <c r="A11" s="50">
        <v>8</v>
      </c>
      <c r="B11" s="233">
        <v>45969</v>
      </c>
      <c r="C11" s="42">
        <v>0</v>
      </c>
      <c r="D11" s="42"/>
      <c r="E11" s="286"/>
      <c r="F11" s="324"/>
      <c r="G11" s="42">
        <f t="shared" si="3"/>
        <v>0</v>
      </c>
      <c r="H11" s="42"/>
      <c r="I11" s="42">
        <v>0</v>
      </c>
      <c r="J11" s="42">
        <f t="shared" si="0"/>
        <v>0</v>
      </c>
      <c r="K11" s="42">
        <f t="shared" si="1"/>
        <v>0</v>
      </c>
      <c r="L11" s="42">
        <v>0</v>
      </c>
      <c r="M11" s="42">
        <f t="shared" si="2"/>
        <v>203260.94249999995</v>
      </c>
      <c r="N11" s="42"/>
    </row>
    <row r="12" spans="1:14">
      <c r="A12" s="50">
        <v>9</v>
      </c>
      <c r="B12" s="233">
        <v>45970</v>
      </c>
      <c r="C12" s="42">
        <v>0</v>
      </c>
      <c r="D12" s="42"/>
      <c r="E12" s="286">
        <v>190</v>
      </c>
      <c r="F12" s="324">
        <v>91.31</v>
      </c>
      <c r="G12" s="42">
        <f t="shared" si="3"/>
        <v>17348.900000000001</v>
      </c>
      <c r="H12" s="42">
        <v>6</v>
      </c>
      <c r="I12" s="42">
        <v>103.23</v>
      </c>
      <c r="J12" s="42">
        <f t="shared" si="0"/>
        <v>619.38</v>
      </c>
      <c r="K12" s="42">
        <f t="shared" si="1"/>
        <v>17968.280000000002</v>
      </c>
      <c r="L12" s="42">
        <v>0</v>
      </c>
      <c r="M12" s="42">
        <f t="shared" si="2"/>
        <v>221229.22249999995</v>
      </c>
      <c r="N12" s="42"/>
    </row>
    <row r="13" spans="1:14">
      <c r="A13" s="50">
        <v>10</v>
      </c>
      <c r="B13" s="233">
        <v>45971</v>
      </c>
      <c r="C13" s="42">
        <v>0</v>
      </c>
      <c r="D13" s="42"/>
      <c r="E13" s="286">
        <v>86.47</v>
      </c>
      <c r="F13" s="324">
        <v>91.31</v>
      </c>
      <c r="G13" s="42">
        <f t="shared" si="3"/>
        <v>7895.5757000000003</v>
      </c>
      <c r="H13" s="42">
        <v>10</v>
      </c>
      <c r="I13" s="42">
        <v>103.23</v>
      </c>
      <c r="J13" s="42">
        <f t="shared" si="0"/>
        <v>1032.3</v>
      </c>
      <c r="K13" s="42">
        <f t="shared" si="1"/>
        <v>8927.8757000000005</v>
      </c>
      <c r="L13" s="42">
        <v>0</v>
      </c>
      <c r="M13" s="42">
        <f t="shared" si="2"/>
        <v>230157.09819999995</v>
      </c>
      <c r="N13" s="42"/>
    </row>
    <row r="14" spans="1:14">
      <c r="A14" s="50">
        <v>11</v>
      </c>
      <c r="B14" s="233">
        <v>45972</v>
      </c>
      <c r="C14" s="42">
        <v>0</v>
      </c>
      <c r="D14" s="42"/>
      <c r="E14" s="286">
        <v>242.33</v>
      </c>
      <c r="F14" s="324">
        <v>91.31</v>
      </c>
      <c r="G14" s="42">
        <f t="shared" si="3"/>
        <v>22127.152300000002</v>
      </c>
      <c r="H14" s="42"/>
      <c r="I14" s="42">
        <v>0</v>
      </c>
      <c r="J14" s="42">
        <f t="shared" si="0"/>
        <v>0</v>
      </c>
      <c r="K14" s="42">
        <f t="shared" si="1"/>
        <v>22127.152300000002</v>
      </c>
      <c r="L14" s="42">
        <v>0</v>
      </c>
      <c r="M14" s="42">
        <f t="shared" si="2"/>
        <v>252284.25049999997</v>
      </c>
      <c r="N14" s="42"/>
    </row>
    <row r="15" spans="1:14">
      <c r="A15" s="50">
        <v>12</v>
      </c>
      <c r="B15" s="233">
        <v>45973</v>
      </c>
      <c r="C15" s="42">
        <v>0</v>
      </c>
      <c r="D15" s="42"/>
      <c r="E15" s="286"/>
      <c r="F15" s="324"/>
      <c r="G15" s="42">
        <f t="shared" si="3"/>
        <v>0</v>
      </c>
      <c r="H15" s="42">
        <v>5</v>
      </c>
      <c r="I15" s="42">
        <v>103.23</v>
      </c>
      <c r="J15" s="42">
        <f t="shared" si="0"/>
        <v>516.15</v>
      </c>
      <c r="K15" s="42">
        <f t="shared" si="1"/>
        <v>516.15</v>
      </c>
      <c r="L15" s="42">
        <v>0</v>
      </c>
      <c r="M15" s="42">
        <f t="shared" si="2"/>
        <v>252800.40049999996</v>
      </c>
      <c r="N15" s="42"/>
    </row>
    <row r="16" spans="1:14">
      <c r="A16" s="50">
        <v>13</v>
      </c>
      <c r="B16" s="233">
        <v>45974</v>
      </c>
      <c r="C16" s="42">
        <v>0</v>
      </c>
      <c r="D16" s="42"/>
      <c r="E16" s="286">
        <v>240.53</v>
      </c>
      <c r="F16" s="324">
        <v>91.31</v>
      </c>
      <c r="G16" s="42">
        <f t="shared" si="3"/>
        <v>21962.794300000001</v>
      </c>
      <c r="H16" s="42"/>
      <c r="I16" s="42">
        <v>0</v>
      </c>
      <c r="J16" s="42">
        <f t="shared" si="0"/>
        <v>0</v>
      </c>
      <c r="K16" s="42">
        <f t="shared" si="1"/>
        <v>21962.794300000001</v>
      </c>
      <c r="L16" s="42">
        <v>0</v>
      </c>
      <c r="M16" s="42">
        <f>M15+K16-L16</f>
        <v>274763.19479999994</v>
      </c>
      <c r="N16" s="42"/>
    </row>
    <row r="17" spans="1:14">
      <c r="A17" s="50">
        <v>14</v>
      </c>
      <c r="B17" s="233">
        <v>45975</v>
      </c>
      <c r="C17" s="42">
        <v>0</v>
      </c>
      <c r="D17" s="42"/>
      <c r="E17" s="286">
        <v>150</v>
      </c>
      <c r="F17" s="324">
        <v>91.31</v>
      </c>
      <c r="G17" s="42">
        <f t="shared" si="3"/>
        <v>13696.5</v>
      </c>
      <c r="H17" s="42">
        <v>5</v>
      </c>
      <c r="I17" s="42">
        <v>103.23</v>
      </c>
      <c r="J17" s="42">
        <f t="shared" si="0"/>
        <v>516.15</v>
      </c>
      <c r="K17" s="42">
        <f t="shared" si="1"/>
        <v>14212.65</v>
      </c>
      <c r="L17" s="42">
        <v>0</v>
      </c>
      <c r="M17" s="42">
        <f t="shared" si="2"/>
        <v>288975.84479999996</v>
      </c>
      <c r="N17" s="42"/>
    </row>
    <row r="18" spans="1:14">
      <c r="A18" s="50">
        <v>15</v>
      </c>
      <c r="B18" s="233">
        <v>45976</v>
      </c>
      <c r="C18" s="42">
        <v>0</v>
      </c>
      <c r="D18" s="42"/>
      <c r="E18" s="286"/>
      <c r="F18" s="324"/>
      <c r="G18" s="42">
        <f t="shared" si="3"/>
        <v>0</v>
      </c>
      <c r="H18" s="42"/>
      <c r="I18" s="42">
        <v>0</v>
      </c>
      <c r="J18" s="42">
        <f t="shared" si="0"/>
        <v>0</v>
      </c>
      <c r="K18" s="42">
        <f t="shared" si="1"/>
        <v>0</v>
      </c>
      <c r="L18" s="42">
        <v>0</v>
      </c>
      <c r="M18" s="42">
        <f t="shared" si="2"/>
        <v>288975.84479999996</v>
      </c>
      <c r="N18" s="42"/>
    </row>
    <row r="19" spans="1:14">
      <c r="A19" s="50">
        <v>16</v>
      </c>
      <c r="B19" s="233">
        <v>45977</v>
      </c>
      <c r="C19" s="42">
        <v>0</v>
      </c>
      <c r="D19" s="42"/>
      <c r="E19" s="286"/>
      <c r="F19" s="324"/>
      <c r="G19" s="42">
        <f t="shared" si="3"/>
        <v>0</v>
      </c>
      <c r="H19" s="42"/>
      <c r="I19" s="42">
        <v>0</v>
      </c>
      <c r="J19" s="42">
        <f t="shared" si="0"/>
        <v>0</v>
      </c>
      <c r="K19" s="42">
        <f t="shared" si="1"/>
        <v>0</v>
      </c>
      <c r="L19" s="42">
        <v>0</v>
      </c>
      <c r="M19" s="42">
        <f t="shared" si="2"/>
        <v>288975.84479999996</v>
      </c>
      <c r="N19" s="42"/>
    </row>
    <row r="20" spans="1:14">
      <c r="A20" s="50">
        <v>17</v>
      </c>
      <c r="B20" s="233">
        <v>45978</v>
      </c>
      <c r="C20" s="42">
        <v>0</v>
      </c>
      <c r="D20" s="42"/>
      <c r="E20" s="286"/>
      <c r="F20" s="324"/>
      <c r="G20" s="42">
        <f t="shared" si="3"/>
        <v>0</v>
      </c>
      <c r="H20" s="42"/>
      <c r="I20" s="42">
        <v>0</v>
      </c>
      <c r="J20" s="42">
        <f t="shared" si="0"/>
        <v>0</v>
      </c>
      <c r="K20" s="42">
        <f t="shared" si="1"/>
        <v>0</v>
      </c>
      <c r="L20" s="42">
        <v>0</v>
      </c>
      <c r="M20" s="42">
        <f t="shared" si="2"/>
        <v>288975.84479999996</v>
      </c>
      <c r="N20" s="42"/>
    </row>
    <row r="21" spans="1:14">
      <c r="A21" s="50">
        <v>18</v>
      </c>
      <c r="B21" s="233">
        <v>45979</v>
      </c>
      <c r="C21" s="42">
        <v>0</v>
      </c>
      <c r="D21" s="42"/>
      <c r="E21" s="286"/>
      <c r="F21" s="324"/>
      <c r="G21" s="42">
        <f t="shared" si="3"/>
        <v>0</v>
      </c>
      <c r="H21" s="42"/>
      <c r="I21" s="42">
        <v>0</v>
      </c>
      <c r="J21" s="42">
        <f t="shared" si="0"/>
        <v>0</v>
      </c>
      <c r="K21" s="42">
        <f t="shared" si="1"/>
        <v>0</v>
      </c>
      <c r="L21" s="42">
        <v>0</v>
      </c>
      <c r="M21" s="42">
        <f>M20+K21-L21</f>
        <v>288975.84479999996</v>
      </c>
      <c r="N21" s="42"/>
    </row>
    <row r="22" spans="1:14">
      <c r="A22" s="50">
        <v>19</v>
      </c>
      <c r="B22" s="233">
        <v>45980</v>
      </c>
      <c r="C22" s="42">
        <v>0</v>
      </c>
      <c r="D22" s="42"/>
      <c r="E22" s="286"/>
      <c r="F22" s="324"/>
      <c r="G22" s="42">
        <f t="shared" si="3"/>
        <v>0</v>
      </c>
      <c r="H22" s="42"/>
      <c r="I22" s="42">
        <v>0</v>
      </c>
      <c r="J22" s="42">
        <f t="shared" si="0"/>
        <v>0</v>
      </c>
      <c r="K22" s="42">
        <f t="shared" si="1"/>
        <v>0</v>
      </c>
      <c r="L22" s="42">
        <v>0</v>
      </c>
      <c r="M22" s="42">
        <f t="shared" si="2"/>
        <v>288975.84479999996</v>
      </c>
      <c r="N22" s="42"/>
    </row>
    <row r="23" spans="1:14">
      <c r="A23" s="50">
        <v>20</v>
      </c>
      <c r="B23" s="233">
        <v>45981</v>
      </c>
      <c r="C23" s="42">
        <v>0</v>
      </c>
      <c r="D23" s="42"/>
      <c r="E23" s="286"/>
      <c r="F23" s="324"/>
      <c r="G23" s="42">
        <f t="shared" si="3"/>
        <v>0</v>
      </c>
      <c r="H23" s="42"/>
      <c r="I23" s="42">
        <v>0</v>
      </c>
      <c r="J23" s="42">
        <f t="shared" si="0"/>
        <v>0</v>
      </c>
      <c r="K23" s="42">
        <f t="shared" si="1"/>
        <v>0</v>
      </c>
      <c r="L23" s="42">
        <v>200000</v>
      </c>
      <c r="M23" s="42">
        <f t="shared" si="2"/>
        <v>88975.844799999963</v>
      </c>
      <c r="N23" s="42"/>
    </row>
    <row r="24" spans="1:14">
      <c r="A24" s="50">
        <v>21</v>
      </c>
      <c r="B24" s="233">
        <v>45982</v>
      </c>
      <c r="C24" s="42">
        <v>0</v>
      </c>
      <c r="D24" s="42"/>
      <c r="E24" s="286"/>
      <c r="F24" s="324"/>
      <c r="G24" s="42">
        <f t="shared" si="3"/>
        <v>0</v>
      </c>
      <c r="H24" s="42"/>
      <c r="I24" s="42">
        <v>0</v>
      </c>
      <c r="J24" s="42">
        <f t="shared" si="0"/>
        <v>0</v>
      </c>
      <c r="K24" s="42">
        <f t="shared" si="1"/>
        <v>0</v>
      </c>
      <c r="L24" s="42">
        <v>0</v>
      </c>
      <c r="M24" s="42">
        <f t="shared" si="2"/>
        <v>88975.844799999963</v>
      </c>
      <c r="N24" s="42"/>
    </row>
    <row r="25" spans="1:14">
      <c r="A25" s="50">
        <v>22</v>
      </c>
      <c r="B25" s="233">
        <v>45983</v>
      </c>
      <c r="C25" s="42">
        <v>0</v>
      </c>
      <c r="D25" s="42"/>
      <c r="E25" s="286">
        <v>40</v>
      </c>
      <c r="F25" s="324">
        <v>91.31</v>
      </c>
      <c r="G25" s="42">
        <f t="shared" si="3"/>
        <v>3652.4</v>
      </c>
      <c r="H25" s="42">
        <v>6</v>
      </c>
      <c r="I25" s="42">
        <v>0</v>
      </c>
      <c r="J25" s="42">
        <f t="shared" si="0"/>
        <v>0</v>
      </c>
      <c r="K25" s="42">
        <f t="shared" si="1"/>
        <v>3652.4</v>
      </c>
      <c r="L25" s="42">
        <v>0</v>
      </c>
      <c r="M25" s="42">
        <f t="shared" si="2"/>
        <v>92628.244799999957</v>
      </c>
      <c r="N25" s="42"/>
    </row>
    <row r="26" spans="1:14">
      <c r="A26" s="50">
        <v>23</v>
      </c>
      <c r="B26" s="233">
        <v>45984</v>
      </c>
      <c r="C26" s="42">
        <v>0</v>
      </c>
      <c r="D26" s="42"/>
      <c r="E26" s="286"/>
      <c r="F26" s="324"/>
      <c r="G26" s="42">
        <f t="shared" si="3"/>
        <v>0</v>
      </c>
      <c r="H26" s="42"/>
      <c r="I26" s="42">
        <v>0</v>
      </c>
      <c r="J26" s="42">
        <f t="shared" si="0"/>
        <v>0</v>
      </c>
      <c r="K26" s="42">
        <f t="shared" si="1"/>
        <v>0</v>
      </c>
      <c r="L26" s="42">
        <v>0</v>
      </c>
      <c r="M26" s="42">
        <f t="shared" si="2"/>
        <v>92628.244799999957</v>
      </c>
      <c r="N26" s="42"/>
    </row>
    <row r="27" spans="1:14">
      <c r="A27" s="50">
        <v>24</v>
      </c>
      <c r="B27" s="233">
        <v>45985</v>
      </c>
      <c r="C27" s="42">
        <v>0</v>
      </c>
      <c r="D27" s="42"/>
      <c r="E27" s="286"/>
      <c r="F27" s="324"/>
      <c r="G27" s="42">
        <f t="shared" si="3"/>
        <v>0</v>
      </c>
      <c r="H27" s="42"/>
      <c r="I27" s="42">
        <v>0</v>
      </c>
      <c r="J27" s="42">
        <f t="shared" si="0"/>
        <v>0</v>
      </c>
      <c r="K27" s="42">
        <f t="shared" si="1"/>
        <v>0</v>
      </c>
      <c r="L27" s="42">
        <v>0</v>
      </c>
      <c r="M27" s="42">
        <f t="shared" si="2"/>
        <v>92628.244799999957</v>
      </c>
      <c r="N27" s="42"/>
    </row>
    <row r="28" spans="1:14">
      <c r="A28" s="235">
        <v>25</v>
      </c>
      <c r="B28" s="233">
        <v>45986</v>
      </c>
      <c r="C28" s="42">
        <v>0</v>
      </c>
      <c r="D28" s="42"/>
      <c r="E28" s="286">
        <v>33.4</v>
      </c>
      <c r="F28" s="324">
        <v>91.31</v>
      </c>
      <c r="G28" s="42">
        <f t="shared" si="3"/>
        <v>3049.7539999999999</v>
      </c>
      <c r="H28" s="42"/>
      <c r="I28" s="42">
        <v>0</v>
      </c>
      <c r="J28" s="42">
        <f t="shared" si="0"/>
        <v>0</v>
      </c>
      <c r="K28" s="42">
        <f t="shared" si="1"/>
        <v>3049.7539999999999</v>
      </c>
      <c r="L28" s="42">
        <v>0</v>
      </c>
      <c r="M28" s="42">
        <f t="shared" si="2"/>
        <v>95677.998799999958</v>
      </c>
      <c r="N28" s="42"/>
    </row>
    <row r="29" spans="1:14">
      <c r="A29" s="235">
        <v>26</v>
      </c>
      <c r="B29" s="233">
        <v>45987</v>
      </c>
      <c r="C29" s="42">
        <v>0</v>
      </c>
      <c r="D29" s="42"/>
      <c r="E29" s="286">
        <v>40.380000000000003</v>
      </c>
      <c r="F29" s="324">
        <v>91.31</v>
      </c>
      <c r="G29" s="42">
        <f t="shared" si="3"/>
        <v>3687.0978000000005</v>
      </c>
      <c r="H29" s="42">
        <v>11</v>
      </c>
      <c r="I29" s="42">
        <v>103.23</v>
      </c>
      <c r="J29" s="42">
        <f t="shared" si="0"/>
        <v>1135.53</v>
      </c>
      <c r="K29" s="42">
        <f t="shared" si="1"/>
        <v>4822.6278000000002</v>
      </c>
      <c r="L29" s="42">
        <v>0</v>
      </c>
      <c r="M29" s="42">
        <f t="shared" si="2"/>
        <v>100500.62659999996</v>
      </c>
      <c r="N29" s="42"/>
    </row>
    <row r="30" spans="1:14">
      <c r="A30" s="235">
        <v>27</v>
      </c>
      <c r="B30" s="233">
        <v>45988</v>
      </c>
      <c r="C30" s="42">
        <v>0</v>
      </c>
      <c r="D30" s="42"/>
      <c r="E30" s="286"/>
      <c r="F30" s="324"/>
      <c r="G30" s="42">
        <f t="shared" si="3"/>
        <v>0</v>
      </c>
      <c r="H30" s="42">
        <v>10</v>
      </c>
      <c r="I30" s="42">
        <v>103.23</v>
      </c>
      <c r="J30" s="42">
        <f t="shared" si="0"/>
        <v>1032.3</v>
      </c>
      <c r="K30" s="42">
        <f t="shared" si="1"/>
        <v>1032.3</v>
      </c>
      <c r="L30" s="42">
        <v>0</v>
      </c>
      <c r="M30" s="42">
        <f t="shared" si="2"/>
        <v>101532.92659999996</v>
      </c>
      <c r="N30" s="42"/>
    </row>
    <row r="31" spans="1:14">
      <c r="A31" s="235">
        <v>28</v>
      </c>
      <c r="B31" s="233">
        <v>45989</v>
      </c>
      <c r="C31" s="42">
        <v>0</v>
      </c>
      <c r="D31" s="42"/>
      <c r="E31" s="286">
        <v>84.46</v>
      </c>
      <c r="F31" s="324">
        <v>91.31</v>
      </c>
      <c r="G31" s="42">
        <f t="shared" si="3"/>
        <v>7712.0425999999998</v>
      </c>
      <c r="H31" s="42">
        <v>6</v>
      </c>
      <c r="I31" s="42">
        <v>103.23</v>
      </c>
      <c r="J31" s="42">
        <f t="shared" si="0"/>
        <v>619.38</v>
      </c>
      <c r="K31" s="42">
        <f t="shared" si="1"/>
        <v>8331.4225999999999</v>
      </c>
      <c r="L31" s="42">
        <v>0</v>
      </c>
      <c r="M31" s="42">
        <f t="shared" si="2"/>
        <v>109864.34919999997</v>
      </c>
      <c r="N31" s="42"/>
    </row>
    <row r="32" spans="1:14">
      <c r="A32" s="236">
        <v>29</v>
      </c>
      <c r="B32" s="233">
        <v>45990</v>
      </c>
      <c r="C32" s="42">
        <v>0</v>
      </c>
      <c r="D32" s="42"/>
      <c r="E32" s="286"/>
      <c r="F32" s="324"/>
      <c r="G32" s="42"/>
      <c r="H32" s="42"/>
      <c r="I32" s="42">
        <v>0</v>
      </c>
      <c r="J32" s="42">
        <f t="shared" si="0"/>
        <v>0</v>
      </c>
      <c r="K32" s="42">
        <f t="shared" si="1"/>
        <v>0</v>
      </c>
      <c r="L32" s="42">
        <v>0</v>
      </c>
      <c r="M32" s="42">
        <f t="shared" si="2"/>
        <v>109864.34919999997</v>
      </c>
      <c r="N32" s="42"/>
    </row>
    <row r="33" spans="1:14">
      <c r="A33" s="236">
        <v>30</v>
      </c>
      <c r="B33" s="233">
        <v>45991</v>
      </c>
      <c r="C33" s="42">
        <v>0</v>
      </c>
      <c r="D33" s="42"/>
      <c r="E33" s="286"/>
      <c r="F33" s="324"/>
      <c r="G33" s="42"/>
      <c r="H33" s="42"/>
      <c r="I33" s="42">
        <v>0</v>
      </c>
      <c r="J33" s="42">
        <f t="shared" si="0"/>
        <v>0</v>
      </c>
      <c r="K33" s="42">
        <f t="shared" si="1"/>
        <v>0</v>
      </c>
      <c r="L33" s="42">
        <v>0</v>
      </c>
      <c r="M33" s="42">
        <f t="shared" si="2"/>
        <v>109864.34919999997</v>
      </c>
      <c r="N33" s="42"/>
    </row>
    <row r="34" spans="1:14">
      <c r="A34" s="236">
        <v>31</v>
      </c>
      <c r="B34" s="233"/>
      <c r="C34" s="42">
        <v>0</v>
      </c>
      <c r="D34" s="42"/>
      <c r="E34" s="286"/>
      <c r="F34" s="324"/>
      <c r="G34" s="42"/>
      <c r="H34" s="42"/>
      <c r="I34" s="42">
        <v>0</v>
      </c>
      <c r="J34" s="42">
        <f t="shared" si="0"/>
        <v>0</v>
      </c>
      <c r="K34" s="42">
        <f t="shared" si="1"/>
        <v>0</v>
      </c>
      <c r="L34" s="42">
        <v>0</v>
      </c>
      <c r="M34" s="42">
        <f t="shared" si="2"/>
        <v>109864.34919999997</v>
      </c>
      <c r="N34" s="42"/>
    </row>
    <row r="35" spans="1:14">
      <c r="A35" s="191"/>
      <c r="B35" s="191"/>
      <c r="C35" s="191"/>
      <c r="D35" s="191"/>
      <c r="E35" s="191">
        <f>SUM(E4:E34)</f>
        <v>2846.9600000000005</v>
      </c>
      <c r="F35" s="191"/>
      <c r="G35" s="191">
        <f>SUM(G4:G34)</f>
        <v>259955.91759999993</v>
      </c>
      <c r="H35" s="191">
        <f>SUM(H4:H34)</f>
        <v>88</v>
      </c>
      <c r="I35" s="191"/>
      <c r="J35" s="191">
        <f>SUM(J4:J34)</f>
        <v>8464.8599999999988</v>
      </c>
      <c r="K35" s="191">
        <f>SUM(K4:K34)</f>
        <v>268420.77759999997</v>
      </c>
      <c r="L35" s="191">
        <f>SUM(L4:L34)</f>
        <v>200000</v>
      </c>
      <c r="M35" s="191"/>
      <c r="N35" s="19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5"/>
  <sheetViews>
    <sheetView topLeftCell="A13" workbookViewId="0">
      <selection activeCell="L29" sqref="L29"/>
    </sheetView>
  </sheetViews>
  <sheetFormatPr defaultRowHeight="15"/>
  <cols>
    <col min="2" max="2" width="10.5703125" bestFit="1" customWidth="1"/>
    <col min="12" max="12" width="12.42578125" bestFit="1" customWidth="1"/>
  </cols>
  <sheetData>
    <row r="1" spans="1:14" ht="15.75">
      <c r="A1" s="479" t="s">
        <v>161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</row>
    <row r="2" spans="1:14" ht="45">
      <c r="A2" s="131" t="s">
        <v>95</v>
      </c>
      <c r="B2" s="225" t="s">
        <v>96</v>
      </c>
      <c r="C2" s="225" t="s">
        <v>97</v>
      </c>
      <c r="D2" s="225" t="s">
        <v>111</v>
      </c>
      <c r="E2" s="225" t="s">
        <v>99</v>
      </c>
      <c r="F2" s="225" t="s">
        <v>100</v>
      </c>
      <c r="G2" s="225" t="s">
        <v>101</v>
      </c>
      <c r="H2" s="225" t="s">
        <v>102</v>
      </c>
      <c r="I2" s="225" t="s">
        <v>100</v>
      </c>
      <c r="J2" s="225" t="s">
        <v>101</v>
      </c>
      <c r="K2" s="184" t="s">
        <v>103</v>
      </c>
      <c r="L2" s="184" t="s">
        <v>104</v>
      </c>
      <c r="M2" s="184" t="s">
        <v>110</v>
      </c>
      <c r="N2" s="225" t="s">
        <v>106</v>
      </c>
    </row>
    <row r="3" spans="1:14">
      <c r="A3" s="480" t="s">
        <v>107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>
        <v>0</v>
      </c>
      <c r="N3" s="480"/>
    </row>
    <row r="4" spans="1:14">
      <c r="A4" s="208">
        <v>1</v>
      </c>
      <c r="B4" s="233">
        <v>45962</v>
      </c>
      <c r="C4" s="42">
        <v>0</v>
      </c>
      <c r="D4" s="42"/>
      <c r="E4" s="42">
        <v>0</v>
      </c>
      <c r="F4" s="42">
        <v>0</v>
      </c>
      <c r="G4" s="42">
        <f>E4*F4</f>
        <v>0</v>
      </c>
      <c r="H4" s="42">
        <v>0</v>
      </c>
      <c r="I4" s="42">
        <v>0</v>
      </c>
      <c r="J4" s="42">
        <f>H4*I4</f>
        <v>0</v>
      </c>
      <c r="K4" s="42">
        <f>G4+J4</f>
        <v>0</v>
      </c>
      <c r="L4" s="42">
        <f>+K4</f>
        <v>0</v>
      </c>
      <c r="M4" s="42">
        <f>M3+K4-L4</f>
        <v>0</v>
      </c>
      <c r="N4" s="42"/>
    </row>
    <row r="5" spans="1:14">
      <c r="A5" s="50">
        <v>2</v>
      </c>
      <c r="B5" s="233">
        <v>45963</v>
      </c>
      <c r="C5" s="42">
        <v>0</v>
      </c>
      <c r="D5" s="42"/>
      <c r="E5" s="42">
        <v>40</v>
      </c>
      <c r="F5" s="42">
        <v>91.3</v>
      </c>
      <c r="G5" s="42">
        <f t="shared" ref="G5:G32" si="0">E5*F5</f>
        <v>3652</v>
      </c>
      <c r="H5" s="42">
        <v>0</v>
      </c>
      <c r="I5" s="42">
        <v>0</v>
      </c>
      <c r="J5" s="42">
        <f t="shared" ref="J5:J34" si="1">H5*I5</f>
        <v>0</v>
      </c>
      <c r="K5" s="42">
        <f t="shared" ref="K5:K34" si="2">G5+J5</f>
        <v>3652</v>
      </c>
      <c r="L5" s="42">
        <f t="shared" ref="L5:L32" si="3">+K5</f>
        <v>3652</v>
      </c>
      <c r="M5" s="42">
        <f t="shared" ref="M5:M34" si="4">M4+K5-L5</f>
        <v>0</v>
      </c>
      <c r="N5" s="42"/>
    </row>
    <row r="6" spans="1:14">
      <c r="A6" s="50">
        <v>3</v>
      </c>
      <c r="B6" s="233">
        <v>45964</v>
      </c>
      <c r="C6" s="42">
        <v>0</v>
      </c>
      <c r="D6" s="42"/>
      <c r="E6" s="42">
        <v>0</v>
      </c>
      <c r="F6" s="42">
        <v>0</v>
      </c>
      <c r="G6" s="42">
        <f t="shared" si="0"/>
        <v>0</v>
      </c>
      <c r="H6" s="42">
        <v>0</v>
      </c>
      <c r="I6" s="42">
        <v>0</v>
      </c>
      <c r="J6" s="42">
        <f t="shared" si="1"/>
        <v>0</v>
      </c>
      <c r="K6" s="42">
        <f t="shared" si="2"/>
        <v>0</v>
      </c>
      <c r="L6" s="42">
        <f t="shared" si="3"/>
        <v>0</v>
      </c>
      <c r="M6" s="42">
        <f t="shared" si="4"/>
        <v>0</v>
      </c>
      <c r="N6" s="42"/>
    </row>
    <row r="7" spans="1:14">
      <c r="A7" s="50">
        <v>4</v>
      </c>
      <c r="B7" s="233">
        <v>45965</v>
      </c>
      <c r="C7" s="42">
        <v>0</v>
      </c>
      <c r="D7" s="42"/>
      <c r="E7" s="42">
        <v>0</v>
      </c>
      <c r="F7" s="42">
        <v>0</v>
      </c>
      <c r="G7" s="42">
        <f t="shared" si="0"/>
        <v>0</v>
      </c>
      <c r="H7" s="42">
        <v>0</v>
      </c>
      <c r="I7" s="42">
        <v>0</v>
      </c>
      <c r="J7" s="42">
        <f t="shared" si="1"/>
        <v>0</v>
      </c>
      <c r="K7" s="42">
        <f t="shared" si="2"/>
        <v>0</v>
      </c>
      <c r="L7" s="42">
        <f t="shared" si="3"/>
        <v>0</v>
      </c>
      <c r="M7" s="42">
        <f t="shared" si="4"/>
        <v>0</v>
      </c>
      <c r="N7" s="42"/>
    </row>
    <row r="8" spans="1:14">
      <c r="A8" s="50">
        <v>5</v>
      </c>
      <c r="B8" s="233">
        <v>45966</v>
      </c>
      <c r="C8" s="42">
        <v>0</v>
      </c>
      <c r="D8" s="42"/>
      <c r="E8" s="42">
        <v>0</v>
      </c>
      <c r="F8" s="42">
        <v>0</v>
      </c>
      <c r="G8" s="42">
        <f t="shared" si="0"/>
        <v>0</v>
      </c>
      <c r="H8" s="42">
        <v>5</v>
      </c>
      <c r="I8" s="42">
        <v>103.22</v>
      </c>
      <c r="J8" s="42">
        <f t="shared" si="1"/>
        <v>516.1</v>
      </c>
      <c r="K8" s="42">
        <f t="shared" si="2"/>
        <v>516.1</v>
      </c>
      <c r="L8" s="42">
        <f t="shared" si="3"/>
        <v>516.1</v>
      </c>
      <c r="M8" s="42">
        <f t="shared" si="4"/>
        <v>0</v>
      </c>
      <c r="N8" s="42"/>
    </row>
    <row r="9" spans="1:14">
      <c r="A9" s="50">
        <v>6</v>
      </c>
      <c r="B9" s="233">
        <v>45967</v>
      </c>
      <c r="C9" s="42">
        <v>0</v>
      </c>
      <c r="D9" s="42"/>
      <c r="E9" s="42">
        <v>0</v>
      </c>
      <c r="F9" s="42">
        <v>0</v>
      </c>
      <c r="G9" s="42">
        <f t="shared" si="0"/>
        <v>0</v>
      </c>
      <c r="H9" s="42">
        <v>0</v>
      </c>
      <c r="I9" s="42">
        <v>0</v>
      </c>
      <c r="J9" s="42">
        <f t="shared" si="1"/>
        <v>0</v>
      </c>
      <c r="K9" s="42">
        <f t="shared" si="2"/>
        <v>0</v>
      </c>
      <c r="L9" s="42">
        <f t="shared" si="3"/>
        <v>0</v>
      </c>
      <c r="M9" s="42">
        <f t="shared" si="4"/>
        <v>0</v>
      </c>
      <c r="N9" s="42"/>
    </row>
    <row r="10" spans="1:14">
      <c r="A10" s="50">
        <v>7</v>
      </c>
      <c r="B10" s="233">
        <v>45968</v>
      </c>
      <c r="C10" s="42">
        <v>0</v>
      </c>
      <c r="D10" s="42"/>
      <c r="E10" s="42">
        <v>40</v>
      </c>
      <c r="F10" s="42">
        <v>91.3</v>
      </c>
      <c r="G10" s="42">
        <f t="shared" si="0"/>
        <v>3652</v>
      </c>
      <c r="H10" s="42">
        <v>0</v>
      </c>
      <c r="I10" s="42">
        <v>0</v>
      </c>
      <c r="J10" s="42">
        <f t="shared" si="1"/>
        <v>0</v>
      </c>
      <c r="K10" s="42">
        <f t="shared" si="2"/>
        <v>3652</v>
      </c>
      <c r="L10" s="42">
        <f t="shared" si="3"/>
        <v>3652</v>
      </c>
      <c r="M10" s="42">
        <f t="shared" si="4"/>
        <v>0</v>
      </c>
      <c r="N10" s="42"/>
    </row>
    <row r="11" spans="1:14">
      <c r="A11" s="50">
        <v>8</v>
      </c>
      <c r="B11" s="233">
        <v>45969</v>
      </c>
      <c r="C11" s="42">
        <v>0</v>
      </c>
      <c r="D11" s="42"/>
      <c r="E11" s="42">
        <v>0</v>
      </c>
      <c r="F11" s="42">
        <v>0</v>
      </c>
      <c r="G11" s="42">
        <f t="shared" si="0"/>
        <v>0</v>
      </c>
      <c r="H11" s="42">
        <v>6</v>
      </c>
      <c r="I11" s="42">
        <v>103.22</v>
      </c>
      <c r="J11" s="42">
        <f t="shared" si="1"/>
        <v>619.31999999999994</v>
      </c>
      <c r="K11" s="42">
        <f t="shared" si="2"/>
        <v>619.31999999999994</v>
      </c>
      <c r="L11" s="42">
        <f t="shared" si="3"/>
        <v>619.31999999999994</v>
      </c>
      <c r="M11" s="42">
        <f t="shared" si="4"/>
        <v>0</v>
      </c>
      <c r="N11" s="42"/>
    </row>
    <row r="12" spans="1:14">
      <c r="A12" s="50">
        <v>9</v>
      </c>
      <c r="B12" s="233">
        <v>45970</v>
      </c>
      <c r="C12" s="42">
        <v>0</v>
      </c>
      <c r="D12" s="42"/>
      <c r="E12" s="42">
        <v>0</v>
      </c>
      <c r="F12" s="42">
        <v>0</v>
      </c>
      <c r="G12" s="42">
        <f t="shared" si="0"/>
        <v>0</v>
      </c>
      <c r="H12" s="42">
        <v>0</v>
      </c>
      <c r="I12" s="42">
        <v>0</v>
      </c>
      <c r="J12" s="42">
        <f t="shared" si="1"/>
        <v>0</v>
      </c>
      <c r="K12" s="42">
        <f t="shared" si="2"/>
        <v>0</v>
      </c>
      <c r="L12" s="42">
        <f t="shared" si="3"/>
        <v>0</v>
      </c>
      <c r="M12" s="42">
        <f t="shared" si="4"/>
        <v>0</v>
      </c>
      <c r="N12" s="42"/>
    </row>
    <row r="13" spans="1:14">
      <c r="A13" s="50">
        <v>10</v>
      </c>
      <c r="B13" s="233">
        <v>45971</v>
      </c>
      <c r="C13" s="42">
        <v>0</v>
      </c>
      <c r="D13" s="42"/>
      <c r="E13" s="42">
        <v>0</v>
      </c>
      <c r="F13" s="42">
        <v>0</v>
      </c>
      <c r="G13" s="42">
        <f t="shared" si="0"/>
        <v>0</v>
      </c>
      <c r="H13" s="42">
        <v>0</v>
      </c>
      <c r="I13" s="42">
        <v>0</v>
      </c>
      <c r="J13" s="42">
        <f t="shared" si="1"/>
        <v>0</v>
      </c>
      <c r="K13" s="42">
        <f t="shared" si="2"/>
        <v>0</v>
      </c>
      <c r="L13" s="42">
        <f t="shared" si="3"/>
        <v>0</v>
      </c>
      <c r="M13" s="42">
        <f t="shared" si="4"/>
        <v>0</v>
      </c>
      <c r="N13" s="42"/>
    </row>
    <row r="14" spans="1:14">
      <c r="A14" s="50">
        <v>11</v>
      </c>
      <c r="B14" s="233">
        <v>45972</v>
      </c>
      <c r="C14" s="42">
        <v>0</v>
      </c>
      <c r="D14" s="42"/>
      <c r="E14" s="42">
        <v>0</v>
      </c>
      <c r="F14" s="42">
        <v>0</v>
      </c>
      <c r="G14" s="42">
        <f t="shared" si="0"/>
        <v>0</v>
      </c>
      <c r="H14" s="42">
        <v>0</v>
      </c>
      <c r="I14" s="42">
        <v>0</v>
      </c>
      <c r="J14" s="42">
        <f t="shared" si="1"/>
        <v>0</v>
      </c>
      <c r="K14" s="42">
        <f t="shared" si="2"/>
        <v>0</v>
      </c>
      <c r="L14" s="42">
        <f t="shared" si="3"/>
        <v>0</v>
      </c>
      <c r="M14" s="42">
        <f t="shared" si="4"/>
        <v>0</v>
      </c>
      <c r="N14" s="42"/>
    </row>
    <row r="15" spans="1:14">
      <c r="A15" s="50">
        <v>12</v>
      </c>
      <c r="B15" s="233">
        <v>45973</v>
      </c>
      <c r="C15" s="42">
        <v>0</v>
      </c>
      <c r="D15" s="42"/>
      <c r="E15" s="42">
        <v>0</v>
      </c>
      <c r="F15" s="42">
        <v>0</v>
      </c>
      <c r="G15" s="42">
        <f t="shared" ref="G15:G21" si="5">E15*F15</f>
        <v>0</v>
      </c>
      <c r="H15" s="42">
        <v>6</v>
      </c>
      <c r="I15" s="42">
        <v>103.22</v>
      </c>
      <c r="J15" s="42">
        <f t="shared" ref="J15:J21" si="6">H15*I15</f>
        <v>619.31999999999994</v>
      </c>
      <c r="K15" s="42">
        <f t="shared" si="2"/>
        <v>619.31999999999994</v>
      </c>
      <c r="L15" s="42">
        <f t="shared" si="3"/>
        <v>619.31999999999994</v>
      </c>
      <c r="M15" s="42">
        <f t="shared" si="4"/>
        <v>0</v>
      </c>
      <c r="N15" s="42"/>
    </row>
    <row r="16" spans="1:14">
      <c r="A16" s="50">
        <v>13</v>
      </c>
      <c r="B16" s="233">
        <v>45974</v>
      </c>
      <c r="C16" s="42">
        <v>0</v>
      </c>
      <c r="D16" s="42"/>
      <c r="E16" s="42">
        <v>0</v>
      </c>
      <c r="F16" s="42">
        <v>0</v>
      </c>
      <c r="G16" s="42">
        <f t="shared" si="5"/>
        <v>0</v>
      </c>
      <c r="H16" s="42">
        <v>0</v>
      </c>
      <c r="I16" s="42">
        <v>0</v>
      </c>
      <c r="J16" s="42">
        <f t="shared" si="6"/>
        <v>0</v>
      </c>
      <c r="K16" s="42">
        <f t="shared" si="2"/>
        <v>0</v>
      </c>
      <c r="L16" s="42">
        <f t="shared" si="3"/>
        <v>0</v>
      </c>
      <c r="M16" s="42">
        <f t="shared" si="4"/>
        <v>0</v>
      </c>
      <c r="N16" s="42"/>
    </row>
    <row r="17" spans="1:14">
      <c r="A17" s="50">
        <v>14</v>
      </c>
      <c r="B17" s="233">
        <v>45975</v>
      </c>
      <c r="C17" s="42">
        <v>0</v>
      </c>
      <c r="D17" s="42"/>
      <c r="E17" s="42">
        <v>0</v>
      </c>
      <c r="F17" s="42">
        <v>0</v>
      </c>
      <c r="G17" s="42">
        <f t="shared" si="5"/>
        <v>0</v>
      </c>
      <c r="H17" s="42">
        <v>0</v>
      </c>
      <c r="I17" s="42">
        <v>0</v>
      </c>
      <c r="J17" s="42">
        <f t="shared" si="6"/>
        <v>0</v>
      </c>
      <c r="K17" s="42">
        <f t="shared" si="2"/>
        <v>0</v>
      </c>
      <c r="L17" s="42">
        <f t="shared" si="3"/>
        <v>0</v>
      </c>
      <c r="M17" s="42">
        <f t="shared" si="4"/>
        <v>0</v>
      </c>
      <c r="N17" s="42"/>
    </row>
    <row r="18" spans="1:14">
      <c r="A18" s="50">
        <v>15</v>
      </c>
      <c r="B18" s="233">
        <v>45976</v>
      </c>
      <c r="C18" s="42">
        <v>0</v>
      </c>
      <c r="D18" s="42"/>
      <c r="E18" s="42">
        <v>0</v>
      </c>
      <c r="F18" s="42">
        <v>0</v>
      </c>
      <c r="G18" s="42">
        <f t="shared" si="5"/>
        <v>0</v>
      </c>
      <c r="H18" s="42">
        <v>0</v>
      </c>
      <c r="I18" s="42">
        <v>0</v>
      </c>
      <c r="J18" s="42">
        <f t="shared" si="6"/>
        <v>0</v>
      </c>
      <c r="K18" s="42">
        <f t="shared" si="2"/>
        <v>0</v>
      </c>
      <c r="L18" s="42">
        <f t="shared" si="3"/>
        <v>0</v>
      </c>
      <c r="M18" s="42">
        <f t="shared" si="4"/>
        <v>0</v>
      </c>
      <c r="N18" s="42"/>
    </row>
    <row r="19" spans="1:14">
      <c r="A19" s="50">
        <v>16</v>
      </c>
      <c r="B19" s="233">
        <v>45977</v>
      </c>
      <c r="C19" s="42">
        <v>0</v>
      </c>
      <c r="D19" s="42"/>
      <c r="E19" s="42">
        <v>0</v>
      </c>
      <c r="F19" s="42">
        <v>0</v>
      </c>
      <c r="G19" s="42">
        <f t="shared" si="5"/>
        <v>0</v>
      </c>
      <c r="H19" s="42">
        <v>0</v>
      </c>
      <c r="I19" s="42">
        <v>0</v>
      </c>
      <c r="J19" s="42">
        <f t="shared" si="6"/>
        <v>0</v>
      </c>
      <c r="K19" s="42">
        <f t="shared" si="2"/>
        <v>0</v>
      </c>
      <c r="L19" s="42">
        <f t="shared" si="3"/>
        <v>0</v>
      </c>
      <c r="M19" s="42">
        <f t="shared" si="4"/>
        <v>0</v>
      </c>
      <c r="N19" s="42"/>
    </row>
    <row r="20" spans="1:14">
      <c r="A20" s="50">
        <v>17</v>
      </c>
      <c r="B20" s="233">
        <v>45978</v>
      </c>
      <c r="C20" s="42">
        <v>0</v>
      </c>
      <c r="D20" s="42"/>
      <c r="E20" s="42">
        <v>0</v>
      </c>
      <c r="F20" s="42">
        <v>0</v>
      </c>
      <c r="G20" s="42">
        <f t="shared" si="5"/>
        <v>0</v>
      </c>
      <c r="H20" s="42">
        <v>0</v>
      </c>
      <c r="I20" s="42">
        <v>0</v>
      </c>
      <c r="J20" s="42">
        <f t="shared" si="6"/>
        <v>0</v>
      </c>
      <c r="K20" s="42">
        <f t="shared" si="2"/>
        <v>0</v>
      </c>
      <c r="L20" s="42">
        <f t="shared" si="3"/>
        <v>0</v>
      </c>
      <c r="M20" s="42">
        <f t="shared" si="4"/>
        <v>0</v>
      </c>
      <c r="N20" s="42"/>
    </row>
    <row r="21" spans="1:14">
      <c r="A21" s="50">
        <v>18</v>
      </c>
      <c r="B21" s="233">
        <v>45979</v>
      </c>
      <c r="C21" s="42">
        <v>0</v>
      </c>
      <c r="D21" s="42"/>
      <c r="E21" s="42">
        <v>0</v>
      </c>
      <c r="F21" s="42">
        <v>0</v>
      </c>
      <c r="G21" s="42">
        <f t="shared" si="5"/>
        <v>0</v>
      </c>
      <c r="H21" s="42">
        <v>0</v>
      </c>
      <c r="I21" s="42">
        <v>0</v>
      </c>
      <c r="J21" s="42">
        <f t="shared" si="6"/>
        <v>0</v>
      </c>
      <c r="K21" s="42">
        <f t="shared" si="2"/>
        <v>0</v>
      </c>
      <c r="L21" s="42">
        <f t="shared" si="3"/>
        <v>0</v>
      </c>
      <c r="M21" s="42">
        <f t="shared" si="4"/>
        <v>0</v>
      </c>
      <c r="N21" s="42"/>
    </row>
    <row r="22" spans="1:14">
      <c r="A22" s="50">
        <v>19</v>
      </c>
      <c r="B22" s="233">
        <v>45980</v>
      </c>
      <c r="C22" s="42">
        <v>0</v>
      </c>
      <c r="D22" s="42"/>
      <c r="E22" s="42">
        <v>30</v>
      </c>
      <c r="F22" s="42">
        <v>91.3</v>
      </c>
      <c r="G22" s="42">
        <f t="shared" si="0"/>
        <v>2739</v>
      </c>
      <c r="H22" s="42">
        <v>10</v>
      </c>
      <c r="I22" s="42">
        <v>103.22</v>
      </c>
      <c r="J22" s="42">
        <f t="shared" si="1"/>
        <v>1032.2</v>
      </c>
      <c r="K22" s="42">
        <f t="shared" si="2"/>
        <v>3771.2</v>
      </c>
      <c r="L22" s="42">
        <f t="shared" si="3"/>
        <v>3771.2</v>
      </c>
      <c r="M22" s="42">
        <f t="shared" si="4"/>
        <v>0</v>
      </c>
      <c r="N22" s="42"/>
    </row>
    <row r="23" spans="1:14">
      <c r="A23" s="50">
        <v>20</v>
      </c>
      <c r="B23" s="233">
        <v>45981</v>
      </c>
      <c r="C23" s="42">
        <v>0</v>
      </c>
      <c r="D23" s="42"/>
      <c r="E23" s="42">
        <v>0</v>
      </c>
      <c r="F23" s="42">
        <v>0</v>
      </c>
      <c r="G23" s="42">
        <f t="shared" si="0"/>
        <v>0</v>
      </c>
      <c r="H23" s="42">
        <v>0</v>
      </c>
      <c r="I23" s="42">
        <v>0</v>
      </c>
      <c r="J23" s="42">
        <f t="shared" si="1"/>
        <v>0</v>
      </c>
      <c r="K23" s="42">
        <f t="shared" si="2"/>
        <v>0</v>
      </c>
      <c r="L23" s="42">
        <f t="shared" si="3"/>
        <v>0</v>
      </c>
      <c r="M23" s="42">
        <f t="shared" si="4"/>
        <v>0</v>
      </c>
      <c r="N23" s="42"/>
    </row>
    <row r="24" spans="1:14">
      <c r="A24" s="50">
        <v>21</v>
      </c>
      <c r="B24" s="233">
        <v>45982</v>
      </c>
      <c r="C24" s="42">
        <v>0</v>
      </c>
      <c r="D24" s="42"/>
      <c r="E24" s="42">
        <v>30</v>
      </c>
      <c r="F24" s="42">
        <v>91.3</v>
      </c>
      <c r="G24" s="42">
        <f t="shared" si="0"/>
        <v>2739</v>
      </c>
      <c r="H24" s="42">
        <v>16</v>
      </c>
      <c r="I24" s="42">
        <v>103.22</v>
      </c>
      <c r="J24" s="42">
        <f t="shared" si="1"/>
        <v>1651.52</v>
      </c>
      <c r="K24" s="42">
        <f t="shared" si="2"/>
        <v>4390.5200000000004</v>
      </c>
      <c r="L24" s="42">
        <f t="shared" si="3"/>
        <v>4390.5200000000004</v>
      </c>
      <c r="M24" s="42">
        <f t="shared" si="4"/>
        <v>0</v>
      </c>
      <c r="N24" s="42"/>
    </row>
    <row r="25" spans="1:14">
      <c r="A25" s="50">
        <v>22</v>
      </c>
      <c r="B25" s="233">
        <v>45983</v>
      </c>
      <c r="C25" s="42">
        <v>0</v>
      </c>
      <c r="D25" s="42"/>
      <c r="E25" s="42">
        <v>0</v>
      </c>
      <c r="F25" s="42">
        <v>0</v>
      </c>
      <c r="G25" s="42">
        <f t="shared" si="0"/>
        <v>0</v>
      </c>
      <c r="H25" s="42">
        <v>0</v>
      </c>
      <c r="I25" s="42">
        <v>0</v>
      </c>
      <c r="J25" s="42">
        <f t="shared" si="1"/>
        <v>0</v>
      </c>
      <c r="K25" s="42">
        <f t="shared" si="2"/>
        <v>0</v>
      </c>
      <c r="L25" s="42">
        <f t="shared" si="3"/>
        <v>0</v>
      </c>
      <c r="M25" s="42">
        <f t="shared" si="4"/>
        <v>0</v>
      </c>
      <c r="N25" s="42"/>
    </row>
    <row r="26" spans="1:14">
      <c r="A26" s="50">
        <v>23</v>
      </c>
      <c r="B26" s="233">
        <v>45984</v>
      </c>
      <c r="C26" s="42">
        <v>0</v>
      </c>
      <c r="D26" s="42"/>
      <c r="E26" s="42">
        <v>0</v>
      </c>
      <c r="F26" s="42">
        <v>0</v>
      </c>
      <c r="G26" s="42">
        <f t="shared" si="0"/>
        <v>0</v>
      </c>
      <c r="H26" s="42">
        <v>0</v>
      </c>
      <c r="I26" s="42">
        <v>0</v>
      </c>
      <c r="J26" s="42">
        <f t="shared" si="1"/>
        <v>0</v>
      </c>
      <c r="K26" s="42">
        <f t="shared" si="2"/>
        <v>0</v>
      </c>
      <c r="L26" s="42">
        <f t="shared" si="3"/>
        <v>0</v>
      </c>
      <c r="M26" s="42">
        <f t="shared" si="4"/>
        <v>0</v>
      </c>
      <c r="N26" s="42"/>
    </row>
    <row r="27" spans="1:14">
      <c r="A27" s="50">
        <v>24</v>
      </c>
      <c r="B27" s="233">
        <v>45985</v>
      </c>
      <c r="C27" s="42">
        <v>0</v>
      </c>
      <c r="D27" s="42"/>
      <c r="E27" s="42">
        <v>0</v>
      </c>
      <c r="F27" s="42">
        <v>0</v>
      </c>
      <c r="G27" s="42">
        <f t="shared" si="0"/>
        <v>0</v>
      </c>
      <c r="H27" s="42">
        <v>0</v>
      </c>
      <c r="I27" s="42">
        <v>0</v>
      </c>
      <c r="J27" s="42">
        <f t="shared" si="1"/>
        <v>0</v>
      </c>
      <c r="K27" s="42">
        <f t="shared" si="2"/>
        <v>0</v>
      </c>
      <c r="L27" s="42">
        <f t="shared" si="3"/>
        <v>0</v>
      </c>
      <c r="M27" s="42">
        <f t="shared" si="4"/>
        <v>0</v>
      </c>
      <c r="N27" s="42"/>
    </row>
    <row r="28" spans="1:14">
      <c r="A28" s="235">
        <v>25</v>
      </c>
      <c r="B28" s="233">
        <v>45986</v>
      </c>
      <c r="C28" s="42">
        <v>0</v>
      </c>
      <c r="D28" s="42"/>
      <c r="E28" s="42">
        <v>0</v>
      </c>
      <c r="F28" s="42">
        <v>0</v>
      </c>
      <c r="G28" s="42">
        <f t="shared" si="0"/>
        <v>0</v>
      </c>
      <c r="H28" s="42">
        <v>0</v>
      </c>
      <c r="I28" s="42">
        <v>0</v>
      </c>
      <c r="J28" s="42">
        <f t="shared" si="1"/>
        <v>0</v>
      </c>
      <c r="K28" s="42">
        <f t="shared" si="2"/>
        <v>0</v>
      </c>
      <c r="L28" s="42">
        <f t="shared" si="3"/>
        <v>0</v>
      </c>
      <c r="M28" s="42">
        <f t="shared" si="4"/>
        <v>0</v>
      </c>
      <c r="N28" s="42"/>
    </row>
    <row r="29" spans="1:14">
      <c r="A29" s="235">
        <v>26</v>
      </c>
      <c r="B29" s="233">
        <v>45987</v>
      </c>
      <c r="C29" s="42">
        <v>0</v>
      </c>
      <c r="D29" s="42"/>
      <c r="E29" s="42">
        <v>25</v>
      </c>
      <c r="F29" s="42">
        <v>91.3</v>
      </c>
      <c r="G29" s="42">
        <f t="shared" si="0"/>
        <v>2282.5</v>
      </c>
      <c r="H29" s="42">
        <v>10</v>
      </c>
      <c r="I29" s="42">
        <v>103.22</v>
      </c>
      <c r="J29" s="42">
        <f t="shared" si="1"/>
        <v>1032.2</v>
      </c>
      <c r="K29" s="42">
        <f t="shared" si="2"/>
        <v>3314.7</v>
      </c>
      <c r="L29" s="42">
        <f t="shared" si="3"/>
        <v>3314.7</v>
      </c>
      <c r="M29" s="42">
        <f t="shared" si="4"/>
        <v>0</v>
      </c>
      <c r="N29" s="42"/>
    </row>
    <row r="30" spans="1:14">
      <c r="A30" s="235">
        <v>27</v>
      </c>
      <c r="B30" s="233">
        <v>45988</v>
      </c>
      <c r="C30" s="42">
        <v>0</v>
      </c>
      <c r="D30" s="42"/>
      <c r="E30" s="42">
        <v>0</v>
      </c>
      <c r="F30" s="42">
        <v>0</v>
      </c>
      <c r="G30" s="42">
        <f t="shared" si="0"/>
        <v>0</v>
      </c>
      <c r="H30" s="42">
        <v>0</v>
      </c>
      <c r="I30" s="42">
        <v>0</v>
      </c>
      <c r="J30" s="42">
        <f t="shared" si="1"/>
        <v>0</v>
      </c>
      <c r="K30" s="42">
        <f t="shared" si="2"/>
        <v>0</v>
      </c>
      <c r="L30" s="42">
        <f t="shared" si="3"/>
        <v>0</v>
      </c>
      <c r="M30" s="42">
        <f t="shared" si="4"/>
        <v>0</v>
      </c>
      <c r="N30" s="42"/>
    </row>
    <row r="31" spans="1:14">
      <c r="A31" s="235">
        <v>28</v>
      </c>
      <c r="B31" s="233">
        <v>45989</v>
      </c>
      <c r="C31" s="42">
        <v>0</v>
      </c>
      <c r="D31" s="42"/>
      <c r="E31" s="42">
        <v>0</v>
      </c>
      <c r="F31" s="42">
        <v>0</v>
      </c>
      <c r="G31" s="42">
        <f t="shared" si="0"/>
        <v>0</v>
      </c>
      <c r="H31" s="42">
        <v>0</v>
      </c>
      <c r="I31" s="42">
        <v>0</v>
      </c>
      <c r="J31" s="42">
        <f t="shared" si="1"/>
        <v>0</v>
      </c>
      <c r="K31" s="42">
        <f t="shared" si="2"/>
        <v>0</v>
      </c>
      <c r="L31" s="42">
        <f t="shared" si="3"/>
        <v>0</v>
      </c>
      <c r="M31" s="42">
        <f t="shared" si="4"/>
        <v>0</v>
      </c>
      <c r="N31" s="42"/>
    </row>
    <row r="32" spans="1:14">
      <c r="A32" s="236">
        <v>29</v>
      </c>
      <c r="B32" s="233">
        <v>45990</v>
      </c>
      <c r="C32" s="42">
        <v>0</v>
      </c>
      <c r="D32" s="42"/>
      <c r="E32" s="42">
        <v>0</v>
      </c>
      <c r="F32" s="42">
        <v>0</v>
      </c>
      <c r="G32" s="42">
        <f t="shared" si="0"/>
        <v>0</v>
      </c>
      <c r="H32" s="42">
        <v>0</v>
      </c>
      <c r="I32" s="42">
        <v>0</v>
      </c>
      <c r="J32" s="42">
        <f t="shared" si="1"/>
        <v>0</v>
      </c>
      <c r="K32" s="42">
        <f t="shared" si="2"/>
        <v>0</v>
      </c>
      <c r="L32" s="42">
        <f t="shared" si="3"/>
        <v>0</v>
      </c>
      <c r="M32" s="42">
        <f t="shared" si="4"/>
        <v>0</v>
      </c>
      <c r="N32" s="42"/>
    </row>
    <row r="33" spans="1:14">
      <c r="A33" s="236">
        <v>30</v>
      </c>
      <c r="B33" s="233">
        <v>45991</v>
      </c>
      <c r="C33" s="42">
        <v>0</v>
      </c>
      <c r="D33" s="42"/>
      <c r="E33" s="42">
        <v>0</v>
      </c>
      <c r="F33" s="42">
        <v>0</v>
      </c>
      <c r="G33" s="42">
        <f t="shared" ref="G33:G34" si="7">E33*F33</f>
        <v>0</v>
      </c>
      <c r="H33" s="42">
        <v>0</v>
      </c>
      <c r="I33" s="42">
        <v>0</v>
      </c>
      <c r="J33" s="42">
        <f t="shared" si="1"/>
        <v>0</v>
      </c>
      <c r="K33" s="42">
        <f t="shared" si="2"/>
        <v>0</v>
      </c>
      <c r="L33" s="42">
        <f t="shared" ref="L33:L34" si="8">+K33</f>
        <v>0</v>
      </c>
      <c r="M33" s="42">
        <f t="shared" si="4"/>
        <v>0</v>
      </c>
      <c r="N33" s="42"/>
    </row>
    <row r="34" spans="1:14">
      <c r="A34" s="236">
        <v>31</v>
      </c>
      <c r="B34" s="233"/>
      <c r="C34" s="42">
        <v>0</v>
      </c>
      <c r="D34" s="42"/>
      <c r="E34" s="42">
        <v>0</v>
      </c>
      <c r="F34" s="42">
        <v>0</v>
      </c>
      <c r="G34" s="42">
        <f t="shared" si="7"/>
        <v>0</v>
      </c>
      <c r="H34" s="42">
        <v>0</v>
      </c>
      <c r="I34" s="42">
        <v>0</v>
      </c>
      <c r="J34" s="42">
        <f t="shared" si="1"/>
        <v>0</v>
      </c>
      <c r="K34" s="42">
        <f t="shared" si="2"/>
        <v>0</v>
      </c>
      <c r="L34" s="42">
        <f t="shared" si="8"/>
        <v>0</v>
      </c>
      <c r="M34" s="42">
        <f t="shared" si="4"/>
        <v>0</v>
      </c>
      <c r="N34" s="42"/>
    </row>
    <row r="35" spans="1:14">
      <c r="A35" s="191"/>
      <c r="B35" s="191"/>
      <c r="C35" s="191"/>
      <c r="D35" s="191"/>
      <c r="E35" s="191">
        <f>SUM(E4:E34)</f>
        <v>165</v>
      </c>
      <c r="F35" s="191"/>
      <c r="G35" s="191">
        <f>SUM(G4:G34)</f>
        <v>15064.5</v>
      </c>
      <c r="H35" s="191">
        <f>SUM(H4:H34)</f>
        <v>53</v>
      </c>
      <c r="I35" s="191"/>
      <c r="J35" s="191">
        <f>SUM(J4:J34)</f>
        <v>5470.66</v>
      </c>
      <c r="K35" s="191">
        <f>SUM(K4:K34)</f>
        <v>20535.16</v>
      </c>
      <c r="L35" s="191">
        <f>SUM(L4:L34)</f>
        <v>20535.16</v>
      </c>
      <c r="M35" s="191"/>
      <c r="N35" s="19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6"/>
  <sheetViews>
    <sheetView workbookViewId="0">
      <pane ySplit="2" topLeftCell="M30" activePane="bottomLeft" state="frozen"/>
      <selection pane="bottomLeft" activeCell="M30" sqref="M30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08" bestFit="1" customWidth="1"/>
    <col min="8" max="8" width="11.140625" style="5" customWidth="1"/>
    <col min="9" max="9" width="9.140625" style="5"/>
    <col min="10" max="10" width="10.85546875" style="108" bestFit="1" customWidth="1"/>
    <col min="11" max="11" width="12.85546875" style="5" customWidth="1"/>
    <col min="12" max="12" width="13.5703125" style="108" bestFit="1" customWidth="1"/>
    <col min="13" max="13" width="13.5703125" style="108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4" ht="15.75">
      <c r="A1" s="454" t="s">
        <v>162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4" ht="18" customHeight="1">
      <c r="A2" s="70" t="s">
        <v>95</v>
      </c>
      <c r="B2" s="89" t="s">
        <v>96</v>
      </c>
      <c r="C2" s="89" t="s">
        <v>97</v>
      </c>
      <c r="D2" s="89" t="s">
        <v>111</v>
      </c>
      <c r="E2" s="89" t="s">
        <v>99</v>
      </c>
      <c r="F2" s="89" t="s">
        <v>100</v>
      </c>
      <c r="G2" s="96" t="s">
        <v>101</v>
      </c>
      <c r="H2" s="89" t="s">
        <v>102</v>
      </c>
      <c r="I2" s="89" t="s">
        <v>100</v>
      </c>
      <c r="J2" s="96" t="s">
        <v>101</v>
      </c>
      <c r="K2" s="70" t="s">
        <v>103</v>
      </c>
      <c r="L2" s="97" t="s">
        <v>104</v>
      </c>
      <c r="M2" s="134" t="s">
        <v>110</v>
      </c>
      <c r="N2" s="89" t="s">
        <v>106</v>
      </c>
    </row>
    <row r="3" spans="1:14" ht="18" customHeight="1">
      <c r="A3" s="481" t="s">
        <v>107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321"/>
      <c r="N3" s="320">
        <v>43124.264799999997</v>
      </c>
    </row>
    <row r="4" spans="1:14">
      <c r="A4" s="6">
        <v>1</v>
      </c>
      <c r="B4" s="84" t="s">
        <v>163</v>
      </c>
      <c r="C4" s="6"/>
      <c r="D4" s="6"/>
      <c r="E4" s="71">
        <v>80.97</v>
      </c>
      <c r="F4" s="6">
        <v>91.5</v>
      </c>
      <c r="G4" s="72">
        <f>E4*F4</f>
        <v>7408.7550000000001</v>
      </c>
      <c r="H4" s="71">
        <v>15</v>
      </c>
      <c r="I4" s="367">
        <v>103.44</v>
      </c>
      <c r="J4" s="72">
        <f>H4*I4</f>
        <v>1551.6</v>
      </c>
      <c r="K4" s="72">
        <f>G4+J4</f>
        <v>8960.3549999999996</v>
      </c>
      <c r="L4" s="72">
        <v>15000</v>
      </c>
      <c r="M4" s="322">
        <f>N3+K4-L4</f>
        <v>37084.6198</v>
      </c>
      <c r="N4" s="50" t="s">
        <v>155</v>
      </c>
    </row>
    <row r="5" spans="1:14">
      <c r="A5" s="6">
        <v>2</v>
      </c>
      <c r="B5" s="84" t="s">
        <v>164</v>
      </c>
      <c r="C5" s="6"/>
      <c r="D5" s="6"/>
      <c r="E5" s="71">
        <v>82.96</v>
      </c>
      <c r="F5" s="6">
        <v>91.5</v>
      </c>
      <c r="G5" s="72">
        <f t="shared" ref="G5:G44" si="0">E5*F5</f>
        <v>7590.8399999999992</v>
      </c>
      <c r="H5" s="71">
        <v>7</v>
      </c>
      <c r="I5" s="367">
        <v>103.44</v>
      </c>
      <c r="J5" s="72">
        <f t="shared" ref="J5:J44" si="1">H5*I5</f>
        <v>724.07999999999993</v>
      </c>
      <c r="K5" s="72">
        <f t="shared" ref="K5:K44" si="2">G5+J5</f>
        <v>8314.9199999999983</v>
      </c>
      <c r="L5" s="72">
        <v>0</v>
      </c>
      <c r="M5" s="156">
        <f t="shared" ref="M5:M45" si="3">M4+K5-L5</f>
        <v>45399.539799999999</v>
      </c>
      <c r="N5" s="50" t="s">
        <v>155</v>
      </c>
    </row>
    <row r="6" spans="1:14">
      <c r="A6" s="6">
        <v>3</v>
      </c>
      <c r="B6" s="84" t="s">
        <v>165</v>
      </c>
      <c r="C6" s="6"/>
      <c r="D6" s="6"/>
      <c r="E6" s="71">
        <v>30</v>
      </c>
      <c r="F6" s="6">
        <v>91.5</v>
      </c>
      <c r="G6" s="72">
        <f t="shared" si="0"/>
        <v>2745</v>
      </c>
      <c r="H6" s="71"/>
      <c r="I6" s="6"/>
      <c r="J6" s="72">
        <f t="shared" si="1"/>
        <v>0</v>
      </c>
      <c r="K6" s="72">
        <f t="shared" si="2"/>
        <v>2745</v>
      </c>
      <c r="L6" s="72">
        <v>0</v>
      </c>
      <c r="M6" s="156">
        <f t="shared" si="3"/>
        <v>48144.539799999999</v>
      </c>
      <c r="N6" s="50" t="s">
        <v>155</v>
      </c>
    </row>
    <row r="7" spans="1:14">
      <c r="A7" s="6">
        <v>4</v>
      </c>
      <c r="B7" s="84" t="s">
        <v>166</v>
      </c>
      <c r="C7" s="6"/>
      <c r="D7" s="6"/>
      <c r="E7" s="71">
        <v>37.42</v>
      </c>
      <c r="F7" s="6">
        <v>91.5</v>
      </c>
      <c r="G7" s="72">
        <f t="shared" si="0"/>
        <v>3423.9300000000003</v>
      </c>
      <c r="H7" s="71">
        <v>12.08</v>
      </c>
      <c r="I7" s="6">
        <v>103.44</v>
      </c>
      <c r="J7" s="72">
        <f t="shared" si="1"/>
        <v>1249.5552</v>
      </c>
      <c r="K7" s="72">
        <f t="shared" si="2"/>
        <v>4673.4852000000001</v>
      </c>
      <c r="L7" s="72">
        <v>30000</v>
      </c>
      <c r="M7" s="156">
        <f t="shared" si="3"/>
        <v>22818.025000000001</v>
      </c>
      <c r="N7" s="50" t="s">
        <v>155</v>
      </c>
    </row>
    <row r="8" spans="1:14">
      <c r="A8" s="6">
        <v>5</v>
      </c>
      <c r="B8" s="84" t="s">
        <v>167</v>
      </c>
      <c r="C8" s="6"/>
      <c r="D8" s="6"/>
      <c r="E8" s="71">
        <v>40.090000000000003</v>
      </c>
      <c r="F8" s="6">
        <v>91.5</v>
      </c>
      <c r="G8" s="72">
        <f t="shared" si="0"/>
        <v>3668.2350000000001</v>
      </c>
      <c r="H8" s="71"/>
      <c r="I8" s="6"/>
      <c r="J8" s="72">
        <f t="shared" si="1"/>
        <v>0</v>
      </c>
      <c r="K8" s="72">
        <f t="shared" si="2"/>
        <v>3668.2350000000001</v>
      </c>
      <c r="L8" s="72">
        <v>0</v>
      </c>
      <c r="M8" s="156">
        <f>M7+K8-L8</f>
        <v>26486.260000000002</v>
      </c>
      <c r="N8" s="50" t="s">
        <v>155</v>
      </c>
    </row>
    <row r="9" spans="1:14">
      <c r="A9" s="6">
        <v>6</v>
      </c>
      <c r="B9" s="84" t="s">
        <v>168</v>
      </c>
      <c r="C9" s="6"/>
      <c r="D9" s="6"/>
      <c r="E9" s="71">
        <v>75.47</v>
      </c>
      <c r="F9" s="6">
        <v>91.5</v>
      </c>
      <c r="G9" s="72">
        <f t="shared" si="0"/>
        <v>6905.5050000000001</v>
      </c>
      <c r="H9" s="71"/>
      <c r="I9" s="6"/>
      <c r="J9" s="72">
        <f t="shared" si="1"/>
        <v>0</v>
      </c>
      <c r="K9" s="72">
        <f t="shared" si="2"/>
        <v>6905.5050000000001</v>
      </c>
      <c r="L9" s="72">
        <v>0</v>
      </c>
      <c r="M9" s="156">
        <f>M8+K9-L9</f>
        <v>33391.764999999999</v>
      </c>
      <c r="N9" s="50" t="s">
        <v>155</v>
      </c>
    </row>
    <row r="10" spans="1:14">
      <c r="A10" s="6">
        <v>7</v>
      </c>
      <c r="B10" s="84" t="s">
        <v>169</v>
      </c>
      <c r="C10" s="6"/>
      <c r="D10" s="6"/>
      <c r="E10" s="71"/>
      <c r="F10" s="6"/>
      <c r="G10" s="72">
        <f t="shared" si="0"/>
        <v>0</v>
      </c>
      <c r="H10" s="71">
        <v>4.83</v>
      </c>
      <c r="I10" s="6">
        <v>103.44</v>
      </c>
      <c r="J10" s="72">
        <f t="shared" si="1"/>
        <v>499.61520000000002</v>
      </c>
      <c r="K10" s="72">
        <f t="shared" si="2"/>
        <v>499.61520000000002</v>
      </c>
      <c r="L10" s="72">
        <v>0</v>
      </c>
      <c r="M10" s="156">
        <f t="shared" si="3"/>
        <v>33891.3802</v>
      </c>
      <c r="N10" s="50" t="s">
        <v>155</v>
      </c>
    </row>
    <row r="11" spans="1:14">
      <c r="A11" s="6">
        <v>8</v>
      </c>
      <c r="B11" s="84" t="s">
        <v>170</v>
      </c>
      <c r="C11" s="6"/>
      <c r="D11" s="6"/>
      <c r="E11" s="71">
        <v>45.46</v>
      </c>
      <c r="F11" s="6">
        <v>91.5</v>
      </c>
      <c r="G11" s="72">
        <f t="shared" si="0"/>
        <v>4159.59</v>
      </c>
      <c r="H11" s="71"/>
      <c r="I11" s="6"/>
      <c r="J11" s="72">
        <f t="shared" si="1"/>
        <v>0</v>
      </c>
      <c r="K11" s="72">
        <f t="shared" si="2"/>
        <v>4159.59</v>
      </c>
      <c r="L11" s="72">
        <v>0</v>
      </c>
      <c r="M11" s="156">
        <f t="shared" si="3"/>
        <v>38050.970199999996</v>
      </c>
      <c r="N11" s="50" t="s">
        <v>155</v>
      </c>
    </row>
    <row r="12" spans="1:14">
      <c r="A12" s="6">
        <v>9</v>
      </c>
      <c r="B12" s="84" t="s">
        <v>170</v>
      </c>
      <c r="C12" s="6"/>
      <c r="D12" s="6"/>
      <c r="E12" s="71">
        <v>20</v>
      </c>
      <c r="F12" s="6">
        <v>91.5</v>
      </c>
      <c r="G12" s="72">
        <f t="shared" si="0"/>
        <v>1830</v>
      </c>
      <c r="H12" s="71"/>
      <c r="I12" s="6"/>
      <c r="J12" s="72">
        <f t="shared" si="1"/>
        <v>0</v>
      </c>
      <c r="K12" s="72">
        <f t="shared" si="2"/>
        <v>1830</v>
      </c>
      <c r="L12" s="72">
        <v>0</v>
      </c>
      <c r="M12" s="156">
        <f t="shared" si="3"/>
        <v>39880.970199999996</v>
      </c>
      <c r="N12" s="50" t="s">
        <v>155</v>
      </c>
    </row>
    <row r="13" spans="1:14">
      <c r="A13" s="6">
        <v>10</v>
      </c>
      <c r="B13" s="84" t="s">
        <v>128</v>
      </c>
      <c r="C13" s="6"/>
      <c r="D13" s="6"/>
      <c r="E13" s="71">
        <v>38.619999999999997</v>
      </c>
      <c r="F13" s="6">
        <v>91.5</v>
      </c>
      <c r="G13" s="72">
        <f t="shared" si="0"/>
        <v>3533.7299999999996</v>
      </c>
      <c r="H13" s="71"/>
      <c r="I13" s="6"/>
      <c r="J13" s="72">
        <f t="shared" si="1"/>
        <v>0</v>
      </c>
      <c r="K13" s="72">
        <f t="shared" si="2"/>
        <v>3533.7299999999996</v>
      </c>
      <c r="L13" s="72">
        <v>0</v>
      </c>
      <c r="M13" s="156">
        <f t="shared" si="3"/>
        <v>43414.700199999992</v>
      </c>
      <c r="N13" s="50" t="s">
        <v>155</v>
      </c>
    </row>
    <row r="14" spans="1:14">
      <c r="A14" s="6">
        <v>11</v>
      </c>
      <c r="B14" s="84" t="s">
        <v>171</v>
      </c>
      <c r="C14" s="6"/>
      <c r="D14" s="6"/>
      <c r="E14" s="346"/>
      <c r="F14" s="367"/>
      <c r="G14" s="72">
        <f t="shared" si="0"/>
        <v>0</v>
      </c>
      <c r="H14" s="71"/>
      <c r="I14" s="6"/>
      <c r="J14" s="72">
        <f t="shared" si="1"/>
        <v>0</v>
      </c>
      <c r="K14" s="72">
        <f t="shared" si="2"/>
        <v>0</v>
      </c>
      <c r="L14" s="72">
        <v>20000</v>
      </c>
      <c r="M14" s="156">
        <f t="shared" si="3"/>
        <v>23414.700199999992</v>
      </c>
      <c r="N14" s="50" t="s">
        <v>155</v>
      </c>
    </row>
    <row r="15" spans="1:14">
      <c r="A15" s="6">
        <v>12</v>
      </c>
      <c r="B15" s="84" t="s">
        <v>172</v>
      </c>
      <c r="C15" s="6"/>
      <c r="D15" s="6"/>
      <c r="E15" s="346">
        <v>72.95</v>
      </c>
      <c r="F15" s="367">
        <v>91.5</v>
      </c>
      <c r="G15" s="72">
        <f t="shared" si="0"/>
        <v>6674.9250000000002</v>
      </c>
      <c r="H15" s="71">
        <v>5</v>
      </c>
      <c r="I15" s="6">
        <v>103.44</v>
      </c>
      <c r="J15" s="72">
        <f t="shared" si="1"/>
        <v>517.20000000000005</v>
      </c>
      <c r="K15" s="72">
        <f t="shared" si="2"/>
        <v>7192.125</v>
      </c>
      <c r="L15" s="72">
        <v>0</v>
      </c>
      <c r="M15" s="156">
        <f t="shared" si="3"/>
        <v>30606.825199999992</v>
      </c>
      <c r="N15" s="50" t="s">
        <v>155</v>
      </c>
    </row>
    <row r="16" spans="1:14">
      <c r="A16" s="6">
        <v>13</v>
      </c>
      <c r="B16" s="84" t="s">
        <v>173</v>
      </c>
      <c r="C16" s="6"/>
      <c r="D16" s="6"/>
      <c r="E16" s="71">
        <v>30</v>
      </c>
      <c r="F16" s="367">
        <v>91.5</v>
      </c>
      <c r="G16" s="72">
        <f t="shared" si="0"/>
        <v>2745</v>
      </c>
      <c r="H16" s="71">
        <v>9.83</v>
      </c>
      <c r="I16" s="6">
        <v>103.44</v>
      </c>
      <c r="J16" s="72">
        <f t="shared" si="1"/>
        <v>1016.8152</v>
      </c>
      <c r="K16" s="72">
        <f t="shared" si="2"/>
        <v>3761.8152</v>
      </c>
      <c r="L16" s="72">
        <v>0</v>
      </c>
      <c r="M16" s="156">
        <f t="shared" si="3"/>
        <v>34368.640399999989</v>
      </c>
      <c r="N16" s="50" t="s">
        <v>155</v>
      </c>
    </row>
    <row r="17" spans="1:14">
      <c r="A17" s="6">
        <v>14</v>
      </c>
      <c r="B17" s="84" t="s">
        <v>174</v>
      </c>
      <c r="C17" s="6"/>
      <c r="D17" s="6"/>
      <c r="E17" s="71">
        <v>30</v>
      </c>
      <c r="F17" s="367">
        <v>91.5</v>
      </c>
      <c r="G17" s="72">
        <f t="shared" si="0"/>
        <v>2745</v>
      </c>
      <c r="H17" s="346">
        <f>10+5.8</f>
        <v>15.8</v>
      </c>
      <c r="I17" s="6">
        <v>103.44</v>
      </c>
      <c r="J17" s="72">
        <f t="shared" si="1"/>
        <v>1634.3520000000001</v>
      </c>
      <c r="K17" s="72">
        <f t="shared" si="2"/>
        <v>4379.3519999999999</v>
      </c>
      <c r="L17" s="72">
        <v>0</v>
      </c>
      <c r="M17" s="156">
        <f t="shared" si="3"/>
        <v>38747.992399999988</v>
      </c>
      <c r="N17" s="50" t="s">
        <v>155</v>
      </c>
    </row>
    <row r="18" spans="1:14">
      <c r="A18" s="6">
        <v>15</v>
      </c>
      <c r="B18" s="84" t="s">
        <v>175</v>
      </c>
      <c r="C18" s="6"/>
      <c r="D18" s="6"/>
      <c r="E18" s="71">
        <v>20</v>
      </c>
      <c r="F18" s="367">
        <v>91.5</v>
      </c>
      <c r="G18" s="72">
        <f t="shared" si="0"/>
        <v>1830</v>
      </c>
      <c r="H18" s="346">
        <v>4.83</v>
      </c>
      <c r="I18" s="6">
        <v>103.44</v>
      </c>
      <c r="J18" s="72">
        <f t="shared" si="1"/>
        <v>499.61520000000002</v>
      </c>
      <c r="K18" s="72">
        <f t="shared" si="2"/>
        <v>2329.6152000000002</v>
      </c>
      <c r="L18" s="72">
        <v>0</v>
      </c>
      <c r="M18" s="156">
        <f t="shared" si="3"/>
        <v>41077.607599999988</v>
      </c>
      <c r="N18" s="50" t="s">
        <v>155</v>
      </c>
    </row>
    <row r="19" spans="1:14">
      <c r="A19" s="6">
        <v>16</v>
      </c>
      <c r="B19" s="84" t="s">
        <v>176</v>
      </c>
      <c r="C19" s="6"/>
      <c r="D19" s="6"/>
      <c r="E19" s="346">
        <v>69.45</v>
      </c>
      <c r="F19" s="367">
        <v>91.5</v>
      </c>
      <c r="G19" s="72">
        <f t="shared" si="0"/>
        <v>6354.6750000000002</v>
      </c>
      <c r="H19" s="71"/>
      <c r="I19" s="6"/>
      <c r="J19" s="72">
        <f t="shared" si="1"/>
        <v>0</v>
      </c>
      <c r="K19" s="72">
        <f t="shared" si="2"/>
        <v>6354.6750000000002</v>
      </c>
      <c r="L19" s="72">
        <v>0</v>
      </c>
      <c r="M19" s="156">
        <f t="shared" si="3"/>
        <v>47432.282599999991</v>
      </c>
      <c r="N19" s="50" t="s">
        <v>155</v>
      </c>
    </row>
    <row r="20" spans="1:14">
      <c r="A20" s="6">
        <v>17</v>
      </c>
      <c r="B20" s="84" t="s">
        <v>131</v>
      </c>
      <c r="C20" s="6"/>
      <c r="D20" s="6"/>
      <c r="E20" s="346">
        <v>21.95</v>
      </c>
      <c r="F20" s="367">
        <v>91.13</v>
      </c>
      <c r="G20" s="72">
        <f t="shared" si="0"/>
        <v>2000.3034999999998</v>
      </c>
      <c r="H20" s="71">
        <v>6.77</v>
      </c>
      <c r="I20" s="6">
        <v>103.44</v>
      </c>
      <c r="J20" s="72">
        <f t="shared" si="1"/>
        <v>700.28879999999992</v>
      </c>
      <c r="K20" s="72">
        <f t="shared" si="2"/>
        <v>2700.5922999999998</v>
      </c>
      <c r="L20" s="72">
        <v>2000</v>
      </c>
      <c r="M20" s="156">
        <f t="shared" si="3"/>
        <v>48132.874899999988</v>
      </c>
      <c r="N20" s="50" t="s">
        <v>155</v>
      </c>
    </row>
    <row r="21" spans="1:14">
      <c r="A21" s="6">
        <v>18</v>
      </c>
      <c r="B21" s="84" t="s">
        <v>177</v>
      </c>
      <c r="C21" s="6"/>
      <c r="D21" s="6"/>
      <c r="E21" s="71">
        <v>20</v>
      </c>
      <c r="F21" s="367">
        <v>91.5</v>
      </c>
      <c r="G21" s="72">
        <f t="shared" si="0"/>
        <v>1830</v>
      </c>
      <c r="H21" s="71"/>
      <c r="I21" s="6"/>
      <c r="J21" s="72">
        <f t="shared" si="1"/>
        <v>0</v>
      </c>
      <c r="K21" s="72">
        <f t="shared" si="2"/>
        <v>1830</v>
      </c>
      <c r="L21" s="72">
        <v>0</v>
      </c>
      <c r="M21" s="156">
        <f t="shared" si="3"/>
        <v>49962.874899999988</v>
      </c>
      <c r="N21" s="50" t="s">
        <v>155</v>
      </c>
    </row>
    <row r="22" spans="1:14">
      <c r="A22" s="6">
        <v>19</v>
      </c>
      <c r="B22" s="84" t="s">
        <v>178</v>
      </c>
      <c r="C22" s="6"/>
      <c r="D22" s="6"/>
      <c r="E22" s="71"/>
      <c r="F22" s="367"/>
      <c r="G22" s="72">
        <f t="shared" si="0"/>
        <v>0</v>
      </c>
      <c r="H22" s="71"/>
      <c r="I22" s="6"/>
      <c r="J22" s="72">
        <f t="shared" si="1"/>
        <v>0</v>
      </c>
      <c r="K22" s="72">
        <f t="shared" si="2"/>
        <v>0</v>
      </c>
      <c r="L22" s="72">
        <v>30000</v>
      </c>
      <c r="M22" s="156">
        <f t="shared" si="3"/>
        <v>19962.874899999988</v>
      </c>
      <c r="N22" s="50" t="s">
        <v>155</v>
      </c>
    </row>
    <row r="23" spans="1:14">
      <c r="A23" s="6">
        <v>20</v>
      </c>
      <c r="B23" s="84" t="s">
        <v>179</v>
      </c>
      <c r="C23" s="6"/>
      <c r="D23" s="6"/>
      <c r="E23" s="71">
        <v>34.869999999999997</v>
      </c>
      <c r="F23" s="367">
        <v>91.5</v>
      </c>
      <c r="G23" s="72">
        <f t="shared" si="0"/>
        <v>3190.6049999999996</v>
      </c>
      <c r="H23" s="71">
        <v>4.4400000000000004</v>
      </c>
      <c r="I23" s="6">
        <v>103.44</v>
      </c>
      <c r="J23" s="72">
        <f t="shared" si="1"/>
        <v>459.27360000000004</v>
      </c>
      <c r="K23" s="72">
        <f t="shared" si="2"/>
        <v>3649.8785999999996</v>
      </c>
      <c r="L23" s="72">
        <v>0</v>
      </c>
      <c r="M23" s="156">
        <f t="shared" si="3"/>
        <v>23612.753499999988</v>
      </c>
      <c r="N23" s="50" t="s">
        <v>155</v>
      </c>
    </row>
    <row r="24" spans="1:14">
      <c r="A24" s="6">
        <v>21</v>
      </c>
      <c r="B24" s="84" t="s">
        <v>133</v>
      </c>
      <c r="C24" s="6"/>
      <c r="D24" s="6"/>
      <c r="E24" s="71"/>
      <c r="F24" s="6"/>
      <c r="G24" s="72">
        <f t="shared" si="0"/>
        <v>0</v>
      </c>
      <c r="H24" s="71">
        <v>4.83</v>
      </c>
      <c r="I24" s="6">
        <v>103.44</v>
      </c>
      <c r="J24" s="72">
        <f t="shared" si="1"/>
        <v>499.61520000000002</v>
      </c>
      <c r="K24" s="72">
        <f t="shared" si="2"/>
        <v>499.61520000000002</v>
      </c>
      <c r="L24" s="72">
        <v>0</v>
      </c>
      <c r="M24" s="156">
        <f t="shared" si="3"/>
        <v>24112.368699999988</v>
      </c>
      <c r="N24" s="50" t="s">
        <v>155</v>
      </c>
    </row>
    <row r="25" spans="1:14">
      <c r="A25" s="6">
        <v>22</v>
      </c>
      <c r="B25" s="84" t="s">
        <v>180</v>
      </c>
      <c r="C25" s="6"/>
      <c r="D25" s="6"/>
      <c r="E25" s="71">
        <v>0</v>
      </c>
      <c r="F25" s="6">
        <v>91.5</v>
      </c>
      <c r="G25" s="72">
        <f t="shared" si="0"/>
        <v>0</v>
      </c>
      <c r="H25" s="71">
        <v>0</v>
      </c>
      <c r="I25" s="6">
        <v>103.44</v>
      </c>
      <c r="J25" s="72">
        <f t="shared" si="1"/>
        <v>0</v>
      </c>
      <c r="K25" s="72">
        <f t="shared" si="2"/>
        <v>0</v>
      </c>
      <c r="L25" s="72">
        <v>0</v>
      </c>
      <c r="M25" s="156">
        <f t="shared" si="3"/>
        <v>24112.368699999988</v>
      </c>
      <c r="N25" s="50" t="s">
        <v>155</v>
      </c>
    </row>
    <row r="26" spans="1:14">
      <c r="A26" s="6">
        <v>23</v>
      </c>
      <c r="B26" s="84" t="s">
        <v>136</v>
      </c>
      <c r="C26" s="6"/>
      <c r="D26" s="6"/>
      <c r="E26" s="71">
        <v>60</v>
      </c>
      <c r="F26" s="6">
        <v>91.5</v>
      </c>
      <c r="G26" s="72">
        <f t="shared" si="0"/>
        <v>5490</v>
      </c>
      <c r="H26" s="71">
        <v>4.83</v>
      </c>
      <c r="I26" s="6">
        <v>103.44</v>
      </c>
      <c r="J26" s="72">
        <f t="shared" si="1"/>
        <v>499.61520000000002</v>
      </c>
      <c r="K26" s="72">
        <f t="shared" si="2"/>
        <v>5989.6152000000002</v>
      </c>
      <c r="L26" s="72">
        <v>0</v>
      </c>
      <c r="M26" s="156">
        <f t="shared" si="3"/>
        <v>30101.983899999988</v>
      </c>
      <c r="N26" s="50" t="s">
        <v>155</v>
      </c>
    </row>
    <row r="27" spans="1:14">
      <c r="A27" s="6">
        <v>24</v>
      </c>
      <c r="B27" s="84" t="s">
        <v>138</v>
      </c>
      <c r="C27" s="6"/>
      <c r="D27" s="6"/>
      <c r="E27" s="71">
        <v>62.96</v>
      </c>
      <c r="F27" s="6">
        <v>91.5</v>
      </c>
      <c r="G27" s="72">
        <f t="shared" si="0"/>
        <v>5760.84</v>
      </c>
      <c r="H27" s="71">
        <v>15.6</v>
      </c>
      <c r="I27" s="6">
        <v>103.44</v>
      </c>
      <c r="J27" s="72">
        <f t="shared" si="1"/>
        <v>1613.664</v>
      </c>
      <c r="K27" s="72">
        <f t="shared" si="2"/>
        <v>7374.5039999999999</v>
      </c>
      <c r="L27" s="72">
        <v>0</v>
      </c>
      <c r="M27" s="156">
        <f t="shared" si="3"/>
        <v>37476.487899999986</v>
      </c>
      <c r="N27" s="50" t="s">
        <v>155</v>
      </c>
    </row>
    <row r="28" spans="1:14">
      <c r="A28" s="6">
        <v>25</v>
      </c>
      <c r="B28" s="84" t="s">
        <v>181</v>
      </c>
      <c r="C28" s="6"/>
      <c r="D28" s="6"/>
      <c r="E28" s="71">
        <v>64.17</v>
      </c>
      <c r="F28" s="6">
        <v>91.5</v>
      </c>
      <c r="G28" s="72">
        <f t="shared" si="0"/>
        <v>5871.5550000000003</v>
      </c>
      <c r="H28" s="71"/>
      <c r="I28" s="6"/>
      <c r="J28" s="72">
        <f t="shared" si="1"/>
        <v>0</v>
      </c>
      <c r="K28" s="72">
        <f t="shared" si="2"/>
        <v>5871.5550000000003</v>
      </c>
      <c r="L28" s="72">
        <v>0</v>
      </c>
      <c r="M28" s="156">
        <f t="shared" si="3"/>
        <v>43348.042899999986</v>
      </c>
      <c r="N28" s="50" t="s">
        <v>155</v>
      </c>
    </row>
    <row r="29" spans="1:14">
      <c r="A29" s="6">
        <v>26</v>
      </c>
      <c r="B29" s="84" t="s">
        <v>182</v>
      </c>
      <c r="C29" s="6"/>
      <c r="D29" s="6"/>
      <c r="E29" s="71">
        <v>60</v>
      </c>
      <c r="F29" s="6">
        <v>91.5</v>
      </c>
      <c r="G29" s="72">
        <f t="shared" si="0"/>
        <v>5490</v>
      </c>
      <c r="H29" s="71"/>
      <c r="I29" s="6"/>
      <c r="J29" s="72">
        <f t="shared" si="1"/>
        <v>0</v>
      </c>
      <c r="K29" s="72">
        <f t="shared" si="2"/>
        <v>5490</v>
      </c>
      <c r="L29" s="72">
        <v>0</v>
      </c>
      <c r="M29" s="156">
        <f t="shared" si="3"/>
        <v>48838.042899999986</v>
      </c>
      <c r="N29" s="50" t="s">
        <v>155</v>
      </c>
    </row>
    <row r="30" spans="1:14">
      <c r="A30" s="6">
        <v>27</v>
      </c>
      <c r="B30" s="84" t="s">
        <v>183</v>
      </c>
      <c r="C30" s="6"/>
      <c r="D30" s="6"/>
      <c r="E30" s="71">
        <v>56.74</v>
      </c>
      <c r="F30" s="6">
        <v>91.5</v>
      </c>
      <c r="G30" s="72">
        <f t="shared" si="0"/>
        <v>5191.71</v>
      </c>
      <c r="H30" s="71">
        <v>15.9</v>
      </c>
      <c r="I30" s="6">
        <v>103.44</v>
      </c>
      <c r="J30" s="72">
        <f t="shared" si="1"/>
        <v>1644.6959999999999</v>
      </c>
      <c r="K30" s="72">
        <f t="shared" si="2"/>
        <v>6836.4059999999999</v>
      </c>
      <c r="L30" s="72">
        <v>0</v>
      </c>
      <c r="M30" s="156">
        <f t="shared" si="3"/>
        <v>55674.448899999988</v>
      </c>
      <c r="N30" s="50" t="s">
        <v>155</v>
      </c>
    </row>
    <row r="31" spans="1:14">
      <c r="A31" s="6">
        <v>28</v>
      </c>
      <c r="B31" s="84"/>
      <c r="C31" s="6"/>
      <c r="D31" s="6"/>
      <c r="E31" s="71"/>
      <c r="F31" s="6"/>
      <c r="G31" s="72">
        <f t="shared" si="0"/>
        <v>0</v>
      </c>
      <c r="H31" s="71"/>
      <c r="I31" s="6"/>
      <c r="J31" s="72">
        <f t="shared" si="1"/>
        <v>0</v>
      </c>
      <c r="K31" s="72">
        <f t="shared" si="2"/>
        <v>0</v>
      </c>
      <c r="L31" s="72">
        <v>0</v>
      </c>
      <c r="M31" s="156">
        <f t="shared" si="3"/>
        <v>55674.448899999988</v>
      </c>
      <c r="N31" s="50" t="s">
        <v>155</v>
      </c>
    </row>
    <row r="32" spans="1:14">
      <c r="A32" s="6">
        <v>29</v>
      </c>
      <c r="B32" s="84"/>
      <c r="C32" s="6"/>
      <c r="D32" s="6"/>
      <c r="E32" s="71"/>
      <c r="F32" s="6"/>
      <c r="G32" s="72">
        <f t="shared" si="0"/>
        <v>0</v>
      </c>
      <c r="H32" s="71"/>
      <c r="I32" s="6"/>
      <c r="J32" s="72">
        <f t="shared" si="1"/>
        <v>0</v>
      </c>
      <c r="K32" s="72">
        <f t="shared" si="2"/>
        <v>0</v>
      </c>
      <c r="L32" s="72">
        <v>0</v>
      </c>
      <c r="M32" s="156">
        <f t="shared" si="3"/>
        <v>55674.448899999988</v>
      </c>
      <c r="N32" s="50" t="s">
        <v>155</v>
      </c>
    </row>
    <row r="33" spans="1:15">
      <c r="A33" s="6">
        <v>30</v>
      </c>
      <c r="B33" s="84"/>
      <c r="C33" s="6"/>
      <c r="D33" s="6"/>
      <c r="E33" s="71"/>
      <c r="F33" s="6"/>
      <c r="G33" s="72">
        <f t="shared" si="0"/>
        <v>0</v>
      </c>
      <c r="H33" s="71"/>
      <c r="I33" s="6"/>
      <c r="J33" s="72">
        <f t="shared" si="1"/>
        <v>0</v>
      </c>
      <c r="K33" s="72">
        <f t="shared" si="2"/>
        <v>0</v>
      </c>
      <c r="L33" s="72">
        <v>0</v>
      </c>
      <c r="M33" s="156">
        <f t="shared" si="3"/>
        <v>55674.448899999988</v>
      </c>
      <c r="N33" s="50" t="s">
        <v>155</v>
      </c>
    </row>
    <row r="34" spans="1:15">
      <c r="A34" s="6">
        <v>31</v>
      </c>
      <c r="B34" s="84"/>
      <c r="C34" s="6"/>
      <c r="D34" s="6"/>
      <c r="E34" s="71"/>
      <c r="F34" s="6"/>
      <c r="G34" s="72">
        <f t="shared" si="0"/>
        <v>0</v>
      </c>
      <c r="H34" s="71"/>
      <c r="I34" s="6"/>
      <c r="J34" s="72">
        <f t="shared" si="1"/>
        <v>0</v>
      </c>
      <c r="K34" s="72">
        <f t="shared" si="2"/>
        <v>0</v>
      </c>
      <c r="L34" s="72">
        <v>0</v>
      </c>
      <c r="M34" s="156">
        <f t="shared" si="3"/>
        <v>55674.448899999988</v>
      </c>
      <c r="N34" s="50" t="s">
        <v>155</v>
      </c>
    </row>
    <row r="35" spans="1:15">
      <c r="A35" s="6">
        <v>32</v>
      </c>
      <c r="B35" s="84"/>
      <c r="C35" s="6"/>
      <c r="D35" s="6"/>
      <c r="E35" s="71"/>
      <c r="F35" s="6"/>
      <c r="G35" s="72">
        <f t="shared" si="0"/>
        <v>0</v>
      </c>
      <c r="H35" s="71"/>
      <c r="I35" s="6"/>
      <c r="J35" s="72">
        <f t="shared" si="1"/>
        <v>0</v>
      </c>
      <c r="K35" s="72">
        <f t="shared" si="2"/>
        <v>0</v>
      </c>
      <c r="L35" s="72">
        <v>0</v>
      </c>
      <c r="M35" s="156">
        <f t="shared" si="3"/>
        <v>55674.448899999988</v>
      </c>
      <c r="N35" s="50" t="s">
        <v>155</v>
      </c>
    </row>
    <row r="36" spans="1:15">
      <c r="A36" s="6">
        <v>33</v>
      </c>
      <c r="B36" s="84"/>
      <c r="C36" s="6"/>
      <c r="D36" s="6"/>
      <c r="E36" s="71"/>
      <c r="F36" s="6"/>
      <c r="G36" s="72">
        <f t="shared" si="0"/>
        <v>0</v>
      </c>
      <c r="H36" s="71">
        <v>0</v>
      </c>
      <c r="I36" s="6">
        <v>0</v>
      </c>
      <c r="J36" s="72">
        <f t="shared" si="1"/>
        <v>0</v>
      </c>
      <c r="K36" s="72">
        <f t="shared" si="2"/>
        <v>0</v>
      </c>
      <c r="L36" s="72">
        <v>0</v>
      </c>
      <c r="M36" s="156">
        <f t="shared" si="3"/>
        <v>55674.448899999988</v>
      </c>
      <c r="N36" s="50" t="s">
        <v>155</v>
      </c>
    </row>
    <row r="37" spans="1:15">
      <c r="A37" s="6">
        <v>34</v>
      </c>
      <c r="B37" s="84"/>
      <c r="C37" s="6"/>
      <c r="D37" s="6"/>
      <c r="E37" s="71">
        <v>0</v>
      </c>
      <c r="F37" s="6">
        <v>0</v>
      </c>
      <c r="G37" s="72">
        <f t="shared" si="0"/>
        <v>0</v>
      </c>
      <c r="H37" s="71">
        <v>0</v>
      </c>
      <c r="I37" s="6">
        <v>0</v>
      </c>
      <c r="J37" s="72">
        <f t="shared" si="1"/>
        <v>0</v>
      </c>
      <c r="K37" s="72">
        <f t="shared" si="2"/>
        <v>0</v>
      </c>
      <c r="L37" s="72">
        <v>0</v>
      </c>
      <c r="M37" s="156">
        <f t="shared" si="3"/>
        <v>55674.448899999988</v>
      </c>
      <c r="N37" s="50" t="s">
        <v>155</v>
      </c>
    </row>
    <row r="38" spans="1:15">
      <c r="A38" s="6">
        <v>35</v>
      </c>
      <c r="B38" s="84"/>
      <c r="C38" s="6"/>
      <c r="D38" s="6"/>
      <c r="E38" s="71">
        <v>0</v>
      </c>
      <c r="F38" s="6">
        <v>0</v>
      </c>
      <c r="G38" s="72">
        <f t="shared" si="0"/>
        <v>0</v>
      </c>
      <c r="H38" s="71">
        <v>0</v>
      </c>
      <c r="I38" s="6">
        <v>0</v>
      </c>
      <c r="J38" s="72">
        <f t="shared" si="1"/>
        <v>0</v>
      </c>
      <c r="K38" s="72">
        <f t="shared" si="2"/>
        <v>0</v>
      </c>
      <c r="L38" s="72">
        <v>0</v>
      </c>
      <c r="M38" s="156">
        <f t="shared" si="3"/>
        <v>55674.448899999988</v>
      </c>
      <c r="N38" s="50" t="s">
        <v>155</v>
      </c>
    </row>
    <row r="39" spans="1:15">
      <c r="A39" s="6">
        <v>36</v>
      </c>
      <c r="B39" s="84"/>
      <c r="C39" s="6"/>
      <c r="D39" s="6"/>
      <c r="E39" s="71">
        <v>0</v>
      </c>
      <c r="F39" s="6">
        <v>0</v>
      </c>
      <c r="G39" s="72">
        <f t="shared" si="0"/>
        <v>0</v>
      </c>
      <c r="H39" s="71">
        <v>0</v>
      </c>
      <c r="I39" s="6">
        <v>0</v>
      </c>
      <c r="J39" s="72">
        <f t="shared" si="1"/>
        <v>0</v>
      </c>
      <c r="K39" s="72">
        <f t="shared" si="2"/>
        <v>0</v>
      </c>
      <c r="L39" s="72">
        <v>0</v>
      </c>
      <c r="M39" s="156">
        <f t="shared" si="3"/>
        <v>55674.448899999988</v>
      </c>
      <c r="N39" s="50" t="s">
        <v>155</v>
      </c>
    </row>
    <row r="40" spans="1:15">
      <c r="A40" s="6">
        <v>37</v>
      </c>
      <c r="B40" s="84"/>
      <c r="C40" s="6"/>
      <c r="D40" s="6"/>
      <c r="E40" s="71">
        <v>0</v>
      </c>
      <c r="F40" s="6">
        <v>0</v>
      </c>
      <c r="G40" s="72">
        <f t="shared" si="0"/>
        <v>0</v>
      </c>
      <c r="H40" s="71">
        <v>0</v>
      </c>
      <c r="I40" s="6">
        <v>0</v>
      </c>
      <c r="J40" s="72">
        <f t="shared" si="1"/>
        <v>0</v>
      </c>
      <c r="K40" s="72">
        <f t="shared" si="2"/>
        <v>0</v>
      </c>
      <c r="L40" s="72">
        <v>0</v>
      </c>
      <c r="M40" s="156">
        <f t="shared" si="3"/>
        <v>55674.448899999988</v>
      </c>
      <c r="N40" s="50" t="s">
        <v>155</v>
      </c>
    </row>
    <row r="41" spans="1:15">
      <c r="A41" s="6">
        <v>38</v>
      </c>
      <c r="B41" s="84"/>
      <c r="C41" s="6"/>
      <c r="D41" s="6"/>
      <c r="E41" s="71">
        <v>0</v>
      </c>
      <c r="F41" s="6">
        <v>0</v>
      </c>
      <c r="G41" s="72">
        <f t="shared" si="0"/>
        <v>0</v>
      </c>
      <c r="H41" s="71">
        <v>0</v>
      </c>
      <c r="I41" s="6">
        <v>0</v>
      </c>
      <c r="J41" s="72">
        <f t="shared" si="1"/>
        <v>0</v>
      </c>
      <c r="K41" s="72">
        <f t="shared" si="2"/>
        <v>0</v>
      </c>
      <c r="L41" s="72">
        <v>0</v>
      </c>
      <c r="M41" s="156">
        <f t="shared" si="3"/>
        <v>55674.448899999988</v>
      </c>
      <c r="N41" s="50" t="s">
        <v>155</v>
      </c>
    </row>
    <row r="42" spans="1:15">
      <c r="A42" s="6">
        <v>39</v>
      </c>
      <c r="B42" s="179"/>
      <c r="C42" s="178"/>
      <c r="D42" s="6"/>
      <c r="E42" s="71">
        <v>0</v>
      </c>
      <c r="F42" s="6">
        <v>0</v>
      </c>
      <c r="G42" s="72">
        <f t="shared" si="0"/>
        <v>0</v>
      </c>
      <c r="H42" s="71">
        <v>0</v>
      </c>
      <c r="I42" s="6">
        <v>0</v>
      </c>
      <c r="J42" s="72">
        <f t="shared" si="1"/>
        <v>0</v>
      </c>
      <c r="K42" s="72">
        <f t="shared" si="2"/>
        <v>0</v>
      </c>
      <c r="L42" s="72">
        <v>0</v>
      </c>
      <c r="M42" s="156">
        <f t="shared" si="3"/>
        <v>55674.448899999988</v>
      </c>
      <c r="N42" s="50" t="s">
        <v>155</v>
      </c>
    </row>
    <row r="43" spans="1:15">
      <c r="A43" s="6">
        <v>40</v>
      </c>
      <c r="B43" s="6"/>
      <c r="C43" s="6"/>
      <c r="D43" s="6"/>
      <c r="E43" s="71">
        <v>0</v>
      </c>
      <c r="F43" s="6">
        <v>0</v>
      </c>
      <c r="G43" s="72">
        <f t="shared" si="0"/>
        <v>0</v>
      </c>
      <c r="H43" s="71">
        <v>0</v>
      </c>
      <c r="I43" s="6">
        <v>0</v>
      </c>
      <c r="J43" s="72">
        <f t="shared" si="1"/>
        <v>0</v>
      </c>
      <c r="K43" s="72">
        <f t="shared" si="2"/>
        <v>0</v>
      </c>
      <c r="L43" s="72">
        <v>0</v>
      </c>
      <c r="M43" s="156">
        <f t="shared" si="3"/>
        <v>55674.448899999988</v>
      </c>
      <c r="N43" s="50" t="s">
        <v>155</v>
      </c>
    </row>
    <row r="44" spans="1:15">
      <c r="A44" s="6">
        <v>41</v>
      </c>
      <c r="B44" s="178"/>
      <c r="C44" s="178"/>
      <c r="D44" s="6"/>
      <c r="E44" s="71">
        <v>0</v>
      </c>
      <c r="F44" s="6">
        <v>0</v>
      </c>
      <c r="G44" s="72">
        <f t="shared" si="0"/>
        <v>0</v>
      </c>
      <c r="H44" s="71">
        <v>0</v>
      </c>
      <c r="I44" s="6">
        <v>0</v>
      </c>
      <c r="J44" s="72">
        <f t="shared" si="1"/>
        <v>0</v>
      </c>
      <c r="K44" s="72">
        <f t="shared" si="2"/>
        <v>0</v>
      </c>
      <c r="L44" s="72">
        <v>0</v>
      </c>
      <c r="M44" s="156">
        <f t="shared" si="3"/>
        <v>55674.448899999988</v>
      </c>
      <c r="N44" s="50" t="s">
        <v>155</v>
      </c>
    </row>
    <row r="45" spans="1:15">
      <c r="A45" s="6">
        <v>42</v>
      </c>
      <c r="B45" s="178"/>
      <c r="C45" s="178"/>
      <c r="D45" s="6"/>
      <c r="E45" s="71">
        <v>0</v>
      </c>
      <c r="F45" s="6">
        <v>0</v>
      </c>
      <c r="G45" s="72">
        <f t="shared" ref="G45" si="4">E45*F45</f>
        <v>0</v>
      </c>
      <c r="H45" s="71">
        <v>0</v>
      </c>
      <c r="I45" s="6">
        <v>0</v>
      </c>
      <c r="J45" s="72">
        <f>H45*I45</f>
        <v>0</v>
      </c>
      <c r="K45" s="72">
        <f t="shared" ref="K45" si="5">G45+J45</f>
        <v>0</v>
      </c>
      <c r="L45" s="170">
        <f t="shared" ref="L45" si="6">+K45</f>
        <v>0</v>
      </c>
      <c r="M45" s="156">
        <f t="shared" si="3"/>
        <v>55674.448899999988</v>
      </c>
      <c r="N45" s="50" t="s">
        <v>155</v>
      </c>
    </row>
    <row r="46" spans="1:15">
      <c r="A46" s="68"/>
      <c r="B46" s="68"/>
      <c r="C46" s="68"/>
      <c r="D46" s="68"/>
      <c r="E46" s="69">
        <f>SUM(E4:E45)</f>
        <v>1054.0800000000002</v>
      </c>
      <c r="F46" s="69"/>
      <c r="G46" s="69">
        <f>SUM(G4:G45)</f>
        <v>96440.198500000013</v>
      </c>
      <c r="H46" s="69">
        <f>SUM(H4:H45)</f>
        <v>126.73999999999998</v>
      </c>
      <c r="I46" s="69"/>
      <c r="J46" s="69">
        <f>SUM(J4:J45)</f>
        <v>13109.985600000002</v>
      </c>
      <c r="K46" s="69">
        <f>SUM(K4:K45)</f>
        <v>109550.1841</v>
      </c>
      <c r="L46" s="69">
        <f>SUM(L4:L45)</f>
        <v>97000</v>
      </c>
      <c r="M46" s="69"/>
      <c r="N46" s="69"/>
      <c r="O46" s="65"/>
    </row>
  </sheetData>
  <mergeCells count="2">
    <mergeCell ref="A1:N1"/>
    <mergeCell ref="A3:L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19" activePane="bottomLeft" state="frozen"/>
      <selection pane="bottomLeft" activeCell="M31" sqref="M31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43" t="s">
        <v>81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59"/>
    </row>
    <row r="2" spans="1:15">
      <c r="A2" s="104" t="s">
        <v>95</v>
      </c>
      <c r="B2" s="105" t="s">
        <v>96</v>
      </c>
      <c r="C2" s="105" t="s">
        <v>97</v>
      </c>
      <c r="D2" s="105" t="s">
        <v>111</v>
      </c>
      <c r="E2" s="105" t="s">
        <v>99</v>
      </c>
      <c r="F2" s="105" t="s">
        <v>100</v>
      </c>
      <c r="G2" s="105" t="s">
        <v>101</v>
      </c>
      <c r="H2" s="105" t="s">
        <v>102</v>
      </c>
      <c r="I2" s="105" t="s">
        <v>100</v>
      </c>
      <c r="J2" s="145" t="s">
        <v>101</v>
      </c>
      <c r="K2" s="106" t="s">
        <v>103</v>
      </c>
      <c r="L2" s="146" t="s">
        <v>104</v>
      </c>
      <c r="M2" s="150" t="s">
        <v>110</v>
      </c>
      <c r="N2" s="107" t="s">
        <v>106</v>
      </c>
      <c r="O2" s="65"/>
    </row>
    <row r="3" spans="1:15">
      <c r="A3" s="163"/>
      <c r="B3" s="17" t="s">
        <v>107</v>
      </c>
      <c r="C3" s="164"/>
      <c r="D3" s="164"/>
      <c r="E3" s="164"/>
      <c r="F3" s="164"/>
      <c r="G3" s="164"/>
      <c r="H3" s="164"/>
      <c r="I3" s="164"/>
      <c r="J3" s="165"/>
      <c r="K3" s="74">
        <v>143396.87340000007</v>
      </c>
      <c r="L3" s="166"/>
      <c r="M3" s="86">
        <f>+K3</f>
        <v>143396.87340000007</v>
      </c>
      <c r="N3" s="164"/>
      <c r="O3" s="65">
        <v>86559.56660000002</v>
      </c>
    </row>
    <row r="4" spans="1:15">
      <c r="A4" s="208">
        <v>1</v>
      </c>
      <c r="B4" s="233">
        <v>45962</v>
      </c>
      <c r="C4" s="73"/>
      <c r="D4" s="167"/>
      <c r="E4" s="71">
        <v>49.92</v>
      </c>
      <c r="F4" s="6">
        <v>91.23</v>
      </c>
      <c r="G4" s="8">
        <f>E4*F4</f>
        <v>4554.2016000000003</v>
      </c>
      <c r="H4" s="71">
        <v>22.42</v>
      </c>
      <c r="I4" s="6">
        <v>103.16</v>
      </c>
      <c r="J4" s="8">
        <f>H4*I4</f>
        <v>2312.8472000000002</v>
      </c>
      <c r="K4" s="8">
        <f>G4+J4</f>
        <v>6867.0488000000005</v>
      </c>
      <c r="L4" s="74"/>
      <c r="M4" s="74">
        <f>M3+K4-L4</f>
        <v>150263.92220000006</v>
      </c>
      <c r="N4" s="43"/>
      <c r="O4" s="75"/>
    </row>
    <row r="5" spans="1:15">
      <c r="A5" s="50">
        <v>2</v>
      </c>
      <c r="B5" s="233">
        <v>45963</v>
      </c>
      <c r="C5" s="73"/>
      <c r="D5" s="77"/>
      <c r="E5" s="71"/>
      <c r="F5" s="6"/>
      <c r="G5" s="8">
        <f t="shared" ref="G5:G34" si="0">E5*F5</f>
        <v>0</v>
      </c>
      <c r="H5" s="71">
        <v>5.8</v>
      </c>
      <c r="I5" s="6">
        <v>103.16</v>
      </c>
      <c r="J5" s="8">
        <f t="shared" ref="J5:J34" si="1">H5*I5</f>
        <v>598.32799999999997</v>
      </c>
      <c r="K5" s="8">
        <f t="shared" ref="K5:K34" si="2">G5+J5</f>
        <v>598.32799999999997</v>
      </c>
      <c r="L5" s="74"/>
      <c r="M5" s="74">
        <f t="shared" ref="M5:M19" si="3">M4+K5-L5</f>
        <v>150862.25020000007</v>
      </c>
      <c r="N5" s="43"/>
      <c r="O5" s="75"/>
    </row>
    <row r="6" spans="1:15">
      <c r="A6" s="50">
        <v>3</v>
      </c>
      <c r="B6" s="233">
        <v>45964</v>
      </c>
      <c r="C6" s="73"/>
      <c r="D6" s="77"/>
      <c r="E6" s="71">
        <v>75.900000000000006</v>
      </c>
      <c r="F6" s="6">
        <v>91.23</v>
      </c>
      <c r="G6" s="8">
        <f t="shared" si="0"/>
        <v>6924.3570000000009</v>
      </c>
      <c r="H6" s="71">
        <v>10</v>
      </c>
      <c r="I6" s="6">
        <v>103.16</v>
      </c>
      <c r="J6" s="8">
        <f t="shared" si="1"/>
        <v>1031.5999999999999</v>
      </c>
      <c r="K6" s="8">
        <f t="shared" si="2"/>
        <v>7955.9570000000003</v>
      </c>
      <c r="L6" s="74"/>
      <c r="M6" s="74">
        <f t="shared" si="3"/>
        <v>158818.20720000006</v>
      </c>
      <c r="N6" s="43"/>
      <c r="O6" s="75"/>
    </row>
    <row r="7" spans="1:15">
      <c r="A7" s="50">
        <v>4</v>
      </c>
      <c r="B7" s="233">
        <v>45965</v>
      </c>
      <c r="C7" s="73"/>
      <c r="D7" s="77"/>
      <c r="E7" s="71"/>
      <c r="F7" s="6"/>
      <c r="G7" s="8">
        <f t="shared" si="0"/>
        <v>0</v>
      </c>
      <c r="H7" s="71"/>
      <c r="I7" s="6"/>
      <c r="J7" s="8">
        <f t="shared" si="1"/>
        <v>0</v>
      </c>
      <c r="K7" s="8">
        <f t="shared" si="2"/>
        <v>0</v>
      </c>
      <c r="L7" s="74"/>
      <c r="M7" s="74">
        <f t="shared" si="3"/>
        <v>158818.20720000006</v>
      </c>
      <c r="N7" s="43"/>
      <c r="O7" s="75"/>
    </row>
    <row r="8" spans="1:15">
      <c r="A8" s="50">
        <v>5</v>
      </c>
      <c r="B8" s="233">
        <v>45966</v>
      </c>
      <c r="C8" s="73"/>
      <c r="D8" s="77"/>
      <c r="E8" s="71">
        <v>146.53</v>
      </c>
      <c r="F8" s="6">
        <v>91.23</v>
      </c>
      <c r="G8" s="8">
        <f t="shared" si="0"/>
        <v>13367.931900000001</v>
      </c>
      <c r="H8" s="71">
        <v>24.63</v>
      </c>
      <c r="I8" s="6">
        <v>103.16</v>
      </c>
      <c r="J8" s="8">
        <f t="shared" si="1"/>
        <v>2540.8307999999997</v>
      </c>
      <c r="K8" s="8">
        <f t="shared" si="2"/>
        <v>15908.762700000001</v>
      </c>
      <c r="L8" s="74"/>
      <c r="M8" s="74">
        <f t="shared" si="3"/>
        <v>174726.96990000005</v>
      </c>
      <c r="N8" s="43"/>
      <c r="O8" s="75"/>
    </row>
    <row r="9" spans="1:15">
      <c r="A9" s="50">
        <v>6</v>
      </c>
      <c r="B9" s="233">
        <v>45967</v>
      </c>
      <c r="C9" s="73"/>
      <c r="D9" s="77"/>
      <c r="E9" s="71">
        <v>185.81</v>
      </c>
      <c r="F9" s="6">
        <v>91.23</v>
      </c>
      <c r="G9" s="8">
        <f t="shared" si="0"/>
        <v>16951.4463</v>
      </c>
      <c r="H9" s="71"/>
      <c r="I9" s="6"/>
      <c r="J9" s="8">
        <f t="shared" si="1"/>
        <v>0</v>
      </c>
      <c r="K9" s="8">
        <f t="shared" si="2"/>
        <v>16951.4463</v>
      </c>
      <c r="L9" s="74"/>
      <c r="M9" s="74">
        <f t="shared" si="3"/>
        <v>191678.41620000007</v>
      </c>
      <c r="N9" s="43"/>
      <c r="O9" s="75"/>
    </row>
    <row r="10" spans="1:15">
      <c r="A10" s="50">
        <v>7</v>
      </c>
      <c r="B10" s="233">
        <v>45968</v>
      </c>
      <c r="C10" s="73"/>
      <c r="D10" s="77"/>
      <c r="E10" s="71">
        <v>46.28</v>
      </c>
      <c r="F10" s="6">
        <v>91.23</v>
      </c>
      <c r="G10" s="8">
        <f t="shared" si="0"/>
        <v>4222.1244000000006</v>
      </c>
      <c r="H10" s="71"/>
      <c r="I10" s="6"/>
      <c r="J10" s="8">
        <f t="shared" si="1"/>
        <v>0</v>
      </c>
      <c r="K10" s="8">
        <f t="shared" si="2"/>
        <v>4222.1244000000006</v>
      </c>
      <c r="L10" s="74"/>
      <c r="M10" s="74">
        <f t="shared" si="3"/>
        <v>195900.54060000007</v>
      </c>
      <c r="N10" s="43"/>
      <c r="O10" s="75"/>
    </row>
    <row r="11" spans="1:15">
      <c r="A11" s="50">
        <v>8</v>
      </c>
      <c r="B11" s="233">
        <v>45969</v>
      </c>
      <c r="C11" s="73"/>
      <c r="D11" s="77"/>
      <c r="E11" s="71">
        <v>48.35</v>
      </c>
      <c r="F11" s="6">
        <v>91.23</v>
      </c>
      <c r="G11" s="8">
        <f t="shared" si="0"/>
        <v>4410.9705000000004</v>
      </c>
      <c r="H11" s="71"/>
      <c r="I11" s="6"/>
      <c r="J11" s="8">
        <f t="shared" si="1"/>
        <v>0</v>
      </c>
      <c r="K11" s="8">
        <f t="shared" si="2"/>
        <v>4410.9705000000004</v>
      </c>
      <c r="L11" s="74"/>
      <c r="M11" s="74">
        <f t="shared" si="3"/>
        <v>200311.51110000006</v>
      </c>
      <c r="N11" s="43"/>
      <c r="O11" s="75"/>
    </row>
    <row r="12" spans="1:15">
      <c r="A12" s="50">
        <v>9</v>
      </c>
      <c r="B12" s="233">
        <v>45970</v>
      </c>
      <c r="C12" s="73"/>
      <c r="D12" s="77"/>
      <c r="E12" s="71">
        <v>39.78</v>
      </c>
      <c r="F12" s="6">
        <v>91.23</v>
      </c>
      <c r="G12" s="8">
        <f t="shared" si="0"/>
        <v>3629.1294000000003</v>
      </c>
      <c r="H12" s="71">
        <v>15</v>
      </c>
      <c r="I12" s="6">
        <v>103.16</v>
      </c>
      <c r="J12" s="8">
        <f t="shared" si="1"/>
        <v>1547.3999999999999</v>
      </c>
      <c r="K12" s="8">
        <f t="shared" si="2"/>
        <v>5176.5294000000004</v>
      </c>
      <c r="L12" s="74"/>
      <c r="M12" s="74">
        <f t="shared" si="3"/>
        <v>205488.04050000006</v>
      </c>
      <c r="N12" s="43"/>
      <c r="O12" s="75"/>
    </row>
    <row r="13" spans="1:15">
      <c r="A13" s="50">
        <v>10</v>
      </c>
      <c r="B13" s="233">
        <v>45971</v>
      </c>
      <c r="C13" s="197"/>
      <c r="D13" s="198"/>
      <c r="E13" s="71"/>
      <c r="F13" s="6"/>
      <c r="G13" s="8">
        <f t="shared" si="0"/>
        <v>0</v>
      </c>
      <c r="H13" s="71">
        <v>5</v>
      </c>
      <c r="I13" s="6">
        <v>103.16</v>
      </c>
      <c r="J13" s="8">
        <f t="shared" si="1"/>
        <v>515.79999999999995</v>
      </c>
      <c r="K13" s="8">
        <f t="shared" si="2"/>
        <v>515.79999999999995</v>
      </c>
      <c r="L13" s="74"/>
      <c r="M13" s="74">
        <f>M12+K13-L13</f>
        <v>206003.84050000005</v>
      </c>
      <c r="N13" s="43"/>
      <c r="O13" s="75"/>
    </row>
    <row r="14" spans="1:15">
      <c r="A14" s="50">
        <v>11</v>
      </c>
      <c r="B14" s="233">
        <v>45972</v>
      </c>
      <c r="C14" s="185"/>
      <c r="D14" s="185"/>
      <c r="E14" s="71">
        <v>30</v>
      </c>
      <c r="F14" s="6">
        <v>91.23</v>
      </c>
      <c r="G14" s="8">
        <f t="shared" si="0"/>
        <v>2736.9</v>
      </c>
      <c r="H14" s="71">
        <v>12.28</v>
      </c>
      <c r="I14" s="6">
        <v>103.16</v>
      </c>
      <c r="J14" s="8">
        <f t="shared" si="1"/>
        <v>1266.8047999999999</v>
      </c>
      <c r="K14" s="8">
        <f t="shared" si="2"/>
        <v>4003.7048</v>
      </c>
      <c r="L14" s="74"/>
      <c r="M14" s="74">
        <f t="shared" si="3"/>
        <v>210007.54530000006</v>
      </c>
      <c r="N14" s="43"/>
      <c r="O14" s="75"/>
    </row>
    <row r="15" spans="1:15">
      <c r="A15" s="50">
        <v>12</v>
      </c>
      <c r="B15" s="233">
        <v>45973</v>
      </c>
      <c r="C15" s="185"/>
      <c r="D15" s="185"/>
      <c r="E15" s="71">
        <v>55.21</v>
      </c>
      <c r="F15" s="6">
        <v>91.23</v>
      </c>
      <c r="G15" s="8">
        <f t="shared" si="0"/>
        <v>5036.8083000000006</v>
      </c>
      <c r="H15" s="71"/>
      <c r="I15" s="6"/>
      <c r="J15" s="8">
        <f t="shared" si="1"/>
        <v>0</v>
      </c>
      <c r="K15" s="8">
        <f t="shared" si="2"/>
        <v>5036.8083000000006</v>
      </c>
      <c r="L15" s="74"/>
      <c r="M15" s="74">
        <f t="shared" si="3"/>
        <v>215044.35360000006</v>
      </c>
      <c r="N15" s="43"/>
      <c r="O15" s="75"/>
    </row>
    <row r="16" spans="1:15">
      <c r="A16" s="50">
        <v>13</v>
      </c>
      <c r="B16" s="233">
        <v>45974</v>
      </c>
      <c r="C16" s="185"/>
      <c r="D16" s="185"/>
      <c r="E16" s="71">
        <v>50</v>
      </c>
      <c r="F16" s="6">
        <v>91.23</v>
      </c>
      <c r="G16" s="8">
        <f t="shared" si="0"/>
        <v>4561.5</v>
      </c>
      <c r="H16" s="71">
        <v>5</v>
      </c>
      <c r="I16" s="6">
        <v>103.16</v>
      </c>
      <c r="J16" s="8">
        <f t="shared" si="1"/>
        <v>515.79999999999995</v>
      </c>
      <c r="K16" s="8">
        <f t="shared" si="2"/>
        <v>5077.3</v>
      </c>
      <c r="L16" s="74"/>
      <c r="M16" s="74">
        <f t="shared" si="3"/>
        <v>220121.65360000005</v>
      </c>
      <c r="N16" s="43"/>
      <c r="O16" s="75"/>
    </row>
    <row r="17" spans="1:15">
      <c r="A17" s="50">
        <v>14</v>
      </c>
      <c r="B17" s="233">
        <v>45975</v>
      </c>
      <c r="C17" s="185"/>
      <c r="D17" s="185"/>
      <c r="E17" s="71">
        <v>27.82</v>
      </c>
      <c r="F17" s="6">
        <v>91.23</v>
      </c>
      <c r="G17" s="8">
        <f t="shared" si="0"/>
        <v>2538.0186000000003</v>
      </c>
      <c r="H17" s="71">
        <v>6.79</v>
      </c>
      <c r="I17" s="6">
        <v>103.16</v>
      </c>
      <c r="J17" s="8">
        <f t="shared" si="1"/>
        <v>700.45640000000003</v>
      </c>
      <c r="K17" s="8">
        <f t="shared" si="2"/>
        <v>3238.4750000000004</v>
      </c>
      <c r="L17" s="74"/>
      <c r="M17" s="74">
        <f t="shared" si="3"/>
        <v>223360.12860000005</v>
      </c>
      <c r="N17" s="43"/>
      <c r="O17" s="75"/>
    </row>
    <row r="18" spans="1:15">
      <c r="A18" s="50">
        <v>15</v>
      </c>
      <c r="B18" s="233">
        <v>45976</v>
      </c>
      <c r="C18" s="185"/>
      <c r="D18" s="185"/>
      <c r="E18" s="71"/>
      <c r="F18" s="6"/>
      <c r="G18" s="8">
        <f t="shared" si="0"/>
        <v>0</v>
      </c>
      <c r="H18" s="71"/>
      <c r="I18" s="6"/>
      <c r="J18" s="8">
        <f t="shared" si="1"/>
        <v>0</v>
      </c>
      <c r="K18" s="8">
        <f t="shared" si="2"/>
        <v>0</v>
      </c>
      <c r="L18" s="74"/>
      <c r="M18" s="74">
        <f t="shared" si="3"/>
        <v>223360.12860000005</v>
      </c>
      <c r="N18" s="43"/>
      <c r="O18" s="75"/>
    </row>
    <row r="19" spans="1:15">
      <c r="A19" s="50">
        <v>16</v>
      </c>
      <c r="B19" s="233">
        <v>45977</v>
      </c>
      <c r="C19" s="185"/>
      <c r="D19" s="185"/>
      <c r="E19" s="71">
        <v>20</v>
      </c>
      <c r="F19" s="6">
        <v>91.23</v>
      </c>
      <c r="G19" s="8">
        <f t="shared" si="0"/>
        <v>1824.6000000000001</v>
      </c>
      <c r="H19" s="71"/>
      <c r="I19" s="6"/>
      <c r="J19" s="8">
        <f t="shared" si="1"/>
        <v>0</v>
      </c>
      <c r="K19" s="8">
        <f t="shared" si="2"/>
        <v>1824.6000000000001</v>
      </c>
      <c r="L19" s="74"/>
      <c r="M19" s="74">
        <f t="shared" si="3"/>
        <v>225184.72860000006</v>
      </c>
      <c r="N19" s="43"/>
      <c r="O19" s="75"/>
    </row>
    <row r="20" spans="1:15">
      <c r="A20" s="50">
        <v>17</v>
      </c>
      <c r="B20" s="233">
        <v>45978</v>
      </c>
      <c r="C20" s="185"/>
      <c r="D20" s="185"/>
      <c r="E20" s="71"/>
      <c r="F20" s="6"/>
      <c r="G20" s="8">
        <f t="shared" si="0"/>
        <v>0</v>
      </c>
      <c r="H20" s="71"/>
      <c r="I20" s="6"/>
      <c r="J20" s="8">
        <f t="shared" si="1"/>
        <v>0</v>
      </c>
      <c r="K20" s="8">
        <f t="shared" si="2"/>
        <v>0</v>
      </c>
      <c r="L20" s="74"/>
      <c r="M20" s="74">
        <f t="shared" ref="M20:M34" si="4">M19+K20-L20</f>
        <v>225184.72860000006</v>
      </c>
      <c r="N20" s="43"/>
      <c r="O20" s="75"/>
    </row>
    <row r="21" spans="1:15">
      <c r="A21" s="50">
        <v>18</v>
      </c>
      <c r="B21" s="233">
        <v>45979</v>
      </c>
      <c r="C21" s="185"/>
      <c r="D21" s="185"/>
      <c r="E21" s="346">
        <v>61.9</v>
      </c>
      <c r="F21" s="6">
        <v>91.23</v>
      </c>
      <c r="G21" s="8">
        <f t="shared" si="0"/>
        <v>5647.1369999999997</v>
      </c>
      <c r="H21" s="71">
        <v>8</v>
      </c>
      <c r="I21" s="6">
        <v>103.16</v>
      </c>
      <c r="J21" s="8">
        <f t="shared" si="1"/>
        <v>825.28</v>
      </c>
      <c r="K21" s="8">
        <f t="shared" si="2"/>
        <v>6472.4169999999995</v>
      </c>
      <c r="L21" s="74"/>
      <c r="M21" s="74">
        <f t="shared" si="4"/>
        <v>231657.14560000005</v>
      </c>
      <c r="N21" s="43"/>
      <c r="O21" s="75"/>
    </row>
    <row r="22" spans="1:15">
      <c r="A22" s="50">
        <v>19</v>
      </c>
      <c r="B22" s="233">
        <v>45980</v>
      </c>
      <c r="C22" s="185"/>
      <c r="D22" s="185"/>
      <c r="E22" s="71">
        <v>120</v>
      </c>
      <c r="F22" s="6">
        <v>91.23</v>
      </c>
      <c r="G22" s="8">
        <f t="shared" si="0"/>
        <v>10947.6</v>
      </c>
      <c r="H22" s="71">
        <v>10</v>
      </c>
      <c r="I22" s="6">
        <v>103.16</v>
      </c>
      <c r="J22" s="8">
        <f t="shared" si="1"/>
        <v>1031.5999999999999</v>
      </c>
      <c r="K22" s="8">
        <f t="shared" si="2"/>
        <v>11979.2</v>
      </c>
      <c r="L22" s="74"/>
      <c r="M22" s="74">
        <f t="shared" si="4"/>
        <v>243636.34560000006</v>
      </c>
      <c r="N22" s="43"/>
      <c r="O22" s="75"/>
    </row>
    <row r="23" spans="1:15">
      <c r="A23" s="50">
        <v>20</v>
      </c>
      <c r="B23" s="233">
        <v>45981</v>
      </c>
      <c r="C23" s="185"/>
      <c r="D23" s="185"/>
      <c r="E23" s="71"/>
      <c r="F23" s="6"/>
      <c r="G23" s="8">
        <f t="shared" si="0"/>
        <v>0</v>
      </c>
      <c r="H23" s="71">
        <v>12.76</v>
      </c>
      <c r="I23" s="6">
        <v>103.16</v>
      </c>
      <c r="J23" s="8">
        <f t="shared" si="1"/>
        <v>1316.3216</v>
      </c>
      <c r="K23" s="8">
        <f t="shared" si="2"/>
        <v>1316.3216</v>
      </c>
      <c r="L23" s="74">
        <v>200000</v>
      </c>
      <c r="M23" s="74">
        <f t="shared" si="4"/>
        <v>44952.667200000054</v>
      </c>
      <c r="N23" s="43"/>
      <c r="O23" s="75"/>
    </row>
    <row r="24" spans="1:15">
      <c r="A24" s="50">
        <v>21</v>
      </c>
      <c r="B24" s="233">
        <v>45982</v>
      </c>
      <c r="C24" s="185"/>
      <c r="D24" s="185"/>
      <c r="E24" s="71"/>
      <c r="F24" s="6"/>
      <c r="G24" s="8">
        <f t="shared" si="0"/>
        <v>0</v>
      </c>
      <c r="H24" s="71"/>
      <c r="I24" s="6"/>
      <c r="J24" s="8">
        <f t="shared" si="1"/>
        <v>0</v>
      </c>
      <c r="K24" s="8">
        <f t="shared" si="2"/>
        <v>0</v>
      </c>
      <c r="L24" s="74"/>
      <c r="M24" s="74">
        <f t="shared" si="4"/>
        <v>44952.667200000054</v>
      </c>
      <c r="N24" s="43"/>
      <c r="O24" s="75"/>
    </row>
    <row r="25" spans="1:15">
      <c r="A25" s="50">
        <v>22</v>
      </c>
      <c r="B25" s="233">
        <v>45983</v>
      </c>
      <c r="C25" s="185"/>
      <c r="D25" s="185"/>
      <c r="E25" s="71">
        <v>70</v>
      </c>
      <c r="F25" s="6">
        <v>91.23</v>
      </c>
      <c r="G25" s="8">
        <f t="shared" si="0"/>
        <v>6386.1</v>
      </c>
      <c r="H25" s="71"/>
      <c r="I25" s="6"/>
      <c r="J25" s="8">
        <f t="shared" si="1"/>
        <v>0</v>
      </c>
      <c r="K25" s="8">
        <f t="shared" si="2"/>
        <v>6386.1</v>
      </c>
      <c r="L25" s="74"/>
      <c r="M25" s="74">
        <f t="shared" si="4"/>
        <v>51338.767200000053</v>
      </c>
      <c r="N25" s="43"/>
      <c r="O25" s="75"/>
    </row>
    <row r="26" spans="1:15">
      <c r="A26" s="50">
        <v>23</v>
      </c>
      <c r="B26" s="233">
        <v>45984</v>
      </c>
      <c r="C26" s="222"/>
      <c r="D26" s="222"/>
      <c r="E26" s="71"/>
      <c r="F26" s="6"/>
      <c r="G26" s="8">
        <f t="shared" si="0"/>
        <v>0</v>
      </c>
      <c r="H26" s="71">
        <v>7.26</v>
      </c>
      <c r="I26" s="6">
        <v>103.16</v>
      </c>
      <c r="J26" s="8">
        <f t="shared" si="1"/>
        <v>748.94159999999999</v>
      </c>
      <c r="K26" s="8">
        <f t="shared" si="2"/>
        <v>748.94159999999999</v>
      </c>
      <c r="L26" s="74"/>
      <c r="M26" s="74">
        <f t="shared" si="4"/>
        <v>52087.708800000051</v>
      </c>
      <c r="N26" s="223"/>
      <c r="O26" s="75">
        <v>51702</v>
      </c>
    </row>
    <row r="27" spans="1:15">
      <c r="A27" s="50">
        <v>24</v>
      </c>
      <c r="B27" s="233">
        <v>45985</v>
      </c>
      <c r="C27" s="222"/>
      <c r="D27" s="222"/>
      <c r="E27" s="71"/>
      <c r="F27" s="6"/>
      <c r="G27" s="8">
        <f t="shared" si="0"/>
        <v>0</v>
      </c>
      <c r="H27" s="71"/>
      <c r="I27" s="6"/>
      <c r="J27" s="8">
        <f t="shared" si="1"/>
        <v>0</v>
      </c>
      <c r="K27" s="8">
        <f t="shared" si="2"/>
        <v>0</v>
      </c>
      <c r="L27" s="74"/>
      <c r="M27" s="74">
        <f t="shared" si="4"/>
        <v>52087.708800000051</v>
      </c>
      <c r="N27" s="223"/>
      <c r="O27" s="75"/>
    </row>
    <row r="28" spans="1:15">
      <c r="A28" s="235">
        <v>25</v>
      </c>
      <c r="B28" s="233">
        <v>45986</v>
      </c>
      <c r="C28" s="222"/>
      <c r="D28" s="222"/>
      <c r="E28" s="71">
        <v>57.39</v>
      </c>
      <c r="F28" s="6">
        <v>91.23</v>
      </c>
      <c r="G28" s="8">
        <f t="shared" si="0"/>
        <v>5235.6896999999999</v>
      </c>
      <c r="H28" s="71">
        <v>4.84</v>
      </c>
      <c r="I28" s="6">
        <v>103.16</v>
      </c>
      <c r="J28" s="8">
        <f t="shared" si="1"/>
        <v>499.2944</v>
      </c>
      <c r="K28" s="8">
        <f t="shared" si="2"/>
        <v>5734.9840999999997</v>
      </c>
      <c r="L28" s="74"/>
      <c r="M28" s="74">
        <f>M27+K28-L28</f>
        <v>57822.692900000053</v>
      </c>
      <c r="N28" s="223"/>
      <c r="O28" s="75"/>
    </row>
    <row r="29" spans="1:15">
      <c r="A29" s="235">
        <v>26</v>
      </c>
      <c r="B29" s="233">
        <v>45987</v>
      </c>
      <c r="C29" s="222"/>
      <c r="D29" s="222"/>
      <c r="E29" s="71"/>
      <c r="F29" s="6"/>
      <c r="G29" s="8">
        <f t="shared" si="0"/>
        <v>0</v>
      </c>
      <c r="H29" s="71"/>
      <c r="I29" s="6"/>
      <c r="J29" s="8">
        <f t="shared" si="1"/>
        <v>0</v>
      </c>
      <c r="K29" s="8">
        <f t="shared" si="2"/>
        <v>0</v>
      </c>
      <c r="L29" s="74"/>
      <c r="M29" s="74">
        <f t="shared" si="4"/>
        <v>57822.692900000053</v>
      </c>
      <c r="N29" s="223"/>
      <c r="O29" s="75"/>
    </row>
    <row r="30" spans="1:15">
      <c r="A30" s="235">
        <v>27</v>
      </c>
      <c r="B30" s="233">
        <v>45988</v>
      </c>
      <c r="C30" s="222"/>
      <c r="D30" s="222"/>
      <c r="E30" s="71">
        <v>140.75</v>
      </c>
      <c r="F30" s="6">
        <v>91.23</v>
      </c>
      <c r="G30" s="8">
        <f t="shared" si="0"/>
        <v>12840.622500000001</v>
      </c>
      <c r="H30" s="71"/>
      <c r="I30" s="6"/>
      <c r="J30" s="8">
        <f t="shared" si="1"/>
        <v>0</v>
      </c>
      <c r="K30" s="8">
        <f t="shared" si="2"/>
        <v>12840.622500000001</v>
      </c>
      <c r="L30" s="74"/>
      <c r="M30" s="74">
        <f t="shared" si="4"/>
        <v>70663.31540000005</v>
      </c>
      <c r="N30" s="223"/>
      <c r="O30" s="75"/>
    </row>
    <row r="31" spans="1:15">
      <c r="A31" s="235">
        <v>28</v>
      </c>
      <c r="B31" s="233">
        <v>45989</v>
      </c>
      <c r="C31" s="222"/>
      <c r="D31" s="222"/>
      <c r="E31" s="71"/>
      <c r="F31" s="6"/>
      <c r="G31" s="8">
        <f t="shared" si="0"/>
        <v>0</v>
      </c>
      <c r="H31" s="71">
        <v>4</v>
      </c>
      <c r="I31" s="6">
        <v>103.16</v>
      </c>
      <c r="J31" s="8">
        <f t="shared" si="1"/>
        <v>412.64</v>
      </c>
      <c r="K31" s="8">
        <f t="shared" si="2"/>
        <v>412.64</v>
      </c>
      <c r="L31" s="74"/>
      <c r="M31" s="74">
        <f t="shared" si="4"/>
        <v>71075.95540000005</v>
      </c>
      <c r="N31" s="223"/>
      <c r="O31" s="75"/>
    </row>
    <row r="32" spans="1:15">
      <c r="A32" s="236">
        <v>29</v>
      </c>
      <c r="B32" s="233">
        <v>45990</v>
      </c>
      <c r="C32" s="222"/>
      <c r="D32" s="222"/>
      <c r="E32" s="71"/>
      <c r="F32" s="6"/>
      <c r="G32" s="8">
        <f t="shared" si="0"/>
        <v>0</v>
      </c>
      <c r="H32" s="71"/>
      <c r="I32" s="6"/>
      <c r="J32" s="8">
        <f t="shared" si="1"/>
        <v>0</v>
      </c>
      <c r="K32" s="8">
        <f t="shared" si="2"/>
        <v>0</v>
      </c>
      <c r="L32" s="74"/>
      <c r="M32" s="74">
        <f t="shared" si="4"/>
        <v>71075.95540000005</v>
      </c>
      <c r="N32" s="223"/>
      <c r="O32" s="75"/>
    </row>
    <row r="33" spans="1:15">
      <c r="A33" s="236">
        <v>30</v>
      </c>
      <c r="B33" s="233">
        <v>45991</v>
      </c>
      <c r="C33" s="222"/>
      <c r="D33" s="222"/>
      <c r="E33" s="71"/>
      <c r="F33" s="6"/>
      <c r="G33" s="8">
        <f t="shared" si="0"/>
        <v>0</v>
      </c>
      <c r="H33" s="71"/>
      <c r="I33" s="6"/>
      <c r="J33" s="8">
        <f t="shared" si="1"/>
        <v>0</v>
      </c>
      <c r="K33" s="8">
        <f t="shared" si="2"/>
        <v>0</v>
      </c>
      <c r="L33" s="74"/>
      <c r="M33" s="74">
        <f t="shared" si="4"/>
        <v>71075.95540000005</v>
      </c>
      <c r="N33" s="223"/>
      <c r="O33" s="75"/>
    </row>
    <row r="34" spans="1:15">
      <c r="A34" s="236">
        <v>31</v>
      </c>
      <c r="B34" s="233">
        <v>45992</v>
      </c>
      <c r="C34" s="222"/>
      <c r="D34" s="222"/>
      <c r="E34" s="71"/>
      <c r="F34" s="6"/>
      <c r="G34" s="8">
        <f t="shared" si="0"/>
        <v>0</v>
      </c>
      <c r="H34" s="71"/>
      <c r="I34" s="6"/>
      <c r="J34" s="8">
        <f t="shared" si="1"/>
        <v>0</v>
      </c>
      <c r="K34" s="8">
        <f t="shared" si="2"/>
        <v>0</v>
      </c>
      <c r="L34" s="74"/>
      <c r="M34" s="74">
        <f t="shared" si="4"/>
        <v>71075.95540000005</v>
      </c>
      <c r="N34" s="223"/>
      <c r="O34" s="75"/>
    </row>
    <row r="35" spans="1:15">
      <c r="A35" s="168"/>
      <c r="B35" s="168"/>
      <c r="C35" s="168"/>
      <c r="D35" s="168"/>
      <c r="E35" s="169">
        <f>SUM(E4:E34)</f>
        <v>1225.6400000000001</v>
      </c>
      <c r="F35" s="169"/>
      <c r="G35" s="169">
        <f>SUM(G4:G34)</f>
        <v>111815.13720000001</v>
      </c>
      <c r="H35" s="169">
        <f>SUM(H4:H34)</f>
        <v>153.78</v>
      </c>
      <c r="I35" s="169"/>
      <c r="J35" s="169">
        <f>SUM(J4:J34)</f>
        <v>15863.944799999997</v>
      </c>
      <c r="K35" s="169">
        <f>SUM(K4:K34)</f>
        <v>127679.08200000002</v>
      </c>
      <c r="L35" s="169">
        <f>SUM(L4:L31)</f>
        <v>200000</v>
      </c>
      <c r="M35" s="169"/>
      <c r="N35" s="1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</sheetData>
  <mergeCells count="1">
    <mergeCell ref="A1:N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7"/>
  <sheetViews>
    <sheetView topLeftCell="A22" workbookViewId="0">
      <selection activeCell="M44" sqref="M44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454" t="s">
        <v>83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5"/>
    </row>
    <row r="2" spans="1:16" ht="30">
      <c r="A2" s="70" t="s">
        <v>95</v>
      </c>
      <c r="B2" s="89" t="s">
        <v>96</v>
      </c>
      <c r="C2" s="89" t="s">
        <v>97</v>
      </c>
      <c r="D2" s="89" t="s">
        <v>111</v>
      </c>
      <c r="E2" s="89" t="s">
        <v>99</v>
      </c>
      <c r="F2" s="89" t="s">
        <v>100</v>
      </c>
      <c r="G2" s="96" t="s">
        <v>101</v>
      </c>
      <c r="H2" s="89" t="s">
        <v>102</v>
      </c>
      <c r="I2" s="89" t="s">
        <v>100</v>
      </c>
      <c r="J2" s="96" t="s">
        <v>101</v>
      </c>
      <c r="K2" s="70" t="s">
        <v>103</v>
      </c>
      <c r="L2" s="97" t="s">
        <v>104</v>
      </c>
      <c r="M2" s="91" t="s">
        <v>110</v>
      </c>
      <c r="N2" s="89" t="s">
        <v>106</v>
      </c>
      <c r="O2" s="5"/>
    </row>
    <row r="3" spans="1:16">
      <c r="A3" s="481" t="s">
        <v>107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3"/>
      <c r="M3" s="484">
        <v>0</v>
      </c>
      <c r="N3" s="485"/>
      <c r="O3" s="5"/>
    </row>
    <row r="4" spans="1:16">
      <c r="A4" s="208">
        <v>1</v>
      </c>
      <c r="B4" s="233"/>
      <c r="C4" s="6"/>
      <c r="D4" s="6"/>
      <c r="E4" s="71">
        <v>0</v>
      </c>
      <c r="F4" s="6">
        <v>0</v>
      </c>
      <c r="G4" s="72">
        <f>E4*F4</f>
        <v>0</v>
      </c>
      <c r="H4" s="71">
        <v>0</v>
      </c>
      <c r="I4" s="6">
        <v>0</v>
      </c>
      <c r="J4" s="72">
        <f>H4*I4</f>
        <v>0</v>
      </c>
      <c r="K4" s="72">
        <f>G4+J4</f>
        <v>0</v>
      </c>
      <c r="L4" s="170">
        <v>0</v>
      </c>
      <c r="M4" s="156">
        <f>M3+K4-L4</f>
        <v>0</v>
      </c>
      <c r="N4" s="50"/>
      <c r="O4" s="5">
        <v>908.20409999999981</v>
      </c>
    </row>
    <row r="5" spans="1:16">
      <c r="A5" s="50">
        <v>2</v>
      </c>
      <c r="B5" s="233"/>
      <c r="C5" s="6"/>
      <c r="D5" s="6"/>
      <c r="E5" s="71">
        <v>0</v>
      </c>
      <c r="F5" s="6">
        <v>0</v>
      </c>
      <c r="G5" s="72">
        <f t="shared" ref="G5:G43" si="0">E5*F5</f>
        <v>0</v>
      </c>
      <c r="H5" s="71">
        <v>0</v>
      </c>
      <c r="I5" s="6">
        <v>0</v>
      </c>
      <c r="J5" s="72">
        <f t="shared" ref="J5:J43" si="1">H5*I5</f>
        <v>0</v>
      </c>
      <c r="K5" s="72">
        <f t="shared" ref="K5:K43" si="2">G5+J5</f>
        <v>0</v>
      </c>
      <c r="L5" s="170">
        <v>0</v>
      </c>
      <c r="M5" s="156">
        <f t="shared" ref="M5:M44" si="3">M4+K5-L5</f>
        <v>0</v>
      </c>
      <c r="N5" s="50"/>
      <c r="O5" s="5"/>
    </row>
    <row r="6" spans="1:16">
      <c r="A6" s="50">
        <v>3</v>
      </c>
      <c r="B6" s="233"/>
      <c r="C6" s="6"/>
      <c r="D6" s="6"/>
      <c r="E6" s="71">
        <v>0</v>
      </c>
      <c r="F6" s="6">
        <v>0</v>
      </c>
      <c r="G6" s="72">
        <f t="shared" si="0"/>
        <v>0</v>
      </c>
      <c r="H6" s="71">
        <v>0</v>
      </c>
      <c r="I6" s="6">
        <v>0</v>
      </c>
      <c r="J6" s="72">
        <f t="shared" si="1"/>
        <v>0</v>
      </c>
      <c r="K6" s="72">
        <f t="shared" si="2"/>
        <v>0</v>
      </c>
      <c r="L6" s="170">
        <v>0</v>
      </c>
      <c r="M6" s="156">
        <f t="shared" si="3"/>
        <v>0</v>
      </c>
      <c r="N6" s="50"/>
      <c r="O6" s="5"/>
    </row>
    <row r="7" spans="1:16">
      <c r="A7" s="50">
        <v>4</v>
      </c>
      <c r="B7" s="233"/>
      <c r="C7" s="6"/>
      <c r="D7" s="6"/>
      <c r="E7" s="71">
        <v>0</v>
      </c>
      <c r="F7" s="6">
        <v>0</v>
      </c>
      <c r="G7" s="72">
        <f t="shared" si="0"/>
        <v>0</v>
      </c>
      <c r="H7" s="71">
        <v>0</v>
      </c>
      <c r="I7" s="6">
        <v>0</v>
      </c>
      <c r="J7" s="72">
        <f t="shared" si="1"/>
        <v>0</v>
      </c>
      <c r="K7" s="72">
        <f t="shared" si="2"/>
        <v>0</v>
      </c>
      <c r="L7" s="170">
        <v>0</v>
      </c>
      <c r="M7" s="156">
        <f t="shared" si="3"/>
        <v>0</v>
      </c>
      <c r="N7" s="50"/>
      <c r="O7" s="5"/>
    </row>
    <row r="8" spans="1:16">
      <c r="A8" s="50">
        <v>5</v>
      </c>
      <c r="B8" s="233"/>
      <c r="C8" s="6"/>
      <c r="D8" s="6"/>
      <c r="E8" s="71">
        <v>0</v>
      </c>
      <c r="F8" s="6">
        <v>0</v>
      </c>
      <c r="G8" s="72">
        <f t="shared" si="0"/>
        <v>0</v>
      </c>
      <c r="H8" s="71">
        <v>0</v>
      </c>
      <c r="I8" s="6">
        <v>0</v>
      </c>
      <c r="J8" s="72">
        <f t="shared" si="1"/>
        <v>0</v>
      </c>
      <c r="K8" s="72">
        <f t="shared" si="2"/>
        <v>0</v>
      </c>
      <c r="L8" s="170">
        <v>0</v>
      </c>
      <c r="M8" s="156">
        <f t="shared" si="3"/>
        <v>0</v>
      </c>
      <c r="N8" s="50"/>
      <c r="O8" s="5"/>
    </row>
    <row r="9" spans="1:16">
      <c r="A9" s="50">
        <v>6</v>
      </c>
      <c r="B9" s="233"/>
      <c r="C9" s="6"/>
      <c r="D9" s="6"/>
      <c r="E9" s="71">
        <v>0</v>
      </c>
      <c r="F9" s="6">
        <v>0</v>
      </c>
      <c r="G9" s="72">
        <f t="shared" si="0"/>
        <v>0</v>
      </c>
      <c r="H9" s="71">
        <v>0</v>
      </c>
      <c r="I9" s="6">
        <v>0</v>
      </c>
      <c r="J9" s="72">
        <f t="shared" si="1"/>
        <v>0</v>
      </c>
      <c r="K9" s="72">
        <f t="shared" si="2"/>
        <v>0</v>
      </c>
      <c r="L9" s="170">
        <v>0</v>
      </c>
      <c r="M9" s="156">
        <f t="shared" si="3"/>
        <v>0</v>
      </c>
      <c r="N9" s="50"/>
      <c r="O9" s="5"/>
    </row>
    <row r="10" spans="1:16">
      <c r="A10" s="50">
        <v>7</v>
      </c>
      <c r="B10" s="233"/>
      <c r="C10" s="6"/>
      <c r="D10" s="6"/>
      <c r="E10" s="71">
        <v>0</v>
      </c>
      <c r="F10" s="6">
        <v>0</v>
      </c>
      <c r="G10" s="72">
        <f t="shared" si="0"/>
        <v>0</v>
      </c>
      <c r="H10" s="71">
        <v>0</v>
      </c>
      <c r="I10" s="6">
        <v>0</v>
      </c>
      <c r="J10" s="72">
        <f t="shared" si="1"/>
        <v>0</v>
      </c>
      <c r="K10" s="72">
        <f t="shared" si="2"/>
        <v>0</v>
      </c>
      <c r="L10" s="170">
        <v>0</v>
      </c>
      <c r="M10" s="156">
        <f t="shared" si="3"/>
        <v>0</v>
      </c>
      <c r="N10" s="50"/>
      <c r="O10" s="5"/>
    </row>
    <row r="11" spans="1:16">
      <c r="A11" s="50">
        <v>8</v>
      </c>
      <c r="B11" s="233"/>
      <c r="C11" s="6"/>
      <c r="D11" s="6"/>
      <c r="E11" s="71">
        <v>0</v>
      </c>
      <c r="F11" s="6">
        <v>0</v>
      </c>
      <c r="G11" s="72">
        <f t="shared" si="0"/>
        <v>0</v>
      </c>
      <c r="H11" s="71">
        <v>0</v>
      </c>
      <c r="I11" s="6">
        <v>0</v>
      </c>
      <c r="J11" s="72">
        <f t="shared" si="1"/>
        <v>0</v>
      </c>
      <c r="K11" s="72">
        <f t="shared" si="2"/>
        <v>0</v>
      </c>
      <c r="L11" s="170">
        <v>0</v>
      </c>
      <c r="M11" s="156">
        <f t="shared" si="3"/>
        <v>0</v>
      </c>
      <c r="N11" s="50"/>
      <c r="O11" s="5"/>
      <c r="P11" s="74">
        <f>P10+N11-O11</f>
        <v>0</v>
      </c>
    </row>
    <row r="12" spans="1:16">
      <c r="A12" s="50">
        <v>9</v>
      </c>
      <c r="B12" s="233"/>
      <c r="C12" s="6"/>
      <c r="D12" s="6"/>
      <c r="E12" s="71">
        <v>0</v>
      </c>
      <c r="F12" s="6">
        <v>0</v>
      </c>
      <c r="G12" s="72">
        <f t="shared" si="0"/>
        <v>0</v>
      </c>
      <c r="H12" s="71">
        <v>0</v>
      </c>
      <c r="I12" s="6">
        <v>0</v>
      </c>
      <c r="J12" s="72">
        <f t="shared" si="1"/>
        <v>0</v>
      </c>
      <c r="K12" s="72">
        <f t="shared" si="2"/>
        <v>0</v>
      </c>
      <c r="L12" s="170">
        <v>0</v>
      </c>
      <c r="M12" s="156">
        <f t="shared" si="3"/>
        <v>0</v>
      </c>
      <c r="N12" s="50"/>
      <c r="O12" s="5"/>
    </row>
    <row r="13" spans="1:16">
      <c r="A13" s="50">
        <v>10</v>
      </c>
      <c r="B13" s="233"/>
      <c r="C13" s="6"/>
      <c r="D13" s="6"/>
      <c r="E13" s="71">
        <v>0</v>
      </c>
      <c r="F13" s="6">
        <v>0</v>
      </c>
      <c r="G13" s="72">
        <f t="shared" si="0"/>
        <v>0</v>
      </c>
      <c r="H13" s="71">
        <v>0</v>
      </c>
      <c r="I13" s="6">
        <v>0</v>
      </c>
      <c r="J13" s="72">
        <f t="shared" si="1"/>
        <v>0</v>
      </c>
      <c r="K13" s="72">
        <f t="shared" si="2"/>
        <v>0</v>
      </c>
      <c r="L13" s="170">
        <v>0</v>
      </c>
      <c r="M13" s="156">
        <f t="shared" si="3"/>
        <v>0</v>
      </c>
      <c r="N13" s="50"/>
      <c r="O13" s="5"/>
    </row>
    <row r="14" spans="1:16">
      <c r="A14" s="50">
        <v>11</v>
      </c>
      <c r="B14" s="233"/>
      <c r="C14" s="6"/>
      <c r="D14" s="6"/>
      <c r="E14" s="71">
        <v>0</v>
      </c>
      <c r="F14" s="6">
        <v>0</v>
      </c>
      <c r="G14" s="72">
        <f t="shared" si="0"/>
        <v>0</v>
      </c>
      <c r="H14" s="71">
        <v>0</v>
      </c>
      <c r="I14" s="6">
        <v>0</v>
      </c>
      <c r="J14" s="72">
        <f t="shared" si="1"/>
        <v>0</v>
      </c>
      <c r="K14" s="72">
        <f t="shared" si="2"/>
        <v>0</v>
      </c>
      <c r="L14" s="170">
        <v>0</v>
      </c>
      <c r="M14" s="156">
        <f t="shared" si="3"/>
        <v>0</v>
      </c>
      <c r="N14" s="50"/>
      <c r="O14" s="5"/>
    </row>
    <row r="15" spans="1:16">
      <c r="A15" s="50">
        <v>12</v>
      </c>
      <c r="B15" s="233"/>
      <c r="C15" s="6"/>
      <c r="D15" s="6"/>
      <c r="E15" s="71">
        <v>0</v>
      </c>
      <c r="F15" s="6">
        <v>0</v>
      </c>
      <c r="G15" s="72">
        <f t="shared" si="0"/>
        <v>0</v>
      </c>
      <c r="H15" s="71">
        <v>0</v>
      </c>
      <c r="I15" s="6">
        <v>0</v>
      </c>
      <c r="J15" s="72">
        <f t="shared" si="1"/>
        <v>0</v>
      </c>
      <c r="K15" s="72">
        <f t="shared" si="2"/>
        <v>0</v>
      </c>
      <c r="L15" s="170">
        <v>0</v>
      </c>
      <c r="M15" s="156">
        <f t="shared" si="3"/>
        <v>0</v>
      </c>
      <c r="N15" s="50"/>
      <c r="O15" s="5"/>
    </row>
    <row r="16" spans="1:16">
      <c r="A16" s="50">
        <v>13</v>
      </c>
      <c r="B16" s="233"/>
      <c r="C16" s="6"/>
      <c r="D16" s="6"/>
      <c r="E16" s="71">
        <v>0</v>
      </c>
      <c r="F16" s="6">
        <v>0</v>
      </c>
      <c r="G16" s="72">
        <f t="shared" si="0"/>
        <v>0</v>
      </c>
      <c r="H16" s="71">
        <v>0</v>
      </c>
      <c r="I16" s="6">
        <v>0</v>
      </c>
      <c r="J16" s="72">
        <f t="shared" si="1"/>
        <v>0</v>
      </c>
      <c r="K16" s="72">
        <f t="shared" si="2"/>
        <v>0</v>
      </c>
      <c r="L16" s="170">
        <v>0</v>
      </c>
      <c r="M16" s="156">
        <f t="shared" si="3"/>
        <v>0</v>
      </c>
      <c r="N16" s="50"/>
      <c r="O16" s="5"/>
    </row>
    <row r="17" spans="1:15">
      <c r="A17" s="50">
        <v>14</v>
      </c>
      <c r="B17" s="233"/>
      <c r="C17" s="6"/>
      <c r="D17" s="6"/>
      <c r="E17" s="71">
        <v>0</v>
      </c>
      <c r="F17" s="6">
        <v>0</v>
      </c>
      <c r="G17" s="72">
        <f t="shared" si="0"/>
        <v>0</v>
      </c>
      <c r="H17" s="71">
        <v>0</v>
      </c>
      <c r="I17" s="6">
        <v>0</v>
      </c>
      <c r="J17" s="72">
        <f t="shared" si="1"/>
        <v>0</v>
      </c>
      <c r="K17" s="72">
        <f t="shared" si="2"/>
        <v>0</v>
      </c>
      <c r="L17" s="170">
        <v>0</v>
      </c>
      <c r="M17" s="156">
        <f t="shared" si="3"/>
        <v>0</v>
      </c>
      <c r="N17" s="50"/>
      <c r="O17" s="5"/>
    </row>
    <row r="18" spans="1:15">
      <c r="A18" s="50">
        <v>15</v>
      </c>
      <c r="B18" s="233"/>
      <c r="C18" s="6"/>
      <c r="D18" s="6"/>
      <c r="E18" s="71">
        <v>0</v>
      </c>
      <c r="F18" s="6">
        <v>0</v>
      </c>
      <c r="G18" s="72">
        <f t="shared" si="0"/>
        <v>0</v>
      </c>
      <c r="H18" s="71">
        <v>0</v>
      </c>
      <c r="I18" s="6">
        <v>0</v>
      </c>
      <c r="J18" s="72">
        <f t="shared" si="1"/>
        <v>0</v>
      </c>
      <c r="K18" s="72">
        <f t="shared" si="2"/>
        <v>0</v>
      </c>
      <c r="L18" s="170">
        <v>0</v>
      </c>
      <c r="M18" s="156">
        <f>M17+K18-L18</f>
        <v>0</v>
      </c>
      <c r="N18" s="50"/>
      <c r="O18" s="5"/>
    </row>
    <row r="19" spans="1:15">
      <c r="A19" s="50">
        <v>16</v>
      </c>
      <c r="B19" s="233"/>
      <c r="C19" s="6"/>
      <c r="D19" s="6"/>
      <c r="E19" s="71">
        <v>0</v>
      </c>
      <c r="F19" s="6">
        <v>0</v>
      </c>
      <c r="G19" s="72">
        <f t="shared" si="0"/>
        <v>0</v>
      </c>
      <c r="H19" s="71">
        <v>0</v>
      </c>
      <c r="I19" s="6">
        <v>0</v>
      </c>
      <c r="J19" s="72">
        <f t="shared" si="1"/>
        <v>0</v>
      </c>
      <c r="K19" s="72">
        <f t="shared" si="2"/>
        <v>0</v>
      </c>
      <c r="L19" s="170">
        <v>0</v>
      </c>
      <c r="M19" s="156">
        <f t="shared" si="3"/>
        <v>0</v>
      </c>
      <c r="N19" s="50"/>
      <c r="O19" s="5"/>
    </row>
    <row r="20" spans="1:15">
      <c r="A20" s="50">
        <v>17</v>
      </c>
      <c r="B20" s="233"/>
      <c r="C20" s="6"/>
      <c r="D20" s="6"/>
      <c r="E20" s="71">
        <v>0</v>
      </c>
      <c r="F20" s="6">
        <v>0</v>
      </c>
      <c r="G20" s="72">
        <f t="shared" si="0"/>
        <v>0</v>
      </c>
      <c r="H20" s="71">
        <v>0</v>
      </c>
      <c r="I20" s="6">
        <v>0</v>
      </c>
      <c r="J20" s="72">
        <f t="shared" si="1"/>
        <v>0</v>
      </c>
      <c r="K20" s="72">
        <f t="shared" si="2"/>
        <v>0</v>
      </c>
      <c r="L20" s="170">
        <v>0</v>
      </c>
      <c r="M20" s="156">
        <f t="shared" si="3"/>
        <v>0</v>
      </c>
      <c r="N20" s="50"/>
      <c r="O20" s="5"/>
    </row>
    <row r="21" spans="1:15">
      <c r="A21" s="50">
        <v>18</v>
      </c>
      <c r="B21" s="233"/>
      <c r="C21" s="6"/>
      <c r="D21" s="6"/>
      <c r="E21" s="71">
        <v>0</v>
      </c>
      <c r="F21" s="6">
        <v>0</v>
      </c>
      <c r="G21" s="72">
        <f t="shared" si="0"/>
        <v>0</v>
      </c>
      <c r="H21" s="71">
        <v>0</v>
      </c>
      <c r="I21" s="6">
        <v>0</v>
      </c>
      <c r="J21" s="72">
        <f t="shared" si="1"/>
        <v>0</v>
      </c>
      <c r="K21" s="72">
        <f t="shared" si="2"/>
        <v>0</v>
      </c>
      <c r="L21" s="170">
        <v>0</v>
      </c>
      <c r="M21" s="156">
        <f t="shared" si="3"/>
        <v>0</v>
      </c>
      <c r="N21" s="50"/>
      <c r="O21" s="5"/>
    </row>
    <row r="22" spans="1:15">
      <c r="A22" s="50">
        <v>19</v>
      </c>
      <c r="B22" s="233"/>
      <c r="C22" s="6"/>
      <c r="D22" s="6"/>
      <c r="E22" s="71">
        <v>0</v>
      </c>
      <c r="F22" s="6">
        <v>0</v>
      </c>
      <c r="G22" s="72">
        <f t="shared" si="0"/>
        <v>0</v>
      </c>
      <c r="H22" s="71">
        <v>0</v>
      </c>
      <c r="I22" s="6">
        <v>0</v>
      </c>
      <c r="J22" s="72">
        <f t="shared" si="1"/>
        <v>0</v>
      </c>
      <c r="K22" s="72">
        <f t="shared" si="2"/>
        <v>0</v>
      </c>
      <c r="L22" s="170">
        <v>0</v>
      </c>
      <c r="M22" s="156">
        <f t="shared" si="3"/>
        <v>0</v>
      </c>
      <c r="N22" s="50"/>
      <c r="O22" s="5"/>
    </row>
    <row r="23" spans="1:15">
      <c r="A23" s="50">
        <v>20</v>
      </c>
      <c r="B23" s="233" t="s">
        <v>178</v>
      </c>
      <c r="C23" s="6"/>
      <c r="D23" s="6"/>
      <c r="E23" s="71">
        <v>100</v>
      </c>
      <c r="F23" s="6">
        <v>91.23</v>
      </c>
      <c r="G23" s="72">
        <f t="shared" si="0"/>
        <v>9123</v>
      </c>
      <c r="H23" s="71">
        <v>0</v>
      </c>
      <c r="I23" s="6">
        <v>0</v>
      </c>
      <c r="J23" s="72">
        <f t="shared" si="1"/>
        <v>0</v>
      </c>
      <c r="K23" s="72">
        <f t="shared" si="2"/>
        <v>9123</v>
      </c>
      <c r="L23" s="170">
        <v>0</v>
      </c>
      <c r="M23" s="156">
        <f t="shared" si="3"/>
        <v>9123</v>
      </c>
      <c r="N23" s="50"/>
      <c r="O23" s="5"/>
    </row>
    <row r="24" spans="1:15">
      <c r="A24" s="50">
        <v>21</v>
      </c>
      <c r="B24" s="233"/>
      <c r="C24" s="6"/>
      <c r="D24" s="6"/>
      <c r="E24" s="71">
        <v>0</v>
      </c>
      <c r="F24" s="6">
        <v>0</v>
      </c>
      <c r="G24" s="72">
        <f t="shared" si="0"/>
        <v>0</v>
      </c>
      <c r="H24" s="71">
        <v>0</v>
      </c>
      <c r="I24" s="6">
        <v>0</v>
      </c>
      <c r="J24" s="72">
        <f t="shared" si="1"/>
        <v>0</v>
      </c>
      <c r="K24" s="72">
        <f t="shared" si="2"/>
        <v>0</v>
      </c>
      <c r="L24" s="170">
        <v>0</v>
      </c>
      <c r="M24" s="156">
        <f t="shared" si="3"/>
        <v>9123</v>
      </c>
      <c r="N24" s="50"/>
      <c r="O24" s="5"/>
    </row>
    <row r="25" spans="1:15">
      <c r="A25" s="50">
        <v>22</v>
      </c>
      <c r="B25" s="233"/>
      <c r="C25" s="6"/>
      <c r="D25" s="6"/>
      <c r="E25" s="71">
        <v>0</v>
      </c>
      <c r="F25" s="6">
        <v>0</v>
      </c>
      <c r="G25" s="72">
        <f t="shared" si="0"/>
        <v>0</v>
      </c>
      <c r="H25" s="71">
        <v>0</v>
      </c>
      <c r="I25" s="6">
        <v>0</v>
      </c>
      <c r="J25" s="72">
        <f t="shared" si="1"/>
        <v>0</v>
      </c>
      <c r="K25" s="72">
        <f t="shared" si="2"/>
        <v>0</v>
      </c>
      <c r="L25" s="170">
        <v>0</v>
      </c>
      <c r="M25" s="156">
        <f t="shared" si="3"/>
        <v>9123</v>
      </c>
      <c r="N25" s="50"/>
      <c r="O25" s="5"/>
    </row>
    <row r="26" spans="1:15">
      <c r="A26" s="50">
        <v>23</v>
      </c>
      <c r="B26" s="233" t="s">
        <v>184</v>
      </c>
      <c r="C26" s="6"/>
      <c r="D26" s="6"/>
      <c r="E26" s="71">
        <v>100</v>
      </c>
      <c r="F26" s="6">
        <v>91.23</v>
      </c>
      <c r="G26" s="72">
        <f t="shared" si="0"/>
        <v>9123</v>
      </c>
      <c r="H26" s="71">
        <v>0</v>
      </c>
      <c r="I26" s="6">
        <v>0</v>
      </c>
      <c r="J26" s="72">
        <f t="shared" si="1"/>
        <v>0</v>
      </c>
      <c r="K26" s="72">
        <f t="shared" si="2"/>
        <v>9123</v>
      </c>
      <c r="L26" s="170">
        <v>0</v>
      </c>
      <c r="M26" s="156">
        <f t="shared" si="3"/>
        <v>18246</v>
      </c>
      <c r="N26" s="50"/>
      <c r="O26" s="5"/>
    </row>
    <row r="27" spans="1:15">
      <c r="A27" s="50">
        <v>24</v>
      </c>
      <c r="B27" s="233" t="s">
        <v>180</v>
      </c>
      <c r="C27" s="6"/>
      <c r="D27" s="6"/>
      <c r="E27" s="71">
        <v>96</v>
      </c>
      <c r="F27" s="6">
        <v>91.23</v>
      </c>
      <c r="G27" s="72">
        <f t="shared" si="0"/>
        <v>8758.08</v>
      </c>
      <c r="H27" s="71">
        <v>0</v>
      </c>
      <c r="I27" s="6">
        <v>0</v>
      </c>
      <c r="J27" s="72">
        <f t="shared" si="1"/>
        <v>0</v>
      </c>
      <c r="K27" s="72">
        <f t="shared" si="2"/>
        <v>8758.08</v>
      </c>
      <c r="L27" s="170">
        <v>0</v>
      </c>
      <c r="M27" s="156">
        <f t="shared" si="3"/>
        <v>27004.080000000002</v>
      </c>
      <c r="N27" s="6"/>
      <c r="O27" s="5"/>
    </row>
    <row r="28" spans="1:15">
      <c r="A28" s="235"/>
      <c r="B28" s="233"/>
      <c r="C28" s="6"/>
      <c r="D28" s="6"/>
      <c r="E28" s="71"/>
      <c r="F28" s="6"/>
      <c r="G28" s="72"/>
      <c r="H28" s="71"/>
      <c r="I28" s="6"/>
      <c r="J28" s="72"/>
      <c r="K28" s="72"/>
      <c r="L28" s="170">
        <v>18246</v>
      </c>
      <c r="M28" s="156">
        <f t="shared" si="3"/>
        <v>8758.0800000000017</v>
      </c>
      <c r="N28" s="6"/>
      <c r="O28" s="5"/>
    </row>
    <row r="29" spans="1:15">
      <c r="A29" s="235">
        <v>25</v>
      </c>
      <c r="B29" s="233" t="s">
        <v>181</v>
      </c>
      <c r="C29" s="6"/>
      <c r="D29" s="6"/>
      <c r="E29" s="71">
        <v>169.01</v>
      </c>
      <c r="F29" s="6">
        <v>91.23</v>
      </c>
      <c r="G29" s="72">
        <f t="shared" si="0"/>
        <v>15418.782299999999</v>
      </c>
      <c r="H29" s="71">
        <v>0</v>
      </c>
      <c r="I29" s="6">
        <v>0</v>
      </c>
      <c r="J29" s="72">
        <f t="shared" si="1"/>
        <v>0</v>
      </c>
      <c r="K29" s="72">
        <f t="shared" si="2"/>
        <v>15418.782299999999</v>
      </c>
      <c r="L29" s="170">
        <v>0</v>
      </c>
      <c r="M29" s="156">
        <f t="shared" si="3"/>
        <v>24176.862300000001</v>
      </c>
      <c r="N29" s="6"/>
      <c r="O29" s="5"/>
    </row>
    <row r="30" spans="1:15">
      <c r="A30" s="235">
        <v>26</v>
      </c>
      <c r="B30" s="233" t="s">
        <v>182</v>
      </c>
      <c r="C30" s="6"/>
      <c r="D30" s="6"/>
      <c r="E30" s="71">
        <v>50</v>
      </c>
      <c r="F30" s="6">
        <v>91.23</v>
      </c>
      <c r="G30" s="72">
        <f t="shared" si="0"/>
        <v>4561.5</v>
      </c>
      <c r="H30" s="71">
        <v>0</v>
      </c>
      <c r="I30" s="6">
        <v>0</v>
      </c>
      <c r="J30" s="72">
        <f t="shared" si="1"/>
        <v>0</v>
      </c>
      <c r="K30" s="72">
        <f t="shared" si="2"/>
        <v>4561.5</v>
      </c>
      <c r="L30" s="170">
        <v>0</v>
      </c>
      <c r="M30" s="156">
        <f t="shared" si="3"/>
        <v>28738.362300000001</v>
      </c>
      <c r="N30" s="6"/>
      <c r="O30" s="5"/>
    </row>
    <row r="31" spans="1:15">
      <c r="A31" s="235">
        <v>27</v>
      </c>
      <c r="B31" s="233"/>
      <c r="C31" s="6"/>
      <c r="D31" s="6"/>
      <c r="E31" s="71">
        <v>0</v>
      </c>
      <c r="F31" s="6">
        <v>0</v>
      </c>
      <c r="G31" s="72">
        <f t="shared" si="0"/>
        <v>0</v>
      </c>
      <c r="H31" s="71">
        <v>0</v>
      </c>
      <c r="I31" s="6">
        <v>0</v>
      </c>
      <c r="J31" s="72">
        <f t="shared" si="1"/>
        <v>0</v>
      </c>
      <c r="K31" s="72">
        <f t="shared" si="2"/>
        <v>0</v>
      </c>
      <c r="L31" s="170">
        <v>0</v>
      </c>
      <c r="M31" s="156">
        <f t="shared" si="3"/>
        <v>28738.362300000001</v>
      </c>
      <c r="N31" s="6"/>
      <c r="O31" s="5"/>
    </row>
    <row r="32" spans="1:15">
      <c r="A32" s="235">
        <v>28</v>
      </c>
      <c r="B32" s="233"/>
      <c r="C32" s="6"/>
      <c r="D32" s="6"/>
      <c r="E32" s="71">
        <v>0</v>
      </c>
      <c r="F32" s="6">
        <v>0</v>
      </c>
      <c r="G32" s="72">
        <f t="shared" si="0"/>
        <v>0</v>
      </c>
      <c r="H32" s="71">
        <v>0</v>
      </c>
      <c r="I32" s="6">
        <v>0</v>
      </c>
      <c r="J32" s="72">
        <f t="shared" si="1"/>
        <v>0</v>
      </c>
      <c r="K32" s="72">
        <f t="shared" si="2"/>
        <v>0</v>
      </c>
      <c r="L32" s="170">
        <v>0</v>
      </c>
      <c r="M32" s="156">
        <f t="shared" si="3"/>
        <v>28738.362300000001</v>
      </c>
      <c r="N32" s="6"/>
      <c r="O32" s="5"/>
    </row>
    <row r="33" spans="1:15">
      <c r="A33" s="236">
        <v>29</v>
      </c>
      <c r="B33" s="233"/>
      <c r="C33" s="6"/>
      <c r="D33" s="6"/>
      <c r="E33" s="71">
        <v>0</v>
      </c>
      <c r="F33" s="6">
        <v>0</v>
      </c>
      <c r="G33" s="72">
        <f t="shared" si="0"/>
        <v>0</v>
      </c>
      <c r="H33" s="71">
        <v>0</v>
      </c>
      <c r="I33" s="6">
        <v>0</v>
      </c>
      <c r="J33" s="72">
        <f t="shared" si="1"/>
        <v>0</v>
      </c>
      <c r="K33" s="72">
        <f t="shared" si="2"/>
        <v>0</v>
      </c>
      <c r="L33" s="170">
        <v>0</v>
      </c>
      <c r="M33" s="156">
        <f t="shared" si="3"/>
        <v>28738.362300000001</v>
      </c>
      <c r="N33" s="6"/>
      <c r="O33" s="5"/>
    </row>
    <row r="34" spans="1:15">
      <c r="A34" s="236">
        <v>30</v>
      </c>
      <c r="B34" s="233"/>
      <c r="C34" s="6"/>
      <c r="D34" s="6"/>
      <c r="E34" s="71">
        <v>0</v>
      </c>
      <c r="F34" s="6">
        <v>0</v>
      </c>
      <c r="G34" s="72">
        <f t="shared" si="0"/>
        <v>0</v>
      </c>
      <c r="H34" s="71">
        <v>0</v>
      </c>
      <c r="I34" s="6">
        <v>0</v>
      </c>
      <c r="J34" s="72">
        <f t="shared" si="1"/>
        <v>0</v>
      </c>
      <c r="K34" s="72">
        <f t="shared" si="2"/>
        <v>0</v>
      </c>
      <c r="L34" s="170">
        <v>0</v>
      </c>
      <c r="M34" s="156">
        <f t="shared" si="3"/>
        <v>28738.362300000001</v>
      </c>
      <c r="N34" s="6"/>
      <c r="O34" s="5"/>
    </row>
    <row r="35" spans="1:15">
      <c r="A35" s="236">
        <v>31</v>
      </c>
      <c r="B35" s="233"/>
      <c r="C35" s="6"/>
      <c r="D35" s="6"/>
      <c r="E35" s="71">
        <v>0</v>
      </c>
      <c r="F35" s="6">
        <v>0</v>
      </c>
      <c r="G35" s="72">
        <f t="shared" si="0"/>
        <v>0</v>
      </c>
      <c r="H35" s="71">
        <v>0</v>
      </c>
      <c r="I35" s="6">
        <v>0</v>
      </c>
      <c r="J35" s="72">
        <f t="shared" si="1"/>
        <v>0</v>
      </c>
      <c r="K35" s="72">
        <f t="shared" si="2"/>
        <v>0</v>
      </c>
      <c r="L35" s="170">
        <v>0</v>
      </c>
      <c r="M35" s="156">
        <f t="shared" si="3"/>
        <v>28738.362300000001</v>
      </c>
      <c r="N35" s="6"/>
      <c r="O35" s="5"/>
    </row>
    <row r="36" spans="1:15">
      <c r="A36" s="6">
        <v>34</v>
      </c>
      <c r="B36" s="84"/>
      <c r="C36" s="6"/>
      <c r="D36" s="6"/>
      <c r="E36" s="71">
        <v>0</v>
      </c>
      <c r="F36" s="6">
        <v>0</v>
      </c>
      <c r="G36" s="72">
        <f t="shared" si="0"/>
        <v>0</v>
      </c>
      <c r="H36" s="71">
        <v>0</v>
      </c>
      <c r="I36" s="6">
        <v>0</v>
      </c>
      <c r="J36" s="72">
        <f t="shared" si="1"/>
        <v>0</v>
      </c>
      <c r="K36" s="72">
        <f t="shared" si="2"/>
        <v>0</v>
      </c>
      <c r="L36" s="170">
        <v>0</v>
      </c>
      <c r="M36" s="156">
        <f t="shared" si="3"/>
        <v>28738.362300000001</v>
      </c>
      <c r="N36" s="6"/>
      <c r="O36" s="5"/>
    </row>
    <row r="37" spans="1:15">
      <c r="A37" s="6">
        <v>35</v>
      </c>
      <c r="B37" s="84"/>
      <c r="C37" s="6"/>
      <c r="D37" s="6"/>
      <c r="E37" s="71">
        <v>0</v>
      </c>
      <c r="F37" s="6">
        <v>0</v>
      </c>
      <c r="G37" s="72">
        <f t="shared" si="0"/>
        <v>0</v>
      </c>
      <c r="H37" s="71">
        <v>0</v>
      </c>
      <c r="I37" s="6">
        <v>0</v>
      </c>
      <c r="J37" s="72">
        <f t="shared" si="1"/>
        <v>0</v>
      </c>
      <c r="K37" s="72">
        <f t="shared" si="2"/>
        <v>0</v>
      </c>
      <c r="L37" s="170">
        <v>0</v>
      </c>
      <c r="M37" s="156">
        <f t="shared" si="3"/>
        <v>28738.362300000001</v>
      </c>
      <c r="N37" s="6"/>
      <c r="O37" s="5"/>
    </row>
    <row r="38" spans="1:15">
      <c r="A38" s="6">
        <v>36</v>
      </c>
      <c r="B38" s="84"/>
      <c r="C38" s="6"/>
      <c r="D38" s="6"/>
      <c r="E38" s="71">
        <v>0</v>
      </c>
      <c r="F38" s="6">
        <v>0</v>
      </c>
      <c r="G38" s="72">
        <f t="shared" si="0"/>
        <v>0</v>
      </c>
      <c r="H38" s="71">
        <v>0</v>
      </c>
      <c r="I38" s="6">
        <v>0</v>
      </c>
      <c r="J38" s="72">
        <f t="shared" si="1"/>
        <v>0</v>
      </c>
      <c r="K38" s="72">
        <f t="shared" si="2"/>
        <v>0</v>
      </c>
      <c r="L38" s="170">
        <v>0</v>
      </c>
      <c r="M38" s="156">
        <f t="shared" si="3"/>
        <v>28738.362300000001</v>
      </c>
      <c r="N38" s="6"/>
      <c r="O38" s="5"/>
    </row>
    <row r="39" spans="1:15">
      <c r="A39" s="6">
        <v>37</v>
      </c>
      <c r="B39" s="84"/>
      <c r="C39" s="6"/>
      <c r="D39" s="6"/>
      <c r="E39" s="71">
        <v>0</v>
      </c>
      <c r="F39" s="6">
        <v>0</v>
      </c>
      <c r="G39" s="72">
        <f t="shared" si="0"/>
        <v>0</v>
      </c>
      <c r="H39" s="71">
        <v>0</v>
      </c>
      <c r="I39" s="6">
        <v>0</v>
      </c>
      <c r="J39" s="72">
        <f t="shared" si="1"/>
        <v>0</v>
      </c>
      <c r="K39" s="72">
        <f t="shared" si="2"/>
        <v>0</v>
      </c>
      <c r="L39" s="170">
        <v>0</v>
      </c>
      <c r="M39" s="156">
        <f t="shared" si="3"/>
        <v>28738.362300000001</v>
      </c>
      <c r="N39" s="6"/>
      <c r="O39" s="5"/>
    </row>
    <row r="40" spans="1:15">
      <c r="A40" s="6">
        <v>38</v>
      </c>
      <c r="B40" s="84"/>
      <c r="C40" s="6"/>
      <c r="D40" s="6"/>
      <c r="E40" s="71">
        <v>0</v>
      </c>
      <c r="F40" s="6">
        <v>0</v>
      </c>
      <c r="G40" s="72">
        <f t="shared" si="0"/>
        <v>0</v>
      </c>
      <c r="H40" s="71">
        <v>0</v>
      </c>
      <c r="I40" s="6">
        <v>0</v>
      </c>
      <c r="J40" s="72">
        <f t="shared" si="1"/>
        <v>0</v>
      </c>
      <c r="K40" s="72">
        <f t="shared" si="2"/>
        <v>0</v>
      </c>
      <c r="L40" s="170">
        <v>0</v>
      </c>
      <c r="M40" s="156">
        <f t="shared" si="3"/>
        <v>28738.362300000001</v>
      </c>
      <c r="N40" s="6"/>
      <c r="O40" s="5"/>
    </row>
    <row r="41" spans="1:15">
      <c r="A41" s="178">
        <v>39</v>
      </c>
      <c r="B41" s="179"/>
      <c r="C41" s="178"/>
      <c r="D41" s="6"/>
      <c r="E41" s="71">
        <v>0</v>
      </c>
      <c r="F41" s="6">
        <v>0</v>
      </c>
      <c r="G41" s="72">
        <f t="shared" si="0"/>
        <v>0</v>
      </c>
      <c r="H41" s="71">
        <v>0</v>
      </c>
      <c r="I41" s="6">
        <v>0</v>
      </c>
      <c r="J41" s="72">
        <f t="shared" si="1"/>
        <v>0</v>
      </c>
      <c r="K41" s="72">
        <f t="shared" si="2"/>
        <v>0</v>
      </c>
      <c r="L41" s="170">
        <v>0</v>
      </c>
      <c r="M41" s="156">
        <f t="shared" si="3"/>
        <v>28738.362300000001</v>
      </c>
      <c r="N41" s="178"/>
      <c r="O41" s="5"/>
    </row>
    <row r="42" spans="1:15">
      <c r="A42" s="6">
        <v>40</v>
      </c>
      <c r="B42" s="6"/>
      <c r="C42" s="6"/>
      <c r="D42" s="6"/>
      <c r="E42" s="71">
        <v>0</v>
      </c>
      <c r="F42" s="6">
        <v>0</v>
      </c>
      <c r="G42" s="72">
        <f t="shared" si="0"/>
        <v>0</v>
      </c>
      <c r="H42" s="71">
        <v>0</v>
      </c>
      <c r="I42" s="6">
        <v>0</v>
      </c>
      <c r="J42" s="72">
        <f t="shared" si="1"/>
        <v>0</v>
      </c>
      <c r="K42" s="72">
        <f t="shared" si="2"/>
        <v>0</v>
      </c>
      <c r="L42" s="170">
        <v>0</v>
      </c>
      <c r="M42" s="156">
        <f t="shared" si="3"/>
        <v>28738.362300000001</v>
      </c>
      <c r="N42" s="6"/>
      <c r="O42" s="5"/>
    </row>
    <row r="43" spans="1:15">
      <c r="A43" s="178">
        <v>41</v>
      </c>
      <c r="B43" s="178"/>
      <c r="C43" s="178"/>
      <c r="D43" s="6"/>
      <c r="E43" s="71">
        <v>0</v>
      </c>
      <c r="F43" s="6">
        <v>0</v>
      </c>
      <c r="G43" s="72">
        <f t="shared" si="0"/>
        <v>0</v>
      </c>
      <c r="H43" s="71">
        <v>0</v>
      </c>
      <c r="I43" s="6">
        <v>0</v>
      </c>
      <c r="J43" s="72">
        <f t="shared" si="1"/>
        <v>0</v>
      </c>
      <c r="K43" s="72">
        <f t="shared" si="2"/>
        <v>0</v>
      </c>
      <c r="L43" s="170">
        <v>0</v>
      </c>
      <c r="M43" s="156">
        <f t="shared" si="3"/>
        <v>28738.362300000001</v>
      </c>
      <c r="N43" s="178"/>
      <c r="O43" s="5"/>
    </row>
    <row r="44" spans="1:15">
      <c r="A44" s="178">
        <v>42</v>
      </c>
      <c r="B44" s="178"/>
      <c r="C44" s="178"/>
      <c r="D44" s="6"/>
      <c r="E44" s="71">
        <v>0</v>
      </c>
      <c r="F44" s="6">
        <v>0</v>
      </c>
      <c r="G44" s="72">
        <f t="shared" ref="G44" si="4">E44*F44</f>
        <v>0</v>
      </c>
      <c r="H44" s="71">
        <v>0</v>
      </c>
      <c r="I44" s="6">
        <v>0</v>
      </c>
      <c r="J44" s="72">
        <f t="shared" ref="J44" si="5">H44*I44</f>
        <v>0</v>
      </c>
      <c r="K44" s="72">
        <f t="shared" ref="K44" si="6">G44+J44</f>
        <v>0</v>
      </c>
      <c r="L44" s="170">
        <v>0</v>
      </c>
      <c r="M44" s="156">
        <f t="shared" si="3"/>
        <v>28738.362300000001</v>
      </c>
      <c r="N44" s="178"/>
      <c r="O44" s="5"/>
    </row>
    <row r="45" spans="1:15">
      <c r="A45" s="68"/>
      <c r="B45" s="68"/>
      <c r="C45" s="68"/>
      <c r="D45" s="68"/>
      <c r="E45" s="69">
        <f>SUM(E4:E44)</f>
        <v>515.01</v>
      </c>
      <c r="F45" s="69"/>
      <c r="G45" s="69">
        <f>SUM(G4:G44)</f>
        <v>46984.362300000001</v>
      </c>
      <c r="H45" s="69">
        <f>SUM(H4:H44)</f>
        <v>0</v>
      </c>
      <c r="I45" s="69"/>
      <c r="J45" s="69">
        <f>SUM(J4:J44)</f>
        <v>0</v>
      </c>
      <c r="K45" s="69">
        <f>SUM(K4:K44)</f>
        <v>46984.362300000001</v>
      </c>
      <c r="L45" s="69">
        <f>SUM(L4:L44)</f>
        <v>18246</v>
      </c>
      <c r="M45" s="69">
        <f>SUM(M4:M44)</f>
        <v>536629.45679999993</v>
      </c>
      <c r="N45" s="69"/>
      <c r="O45" s="65"/>
    </row>
    <row r="46" spans="1:15">
      <c r="A46" s="5"/>
      <c r="B46" s="5"/>
      <c r="C46" s="5"/>
      <c r="D46" s="5"/>
      <c r="E46" s="5"/>
      <c r="F46" s="5"/>
      <c r="G46" s="108"/>
      <c r="H46" s="5"/>
      <c r="I46" s="5"/>
      <c r="J46" s="108"/>
      <c r="K46" s="5"/>
      <c r="L46" s="108"/>
      <c r="M46" s="108"/>
      <c r="N46" s="5"/>
      <c r="O46" s="5"/>
    </row>
    <row r="47" spans="1:15">
      <c r="A47" s="5"/>
      <c r="B47" s="5"/>
      <c r="C47" s="5"/>
      <c r="D47" s="5"/>
      <c r="E47" s="5"/>
      <c r="F47" s="5"/>
      <c r="G47" s="108"/>
      <c r="H47" s="5"/>
      <c r="I47" s="5"/>
      <c r="J47" s="108"/>
      <c r="K47" s="5"/>
      <c r="L47" s="108"/>
      <c r="M47" s="108"/>
      <c r="N47" s="5"/>
      <c r="O47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V49"/>
  <sheetViews>
    <sheetView workbookViewId="0">
      <selection activeCell="Q14" sqref="Q14"/>
    </sheetView>
  </sheetViews>
  <sheetFormatPr defaultRowHeight="15"/>
  <cols>
    <col min="2" max="2" width="10.85546875" bestFit="1" customWidth="1"/>
    <col min="4" max="4" width="16.140625" customWidth="1"/>
    <col min="7" max="7" width="11.85546875" bestFit="1" customWidth="1"/>
    <col min="11" max="12" width="16" customWidth="1"/>
    <col min="13" max="13" width="14.42578125" bestFit="1" customWidth="1"/>
    <col min="14" max="14" width="14.7109375" bestFit="1" customWidth="1"/>
  </cols>
  <sheetData>
    <row r="1" spans="1:15" ht="15.75">
      <c r="A1" s="454" t="s">
        <v>85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5"/>
    </row>
    <row r="2" spans="1:15" ht="30">
      <c r="A2" s="70" t="s">
        <v>95</v>
      </c>
      <c r="B2" s="89" t="s">
        <v>96</v>
      </c>
      <c r="C2" s="89" t="s">
        <v>97</v>
      </c>
      <c r="D2" s="89" t="s">
        <v>111</v>
      </c>
      <c r="E2" s="89" t="s">
        <v>99</v>
      </c>
      <c r="F2" s="89" t="s">
        <v>100</v>
      </c>
      <c r="G2" s="96" t="s">
        <v>101</v>
      </c>
      <c r="H2" s="89" t="s">
        <v>102</v>
      </c>
      <c r="I2" s="89" t="s">
        <v>100</v>
      </c>
      <c r="J2" s="96" t="s">
        <v>101</v>
      </c>
      <c r="K2" s="70" t="s">
        <v>103</v>
      </c>
      <c r="L2" s="97" t="s">
        <v>104</v>
      </c>
      <c r="M2" s="91" t="s">
        <v>110</v>
      </c>
      <c r="N2" s="89" t="s">
        <v>106</v>
      </c>
      <c r="O2" s="5"/>
    </row>
    <row r="3" spans="1:15">
      <c r="A3" s="481" t="s">
        <v>107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3"/>
      <c r="M3" s="484">
        <v>3593.8247999999949</v>
      </c>
      <c r="N3" s="485"/>
      <c r="O3" s="5"/>
    </row>
    <row r="4" spans="1:15">
      <c r="A4" s="208">
        <v>1</v>
      </c>
      <c r="B4" s="233"/>
      <c r="C4" s="6"/>
      <c r="D4" s="6"/>
      <c r="E4" s="71"/>
      <c r="F4" s="6"/>
      <c r="G4" s="72">
        <f>E4*F4</f>
        <v>0</v>
      </c>
      <c r="H4" s="71"/>
      <c r="I4" s="6"/>
      <c r="J4" s="72"/>
      <c r="K4" s="72"/>
      <c r="L4" s="323">
        <v>0</v>
      </c>
      <c r="M4" s="156">
        <f>M3+K4-L4</f>
        <v>3593.8247999999949</v>
      </c>
      <c r="N4" s="50" t="s">
        <v>155</v>
      </c>
      <c r="O4" s="5"/>
    </row>
    <row r="5" spans="1:15">
      <c r="A5" s="50">
        <v>2</v>
      </c>
      <c r="B5" s="233"/>
      <c r="C5" s="6"/>
      <c r="D5" s="6"/>
      <c r="E5" s="71"/>
      <c r="F5" s="6"/>
      <c r="G5" s="72">
        <f>E5*F5</f>
        <v>0</v>
      </c>
      <c r="H5" s="71"/>
      <c r="I5" s="6"/>
      <c r="J5" s="72"/>
      <c r="K5" s="72"/>
      <c r="L5" s="323">
        <v>0</v>
      </c>
      <c r="M5" s="156">
        <f t="shared" ref="M5:M46" si="0">M4+K5-L5</f>
        <v>3593.8247999999949</v>
      </c>
      <c r="N5" s="50" t="s">
        <v>155</v>
      </c>
      <c r="O5" s="5"/>
    </row>
    <row r="6" spans="1:15">
      <c r="A6" s="50">
        <v>3</v>
      </c>
      <c r="B6" s="233"/>
      <c r="C6" s="6"/>
      <c r="D6" s="6"/>
      <c r="E6" s="71"/>
      <c r="F6" s="6"/>
      <c r="G6" s="72">
        <f t="shared" ref="G6:G44" si="1">E6*F6</f>
        <v>0</v>
      </c>
      <c r="H6" s="71"/>
      <c r="I6" s="6"/>
      <c r="J6" s="72"/>
      <c r="K6" s="72"/>
      <c r="L6" s="323">
        <v>0</v>
      </c>
      <c r="M6" s="156">
        <f t="shared" si="0"/>
        <v>3593.8247999999949</v>
      </c>
      <c r="N6" s="50" t="s">
        <v>155</v>
      </c>
      <c r="O6" s="5"/>
    </row>
    <row r="7" spans="1:15">
      <c r="A7" s="208">
        <v>4</v>
      </c>
      <c r="B7" s="233"/>
      <c r="C7" s="6"/>
      <c r="D7" s="6"/>
      <c r="E7" s="71"/>
      <c r="F7" s="6"/>
      <c r="G7" s="72">
        <f t="shared" si="1"/>
        <v>0</v>
      </c>
      <c r="H7" s="71"/>
      <c r="I7" s="6"/>
      <c r="J7" s="72"/>
      <c r="K7" s="72"/>
      <c r="L7" s="323">
        <v>0</v>
      </c>
      <c r="M7" s="156">
        <f t="shared" si="0"/>
        <v>3593.8247999999949</v>
      </c>
      <c r="N7" s="50" t="s">
        <v>155</v>
      </c>
      <c r="O7" s="5"/>
    </row>
    <row r="8" spans="1:15">
      <c r="A8" s="50">
        <v>5</v>
      </c>
      <c r="B8" s="233"/>
      <c r="C8" s="6"/>
      <c r="D8" s="6"/>
      <c r="E8" s="71"/>
      <c r="F8" s="6"/>
      <c r="G8" s="72">
        <f t="shared" si="1"/>
        <v>0</v>
      </c>
      <c r="H8" s="71"/>
      <c r="I8" s="6"/>
      <c r="J8" s="72"/>
      <c r="K8" s="72"/>
      <c r="L8" s="323">
        <v>0</v>
      </c>
      <c r="M8" s="156">
        <f t="shared" si="0"/>
        <v>3593.8247999999949</v>
      </c>
      <c r="N8" s="50" t="s">
        <v>155</v>
      </c>
      <c r="O8" s="5"/>
    </row>
    <row r="9" spans="1:15">
      <c r="A9" s="50">
        <v>6</v>
      </c>
      <c r="B9" s="233"/>
      <c r="C9" s="6"/>
      <c r="D9" s="6"/>
      <c r="E9" s="71"/>
      <c r="F9" s="6"/>
      <c r="G9" s="72">
        <f t="shared" si="1"/>
        <v>0</v>
      </c>
      <c r="H9" s="71"/>
      <c r="I9" s="6"/>
      <c r="J9" s="72"/>
      <c r="K9" s="72"/>
      <c r="L9" s="323">
        <v>0</v>
      </c>
      <c r="M9" s="156">
        <f t="shared" si="0"/>
        <v>3593.8247999999949</v>
      </c>
      <c r="N9" s="50" t="s">
        <v>155</v>
      </c>
      <c r="O9" s="5"/>
    </row>
    <row r="10" spans="1:15">
      <c r="A10" s="208">
        <v>7</v>
      </c>
      <c r="B10" s="233"/>
      <c r="C10" s="6"/>
      <c r="D10" s="6"/>
      <c r="E10" s="71"/>
      <c r="F10" s="6"/>
      <c r="G10" s="72">
        <f t="shared" si="1"/>
        <v>0</v>
      </c>
      <c r="H10" s="71"/>
      <c r="I10" s="6"/>
      <c r="J10" s="72"/>
      <c r="K10" s="72"/>
      <c r="L10" s="323">
        <v>0</v>
      </c>
      <c r="M10" s="156">
        <f t="shared" si="0"/>
        <v>3593.8247999999949</v>
      </c>
      <c r="N10" s="50" t="s">
        <v>155</v>
      </c>
      <c r="O10" s="5"/>
    </row>
    <row r="11" spans="1:15">
      <c r="A11" s="50">
        <v>8</v>
      </c>
      <c r="B11" s="233"/>
      <c r="C11" s="6"/>
      <c r="D11" s="6"/>
      <c r="E11" s="346"/>
      <c r="F11" s="346"/>
      <c r="G11" s="72">
        <f t="shared" si="1"/>
        <v>0</v>
      </c>
      <c r="H11" s="71"/>
      <c r="I11" s="6"/>
      <c r="J11" s="72"/>
      <c r="K11" s="72"/>
      <c r="L11" s="323">
        <v>0</v>
      </c>
      <c r="M11" s="156">
        <f t="shared" si="0"/>
        <v>3593.8247999999949</v>
      </c>
      <c r="N11" s="50" t="s">
        <v>155</v>
      </c>
      <c r="O11" s="5"/>
    </row>
    <row r="12" spans="1:15">
      <c r="A12" s="50">
        <v>9</v>
      </c>
      <c r="B12" s="233"/>
      <c r="C12" s="6"/>
      <c r="D12" s="6"/>
      <c r="E12" s="346"/>
      <c r="F12" s="346"/>
      <c r="G12" s="72">
        <f t="shared" si="1"/>
        <v>0</v>
      </c>
      <c r="H12" s="71"/>
      <c r="I12" s="6"/>
      <c r="J12" s="72"/>
      <c r="K12" s="72"/>
      <c r="L12" s="323">
        <v>0</v>
      </c>
      <c r="M12" s="156">
        <f t="shared" si="0"/>
        <v>3593.8247999999949</v>
      </c>
      <c r="N12" s="50" t="s">
        <v>155</v>
      </c>
      <c r="O12" s="5"/>
    </row>
    <row r="13" spans="1:15">
      <c r="A13" s="208">
        <v>10</v>
      </c>
      <c r="B13" s="233"/>
      <c r="C13" s="6"/>
      <c r="D13" s="6"/>
      <c r="E13" s="71"/>
      <c r="F13" s="346"/>
      <c r="G13" s="72">
        <f t="shared" si="1"/>
        <v>0</v>
      </c>
      <c r="H13" s="71"/>
      <c r="I13" s="6"/>
      <c r="J13" s="72"/>
      <c r="K13" s="72"/>
      <c r="L13" s="323">
        <v>0</v>
      </c>
      <c r="M13" s="156">
        <f t="shared" si="0"/>
        <v>3593.8247999999949</v>
      </c>
      <c r="N13" s="50" t="s">
        <v>155</v>
      </c>
      <c r="O13" s="5"/>
    </row>
    <row r="14" spans="1:15">
      <c r="A14" s="50">
        <v>11</v>
      </c>
      <c r="B14" s="233"/>
      <c r="C14" s="6"/>
      <c r="D14" s="6"/>
      <c r="E14" s="71"/>
      <c r="F14" s="346"/>
      <c r="G14" s="72">
        <f t="shared" si="1"/>
        <v>0</v>
      </c>
      <c r="H14" s="71"/>
      <c r="I14" s="6"/>
      <c r="J14" s="72"/>
      <c r="K14" s="72"/>
      <c r="L14" s="323">
        <v>0</v>
      </c>
      <c r="M14" s="156">
        <f t="shared" si="0"/>
        <v>3593.8247999999949</v>
      </c>
      <c r="N14" s="50" t="s">
        <v>155</v>
      </c>
      <c r="O14" s="5"/>
    </row>
    <row r="15" spans="1:15">
      <c r="A15" s="50">
        <v>12</v>
      </c>
      <c r="B15" s="233" t="s">
        <v>171</v>
      </c>
      <c r="C15" s="6"/>
      <c r="D15" s="6"/>
      <c r="E15" s="71">
        <v>48.56</v>
      </c>
      <c r="F15" s="6">
        <v>91.45</v>
      </c>
      <c r="G15" s="72">
        <f t="shared" si="1"/>
        <v>4440.8119999999999</v>
      </c>
      <c r="H15" s="71">
        <v>5</v>
      </c>
      <c r="I15" s="6">
        <v>103.39</v>
      </c>
      <c r="J15" s="72">
        <f>H15*I15</f>
        <v>516.95000000000005</v>
      </c>
      <c r="K15" s="72">
        <f>G15+J15</f>
        <v>4957.7619999999997</v>
      </c>
      <c r="L15" s="323">
        <v>0</v>
      </c>
      <c r="M15" s="156">
        <f t="shared" si="0"/>
        <v>8551.5867999999937</v>
      </c>
      <c r="N15" s="50" t="s">
        <v>155</v>
      </c>
      <c r="O15" s="5"/>
    </row>
    <row r="16" spans="1:15">
      <c r="A16" s="208">
        <v>13</v>
      </c>
      <c r="B16" s="233"/>
      <c r="C16" s="6"/>
      <c r="D16" s="6"/>
      <c r="E16" s="71"/>
      <c r="F16" s="6"/>
      <c r="G16" s="72">
        <f t="shared" si="1"/>
        <v>0</v>
      </c>
      <c r="H16" s="71"/>
      <c r="I16" s="6"/>
      <c r="J16" s="72"/>
      <c r="K16" s="72"/>
      <c r="L16" s="323">
        <v>0</v>
      </c>
      <c r="M16" s="156">
        <f t="shared" si="0"/>
        <v>8551.5867999999937</v>
      </c>
      <c r="N16" s="50" t="s">
        <v>155</v>
      </c>
      <c r="O16" s="5"/>
    </row>
    <row r="17" spans="1:22">
      <c r="A17" s="50">
        <v>14</v>
      </c>
      <c r="B17" s="233"/>
      <c r="C17" s="6"/>
      <c r="D17" s="6"/>
      <c r="E17" s="71"/>
      <c r="F17" s="6"/>
      <c r="G17" s="72">
        <f t="shared" si="1"/>
        <v>0</v>
      </c>
      <c r="H17" s="71"/>
      <c r="I17" s="6"/>
      <c r="J17" s="72"/>
      <c r="K17" s="72"/>
      <c r="L17" s="323">
        <v>0</v>
      </c>
      <c r="M17" s="156">
        <f t="shared" si="0"/>
        <v>8551.5867999999937</v>
      </c>
      <c r="N17" s="50" t="s">
        <v>155</v>
      </c>
      <c r="O17" s="5"/>
    </row>
    <row r="18" spans="1:22">
      <c r="A18" s="50">
        <v>15</v>
      </c>
      <c r="B18" s="233"/>
      <c r="C18" s="6"/>
      <c r="D18" s="6"/>
      <c r="E18" s="71"/>
      <c r="F18" s="6"/>
      <c r="G18" s="72">
        <f t="shared" si="1"/>
        <v>0</v>
      </c>
      <c r="H18" s="71"/>
      <c r="I18" s="6"/>
      <c r="J18" s="72"/>
      <c r="K18" s="72"/>
      <c r="L18" s="323">
        <v>0</v>
      </c>
      <c r="M18" s="156">
        <f t="shared" si="0"/>
        <v>8551.5867999999937</v>
      </c>
      <c r="N18" s="50" t="s">
        <v>155</v>
      </c>
      <c r="O18" s="5"/>
    </row>
    <row r="19" spans="1:22">
      <c r="A19" s="208">
        <v>16</v>
      </c>
      <c r="B19" s="233"/>
      <c r="C19" s="6"/>
      <c r="D19" s="6"/>
      <c r="E19" s="71"/>
      <c r="F19" s="6"/>
      <c r="G19" s="72">
        <f t="shared" si="1"/>
        <v>0</v>
      </c>
      <c r="H19" s="71">
        <v>0</v>
      </c>
      <c r="I19" s="6"/>
      <c r="J19" s="72"/>
      <c r="K19" s="72"/>
      <c r="L19" s="323">
        <v>0</v>
      </c>
      <c r="M19" s="156">
        <f t="shared" si="0"/>
        <v>8551.5867999999937</v>
      </c>
      <c r="N19" s="50" t="s">
        <v>155</v>
      </c>
      <c r="O19" s="5"/>
    </row>
    <row r="20" spans="1:22">
      <c r="A20" s="50">
        <v>17</v>
      </c>
      <c r="B20" s="233"/>
      <c r="C20" s="6"/>
      <c r="D20" s="6"/>
      <c r="E20" s="71"/>
      <c r="F20" s="6"/>
      <c r="G20" s="72">
        <f t="shared" si="1"/>
        <v>0</v>
      </c>
      <c r="H20" s="71">
        <v>0</v>
      </c>
      <c r="I20" s="6"/>
      <c r="J20" s="72"/>
      <c r="K20" s="72"/>
      <c r="L20" s="323">
        <v>0</v>
      </c>
      <c r="M20" s="156">
        <f t="shared" si="0"/>
        <v>8551.5867999999937</v>
      </c>
      <c r="N20" s="50" t="s">
        <v>155</v>
      </c>
      <c r="O20" s="5"/>
    </row>
    <row r="21" spans="1:22">
      <c r="A21" s="50">
        <v>18</v>
      </c>
      <c r="B21" s="233"/>
      <c r="C21" s="6"/>
      <c r="D21" s="6"/>
      <c r="E21" s="71"/>
      <c r="F21" s="6"/>
      <c r="G21" s="72">
        <f t="shared" si="1"/>
        <v>0</v>
      </c>
      <c r="H21" s="71">
        <v>0</v>
      </c>
      <c r="I21" s="6"/>
      <c r="J21" s="72"/>
      <c r="K21" s="72"/>
      <c r="L21" s="323">
        <v>0</v>
      </c>
      <c r="M21" s="156">
        <f t="shared" si="0"/>
        <v>8551.5867999999937</v>
      </c>
      <c r="N21" s="50" t="s">
        <v>155</v>
      </c>
      <c r="O21" s="5"/>
      <c r="Q21">
        <f>76.54*91.45</f>
        <v>6999.5830000000005</v>
      </c>
      <c r="T21">
        <f>25*600</f>
        <v>15000</v>
      </c>
      <c r="U21">
        <f>T21*2</f>
        <v>30000</v>
      </c>
      <c r="V21">
        <f>250*600</f>
        <v>150000</v>
      </c>
    </row>
    <row r="22" spans="1:22">
      <c r="A22" s="208">
        <v>19</v>
      </c>
      <c r="B22" s="233"/>
      <c r="C22" s="6"/>
      <c r="D22" s="6"/>
      <c r="E22" s="71"/>
      <c r="F22" s="6"/>
      <c r="G22" s="72">
        <f t="shared" si="1"/>
        <v>0</v>
      </c>
      <c r="H22" s="71">
        <v>0</v>
      </c>
      <c r="I22" s="6"/>
      <c r="J22" s="72"/>
      <c r="K22" s="72"/>
      <c r="L22" s="323">
        <v>0</v>
      </c>
      <c r="M22" s="156">
        <f t="shared" si="0"/>
        <v>8551.5867999999937</v>
      </c>
      <c r="N22" s="50" t="s">
        <v>155</v>
      </c>
      <c r="O22" s="5"/>
      <c r="T22">
        <f>25*480</f>
        <v>12000</v>
      </c>
      <c r="U22">
        <f>T22*2</f>
        <v>24000</v>
      </c>
      <c r="V22">
        <f>250*480</f>
        <v>120000</v>
      </c>
    </row>
    <row r="23" spans="1:22">
      <c r="A23" s="50">
        <v>20</v>
      </c>
      <c r="B23" s="233"/>
      <c r="C23" s="6"/>
      <c r="D23" s="6"/>
      <c r="E23" s="71"/>
      <c r="F23" s="6"/>
      <c r="G23" s="72">
        <f t="shared" si="1"/>
        <v>0</v>
      </c>
      <c r="H23" s="71">
        <v>0</v>
      </c>
      <c r="I23" s="6"/>
      <c r="J23" s="72"/>
      <c r="K23" s="72"/>
      <c r="L23" s="323">
        <v>0</v>
      </c>
      <c r="M23" s="156">
        <f t="shared" si="0"/>
        <v>8551.5867999999937</v>
      </c>
      <c r="N23" s="50" t="s">
        <v>155</v>
      </c>
      <c r="O23" s="5"/>
    </row>
    <row r="24" spans="1:22">
      <c r="A24" s="50">
        <v>21</v>
      </c>
      <c r="B24" s="233"/>
      <c r="C24" s="6"/>
      <c r="D24" s="6"/>
      <c r="E24" s="71"/>
      <c r="F24" s="6"/>
      <c r="G24" s="72">
        <f t="shared" si="1"/>
        <v>0</v>
      </c>
      <c r="H24" s="71">
        <v>0</v>
      </c>
      <c r="I24" s="6"/>
      <c r="J24" s="72"/>
      <c r="K24" s="72"/>
      <c r="L24" s="323">
        <v>0</v>
      </c>
      <c r="M24" s="156">
        <f t="shared" si="0"/>
        <v>8551.5867999999937</v>
      </c>
      <c r="N24" s="50" t="s">
        <v>155</v>
      </c>
      <c r="O24" s="5"/>
    </row>
    <row r="25" spans="1:22">
      <c r="A25" s="208">
        <v>22</v>
      </c>
      <c r="B25" s="233"/>
      <c r="C25" s="6"/>
      <c r="D25" s="6"/>
      <c r="E25" s="71"/>
      <c r="F25" s="6"/>
      <c r="G25" s="72">
        <f t="shared" si="1"/>
        <v>0</v>
      </c>
      <c r="H25" s="71">
        <v>0</v>
      </c>
      <c r="I25" s="6"/>
      <c r="J25" s="72"/>
      <c r="K25" s="72"/>
      <c r="L25" s="323">
        <v>0</v>
      </c>
      <c r="M25" s="156">
        <f t="shared" si="0"/>
        <v>8551.5867999999937</v>
      </c>
      <c r="N25" s="50" t="s">
        <v>155</v>
      </c>
      <c r="O25" s="5"/>
    </row>
    <row r="26" spans="1:22">
      <c r="A26" s="50">
        <v>23</v>
      </c>
      <c r="B26" s="233"/>
      <c r="C26" s="6"/>
      <c r="D26" s="6"/>
      <c r="E26" s="71"/>
      <c r="F26" s="6"/>
      <c r="G26" s="72">
        <f t="shared" si="1"/>
        <v>0</v>
      </c>
      <c r="H26" s="71">
        <v>0</v>
      </c>
      <c r="I26" s="6"/>
      <c r="J26" s="72"/>
      <c r="K26" s="72"/>
      <c r="L26" s="323">
        <v>0</v>
      </c>
      <c r="M26" s="156">
        <f t="shared" si="0"/>
        <v>8551.5867999999937</v>
      </c>
      <c r="N26" s="50" t="s">
        <v>155</v>
      </c>
      <c r="O26" s="5">
        <v>14616</v>
      </c>
    </row>
    <row r="27" spans="1:22">
      <c r="A27" s="50">
        <v>24</v>
      </c>
      <c r="B27" s="233"/>
      <c r="C27" s="6"/>
      <c r="D27" s="6"/>
      <c r="E27" s="71"/>
      <c r="F27" s="6"/>
      <c r="G27" s="72">
        <f t="shared" si="1"/>
        <v>0</v>
      </c>
      <c r="H27" s="71">
        <v>0</v>
      </c>
      <c r="I27" s="6"/>
      <c r="J27" s="72"/>
      <c r="K27" s="72"/>
      <c r="L27" s="323">
        <v>0</v>
      </c>
      <c r="M27" s="156">
        <f t="shared" si="0"/>
        <v>8551.5867999999937</v>
      </c>
      <c r="N27" s="50" t="s">
        <v>155</v>
      </c>
      <c r="O27" s="5"/>
    </row>
    <row r="28" spans="1:22">
      <c r="A28" s="208">
        <v>25</v>
      </c>
      <c r="B28" s="233"/>
      <c r="C28" s="6"/>
      <c r="D28" s="6"/>
      <c r="E28" s="71"/>
      <c r="F28" s="6"/>
      <c r="G28" s="72">
        <f t="shared" si="1"/>
        <v>0</v>
      </c>
      <c r="H28" s="71">
        <v>0</v>
      </c>
      <c r="I28" s="6"/>
      <c r="J28" s="72"/>
      <c r="K28" s="72"/>
      <c r="L28" s="323">
        <v>0</v>
      </c>
      <c r="M28" s="156">
        <f t="shared" si="0"/>
        <v>8551.5867999999937</v>
      </c>
      <c r="N28" s="50" t="s">
        <v>155</v>
      </c>
      <c r="O28" s="5"/>
    </row>
    <row r="29" spans="1:22">
      <c r="A29" s="50">
        <v>26</v>
      </c>
      <c r="B29" s="233"/>
      <c r="C29" s="6"/>
      <c r="D29" s="6"/>
      <c r="E29" s="71"/>
      <c r="F29" s="6"/>
      <c r="G29" s="72">
        <f t="shared" si="1"/>
        <v>0</v>
      </c>
      <c r="H29" s="71">
        <v>0</v>
      </c>
      <c r="I29" s="6"/>
      <c r="J29" s="72"/>
      <c r="K29" s="72"/>
      <c r="L29" s="323">
        <v>0</v>
      </c>
      <c r="M29" s="156">
        <f t="shared" si="0"/>
        <v>8551.5867999999937</v>
      </c>
      <c r="N29" s="50" t="s">
        <v>155</v>
      </c>
      <c r="O29" s="5"/>
    </row>
    <row r="30" spans="1:22">
      <c r="A30" s="50">
        <v>27</v>
      </c>
      <c r="B30" s="233"/>
      <c r="C30" s="6"/>
      <c r="D30" s="6"/>
      <c r="E30" s="71"/>
      <c r="F30" s="6"/>
      <c r="G30" s="72">
        <f t="shared" si="1"/>
        <v>0</v>
      </c>
      <c r="H30" s="71">
        <v>0</v>
      </c>
      <c r="I30" s="6"/>
      <c r="J30" s="72"/>
      <c r="K30" s="72"/>
      <c r="L30" s="323">
        <v>0</v>
      </c>
      <c r="M30" s="156">
        <f t="shared" si="0"/>
        <v>8551.5867999999937</v>
      </c>
      <c r="N30" s="50" t="s">
        <v>155</v>
      </c>
      <c r="O30" s="5"/>
    </row>
    <row r="31" spans="1:22">
      <c r="A31" s="208">
        <v>28</v>
      </c>
      <c r="B31" s="233"/>
      <c r="C31" s="6"/>
      <c r="D31" s="6"/>
      <c r="E31" s="71"/>
      <c r="F31" s="6"/>
      <c r="G31" s="72">
        <f t="shared" si="1"/>
        <v>0</v>
      </c>
      <c r="H31" s="71">
        <v>0</v>
      </c>
      <c r="I31" s="6"/>
      <c r="J31" s="72"/>
      <c r="K31" s="72"/>
      <c r="L31" s="323">
        <v>0</v>
      </c>
      <c r="M31" s="156">
        <f t="shared" si="0"/>
        <v>8551.5867999999937</v>
      </c>
      <c r="N31" s="50" t="s">
        <v>155</v>
      </c>
      <c r="O31" s="5"/>
    </row>
    <row r="32" spans="1:22">
      <c r="A32" s="50">
        <v>29</v>
      </c>
      <c r="B32" s="233"/>
      <c r="C32" s="6"/>
      <c r="D32" s="6"/>
      <c r="E32" s="71"/>
      <c r="F32" s="6"/>
      <c r="G32" s="72">
        <f t="shared" si="1"/>
        <v>0</v>
      </c>
      <c r="H32" s="71">
        <v>0</v>
      </c>
      <c r="I32" s="6"/>
      <c r="J32" s="72"/>
      <c r="K32" s="72"/>
      <c r="L32" s="323">
        <v>0</v>
      </c>
      <c r="M32" s="156">
        <f t="shared" si="0"/>
        <v>8551.5867999999937</v>
      </c>
      <c r="N32" s="50" t="s">
        <v>155</v>
      </c>
      <c r="O32" s="5"/>
    </row>
    <row r="33" spans="1:15">
      <c r="A33" s="50">
        <v>30</v>
      </c>
      <c r="B33" s="233"/>
      <c r="C33" s="6"/>
      <c r="D33" s="6"/>
      <c r="E33" s="71"/>
      <c r="F33" s="6"/>
      <c r="G33" s="72">
        <f t="shared" si="1"/>
        <v>0</v>
      </c>
      <c r="H33" s="71">
        <v>0</v>
      </c>
      <c r="I33" s="6"/>
      <c r="J33" s="72"/>
      <c r="K33" s="72"/>
      <c r="L33" s="323">
        <v>0</v>
      </c>
      <c r="M33" s="156">
        <f t="shared" si="0"/>
        <v>8551.5867999999937</v>
      </c>
      <c r="N33" s="50" t="s">
        <v>155</v>
      </c>
      <c r="O33" s="5"/>
    </row>
    <row r="34" spans="1:15">
      <c r="A34" s="208">
        <v>31</v>
      </c>
      <c r="B34" s="233"/>
      <c r="C34" s="6"/>
      <c r="D34" s="6"/>
      <c r="E34" s="71"/>
      <c r="F34" s="6"/>
      <c r="G34" s="72">
        <f t="shared" si="1"/>
        <v>0</v>
      </c>
      <c r="H34" s="71">
        <v>0</v>
      </c>
      <c r="I34" s="6"/>
      <c r="J34" s="72"/>
      <c r="K34" s="72"/>
      <c r="L34" s="323">
        <v>0</v>
      </c>
      <c r="M34" s="156">
        <f t="shared" si="0"/>
        <v>8551.5867999999937</v>
      </c>
      <c r="N34" s="50" t="s">
        <v>155</v>
      </c>
      <c r="O34" s="5"/>
    </row>
    <row r="35" spans="1:15">
      <c r="A35" s="50">
        <v>32</v>
      </c>
      <c r="B35" s="233"/>
      <c r="C35" s="6"/>
      <c r="D35" s="6"/>
      <c r="E35" s="71"/>
      <c r="F35" s="6"/>
      <c r="G35" s="72">
        <f t="shared" si="1"/>
        <v>0</v>
      </c>
      <c r="H35" s="71">
        <v>0</v>
      </c>
      <c r="I35" s="6"/>
      <c r="J35" s="72"/>
      <c r="K35" s="72"/>
      <c r="L35" s="323">
        <v>0</v>
      </c>
      <c r="M35" s="156">
        <f t="shared" si="0"/>
        <v>8551.5867999999937</v>
      </c>
      <c r="N35" s="50" t="s">
        <v>155</v>
      </c>
      <c r="O35" s="5"/>
    </row>
    <row r="36" spans="1:15">
      <c r="A36" s="50">
        <v>33</v>
      </c>
      <c r="B36" s="233"/>
      <c r="C36" s="6"/>
      <c r="D36" s="6"/>
      <c r="E36" s="71"/>
      <c r="F36" s="6"/>
      <c r="G36" s="72">
        <f t="shared" si="1"/>
        <v>0</v>
      </c>
      <c r="H36" s="71">
        <v>0</v>
      </c>
      <c r="I36" s="6"/>
      <c r="J36" s="72"/>
      <c r="K36" s="72"/>
      <c r="L36" s="323">
        <v>0</v>
      </c>
      <c r="M36" s="156">
        <f t="shared" si="0"/>
        <v>8551.5867999999937</v>
      </c>
      <c r="N36" s="50" t="s">
        <v>155</v>
      </c>
      <c r="O36" s="5"/>
    </row>
    <row r="37" spans="1:15">
      <c r="A37" s="208">
        <v>34</v>
      </c>
      <c r="B37" s="233"/>
      <c r="C37" s="6"/>
      <c r="D37" s="6"/>
      <c r="E37" s="71"/>
      <c r="F37" s="6"/>
      <c r="G37" s="72">
        <f t="shared" si="1"/>
        <v>0</v>
      </c>
      <c r="H37" s="71">
        <v>0</v>
      </c>
      <c r="I37" s="6"/>
      <c r="J37" s="72"/>
      <c r="K37" s="72"/>
      <c r="L37" s="323">
        <v>0</v>
      </c>
      <c r="M37" s="156">
        <f t="shared" si="0"/>
        <v>8551.5867999999937</v>
      </c>
      <c r="N37" s="50" t="s">
        <v>155</v>
      </c>
      <c r="O37" s="5"/>
    </row>
    <row r="38" spans="1:15">
      <c r="A38" s="50">
        <v>35</v>
      </c>
      <c r="B38" s="233"/>
      <c r="C38" s="6"/>
      <c r="D38" s="6"/>
      <c r="E38" s="71"/>
      <c r="F38" s="6"/>
      <c r="G38" s="72">
        <f t="shared" si="1"/>
        <v>0</v>
      </c>
      <c r="H38" s="71">
        <v>0</v>
      </c>
      <c r="I38" s="6"/>
      <c r="J38" s="72"/>
      <c r="K38" s="72"/>
      <c r="L38" s="323">
        <v>0</v>
      </c>
      <c r="M38" s="156">
        <f t="shared" si="0"/>
        <v>8551.5867999999937</v>
      </c>
      <c r="N38" s="6"/>
      <c r="O38" s="5"/>
    </row>
    <row r="39" spans="1:15">
      <c r="A39" s="50">
        <v>36</v>
      </c>
      <c r="B39" s="233"/>
      <c r="C39" s="6"/>
      <c r="D39" s="6"/>
      <c r="E39" s="71"/>
      <c r="F39" s="6"/>
      <c r="G39" s="72">
        <f t="shared" si="1"/>
        <v>0</v>
      </c>
      <c r="H39" s="71">
        <v>0</v>
      </c>
      <c r="I39" s="6"/>
      <c r="J39" s="72"/>
      <c r="K39" s="72"/>
      <c r="L39" s="323">
        <v>0</v>
      </c>
      <c r="M39" s="156">
        <f t="shared" si="0"/>
        <v>8551.5867999999937</v>
      </c>
      <c r="N39" s="6"/>
      <c r="O39" s="5"/>
    </row>
    <row r="40" spans="1:15">
      <c r="A40" s="208">
        <v>37</v>
      </c>
      <c r="B40" s="233"/>
      <c r="C40" s="6"/>
      <c r="D40" s="6"/>
      <c r="E40" s="71"/>
      <c r="F40" s="6"/>
      <c r="G40" s="72">
        <f t="shared" si="1"/>
        <v>0</v>
      </c>
      <c r="H40" s="71">
        <v>0</v>
      </c>
      <c r="I40" s="6"/>
      <c r="J40" s="72"/>
      <c r="K40" s="72"/>
      <c r="L40" s="323">
        <v>0</v>
      </c>
      <c r="M40" s="156">
        <f t="shared" si="0"/>
        <v>8551.5867999999937</v>
      </c>
      <c r="N40" s="6"/>
      <c r="O40" s="5"/>
    </row>
    <row r="41" spans="1:15">
      <c r="A41" s="50">
        <v>38</v>
      </c>
      <c r="B41" s="233"/>
      <c r="C41" s="6"/>
      <c r="D41" s="6"/>
      <c r="E41" s="71"/>
      <c r="F41" s="6"/>
      <c r="G41" s="72">
        <f t="shared" si="1"/>
        <v>0</v>
      </c>
      <c r="H41" s="71">
        <v>0</v>
      </c>
      <c r="I41" s="6"/>
      <c r="J41" s="72"/>
      <c r="K41" s="72"/>
      <c r="L41" s="323">
        <v>0</v>
      </c>
      <c r="M41" s="156">
        <f t="shared" si="0"/>
        <v>8551.5867999999937</v>
      </c>
      <c r="N41" s="6"/>
      <c r="O41" s="5"/>
    </row>
    <row r="42" spans="1:15">
      <c r="A42" s="50">
        <v>39</v>
      </c>
      <c r="B42" s="233"/>
      <c r="C42" s="6"/>
      <c r="D42" s="6"/>
      <c r="E42" s="71"/>
      <c r="F42" s="6"/>
      <c r="G42" s="72">
        <f t="shared" si="1"/>
        <v>0</v>
      </c>
      <c r="H42" s="71">
        <v>0</v>
      </c>
      <c r="I42" s="6"/>
      <c r="J42" s="72"/>
      <c r="K42" s="72"/>
      <c r="L42" s="323">
        <v>0</v>
      </c>
      <c r="M42" s="156">
        <f t="shared" si="0"/>
        <v>8551.5867999999937</v>
      </c>
      <c r="N42" s="6"/>
      <c r="O42" s="5"/>
    </row>
    <row r="43" spans="1:15">
      <c r="A43" s="208">
        <v>40</v>
      </c>
      <c r="B43" s="179"/>
      <c r="C43" s="178"/>
      <c r="D43" s="6"/>
      <c r="E43" s="71"/>
      <c r="F43" s="6"/>
      <c r="G43" s="72">
        <f t="shared" si="1"/>
        <v>0</v>
      </c>
      <c r="H43" s="71">
        <v>0</v>
      </c>
      <c r="I43" s="6"/>
      <c r="J43" s="72"/>
      <c r="K43" s="72"/>
      <c r="L43" s="323">
        <v>0</v>
      </c>
      <c r="M43" s="156">
        <f t="shared" si="0"/>
        <v>8551.5867999999937</v>
      </c>
      <c r="N43" s="178"/>
      <c r="O43" s="5"/>
    </row>
    <row r="44" spans="1:15">
      <c r="A44" s="50">
        <v>41</v>
      </c>
      <c r="B44" s="6"/>
      <c r="C44" s="6"/>
      <c r="D44" s="6"/>
      <c r="E44" s="71">
        <v>0</v>
      </c>
      <c r="F44" s="6">
        <v>0</v>
      </c>
      <c r="G44" s="72">
        <f t="shared" si="1"/>
        <v>0</v>
      </c>
      <c r="H44" s="71">
        <v>0</v>
      </c>
      <c r="I44" s="6"/>
      <c r="J44" s="72"/>
      <c r="K44" s="72"/>
      <c r="L44" s="323">
        <v>0</v>
      </c>
      <c r="M44" s="156">
        <f t="shared" si="0"/>
        <v>8551.5867999999937</v>
      </c>
      <c r="N44" s="6"/>
      <c r="O44" s="5"/>
    </row>
    <row r="45" spans="1:15">
      <c r="A45" s="50">
        <v>42</v>
      </c>
      <c r="B45" s="178"/>
      <c r="C45" s="178"/>
      <c r="D45" s="6"/>
      <c r="E45" s="71">
        <v>0</v>
      </c>
      <c r="F45" s="6">
        <v>0</v>
      </c>
      <c r="G45" s="72">
        <f t="shared" ref="G45:G46" si="2">E45*F45</f>
        <v>0</v>
      </c>
      <c r="H45" s="71"/>
      <c r="I45" s="6"/>
      <c r="J45" s="72"/>
      <c r="K45" s="180"/>
      <c r="L45" s="170">
        <f t="shared" ref="L45:L46" si="3">+K45</f>
        <v>0</v>
      </c>
      <c r="M45" s="156">
        <f t="shared" si="0"/>
        <v>8551.5867999999937</v>
      </c>
      <c r="N45" s="178"/>
      <c r="O45" s="5"/>
    </row>
    <row r="46" spans="1:15">
      <c r="A46" s="50"/>
      <c r="B46" s="178"/>
      <c r="C46" s="178"/>
      <c r="D46" s="6"/>
      <c r="E46" s="71">
        <v>0</v>
      </c>
      <c r="F46" s="6">
        <v>0</v>
      </c>
      <c r="G46" s="72">
        <f t="shared" si="2"/>
        <v>0</v>
      </c>
      <c r="H46" s="71"/>
      <c r="I46" s="6"/>
      <c r="J46" s="72"/>
      <c r="K46" s="180"/>
      <c r="L46" s="181">
        <f t="shared" si="3"/>
        <v>0</v>
      </c>
      <c r="M46" s="156">
        <f t="shared" si="0"/>
        <v>8551.5867999999937</v>
      </c>
      <c r="N46" s="178"/>
      <c r="O46" s="5"/>
    </row>
    <row r="47" spans="1:15">
      <c r="A47" s="68"/>
      <c r="B47" s="68"/>
      <c r="C47" s="68"/>
      <c r="D47" s="68"/>
      <c r="E47" s="69">
        <f>SUM(E4:E46)</f>
        <v>48.56</v>
      </c>
      <c r="F47" s="69"/>
      <c r="G47" s="69">
        <f>SUM(G4:G46)</f>
        <v>4440.8119999999999</v>
      </c>
      <c r="H47" s="69">
        <f>SUM(H4:H46)</f>
        <v>5</v>
      </c>
      <c r="I47" s="69"/>
      <c r="J47" s="69">
        <f>SUM(J4:J46)</f>
        <v>516.95000000000005</v>
      </c>
      <c r="K47" s="69">
        <f>SUM(K4:K46)</f>
        <v>4957.7619999999997</v>
      </c>
      <c r="L47" s="69">
        <f>SUM(L4:L46)</f>
        <v>0</v>
      </c>
      <c r="M47" s="69"/>
      <c r="N47" s="69"/>
      <c r="O47" s="65"/>
    </row>
    <row r="48" spans="1:15">
      <c r="A48" s="5"/>
      <c r="B48" s="5"/>
      <c r="C48" s="5"/>
      <c r="D48" s="5"/>
      <c r="E48" s="5"/>
      <c r="F48" s="5"/>
      <c r="G48" s="108"/>
      <c r="H48" s="5"/>
      <c r="I48" s="5"/>
      <c r="J48" s="108"/>
      <c r="K48" s="5"/>
      <c r="L48" s="108"/>
      <c r="M48" s="108"/>
      <c r="N48" s="5"/>
      <c r="O48" s="5"/>
    </row>
    <row r="49" spans="1:15">
      <c r="A49" s="5"/>
      <c r="B49" s="5"/>
      <c r="C49" s="5"/>
      <c r="D49" s="5"/>
      <c r="E49" s="5"/>
      <c r="F49" s="5"/>
      <c r="G49" s="108"/>
      <c r="H49" s="5"/>
      <c r="I49" s="5"/>
      <c r="J49" s="108"/>
      <c r="K49" s="5"/>
      <c r="L49" s="108"/>
      <c r="M49" s="108"/>
      <c r="N49" s="5"/>
      <c r="O49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49"/>
  <sheetViews>
    <sheetView topLeftCell="A3" workbookViewId="0">
      <selection activeCell="M21" sqref="M21"/>
    </sheetView>
  </sheetViews>
  <sheetFormatPr defaultRowHeight="15"/>
  <cols>
    <col min="2" max="2" width="10.85546875" bestFit="1" customWidth="1"/>
    <col min="7" max="7" width="10.5703125" bestFit="1" customWidth="1"/>
    <col min="11" max="11" width="13.5703125" bestFit="1" customWidth="1"/>
    <col min="12" max="12" width="11" bestFit="1" customWidth="1"/>
    <col min="13" max="13" width="11.5703125" bestFit="1" customWidth="1"/>
  </cols>
  <sheetData>
    <row r="1" spans="1:15" ht="15.75">
      <c r="A1" s="454" t="s">
        <v>87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5"/>
    </row>
    <row r="2" spans="1:15" ht="45">
      <c r="A2" s="70" t="s">
        <v>95</v>
      </c>
      <c r="B2" s="89" t="s">
        <v>96</v>
      </c>
      <c r="C2" s="89" t="s">
        <v>97</v>
      </c>
      <c r="D2" s="89" t="s">
        <v>111</v>
      </c>
      <c r="E2" s="89" t="s">
        <v>99</v>
      </c>
      <c r="F2" s="89" t="s">
        <v>100</v>
      </c>
      <c r="G2" s="96" t="s">
        <v>101</v>
      </c>
      <c r="H2" s="89" t="s">
        <v>102</v>
      </c>
      <c r="I2" s="89" t="s">
        <v>100</v>
      </c>
      <c r="J2" s="96" t="s">
        <v>101</v>
      </c>
      <c r="K2" s="70" t="s">
        <v>103</v>
      </c>
      <c r="L2" s="97" t="s">
        <v>104</v>
      </c>
      <c r="M2" s="91" t="s">
        <v>110</v>
      </c>
      <c r="N2" s="89" t="s">
        <v>106</v>
      </c>
      <c r="O2" s="5"/>
    </row>
    <row r="3" spans="1:15">
      <c r="A3" s="481" t="s">
        <v>107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3"/>
      <c r="M3" s="484">
        <v>46556.770000000004</v>
      </c>
      <c r="N3" s="485"/>
      <c r="O3" s="5"/>
    </row>
    <row r="4" spans="1:15">
      <c r="A4" s="208">
        <v>1</v>
      </c>
      <c r="B4" s="233" t="s">
        <v>163</v>
      </c>
      <c r="C4" s="6"/>
      <c r="D4" s="6"/>
      <c r="E4" s="71">
        <v>130</v>
      </c>
      <c r="F4" s="6">
        <v>91.42</v>
      </c>
      <c r="G4" s="72">
        <f>E4*F4</f>
        <v>11884.6</v>
      </c>
      <c r="H4" s="71"/>
      <c r="I4" s="6"/>
      <c r="J4" s="72">
        <f>H4*I4</f>
        <v>0</v>
      </c>
      <c r="K4" s="72">
        <f>G4+J4</f>
        <v>11884.6</v>
      </c>
      <c r="L4" s="323">
        <v>0</v>
      </c>
      <c r="M4" s="156">
        <f>M3+K4-L4</f>
        <v>58441.37</v>
      </c>
      <c r="N4" s="50" t="s">
        <v>155</v>
      </c>
      <c r="O4" s="5"/>
    </row>
    <row r="5" spans="1:15">
      <c r="A5" s="50">
        <v>2</v>
      </c>
      <c r="B5" s="233" t="s">
        <v>185</v>
      </c>
      <c r="C5" s="6"/>
      <c r="D5" s="6"/>
      <c r="E5" s="71"/>
      <c r="F5" s="6"/>
      <c r="G5" s="72">
        <f t="shared" ref="G5:G21" si="0">E5*F5</f>
        <v>0</v>
      </c>
      <c r="H5" s="71">
        <v>5</v>
      </c>
      <c r="I5" s="6">
        <v>103.35</v>
      </c>
      <c r="J5" s="72">
        <f t="shared" ref="J5:J21" si="1">H5*I5</f>
        <v>516.75</v>
      </c>
      <c r="K5" s="72">
        <f t="shared" ref="K5:K46" si="2">G5+J5</f>
        <v>516.75</v>
      </c>
      <c r="L5" s="323">
        <v>0</v>
      </c>
      <c r="M5" s="156">
        <f t="shared" ref="M5:M46" si="3">M4+K5-L5</f>
        <v>58958.12</v>
      </c>
      <c r="N5" s="50" t="s">
        <v>155</v>
      </c>
      <c r="O5" s="5"/>
    </row>
    <row r="6" spans="1:15">
      <c r="A6" s="50">
        <v>3</v>
      </c>
      <c r="B6" s="233" t="s">
        <v>186</v>
      </c>
      <c r="C6" s="6"/>
      <c r="D6" s="6"/>
      <c r="E6" s="71"/>
      <c r="F6" s="6"/>
      <c r="G6" s="72">
        <f t="shared" si="0"/>
        <v>0</v>
      </c>
      <c r="H6" s="71">
        <v>10</v>
      </c>
      <c r="I6" s="6">
        <v>103.35</v>
      </c>
      <c r="J6" s="72">
        <f t="shared" si="1"/>
        <v>1033.5</v>
      </c>
      <c r="K6" s="72">
        <f t="shared" si="2"/>
        <v>1033.5</v>
      </c>
      <c r="L6" s="323">
        <v>0</v>
      </c>
      <c r="M6" s="156">
        <f t="shared" si="3"/>
        <v>59991.62</v>
      </c>
      <c r="N6" s="50" t="s">
        <v>155</v>
      </c>
      <c r="O6" s="5"/>
    </row>
    <row r="7" spans="1:15">
      <c r="A7" s="208">
        <v>4</v>
      </c>
      <c r="B7" s="233" t="s">
        <v>117</v>
      </c>
      <c r="C7" s="6"/>
      <c r="D7" s="6"/>
      <c r="E7" s="71"/>
      <c r="F7" s="6"/>
      <c r="G7" s="72">
        <f t="shared" si="0"/>
        <v>0</v>
      </c>
      <c r="H7" s="71">
        <v>5</v>
      </c>
      <c r="I7" s="6">
        <v>110.61</v>
      </c>
      <c r="J7" s="72">
        <f t="shared" si="1"/>
        <v>553.04999999999995</v>
      </c>
      <c r="K7" s="72">
        <f t="shared" si="2"/>
        <v>553.04999999999995</v>
      </c>
      <c r="L7" s="323">
        <v>0</v>
      </c>
      <c r="M7" s="156">
        <f t="shared" si="3"/>
        <v>60544.670000000006</v>
      </c>
      <c r="N7" s="50" t="s">
        <v>155</v>
      </c>
      <c r="O7" s="5"/>
    </row>
    <row r="8" spans="1:15">
      <c r="A8" s="50">
        <v>5</v>
      </c>
      <c r="B8" s="233" t="s">
        <v>128</v>
      </c>
      <c r="C8" s="6"/>
      <c r="D8" s="6"/>
      <c r="E8" s="71">
        <v>25</v>
      </c>
      <c r="F8" s="6">
        <v>91.42</v>
      </c>
      <c r="G8" s="72">
        <f t="shared" si="0"/>
        <v>2285.5</v>
      </c>
      <c r="H8" s="71">
        <v>0</v>
      </c>
      <c r="I8" s="6">
        <v>103.35</v>
      </c>
      <c r="J8" s="72">
        <f t="shared" si="1"/>
        <v>0</v>
      </c>
      <c r="K8" s="72">
        <f t="shared" si="2"/>
        <v>2285.5</v>
      </c>
      <c r="L8" s="323">
        <v>0</v>
      </c>
      <c r="M8" s="156">
        <f t="shared" si="3"/>
        <v>62830.170000000006</v>
      </c>
      <c r="N8" s="50" t="s">
        <v>155</v>
      </c>
      <c r="O8" s="5"/>
    </row>
    <row r="9" spans="1:15">
      <c r="A9" s="50">
        <v>6</v>
      </c>
      <c r="B9" s="233" t="s">
        <v>130</v>
      </c>
      <c r="C9" s="6"/>
      <c r="D9" s="6"/>
      <c r="E9" s="71">
        <v>31.01</v>
      </c>
      <c r="F9" s="6">
        <v>91.42</v>
      </c>
      <c r="G9" s="72">
        <f t="shared" si="0"/>
        <v>2834.9342000000001</v>
      </c>
      <c r="H9" s="71">
        <v>10</v>
      </c>
      <c r="I9" s="6">
        <v>103.35</v>
      </c>
      <c r="J9" s="72">
        <f t="shared" si="1"/>
        <v>1033.5</v>
      </c>
      <c r="K9" s="72">
        <f t="shared" si="2"/>
        <v>3868.4342000000001</v>
      </c>
      <c r="L9" s="323">
        <v>0</v>
      </c>
      <c r="M9" s="156">
        <f t="shared" si="3"/>
        <v>66698.604200000002</v>
      </c>
      <c r="N9" s="50" t="s">
        <v>155</v>
      </c>
      <c r="O9" s="5"/>
    </row>
    <row r="10" spans="1:15">
      <c r="A10" s="208">
        <v>7</v>
      </c>
      <c r="B10" s="233" t="s">
        <v>176</v>
      </c>
      <c r="C10" s="6"/>
      <c r="D10" s="6"/>
      <c r="E10" s="71"/>
      <c r="F10" s="6"/>
      <c r="G10" s="72">
        <f t="shared" si="0"/>
        <v>0</v>
      </c>
      <c r="H10" s="71"/>
      <c r="I10" s="6"/>
      <c r="J10" s="72">
        <f t="shared" si="1"/>
        <v>0</v>
      </c>
      <c r="K10" s="72">
        <f t="shared" si="2"/>
        <v>0</v>
      </c>
      <c r="L10" s="323">
        <v>50000</v>
      </c>
      <c r="M10" s="156">
        <f t="shared" si="3"/>
        <v>16698.604200000002</v>
      </c>
      <c r="N10" s="50" t="s">
        <v>155</v>
      </c>
      <c r="O10" s="5"/>
    </row>
    <row r="11" spans="1:15">
      <c r="A11" s="50">
        <v>8</v>
      </c>
      <c r="B11" s="233" t="s">
        <v>131</v>
      </c>
      <c r="C11" s="6"/>
      <c r="D11" s="6"/>
      <c r="E11" s="71"/>
      <c r="F11" s="6"/>
      <c r="G11" s="72">
        <f t="shared" si="0"/>
        <v>0</v>
      </c>
      <c r="H11" s="71">
        <v>10</v>
      </c>
      <c r="I11" s="6">
        <v>103.35</v>
      </c>
      <c r="J11" s="72">
        <f t="shared" si="1"/>
        <v>1033.5</v>
      </c>
      <c r="K11" s="72">
        <f t="shared" si="2"/>
        <v>1033.5</v>
      </c>
      <c r="L11" s="323">
        <v>0</v>
      </c>
      <c r="M11" s="156">
        <f t="shared" si="3"/>
        <v>17732.104200000002</v>
      </c>
      <c r="N11" s="50" t="s">
        <v>155</v>
      </c>
      <c r="O11" s="5"/>
    </row>
    <row r="12" spans="1:15">
      <c r="A12" s="50">
        <v>9</v>
      </c>
      <c r="B12" s="233" t="s">
        <v>178</v>
      </c>
      <c r="C12" s="6"/>
      <c r="D12" s="6"/>
      <c r="E12" s="71">
        <v>79</v>
      </c>
      <c r="F12" s="6">
        <v>91.42</v>
      </c>
      <c r="G12" s="72">
        <f t="shared" si="0"/>
        <v>7222.18</v>
      </c>
      <c r="H12" s="71"/>
      <c r="I12" s="6"/>
      <c r="J12" s="72">
        <f t="shared" si="1"/>
        <v>0</v>
      </c>
      <c r="K12" s="72">
        <f t="shared" si="2"/>
        <v>7222.18</v>
      </c>
      <c r="L12" s="323">
        <v>0</v>
      </c>
      <c r="M12" s="156">
        <f t="shared" si="3"/>
        <v>24954.284200000002</v>
      </c>
      <c r="N12" s="50" t="s">
        <v>155</v>
      </c>
      <c r="O12" s="5"/>
    </row>
    <row r="13" spans="1:15">
      <c r="A13" s="208">
        <v>10</v>
      </c>
      <c r="B13" s="233" t="s">
        <v>179</v>
      </c>
      <c r="C13" s="6"/>
      <c r="D13" s="6"/>
      <c r="E13" s="71">
        <v>20</v>
      </c>
      <c r="F13" s="6">
        <v>91.42</v>
      </c>
      <c r="G13" s="72">
        <f t="shared" si="0"/>
        <v>1828.4</v>
      </c>
      <c r="H13" s="71">
        <v>5</v>
      </c>
      <c r="I13" s="6">
        <v>103.35</v>
      </c>
      <c r="J13" s="72">
        <f t="shared" si="1"/>
        <v>516.75</v>
      </c>
      <c r="K13" s="72">
        <f t="shared" si="2"/>
        <v>2345.15</v>
      </c>
      <c r="L13" s="323">
        <v>0</v>
      </c>
      <c r="M13" s="156">
        <f t="shared" si="3"/>
        <v>27299.434200000003</v>
      </c>
      <c r="N13" s="50" t="s">
        <v>155</v>
      </c>
      <c r="O13" s="5"/>
    </row>
    <row r="14" spans="1:15">
      <c r="A14" s="50">
        <v>11</v>
      </c>
      <c r="B14" s="233" t="s">
        <v>184</v>
      </c>
      <c r="C14" s="6"/>
      <c r="D14" s="6"/>
      <c r="E14" s="346">
        <v>30</v>
      </c>
      <c r="F14" s="6">
        <v>91.42</v>
      </c>
      <c r="G14" s="72">
        <f t="shared" si="0"/>
        <v>2742.6</v>
      </c>
      <c r="H14" s="71"/>
      <c r="I14" s="346"/>
      <c r="J14" s="72">
        <f t="shared" si="1"/>
        <v>0</v>
      </c>
      <c r="K14" s="72">
        <f t="shared" si="2"/>
        <v>2742.6</v>
      </c>
      <c r="L14" s="323">
        <v>0</v>
      </c>
      <c r="M14" s="156">
        <f t="shared" si="3"/>
        <v>30042.034200000002</v>
      </c>
      <c r="N14" s="50" t="s">
        <v>155</v>
      </c>
      <c r="O14" s="5"/>
    </row>
    <row r="15" spans="1:15">
      <c r="A15" s="50">
        <v>12</v>
      </c>
      <c r="B15" s="233" t="s">
        <v>180</v>
      </c>
      <c r="C15" s="6"/>
      <c r="D15" s="6"/>
      <c r="E15" s="346">
        <v>25</v>
      </c>
      <c r="F15" s="6">
        <v>91.42</v>
      </c>
      <c r="G15" s="72">
        <f t="shared" si="0"/>
        <v>2285.5</v>
      </c>
      <c r="H15" s="71"/>
      <c r="I15" s="346"/>
      <c r="J15" s="72">
        <f t="shared" si="1"/>
        <v>0</v>
      </c>
      <c r="K15" s="72">
        <f t="shared" si="2"/>
        <v>2285.5</v>
      </c>
      <c r="L15" s="323">
        <v>0</v>
      </c>
      <c r="M15" s="156">
        <f t="shared" si="3"/>
        <v>32327.534200000002</v>
      </c>
      <c r="N15" s="50" t="s">
        <v>155</v>
      </c>
      <c r="O15" s="5"/>
    </row>
    <row r="16" spans="1:15">
      <c r="A16" s="208">
        <v>13</v>
      </c>
      <c r="B16" s="233" t="s">
        <v>136</v>
      </c>
      <c r="C16" s="6"/>
      <c r="D16" s="6"/>
      <c r="E16" s="346">
        <v>35.28</v>
      </c>
      <c r="F16" s="6">
        <v>91.42</v>
      </c>
      <c r="G16" s="72">
        <f t="shared" si="0"/>
        <v>3225.2976000000003</v>
      </c>
      <c r="H16" s="71"/>
      <c r="I16" s="6"/>
      <c r="J16" s="72">
        <f t="shared" si="1"/>
        <v>0</v>
      </c>
      <c r="K16" s="72">
        <f t="shared" si="2"/>
        <v>3225.2976000000003</v>
      </c>
      <c r="L16" s="323">
        <v>0</v>
      </c>
      <c r="M16" s="156">
        <f t="shared" si="3"/>
        <v>35552.8318</v>
      </c>
      <c r="N16" s="50" t="s">
        <v>155</v>
      </c>
      <c r="O16" s="5"/>
    </row>
    <row r="17" spans="1:15">
      <c r="A17" s="50">
        <v>14</v>
      </c>
      <c r="B17" s="233" t="s">
        <v>138</v>
      </c>
      <c r="C17" s="6"/>
      <c r="D17" s="6"/>
      <c r="E17" s="346">
        <v>130</v>
      </c>
      <c r="F17" s="6">
        <v>91.42</v>
      </c>
      <c r="G17" s="72">
        <f t="shared" si="0"/>
        <v>11884.6</v>
      </c>
      <c r="H17" s="71">
        <v>5</v>
      </c>
      <c r="I17" s="6">
        <v>110.61</v>
      </c>
      <c r="J17" s="72">
        <f t="shared" si="1"/>
        <v>553.04999999999995</v>
      </c>
      <c r="K17" s="72">
        <f t="shared" si="2"/>
        <v>12437.65</v>
      </c>
      <c r="L17" s="323">
        <v>0</v>
      </c>
      <c r="M17" s="156">
        <f t="shared" si="3"/>
        <v>47990.481800000001</v>
      </c>
      <c r="N17" s="50" t="s">
        <v>155</v>
      </c>
      <c r="O17" s="5"/>
    </row>
    <row r="18" spans="1:15">
      <c r="A18" s="50">
        <v>15</v>
      </c>
      <c r="B18" s="233" t="s">
        <v>181</v>
      </c>
      <c r="C18" s="6"/>
      <c r="D18" s="6"/>
      <c r="E18" s="71">
        <v>30</v>
      </c>
      <c r="F18" s="6">
        <v>91.42</v>
      </c>
      <c r="G18" s="72">
        <f t="shared" si="0"/>
        <v>2742.6</v>
      </c>
      <c r="H18" s="71"/>
      <c r="I18" s="346"/>
      <c r="J18" s="72">
        <f t="shared" si="1"/>
        <v>0</v>
      </c>
      <c r="K18" s="72">
        <f t="shared" si="2"/>
        <v>2742.6</v>
      </c>
      <c r="L18" s="323">
        <v>0</v>
      </c>
      <c r="M18" s="156">
        <f t="shared" si="3"/>
        <v>50733.0818</v>
      </c>
      <c r="N18" s="50" t="s">
        <v>155</v>
      </c>
      <c r="O18" s="5"/>
    </row>
    <row r="19" spans="1:15">
      <c r="A19" s="208">
        <v>16</v>
      </c>
      <c r="B19" s="233" t="s">
        <v>182</v>
      </c>
      <c r="C19" s="6"/>
      <c r="D19" s="6"/>
      <c r="E19" s="71"/>
      <c r="F19" s="346"/>
      <c r="G19" s="72">
        <f t="shared" si="0"/>
        <v>0</v>
      </c>
      <c r="H19" s="71">
        <v>5</v>
      </c>
      <c r="I19" s="6">
        <v>103.35</v>
      </c>
      <c r="J19" s="72">
        <f t="shared" si="1"/>
        <v>516.75</v>
      </c>
      <c r="K19" s="72">
        <f t="shared" si="2"/>
        <v>516.75</v>
      </c>
      <c r="L19" s="323">
        <v>0</v>
      </c>
      <c r="M19" s="156">
        <f t="shared" si="3"/>
        <v>51249.8318</v>
      </c>
      <c r="N19" s="50" t="s">
        <v>155</v>
      </c>
      <c r="O19" s="5"/>
    </row>
    <row r="20" spans="1:15">
      <c r="A20" s="50">
        <v>17</v>
      </c>
      <c r="B20" s="233" t="s">
        <v>183</v>
      </c>
      <c r="C20" s="6"/>
      <c r="D20" s="6"/>
      <c r="E20" s="71">
        <v>175.23999999999998</v>
      </c>
      <c r="F20" s="6">
        <v>91.42</v>
      </c>
      <c r="G20" s="72">
        <f t="shared" si="0"/>
        <v>16020.440799999998</v>
      </c>
      <c r="H20" s="71"/>
      <c r="I20" s="6"/>
      <c r="J20" s="72">
        <f t="shared" si="1"/>
        <v>0</v>
      </c>
      <c r="K20" s="72">
        <f t="shared" si="2"/>
        <v>16020.440799999998</v>
      </c>
      <c r="L20" s="323">
        <v>0</v>
      </c>
      <c r="M20" s="156">
        <f t="shared" si="3"/>
        <v>67270.272599999997</v>
      </c>
      <c r="N20" s="50" t="s">
        <v>155</v>
      </c>
      <c r="O20" s="5"/>
    </row>
    <row r="21" spans="1:15">
      <c r="A21" s="50">
        <v>18</v>
      </c>
      <c r="B21" s="233" t="s">
        <v>187</v>
      </c>
      <c r="C21" s="6"/>
      <c r="D21" s="6"/>
      <c r="E21" s="71">
        <v>84.04</v>
      </c>
      <c r="F21" s="6">
        <v>91.42</v>
      </c>
      <c r="G21" s="72">
        <f t="shared" si="0"/>
        <v>7682.9368000000004</v>
      </c>
      <c r="H21" s="71">
        <v>5</v>
      </c>
      <c r="I21" s="6">
        <v>103.35</v>
      </c>
      <c r="J21" s="72">
        <f t="shared" si="1"/>
        <v>516.75</v>
      </c>
      <c r="K21" s="72">
        <f t="shared" si="2"/>
        <v>8199.6867999999995</v>
      </c>
      <c r="L21" s="323">
        <v>0</v>
      </c>
      <c r="M21" s="156">
        <f t="shared" si="3"/>
        <v>75469.959399999992</v>
      </c>
      <c r="N21" s="50" t="s">
        <v>155</v>
      </c>
      <c r="O21" s="5"/>
    </row>
    <row r="22" spans="1:15">
      <c r="A22" s="208">
        <v>19</v>
      </c>
      <c r="B22" s="233"/>
      <c r="C22" s="6"/>
      <c r="D22" s="6"/>
      <c r="E22" s="71"/>
      <c r="F22" s="6"/>
      <c r="G22" s="72">
        <f t="shared" ref="G22:G46" si="4">E22*F22</f>
        <v>0</v>
      </c>
      <c r="H22" s="71"/>
      <c r="I22" s="6"/>
      <c r="J22" s="72">
        <f t="shared" ref="J22:J46" si="5">H22*I22</f>
        <v>0</v>
      </c>
      <c r="K22" s="72">
        <f t="shared" si="2"/>
        <v>0</v>
      </c>
      <c r="L22" s="323">
        <v>0</v>
      </c>
      <c r="M22" s="156">
        <f t="shared" si="3"/>
        <v>75469.959399999992</v>
      </c>
      <c r="N22" s="50" t="s">
        <v>155</v>
      </c>
      <c r="O22" s="5"/>
    </row>
    <row r="23" spans="1:15">
      <c r="A23" s="50">
        <v>20</v>
      </c>
      <c r="B23" s="233"/>
      <c r="C23" s="6"/>
      <c r="D23" s="6"/>
      <c r="E23" s="71"/>
      <c r="F23" s="6"/>
      <c r="G23" s="72">
        <f t="shared" si="4"/>
        <v>0</v>
      </c>
      <c r="H23" s="71"/>
      <c r="I23" s="6"/>
      <c r="J23" s="72">
        <f t="shared" si="5"/>
        <v>0</v>
      </c>
      <c r="K23" s="72">
        <f t="shared" si="2"/>
        <v>0</v>
      </c>
      <c r="L23" s="323">
        <v>0</v>
      </c>
      <c r="M23" s="156">
        <f t="shared" si="3"/>
        <v>75469.959399999992</v>
      </c>
      <c r="N23" s="50" t="s">
        <v>155</v>
      </c>
      <c r="O23" s="5"/>
    </row>
    <row r="24" spans="1:15">
      <c r="A24" s="50">
        <v>21</v>
      </c>
      <c r="B24" s="233"/>
      <c r="C24" s="6"/>
      <c r="D24" s="6"/>
      <c r="E24" s="71"/>
      <c r="F24" s="6"/>
      <c r="G24" s="72">
        <f t="shared" si="4"/>
        <v>0</v>
      </c>
      <c r="H24" s="71"/>
      <c r="I24" s="6"/>
      <c r="J24" s="72">
        <f t="shared" si="5"/>
        <v>0</v>
      </c>
      <c r="K24" s="72">
        <f t="shared" si="2"/>
        <v>0</v>
      </c>
      <c r="L24" s="323">
        <v>0</v>
      </c>
      <c r="M24" s="156">
        <f t="shared" si="3"/>
        <v>75469.959399999992</v>
      </c>
      <c r="N24" s="50" t="s">
        <v>155</v>
      </c>
      <c r="O24" s="5"/>
    </row>
    <row r="25" spans="1:15">
      <c r="A25" s="208">
        <v>22</v>
      </c>
      <c r="B25" s="233"/>
      <c r="C25" s="6"/>
      <c r="D25" s="6"/>
      <c r="E25" s="71"/>
      <c r="F25" s="6"/>
      <c r="G25" s="72">
        <f t="shared" si="4"/>
        <v>0</v>
      </c>
      <c r="H25" s="71"/>
      <c r="I25" s="6"/>
      <c r="J25" s="72">
        <f t="shared" si="5"/>
        <v>0</v>
      </c>
      <c r="K25" s="72">
        <f t="shared" si="2"/>
        <v>0</v>
      </c>
      <c r="L25" s="323">
        <v>0</v>
      </c>
      <c r="M25" s="156">
        <f t="shared" si="3"/>
        <v>75469.959399999992</v>
      </c>
      <c r="N25" s="50" t="s">
        <v>155</v>
      </c>
      <c r="O25" s="5"/>
    </row>
    <row r="26" spans="1:15">
      <c r="A26" s="50">
        <v>23</v>
      </c>
      <c r="B26" s="233"/>
      <c r="C26" s="6"/>
      <c r="D26" s="6"/>
      <c r="E26" s="71"/>
      <c r="F26" s="6"/>
      <c r="G26" s="72">
        <f t="shared" si="4"/>
        <v>0</v>
      </c>
      <c r="H26" s="71"/>
      <c r="I26" s="6"/>
      <c r="J26" s="72">
        <f t="shared" si="5"/>
        <v>0</v>
      </c>
      <c r="K26" s="72">
        <f t="shared" si="2"/>
        <v>0</v>
      </c>
      <c r="L26" s="323">
        <v>0</v>
      </c>
      <c r="M26" s="156">
        <f t="shared" si="3"/>
        <v>75469.959399999992</v>
      </c>
      <c r="N26" s="50" t="s">
        <v>155</v>
      </c>
      <c r="O26" s="5"/>
    </row>
    <row r="27" spans="1:15">
      <c r="A27" s="50">
        <v>24</v>
      </c>
      <c r="B27" s="233"/>
      <c r="C27" s="6"/>
      <c r="D27" s="6"/>
      <c r="E27" s="71"/>
      <c r="F27" s="6"/>
      <c r="G27" s="72">
        <f t="shared" si="4"/>
        <v>0</v>
      </c>
      <c r="H27" s="71"/>
      <c r="I27" s="6"/>
      <c r="J27" s="72">
        <f t="shared" si="5"/>
        <v>0</v>
      </c>
      <c r="K27" s="72">
        <f t="shared" si="2"/>
        <v>0</v>
      </c>
      <c r="L27" s="323">
        <v>0</v>
      </c>
      <c r="M27" s="156">
        <f t="shared" si="3"/>
        <v>75469.959399999992</v>
      </c>
      <c r="N27" s="50" t="s">
        <v>155</v>
      </c>
      <c r="O27" s="5"/>
    </row>
    <row r="28" spans="1:15">
      <c r="A28" s="208">
        <v>25</v>
      </c>
      <c r="B28" s="233"/>
      <c r="C28" s="6"/>
      <c r="D28" s="6"/>
      <c r="E28" s="71"/>
      <c r="F28" s="6"/>
      <c r="G28" s="72">
        <f t="shared" si="4"/>
        <v>0</v>
      </c>
      <c r="H28" s="71"/>
      <c r="I28" s="6"/>
      <c r="J28" s="72">
        <f t="shared" si="5"/>
        <v>0</v>
      </c>
      <c r="K28" s="72">
        <f t="shared" si="2"/>
        <v>0</v>
      </c>
      <c r="L28" s="323">
        <v>0</v>
      </c>
      <c r="M28" s="156">
        <f t="shared" si="3"/>
        <v>75469.959399999992</v>
      </c>
      <c r="N28" s="50" t="s">
        <v>155</v>
      </c>
      <c r="O28" s="5"/>
    </row>
    <row r="29" spans="1:15">
      <c r="A29" s="50">
        <v>26</v>
      </c>
      <c r="B29" s="233"/>
      <c r="C29" s="6"/>
      <c r="D29" s="6"/>
      <c r="E29" s="71"/>
      <c r="F29" s="6"/>
      <c r="G29" s="72">
        <f t="shared" si="4"/>
        <v>0</v>
      </c>
      <c r="H29" s="71"/>
      <c r="I29" s="6"/>
      <c r="J29" s="72">
        <f t="shared" si="5"/>
        <v>0</v>
      </c>
      <c r="K29" s="72">
        <f t="shared" si="2"/>
        <v>0</v>
      </c>
      <c r="L29" s="323">
        <v>0</v>
      </c>
      <c r="M29" s="156">
        <f t="shared" si="3"/>
        <v>75469.959399999992</v>
      </c>
      <c r="N29" s="50" t="s">
        <v>155</v>
      </c>
      <c r="O29" s="5"/>
    </row>
    <row r="30" spans="1:15">
      <c r="A30" s="50">
        <v>27</v>
      </c>
      <c r="B30" s="233"/>
      <c r="C30" s="6"/>
      <c r="D30" s="6"/>
      <c r="E30" s="71"/>
      <c r="F30" s="6"/>
      <c r="G30" s="72">
        <f t="shared" si="4"/>
        <v>0</v>
      </c>
      <c r="H30" s="71"/>
      <c r="I30" s="6"/>
      <c r="J30" s="72">
        <f t="shared" si="5"/>
        <v>0</v>
      </c>
      <c r="K30" s="72">
        <f t="shared" si="2"/>
        <v>0</v>
      </c>
      <c r="L30" s="323">
        <v>0</v>
      </c>
      <c r="M30" s="156">
        <f t="shared" si="3"/>
        <v>75469.959399999992</v>
      </c>
      <c r="N30" s="50" t="s">
        <v>155</v>
      </c>
      <c r="O30" s="5"/>
    </row>
    <row r="31" spans="1:15">
      <c r="A31" s="208">
        <v>28</v>
      </c>
      <c r="B31" s="233"/>
      <c r="C31" s="6"/>
      <c r="D31" s="6"/>
      <c r="E31" s="71"/>
      <c r="F31" s="6"/>
      <c r="G31" s="72">
        <f t="shared" si="4"/>
        <v>0</v>
      </c>
      <c r="H31" s="71"/>
      <c r="I31" s="6"/>
      <c r="J31" s="72">
        <f t="shared" si="5"/>
        <v>0</v>
      </c>
      <c r="K31" s="72">
        <f t="shared" si="2"/>
        <v>0</v>
      </c>
      <c r="L31" s="323">
        <v>0</v>
      </c>
      <c r="M31" s="156">
        <f t="shared" si="3"/>
        <v>75469.959399999992</v>
      </c>
      <c r="N31" s="50" t="s">
        <v>155</v>
      </c>
      <c r="O31" s="5"/>
    </row>
    <row r="32" spans="1:15">
      <c r="A32" s="50">
        <v>29</v>
      </c>
      <c r="B32" s="233"/>
      <c r="C32" s="6"/>
      <c r="D32" s="6"/>
      <c r="E32" s="71"/>
      <c r="F32" s="6"/>
      <c r="G32" s="72">
        <f t="shared" si="4"/>
        <v>0</v>
      </c>
      <c r="H32" s="71"/>
      <c r="I32" s="6"/>
      <c r="J32" s="72">
        <f t="shared" si="5"/>
        <v>0</v>
      </c>
      <c r="K32" s="72">
        <f t="shared" si="2"/>
        <v>0</v>
      </c>
      <c r="L32" s="323">
        <v>0</v>
      </c>
      <c r="M32" s="156">
        <f t="shared" si="3"/>
        <v>75469.959399999992</v>
      </c>
      <c r="N32" s="50" t="s">
        <v>155</v>
      </c>
      <c r="O32" s="5"/>
    </row>
    <row r="33" spans="1:15">
      <c r="A33" s="50">
        <v>30</v>
      </c>
      <c r="B33" s="233"/>
      <c r="C33" s="6"/>
      <c r="D33" s="6"/>
      <c r="E33" s="71"/>
      <c r="F33" s="6"/>
      <c r="G33" s="72">
        <f t="shared" si="4"/>
        <v>0</v>
      </c>
      <c r="H33" s="71"/>
      <c r="I33" s="6"/>
      <c r="J33" s="72">
        <f t="shared" si="5"/>
        <v>0</v>
      </c>
      <c r="K33" s="72">
        <f t="shared" si="2"/>
        <v>0</v>
      </c>
      <c r="L33" s="323">
        <v>0</v>
      </c>
      <c r="M33" s="156">
        <f t="shared" si="3"/>
        <v>75469.959399999992</v>
      </c>
      <c r="N33" s="50" t="s">
        <v>155</v>
      </c>
      <c r="O33" s="5"/>
    </row>
    <row r="34" spans="1:15">
      <c r="A34" s="208">
        <v>31</v>
      </c>
      <c r="B34" s="233"/>
      <c r="C34" s="6"/>
      <c r="D34" s="6"/>
      <c r="E34" s="71"/>
      <c r="F34" s="6"/>
      <c r="G34" s="72">
        <f t="shared" si="4"/>
        <v>0</v>
      </c>
      <c r="H34" s="71"/>
      <c r="I34" s="6"/>
      <c r="J34" s="72">
        <f t="shared" si="5"/>
        <v>0</v>
      </c>
      <c r="K34" s="72">
        <f t="shared" si="2"/>
        <v>0</v>
      </c>
      <c r="L34" s="323">
        <v>0</v>
      </c>
      <c r="M34" s="156">
        <f t="shared" si="3"/>
        <v>75469.959399999992</v>
      </c>
      <c r="N34" s="50" t="s">
        <v>155</v>
      </c>
      <c r="O34" s="5"/>
    </row>
    <row r="35" spans="1:15">
      <c r="A35" s="50">
        <v>32</v>
      </c>
      <c r="B35" s="233"/>
      <c r="C35" s="6"/>
      <c r="D35" s="6"/>
      <c r="E35" s="71"/>
      <c r="F35" s="6"/>
      <c r="G35" s="72">
        <f t="shared" si="4"/>
        <v>0</v>
      </c>
      <c r="H35" s="71"/>
      <c r="I35" s="6"/>
      <c r="J35" s="72">
        <f t="shared" si="5"/>
        <v>0</v>
      </c>
      <c r="K35" s="72">
        <f t="shared" si="2"/>
        <v>0</v>
      </c>
      <c r="L35" s="323">
        <v>0</v>
      </c>
      <c r="M35" s="156">
        <f t="shared" si="3"/>
        <v>75469.959399999992</v>
      </c>
      <c r="N35" s="50" t="s">
        <v>155</v>
      </c>
      <c r="O35" s="5"/>
    </row>
    <row r="36" spans="1:15">
      <c r="A36" s="50">
        <v>33</v>
      </c>
      <c r="B36" s="233"/>
      <c r="C36" s="6"/>
      <c r="D36" s="6"/>
      <c r="E36" s="71"/>
      <c r="F36" s="6"/>
      <c r="G36" s="72">
        <f t="shared" si="4"/>
        <v>0</v>
      </c>
      <c r="H36" s="71"/>
      <c r="I36" s="6"/>
      <c r="J36" s="72">
        <f t="shared" si="5"/>
        <v>0</v>
      </c>
      <c r="K36" s="72">
        <f t="shared" si="2"/>
        <v>0</v>
      </c>
      <c r="L36" s="323">
        <v>0</v>
      </c>
      <c r="M36" s="156">
        <f t="shared" si="3"/>
        <v>75469.959399999992</v>
      </c>
      <c r="N36" s="50" t="s">
        <v>155</v>
      </c>
      <c r="O36" s="5"/>
    </row>
    <row r="37" spans="1:15">
      <c r="A37" s="208">
        <v>34</v>
      </c>
      <c r="B37" s="233"/>
      <c r="C37" s="6"/>
      <c r="D37" s="6"/>
      <c r="E37" s="71"/>
      <c r="F37" s="6"/>
      <c r="G37" s="72">
        <f t="shared" si="4"/>
        <v>0</v>
      </c>
      <c r="H37" s="71"/>
      <c r="I37" s="6"/>
      <c r="J37" s="72">
        <f t="shared" si="5"/>
        <v>0</v>
      </c>
      <c r="K37" s="72">
        <f t="shared" si="2"/>
        <v>0</v>
      </c>
      <c r="L37" s="323">
        <v>0</v>
      </c>
      <c r="M37" s="156">
        <f t="shared" si="3"/>
        <v>75469.959399999992</v>
      </c>
      <c r="N37" s="50" t="s">
        <v>155</v>
      </c>
      <c r="O37" s="5"/>
    </row>
    <row r="38" spans="1:15">
      <c r="A38" s="50">
        <v>35</v>
      </c>
      <c r="B38" s="233"/>
      <c r="C38" s="6"/>
      <c r="D38" s="6"/>
      <c r="E38" s="71"/>
      <c r="F38" s="6"/>
      <c r="G38" s="72">
        <f t="shared" si="4"/>
        <v>0</v>
      </c>
      <c r="H38" s="71"/>
      <c r="I38" s="6"/>
      <c r="J38" s="72">
        <f t="shared" si="5"/>
        <v>0</v>
      </c>
      <c r="K38" s="72">
        <f t="shared" si="2"/>
        <v>0</v>
      </c>
      <c r="L38" s="323">
        <v>0</v>
      </c>
      <c r="M38" s="156">
        <f t="shared" si="3"/>
        <v>75469.959399999992</v>
      </c>
      <c r="N38" s="6"/>
      <c r="O38" s="5"/>
    </row>
    <row r="39" spans="1:15">
      <c r="A39" s="50">
        <v>36</v>
      </c>
      <c r="B39" s="233"/>
      <c r="C39" s="6"/>
      <c r="D39" s="6"/>
      <c r="E39" s="71"/>
      <c r="F39" s="6"/>
      <c r="G39" s="72">
        <f t="shared" si="4"/>
        <v>0</v>
      </c>
      <c r="H39" s="71"/>
      <c r="I39" s="6"/>
      <c r="J39" s="72">
        <f t="shared" si="5"/>
        <v>0</v>
      </c>
      <c r="K39" s="72">
        <f t="shared" si="2"/>
        <v>0</v>
      </c>
      <c r="L39" s="323">
        <v>0</v>
      </c>
      <c r="M39" s="156">
        <f t="shared" si="3"/>
        <v>75469.959399999992</v>
      </c>
      <c r="N39" s="6"/>
      <c r="O39" s="5"/>
    </row>
    <row r="40" spans="1:15">
      <c r="A40" s="208">
        <v>37</v>
      </c>
      <c r="B40" s="233"/>
      <c r="C40" s="6"/>
      <c r="D40" s="6"/>
      <c r="E40" s="71"/>
      <c r="F40" s="6"/>
      <c r="G40" s="72">
        <f t="shared" si="4"/>
        <v>0</v>
      </c>
      <c r="H40" s="71"/>
      <c r="I40" s="6"/>
      <c r="J40" s="72">
        <f t="shared" si="5"/>
        <v>0</v>
      </c>
      <c r="K40" s="72">
        <f t="shared" si="2"/>
        <v>0</v>
      </c>
      <c r="L40" s="323">
        <v>0</v>
      </c>
      <c r="M40" s="156">
        <f t="shared" si="3"/>
        <v>75469.959399999992</v>
      </c>
      <c r="N40" s="6"/>
      <c r="O40" s="5"/>
    </row>
    <row r="41" spans="1:15">
      <c r="A41" s="50">
        <v>38</v>
      </c>
      <c r="B41" s="233"/>
      <c r="C41" s="6"/>
      <c r="D41" s="6"/>
      <c r="E41" s="71"/>
      <c r="F41" s="6"/>
      <c r="G41" s="72">
        <f t="shared" si="4"/>
        <v>0</v>
      </c>
      <c r="H41" s="71"/>
      <c r="I41" s="6"/>
      <c r="J41" s="72">
        <f t="shared" si="5"/>
        <v>0</v>
      </c>
      <c r="K41" s="72">
        <f t="shared" si="2"/>
        <v>0</v>
      </c>
      <c r="L41" s="323">
        <v>0</v>
      </c>
      <c r="M41" s="156">
        <f t="shared" si="3"/>
        <v>75469.959399999992</v>
      </c>
      <c r="N41" s="6"/>
      <c r="O41" s="5"/>
    </row>
    <row r="42" spans="1:15">
      <c r="A42" s="50">
        <v>39</v>
      </c>
      <c r="B42" s="233"/>
      <c r="C42" s="6"/>
      <c r="D42" s="6"/>
      <c r="E42" s="71"/>
      <c r="F42" s="6"/>
      <c r="G42" s="72">
        <f t="shared" si="4"/>
        <v>0</v>
      </c>
      <c r="H42" s="71"/>
      <c r="I42" s="6"/>
      <c r="J42" s="72">
        <f t="shared" si="5"/>
        <v>0</v>
      </c>
      <c r="K42" s="72">
        <f t="shared" si="2"/>
        <v>0</v>
      </c>
      <c r="L42" s="323">
        <v>0</v>
      </c>
      <c r="M42" s="156">
        <f t="shared" si="3"/>
        <v>75469.959399999992</v>
      </c>
      <c r="N42" s="6"/>
      <c r="O42" s="5"/>
    </row>
    <row r="43" spans="1:15">
      <c r="A43" s="208">
        <v>40</v>
      </c>
      <c r="B43" s="179"/>
      <c r="C43" s="178"/>
      <c r="D43" s="6"/>
      <c r="E43" s="71"/>
      <c r="F43" s="6"/>
      <c r="G43" s="72">
        <f t="shared" si="4"/>
        <v>0</v>
      </c>
      <c r="H43" s="71"/>
      <c r="I43" s="6"/>
      <c r="J43" s="72">
        <f t="shared" si="5"/>
        <v>0</v>
      </c>
      <c r="K43" s="72">
        <f t="shared" si="2"/>
        <v>0</v>
      </c>
      <c r="L43" s="323">
        <v>0</v>
      </c>
      <c r="M43" s="156">
        <f t="shared" si="3"/>
        <v>75469.959399999992</v>
      </c>
      <c r="N43" s="178"/>
      <c r="O43" s="5"/>
    </row>
    <row r="44" spans="1:15">
      <c r="A44" s="50">
        <v>41</v>
      </c>
      <c r="B44" s="6"/>
      <c r="C44" s="6"/>
      <c r="D44" s="6"/>
      <c r="E44" s="71"/>
      <c r="F44" s="6"/>
      <c r="G44" s="72">
        <f t="shared" si="4"/>
        <v>0</v>
      </c>
      <c r="H44" s="71"/>
      <c r="I44" s="6"/>
      <c r="J44" s="72">
        <f t="shared" si="5"/>
        <v>0</v>
      </c>
      <c r="K44" s="72">
        <f t="shared" si="2"/>
        <v>0</v>
      </c>
      <c r="L44" s="323">
        <v>0</v>
      </c>
      <c r="M44" s="156">
        <f t="shared" si="3"/>
        <v>75469.959399999992</v>
      </c>
      <c r="N44" s="6"/>
      <c r="O44" s="5"/>
    </row>
    <row r="45" spans="1:15">
      <c r="A45" s="50">
        <v>42</v>
      </c>
      <c r="B45" s="178"/>
      <c r="C45" s="178"/>
      <c r="D45" s="6"/>
      <c r="E45" s="71"/>
      <c r="F45" s="6"/>
      <c r="G45" s="72">
        <f t="shared" si="4"/>
        <v>0</v>
      </c>
      <c r="H45" s="71"/>
      <c r="I45" s="6"/>
      <c r="J45" s="72">
        <f t="shared" si="5"/>
        <v>0</v>
      </c>
      <c r="K45" s="180">
        <f t="shared" si="2"/>
        <v>0</v>
      </c>
      <c r="L45" s="170">
        <f t="shared" ref="L45:L46" si="6">+K45</f>
        <v>0</v>
      </c>
      <c r="M45" s="156">
        <f t="shared" si="3"/>
        <v>75469.959399999992</v>
      </c>
      <c r="N45" s="178"/>
      <c r="O45" s="5"/>
    </row>
    <row r="46" spans="1:15">
      <c r="A46" s="50"/>
      <c r="B46" s="178"/>
      <c r="C46" s="178"/>
      <c r="D46" s="6"/>
      <c r="E46" s="71"/>
      <c r="F46" s="6"/>
      <c r="G46" s="72">
        <f t="shared" si="4"/>
        <v>0</v>
      </c>
      <c r="H46" s="71"/>
      <c r="I46" s="6"/>
      <c r="J46" s="72">
        <f t="shared" si="5"/>
        <v>0</v>
      </c>
      <c r="K46" s="180">
        <f t="shared" si="2"/>
        <v>0</v>
      </c>
      <c r="L46" s="181">
        <f t="shared" si="6"/>
        <v>0</v>
      </c>
      <c r="M46" s="156">
        <f t="shared" si="3"/>
        <v>75469.959399999992</v>
      </c>
      <c r="N46" s="178"/>
      <c r="O46" s="5"/>
    </row>
    <row r="47" spans="1:15">
      <c r="A47" s="68"/>
      <c r="B47" s="68"/>
      <c r="C47" s="68"/>
      <c r="D47" s="68"/>
      <c r="E47" s="69">
        <f>SUM(E4:E46)</f>
        <v>794.56999999999994</v>
      </c>
      <c r="F47" s="69"/>
      <c r="G47" s="69">
        <f>SUM(G4:G46)</f>
        <v>72639.589399999997</v>
      </c>
      <c r="H47" s="69">
        <f>SUM(H4:H46)</f>
        <v>60</v>
      </c>
      <c r="I47" s="69"/>
      <c r="J47" s="69">
        <f>SUM(J4:J46)</f>
        <v>6273.6</v>
      </c>
      <c r="K47" s="69">
        <f>SUM(K4:K46)</f>
        <v>78913.189400000003</v>
      </c>
      <c r="L47" s="69">
        <f>SUM(L4:L46)</f>
        <v>50000</v>
      </c>
      <c r="M47" s="69"/>
      <c r="N47" s="69"/>
      <c r="O47" s="65"/>
    </row>
    <row r="48" spans="1:15">
      <c r="A48" s="5"/>
      <c r="B48" s="5"/>
      <c r="C48" s="5"/>
      <c r="D48" s="5"/>
      <c r="E48" s="5"/>
      <c r="F48" s="5"/>
      <c r="G48" s="108"/>
      <c r="H48" s="5"/>
      <c r="I48" s="5"/>
      <c r="J48" s="108"/>
      <c r="K48" s="5"/>
      <c r="L48" s="108"/>
      <c r="M48" s="108"/>
      <c r="N48" s="5"/>
      <c r="O48" s="5"/>
    </row>
    <row r="49" spans="1:15">
      <c r="A49" s="5"/>
      <c r="B49" s="5"/>
      <c r="C49" s="5"/>
      <c r="D49" s="5"/>
      <c r="E49" s="5"/>
      <c r="F49" s="5"/>
      <c r="G49" s="108"/>
      <c r="H49" s="5"/>
      <c r="I49" s="5"/>
      <c r="J49" s="108"/>
      <c r="K49" s="5"/>
      <c r="L49" s="108"/>
      <c r="M49" s="108"/>
      <c r="N49" s="5"/>
      <c r="O49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workbookViewId="0">
      <selection activeCell="L14" sqref="L14"/>
    </sheetView>
  </sheetViews>
  <sheetFormatPr defaultRowHeight="15"/>
  <cols>
    <col min="1" max="1" width="6.140625" customWidth="1"/>
    <col min="2" max="2" width="11.140625" bestFit="1" customWidth="1"/>
    <col min="6" max="6" width="9.4257812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54" t="s">
        <v>89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5"/>
    </row>
    <row r="2" spans="1:15" ht="45">
      <c r="A2" s="70" t="s">
        <v>95</v>
      </c>
      <c r="B2" s="89" t="s">
        <v>96</v>
      </c>
      <c r="C2" s="89" t="s">
        <v>97</v>
      </c>
      <c r="D2" s="89" t="s">
        <v>111</v>
      </c>
      <c r="E2" s="89" t="s">
        <v>99</v>
      </c>
      <c r="F2" s="89" t="s">
        <v>100</v>
      </c>
      <c r="G2" s="96" t="s">
        <v>101</v>
      </c>
      <c r="H2" s="89" t="s">
        <v>102</v>
      </c>
      <c r="I2" s="89" t="s">
        <v>100</v>
      </c>
      <c r="J2" s="96" t="s">
        <v>101</v>
      </c>
      <c r="K2" s="70" t="s">
        <v>103</v>
      </c>
      <c r="L2" s="97" t="s">
        <v>104</v>
      </c>
      <c r="M2" s="91" t="s">
        <v>110</v>
      </c>
      <c r="N2" s="89" t="s">
        <v>106</v>
      </c>
      <c r="O2" s="5"/>
    </row>
    <row r="3" spans="1:15">
      <c r="A3" s="481" t="s">
        <v>107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3"/>
      <c r="M3" s="484">
        <v>56362.774700000009</v>
      </c>
      <c r="N3" s="485"/>
      <c r="O3" s="5"/>
    </row>
    <row r="4" spans="1:15">
      <c r="A4" s="208">
        <v>1</v>
      </c>
      <c r="B4" s="233"/>
      <c r="C4" s="6"/>
      <c r="D4" s="6"/>
      <c r="E4" s="71"/>
      <c r="F4" s="6"/>
      <c r="G4" s="72">
        <v>0</v>
      </c>
      <c r="H4" s="71"/>
      <c r="I4" s="6"/>
      <c r="J4" s="72">
        <f>H4*I4</f>
        <v>0</v>
      </c>
      <c r="K4" s="72">
        <f>G4+J4</f>
        <v>0</v>
      </c>
      <c r="L4" s="170">
        <v>0</v>
      </c>
      <c r="M4" s="326">
        <f>M3+K4-L4</f>
        <v>56362.774700000009</v>
      </c>
      <c r="N4" s="50" t="s">
        <v>155</v>
      </c>
      <c r="O4" s="5"/>
    </row>
    <row r="5" spans="1:15">
      <c r="A5" s="50">
        <v>2</v>
      </c>
      <c r="B5" s="233">
        <v>45967</v>
      </c>
      <c r="C5" s="6"/>
      <c r="D5" s="6"/>
      <c r="E5" s="346">
        <v>30</v>
      </c>
      <c r="F5" s="409">
        <v>91.33</v>
      </c>
      <c r="G5" s="72">
        <f>E5*F5</f>
        <v>2739.9</v>
      </c>
      <c r="H5" s="71">
        <v>6</v>
      </c>
      <c r="I5" s="6">
        <v>103.26</v>
      </c>
      <c r="J5" s="72">
        <f t="shared" ref="J5:J41" si="0">H5*I5</f>
        <v>619.56000000000006</v>
      </c>
      <c r="K5" s="72">
        <f t="shared" ref="K5:K41" si="1">G5+J5</f>
        <v>3359.46</v>
      </c>
      <c r="L5" s="170">
        <v>0</v>
      </c>
      <c r="M5" s="326">
        <f t="shared" ref="M5:M14" si="2">M4+K5-L5</f>
        <v>59722.234700000008</v>
      </c>
      <c r="N5" s="50" t="s">
        <v>155</v>
      </c>
      <c r="O5" s="5"/>
    </row>
    <row r="6" spans="1:15">
      <c r="A6" s="50">
        <v>3</v>
      </c>
      <c r="B6" s="233">
        <v>45972</v>
      </c>
      <c r="C6" s="6"/>
      <c r="D6" s="6"/>
      <c r="E6" s="346"/>
      <c r="F6" s="409"/>
      <c r="G6" s="72">
        <f>E6*F6</f>
        <v>0</v>
      </c>
      <c r="H6" s="71">
        <v>5</v>
      </c>
      <c r="I6" s="6">
        <v>103.26</v>
      </c>
      <c r="J6" s="72">
        <f t="shared" si="0"/>
        <v>516.30000000000007</v>
      </c>
      <c r="K6" s="72">
        <f t="shared" si="1"/>
        <v>516.30000000000007</v>
      </c>
      <c r="L6" s="170">
        <v>0</v>
      </c>
      <c r="M6" s="326">
        <f t="shared" si="2"/>
        <v>60238.534700000011</v>
      </c>
      <c r="N6" s="50" t="s">
        <v>155</v>
      </c>
      <c r="O6" s="5"/>
    </row>
    <row r="7" spans="1:15">
      <c r="A7" s="50">
        <v>4</v>
      </c>
      <c r="B7" s="233" t="s">
        <v>188</v>
      </c>
      <c r="C7" s="178"/>
      <c r="D7" s="178"/>
      <c r="E7" s="71"/>
      <c r="F7" s="410"/>
      <c r="G7" s="72">
        <f t="shared" ref="G7:G17" si="3">E7*F7</f>
        <v>0</v>
      </c>
      <c r="H7" s="71">
        <v>4</v>
      </c>
      <c r="I7" s="6">
        <v>103.26</v>
      </c>
      <c r="J7" s="72">
        <f t="shared" si="0"/>
        <v>413.04</v>
      </c>
      <c r="K7" s="72">
        <f t="shared" si="1"/>
        <v>413.04</v>
      </c>
      <c r="L7" s="170">
        <v>0</v>
      </c>
      <c r="M7" s="326">
        <f t="shared" si="2"/>
        <v>60651.574700000012</v>
      </c>
      <c r="N7" s="50" t="s">
        <v>155</v>
      </c>
      <c r="O7" s="5"/>
    </row>
    <row r="8" spans="1:15">
      <c r="A8" s="235">
        <v>5</v>
      </c>
      <c r="B8" s="233" t="s">
        <v>189</v>
      </c>
      <c r="C8" s="6"/>
      <c r="D8" s="6"/>
      <c r="E8" s="392"/>
      <c r="F8" s="410"/>
      <c r="G8" s="72">
        <f t="shared" si="3"/>
        <v>0</v>
      </c>
      <c r="H8" s="71"/>
      <c r="I8" s="6"/>
      <c r="J8" s="72">
        <f t="shared" si="0"/>
        <v>0</v>
      </c>
      <c r="K8" s="72">
        <f t="shared" si="1"/>
        <v>0</v>
      </c>
      <c r="L8" s="170">
        <v>50000</v>
      </c>
      <c r="M8" s="326">
        <f t="shared" si="2"/>
        <v>10651.574700000012</v>
      </c>
      <c r="N8" s="50" t="s">
        <v>155</v>
      </c>
      <c r="O8" s="5"/>
    </row>
    <row r="9" spans="1:15">
      <c r="A9" s="235">
        <v>6</v>
      </c>
      <c r="B9" s="233" t="s">
        <v>190</v>
      </c>
      <c r="C9" s="6"/>
      <c r="D9" s="6"/>
      <c r="E9" s="392"/>
      <c r="F9" s="409"/>
      <c r="G9" s="72">
        <f t="shared" si="3"/>
        <v>0</v>
      </c>
      <c r="H9" s="71">
        <v>3</v>
      </c>
      <c r="I9" s="6">
        <v>103.26</v>
      </c>
      <c r="J9" s="72">
        <f t="shared" si="0"/>
        <v>309.78000000000003</v>
      </c>
      <c r="K9" s="72">
        <f t="shared" si="1"/>
        <v>309.78000000000003</v>
      </c>
      <c r="L9" s="170">
        <v>0</v>
      </c>
      <c r="M9" s="326">
        <f>M8+K9-L9</f>
        <v>10961.354700000013</v>
      </c>
      <c r="N9" s="50" t="s">
        <v>155</v>
      </c>
      <c r="O9" s="5"/>
    </row>
    <row r="10" spans="1:15">
      <c r="A10" s="235">
        <v>7</v>
      </c>
      <c r="B10" s="233" t="s">
        <v>191</v>
      </c>
      <c r="C10" s="6"/>
      <c r="D10" s="6"/>
      <c r="E10" s="392">
        <v>28.71</v>
      </c>
      <c r="F10" s="409">
        <v>91.33</v>
      </c>
      <c r="G10" s="72">
        <f t="shared" si="3"/>
        <v>2622.0843</v>
      </c>
      <c r="H10" s="71"/>
      <c r="I10" s="6"/>
      <c r="J10" s="72">
        <f t="shared" si="0"/>
        <v>0</v>
      </c>
      <c r="K10" s="72">
        <f t="shared" si="1"/>
        <v>2622.0843</v>
      </c>
      <c r="L10" s="170">
        <v>0</v>
      </c>
      <c r="M10" s="326">
        <f t="shared" si="2"/>
        <v>13583.439000000013</v>
      </c>
      <c r="N10" s="50" t="s">
        <v>155</v>
      </c>
      <c r="O10" s="5"/>
    </row>
    <row r="11" spans="1:15">
      <c r="A11" s="235">
        <v>8</v>
      </c>
      <c r="B11" s="233" t="s">
        <v>192</v>
      </c>
      <c r="C11" s="6"/>
      <c r="D11" s="6"/>
      <c r="E11" s="392"/>
      <c r="F11" s="409"/>
      <c r="G11" s="72">
        <f t="shared" si="3"/>
        <v>0</v>
      </c>
      <c r="H11" s="71">
        <v>6</v>
      </c>
      <c r="I11" s="6">
        <v>103.26</v>
      </c>
      <c r="J11" s="72">
        <f t="shared" si="0"/>
        <v>619.56000000000006</v>
      </c>
      <c r="K11" s="72">
        <f>G11+J11</f>
        <v>619.56000000000006</v>
      </c>
      <c r="L11" s="170">
        <v>0</v>
      </c>
      <c r="M11" s="326">
        <f t="shared" si="2"/>
        <v>14202.999000000013</v>
      </c>
      <c r="N11" s="50" t="s">
        <v>155</v>
      </c>
      <c r="O11" s="5"/>
    </row>
    <row r="12" spans="1:15">
      <c r="A12" s="235">
        <v>9</v>
      </c>
      <c r="B12" s="233" t="s">
        <v>193</v>
      </c>
      <c r="C12" s="6"/>
      <c r="D12" s="6"/>
      <c r="E12" s="392">
        <v>45</v>
      </c>
      <c r="F12" s="409">
        <v>91.33</v>
      </c>
      <c r="G12" s="72">
        <f t="shared" si="3"/>
        <v>4109.8500000000004</v>
      </c>
      <c r="H12" s="71">
        <v>5</v>
      </c>
      <c r="I12" s="6">
        <v>103.26</v>
      </c>
      <c r="J12" s="72">
        <f t="shared" si="0"/>
        <v>516.30000000000007</v>
      </c>
      <c r="K12" s="72">
        <f>G12+J12</f>
        <v>4626.1500000000005</v>
      </c>
      <c r="L12" s="170">
        <v>0</v>
      </c>
      <c r="M12" s="326">
        <f t="shared" si="2"/>
        <v>18829.149000000012</v>
      </c>
      <c r="N12" s="50" t="s">
        <v>155</v>
      </c>
      <c r="O12" s="5"/>
    </row>
    <row r="13" spans="1:15">
      <c r="A13" s="235">
        <v>10</v>
      </c>
      <c r="B13" s="233" t="s">
        <v>194</v>
      </c>
      <c r="C13" s="6"/>
      <c r="D13" s="6"/>
      <c r="E13" s="392"/>
      <c r="F13" s="409"/>
      <c r="G13" s="72">
        <f t="shared" si="3"/>
        <v>0</v>
      </c>
      <c r="H13" s="71">
        <v>10</v>
      </c>
      <c r="I13" s="6">
        <v>103.26</v>
      </c>
      <c r="J13" s="72">
        <f t="shared" si="0"/>
        <v>1032.6000000000001</v>
      </c>
      <c r="K13" s="72">
        <f>G13+J13</f>
        <v>1032.6000000000001</v>
      </c>
      <c r="L13" s="170">
        <v>0</v>
      </c>
      <c r="M13" s="326">
        <f t="shared" si="2"/>
        <v>19861.749000000011</v>
      </c>
      <c r="N13" s="50" t="s">
        <v>155</v>
      </c>
      <c r="O13" s="5"/>
    </row>
    <row r="14" spans="1:15">
      <c r="A14" s="235">
        <v>11</v>
      </c>
      <c r="B14" s="233" t="s">
        <v>195</v>
      </c>
      <c r="C14" s="6"/>
      <c r="D14" s="6"/>
      <c r="E14" s="392">
        <v>50</v>
      </c>
      <c r="F14" s="410">
        <v>91.33</v>
      </c>
      <c r="G14" s="72">
        <f t="shared" si="3"/>
        <v>4566.5</v>
      </c>
      <c r="H14" s="71">
        <v>11</v>
      </c>
      <c r="I14" s="6">
        <v>103.26</v>
      </c>
      <c r="J14" s="72">
        <f t="shared" si="0"/>
        <v>1135.8600000000001</v>
      </c>
      <c r="K14" s="72">
        <f t="shared" si="1"/>
        <v>5702.3600000000006</v>
      </c>
      <c r="L14" s="170">
        <v>0</v>
      </c>
      <c r="M14" s="326">
        <f t="shared" si="2"/>
        <v>25564.109000000011</v>
      </c>
      <c r="N14" s="50" t="s">
        <v>155</v>
      </c>
      <c r="O14" s="5"/>
    </row>
    <row r="15" spans="1:15">
      <c r="A15" s="235">
        <v>12</v>
      </c>
      <c r="B15" s="233" t="s">
        <v>196</v>
      </c>
      <c r="C15" s="6"/>
      <c r="D15" s="6"/>
      <c r="E15" s="392">
        <v>30</v>
      </c>
      <c r="F15" s="410">
        <v>91.33</v>
      </c>
      <c r="G15" s="72">
        <f t="shared" si="3"/>
        <v>2739.9</v>
      </c>
      <c r="H15" s="71"/>
      <c r="I15" s="6"/>
      <c r="J15" s="72">
        <f t="shared" si="0"/>
        <v>0</v>
      </c>
      <c r="K15" s="72">
        <f t="shared" si="1"/>
        <v>2739.9</v>
      </c>
      <c r="L15" s="170">
        <v>0</v>
      </c>
      <c r="M15" s="327">
        <f t="shared" ref="M15:M42" si="4">M14+K15-L15</f>
        <v>28304.009000000013</v>
      </c>
      <c r="N15" s="50" t="s">
        <v>155</v>
      </c>
      <c r="O15" s="5"/>
    </row>
    <row r="16" spans="1:15">
      <c r="A16" s="235">
        <v>13</v>
      </c>
      <c r="B16" s="391"/>
      <c r="C16" s="6"/>
      <c r="D16" s="6"/>
      <c r="E16" s="392"/>
      <c r="F16" s="6"/>
      <c r="G16" s="72">
        <f t="shared" si="3"/>
        <v>0</v>
      </c>
      <c r="H16" s="71"/>
      <c r="I16" s="6"/>
      <c r="J16" s="72">
        <f t="shared" si="0"/>
        <v>0</v>
      </c>
      <c r="K16" s="72">
        <f t="shared" si="1"/>
        <v>0</v>
      </c>
      <c r="L16" s="170">
        <v>0</v>
      </c>
      <c r="M16" s="327">
        <f t="shared" si="4"/>
        <v>28304.009000000013</v>
      </c>
      <c r="N16" s="50" t="s">
        <v>155</v>
      </c>
      <c r="O16" s="5"/>
    </row>
    <row r="17" spans="1:15">
      <c r="A17" s="235">
        <v>14</v>
      </c>
      <c r="B17" s="391"/>
      <c r="C17" s="6"/>
      <c r="D17" s="6"/>
      <c r="E17" s="392"/>
      <c r="F17" s="6"/>
      <c r="G17" s="72">
        <f t="shared" si="3"/>
        <v>0</v>
      </c>
      <c r="H17" s="71"/>
      <c r="I17" s="6"/>
      <c r="J17" s="72">
        <f t="shared" si="0"/>
        <v>0</v>
      </c>
      <c r="K17" s="72">
        <f t="shared" si="1"/>
        <v>0</v>
      </c>
      <c r="L17" s="170">
        <v>0</v>
      </c>
      <c r="M17" s="327">
        <f>M16+K17-L17</f>
        <v>28304.009000000013</v>
      </c>
      <c r="N17" s="50" t="s">
        <v>155</v>
      </c>
      <c r="O17" s="5"/>
    </row>
    <row r="18" spans="1:15">
      <c r="A18" s="235">
        <v>15</v>
      </c>
      <c r="B18" s="391"/>
      <c r="C18" s="6"/>
      <c r="D18" s="6"/>
      <c r="E18" s="392"/>
      <c r="F18" s="6"/>
      <c r="G18" s="72">
        <v>0</v>
      </c>
      <c r="H18" s="71"/>
      <c r="I18" s="6"/>
      <c r="J18" s="72">
        <f t="shared" si="0"/>
        <v>0</v>
      </c>
      <c r="K18" s="72">
        <f t="shared" si="1"/>
        <v>0</v>
      </c>
      <c r="L18" s="170">
        <v>0</v>
      </c>
      <c r="M18" s="327">
        <f t="shared" si="4"/>
        <v>28304.009000000013</v>
      </c>
      <c r="N18" s="50" t="s">
        <v>155</v>
      </c>
      <c r="O18" s="5"/>
    </row>
    <row r="19" spans="1:15">
      <c r="A19" s="235">
        <v>16</v>
      </c>
      <c r="B19" s="391"/>
      <c r="C19" s="6"/>
      <c r="D19" s="6"/>
      <c r="E19" s="392"/>
      <c r="F19" s="6"/>
      <c r="G19" s="72">
        <v>0</v>
      </c>
      <c r="H19" s="71"/>
      <c r="I19" s="6"/>
      <c r="J19" s="72">
        <f t="shared" si="0"/>
        <v>0</v>
      </c>
      <c r="K19" s="72">
        <f t="shared" si="1"/>
        <v>0</v>
      </c>
      <c r="L19" s="170">
        <v>0</v>
      </c>
      <c r="M19" s="327">
        <f t="shared" si="4"/>
        <v>28304.009000000013</v>
      </c>
      <c r="N19" s="50" t="s">
        <v>155</v>
      </c>
      <c r="O19" s="5"/>
    </row>
    <row r="20" spans="1:15">
      <c r="A20" s="235">
        <v>17</v>
      </c>
      <c r="B20" s="391"/>
      <c r="C20" s="6"/>
      <c r="D20" s="6"/>
      <c r="E20" s="392"/>
      <c r="F20" s="6"/>
      <c r="G20" s="72">
        <v>0</v>
      </c>
      <c r="H20" s="71"/>
      <c r="I20" s="6"/>
      <c r="J20" s="72">
        <f t="shared" si="0"/>
        <v>0</v>
      </c>
      <c r="K20" s="72">
        <f t="shared" si="1"/>
        <v>0</v>
      </c>
      <c r="L20" s="170">
        <v>0</v>
      </c>
      <c r="M20" s="327">
        <f t="shared" si="4"/>
        <v>28304.009000000013</v>
      </c>
      <c r="N20" s="50" t="s">
        <v>155</v>
      </c>
      <c r="O20" s="5"/>
    </row>
    <row r="21" spans="1:15">
      <c r="A21" s="235">
        <v>18</v>
      </c>
      <c r="B21" s="391"/>
      <c r="C21" s="6"/>
      <c r="D21" s="6"/>
      <c r="E21" s="392"/>
      <c r="F21" s="6"/>
      <c r="G21" s="72">
        <v>0</v>
      </c>
      <c r="H21" s="71"/>
      <c r="I21" s="6"/>
      <c r="J21" s="72">
        <f t="shared" si="0"/>
        <v>0</v>
      </c>
      <c r="K21" s="72">
        <f t="shared" si="1"/>
        <v>0</v>
      </c>
      <c r="L21" s="170">
        <v>0</v>
      </c>
      <c r="M21" s="327">
        <f t="shared" si="4"/>
        <v>28304.009000000013</v>
      </c>
      <c r="N21" s="50" t="s">
        <v>155</v>
      </c>
      <c r="O21" s="5"/>
    </row>
    <row r="22" spans="1:15">
      <c r="A22" s="235">
        <v>19</v>
      </c>
      <c r="B22" s="391"/>
      <c r="C22" s="6"/>
      <c r="D22" s="6"/>
      <c r="E22" s="392"/>
      <c r="F22" s="6"/>
      <c r="G22" s="72">
        <v>0</v>
      </c>
      <c r="H22" s="71"/>
      <c r="I22" s="6"/>
      <c r="J22" s="72">
        <f t="shared" si="0"/>
        <v>0</v>
      </c>
      <c r="K22" s="72">
        <f t="shared" si="1"/>
        <v>0</v>
      </c>
      <c r="L22" s="170">
        <v>0</v>
      </c>
      <c r="M22" s="327">
        <f t="shared" si="4"/>
        <v>28304.009000000013</v>
      </c>
      <c r="N22" s="50" t="s">
        <v>155</v>
      </c>
      <c r="O22" s="5"/>
    </row>
    <row r="23" spans="1:15">
      <c r="A23" s="235">
        <v>20</v>
      </c>
      <c r="B23" s="391"/>
      <c r="C23" s="6"/>
      <c r="D23" s="6"/>
      <c r="E23" s="392"/>
      <c r="F23" s="6"/>
      <c r="G23" s="72">
        <v>0</v>
      </c>
      <c r="H23" s="71"/>
      <c r="I23" s="6"/>
      <c r="J23" s="72">
        <f t="shared" si="0"/>
        <v>0</v>
      </c>
      <c r="K23" s="72">
        <f t="shared" si="1"/>
        <v>0</v>
      </c>
      <c r="L23" s="170">
        <v>0</v>
      </c>
      <c r="M23" s="327">
        <f t="shared" si="4"/>
        <v>28304.009000000013</v>
      </c>
      <c r="N23" s="50"/>
      <c r="O23" s="5"/>
    </row>
    <row r="24" spans="1:15">
      <c r="A24" s="235">
        <v>21</v>
      </c>
      <c r="B24" s="391"/>
      <c r="C24" s="6"/>
      <c r="D24" s="6"/>
      <c r="E24" s="392"/>
      <c r="F24" s="6"/>
      <c r="G24" s="72">
        <v>0</v>
      </c>
      <c r="H24" s="71"/>
      <c r="I24" s="6"/>
      <c r="J24" s="72">
        <f t="shared" si="0"/>
        <v>0</v>
      </c>
      <c r="K24" s="72">
        <f t="shared" si="1"/>
        <v>0</v>
      </c>
      <c r="L24" s="170">
        <v>0</v>
      </c>
      <c r="M24" s="327">
        <f t="shared" si="4"/>
        <v>28304.009000000013</v>
      </c>
      <c r="N24" s="50"/>
      <c r="O24" s="5"/>
    </row>
    <row r="25" spans="1:15">
      <c r="A25" s="50">
        <v>22</v>
      </c>
      <c r="B25" s="233"/>
      <c r="C25" s="393"/>
      <c r="D25" s="393"/>
      <c r="E25" s="71"/>
      <c r="F25" s="6"/>
      <c r="G25" s="72">
        <v>0</v>
      </c>
      <c r="H25" s="71"/>
      <c r="I25" s="6"/>
      <c r="J25" s="72">
        <f t="shared" si="0"/>
        <v>0</v>
      </c>
      <c r="K25" s="72">
        <f t="shared" si="1"/>
        <v>0</v>
      </c>
      <c r="L25" s="170">
        <v>0</v>
      </c>
      <c r="M25" s="277">
        <f t="shared" si="4"/>
        <v>28304.009000000013</v>
      </c>
      <c r="N25" s="50"/>
      <c r="O25" s="5"/>
    </row>
    <row r="26" spans="1:15">
      <c r="A26" s="50">
        <v>23</v>
      </c>
      <c r="B26" s="233"/>
      <c r="C26" s="6"/>
      <c r="D26" s="6"/>
      <c r="E26" s="71"/>
      <c r="F26" s="6"/>
      <c r="G26" s="72">
        <v>0</v>
      </c>
      <c r="H26" s="71"/>
      <c r="I26" s="6"/>
      <c r="J26" s="72">
        <f t="shared" si="0"/>
        <v>0</v>
      </c>
      <c r="K26" s="72">
        <f t="shared" si="1"/>
        <v>0</v>
      </c>
      <c r="L26" s="170">
        <v>0</v>
      </c>
      <c r="M26" s="277">
        <f t="shared" si="4"/>
        <v>28304.009000000013</v>
      </c>
      <c r="N26" s="6"/>
      <c r="O26" s="5"/>
    </row>
    <row r="27" spans="1:15">
      <c r="A27" s="50">
        <v>24</v>
      </c>
      <c r="B27" s="233"/>
      <c r="C27" s="6"/>
      <c r="D27" s="6"/>
      <c r="E27" s="71"/>
      <c r="F27" s="6"/>
      <c r="G27" s="72">
        <v>0</v>
      </c>
      <c r="H27" s="71"/>
      <c r="I27" s="6"/>
      <c r="J27" s="72">
        <f t="shared" si="0"/>
        <v>0</v>
      </c>
      <c r="K27" s="72">
        <f t="shared" si="1"/>
        <v>0</v>
      </c>
      <c r="L27" s="170">
        <v>0</v>
      </c>
      <c r="M27" s="277">
        <f t="shared" si="4"/>
        <v>28304.009000000013</v>
      </c>
      <c r="N27" s="6"/>
      <c r="O27" s="5"/>
    </row>
    <row r="28" spans="1:15">
      <c r="A28" s="235">
        <v>25</v>
      </c>
      <c r="B28" s="233"/>
      <c r="C28" s="6"/>
      <c r="D28" s="6"/>
      <c r="E28" s="71"/>
      <c r="F28" s="6"/>
      <c r="G28" s="72">
        <v>0</v>
      </c>
      <c r="H28" s="71"/>
      <c r="I28" s="6"/>
      <c r="J28" s="72">
        <f t="shared" si="0"/>
        <v>0</v>
      </c>
      <c r="K28" s="72">
        <f t="shared" si="1"/>
        <v>0</v>
      </c>
      <c r="L28" s="170">
        <v>0</v>
      </c>
      <c r="M28" s="277">
        <f t="shared" si="4"/>
        <v>28304.009000000013</v>
      </c>
      <c r="N28" s="6"/>
      <c r="O28" s="5"/>
    </row>
    <row r="29" spans="1:15">
      <c r="A29" s="235">
        <v>26</v>
      </c>
      <c r="B29" s="233"/>
      <c r="C29" s="6"/>
      <c r="D29" s="6"/>
      <c r="E29" s="71"/>
      <c r="F29" s="6"/>
      <c r="G29" s="72">
        <v>0</v>
      </c>
      <c r="H29" s="71"/>
      <c r="I29" s="6"/>
      <c r="J29" s="72">
        <f t="shared" si="0"/>
        <v>0</v>
      </c>
      <c r="K29" s="72">
        <f t="shared" si="1"/>
        <v>0</v>
      </c>
      <c r="L29" s="170">
        <v>0</v>
      </c>
      <c r="M29" s="277">
        <f t="shared" si="4"/>
        <v>28304.009000000013</v>
      </c>
      <c r="N29" s="6"/>
      <c r="O29" s="5"/>
    </row>
    <row r="30" spans="1:15">
      <c r="A30" s="235">
        <v>27</v>
      </c>
      <c r="B30" s="233"/>
      <c r="C30" s="6"/>
      <c r="D30" s="6"/>
      <c r="E30" s="71"/>
      <c r="F30" s="6"/>
      <c r="G30" s="72">
        <v>0</v>
      </c>
      <c r="H30" s="71"/>
      <c r="I30" s="6"/>
      <c r="J30" s="72">
        <f t="shared" si="0"/>
        <v>0</v>
      </c>
      <c r="K30" s="72">
        <f t="shared" si="1"/>
        <v>0</v>
      </c>
      <c r="L30" s="170">
        <v>0</v>
      </c>
      <c r="M30" s="277">
        <f t="shared" si="4"/>
        <v>28304.009000000013</v>
      </c>
      <c r="N30" s="6"/>
      <c r="O30" s="5"/>
    </row>
    <row r="31" spans="1:15">
      <c r="A31" s="235">
        <v>28</v>
      </c>
      <c r="B31" s="233"/>
      <c r="C31" s="6"/>
      <c r="D31" s="6"/>
      <c r="E31" s="71"/>
      <c r="F31" s="6"/>
      <c r="G31" s="72">
        <v>0</v>
      </c>
      <c r="H31" s="71"/>
      <c r="I31" s="6"/>
      <c r="J31" s="72">
        <f t="shared" si="0"/>
        <v>0</v>
      </c>
      <c r="K31" s="72">
        <f t="shared" si="1"/>
        <v>0</v>
      </c>
      <c r="L31" s="170">
        <v>0</v>
      </c>
      <c r="M31" s="277">
        <f t="shared" si="4"/>
        <v>28304.009000000013</v>
      </c>
      <c r="N31" s="6"/>
      <c r="O31" s="5"/>
    </row>
    <row r="32" spans="1:15">
      <c r="A32" s="236">
        <v>29</v>
      </c>
      <c r="B32" s="233"/>
      <c r="C32" s="6"/>
      <c r="D32" s="6"/>
      <c r="E32" s="71"/>
      <c r="F32" s="6"/>
      <c r="G32" s="72">
        <v>0</v>
      </c>
      <c r="H32" s="71"/>
      <c r="I32" s="6"/>
      <c r="J32" s="72">
        <f t="shared" si="0"/>
        <v>0</v>
      </c>
      <c r="K32" s="72">
        <f t="shared" si="1"/>
        <v>0</v>
      </c>
      <c r="L32" s="170">
        <v>0</v>
      </c>
      <c r="M32" s="277">
        <f t="shared" si="4"/>
        <v>28304.009000000013</v>
      </c>
      <c r="N32" s="6"/>
      <c r="O32" s="5"/>
    </row>
    <row r="33" spans="1:15">
      <c r="A33" s="236">
        <v>30</v>
      </c>
      <c r="B33" s="233"/>
      <c r="C33" s="6"/>
      <c r="D33" s="6"/>
      <c r="E33" s="71"/>
      <c r="F33" s="6"/>
      <c r="G33" s="72">
        <v>0</v>
      </c>
      <c r="H33" s="71"/>
      <c r="I33" s="6"/>
      <c r="J33" s="72">
        <f t="shared" si="0"/>
        <v>0</v>
      </c>
      <c r="K33" s="72">
        <f t="shared" si="1"/>
        <v>0</v>
      </c>
      <c r="L33" s="170">
        <v>0</v>
      </c>
      <c r="M33" s="277">
        <f t="shared" si="4"/>
        <v>28304.009000000013</v>
      </c>
      <c r="N33" s="6"/>
      <c r="O33" s="5"/>
    </row>
    <row r="34" spans="1:15">
      <c r="A34" s="236">
        <v>31</v>
      </c>
      <c r="B34" s="233"/>
      <c r="C34" s="6"/>
      <c r="D34" s="6"/>
      <c r="E34" s="71"/>
      <c r="F34" s="6"/>
      <c r="G34" s="72">
        <v>0</v>
      </c>
      <c r="H34" s="71"/>
      <c r="I34" s="6"/>
      <c r="J34" s="72">
        <f t="shared" si="0"/>
        <v>0</v>
      </c>
      <c r="K34" s="72">
        <f t="shared" si="1"/>
        <v>0</v>
      </c>
      <c r="L34" s="170">
        <v>0</v>
      </c>
      <c r="M34" s="277">
        <f t="shared" si="4"/>
        <v>28304.009000000013</v>
      </c>
      <c r="N34" s="6"/>
      <c r="O34" s="5"/>
    </row>
    <row r="35" spans="1:15">
      <c r="A35" s="6">
        <v>35</v>
      </c>
      <c r="B35" s="84"/>
      <c r="C35" s="6"/>
      <c r="D35" s="6"/>
      <c r="E35" s="71"/>
      <c r="F35" s="6"/>
      <c r="G35" s="72">
        <v>0</v>
      </c>
      <c r="H35" s="71"/>
      <c r="I35" s="6"/>
      <c r="J35" s="72">
        <f t="shared" si="0"/>
        <v>0</v>
      </c>
      <c r="K35" s="72">
        <f t="shared" si="1"/>
        <v>0</v>
      </c>
      <c r="L35" s="170">
        <v>0</v>
      </c>
      <c r="M35" s="277">
        <f t="shared" si="4"/>
        <v>28304.009000000013</v>
      </c>
      <c r="N35" s="6"/>
      <c r="O35" s="5"/>
    </row>
    <row r="36" spans="1:15">
      <c r="A36" s="6">
        <v>36</v>
      </c>
      <c r="B36" s="84"/>
      <c r="C36" s="6"/>
      <c r="D36" s="6"/>
      <c r="E36" s="71"/>
      <c r="F36" s="6"/>
      <c r="G36" s="72">
        <v>0</v>
      </c>
      <c r="H36" s="71"/>
      <c r="I36" s="6"/>
      <c r="J36" s="72">
        <f t="shared" si="0"/>
        <v>0</v>
      </c>
      <c r="K36" s="72">
        <f t="shared" si="1"/>
        <v>0</v>
      </c>
      <c r="L36" s="170">
        <v>0</v>
      </c>
      <c r="M36" s="277">
        <f t="shared" si="4"/>
        <v>28304.009000000013</v>
      </c>
      <c r="N36" s="6"/>
      <c r="O36" s="5"/>
    </row>
    <row r="37" spans="1:15">
      <c r="A37" s="6">
        <v>37</v>
      </c>
      <c r="B37" s="84"/>
      <c r="C37" s="6"/>
      <c r="D37" s="6"/>
      <c r="E37" s="71"/>
      <c r="F37" s="6"/>
      <c r="G37" s="72">
        <v>0</v>
      </c>
      <c r="H37" s="71"/>
      <c r="I37" s="6"/>
      <c r="J37" s="72">
        <f t="shared" si="0"/>
        <v>0</v>
      </c>
      <c r="K37" s="72">
        <f t="shared" si="1"/>
        <v>0</v>
      </c>
      <c r="L37" s="170">
        <v>0</v>
      </c>
      <c r="M37" s="277">
        <f t="shared" si="4"/>
        <v>28304.009000000013</v>
      </c>
      <c r="N37" s="6"/>
      <c r="O37" s="5"/>
    </row>
    <row r="38" spans="1:15">
      <c r="A38" s="6">
        <v>38</v>
      </c>
      <c r="B38" s="84"/>
      <c r="C38" s="6"/>
      <c r="D38" s="6"/>
      <c r="E38" s="71"/>
      <c r="F38" s="6"/>
      <c r="G38" s="72">
        <v>0</v>
      </c>
      <c r="H38" s="71"/>
      <c r="I38" s="6"/>
      <c r="J38" s="72">
        <f t="shared" si="0"/>
        <v>0</v>
      </c>
      <c r="K38" s="72">
        <f t="shared" si="1"/>
        <v>0</v>
      </c>
      <c r="L38" s="170">
        <v>0</v>
      </c>
      <c r="M38" s="277">
        <f t="shared" si="4"/>
        <v>28304.009000000013</v>
      </c>
      <c r="N38" s="6"/>
      <c r="O38" s="5"/>
    </row>
    <row r="39" spans="1:15">
      <c r="A39" s="178">
        <v>39</v>
      </c>
      <c r="B39" s="179"/>
      <c r="C39" s="178"/>
      <c r="D39" s="6"/>
      <c r="E39" s="71"/>
      <c r="F39" s="6"/>
      <c r="G39" s="72">
        <v>0</v>
      </c>
      <c r="H39" s="71"/>
      <c r="I39" s="6"/>
      <c r="J39" s="72">
        <f t="shared" si="0"/>
        <v>0</v>
      </c>
      <c r="K39" s="72">
        <f t="shared" si="1"/>
        <v>0</v>
      </c>
      <c r="L39" s="170">
        <v>0</v>
      </c>
      <c r="M39" s="277">
        <f t="shared" si="4"/>
        <v>28304.009000000013</v>
      </c>
      <c r="N39" s="178"/>
      <c r="O39" s="5"/>
    </row>
    <row r="40" spans="1:15">
      <c r="A40" s="6">
        <v>40</v>
      </c>
      <c r="B40" s="6"/>
      <c r="C40" s="6"/>
      <c r="D40" s="6"/>
      <c r="E40" s="71"/>
      <c r="F40" s="6"/>
      <c r="G40" s="72">
        <v>0</v>
      </c>
      <c r="H40" s="71"/>
      <c r="I40" s="6"/>
      <c r="J40" s="72">
        <f t="shared" si="0"/>
        <v>0</v>
      </c>
      <c r="K40" s="72">
        <f t="shared" si="1"/>
        <v>0</v>
      </c>
      <c r="L40" s="170">
        <v>0</v>
      </c>
      <c r="M40" s="277">
        <f t="shared" si="4"/>
        <v>28304.009000000013</v>
      </c>
      <c r="N40" s="6"/>
      <c r="O40" s="5"/>
    </row>
    <row r="41" spans="1:15">
      <c r="A41" s="178">
        <v>41</v>
      </c>
      <c r="B41" s="178"/>
      <c r="C41" s="178"/>
      <c r="D41" s="6"/>
      <c r="E41" s="71"/>
      <c r="F41" s="6"/>
      <c r="G41" s="72">
        <v>0</v>
      </c>
      <c r="H41" s="71"/>
      <c r="I41" s="6"/>
      <c r="J41" s="72">
        <f t="shared" si="0"/>
        <v>0</v>
      </c>
      <c r="K41" s="72">
        <f t="shared" si="1"/>
        <v>0</v>
      </c>
      <c r="L41" s="170">
        <v>0</v>
      </c>
      <c r="M41" s="277">
        <f t="shared" si="4"/>
        <v>28304.009000000013</v>
      </c>
      <c r="N41" s="178"/>
      <c r="O41" s="5"/>
    </row>
    <row r="42" spans="1:15">
      <c r="A42" s="178">
        <v>42</v>
      </c>
      <c r="B42" s="178"/>
      <c r="C42" s="178"/>
      <c r="D42" s="6"/>
      <c r="E42" s="71"/>
      <c r="F42" s="6"/>
      <c r="G42" s="72">
        <f t="shared" ref="G42" si="5">E42*F42</f>
        <v>0</v>
      </c>
      <c r="H42" s="71"/>
      <c r="I42" s="6"/>
      <c r="J42" s="72">
        <f t="shared" ref="J42" si="6">H42*I42</f>
        <v>0</v>
      </c>
      <c r="K42" s="180">
        <f t="shared" ref="K42" si="7">G42+J42</f>
        <v>0</v>
      </c>
      <c r="L42" s="181">
        <f t="shared" ref="L42" si="8">+K42</f>
        <v>0</v>
      </c>
      <c r="M42" s="277">
        <f t="shared" si="4"/>
        <v>28304.009000000013</v>
      </c>
      <c r="N42" s="178"/>
      <c r="O42" s="5"/>
    </row>
    <row r="43" spans="1:15">
      <c r="A43" s="68"/>
      <c r="B43" s="68"/>
      <c r="C43" s="68"/>
      <c r="D43" s="68"/>
      <c r="E43" s="69">
        <f>SUM(E4:E42)</f>
        <v>183.71</v>
      </c>
      <c r="F43" s="69"/>
      <c r="G43" s="69">
        <f>SUM(G4:G42)</f>
        <v>16778.2343</v>
      </c>
      <c r="H43" s="69">
        <f>SUM(H4:H42)</f>
        <v>50</v>
      </c>
      <c r="I43" s="69"/>
      <c r="J43" s="69">
        <f>SUM(J4:J42)</f>
        <v>5163</v>
      </c>
      <c r="K43" s="69">
        <f>SUM(K4:K42)</f>
        <v>21941.234300000004</v>
      </c>
      <c r="L43" s="69">
        <f>SUM(L4:L42)</f>
        <v>50000</v>
      </c>
      <c r="M43" s="69"/>
      <c r="N43" s="69"/>
      <c r="O43" s="65"/>
    </row>
    <row r="44" spans="1:15">
      <c r="A44" s="5"/>
      <c r="B44" s="5"/>
      <c r="C44" s="5"/>
      <c r="D44" s="5"/>
      <c r="E44" s="5"/>
      <c r="F44" s="5"/>
      <c r="G44" s="108"/>
      <c r="H44" s="5"/>
      <c r="I44" s="5"/>
      <c r="J44" s="108"/>
      <c r="K44" s="5"/>
      <c r="L44" s="108"/>
      <c r="M44" s="108"/>
      <c r="N44" s="5"/>
      <c r="O44" s="5"/>
    </row>
    <row r="45" spans="1:15">
      <c r="A45" s="5"/>
      <c r="B45" s="5"/>
      <c r="C45" s="5"/>
      <c r="D45" s="5"/>
      <c r="E45" s="5"/>
      <c r="F45" s="5"/>
      <c r="G45" s="108"/>
      <c r="H45" s="5"/>
      <c r="I45" s="5"/>
      <c r="J45" s="108"/>
      <c r="K45" s="5"/>
      <c r="L45" s="108"/>
      <c r="M45" s="108"/>
      <c r="N45" s="5"/>
      <c r="O45" s="5"/>
    </row>
    <row r="46" spans="1:15">
      <c r="L46">
        <v>41648.541499999999</v>
      </c>
    </row>
    <row r="47" spans="1:15">
      <c r="L47" s="183">
        <f>L43+L46</f>
        <v>91648.541499999992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22" workbookViewId="0">
      <selection activeCell="M32" sqref="M32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454" t="s">
        <v>91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8" ht="45">
      <c r="A2" s="70" t="s">
        <v>95</v>
      </c>
      <c r="B2" s="89" t="s">
        <v>96</v>
      </c>
      <c r="C2" s="89" t="s">
        <v>97</v>
      </c>
      <c r="D2" s="89" t="s">
        <v>111</v>
      </c>
      <c r="E2" s="89" t="s">
        <v>99</v>
      </c>
      <c r="F2" s="89" t="s">
        <v>100</v>
      </c>
      <c r="G2" s="96" t="s">
        <v>101</v>
      </c>
      <c r="H2" s="89" t="s">
        <v>102</v>
      </c>
      <c r="I2" s="89" t="s">
        <v>100</v>
      </c>
      <c r="J2" s="96" t="s">
        <v>101</v>
      </c>
      <c r="K2" s="70" t="s">
        <v>103</v>
      </c>
      <c r="L2" s="97" t="s">
        <v>104</v>
      </c>
      <c r="M2" s="91" t="s">
        <v>110</v>
      </c>
      <c r="N2" s="89" t="s">
        <v>106</v>
      </c>
    </row>
    <row r="3" spans="1:18">
      <c r="A3" s="481" t="s">
        <v>107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3"/>
      <c r="M3" s="484">
        <v>23526.40130000002</v>
      </c>
      <c r="N3" s="485"/>
    </row>
    <row r="4" spans="1:18">
      <c r="A4" s="208">
        <v>1</v>
      </c>
      <c r="B4" s="233">
        <v>45962</v>
      </c>
      <c r="C4" s="6"/>
      <c r="D4" s="6"/>
      <c r="E4" s="71">
        <v>37.74</v>
      </c>
      <c r="F4" s="346">
        <v>91.62</v>
      </c>
      <c r="G4" s="72">
        <f>E4*F4</f>
        <v>3457.7388000000005</v>
      </c>
      <c r="H4" s="71">
        <v>0</v>
      </c>
      <c r="I4" s="6">
        <v>0</v>
      </c>
      <c r="J4" s="72">
        <f>H4*I4</f>
        <v>0</v>
      </c>
      <c r="K4" s="72">
        <f>G4+J4</f>
        <v>3457.7388000000005</v>
      </c>
      <c r="L4" s="170">
        <v>0</v>
      </c>
      <c r="M4" s="156">
        <f>M3+K4-L4</f>
        <v>26984.140100000019</v>
      </c>
      <c r="N4" s="50" t="s">
        <v>155</v>
      </c>
    </row>
    <row r="5" spans="1:18">
      <c r="A5" s="50">
        <v>2</v>
      </c>
      <c r="B5" s="233">
        <v>45963</v>
      </c>
      <c r="C5" s="6"/>
      <c r="D5" s="6"/>
      <c r="E5" s="71">
        <v>0</v>
      </c>
      <c r="F5" s="346">
        <v>0</v>
      </c>
      <c r="G5" s="72">
        <f t="shared" ref="G5:G41" si="0">E5*F5</f>
        <v>0</v>
      </c>
      <c r="H5" s="71">
        <v>0</v>
      </c>
      <c r="I5" s="6">
        <v>0</v>
      </c>
      <c r="J5" s="72">
        <f t="shared" ref="J5:J41" si="1">H5*I5</f>
        <v>0</v>
      </c>
      <c r="K5" s="72">
        <f t="shared" ref="K5:K41" si="2">G5+J5</f>
        <v>0</v>
      </c>
      <c r="L5" s="170">
        <v>0</v>
      </c>
      <c r="M5" s="156">
        <f t="shared" ref="M5:M33" si="3">M4+K5-L5</f>
        <v>26984.140100000019</v>
      </c>
      <c r="N5" s="50" t="s">
        <v>155</v>
      </c>
    </row>
    <row r="6" spans="1:18">
      <c r="A6" s="50">
        <v>3</v>
      </c>
      <c r="B6" s="233">
        <v>45964</v>
      </c>
      <c r="C6" s="6"/>
      <c r="D6" s="6"/>
      <c r="E6" s="71">
        <v>0</v>
      </c>
      <c r="F6" s="346">
        <v>0</v>
      </c>
      <c r="G6" s="72">
        <f t="shared" si="0"/>
        <v>0</v>
      </c>
      <c r="H6" s="71">
        <v>0</v>
      </c>
      <c r="I6" s="6">
        <v>0</v>
      </c>
      <c r="J6" s="72">
        <f t="shared" si="1"/>
        <v>0</v>
      </c>
      <c r="K6" s="72">
        <f t="shared" si="2"/>
        <v>0</v>
      </c>
      <c r="L6" s="170">
        <v>0</v>
      </c>
      <c r="M6" s="156">
        <f t="shared" si="3"/>
        <v>26984.140100000019</v>
      </c>
      <c r="N6" s="50" t="s">
        <v>155</v>
      </c>
    </row>
    <row r="7" spans="1:18">
      <c r="A7" s="50">
        <v>4</v>
      </c>
      <c r="B7" s="233">
        <v>45965</v>
      </c>
      <c r="C7" s="6"/>
      <c r="D7" s="6"/>
      <c r="E7" s="71">
        <v>0</v>
      </c>
      <c r="F7" s="346">
        <v>0</v>
      </c>
      <c r="G7" s="72">
        <f t="shared" si="0"/>
        <v>0</v>
      </c>
      <c r="H7" s="71">
        <v>4.83</v>
      </c>
      <c r="I7" s="6">
        <v>103.57</v>
      </c>
      <c r="J7" s="72">
        <f t="shared" si="1"/>
        <v>500.24309999999997</v>
      </c>
      <c r="K7" s="72">
        <f t="shared" si="2"/>
        <v>500.24309999999997</v>
      </c>
      <c r="L7" s="170">
        <v>0</v>
      </c>
      <c r="M7" s="156">
        <f t="shared" si="3"/>
        <v>27484.383200000018</v>
      </c>
      <c r="N7" s="50" t="s">
        <v>155</v>
      </c>
    </row>
    <row r="8" spans="1:18">
      <c r="A8" s="50">
        <v>5</v>
      </c>
      <c r="B8" s="233">
        <v>45966</v>
      </c>
      <c r="C8" s="6"/>
      <c r="D8" s="6"/>
      <c r="E8" s="71">
        <v>0</v>
      </c>
      <c r="F8" s="346">
        <v>0</v>
      </c>
      <c r="G8" s="72">
        <f t="shared" si="0"/>
        <v>0</v>
      </c>
      <c r="H8" s="71">
        <v>0</v>
      </c>
      <c r="I8" s="6">
        <v>0</v>
      </c>
      <c r="J8" s="72">
        <f t="shared" si="1"/>
        <v>0</v>
      </c>
      <c r="K8" s="72">
        <f t="shared" si="2"/>
        <v>0</v>
      </c>
      <c r="L8" s="170">
        <v>0</v>
      </c>
      <c r="M8" s="156">
        <f t="shared" si="3"/>
        <v>27484.383200000018</v>
      </c>
      <c r="N8" s="50" t="s">
        <v>155</v>
      </c>
    </row>
    <row r="9" spans="1:18">
      <c r="A9" s="50">
        <v>6</v>
      </c>
      <c r="B9" s="233">
        <v>45967</v>
      </c>
      <c r="C9" s="6"/>
      <c r="D9" s="6"/>
      <c r="E9" s="71">
        <v>20</v>
      </c>
      <c r="F9" s="346">
        <v>91.62</v>
      </c>
      <c r="G9" s="72">
        <f t="shared" si="0"/>
        <v>1832.4</v>
      </c>
      <c r="H9" s="71">
        <v>10</v>
      </c>
      <c r="I9" s="6">
        <v>103.57</v>
      </c>
      <c r="J9" s="72">
        <f t="shared" si="1"/>
        <v>1035.6999999999998</v>
      </c>
      <c r="K9" s="72">
        <f t="shared" si="2"/>
        <v>2868.1</v>
      </c>
      <c r="L9" s="170">
        <v>0</v>
      </c>
      <c r="M9" s="156">
        <f t="shared" si="3"/>
        <v>30352.483200000017</v>
      </c>
      <c r="N9" s="50" t="s">
        <v>155</v>
      </c>
    </row>
    <row r="10" spans="1:18">
      <c r="A10" s="50">
        <v>7</v>
      </c>
      <c r="B10" s="233">
        <v>45968</v>
      </c>
      <c r="C10" s="6"/>
      <c r="D10" s="6"/>
      <c r="E10" s="71">
        <v>0</v>
      </c>
      <c r="F10" s="346">
        <v>0</v>
      </c>
      <c r="G10" s="72">
        <f t="shared" si="0"/>
        <v>0</v>
      </c>
      <c r="H10" s="71">
        <v>10</v>
      </c>
      <c r="I10" s="6">
        <v>103.57</v>
      </c>
      <c r="J10" s="72">
        <f t="shared" si="1"/>
        <v>1035.6999999999998</v>
      </c>
      <c r="K10" s="72">
        <f t="shared" si="2"/>
        <v>1035.6999999999998</v>
      </c>
      <c r="L10" s="170">
        <v>0</v>
      </c>
      <c r="M10" s="156">
        <f t="shared" si="3"/>
        <v>31388.183200000018</v>
      </c>
      <c r="N10" s="50" t="s">
        <v>155</v>
      </c>
    </row>
    <row r="11" spans="1:18">
      <c r="A11" s="50">
        <v>8</v>
      </c>
      <c r="B11" s="233">
        <v>45969</v>
      </c>
      <c r="C11" s="6"/>
      <c r="D11" s="6"/>
      <c r="E11" s="71">
        <v>0</v>
      </c>
      <c r="F11" s="346">
        <v>0</v>
      </c>
      <c r="G11" s="72">
        <f t="shared" si="0"/>
        <v>0</v>
      </c>
      <c r="H11" s="71">
        <v>5</v>
      </c>
      <c r="I11" s="6">
        <v>103.57</v>
      </c>
      <c r="J11" s="72">
        <f t="shared" si="1"/>
        <v>517.84999999999991</v>
      </c>
      <c r="K11" s="72">
        <f t="shared" si="2"/>
        <v>517.84999999999991</v>
      </c>
      <c r="L11" s="170">
        <v>0</v>
      </c>
      <c r="M11" s="156">
        <f t="shared" si="3"/>
        <v>31906.033200000016</v>
      </c>
      <c r="N11" s="50" t="s">
        <v>155</v>
      </c>
    </row>
    <row r="12" spans="1:18">
      <c r="A12" s="50">
        <v>9</v>
      </c>
      <c r="B12" s="233">
        <v>45970</v>
      </c>
      <c r="C12" s="6"/>
      <c r="D12" s="6"/>
      <c r="E12" s="71">
        <v>0</v>
      </c>
      <c r="F12" s="346">
        <v>0</v>
      </c>
      <c r="G12" s="72">
        <f t="shared" si="0"/>
        <v>0</v>
      </c>
      <c r="H12" s="71">
        <v>0</v>
      </c>
      <c r="I12" s="6">
        <v>0</v>
      </c>
      <c r="J12" s="72">
        <f t="shared" si="1"/>
        <v>0</v>
      </c>
      <c r="K12" s="72">
        <f t="shared" si="2"/>
        <v>0</v>
      </c>
      <c r="L12" s="170">
        <v>0</v>
      </c>
      <c r="M12" s="156">
        <f t="shared" si="3"/>
        <v>31906.033200000016</v>
      </c>
      <c r="N12" s="50" t="s">
        <v>155</v>
      </c>
      <c r="R12" s="254"/>
    </row>
    <row r="13" spans="1:18">
      <c r="A13" s="50">
        <v>10</v>
      </c>
      <c r="B13" s="233">
        <v>45971</v>
      </c>
      <c r="C13" s="6"/>
      <c r="D13" s="6"/>
      <c r="E13" s="71">
        <v>0</v>
      </c>
      <c r="F13" s="346">
        <v>0</v>
      </c>
      <c r="G13" s="72">
        <f t="shared" si="0"/>
        <v>0</v>
      </c>
      <c r="H13" s="71">
        <v>0</v>
      </c>
      <c r="I13" s="6">
        <v>0</v>
      </c>
      <c r="J13" s="72">
        <f t="shared" si="1"/>
        <v>0</v>
      </c>
      <c r="K13" s="72">
        <f t="shared" si="2"/>
        <v>0</v>
      </c>
      <c r="L13" s="170">
        <v>0</v>
      </c>
      <c r="M13" s="156">
        <f t="shared" si="3"/>
        <v>31906.033200000016</v>
      </c>
      <c r="N13" s="50" t="s">
        <v>155</v>
      </c>
    </row>
    <row r="14" spans="1:18">
      <c r="A14" s="50">
        <v>11</v>
      </c>
      <c r="B14" s="233">
        <v>45972</v>
      </c>
      <c r="C14" s="6"/>
      <c r="D14" s="6"/>
      <c r="E14" s="71">
        <v>29</v>
      </c>
      <c r="F14" s="346">
        <v>91.62</v>
      </c>
      <c r="G14" s="72">
        <f t="shared" si="0"/>
        <v>2656.98</v>
      </c>
      <c r="H14" s="71">
        <v>5</v>
      </c>
      <c r="I14" s="6">
        <v>103.57</v>
      </c>
      <c r="J14" s="72">
        <f t="shared" si="1"/>
        <v>517.84999999999991</v>
      </c>
      <c r="K14" s="72">
        <f t="shared" si="2"/>
        <v>3174.83</v>
      </c>
      <c r="L14" s="170">
        <v>0</v>
      </c>
      <c r="M14" s="156">
        <f t="shared" si="3"/>
        <v>35080.863200000014</v>
      </c>
      <c r="N14" s="50" t="s">
        <v>155</v>
      </c>
    </row>
    <row r="15" spans="1:18">
      <c r="A15" s="50">
        <v>12</v>
      </c>
      <c r="B15" s="233">
        <v>45973</v>
      </c>
      <c r="C15" s="6"/>
      <c r="D15" s="6"/>
      <c r="E15" s="71">
        <v>0</v>
      </c>
      <c r="F15" s="346">
        <v>0</v>
      </c>
      <c r="G15" s="72">
        <f t="shared" si="0"/>
        <v>0</v>
      </c>
      <c r="H15" s="71">
        <v>0</v>
      </c>
      <c r="I15" s="6">
        <v>0</v>
      </c>
      <c r="J15" s="72">
        <f t="shared" si="1"/>
        <v>0</v>
      </c>
      <c r="K15" s="72">
        <f t="shared" si="2"/>
        <v>0</v>
      </c>
      <c r="L15" s="170">
        <v>0</v>
      </c>
      <c r="M15" s="156">
        <f t="shared" si="3"/>
        <v>35080.863200000014</v>
      </c>
      <c r="N15" s="50" t="s">
        <v>155</v>
      </c>
    </row>
    <row r="16" spans="1:18">
      <c r="A16" s="50">
        <v>13</v>
      </c>
      <c r="B16" s="233">
        <v>45974</v>
      </c>
      <c r="C16" s="6"/>
      <c r="D16" s="6"/>
      <c r="E16" s="71">
        <v>0</v>
      </c>
      <c r="F16" s="346">
        <v>0</v>
      </c>
      <c r="G16" s="72">
        <f t="shared" si="0"/>
        <v>0</v>
      </c>
      <c r="H16" s="71">
        <v>4.83</v>
      </c>
      <c r="I16" s="6">
        <v>103.57</v>
      </c>
      <c r="J16" s="72">
        <f t="shared" si="1"/>
        <v>500.24309999999997</v>
      </c>
      <c r="K16" s="72">
        <f t="shared" si="2"/>
        <v>500.24309999999997</v>
      </c>
      <c r="L16" s="170">
        <v>0</v>
      </c>
      <c r="M16" s="156">
        <f t="shared" si="3"/>
        <v>35581.106300000014</v>
      </c>
      <c r="N16" s="50" t="s">
        <v>155</v>
      </c>
    </row>
    <row r="17" spans="1:14">
      <c r="A17" s="50">
        <v>14</v>
      </c>
      <c r="B17" s="233">
        <v>45975</v>
      </c>
      <c r="C17" s="6"/>
      <c r="D17" s="6"/>
      <c r="E17" s="71">
        <v>0</v>
      </c>
      <c r="F17" s="346">
        <v>0</v>
      </c>
      <c r="G17" s="72">
        <f t="shared" si="0"/>
        <v>0</v>
      </c>
      <c r="H17" s="71">
        <v>0</v>
      </c>
      <c r="I17" s="6">
        <v>0</v>
      </c>
      <c r="J17" s="72">
        <f t="shared" si="1"/>
        <v>0</v>
      </c>
      <c r="K17" s="72">
        <f t="shared" si="2"/>
        <v>0</v>
      </c>
      <c r="L17" s="170">
        <v>0</v>
      </c>
      <c r="M17" s="156">
        <f t="shared" si="3"/>
        <v>35581.106300000014</v>
      </c>
      <c r="N17" s="50" t="s">
        <v>155</v>
      </c>
    </row>
    <row r="18" spans="1:14">
      <c r="A18" s="50">
        <v>15</v>
      </c>
      <c r="B18" s="233">
        <v>45976</v>
      </c>
      <c r="C18" s="6"/>
      <c r="D18" s="6"/>
      <c r="E18" s="71">
        <v>34.880000000000003</v>
      </c>
      <c r="F18" s="346">
        <v>91.62</v>
      </c>
      <c r="G18" s="72">
        <f t="shared" si="0"/>
        <v>3195.7056000000002</v>
      </c>
      <c r="H18" s="71">
        <v>4.51</v>
      </c>
      <c r="I18" s="6">
        <v>110.89</v>
      </c>
      <c r="J18" s="72">
        <f t="shared" si="1"/>
        <v>500.1139</v>
      </c>
      <c r="K18" s="72">
        <f t="shared" si="2"/>
        <v>3695.8195000000001</v>
      </c>
      <c r="L18" s="170">
        <v>0</v>
      </c>
      <c r="M18" s="156">
        <f t="shared" si="3"/>
        <v>39276.925800000012</v>
      </c>
      <c r="N18" s="50" t="s">
        <v>155</v>
      </c>
    </row>
    <row r="19" spans="1:14">
      <c r="A19" s="50">
        <v>16</v>
      </c>
      <c r="B19" s="233">
        <v>45977</v>
      </c>
      <c r="C19" s="6"/>
      <c r="D19" s="6"/>
      <c r="E19" s="71">
        <v>0</v>
      </c>
      <c r="F19" s="346">
        <v>0</v>
      </c>
      <c r="G19" s="72">
        <f t="shared" si="0"/>
        <v>0</v>
      </c>
      <c r="H19" s="346">
        <v>4.83</v>
      </c>
      <c r="I19" s="6">
        <v>103.57</v>
      </c>
      <c r="J19" s="72">
        <f t="shared" si="1"/>
        <v>500.24309999999997</v>
      </c>
      <c r="K19" s="72">
        <f t="shared" si="2"/>
        <v>500.24309999999997</v>
      </c>
      <c r="L19" s="170">
        <v>0</v>
      </c>
      <c r="M19" s="156">
        <f t="shared" si="3"/>
        <v>39777.168900000011</v>
      </c>
      <c r="N19" s="50" t="s">
        <v>155</v>
      </c>
    </row>
    <row r="20" spans="1:14">
      <c r="A20" s="50">
        <v>17</v>
      </c>
      <c r="B20" s="233">
        <v>45978</v>
      </c>
      <c r="C20" s="6"/>
      <c r="D20" s="6"/>
      <c r="E20" s="71">
        <v>0</v>
      </c>
      <c r="F20" s="346">
        <v>0</v>
      </c>
      <c r="G20" s="72">
        <f t="shared" si="0"/>
        <v>0</v>
      </c>
      <c r="H20" s="71">
        <v>0</v>
      </c>
      <c r="I20" s="6">
        <v>0</v>
      </c>
      <c r="J20" s="72">
        <f t="shared" si="1"/>
        <v>0</v>
      </c>
      <c r="K20" s="72">
        <f t="shared" si="2"/>
        <v>0</v>
      </c>
      <c r="L20" s="170">
        <v>0</v>
      </c>
      <c r="M20" s="156">
        <f t="shared" si="3"/>
        <v>39777.168900000011</v>
      </c>
      <c r="N20" s="50" t="s">
        <v>155</v>
      </c>
    </row>
    <row r="21" spans="1:14">
      <c r="A21" s="50">
        <v>18</v>
      </c>
      <c r="B21" s="233">
        <v>45979</v>
      </c>
      <c r="C21" s="6"/>
      <c r="D21" s="6"/>
      <c r="E21" s="71">
        <v>0</v>
      </c>
      <c r="F21" s="346">
        <v>0</v>
      </c>
      <c r="G21" s="72">
        <f t="shared" si="0"/>
        <v>0</v>
      </c>
      <c r="H21" s="71">
        <v>0</v>
      </c>
      <c r="I21" s="6">
        <v>0</v>
      </c>
      <c r="J21" s="72">
        <f t="shared" si="1"/>
        <v>0</v>
      </c>
      <c r="K21" s="72">
        <f t="shared" si="2"/>
        <v>0</v>
      </c>
      <c r="L21" s="170">
        <v>0</v>
      </c>
      <c r="M21" s="156">
        <f t="shared" si="3"/>
        <v>39777.168900000011</v>
      </c>
      <c r="N21" s="50" t="s">
        <v>155</v>
      </c>
    </row>
    <row r="22" spans="1:14">
      <c r="A22" s="50">
        <v>19</v>
      </c>
      <c r="B22" s="233">
        <v>45980</v>
      </c>
      <c r="C22" s="6"/>
      <c r="D22" s="6"/>
      <c r="E22" s="71">
        <v>0</v>
      </c>
      <c r="F22" s="346">
        <v>0</v>
      </c>
      <c r="G22" s="72">
        <f t="shared" si="0"/>
        <v>0</v>
      </c>
      <c r="H22" s="71">
        <v>0</v>
      </c>
      <c r="I22" s="6">
        <v>0</v>
      </c>
      <c r="J22" s="72">
        <f t="shared" si="1"/>
        <v>0</v>
      </c>
      <c r="K22" s="72">
        <f t="shared" si="2"/>
        <v>0</v>
      </c>
      <c r="L22" s="170">
        <v>0</v>
      </c>
      <c r="M22" s="156">
        <f t="shared" si="3"/>
        <v>39777.168900000011</v>
      </c>
      <c r="N22" s="50" t="s">
        <v>155</v>
      </c>
    </row>
    <row r="23" spans="1:14">
      <c r="A23" s="50">
        <v>20</v>
      </c>
      <c r="B23" s="233">
        <v>45981</v>
      </c>
      <c r="C23" s="6"/>
      <c r="D23" s="6"/>
      <c r="E23" s="71">
        <v>0</v>
      </c>
      <c r="F23" s="346">
        <v>0</v>
      </c>
      <c r="G23" s="72">
        <f t="shared" si="0"/>
        <v>0</v>
      </c>
      <c r="H23" s="71">
        <v>0</v>
      </c>
      <c r="I23" s="6">
        <v>0</v>
      </c>
      <c r="J23" s="72">
        <f t="shared" si="1"/>
        <v>0</v>
      </c>
      <c r="K23" s="72">
        <f t="shared" si="2"/>
        <v>0</v>
      </c>
      <c r="L23" s="170">
        <v>0</v>
      </c>
      <c r="M23" s="156">
        <f t="shared" si="3"/>
        <v>39777.168900000011</v>
      </c>
      <c r="N23" s="50"/>
    </row>
    <row r="24" spans="1:14">
      <c r="A24" s="50">
        <v>21</v>
      </c>
      <c r="B24" s="233">
        <v>45982</v>
      </c>
      <c r="C24" s="6"/>
      <c r="D24" s="6"/>
      <c r="E24" s="71">
        <v>0</v>
      </c>
      <c r="F24" s="346">
        <v>0</v>
      </c>
      <c r="G24" s="72">
        <f t="shared" si="0"/>
        <v>0</v>
      </c>
      <c r="H24" s="71">
        <v>0</v>
      </c>
      <c r="I24" s="6">
        <v>0</v>
      </c>
      <c r="J24" s="72">
        <f t="shared" si="1"/>
        <v>0</v>
      </c>
      <c r="K24" s="72">
        <f t="shared" si="2"/>
        <v>0</v>
      </c>
      <c r="L24" s="170">
        <v>0</v>
      </c>
      <c r="M24" s="156">
        <f>M23+K24-L24</f>
        <v>39777.168900000011</v>
      </c>
      <c r="N24" s="50"/>
    </row>
    <row r="25" spans="1:14">
      <c r="A25" s="50">
        <v>22</v>
      </c>
      <c r="B25" s="233">
        <v>45983</v>
      </c>
      <c r="C25" s="6"/>
      <c r="D25" s="6"/>
      <c r="E25" s="71">
        <v>0</v>
      </c>
      <c r="F25" s="346">
        <v>0</v>
      </c>
      <c r="G25" s="72">
        <f t="shared" si="0"/>
        <v>0</v>
      </c>
      <c r="H25" s="71">
        <v>0</v>
      </c>
      <c r="I25" s="6">
        <v>0</v>
      </c>
      <c r="J25" s="72">
        <f t="shared" si="1"/>
        <v>0</v>
      </c>
      <c r="K25" s="72">
        <f t="shared" si="2"/>
        <v>0</v>
      </c>
      <c r="L25" s="170">
        <v>0</v>
      </c>
      <c r="M25" s="156">
        <f t="shared" si="3"/>
        <v>39777.168900000011</v>
      </c>
      <c r="N25" s="50"/>
    </row>
    <row r="26" spans="1:14">
      <c r="A26" s="50">
        <v>23</v>
      </c>
      <c r="B26" s="233">
        <v>45984</v>
      </c>
      <c r="C26" s="6"/>
      <c r="D26" s="6"/>
      <c r="E26" s="71">
        <v>0</v>
      </c>
      <c r="F26" s="346">
        <v>0</v>
      </c>
      <c r="G26" s="72">
        <f t="shared" si="0"/>
        <v>0</v>
      </c>
      <c r="H26" s="71">
        <v>0</v>
      </c>
      <c r="I26" s="6">
        <v>0</v>
      </c>
      <c r="J26" s="72">
        <f t="shared" si="1"/>
        <v>0</v>
      </c>
      <c r="K26" s="72">
        <f t="shared" si="2"/>
        <v>0</v>
      </c>
      <c r="L26" s="170">
        <v>0</v>
      </c>
      <c r="M26" s="156">
        <f t="shared" si="3"/>
        <v>39777.168900000011</v>
      </c>
      <c r="N26" s="6"/>
    </row>
    <row r="27" spans="1:14">
      <c r="A27" s="50">
        <v>24</v>
      </c>
      <c r="B27" s="233">
        <v>45985</v>
      </c>
      <c r="C27" s="6"/>
      <c r="D27" s="6"/>
      <c r="E27" s="71">
        <v>0</v>
      </c>
      <c r="F27" s="346">
        <v>0</v>
      </c>
      <c r="G27" s="72">
        <f t="shared" si="0"/>
        <v>0</v>
      </c>
      <c r="H27" s="71">
        <v>11.58</v>
      </c>
      <c r="I27" s="6">
        <v>103.57</v>
      </c>
      <c r="J27" s="72">
        <f t="shared" si="1"/>
        <v>1199.3406</v>
      </c>
      <c r="K27" s="72">
        <f t="shared" si="2"/>
        <v>1199.3406</v>
      </c>
      <c r="L27" s="170">
        <v>0</v>
      </c>
      <c r="M27" s="156">
        <f t="shared" si="3"/>
        <v>40976.509500000015</v>
      </c>
      <c r="N27" s="6"/>
    </row>
    <row r="28" spans="1:14">
      <c r="A28" s="235">
        <v>25</v>
      </c>
      <c r="B28" s="233">
        <v>45986</v>
      </c>
      <c r="C28" s="6"/>
      <c r="D28" s="6"/>
      <c r="E28" s="71">
        <v>0</v>
      </c>
      <c r="F28" s="346">
        <v>0</v>
      </c>
      <c r="G28" s="72">
        <f t="shared" si="0"/>
        <v>0</v>
      </c>
      <c r="H28" s="71">
        <v>4.83</v>
      </c>
      <c r="I28" s="6">
        <v>103.57</v>
      </c>
      <c r="J28" s="72">
        <f t="shared" si="1"/>
        <v>500.24309999999997</v>
      </c>
      <c r="K28" s="72">
        <f t="shared" si="2"/>
        <v>500.24309999999997</v>
      </c>
      <c r="L28" s="170">
        <v>0</v>
      </c>
      <c r="M28" s="156">
        <f t="shared" si="3"/>
        <v>41476.752600000014</v>
      </c>
      <c r="N28" s="6"/>
    </row>
    <row r="29" spans="1:14">
      <c r="A29" s="235">
        <v>26</v>
      </c>
      <c r="B29" s="233">
        <v>45987</v>
      </c>
      <c r="C29" s="6"/>
      <c r="D29" s="6"/>
      <c r="E29" s="71">
        <v>32.47</v>
      </c>
      <c r="F29" s="346">
        <v>91.62</v>
      </c>
      <c r="G29" s="72">
        <f t="shared" si="0"/>
        <v>2974.9014000000002</v>
      </c>
      <c r="H29" s="71">
        <v>0</v>
      </c>
      <c r="I29" s="6">
        <v>0</v>
      </c>
      <c r="J29" s="72">
        <f t="shared" si="1"/>
        <v>0</v>
      </c>
      <c r="K29" s="72">
        <f t="shared" si="2"/>
        <v>2974.9014000000002</v>
      </c>
      <c r="L29" s="170">
        <v>0</v>
      </c>
      <c r="M29" s="156">
        <f t="shared" si="3"/>
        <v>44451.654000000017</v>
      </c>
      <c r="N29" s="6"/>
    </row>
    <row r="30" spans="1:14">
      <c r="A30" s="235">
        <v>27</v>
      </c>
      <c r="B30" s="233">
        <v>45988</v>
      </c>
      <c r="C30" s="6"/>
      <c r="D30" s="6"/>
      <c r="E30" s="71">
        <v>0</v>
      </c>
      <c r="F30" s="346">
        <v>0</v>
      </c>
      <c r="G30" s="72">
        <f t="shared" si="0"/>
        <v>0</v>
      </c>
      <c r="H30" s="71">
        <v>0</v>
      </c>
      <c r="I30" s="6">
        <v>0</v>
      </c>
      <c r="J30" s="72">
        <f t="shared" si="1"/>
        <v>0</v>
      </c>
      <c r="K30" s="72">
        <f t="shared" si="2"/>
        <v>0</v>
      </c>
      <c r="L30" s="170">
        <v>0</v>
      </c>
      <c r="M30" s="156">
        <f t="shared" si="3"/>
        <v>44451.654000000017</v>
      </c>
      <c r="N30" s="6"/>
    </row>
    <row r="31" spans="1:14">
      <c r="A31" s="235">
        <v>28</v>
      </c>
      <c r="B31" s="233">
        <v>45989</v>
      </c>
      <c r="C31" s="6"/>
      <c r="D31" s="6"/>
      <c r="E31" s="71">
        <v>27.29</v>
      </c>
      <c r="F31" s="346">
        <v>91.62</v>
      </c>
      <c r="G31" s="72">
        <f t="shared" si="0"/>
        <v>2500.3098</v>
      </c>
      <c r="H31" s="71">
        <v>0</v>
      </c>
      <c r="I31" s="6">
        <v>0</v>
      </c>
      <c r="J31" s="72">
        <f t="shared" si="1"/>
        <v>0</v>
      </c>
      <c r="K31" s="72">
        <f t="shared" si="2"/>
        <v>2500.3098</v>
      </c>
      <c r="L31" s="170">
        <v>0</v>
      </c>
      <c r="M31" s="156">
        <f t="shared" si="3"/>
        <v>46951.96380000002</v>
      </c>
      <c r="N31" s="6"/>
    </row>
    <row r="32" spans="1:14">
      <c r="A32" s="236">
        <v>29</v>
      </c>
      <c r="B32" s="233">
        <v>45990</v>
      </c>
      <c r="C32" s="6"/>
      <c r="D32" s="6"/>
      <c r="E32" s="71">
        <v>0</v>
      </c>
      <c r="F32" s="346">
        <v>0</v>
      </c>
      <c r="G32" s="72">
        <f t="shared" si="0"/>
        <v>0</v>
      </c>
      <c r="H32" s="71">
        <v>6.758</v>
      </c>
      <c r="I32" s="6">
        <v>103.57</v>
      </c>
      <c r="J32" s="72">
        <f t="shared" si="1"/>
        <v>699.92606000000001</v>
      </c>
      <c r="K32" s="72">
        <f t="shared" si="2"/>
        <v>699.92606000000001</v>
      </c>
      <c r="L32" s="170">
        <v>0</v>
      </c>
      <c r="M32" s="156">
        <f t="shared" si="3"/>
        <v>47651.889860000018</v>
      </c>
      <c r="N32" s="6"/>
    </row>
    <row r="33" spans="1:17">
      <c r="A33" s="236">
        <v>30</v>
      </c>
      <c r="B33" s="233">
        <v>45991</v>
      </c>
      <c r="C33" s="6"/>
      <c r="D33" s="6"/>
      <c r="E33" s="71">
        <v>0</v>
      </c>
      <c r="F33" s="346">
        <v>0</v>
      </c>
      <c r="G33" s="72">
        <f t="shared" si="0"/>
        <v>0</v>
      </c>
      <c r="H33" s="71">
        <v>0</v>
      </c>
      <c r="I33" s="6">
        <v>0</v>
      </c>
      <c r="J33" s="72">
        <f t="shared" si="1"/>
        <v>0</v>
      </c>
      <c r="K33" s="72">
        <f t="shared" si="2"/>
        <v>0</v>
      </c>
      <c r="L33" s="170">
        <v>0</v>
      </c>
      <c r="M33" s="156">
        <f t="shared" si="3"/>
        <v>47651.889860000018</v>
      </c>
      <c r="N33" s="6"/>
    </row>
    <row r="34" spans="1:17">
      <c r="A34" s="236">
        <v>31</v>
      </c>
      <c r="B34" s="233"/>
      <c r="C34" s="6"/>
      <c r="D34" s="6"/>
      <c r="E34" s="71">
        <v>0</v>
      </c>
      <c r="F34" s="346">
        <v>0</v>
      </c>
      <c r="G34" s="72">
        <f t="shared" si="0"/>
        <v>0</v>
      </c>
      <c r="H34" s="71">
        <v>0</v>
      </c>
      <c r="I34" s="6">
        <v>0</v>
      </c>
      <c r="J34" s="72">
        <f t="shared" si="1"/>
        <v>0</v>
      </c>
      <c r="K34" s="72">
        <f t="shared" si="2"/>
        <v>0</v>
      </c>
      <c r="L34" s="170">
        <v>0</v>
      </c>
      <c r="M34" s="156">
        <f t="shared" ref="M34:M39" si="4">M33+K34-L34</f>
        <v>47651.889860000018</v>
      </c>
      <c r="N34" s="6"/>
    </row>
    <row r="35" spans="1:17">
      <c r="A35" s="6">
        <v>35</v>
      </c>
      <c r="B35" s="84"/>
      <c r="C35" s="6"/>
      <c r="D35" s="6"/>
      <c r="E35" s="71">
        <v>0</v>
      </c>
      <c r="F35" s="346">
        <v>0</v>
      </c>
      <c r="G35" s="72">
        <f t="shared" si="0"/>
        <v>0</v>
      </c>
      <c r="H35" s="71">
        <v>0</v>
      </c>
      <c r="I35" s="6">
        <v>0</v>
      </c>
      <c r="J35" s="72">
        <f t="shared" si="1"/>
        <v>0</v>
      </c>
      <c r="K35" s="72">
        <f t="shared" si="2"/>
        <v>0</v>
      </c>
      <c r="L35" s="170">
        <v>0</v>
      </c>
      <c r="M35" s="156">
        <f t="shared" si="4"/>
        <v>47651.889860000018</v>
      </c>
      <c r="N35" s="6"/>
    </row>
    <row r="36" spans="1:17">
      <c r="A36" s="6">
        <v>36</v>
      </c>
      <c r="B36" s="84"/>
      <c r="C36" s="6"/>
      <c r="D36" s="6"/>
      <c r="E36" s="71">
        <v>0</v>
      </c>
      <c r="F36" s="346">
        <v>0</v>
      </c>
      <c r="G36" s="72">
        <f t="shared" si="0"/>
        <v>0</v>
      </c>
      <c r="H36" s="71">
        <v>0</v>
      </c>
      <c r="I36" s="6">
        <v>0</v>
      </c>
      <c r="J36" s="72">
        <f t="shared" si="1"/>
        <v>0</v>
      </c>
      <c r="K36" s="72">
        <f t="shared" si="2"/>
        <v>0</v>
      </c>
      <c r="L36" s="170">
        <v>0</v>
      </c>
      <c r="M36" s="156">
        <f t="shared" si="4"/>
        <v>47651.889860000018</v>
      </c>
      <c r="N36" s="6"/>
    </row>
    <row r="37" spans="1:17">
      <c r="A37" s="6">
        <v>37</v>
      </c>
      <c r="B37" s="84"/>
      <c r="C37" s="6"/>
      <c r="D37" s="6"/>
      <c r="E37" s="71">
        <v>0</v>
      </c>
      <c r="F37" s="346">
        <v>0</v>
      </c>
      <c r="G37" s="72">
        <f t="shared" si="0"/>
        <v>0</v>
      </c>
      <c r="H37" s="71">
        <v>0</v>
      </c>
      <c r="I37" s="6">
        <v>0</v>
      </c>
      <c r="J37" s="72">
        <f t="shared" si="1"/>
        <v>0</v>
      </c>
      <c r="K37" s="72">
        <f t="shared" si="2"/>
        <v>0</v>
      </c>
      <c r="L37" s="170">
        <v>0</v>
      </c>
      <c r="M37" s="156">
        <f t="shared" si="4"/>
        <v>47651.889860000018</v>
      </c>
      <c r="N37" s="6"/>
    </row>
    <row r="38" spans="1:17">
      <c r="A38" s="6">
        <v>38</v>
      </c>
      <c r="B38" s="84"/>
      <c r="C38" s="6"/>
      <c r="D38" s="6"/>
      <c r="E38" s="71">
        <v>0</v>
      </c>
      <c r="F38" s="346">
        <v>0</v>
      </c>
      <c r="G38" s="72">
        <f t="shared" si="0"/>
        <v>0</v>
      </c>
      <c r="H38" s="71">
        <v>0</v>
      </c>
      <c r="I38" s="6">
        <v>0</v>
      </c>
      <c r="J38" s="72">
        <f t="shared" si="1"/>
        <v>0</v>
      </c>
      <c r="K38" s="72">
        <f t="shared" si="2"/>
        <v>0</v>
      </c>
      <c r="L38" s="170">
        <v>0</v>
      </c>
      <c r="M38" s="156">
        <f t="shared" si="4"/>
        <v>47651.889860000018</v>
      </c>
      <c r="N38" s="6"/>
    </row>
    <row r="39" spans="1:17">
      <c r="A39" s="178">
        <v>39</v>
      </c>
      <c r="B39" s="179"/>
      <c r="C39" s="178"/>
      <c r="D39" s="6"/>
      <c r="E39" s="71">
        <v>0</v>
      </c>
      <c r="F39" s="346">
        <v>0</v>
      </c>
      <c r="G39" s="72">
        <f t="shared" si="0"/>
        <v>0</v>
      </c>
      <c r="H39" s="71">
        <v>0</v>
      </c>
      <c r="I39" s="6">
        <v>0</v>
      </c>
      <c r="J39" s="72">
        <f t="shared" si="1"/>
        <v>0</v>
      </c>
      <c r="K39" s="72">
        <f t="shared" si="2"/>
        <v>0</v>
      </c>
      <c r="L39" s="170">
        <v>0</v>
      </c>
      <c r="M39" s="156">
        <f t="shared" si="4"/>
        <v>47651.889860000018</v>
      </c>
      <c r="N39" s="178"/>
    </row>
    <row r="40" spans="1:17">
      <c r="A40" s="6">
        <v>40</v>
      </c>
      <c r="B40" s="6"/>
      <c r="C40" s="6"/>
      <c r="D40" s="6"/>
      <c r="E40" s="71">
        <v>0</v>
      </c>
      <c r="F40" s="346">
        <v>0</v>
      </c>
      <c r="G40" s="72">
        <f t="shared" si="0"/>
        <v>0</v>
      </c>
      <c r="H40" s="71">
        <v>0</v>
      </c>
      <c r="I40" s="6">
        <v>0</v>
      </c>
      <c r="J40" s="72">
        <f t="shared" si="1"/>
        <v>0</v>
      </c>
      <c r="K40" s="72">
        <f t="shared" si="2"/>
        <v>0</v>
      </c>
      <c r="L40" s="170">
        <v>0</v>
      </c>
      <c r="M40" s="156">
        <v>0</v>
      </c>
      <c r="N40" s="6"/>
    </row>
    <row r="41" spans="1:17">
      <c r="A41" s="178">
        <v>41</v>
      </c>
      <c r="B41" s="178"/>
      <c r="C41" s="178"/>
      <c r="D41" s="6"/>
      <c r="E41" s="71">
        <v>0</v>
      </c>
      <c r="F41" s="346">
        <v>0</v>
      </c>
      <c r="G41" s="72">
        <f t="shared" si="0"/>
        <v>0</v>
      </c>
      <c r="H41" s="71">
        <v>0</v>
      </c>
      <c r="I41" s="6">
        <v>0</v>
      </c>
      <c r="J41" s="72">
        <f t="shared" si="1"/>
        <v>0</v>
      </c>
      <c r="K41" s="72">
        <f t="shared" si="2"/>
        <v>0</v>
      </c>
      <c r="L41" s="170">
        <v>0</v>
      </c>
      <c r="M41" s="182">
        <v>0</v>
      </c>
      <c r="N41" s="178"/>
    </row>
    <row r="42" spans="1:17">
      <c r="A42" s="178">
        <v>42</v>
      </c>
      <c r="B42" s="178"/>
      <c r="C42" s="178"/>
      <c r="D42" s="6"/>
      <c r="E42" s="71">
        <v>0</v>
      </c>
      <c r="F42" s="6">
        <v>0</v>
      </c>
      <c r="G42" s="72">
        <f t="shared" ref="G42" si="5">E42*F42</f>
        <v>0</v>
      </c>
      <c r="H42" s="71">
        <v>0</v>
      </c>
      <c r="I42" s="6">
        <v>0</v>
      </c>
      <c r="J42" s="72">
        <f t="shared" ref="J42" si="6">H42*I42</f>
        <v>0</v>
      </c>
      <c r="K42" s="180">
        <f t="shared" ref="K42" si="7">G42+J42</f>
        <v>0</v>
      </c>
      <c r="L42" s="181">
        <f t="shared" ref="L42" si="8">+K42</f>
        <v>0</v>
      </c>
      <c r="M42" s="182">
        <v>0</v>
      </c>
      <c r="N42" s="178"/>
    </row>
    <row r="43" spans="1:17">
      <c r="A43" s="68"/>
      <c r="B43" s="68"/>
      <c r="C43" s="68"/>
      <c r="D43" s="68"/>
      <c r="E43" s="69">
        <f>SUM(E4:E42)</f>
        <v>181.38</v>
      </c>
      <c r="F43" s="69"/>
      <c r="G43" s="69">
        <f>SUM(G4:G42)</f>
        <v>16618.035600000003</v>
      </c>
      <c r="H43" s="69">
        <f>SUM(H4:H42)</f>
        <v>72.167999999999992</v>
      </c>
      <c r="I43" s="69"/>
      <c r="J43" s="69">
        <f>SUM(J4:J42)</f>
        <v>7507.4529599999987</v>
      </c>
      <c r="K43" s="69">
        <f>SUM(K4:K42)</f>
        <v>24125.488559999998</v>
      </c>
      <c r="L43" s="69">
        <f>SUM(L4:L42)</f>
        <v>0</v>
      </c>
      <c r="M43" s="69"/>
      <c r="N43" s="69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Z44"/>
  <sheetViews>
    <sheetView workbookViewId="0">
      <pane ySplit="2" topLeftCell="A3" activePane="bottomLeft" state="frozen"/>
      <selection pane="bottomLeft" activeCell="L32" sqref="L32"/>
    </sheetView>
  </sheetViews>
  <sheetFormatPr defaultRowHeight="15"/>
  <cols>
    <col min="1" max="1" width="5.140625" bestFit="1" customWidth="1"/>
    <col min="2" max="2" width="9.57031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56" t="s">
        <v>93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88"/>
    </row>
    <row r="2" spans="1:15" ht="16.5" customHeight="1">
      <c r="A2" s="104" t="s">
        <v>95</v>
      </c>
      <c r="B2" s="105" t="s">
        <v>96</v>
      </c>
      <c r="C2" s="105" t="s">
        <v>97</v>
      </c>
      <c r="D2" s="105" t="s">
        <v>111</v>
      </c>
      <c r="E2" s="105" t="s">
        <v>99</v>
      </c>
      <c r="F2" s="105" t="s">
        <v>100</v>
      </c>
      <c r="G2" s="105" t="s">
        <v>101</v>
      </c>
      <c r="H2" s="105" t="s">
        <v>102</v>
      </c>
      <c r="I2" s="105" t="s">
        <v>100</v>
      </c>
      <c r="J2" s="145" t="s">
        <v>101</v>
      </c>
      <c r="K2" s="106" t="s">
        <v>103</v>
      </c>
      <c r="L2" s="146" t="s">
        <v>104</v>
      </c>
      <c r="M2" s="150" t="s">
        <v>110</v>
      </c>
      <c r="N2" s="107" t="s">
        <v>106</v>
      </c>
      <c r="O2" s="65"/>
    </row>
    <row r="3" spans="1:15" ht="16.5" customHeight="1">
      <c r="A3" s="452" t="s">
        <v>107</v>
      </c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7"/>
      <c r="M3" s="155">
        <v>0</v>
      </c>
      <c r="N3" s="164"/>
      <c r="O3" s="65"/>
    </row>
    <row r="4" spans="1:15">
      <c r="A4" s="208">
        <v>1</v>
      </c>
      <c r="B4" s="233">
        <v>45962</v>
      </c>
      <c r="C4" s="73"/>
      <c r="D4" s="167"/>
      <c r="E4" s="71">
        <v>0</v>
      </c>
      <c r="F4" s="71">
        <v>0</v>
      </c>
      <c r="G4" s="8">
        <f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f>+K4</f>
        <v>0</v>
      </c>
      <c r="M4" s="74">
        <v>0</v>
      </c>
      <c r="N4" s="8"/>
    </row>
    <row r="5" spans="1:15">
      <c r="A5" s="50">
        <v>2</v>
      </c>
      <c r="B5" s="233">
        <v>45963</v>
      </c>
      <c r="C5" s="73"/>
      <c r="D5" s="167"/>
      <c r="E5" s="71">
        <v>0</v>
      </c>
      <c r="F5" s="71">
        <v>0</v>
      </c>
      <c r="G5" s="8">
        <f t="shared" ref="G5:G34" si="0">E5*F5</f>
        <v>0</v>
      </c>
      <c r="H5" s="71">
        <v>0</v>
      </c>
      <c r="I5" s="72">
        <v>0</v>
      </c>
      <c r="J5" s="8">
        <f t="shared" ref="J5:J8" si="1">H5*I5</f>
        <v>0</v>
      </c>
      <c r="K5" s="8">
        <f t="shared" ref="K5:K33" si="2">G5+J5</f>
        <v>0</v>
      </c>
      <c r="L5" s="74">
        <f t="shared" ref="L5:L33" si="3">+K5</f>
        <v>0</v>
      </c>
      <c r="M5" s="74">
        <v>0</v>
      </c>
      <c r="N5" s="8"/>
    </row>
    <row r="6" spans="1:15">
      <c r="A6" s="50">
        <v>3</v>
      </c>
      <c r="B6" s="233">
        <v>45964</v>
      </c>
      <c r="C6" s="73"/>
      <c r="D6" s="167"/>
      <c r="E6" s="71">
        <v>0</v>
      </c>
      <c r="F6" s="71">
        <v>0</v>
      </c>
      <c r="G6" s="8">
        <f t="shared" si="0"/>
        <v>0</v>
      </c>
      <c r="H6" s="71">
        <v>0</v>
      </c>
      <c r="I6" s="72">
        <v>0</v>
      </c>
      <c r="J6" s="8">
        <f t="shared" si="1"/>
        <v>0</v>
      </c>
      <c r="K6" s="8">
        <f t="shared" si="2"/>
        <v>0</v>
      </c>
      <c r="L6" s="74">
        <f t="shared" si="3"/>
        <v>0</v>
      </c>
      <c r="M6" s="74">
        <v>0</v>
      </c>
      <c r="N6" s="8"/>
    </row>
    <row r="7" spans="1:15">
      <c r="A7" s="50">
        <v>4</v>
      </c>
      <c r="B7" s="233">
        <v>45965</v>
      </c>
      <c r="C7" s="73"/>
      <c r="D7" s="167"/>
      <c r="E7" s="71">
        <v>0</v>
      </c>
      <c r="F7" s="71">
        <v>0</v>
      </c>
      <c r="G7" s="8">
        <f t="shared" si="0"/>
        <v>0</v>
      </c>
      <c r="H7" s="71">
        <v>0</v>
      </c>
      <c r="I7" s="72">
        <v>0</v>
      </c>
      <c r="J7" s="8">
        <f t="shared" ref="J7" si="4">H7*I7</f>
        <v>0</v>
      </c>
      <c r="K7" s="8">
        <f t="shared" si="2"/>
        <v>0</v>
      </c>
      <c r="L7" s="74">
        <f t="shared" si="3"/>
        <v>0</v>
      </c>
      <c r="M7" s="74">
        <v>0</v>
      </c>
      <c r="N7" s="8"/>
    </row>
    <row r="8" spans="1:15">
      <c r="A8" s="50">
        <v>5</v>
      </c>
      <c r="B8" s="233">
        <v>45966</v>
      </c>
      <c r="C8" s="73"/>
      <c r="D8" s="167"/>
      <c r="E8" s="71">
        <v>0</v>
      </c>
      <c r="F8" s="71">
        <v>0</v>
      </c>
      <c r="G8" s="8">
        <f t="shared" si="0"/>
        <v>0</v>
      </c>
      <c r="H8" s="71">
        <v>0</v>
      </c>
      <c r="I8" s="72">
        <v>0</v>
      </c>
      <c r="J8" s="8">
        <f t="shared" si="1"/>
        <v>0</v>
      </c>
      <c r="K8" s="8">
        <f t="shared" si="2"/>
        <v>0</v>
      </c>
      <c r="L8" s="74">
        <f t="shared" si="3"/>
        <v>0</v>
      </c>
      <c r="M8" s="74">
        <v>0</v>
      </c>
      <c r="N8" s="8"/>
      <c r="O8" s="75"/>
    </row>
    <row r="9" spans="1:15">
      <c r="A9" s="50">
        <v>6</v>
      </c>
      <c r="B9" s="233">
        <v>45967</v>
      </c>
      <c r="C9" s="73"/>
      <c r="D9" s="167"/>
      <c r="E9" s="71">
        <v>0</v>
      </c>
      <c r="F9" s="71">
        <v>0</v>
      </c>
      <c r="G9" s="8">
        <f t="shared" si="0"/>
        <v>0</v>
      </c>
      <c r="H9" s="71">
        <v>8.59</v>
      </c>
      <c r="I9" s="72">
        <v>102.46</v>
      </c>
      <c r="J9" s="8">
        <f t="shared" ref="J9:J34" si="5">H9*I9</f>
        <v>880.13139999999999</v>
      </c>
      <c r="K9" s="8">
        <f t="shared" si="2"/>
        <v>880.13139999999999</v>
      </c>
      <c r="L9" s="74">
        <f t="shared" si="3"/>
        <v>880.13139999999999</v>
      </c>
      <c r="M9" s="74">
        <v>0</v>
      </c>
      <c r="N9" s="8"/>
      <c r="O9" s="75"/>
    </row>
    <row r="10" spans="1:15">
      <c r="A10" s="50">
        <v>7</v>
      </c>
      <c r="B10" s="233">
        <v>45968</v>
      </c>
      <c r="C10" s="73"/>
      <c r="D10" s="167"/>
      <c r="E10" s="71">
        <v>0</v>
      </c>
      <c r="F10" s="71">
        <v>0</v>
      </c>
      <c r="G10" s="8">
        <f t="shared" si="0"/>
        <v>0</v>
      </c>
      <c r="H10" s="71">
        <v>0</v>
      </c>
      <c r="I10" s="72">
        <v>0</v>
      </c>
      <c r="J10" s="8">
        <f t="shared" si="5"/>
        <v>0</v>
      </c>
      <c r="K10" s="8">
        <f t="shared" si="2"/>
        <v>0</v>
      </c>
      <c r="L10" s="74">
        <f t="shared" si="3"/>
        <v>0</v>
      </c>
      <c r="M10" s="74">
        <v>0</v>
      </c>
      <c r="N10" s="8"/>
      <c r="O10" s="75"/>
    </row>
    <row r="11" spans="1:15">
      <c r="A11" s="50">
        <v>8</v>
      </c>
      <c r="B11" s="233">
        <v>45969</v>
      </c>
      <c r="C11" s="73"/>
      <c r="D11" s="167"/>
      <c r="E11" s="71">
        <v>0</v>
      </c>
      <c r="F11" s="71">
        <v>0</v>
      </c>
      <c r="G11" s="8">
        <f t="shared" si="0"/>
        <v>0</v>
      </c>
      <c r="H11" s="71">
        <v>0</v>
      </c>
      <c r="I11" s="72">
        <v>0</v>
      </c>
      <c r="J11" s="8">
        <f t="shared" si="5"/>
        <v>0</v>
      </c>
      <c r="K11" s="8">
        <f t="shared" si="2"/>
        <v>0</v>
      </c>
      <c r="L11" s="74">
        <f t="shared" si="3"/>
        <v>0</v>
      </c>
      <c r="M11" s="74">
        <v>0</v>
      </c>
      <c r="N11" s="8"/>
      <c r="O11" s="75"/>
    </row>
    <row r="12" spans="1:15">
      <c r="A12" s="50">
        <v>9</v>
      </c>
      <c r="B12" s="233">
        <v>45970</v>
      </c>
      <c r="C12" s="73"/>
      <c r="D12" s="167"/>
      <c r="E12" s="71">
        <v>0</v>
      </c>
      <c r="F12" s="71">
        <v>0</v>
      </c>
      <c r="G12" s="8">
        <f t="shared" si="0"/>
        <v>0</v>
      </c>
      <c r="H12" s="71">
        <v>0</v>
      </c>
      <c r="I12" s="72">
        <v>0</v>
      </c>
      <c r="J12" s="8">
        <f t="shared" si="5"/>
        <v>0</v>
      </c>
      <c r="K12" s="8">
        <f t="shared" si="2"/>
        <v>0</v>
      </c>
      <c r="L12" s="74">
        <f t="shared" si="3"/>
        <v>0</v>
      </c>
      <c r="M12" s="74">
        <v>0</v>
      </c>
      <c r="N12" s="8"/>
      <c r="O12" s="75"/>
    </row>
    <row r="13" spans="1:15">
      <c r="A13" s="50">
        <v>10</v>
      </c>
      <c r="B13" s="233">
        <v>45971</v>
      </c>
      <c r="C13" s="73"/>
      <c r="D13" s="167"/>
      <c r="E13" s="71">
        <v>0</v>
      </c>
      <c r="F13" s="71">
        <v>0</v>
      </c>
      <c r="G13" s="8">
        <f t="shared" si="0"/>
        <v>0</v>
      </c>
      <c r="H13" s="71">
        <v>0</v>
      </c>
      <c r="I13" s="72">
        <v>0</v>
      </c>
      <c r="J13" s="8">
        <f t="shared" si="5"/>
        <v>0</v>
      </c>
      <c r="K13" s="8">
        <f t="shared" si="2"/>
        <v>0</v>
      </c>
      <c r="L13" s="74">
        <f t="shared" si="3"/>
        <v>0</v>
      </c>
      <c r="M13" s="74">
        <v>0</v>
      </c>
      <c r="N13" s="8"/>
      <c r="O13" s="75"/>
    </row>
    <row r="14" spans="1:15">
      <c r="A14" s="50">
        <v>11</v>
      </c>
      <c r="B14" s="233">
        <v>45972</v>
      </c>
      <c r="C14" s="73"/>
      <c r="D14" s="167"/>
      <c r="E14" s="71">
        <v>0</v>
      </c>
      <c r="F14" s="71">
        <v>0</v>
      </c>
      <c r="G14" s="8">
        <f t="shared" si="0"/>
        <v>0</v>
      </c>
      <c r="H14" s="71">
        <v>0</v>
      </c>
      <c r="I14" s="72">
        <v>0</v>
      </c>
      <c r="J14" s="8">
        <f t="shared" si="5"/>
        <v>0</v>
      </c>
      <c r="K14" s="8">
        <f t="shared" si="2"/>
        <v>0</v>
      </c>
      <c r="L14" s="74">
        <f t="shared" si="3"/>
        <v>0</v>
      </c>
      <c r="M14" s="74">
        <v>0</v>
      </c>
      <c r="N14" s="8"/>
      <c r="O14" s="75"/>
    </row>
    <row r="15" spans="1:15">
      <c r="A15" s="50">
        <v>12</v>
      </c>
      <c r="B15" s="233">
        <v>45973</v>
      </c>
      <c r="C15" s="73"/>
      <c r="D15" s="167"/>
      <c r="E15" s="71">
        <v>0</v>
      </c>
      <c r="F15" s="71">
        <v>0</v>
      </c>
      <c r="G15" s="8">
        <f t="shared" si="0"/>
        <v>0</v>
      </c>
      <c r="H15" s="71">
        <v>0</v>
      </c>
      <c r="I15" s="72">
        <v>0</v>
      </c>
      <c r="J15" s="8">
        <f t="shared" si="5"/>
        <v>0</v>
      </c>
      <c r="K15" s="8">
        <f t="shared" si="2"/>
        <v>0</v>
      </c>
      <c r="L15" s="74">
        <f t="shared" si="3"/>
        <v>0</v>
      </c>
      <c r="M15" s="74">
        <v>0</v>
      </c>
      <c r="N15" s="8"/>
      <c r="O15" s="75"/>
    </row>
    <row r="16" spans="1:15">
      <c r="A16" s="50">
        <v>13</v>
      </c>
      <c r="B16" s="233">
        <v>45974</v>
      </c>
      <c r="C16" s="73"/>
      <c r="D16" s="167"/>
      <c r="E16" s="71">
        <v>0</v>
      </c>
      <c r="F16" s="71">
        <v>0</v>
      </c>
      <c r="G16" s="8">
        <f t="shared" si="0"/>
        <v>0</v>
      </c>
      <c r="H16" s="71">
        <v>0</v>
      </c>
      <c r="I16" s="72">
        <v>0</v>
      </c>
      <c r="J16" s="8">
        <f t="shared" si="5"/>
        <v>0</v>
      </c>
      <c r="K16" s="8">
        <f t="shared" si="2"/>
        <v>0</v>
      </c>
      <c r="L16" s="74">
        <f t="shared" si="3"/>
        <v>0</v>
      </c>
      <c r="M16" s="74">
        <v>0</v>
      </c>
      <c r="N16" s="8"/>
      <c r="O16" s="75"/>
    </row>
    <row r="17" spans="1:26">
      <c r="A17" s="50">
        <v>14</v>
      </c>
      <c r="B17" s="233">
        <v>45975</v>
      </c>
      <c r="C17" s="73"/>
      <c r="D17" s="167"/>
      <c r="E17" s="71">
        <v>0</v>
      </c>
      <c r="F17" s="71">
        <v>0</v>
      </c>
      <c r="G17" s="8">
        <f t="shared" si="0"/>
        <v>0</v>
      </c>
      <c r="H17" s="71">
        <v>0</v>
      </c>
      <c r="I17" s="72">
        <v>0</v>
      </c>
      <c r="J17" s="8">
        <f t="shared" si="5"/>
        <v>0</v>
      </c>
      <c r="K17" s="8">
        <f t="shared" si="2"/>
        <v>0</v>
      </c>
      <c r="L17" s="74">
        <f t="shared" si="3"/>
        <v>0</v>
      </c>
      <c r="M17" s="74">
        <v>0</v>
      </c>
      <c r="N17" s="8"/>
      <c r="O17" s="75"/>
    </row>
    <row r="18" spans="1:26">
      <c r="A18" s="50">
        <v>15</v>
      </c>
      <c r="B18" s="233">
        <v>45976</v>
      </c>
      <c r="C18" s="73"/>
      <c r="D18" s="167"/>
      <c r="E18" s="71">
        <v>0</v>
      </c>
      <c r="F18" s="71">
        <v>0</v>
      </c>
      <c r="G18" s="8">
        <f t="shared" si="0"/>
        <v>0</v>
      </c>
      <c r="H18" s="71">
        <v>0</v>
      </c>
      <c r="I18" s="72">
        <v>0</v>
      </c>
      <c r="J18" s="8">
        <f t="shared" si="5"/>
        <v>0</v>
      </c>
      <c r="K18" s="8">
        <f t="shared" si="2"/>
        <v>0</v>
      </c>
      <c r="L18" s="74">
        <f t="shared" si="3"/>
        <v>0</v>
      </c>
      <c r="M18" s="74">
        <v>0</v>
      </c>
      <c r="N18" s="8"/>
      <c r="O18" s="75"/>
    </row>
    <row r="19" spans="1:26">
      <c r="A19" s="50">
        <v>16</v>
      </c>
      <c r="B19" s="233">
        <v>45977</v>
      </c>
      <c r="C19" s="73"/>
      <c r="D19" s="167"/>
      <c r="E19" s="71">
        <v>0</v>
      </c>
      <c r="F19" s="71">
        <v>0</v>
      </c>
      <c r="G19" s="8">
        <f t="shared" si="0"/>
        <v>0</v>
      </c>
      <c r="H19" s="71">
        <v>0</v>
      </c>
      <c r="I19" s="72">
        <v>0</v>
      </c>
      <c r="J19" s="8">
        <f t="shared" si="5"/>
        <v>0</v>
      </c>
      <c r="K19" s="8">
        <f t="shared" si="2"/>
        <v>0</v>
      </c>
      <c r="L19" s="74">
        <f>+K19</f>
        <v>0</v>
      </c>
      <c r="M19" s="74">
        <v>0</v>
      </c>
      <c r="N19" s="8"/>
      <c r="O19" s="75"/>
    </row>
    <row r="20" spans="1:26">
      <c r="A20" s="50">
        <v>17</v>
      </c>
      <c r="B20" s="233">
        <v>45978</v>
      </c>
      <c r="C20" s="73"/>
      <c r="D20" s="167"/>
      <c r="E20" s="71">
        <v>0</v>
      </c>
      <c r="F20" s="71">
        <v>0</v>
      </c>
      <c r="G20" s="8">
        <f t="shared" si="0"/>
        <v>0</v>
      </c>
      <c r="H20" s="71">
        <v>9.25</v>
      </c>
      <c r="I20" s="72">
        <v>102.46</v>
      </c>
      <c r="J20" s="8">
        <f t="shared" si="5"/>
        <v>947.755</v>
      </c>
      <c r="K20" s="8">
        <f t="shared" si="2"/>
        <v>947.755</v>
      </c>
      <c r="L20" s="74">
        <f t="shared" si="3"/>
        <v>947.755</v>
      </c>
      <c r="M20" s="74">
        <v>0</v>
      </c>
      <c r="N20" s="8"/>
      <c r="O20" s="75"/>
    </row>
    <row r="21" spans="1:26">
      <c r="A21" s="50">
        <v>18</v>
      </c>
      <c r="B21" s="233">
        <v>45979</v>
      </c>
      <c r="C21" s="73"/>
      <c r="D21" s="167"/>
      <c r="E21" s="71">
        <v>0</v>
      </c>
      <c r="F21" s="71">
        <v>0</v>
      </c>
      <c r="G21" s="8">
        <f t="shared" si="0"/>
        <v>0</v>
      </c>
      <c r="H21" s="71">
        <v>0</v>
      </c>
      <c r="I21" s="72">
        <v>0</v>
      </c>
      <c r="J21" s="8">
        <f t="shared" si="5"/>
        <v>0</v>
      </c>
      <c r="K21" s="8">
        <f t="shared" si="2"/>
        <v>0</v>
      </c>
      <c r="L21" s="74">
        <f t="shared" si="3"/>
        <v>0</v>
      </c>
      <c r="M21" s="74">
        <v>0</v>
      </c>
      <c r="N21" s="8"/>
      <c r="O21" s="75"/>
      <c r="Q21">
        <v>18</v>
      </c>
      <c r="R21">
        <v>335.74</v>
      </c>
      <c r="S21">
        <v>97.43</v>
      </c>
      <c r="T21">
        <f>R21*S21</f>
        <v>32711.148200000003</v>
      </c>
      <c r="V21">
        <v>5.56</v>
      </c>
      <c r="W21">
        <v>109.61</v>
      </c>
      <c r="X21">
        <f>V21*W21</f>
        <v>609.4316</v>
      </c>
      <c r="Y21">
        <f>T21+X21</f>
        <v>33320.579800000007</v>
      </c>
      <c r="Z21" t="s">
        <v>197</v>
      </c>
    </row>
    <row r="22" spans="1:26">
      <c r="A22" s="50">
        <v>19</v>
      </c>
      <c r="B22" s="233">
        <v>45980</v>
      </c>
      <c r="C22" s="73"/>
      <c r="D22" s="167"/>
      <c r="E22" s="71">
        <v>0</v>
      </c>
      <c r="F22" s="71">
        <v>0</v>
      </c>
      <c r="G22" s="8">
        <f t="shared" si="0"/>
        <v>0</v>
      </c>
      <c r="H22" s="71">
        <v>0</v>
      </c>
      <c r="I22" s="72">
        <v>0</v>
      </c>
      <c r="J22" s="8">
        <f t="shared" si="5"/>
        <v>0</v>
      </c>
      <c r="K22" s="8">
        <f t="shared" si="2"/>
        <v>0</v>
      </c>
      <c r="L22" s="74">
        <f t="shared" si="3"/>
        <v>0</v>
      </c>
      <c r="M22" s="74">
        <v>0</v>
      </c>
      <c r="N22" s="8"/>
      <c r="O22" s="75"/>
      <c r="Q22">
        <v>19</v>
      </c>
      <c r="R22">
        <v>0</v>
      </c>
      <c r="T22">
        <f>R22*S22</f>
        <v>0</v>
      </c>
      <c r="V22">
        <v>0</v>
      </c>
      <c r="X22">
        <f t="shared" ref="X22:X25" si="6">V22*W22</f>
        <v>0</v>
      </c>
      <c r="Y22">
        <f t="shared" ref="Y22:Y24" si="7">T22+X22</f>
        <v>0</v>
      </c>
      <c r="Z22" t="s">
        <v>197</v>
      </c>
    </row>
    <row r="23" spans="1:26">
      <c r="A23" s="50">
        <v>20</v>
      </c>
      <c r="B23" s="233">
        <v>45981</v>
      </c>
      <c r="C23" s="73"/>
      <c r="D23" s="167"/>
      <c r="E23" s="71">
        <v>0</v>
      </c>
      <c r="F23" s="71">
        <v>0</v>
      </c>
      <c r="G23" s="8">
        <f t="shared" si="0"/>
        <v>0</v>
      </c>
      <c r="H23" s="71">
        <v>0</v>
      </c>
      <c r="I23" s="72">
        <v>0</v>
      </c>
      <c r="J23" s="8">
        <f t="shared" si="5"/>
        <v>0</v>
      </c>
      <c r="K23" s="8">
        <f t="shared" si="2"/>
        <v>0</v>
      </c>
      <c r="L23" s="74">
        <f t="shared" si="3"/>
        <v>0</v>
      </c>
      <c r="M23" s="74">
        <v>0</v>
      </c>
      <c r="N23" s="8"/>
      <c r="O23" s="75"/>
      <c r="Q23">
        <v>20</v>
      </c>
      <c r="R23">
        <v>61.58</v>
      </c>
      <c r="S23">
        <v>97.43</v>
      </c>
      <c r="T23">
        <f t="shared" ref="T23:T25" si="8">R23*S23</f>
        <v>5999.7394000000004</v>
      </c>
      <c r="X23">
        <f t="shared" si="6"/>
        <v>0</v>
      </c>
      <c r="Y23">
        <f t="shared" si="7"/>
        <v>5999.7394000000004</v>
      </c>
      <c r="Z23" t="s">
        <v>197</v>
      </c>
    </row>
    <row r="24" spans="1:26">
      <c r="A24" s="50">
        <v>21</v>
      </c>
      <c r="B24" s="233">
        <v>45982</v>
      </c>
      <c r="C24" s="73"/>
      <c r="D24" s="167"/>
      <c r="E24" s="71">
        <v>0</v>
      </c>
      <c r="F24" s="71">
        <v>0</v>
      </c>
      <c r="G24" s="8">
        <f t="shared" si="0"/>
        <v>0</v>
      </c>
      <c r="H24" s="71">
        <v>0</v>
      </c>
      <c r="I24" s="72">
        <v>0</v>
      </c>
      <c r="J24" s="8">
        <f t="shared" si="5"/>
        <v>0</v>
      </c>
      <c r="K24" s="8">
        <f t="shared" si="2"/>
        <v>0</v>
      </c>
      <c r="L24" s="74">
        <f t="shared" si="3"/>
        <v>0</v>
      </c>
      <c r="M24" s="74">
        <v>0</v>
      </c>
      <c r="N24" s="8"/>
      <c r="O24" s="75"/>
      <c r="Q24">
        <v>23</v>
      </c>
      <c r="R24">
        <v>200</v>
      </c>
      <c r="S24">
        <v>97.76</v>
      </c>
      <c r="T24">
        <f t="shared" si="8"/>
        <v>19552</v>
      </c>
      <c r="X24">
        <f t="shared" si="6"/>
        <v>0</v>
      </c>
      <c r="Y24">
        <f t="shared" si="7"/>
        <v>19552</v>
      </c>
      <c r="Z24" t="s">
        <v>198</v>
      </c>
    </row>
    <row r="25" spans="1:26">
      <c r="A25" s="50">
        <v>22</v>
      </c>
      <c r="B25" s="233">
        <v>45983</v>
      </c>
      <c r="C25" s="73"/>
      <c r="D25" s="167"/>
      <c r="E25" s="71">
        <v>0</v>
      </c>
      <c r="F25" s="71">
        <v>0</v>
      </c>
      <c r="G25" s="8">
        <f t="shared" si="0"/>
        <v>0</v>
      </c>
      <c r="H25" s="71">
        <v>0</v>
      </c>
      <c r="I25" s="72">
        <v>0</v>
      </c>
      <c r="J25" s="8">
        <f t="shared" si="5"/>
        <v>0</v>
      </c>
      <c r="K25" s="8">
        <f t="shared" si="2"/>
        <v>0</v>
      </c>
      <c r="L25" s="74">
        <f t="shared" si="3"/>
        <v>0</v>
      </c>
      <c r="M25" s="74">
        <v>0</v>
      </c>
      <c r="N25" s="8"/>
      <c r="O25" s="75"/>
      <c r="Q25">
        <v>24</v>
      </c>
      <c r="R25">
        <v>98.62</v>
      </c>
      <c r="S25">
        <v>97.43</v>
      </c>
      <c r="T25">
        <f t="shared" si="8"/>
        <v>9608.5466000000015</v>
      </c>
      <c r="V25">
        <v>5.83</v>
      </c>
      <c r="W25">
        <v>109.61</v>
      </c>
      <c r="X25">
        <f t="shared" si="6"/>
        <v>639.02629999999999</v>
      </c>
      <c r="Y25">
        <f>T25+X25</f>
        <v>10247.572900000001</v>
      </c>
    </row>
    <row r="26" spans="1:26">
      <c r="A26" s="50">
        <v>23</v>
      </c>
      <c r="B26" s="233">
        <v>45984</v>
      </c>
      <c r="C26" s="73"/>
      <c r="D26" s="167"/>
      <c r="E26" s="71">
        <v>0</v>
      </c>
      <c r="F26" s="71">
        <v>0</v>
      </c>
      <c r="G26" s="8">
        <f t="shared" si="0"/>
        <v>0</v>
      </c>
      <c r="H26" s="71">
        <v>0</v>
      </c>
      <c r="I26" s="72">
        <v>0</v>
      </c>
      <c r="J26" s="8">
        <f t="shared" si="5"/>
        <v>0</v>
      </c>
      <c r="K26" s="8">
        <f t="shared" si="2"/>
        <v>0</v>
      </c>
      <c r="L26" s="74">
        <f t="shared" si="3"/>
        <v>0</v>
      </c>
      <c r="M26" s="74">
        <v>0</v>
      </c>
      <c r="N26" s="8"/>
      <c r="O26" s="75"/>
    </row>
    <row r="27" spans="1:26">
      <c r="A27" s="50">
        <v>24</v>
      </c>
      <c r="B27" s="233">
        <v>45985</v>
      </c>
      <c r="C27" s="73"/>
      <c r="D27" s="167"/>
      <c r="E27" s="71">
        <v>0</v>
      </c>
      <c r="F27" s="71">
        <v>0</v>
      </c>
      <c r="G27" s="8">
        <f t="shared" si="0"/>
        <v>0</v>
      </c>
      <c r="H27" s="71">
        <v>0</v>
      </c>
      <c r="I27" s="72">
        <v>0</v>
      </c>
      <c r="J27" s="8">
        <f t="shared" si="5"/>
        <v>0</v>
      </c>
      <c r="K27" s="8">
        <f t="shared" si="2"/>
        <v>0</v>
      </c>
      <c r="L27" s="74">
        <f t="shared" si="3"/>
        <v>0</v>
      </c>
      <c r="M27" s="74">
        <v>0</v>
      </c>
      <c r="N27" s="8"/>
      <c r="O27" s="75"/>
    </row>
    <row r="28" spans="1:26">
      <c r="A28" s="235">
        <v>25</v>
      </c>
      <c r="B28" s="233">
        <v>45986</v>
      </c>
      <c r="C28" s="73"/>
      <c r="D28" s="167"/>
      <c r="E28" s="71">
        <v>0</v>
      </c>
      <c r="F28" s="71">
        <v>0</v>
      </c>
      <c r="G28" s="8">
        <f t="shared" si="0"/>
        <v>0</v>
      </c>
      <c r="H28" s="71">
        <v>0</v>
      </c>
      <c r="I28" s="72">
        <v>0</v>
      </c>
      <c r="J28" s="8">
        <f t="shared" si="5"/>
        <v>0</v>
      </c>
      <c r="K28" s="8">
        <f t="shared" si="2"/>
        <v>0</v>
      </c>
      <c r="L28" s="74">
        <f t="shared" si="3"/>
        <v>0</v>
      </c>
      <c r="M28" s="74">
        <v>0</v>
      </c>
      <c r="N28" s="8"/>
      <c r="O28" s="75"/>
    </row>
    <row r="29" spans="1:26">
      <c r="A29" s="235">
        <v>26</v>
      </c>
      <c r="B29" s="233">
        <v>45987</v>
      </c>
      <c r="C29" s="73"/>
      <c r="D29" s="167"/>
      <c r="E29" s="71">
        <v>0</v>
      </c>
      <c r="F29" s="71">
        <v>0</v>
      </c>
      <c r="G29" s="8">
        <f t="shared" si="0"/>
        <v>0</v>
      </c>
      <c r="H29" s="71">
        <v>0</v>
      </c>
      <c r="I29" s="72">
        <v>0</v>
      </c>
      <c r="J29" s="8">
        <f t="shared" si="5"/>
        <v>0</v>
      </c>
      <c r="K29" s="8">
        <f t="shared" si="2"/>
        <v>0</v>
      </c>
      <c r="L29" s="74">
        <f t="shared" si="3"/>
        <v>0</v>
      </c>
      <c r="M29" s="74">
        <v>0</v>
      </c>
      <c r="N29" s="8"/>
      <c r="O29" s="75"/>
    </row>
    <row r="30" spans="1:26">
      <c r="A30" s="235">
        <v>27</v>
      </c>
      <c r="B30" s="233">
        <v>45988</v>
      </c>
      <c r="C30" s="73"/>
      <c r="D30" s="167"/>
      <c r="E30" s="71">
        <v>0</v>
      </c>
      <c r="F30" s="71">
        <v>0</v>
      </c>
      <c r="G30" s="8">
        <f t="shared" si="0"/>
        <v>0</v>
      </c>
      <c r="H30" s="71">
        <v>0</v>
      </c>
      <c r="I30" s="72">
        <v>0</v>
      </c>
      <c r="J30" s="8">
        <f t="shared" si="5"/>
        <v>0</v>
      </c>
      <c r="K30" s="8">
        <f t="shared" si="2"/>
        <v>0</v>
      </c>
      <c r="L30" s="74">
        <f t="shared" si="3"/>
        <v>0</v>
      </c>
      <c r="M30" s="74">
        <v>0</v>
      </c>
      <c r="N30" s="8"/>
      <c r="O30" s="75"/>
    </row>
    <row r="31" spans="1:26">
      <c r="A31" s="235">
        <v>28</v>
      </c>
      <c r="B31" s="233">
        <v>45989</v>
      </c>
      <c r="C31" s="73"/>
      <c r="D31" s="167"/>
      <c r="E31" s="71">
        <v>0</v>
      </c>
      <c r="F31" s="71">
        <v>0</v>
      </c>
      <c r="G31" s="8">
        <f t="shared" si="0"/>
        <v>0</v>
      </c>
      <c r="H31" s="71">
        <v>0</v>
      </c>
      <c r="I31" s="72">
        <v>0</v>
      </c>
      <c r="J31" s="8">
        <f t="shared" si="5"/>
        <v>0</v>
      </c>
      <c r="K31" s="8">
        <f t="shared" si="2"/>
        <v>0</v>
      </c>
      <c r="L31" s="74">
        <f t="shared" si="3"/>
        <v>0</v>
      </c>
      <c r="M31" s="74">
        <v>0</v>
      </c>
      <c r="N31" s="8"/>
      <c r="O31" s="75"/>
    </row>
    <row r="32" spans="1:26">
      <c r="A32" s="236">
        <v>29</v>
      </c>
      <c r="B32" s="233">
        <v>45990</v>
      </c>
      <c r="C32" s="73"/>
      <c r="D32" s="167"/>
      <c r="E32" s="71">
        <v>0</v>
      </c>
      <c r="F32" s="71">
        <v>0</v>
      </c>
      <c r="G32" s="8">
        <f t="shared" si="0"/>
        <v>0</v>
      </c>
      <c r="H32" s="71">
        <v>9.48</v>
      </c>
      <c r="I32" s="72">
        <v>102.46</v>
      </c>
      <c r="J32" s="8">
        <f t="shared" si="5"/>
        <v>971.32079999999996</v>
      </c>
      <c r="K32" s="8">
        <f t="shared" si="2"/>
        <v>971.32079999999996</v>
      </c>
      <c r="L32" s="74">
        <f t="shared" si="3"/>
        <v>971.32079999999996</v>
      </c>
      <c r="M32" s="74">
        <v>0</v>
      </c>
      <c r="N32" s="8"/>
      <c r="O32" s="75"/>
    </row>
    <row r="33" spans="1:15">
      <c r="A33" s="236">
        <v>30</v>
      </c>
      <c r="B33" s="233">
        <v>45991</v>
      </c>
      <c r="C33" s="73"/>
      <c r="D33" s="167"/>
      <c r="E33" s="71">
        <v>0</v>
      </c>
      <c r="F33" s="71">
        <v>0</v>
      </c>
      <c r="G33" s="8">
        <f t="shared" si="0"/>
        <v>0</v>
      </c>
      <c r="H33" s="71">
        <v>0</v>
      </c>
      <c r="I33" s="72">
        <v>0</v>
      </c>
      <c r="J33" s="8">
        <f t="shared" si="5"/>
        <v>0</v>
      </c>
      <c r="K33" s="8">
        <f t="shared" si="2"/>
        <v>0</v>
      </c>
      <c r="L33" s="74">
        <f t="shared" si="3"/>
        <v>0</v>
      </c>
      <c r="M33" s="74">
        <v>0</v>
      </c>
      <c r="N33" s="8"/>
      <c r="O33" s="75"/>
    </row>
    <row r="34" spans="1:15">
      <c r="A34" s="236">
        <v>31</v>
      </c>
      <c r="B34" s="233"/>
      <c r="C34" s="73"/>
      <c r="D34" s="167"/>
      <c r="E34" s="71">
        <v>0</v>
      </c>
      <c r="F34" s="71">
        <v>0</v>
      </c>
      <c r="G34" s="8">
        <f t="shared" si="0"/>
        <v>0</v>
      </c>
      <c r="H34" s="71">
        <v>0</v>
      </c>
      <c r="I34" s="72">
        <v>0</v>
      </c>
      <c r="J34" s="8">
        <f t="shared" si="5"/>
        <v>0</v>
      </c>
      <c r="K34" s="8">
        <f t="shared" ref="K34" si="9">G34+J34</f>
        <v>0</v>
      </c>
      <c r="L34" s="74">
        <f t="shared" ref="L34" si="10">+K34</f>
        <v>0</v>
      </c>
      <c r="M34" s="74">
        <v>0</v>
      </c>
      <c r="N34" s="8"/>
      <c r="O34" s="75"/>
    </row>
    <row r="35" spans="1:15">
      <c r="A35" s="68"/>
      <c r="B35" s="68"/>
      <c r="C35" s="68"/>
      <c r="D35" s="68"/>
      <c r="E35" s="69">
        <f>SUM(E4:E34)</f>
        <v>0</v>
      </c>
      <c r="F35" s="69"/>
      <c r="G35" s="69">
        <f>SUM(G4:G34)</f>
        <v>0</v>
      </c>
      <c r="H35" s="69">
        <f>SUM(H4:H34)</f>
        <v>27.32</v>
      </c>
      <c r="I35" s="69"/>
      <c r="J35" s="69">
        <f>SUM(J4:J34)</f>
        <v>2799.2071999999998</v>
      </c>
      <c r="K35" s="69">
        <f>SUM(K4:K34)</f>
        <v>2799.2071999999998</v>
      </c>
      <c r="L35" s="69">
        <f>SUM(L4:L34)</f>
        <v>2799.2071999999998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58"/>
      <c r="C43" s="458"/>
      <c r="D43" s="458"/>
      <c r="E43" s="458"/>
      <c r="F43" s="75"/>
      <c r="G43" s="75"/>
      <c r="H43" s="75"/>
      <c r="I43" s="458"/>
      <c r="J43" s="458"/>
      <c r="K43" s="458"/>
      <c r="L43" s="458"/>
      <c r="M43" s="458"/>
      <c r="N43" s="458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86"/>
  <sheetViews>
    <sheetView workbookViewId="0">
      <pane ySplit="4" topLeftCell="A5" activePane="bottomLeft" state="frozen"/>
      <selection pane="bottomLeft" activeCell="M17" sqref="M17"/>
    </sheetView>
  </sheetViews>
  <sheetFormatPr defaultRowHeight="15"/>
  <cols>
    <col min="2" max="2" width="16.28515625" customWidth="1"/>
    <col min="3" max="3" width="57.5703125" bestFit="1" customWidth="1"/>
    <col min="4" max="4" width="15.5703125" customWidth="1"/>
    <col min="5" max="5" width="12.28515625" style="195" customWidth="1"/>
    <col min="6" max="6" width="12.85546875" style="195" customWidth="1"/>
    <col min="7" max="7" width="12.5703125" style="195" bestFit="1" customWidth="1"/>
    <col min="8" max="8" width="12.5703125" style="195" customWidth="1"/>
    <col min="9" max="10" width="9.140625" style="195"/>
    <col min="11" max="11" width="18.7109375" style="195" customWidth="1"/>
    <col min="12" max="12" width="24.140625" style="195" customWidth="1"/>
    <col min="13" max="13" width="16.5703125" style="195" customWidth="1"/>
    <col min="14" max="14" width="19.85546875" style="195" customWidth="1"/>
    <col min="15" max="15" width="13.42578125" style="195" customWidth="1"/>
    <col min="16" max="21" width="9.140625" style="195"/>
  </cols>
  <sheetData>
    <row r="1" spans="1:15" ht="15.75">
      <c r="A1" s="262" t="s">
        <v>199</v>
      </c>
      <c r="B1" s="262"/>
      <c r="C1" s="262"/>
      <c r="D1" s="262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5" ht="26.25" customHeight="1">
      <c r="A2" s="70" t="s">
        <v>95</v>
      </c>
      <c r="B2" s="89" t="s">
        <v>96</v>
      </c>
      <c r="C2" s="89" t="s">
        <v>200</v>
      </c>
      <c r="D2" s="89" t="s">
        <v>201</v>
      </c>
      <c r="E2" s="306" t="s">
        <v>99</v>
      </c>
      <c r="F2" s="306" t="s">
        <v>100</v>
      </c>
      <c r="G2" s="307" t="s">
        <v>101</v>
      </c>
      <c r="H2" s="306" t="s">
        <v>102</v>
      </c>
      <c r="I2" s="306" t="s">
        <v>100</v>
      </c>
      <c r="J2" s="307" t="s">
        <v>101</v>
      </c>
      <c r="K2" s="308" t="s">
        <v>103</v>
      </c>
      <c r="L2" s="309" t="s">
        <v>202</v>
      </c>
      <c r="M2" s="310" t="s">
        <v>110</v>
      </c>
      <c r="N2" s="306" t="s">
        <v>106</v>
      </c>
      <c r="O2" s="306" t="s">
        <v>203</v>
      </c>
    </row>
    <row r="3" spans="1:15" ht="15.75">
      <c r="A3" s="263" t="s">
        <v>107</v>
      </c>
      <c r="B3" s="263"/>
      <c r="C3" s="263"/>
      <c r="D3" s="263"/>
      <c r="E3" s="311"/>
      <c r="F3" s="311"/>
      <c r="G3" s="311"/>
      <c r="H3" s="311"/>
      <c r="I3" s="311"/>
      <c r="J3" s="311"/>
      <c r="K3" s="336">
        <v>237673.04</v>
      </c>
      <c r="L3" s="336"/>
      <c r="M3" s="336"/>
      <c r="N3" s="312"/>
      <c r="O3" s="313"/>
    </row>
    <row r="4" spans="1:15">
      <c r="A4" s="332">
        <v>1</v>
      </c>
      <c r="B4" s="373" t="s">
        <v>163</v>
      </c>
      <c r="C4" s="110" t="s">
        <v>204</v>
      </c>
      <c r="D4" s="175" t="s">
        <v>205</v>
      </c>
      <c r="E4" s="314"/>
      <c r="F4" s="314"/>
      <c r="G4" s="314">
        <f>E4*F4</f>
        <v>0</v>
      </c>
      <c r="H4" s="110">
        <v>4.6500000000000004</v>
      </c>
      <c r="I4" s="110">
        <v>107.46</v>
      </c>
      <c r="J4" s="314">
        <f>H4*I4</f>
        <v>499.68900000000002</v>
      </c>
      <c r="K4" s="314">
        <f t="shared" ref="K4:K9" si="0">G4+J4</f>
        <v>499.68900000000002</v>
      </c>
      <c r="L4" s="315"/>
      <c r="M4" s="331">
        <f>K3+L4-K4</f>
        <v>237173.351</v>
      </c>
      <c r="N4" s="331"/>
      <c r="O4" s="315"/>
    </row>
    <row r="5" spans="1:15">
      <c r="A5" s="103">
        <v>2</v>
      </c>
      <c r="B5" s="373" t="s">
        <v>185</v>
      </c>
      <c r="C5" s="110" t="s">
        <v>206</v>
      </c>
      <c r="D5" s="110" t="s">
        <v>207</v>
      </c>
      <c r="E5" s="110">
        <v>30.29</v>
      </c>
      <c r="F5" s="110">
        <v>95.73</v>
      </c>
      <c r="G5" s="314">
        <f t="shared" ref="G5:G59" si="1">E5*F5</f>
        <v>2899.6617000000001</v>
      </c>
      <c r="H5" s="110"/>
      <c r="I5" s="110"/>
      <c r="J5" s="314">
        <f t="shared" ref="J5:J63" si="2">H5*I5</f>
        <v>0</v>
      </c>
      <c r="K5" s="314">
        <f t="shared" si="0"/>
        <v>2899.6617000000001</v>
      </c>
      <c r="L5" s="315"/>
      <c r="M5" s="317">
        <f>M4+L5-K5</f>
        <v>234273.6893</v>
      </c>
      <c r="N5" s="317"/>
      <c r="O5" s="314"/>
    </row>
    <row r="6" spans="1:15">
      <c r="A6" s="103">
        <v>3</v>
      </c>
      <c r="B6" s="373" t="s">
        <v>185</v>
      </c>
      <c r="C6" s="175" t="s">
        <v>208</v>
      </c>
      <c r="D6" s="110" t="s">
        <v>209</v>
      </c>
      <c r="E6" s="110">
        <v>38.369999999999997</v>
      </c>
      <c r="F6" s="110">
        <v>91.48</v>
      </c>
      <c r="G6" s="314">
        <f t="shared" si="1"/>
        <v>3510.0875999999998</v>
      </c>
      <c r="H6" s="110"/>
      <c r="I6" s="110"/>
      <c r="J6" s="314">
        <f t="shared" si="2"/>
        <v>0</v>
      </c>
      <c r="K6" s="314">
        <f t="shared" si="0"/>
        <v>3510.0875999999998</v>
      </c>
      <c r="L6" s="315"/>
      <c r="M6" s="317">
        <f t="shared" ref="M6:M76" si="3">M5+L6-K6</f>
        <v>230763.6017</v>
      </c>
      <c r="N6" s="317"/>
      <c r="O6" s="314"/>
    </row>
    <row r="7" spans="1:15">
      <c r="A7" s="332">
        <v>4</v>
      </c>
      <c r="B7" s="373" t="s">
        <v>210</v>
      </c>
      <c r="C7" s="17" t="s">
        <v>211</v>
      </c>
      <c r="D7" s="175" t="s">
        <v>207</v>
      </c>
      <c r="E7" s="110">
        <v>26.2</v>
      </c>
      <c r="F7" s="110">
        <v>95.43</v>
      </c>
      <c r="G7" s="314">
        <f t="shared" si="1"/>
        <v>2500.2660000000001</v>
      </c>
      <c r="H7" s="110"/>
      <c r="I7" s="110"/>
      <c r="J7" s="314">
        <f t="shared" si="2"/>
        <v>0</v>
      </c>
      <c r="K7" s="314">
        <f t="shared" si="0"/>
        <v>2500.2660000000001</v>
      </c>
      <c r="L7" s="315">
        <v>400000</v>
      </c>
      <c r="M7" s="317">
        <f t="shared" si="3"/>
        <v>628263.33570000005</v>
      </c>
      <c r="N7" s="317"/>
      <c r="O7" s="314"/>
    </row>
    <row r="8" spans="1:15">
      <c r="A8" s="103">
        <v>5</v>
      </c>
      <c r="B8" s="373" t="s">
        <v>210</v>
      </c>
      <c r="C8" s="175" t="s">
        <v>212</v>
      </c>
      <c r="D8" s="175" t="s">
        <v>213</v>
      </c>
      <c r="E8" s="314">
        <v>0</v>
      </c>
      <c r="F8" s="314">
        <v>0</v>
      </c>
      <c r="G8" s="314">
        <f t="shared" si="1"/>
        <v>0</v>
      </c>
      <c r="H8" s="110">
        <v>18</v>
      </c>
      <c r="I8" s="110">
        <v>103.18</v>
      </c>
      <c r="J8" s="314">
        <f t="shared" si="2"/>
        <v>1857.2400000000002</v>
      </c>
      <c r="K8" s="314">
        <f t="shared" si="0"/>
        <v>1857.2400000000002</v>
      </c>
      <c r="L8" s="315"/>
      <c r="M8" s="317">
        <f t="shared" si="3"/>
        <v>626406.09570000006</v>
      </c>
      <c r="N8" s="317"/>
      <c r="O8" s="314"/>
    </row>
    <row r="9" spans="1:15">
      <c r="A9" s="103">
        <v>6</v>
      </c>
      <c r="B9" s="373" t="s">
        <v>210</v>
      </c>
      <c r="C9" s="175" t="s">
        <v>214</v>
      </c>
      <c r="D9" s="175" t="s">
        <v>215</v>
      </c>
      <c r="E9" s="314">
        <v>50.96</v>
      </c>
      <c r="F9" s="314">
        <v>92.22</v>
      </c>
      <c r="G9" s="314">
        <f t="shared" si="1"/>
        <v>4699.5312000000004</v>
      </c>
      <c r="H9" s="110"/>
      <c r="I9" s="110"/>
      <c r="J9" s="314">
        <f t="shared" si="2"/>
        <v>0</v>
      </c>
      <c r="K9" s="314">
        <f t="shared" si="0"/>
        <v>4699.5312000000004</v>
      </c>
      <c r="L9" s="315"/>
      <c r="M9" s="317">
        <f>M8+L9-K9</f>
        <v>621706.56450000009</v>
      </c>
      <c r="N9" s="317"/>
      <c r="O9" s="314"/>
    </row>
    <row r="10" spans="1:15">
      <c r="A10" s="332">
        <v>7</v>
      </c>
      <c r="B10" s="373" t="s">
        <v>210</v>
      </c>
      <c r="C10" s="175" t="s">
        <v>216</v>
      </c>
      <c r="D10" s="175" t="s">
        <v>213</v>
      </c>
      <c r="E10" s="314">
        <v>5475.25</v>
      </c>
      <c r="F10" s="314">
        <v>91.32</v>
      </c>
      <c r="G10" s="314">
        <f t="shared" si="1"/>
        <v>499999.82999999996</v>
      </c>
      <c r="H10" s="110"/>
      <c r="I10" s="110"/>
      <c r="J10" s="314">
        <f t="shared" si="2"/>
        <v>0</v>
      </c>
      <c r="K10" s="314">
        <f t="shared" ref="K10:K70" si="4">G10+J10</f>
        <v>499999.82999999996</v>
      </c>
      <c r="L10" s="315"/>
      <c r="M10" s="317">
        <f t="shared" si="3"/>
        <v>121706.73450000014</v>
      </c>
      <c r="N10" s="342"/>
      <c r="O10" s="316"/>
    </row>
    <row r="11" spans="1:15">
      <c r="A11" s="103">
        <v>8</v>
      </c>
      <c r="B11" s="373" t="s">
        <v>115</v>
      </c>
      <c r="C11" s="398" t="s">
        <v>217</v>
      </c>
      <c r="D11" s="110" t="s">
        <v>209</v>
      </c>
      <c r="E11" s="110">
        <v>33.57</v>
      </c>
      <c r="F11" s="110">
        <v>90.6</v>
      </c>
      <c r="G11" s="314">
        <f t="shared" si="1"/>
        <v>3041.442</v>
      </c>
      <c r="H11" s="110"/>
      <c r="I11" s="110"/>
      <c r="J11" s="314">
        <f t="shared" si="2"/>
        <v>0</v>
      </c>
      <c r="K11" s="314">
        <f t="shared" si="4"/>
        <v>3041.442</v>
      </c>
      <c r="L11" s="315"/>
      <c r="M11" s="317">
        <f t="shared" si="3"/>
        <v>118665.29250000014</v>
      </c>
      <c r="N11" s="342"/>
      <c r="O11" s="316"/>
    </row>
    <row r="12" spans="1:15">
      <c r="A12" s="103">
        <v>9</v>
      </c>
      <c r="B12" s="373" t="s">
        <v>115</v>
      </c>
      <c r="C12" s="398" t="s">
        <v>218</v>
      </c>
      <c r="D12" s="110" t="s">
        <v>219</v>
      </c>
      <c r="E12" s="110">
        <v>35.85</v>
      </c>
      <c r="F12" s="110">
        <v>97.64</v>
      </c>
      <c r="G12" s="314">
        <f t="shared" si="1"/>
        <v>3500.3940000000002</v>
      </c>
      <c r="H12" s="110"/>
      <c r="I12" s="110"/>
      <c r="J12" s="314">
        <f t="shared" si="2"/>
        <v>0</v>
      </c>
      <c r="K12" s="314">
        <f t="shared" si="4"/>
        <v>3500.3940000000002</v>
      </c>
      <c r="L12" s="315"/>
      <c r="M12" s="317">
        <f t="shared" si="3"/>
        <v>115164.89850000014</v>
      </c>
      <c r="N12" s="342"/>
      <c r="O12" s="316"/>
    </row>
    <row r="13" spans="1:15">
      <c r="A13" s="332">
        <v>10</v>
      </c>
      <c r="B13" s="373" t="s">
        <v>117</v>
      </c>
      <c r="C13" s="110" t="s">
        <v>220</v>
      </c>
      <c r="D13" s="110" t="s">
        <v>219</v>
      </c>
      <c r="E13" s="110"/>
      <c r="F13" s="110"/>
      <c r="G13" s="314">
        <f>E13*F13</f>
        <v>0</v>
      </c>
      <c r="H13" s="110">
        <v>10</v>
      </c>
      <c r="I13" s="110">
        <v>108.66</v>
      </c>
      <c r="J13" s="315">
        <f t="shared" si="2"/>
        <v>1086.5999999999999</v>
      </c>
      <c r="K13" s="314">
        <f t="shared" si="4"/>
        <v>1086.5999999999999</v>
      </c>
      <c r="L13" s="315"/>
      <c r="M13" s="317">
        <f t="shared" si="3"/>
        <v>114078.29850000014</v>
      </c>
      <c r="N13" s="317"/>
      <c r="O13" s="314"/>
    </row>
    <row r="14" spans="1:15">
      <c r="A14" s="103">
        <v>11</v>
      </c>
      <c r="B14" s="373" t="s">
        <v>117</v>
      </c>
      <c r="C14" s="175" t="s">
        <v>221</v>
      </c>
      <c r="D14" s="110" t="s">
        <v>219</v>
      </c>
      <c r="E14" s="314"/>
      <c r="F14" s="314"/>
      <c r="G14" s="314">
        <f t="shared" si="1"/>
        <v>0</v>
      </c>
      <c r="H14" s="110">
        <v>10</v>
      </c>
      <c r="I14" s="110">
        <v>109.83</v>
      </c>
      <c r="J14" s="315">
        <f t="shared" si="2"/>
        <v>1098.3</v>
      </c>
      <c r="K14" s="314">
        <f t="shared" si="4"/>
        <v>1098.3</v>
      </c>
      <c r="L14" s="315"/>
      <c r="M14" s="317">
        <f t="shared" si="3"/>
        <v>112979.99850000013</v>
      </c>
      <c r="N14" s="317"/>
      <c r="O14" s="314"/>
    </row>
    <row r="15" spans="1:15">
      <c r="A15" s="103">
        <v>12</v>
      </c>
      <c r="B15" s="373" t="s">
        <v>117</v>
      </c>
      <c r="C15" s="110" t="s">
        <v>222</v>
      </c>
      <c r="D15" s="110" t="s">
        <v>223</v>
      </c>
      <c r="E15" s="314">
        <v>539.99</v>
      </c>
      <c r="F15" s="314">
        <v>90.88</v>
      </c>
      <c r="G15" s="314">
        <f t="shared" si="1"/>
        <v>49074.2912</v>
      </c>
      <c r="H15" s="110"/>
      <c r="I15" s="110"/>
      <c r="J15" s="315">
        <f t="shared" si="2"/>
        <v>0</v>
      </c>
      <c r="K15" s="314">
        <f t="shared" si="4"/>
        <v>49074.2912</v>
      </c>
      <c r="L15" s="315"/>
      <c r="M15" s="317">
        <f t="shared" si="3"/>
        <v>63905.707300000133</v>
      </c>
      <c r="N15" s="317"/>
      <c r="O15" s="314"/>
    </row>
    <row r="16" spans="1:15">
      <c r="A16" s="332">
        <v>13</v>
      </c>
      <c r="B16" s="373" t="s">
        <v>122</v>
      </c>
      <c r="C16" s="110" t="s">
        <v>224</v>
      </c>
      <c r="D16" s="110" t="s">
        <v>205</v>
      </c>
      <c r="E16" s="314"/>
      <c r="F16" s="314"/>
      <c r="G16" s="314">
        <f t="shared" si="1"/>
        <v>0</v>
      </c>
      <c r="H16" s="110">
        <v>1.86</v>
      </c>
      <c r="I16" s="110">
        <v>107.46</v>
      </c>
      <c r="J16" s="314">
        <f t="shared" si="2"/>
        <v>199.87559999999999</v>
      </c>
      <c r="K16" s="314">
        <f t="shared" si="4"/>
        <v>199.87559999999999</v>
      </c>
      <c r="L16" s="315"/>
      <c r="M16" s="317">
        <f t="shared" si="3"/>
        <v>63705.831700000133</v>
      </c>
      <c r="N16" s="317"/>
      <c r="O16" s="314"/>
    </row>
    <row r="17" spans="1:15">
      <c r="A17" s="103">
        <v>14</v>
      </c>
      <c r="B17" s="373" t="s">
        <v>122</v>
      </c>
      <c r="C17" s="110" t="s">
        <v>225</v>
      </c>
      <c r="D17" s="110" t="s">
        <v>209</v>
      </c>
      <c r="E17" s="314">
        <v>44</v>
      </c>
      <c r="F17" s="314">
        <v>91.77</v>
      </c>
      <c r="G17" s="314">
        <f t="shared" si="1"/>
        <v>4037.8799999999997</v>
      </c>
      <c r="H17" s="110"/>
      <c r="I17" s="110"/>
      <c r="J17" s="314">
        <f t="shared" si="2"/>
        <v>0</v>
      </c>
      <c r="K17" s="314">
        <f t="shared" si="4"/>
        <v>4037.8799999999997</v>
      </c>
      <c r="L17" s="315"/>
      <c r="M17" s="317">
        <f t="shared" si="3"/>
        <v>59667.951700000136</v>
      </c>
      <c r="N17" s="317"/>
      <c r="O17" s="314"/>
    </row>
    <row r="18" spans="1:15">
      <c r="A18" s="103">
        <v>15</v>
      </c>
      <c r="B18" s="373" t="s">
        <v>122</v>
      </c>
      <c r="C18" s="17" t="s">
        <v>226</v>
      </c>
      <c r="D18" s="175" t="s">
        <v>227</v>
      </c>
      <c r="E18" s="314">
        <v>312.33999999999997</v>
      </c>
      <c r="F18" s="314">
        <v>96.05</v>
      </c>
      <c r="G18" s="314">
        <f t="shared" si="1"/>
        <v>30000.256999999998</v>
      </c>
      <c r="H18" s="110"/>
      <c r="I18" s="110"/>
      <c r="J18" s="314">
        <f t="shared" si="2"/>
        <v>0</v>
      </c>
      <c r="K18" s="314">
        <f t="shared" si="4"/>
        <v>30000.256999999998</v>
      </c>
      <c r="L18" s="315"/>
      <c r="M18" s="317">
        <f t="shared" si="3"/>
        <v>29667.694700000138</v>
      </c>
      <c r="N18" s="317"/>
      <c r="O18" s="314"/>
    </row>
    <row r="19" spans="1:15">
      <c r="A19" s="332">
        <v>16</v>
      </c>
      <c r="B19" s="373" t="s">
        <v>122</v>
      </c>
      <c r="C19" s="175" t="s">
        <v>228</v>
      </c>
      <c r="D19" s="175" t="s">
        <v>219</v>
      </c>
      <c r="E19" s="314"/>
      <c r="F19" s="314"/>
      <c r="G19" s="314">
        <f t="shared" si="1"/>
        <v>0</v>
      </c>
      <c r="H19" s="110">
        <v>38.369999999999997</v>
      </c>
      <c r="I19" s="110">
        <v>108.86</v>
      </c>
      <c r="J19" s="314">
        <f t="shared" si="2"/>
        <v>4176.9582</v>
      </c>
      <c r="K19" s="314">
        <f t="shared" si="4"/>
        <v>4176.9582</v>
      </c>
      <c r="L19" s="315"/>
      <c r="M19" s="317">
        <f t="shared" si="3"/>
        <v>25490.736500000137</v>
      </c>
      <c r="N19" s="342"/>
      <c r="O19" s="316"/>
    </row>
    <row r="20" spans="1:15">
      <c r="A20" s="103">
        <v>17</v>
      </c>
      <c r="B20" s="373" t="s">
        <v>125</v>
      </c>
      <c r="C20" s="398" t="s">
        <v>229</v>
      </c>
      <c r="D20" s="110" t="s">
        <v>219</v>
      </c>
      <c r="E20" s="314">
        <v>39.14</v>
      </c>
      <c r="F20" s="314">
        <v>97.06</v>
      </c>
      <c r="G20" s="314">
        <f t="shared" si="1"/>
        <v>3798.9284000000002</v>
      </c>
      <c r="H20" s="110"/>
      <c r="I20" s="110"/>
      <c r="J20" s="314">
        <f t="shared" si="2"/>
        <v>0</v>
      </c>
      <c r="K20" s="314">
        <f t="shared" si="4"/>
        <v>3798.9284000000002</v>
      </c>
      <c r="L20" s="315"/>
      <c r="M20" s="317">
        <f t="shared" si="3"/>
        <v>21691.808100000137</v>
      </c>
      <c r="N20" s="317"/>
      <c r="O20" s="314"/>
    </row>
    <row r="21" spans="1:15">
      <c r="A21" s="103">
        <v>18</v>
      </c>
      <c r="B21" s="373" t="s">
        <v>125</v>
      </c>
      <c r="C21" s="398" t="s">
        <v>230</v>
      </c>
      <c r="D21" s="110" t="s">
        <v>205</v>
      </c>
      <c r="E21" s="314"/>
      <c r="F21" s="314"/>
      <c r="G21" s="314">
        <f t="shared" si="1"/>
        <v>0</v>
      </c>
      <c r="H21" s="110">
        <v>4.49</v>
      </c>
      <c r="I21" s="110">
        <v>107.46</v>
      </c>
      <c r="J21" s="314">
        <f t="shared" si="2"/>
        <v>482.49540000000002</v>
      </c>
      <c r="K21" s="314">
        <f t="shared" si="4"/>
        <v>482.49540000000002</v>
      </c>
      <c r="L21" s="315"/>
      <c r="M21" s="317">
        <f t="shared" si="3"/>
        <v>21209.312700000137</v>
      </c>
      <c r="N21" s="317"/>
      <c r="O21" s="314"/>
    </row>
    <row r="22" spans="1:15">
      <c r="A22" s="332">
        <v>19</v>
      </c>
      <c r="B22" s="373" t="s">
        <v>231</v>
      </c>
      <c r="C22" s="175" t="s">
        <v>232</v>
      </c>
      <c r="D22" s="110" t="s">
        <v>207</v>
      </c>
      <c r="E22" s="314">
        <v>33.43</v>
      </c>
      <c r="F22" s="314">
        <v>95.73</v>
      </c>
      <c r="G22" s="314">
        <f t="shared" si="1"/>
        <v>3200.2539000000002</v>
      </c>
      <c r="H22" s="110"/>
      <c r="I22" s="110"/>
      <c r="J22" s="314">
        <f t="shared" si="2"/>
        <v>0</v>
      </c>
      <c r="K22" s="314">
        <f t="shared" si="4"/>
        <v>3200.2539000000002</v>
      </c>
      <c r="L22" s="315"/>
      <c r="M22" s="317">
        <f t="shared" si="3"/>
        <v>18009.058800000137</v>
      </c>
      <c r="N22" s="342"/>
      <c r="O22" s="316"/>
    </row>
    <row r="23" spans="1:15">
      <c r="A23" s="103">
        <v>20</v>
      </c>
      <c r="B23" s="373" t="s">
        <v>231</v>
      </c>
      <c r="C23" s="175" t="s">
        <v>233</v>
      </c>
      <c r="D23" s="110" t="s">
        <v>234</v>
      </c>
      <c r="E23" s="314">
        <v>55</v>
      </c>
      <c r="F23" s="314">
        <v>92.19</v>
      </c>
      <c r="G23" s="314">
        <f t="shared" si="1"/>
        <v>5070.45</v>
      </c>
      <c r="H23" s="110">
        <v>5</v>
      </c>
      <c r="I23" s="110">
        <v>104.03</v>
      </c>
      <c r="J23" s="314">
        <f t="shared" si="2"/>
        <v>520.15</v>
      </c>
      <c r="K23" s="314">
        <f t="shared" si="4"/>
        <v>5590.5999999999995</v>
      </c>
      <c r="L23" s="315"/>
      <c r="M23" s="317">
        <f t="shared" si="3"/>
        <v>12418.458800000139</v>
      </c>
      <c r="N23" s="317"/>
      <c r="O23" s="314"/>
    </row>
    <row r="24" spans="1:15">
      <c r="A24" s="103">
        <v>21</v>
      </c>
      <c r="B24" s="373" t="s">
        <v>128</v>
      </c>
      <c r="C24" s="175" t="s">
        <v>235</v>
      </c>
      <c r="D24" s="110" t="s">
        <v>215</v>
      </c>
      <c r="E24" s="314">
        <v>47.16</v>
      </c>
      <c r="F24" s="314">
        <v>92.22</v>
      </c>
      <c r="G24" s="314">
        <f t="shared" si="1"/>
        <v>4349.0951999999997</v>
      </c>
      <c r="H24" s="110"/>
      <c r="I24" s="110"/>
      <c r="J24" s="314">
        <f t="shared" si="2"/>
        <v>0</v>
      </c>
      <c r="K24" s="314">
        <f t="shared" si="4"/>
        <v>4349.0951999999997</v>
      </c>
      <c r="L24" s="315"/>
      <c r="M24" s="317">
        <f>M23+L24-K24</f>
        <v>8069.3636000001388</v>
      </c>
      <c r="N24" s="342"/>
      <c r="O24" s="316"/>
    </row>
    <row r="25" spans="1:15">
      <c r="A25" s="332">
        <v>22</v>
      </c>
      <c r="B25" s="373" t="s">
        <v>130</v>
      </c>
      <c r="C25" s="175" t="s">
        <v>236</v>
      </c>
      <c r="D25" s="110" t="s">
        <v>209</v>
      </c>
      <c r="E25" s="314">
        <v>45</v>
      </c>
      <c r="F25" s="314">
        <v>92.19</v>
      </c>
      <c r="G25" s="314">
        <f t="shared" si="1"/>
        <v>4148.55</v>
      </c>
      <c r="H25" s="110"/>
      <c r="I25" s="110"/>
      <c r="J25" s="314">
        <f t="shared" si="2"/>
        <v>0</v>
      </c>
      <c r="K25" s="314">
        <f t="shared" si="4"/>
        <v>4148.55</v>
      </c>
      <c r="L25" s="315"/>
      <c r="M25" s="317">
        <f t="shared" si="3"/>
        <v>3920.8136000001386</v>
      </c>
      <c r="N25" s="342"/>
      <c r="O25" s="316"/>
    </row>
    <row r="26" spans="1:15">
      <c r="A26" s="103">
        <v>23</v>
      </c>
      <c r="B26" s="373" t="s">
        <v>130</v>
      </c>
      <c r="C26" s="17" t="s">
        <v>233</v>
      </c>
      <c r="D26" s="110" t="s">
        <v>234</v>
      </c>
      <c r="E26" s="314"/>
      <c r="F26" s="314"/>
      <c r="G26" s="314">
        <f t="shared" si="1"/>
        <v>0</v>
      </c>
      <c r="H26" s="110">
        <v>10</v>
      </c>
      <c r="I26" s="110">
        <v>104.03</v>
      </c>
      <c r="J26" s="314">
        <f t="shared" si="2"/>
        <v>1040.3</v>
      </c>
      <c r="K26" s="314">
        <f t="shared" si="4"/>
        <v>1040.3</v>
      </c>
      <c r="L26" s="315"/>
      <c r="M26" s="333">
        <f t="shared" si="3"/>
        <v>2880.5136000001385</v>
      </c>
      <c r="N26" s="314"/>
      <c r="O26" s="314"/>
    </row>
    <row r="27" spans="1:15">
      <c r="A27" s="103">
        <v>24</v>
      </c>
      <c r="B27" s="373" t="s">
        <v>130</v>
      </c>
      <c r="C27" s="17" t="s">
        <v>237</v>
      </c>
      <c r="D27" s="110" t="s">
        <v>219</v>
      </c>
      <c r="E27" s="314">
        <v>5.63</v>
      </c>
      <c r="F27" s="314">
        <v>97.06</v>
      </c>
      <c r="G27" s="314">
        <f t="shared" si="1"/>
        <v>546.44780000000003</v>
      </c>
      <c r="H27" s="110"/>
      <c r="I27" s="110"/>
      <c r="J27" s="314">
        <f t="shared" si="2"/>
        <v>0</v>
      </c>
      <c r="K27" s="314">
        <f t="shared" si="4"/>
        <v>546.44780000000003</v>
      </c>
      <c r="L27" s="315"/>
      <c r="M27" s="317">
        <f t="shared" si="3"/>
        <v>2334.0658000001386</v>
      </c>
      <c r="N27" s="314"/>
      <c r="O27" s="314"/>
    </row>
    <row r="28" spans="1:15">
      <c r="A28" s="332">
        <v>25</v>
      </c>
      <c r="B28" s="373" t="s">
        <v>171</v>
      </c>
      <c r="C28" s="110" t="s">
        <v>238</v>
      </c>
      <c r="D28" s="110" t="s">
        <v>205</v>
      </c>
      <c r="E28" s="314"/>
      <c r="F28" s="314"/>
      <c r="G28" s="314">
        <f t="shared" si="1"/>
        <v>0</v>
      </c>
      <c r="H28" s="110">
        <v>2.79</v>
      </c>
      <c r="I28" s="110">
        <v>107.46</v>
      </c>
      <c r="J28" s="314">
        <f t="shared" si="2"/>
        <v>299.8134</v>
      </c>
      <c r="K28" s="314">
        <f t="shared" si="4"/>
        <v>299.8134</v>
      </c>
      <c r="L28" s="315"/>
      <c r="M28" s="317">
        <f t="shared" si="3"/>
        <v>2034.2524000001386</v>
      </c>
      <c r="N28" s="314"/>
      <c r="O28" s="314"/>
    </row>
    <row r="29" spans="1:15">
      <c r="A29" s="103">
        <v>26</v>
      </c>
      <c r="B29" s="373" t="s">
        <v>171</v>
      </c>
      <c r="C29" s="398" t="s">
        <v>230</v>
      </c>
      <c r="D29" s="110" t="s">
        <v>207</v>
      </c>
      <c r="E29" s="110">
        <v>26.12</v>
      </c>
      <c r="F29" s="110">
        <v>95.7</v>
      </c>
      <c r="G29" s="314">
        <f t="shared" si="1"/>
        <v>2499.6840000000002</v>
      </c>
      <c r="H29" s="110"/>
      <c r="I29" s="110"/>
      <c r="J29" s="314">
        <f t="shared" si="2"/>
        <v>0</v>
      </c>
      <c r="K29" s="314">
        <f t="shared" si="4"/>
        <v>2499.6840000000002</v>
      </c>
      <c r="L29" s="315"/>
      <c r="M29" s="317">
        <f t="shared" si="3"/>
        <v>-465.43159999986165</v>
      </c>
      <c r="N29" s="314"/>
      <c r="O29" s="314"/>
    </row>
    <row r="30" spans="1:15" ht="14.25" customHeight="1">
      <c r="A30" s="103">
        <v>27</v>
      </c>
      <c r="B30" s="373" t="s">
        <v>174</v>
      </c>
      <c r="C30" s="175" t="s">
        <v>239</v>
      </c>
      <c r="D30" s="110" t="s">
        <v>240</v>
      </c>
      <c r="E30" s="314">
        <v>5185.66</v>
      </c>
      <c r="F30" s="314">
        <v>96.42</v>
      </c>
      <c r="G30" s="314">
        <f t="shared" si="1"/>
        <v>500001.33720000001</v>
      </c>
      <c r="H30" s="110"/>
      <c r="I30" s="110"/>
      <c r="J30" s="314">
        <f t="shared" si="2"/>
        <v>0</v>
      </c>
      <c r="K30" s="314">
        <f t="shared" si="4"/>
        <v>500001.33720000001</v>
      </c>
      <c r="L30" s="315">
        <v>1443000</v>
      </c>
      <c r="M30" s="317">
        <f t="shared" si="3"/>
        <v>942533.23120000027</v>
      </c>
      <c r="N30" s="314"/>
      <c r="O30" s="314"/>
    </row>
    <row r="31" spans="1:15">
      <c r="A31" s="332">
        <v>28</v>
      </c>
      <c r="B31" s="373" t="s">
        <v>174</v>
      </c>
      <c r="C31" s="110" t="s">
        <v>238</v>
      </c>
      <c r="D31" s="110" t="s">
        <v>205</v>
      </c>
      <c r="E31" s="314"/>
      <c r="F31" s="314"/>
      <c r="G31" s="314">
        <f t="shared" si="1"/>
        <v>0</v>
      </c>
      <c r="H31" s="110">
        <v>3.72</v>
      </c>
      <c r="I31" s="110">
        <v>107.46</v>
      </c>
      <c r="J31" s="314">
        <f t="shared" si="2"/>
        <v>399.75119999999998</v>
      </c>
      <c r="K31" s="314">
        <f t="shared" si="4"/>
        <v>399.75119999999998</v>
      </c>
      <c r="L31" s="315"/>
      <c r="M31" s="317">
        <f t="shared" si="3"/>
        <v>942133.48000000021</v>
      </c>
      <c r="N31" s="314"/>
      <c r="O31" s="314"/>
    </row>
    <row r="32" spans="1:15">
      <c r="A32" s="103">
        <v>29</v>
      </c>
      <c r="B32" s="373" t="s">
        <v>174</v>
      </c>
      <c r="C32" s="175" t="s">
        <v>216</v>
      </c>
      <c r="D32" s="175" t="s">
        <v>213</v>
      </c>
      <c r="E32" s="314">
        <v>3285.15</v>
      </c>
      <c r="F32" s="314">
        <v>91.32</v>
      </c>
      <c r="G32" s="314">
        <f t="shared" si="1"/>
        <v>299999.89799999999</v>
      </c>
      <c r="H32" s="110"/>
      <c r="I32" s="110"/>
      <c r="J32" s="314">
        <f t="shared" si="2"/>
        <v>0</v>
      </c>
      <c r="K32" s="314">
        <f t="shared" si="4"/>
        <v>299999.89799999999</v>
      </c>
      <c r="L32" s="315"/>
      <c r="M32" s="317">
        <f t="shared" si="3"/>
        <v>642133.58200000017</v>
      </c>
      <c r="N32" s="314"/>
      <c r="O32" s="314"/>
    </row>
    <row r="33" spans="1:15">
      <c r="A33" s="103">
        <v>30</v>
      </c>
      <c r="B33" s="373" t="s">
        <v>174</v>
      </c>
      <c r="C33" s="110" t="s">
        <v>241</v>
      </c>
      <c r="D33" s="110" t="s">
        <v>227</v>
      </c>
      <c r="E33" s="314">
        <v>2558.58</v>
      </c>
      <c r="F33" s="314">
        <v>91.93</v>
      </c>
      <c r="G33" s="314">
        <f t="shared" si="1"/>
        <v>235210.25940000001</v>
      </c>
      <c r="H33" s="110"/>
      <c r="I33" s="110"/>
      <c r="J33" s="314">
        <f t="shared" si="2"/>
        <v>0</v>
      </c>
      <c r="K33" s="314">
        <f t="shared" si="4"/>
        <v>235210.25940000001</v>
      </c>
      <c r="L33" s="315"/>
      <c r="M33" s="333">
        <f t="shared" si="3"/>
        <v>406923.32260000019</v>
      </c>
      <c r="N33" s="318"/>
      <c r="O33" s="318"/>
    </row>
    <row r="34" spans="1:15">
      <c r="A34" s="332">
        <v>31</v>
      </c>
      <c r="B34" s="373" t="s">
        <v>174</v>
      </c>
      <c r="C34" s="175" t="s">
        <v>242</v>
      </c>
      <c r="D34" s="175" t="s">
        <v>227</v>
      </c>
      <c r="E34" s="314">
        <v>1845.02</v>
      </c>
      <c r="F34" s="314">
        <v>91.93</v>
      </c>
      <c r="G34" s="314">
        <f t="shared" si="1"/>
        <v>169612.68860000002</v>
      </c>
      <c r="H34" s="110"/>
      <c r="I34" s="110"/>
      <c r="J34" s="314">
        <f t="shared" si="2"/>
        <v>0</v>
      </c>
      <c r="K34" s="314">
        <f t="shared" si="4"/>
        <v>169612.68860000002</v>
      </c>
      <c r="L34" s="315"/>
      <c r="M34" s="317">
        <f t="shared" si="3"/>
        <v>237310.63400000017</v>
      </c>
      <c r="N34" s="316"/>
      <c r="O34" s="316"/>
    </row>
    <row r="35" spans="1:15">
      <c r="A35" s="103">
        <v>32</v>
      </c>
      <c r="B35" s="373" t="s">
        <v>174</v>
      </c>
      <c r="C35" s="175" t="s">
        <v>243</v>
      </c>
      <c r="D35" s="175" t="s">
        <v>227</v>
      </c>
      <c r="E35" s="314">
        <v>1482</v>
      </c>
      <c r="F35" s="314">
        <v>92.19</v>
      </c>
      <c r="G35" s="314">
        <f t="shared" si="1"/>
        <v>136625.57999999999</v>
      </c>
      <c r="H35" s="110"/>
      <c r="I35" s="110"/>
      <c r="J35" s="314">
        <f t="shared" si="2"/>
        <v>0</v>
      </c>
      <c r="K35" s="314">
        <f t="shared" si="4"/>
        <v>136625.57999999999</v>
      </c>
      <c r="L35" s="315"/>
      <c r="M35" s="317">
        <f t="shared" si="3"/>
        <v>100685.05400000018</v>
      </c>
      <c r="N35" s="316"/>
      <c r="O35" s="316"/>
    </row>
    <row r="36" spans="1:15">
      <c r="A36" s="103">
        <v>33</v>
      </c>
      <c r="B36" s="373" t="s">
        <v>176</v>
      </c>
      <c r="C36" s="175" t="s">
        <v>243</v>
      </c>
      <c r="D36" s="110" t="s">
        <v>234</v>
      </c>
      <c r="E36" s="110">
        <v>35</v>
      </c>
      <c r="F36" s="110">
        <v>92.19</v>
      </c>
      <c r="G36" s="314">
        <f t="shared" si="1"/>
        <v>3226.65</v>
      </c>
      <c r="H36" s="110"/>
      <c r="I36" s="110"/>
      <c r="J36" s="314">
        <f t="shared" si="2"/>
        <v>0</v>
      </c>
      <c r="K36" s="314">
        <f t="shared" si="4"/>
        <v>3226.65</v>
      </c>
      <c r="L36" s="315"/>
      <c r="M36" s="317">
        <f t="shared" ref="M36:M73" si="5">M35+L36-K36</f>
        <v>97458.404000000184</v>
      </c>
      <c r="N36" s="316"/>
      <c r="O36" s="316"/>
    </row>
    <row r="37" spans="1:15">
      <c r="A37" s="332">
        <v>34</v>
      </c>
      <c r="B37" s="373" t="s">
        <v>176</v>
      </c>
      <c r="C37" s="175" t="s">
        <v>225</v>
      </c>
      <c r="D37" s="110" t="s">
        <v>209</v>
      </c>
      <c r="E37" s="110">
        <v>45</v>
      </c>
      <c r="F37" s="110">
        <v>91.77</v>
      </c>
      <c r="G37" s="314">
        <f t="shared" si="1"/>
        <v>4129.6499999999996</v>
      </c>
      <c r="H37" s="110"/>
      <c r="I37" s="110"/>
      <c r="J37" s="314">
        <f t="shared" si="2"/>
        <v>0</v>
      </c>
      <c r="K37" s="314">
        <f t="shared" si="4"/>
        <v>4129.6499999999996</v>
      </c>
      <c r="L37" s="315"/>
      <c r="M37" s="317">
        <f t="shared" si="5"/>
        <v>93328.75400000019</v>
      </c>
      <c r="N37" s="316"/>
      <c r="O37" s="316"/>
    </row>
    <row r="38" spans="1:15">
      <c r="A38" s="103">
        <v>35</v>
      </c>
      <c r="B38" s="373" t="s">
        <v>176</v>
      </c>
      <c r="C38" s="175" t="s">
        <v>214</v>
      </c>
      <c r="D38" s="110" t="s">
        <v>215</v>
      </c>
      <c r="E38" s="110">
        <v>46.63</v>
      </c>
      <c r="F38" s="110">
        <v>92.22</v>
      </c>
      <c r="G38" s="314">
        <f t="shared" si="1"/>
        <v>4300.2186000000002</v>
      </c>
      <c r="H38" s="110"/>
      <c r="I38" s="110"/>
      <c r="J38" s="314">
        <f t="shared" si="2"/>
        <v>0</v>
      </c>
      <c r="K38" s="314">
        <f t="shared" si="4"/>
        <v>4300.2186000000002</v>
      </c>
      <c r="L38" s="315"/>
      <c r="M38" s="317">
        <f t="shared" si="5"/>
        <v>89028.535400000197</v>
      </c>
      <c r="N38" s="316"/>
      <c r="O38" s="316"/>
    </row>
    <row r="39" spans="1:15">
      <c r="A39" s="103">
        <v>36</v>
      </c>
      <c r="B39" s="373" t="s">
        <v>176</v>
      </c>
      <c r="C39" s="175" t="s">
        <v>244</v>
      </c>
      <c r="D39" s="110" t="s">
        <v>227</v>
      </c>
      <c r="E39" s="110">
        <v>546.92999999999995</v>
      </c>
      <c r="F39" s="110">
        <v>91.42</v>
      </c>
      <c r="G39" s="314">
        <f t="shared" si="1"/>
        <v>50000.340599999996</v>
      </c>
      <c r="H39" s="110"/>
      <c r="I39" s="110"/>
      <c r="J39" s="314">
        <f t="shared" si="2"/>
        <v>0</v>
      </c>
      <c r="K39" s="314">
        <f t="shared" si="4"/>
        <v>50000.340599999996</v>
      </c>
      <c r="L39" s="315"/>
      <c r="M39" s="317">
        <f t="shared" si="5"/>
        <v>39028.194800000201</v>
      </c>
      <c r="N39" s="316"/>
      <c r="O39" s="316"/>
    </row>
    <row r="40" spans="1:15">
      <c r="A40" s="332">
        <v>37</v>
      </c>
      <c r="B40" s="373" t="s">
        <v>176</v>
      </c>
      <c r="C40" s="110" t="s">
        <v>233</v>
      </c>
      <c r="D40" s="110" t="s">
        <v>234</v>
      </c>
      <c r="E40" s="110">
        <v>105</v>
      </c>
      <c r="F40" s="110">
        <v>92.19</v>
      </c>
      <c r="G40" s="314">
        <f t="shared" si="1"/>
        <v>9679.9499999999989</v>
      </c>
      <c r="H40" s="110"/>
      <c r="I40" s="110"/>
      <c r="J40" s="314">
        <f t="shared" si="2"/>
        <v>0</v>
      </c>
      <c r="K40" s="314">
        <f t="shared" si="4"/>
        <v>9679.9499999999989</v>
      </c>
      <c r="L40" s="315"/>
      <c r="M40" s="317">
        <f t="shared" si="5"/>
        <v>29348.244800000204</v>
      </c>
      <c r="N40" s="316"/>
      <c r="O40" s="316"/>
    </row>
    <row r="41" spans="1:15">
      <c r="A41" s="385">
        <v>38</v>
      </c>
      <c r="B41" s="373" t="s">
        <v>131</v>
      </c>
      <c r="C41" s="110" t="s">
        <v>245</v>
      </c>
      <c r="D41" s="339" t="s">
        <v>219</v>
      </c>
      <c r="E41" s="339">
        <v>43.67</v>
      </c>
      <c r="F41" s="339">
        <v>97.71</v>
      </c>
      <c r="G41" s="316">
        <f t="shared" si="1"/>
        <v>4266.9956999999995</v>
      </c>
      <c r="H41" s="339"/>
      <c r="I41" s="339"/>
      <c r="J41" s="316">
        <f t="shared" si="2"/>
        <v>0</v>
      </c>
      <c r="K41" s="316">
        <f t="shared" si="4"/>
        <v>4266.9956999999995</v>
      </c>
      <c r="L41" s="315"/>
      <c r="M41" s="317">
        <f t="shared" si="5"/>
        <v>25081.249100000205</v>
      </c>
      <c r="N41" s="314"/>
      <c r="O41" s="314"/>
    </row>
    <row r="42" spans="1:15">
      <c r="A42" s="17">
        <v>39</v>
      </c>
      <c r="B42" s="373" t="s">
        <v>131</v>
      </c>
      <c r="C42" s="399" t="s">
        <v>246</v>
      </c>
      <c r="D42" s="110" t="s">
        <v>209</v>
      </c>
      <c r="E42" s="314">
        <v>0</v>
      </c>
      <c r="F42" s="314">
        <v>0</v>
      </c>
      <c r="G42" s="314">
        <f t="shared" si="1"/>
        <v>0</v>
      </c>
      <c r="H42" s="110">
        <v>30.9</v>
      </c>
      <c r="I42" s="110">
        <v>103.94</v>
      </c>
      <c r="J42" s="314">
        <f t="shared" si="2"/>
        <v>3211.7459999999996</v>
      </c>
      <c r="K42" s="314">
        <f t="shared" si="4"/>
        <v>3211.7459999999996</v>
      </c>
      <c r="L42" s="331"/>
      <c r="M42" s="317">
        <f t="shared" si="5"/>
        <v>21869.503100000205</v>
      </c>
      <c r="N42" s="314"/>
      <c r="O42" s="314"/>
    </row>
    <row r="43" spans="1:15">
      <c r="A43" s="384">
        <v>40</v>
      </c>
      <c r="B43" s="373" t="s">
        <v>131</v>
      </c>
      <c r="C43" s="399" t="s">
        <v>243</v>
      </c>
      <c r="D43" s="110" t="s">
        <v>234</v>
      </c>
      <c r="E43" s="314">
        <v>0</v>
      </c>
      <c r="F43" s="314">
        <v>0</v>
      </c>
      <c r="G43" s="314">
        <f t="shared" si="1"/>
        <v>0</v>
      </c>
      <c r="H43" s="110">
        <v>10</v>
      </c>
      <c r="I43" s="110">
        <v>104.03</v>
      </c>
      <c r="J43" s="314">
        <f>H43*I43</f>
        <v>1040.3</v>
      </c>
      <c r="K43" s="314">
        <f t="shared" si="4"/>
        <v>1040.3</v>
      </c>
      <c r="L43" s="331"/>
      <c r="M43" s="317">
        <f t="shared" si="5"/>
        <v>20829.203100000206</v>
      </c>
      <c r="N43" s="314"/>
      <c r="O43" s="314"/>
    </row>
    <row r="44" spans="1:15">
      <c r="A44" s="17">
        <v>41</v>
      </c>
      <c r="B44" s="373" t="s">
        <v>177</v>
      </c>
      <c r="C44" s="355" t="s">
        <v>247</v>
      </c>
      <c r="D44" s="110" t="s">
        <v>205</v>
      </c>
      <c r="E44" s="110"/>
      <c r="F44" s="110"/>
      <c r="G44" s="314">
        <f t="shared" si="1"/>
        <v>0</v>
      </c>
      <c r="H44" s="110">
        <v>2.88</v>
      </c>
      <c r="I44" s="110">
        <v>107.46</v>
      </c>
      <c r="J44" s="314">
        <f t="shared" si="2"/>
        <v>309.48479999999995</v>
      </c>
      <c r="K44" s="314">
        <f t="shared" si="4"/>
        <v>309.48479999999995</v>
      </c>
      <c r="L44" s="331"/>
      <c r="M44" s="317">
        <f t="shared" si="5"/>
        <v>20519.718300000208</v>
      </c>
      <c r="N44" s="314"/>
      <c r="O44" s="314"/>
    </row>
    <row r="45" spans="1:15">
      <c r="A45" s="17">
        <v>42</v>
      </c>
      <c r="B45" s="373" t="s">
        <v>177</v>
      </c>
      <c r="C45" s="355" t="s">
        <v>248</v>
      </c>
      <c r="D45" s="110" t="s">
        <v>234</v>
      </c>
      <c r="E45" s="110">
        <v>40</v>
      </c>
      <c r="F45" s="110">
        <v>92.19</v>
      </c>
      <c r="G45" s="314">
        <f t="shared" si="1"/>
        <v>3687.6</v>
      </c>
      <c r="H45" s="110"/>
      <c r="I45" s="110"/>
      <c r="J45" s="314">
        <f t="shared" si="2"/>
        <v>0</v>
      </c>
      <c r="K45" s="314">
        <f t="shared" si="4"/>
        <v>3687.6</v>
      </c>
      <c r="L45" s="400"/>
      <c r="M45" s="317">
        <f t="shared" si="5"/>
        <v>16832.118300000209</v>
      </c>
      <c r="N45" s="314"/>
      <c r="O45" s="314"/>
    </row>
    <row r="46" spans="1:15">
      <c r="A46" s="384">
        <v>43</v>
      </c>
      <c r="B46" s="373" t="s">
        <v>177</v>
      </c>
      <c r="C46" s="355" t="s">
        <v>249</v>
      </c>
      <c r="D46" s="110" t="s">
        <v>209</v>
      </c>
      <c r="E46" s="110">
        <v>40</v>
      </c>
      <c r="F46" s="110">
        <v>90.98</v>
      </c>
      <c r="G46" s="314">
        <f>E46*F46</f>
        <v>3639.2000000000003</v>
      </c>
      <c r="H46" s="110"/>
      <c r="I46" s="110"/>
      <c r="J46" s="314">
        <f t="shared" si="2"/>
        <v>0</v>
      </c>
      <c r="K46" s="314">
        <f t="shared" si="4"/>
        <v>3639.2000000000003</v>
      </c>
      <c r="L46" s="331"/>
      <c r="M46" s="342">
        <f t="shared" si="5"/>
        <v>13192.918300000209</v>
      </c>
      <c r="N46" s="314"/>
      <c r="O46" s="314"/>
    </row>
    <row r="47" spans="1:15">
      <c r="A47" s="17">
        <v>44</v>
      </c>
      <c r="B47" s="373" t="s">
        <v>178</v>
      </c>
      <c r="C47" s="355" t="s">
        <v>250</v>
      </c>
      <c r="D47" s="110" t="s">
        <v>213</v>
      </c>
      <c r="E47" s="110">
        <v>4380.2</v>
      </c>
      <c r="F47" s="110">
        <v>91.32</v>
      </c>
      <c r="G47" s="314">
        <f>E47*F47</f>
        <v>399999.86399999994</v>
      </c>
      <c r="H47" s="110"/>
      <c r="I47" s="110"/>
      <c r="J47" s="314">
        <f t="shared" si="2"/>
        <v>0</v>
      </c>
      <c r="K47" s="314">
        <f t="shared" si="4"/>
        <v>399999.86399999994</v>
      </c>
      <c r="L47" s="331">
        <v>1430000</v>
      </c>
      <c r="M47" s="317">
        <f t="shared" si="5"/>
        <v>1043193.0543000003</v>
      </c>
      <c r="N47" s="342"/>
      <c r="O47" s="316"/>
    </row>
    <row r="48" spans="1:15">
      <c r="A48" s="17">
        <v>45</v>
      </c>
      <c r="B48" s="373" t="s">
        <v>178</v>
      </c>
      <c r="C48" s="175" t="s">
        <v>243</v>
      </c>
      <c r="D48" s="343" t="s">
        <v>227</v>
      </c>
      <c r="E48" s="110">
        <v>971.56</v>
      </c>
      <c r="F48" s="110">
        <v>92.19</v>
      </c>
      <c r="G48" s="314">
        <f>E48*F48</f>
        <v>89568.116399999999</v>
      </c>
      <c r="H48" s="110"/>
      <c r="I48" s="110"/>
      <c r="J48" s="314">
        <f t="shared" si="2"/>
        <v>0</v>
      </c>
      <c r="K48" s="314">
        <f t="shared" si="4"/>
        <v>89568.116399999999</v>
      </c>
      <c r="L48" s="331"/>
      <c r="M48" s="317">
        <f t="shared" si="5"/>
        <v>953624.93790000025</v>
      </c>
      <c r="N48" s="342"/>
      <c r="O48" s="316"/>
    </row>
    <row r="49" spans="1:15">
      <c r="A49" s="384">
        <v>46</v>
      </c>
      <c r="B49" s="373" t="s">
        <v>178</v>
      </c>
      <c r="C49" s="175" t="s">
        <v>251</v>
      </c>
      <c r="D49" s="343" t="s">
        <v>227</v>
      </c>
      <c r="E49" s="110">
        <v>2180.62</v>
      </c>
      <c r="F49" s="110">
        <v>92.19</v>
      </c>
      <c r="G49" s="314">
        <f t="shared" si="1"/>
        <v>201031.3578</v>
      </c>
      <c r="H49" s="110"/>
      <c r="I49" s="110"/>
      <c r="J49" s="314">
        <f t="shared" si="2"/>
        <v>0</v>
      </c>
      <c r="K49" s="314">
        <f t="shared" si="4"/>
        <v>201031.3578</v>
      </c>
      <c r="L49" s="331"/>
      <c r="M49" s="317">
        <f t="shared" si="5"/>
        <v>752593.58010000025</v>
      </c>
      <c r="N49" s="342"/>
      <c r="O49" s="316"/>
    </row>
    <row r="50" spans="1:15">
      <c r="A50" s="17">
        <v>47</v>
      </c>
      <c r="B50" s="373" t="s">
        <v>178</v>
      </c>
      <c r="C50" s="110" t="s">
        <v>247</v>
      </c>
      <c r="D50" s="343" t="s">
        <v>207</v>
      </c>
      <c r="E50" s="314">
        <v>37.619999999999997</v>
      </c>
      <c r="F50" s="314">
        <v>95.7</v>
      </c>
      <c r="G50" s="314">
        <f t="shared" si="1"/>
        <v>3600.2339999999999</v>
      </c>
      <c r="H50" s="110"/>
      <c r="I50" s="110"/>
      <c r="J50" s="314">
        <f t="shared" si="2"/>
        <v>0</v>
      </c>
      <c r="K50" s="314">
        <f t="shared" si="4"/>
        <v>3600.2339999999999</v>
      </c>
      <c r="L50" s="331"/>
      <c r="M50" s="317">
        <f t="shared" si="5"/>
        <v>748993.3461000002</v>
      </c>
      <c r="N50" s="342"/>
      <c r="O50" s="316"/>
    </row>
    <row r="51" spans="1:15">
      <c r="A51" s="17">
        <v>48</v>
      </c>
      <c r="B51" s="373" t="s">
        <v>179</v>
      </c>
      <c r="C51" s="110" t="s">
        <v>252</v>
      </c>
      <c r="D51" s="343" t="s">
        <v>205</v>
      </c>
      <c r="E51" s="314"/>
      <c r="F51" s="314"/>
      <c r="G51" s="314">
        <f t="shared" si="1"/>
        <v>0</v>
      </c>
      <c r="H51" s="110">
        <v>2.33</v>
      </c>
      <c r="I51" s="110">
        <v>107.46</v>
      </c>
      <c r="J51" s="314">
        <f t="shared" si="2"/>
        <v>250.3818</v>
      </c>
      <c r="K51" s="314">
        <f t="shared" si="4"/>
        <v>250.3818</v>
      </c>
      <c r="L51" s="331"/>
      <c r="M51" s="317">
        <f t="shared" si="5"/>
        <v>748742.96430000023</v>
      </c>
      <c r="N51" s="317"/>
      <c r="O51" s="314"/>
    </row>
    <row r="52" spans="1:15">
      <c r="A52" s="386">
        <v>49</v>
      </c>
      <c r="B52" s="373" t="s">
        <v>179</v>
      </c>
      <c r="C52" s="110" t="s">
        <v>253</v>
      </c>
      <c r="D52" s="401" t="s">
        <v>223</v>
      </c>
      <c r="E52" s="110">
        <v>233.2</v>
      </c>
      <c r="F52" s="110">
        <v>90.88</v>
      </c>
      <c r="G52" s="314">
        <f t="shared" si="1"/>
        <v>21193.215999999997</v>
      </c>
      <c r="H52" s="110"/>
      <c r="I52" s="110"/>
      <c r="J52" s="314">
        <f t="shared" si="2"/>
        <v>0</v>
      </c>
      <c r="K52" s="314">
        <f t="shared" si="4"/>
        <v>21193.215999999997</v>
      </c>
      <c r="L52" s="400"/>
      <c r="M52" s="318">
        <f t="shared" si="5"/>
        <v>727549.74830000021</v>
      </c>
      <c r="N52" s="314"/>
      <c r="O52" s="314"/>
    </row>
    <row r="53" spans="1:15">
      <c r="A53" s="103">
        <v>50</v>
      </c>
      <c r="B53" s="373" t="s">
        <v>179</v>
      </c>
      <c r="C53" s="110" t="s">
        <v>248</v>
      </c>
      <c r="D53" s="343" t="s">
        <v>234</v>
      </c>
      <c r="E53" s="110">
        <v>105</v>
      </c>
      <c r="F53" s="110">
        <v>92.19</v>
      </c>
      <c r="G53" s="314">
        <f t="shared" si="1"/>
        <v>9679.9499999999989</v>
      </c>
      <c r="H53" s="110"/>
      <c r="I53" s="110"/>
      <c r="J53" s="314">
        <f t="shared" si="2"/>
        <v>0</v>
      </c>
      <c r="K53" s="314">
        <f t="shared" si="4"/>
        <v>9679.9499999999989</v>
      </c>
      <c r="L53" s="331"/>
      <c r="M53" s="314">
        <f t="shared" si="5"/>
        <v>717869.79830000026</v>
      </c>
      <c r="N53" s="314"/>
      <c r="O53" s="314"/>
    </row>
    <row r="54" spans="1:15">
      <c r="A54" s="103">
        <v>51</v>
      </c>
      <c r="B54" s="373" t="s">
        <v>133</v>
      </c>
      <c r="C54" s="175" t="s">
        <v>239</v>
      </c>
      <c r="D54" s="110" t="s">
        <v>240</v>
      </c>
      <c r="E54" s="355">
        <v>6222.8</v>
      </c>
      <c r="F54" s="318">
        <v>96.42</v>
      </c>
      <c r="G54" s="338">
        <f t="shared" si="1"/>
        <v>600002.37600000005</v>
      </c>
      <c r="H54" s="334"/>
      <c r="I54" s="334"/>
      <c r="J54" s="318">
        <f t="shared" si="2"/>
        <v>0</v>
      </c>
      <c r="K54" s="318">
        <f t="shared" si="4"/>
        <v>600002.37600000005</v>
      </c>
      <c r="L54" s="315"/>
      <c r="M54" s="314">
        <f t="shared" si="5"/>
        <v>117867.42230000021</v>
      </c>
      <c r="N54" s="314"/>
      <c r="O54" s="314"/>
    </row>
    <row r="55" spans="1:15">
      <c r="A55" s="332">
        <v>52</v>
      </c>
      <c r="B55" s="373" t="s">
        <v>133</v>
      </c>
      <c r="C55" s="175" t="s">
        <v>247</v>
      </c>
      <c r="D55" s="343" t="s">
        <v>205</v>
      </c>
      <c r="E55" s="317"/>
      <c r="F55" s="314"/>
      <c r="G55" s="335">
        <f t="shared" si="1"/>
        <v>0</v>
      </c>
      <c r="H55" s="110">
        <v>2.33</v>
      </c>
      <c r="I55" s="110">
        <v>107.46</v>
      </c>
      <c r="J55" s="314">
        <f t="shared" si="2"/>
        <v>250.3818</v>
      </c>
      <c r="K55" s="314">
        <f t="shared" si="4"/>
        <v>250.3818</v>
      </c>
      <c r="L55" s="315"/>
      <c r="M55" s="314">
        <f t="shared" si="5"/>
        <v>117617.04050000021</v>
      </c>
      <c r="N55" s="316"/>
      <c r="O55" s="316"/>
    </row>
    <row r="56" spans="1:15">
      <c r="A56" s="103">
        <v>53</v>
      </c>
      <c r="B56" s="373" t="s">
        <v>133</v>
      </c>
      <c r="C56" s="175" t="s">
        <v>254</v>
      </c>
      <c r="D56" s="343" t="s">
        <v>219</v>
      </c>
      <c r="E56" s="317">
        <v>44.86</v>
      </c>
      <c r="F56" s="314">
        <v>96.67</v>
      </c>
      <c r="G56" s="335">
        <f t="shared" si="1"/>
        <v>4336.6162000000004</v>
      </c>
      <c r="H56" s="110"/>
      <c r="I56" s="110"/>
      <c r="J56" s="314">
        <f t="shared" si="2"/>
        <v>0</v>
      </c>
      <c r="K56" s="314">
        <f t="shared" si="4"/>
        <v>4336.6162000000004</v>
      </c>
      <c r="L56" s="315"/>
      <c r="M56" s="314">
        <f t="shared" si="5"/>
        <v>113280.4243000002</v>
      </c>
      <c r="N56" s="314"/>
      <c r="O56" s="314"/>
    </row>
    <row r="57" spans="1:15">
      <c r="A57" s="103">
        <v>54</v>
      </c>
      <c r="B57" s="373" t="s">
        <v>180</v>
      </c>
      <c r="C57" s="345" t="s">
        <v>255</v>
      </c>
      <c r="D57" s="175" t="s">
        <v>234</v>
      </c>
      <c r="E57" s="317">
        <v>39.99</v>
      </c>
      <c r="F57" s="355">
        <v>92.19</v>
      </c>
      <c r="G57" s="335">
        <f t="shared" si="1"/>
        <v>3686.6781000000001</v>
      </c>
      <c r="H57" s="110">
        <v>6</v>
      </c>
      <c r="I57" s="110">
        <v>104.03</v>
      </c>
      <c r="J57" s="314">
        <f t="shared" si="2"/>
        <v>624.18000000000006</v>
      </c>
      <c r="K57" s="314">
        <f t="shared" si="4"/>
        <v>4310.8581000000004</v>
      </c>
      <c r="L57" s="315"/>
      <c r="M57" s="314">
        <f t="shared" si="5"/>
        <v>108969.5662000002</v>
      </c>
      <c r="N57" s="316"/>
      <c r="O57" s="316"/>
    </row>
    <row r="58" spans="1:15">
      <c r="A58" s="332">
        <v>55</v>
      </c>
      <c r="B58" s="373" t="s">
        <v>180</v>
      </c>
      <c r="C58" s="344" t="s">
        <v>247</v>
      </c>
      <c r="D58" s="412" t="s">
        <v>205</v>
      </c>
      <c r="E58" s="317"/>
      <c r="F58" s="314"/>
      <c r="G58" s="335">
        <f t="shared" si="1"/>
        <v>0</v>
      </c>
      <c r="H58" s="110">
        <v>3.72</v>
      </c>
      <c r="I58" s="110">
        <v>107.46</v>
      </c>
      <c r="J58" s="314">
        <f t="shared" si="2"/>
        <v>399.75119999999998</v>
      </c>
      <c r="K58" s="314">
        <f t="shared" si="4"/>
        <v>399.75119999999998</v>
      </c>
      <c r="L58" s="315"/>
      <c r="M58" s="314">
        <f t="shared" si="5"/>
        <v>108569.81500000021</v>
      </c>
      <c r="N58" s="314"/>
      <c r="O58" s="314"/>
    </row>
    <row r="59" spans="1:15">
      <c r="A59" s="103">
        <v>56</v>
      </c>
      <c r="B59" s="373" t="s">
        <v>136</v>
      </c>
      <c r="C59" s="110" t="s">
        <v>256</v>
      </c>
      <c r="D59" s="110" t="s">
        <v>209</v>
      </c>
      <c r="E59" s="355">
        <v>35</v>
      </c>
      <c r="F59" s="355">
        <v>91.77</v>
      </c>
      <c r="G59" s="335">
        <f t="shared" si="1"/>
        <v>3211.95</v>
      </c>
      <c r="H59" s="110"/>
      <c r="I59" s="110"/>
      <c r="J59" s="314"/>
      <c r="K59" s="314">
        <f t="shared" si="4"/>
        <v>3211.95</v>
      </c>
      <c r="L59" s="315"/>
      <c r="M59" s="314">
        <f t="shared" si="5"/>
        <v>105357.86500000021</v>
      </c>
      <c r="N59" s="314"/>
      <c r="O59" s="314"/>
    </row>
    <row r="60" spans="1:15">
      <c r="A60" s="103">
        <v>57</v>
      </c>
      <c r="B60" s="373" t="s">
        <v>136</v>
      </c>
      <c r="C60" s="110" t="s">
        <v>257</v>
      </c>
      <c r="D60" s="110" t="s">
        <v>219</v>
      </c>
      <c r="E60" s="355">
        <v>51.68</v>
      </c>
      <c r="F60" s="355">
        <v>96.74</v>
      </c>
      <c r="G60" s="335">
        <f t="shared" ref="G60:G75" si="6">E60*F60</f>
        <v>4999.5231999999996</v>
      </c>
      <c r="H60" s="110"/>
      <c r="I60" s="110"/>
      <c r="J60" s="314">
        <f t="shared" si="2"/>
        <v>0</v>
      </c>
      <c r="K60" s="314">
        <f t="shared" si="4"/>
        <v>4999.5231999999996</v>
      </c>
      <c r="L60" s="315"/>
      <c r="M60" s="314">
        <f t="shared" si="5"/>
        <v>100358.34180000021</v>
      </c>
      <c r="N60" s="314"/>
      <c r="O60" s="314"/>
    </row>
    <row r="61" spans="1:15">
      <c r="A61" s="332">
        <v>58</v>
      </c>
      <c r="B61" s="373" t="s">
        <v>136</v>
      </c>
      <c r="C61" s="110" t="s">
        <v>258</v>
      </c>
      <c r="D61" s="110" t="s">
        <v>215</v>
      </c>
      <c r="E61" s="355">
        <v>45</v>
      </c>
      <c r="F61" s="355">
        <v>92.22</v>
      </c>
      <c r="G61" s="335">
        <f t="shared" si="6"/>
        <v>4149.8999999999996</v>
      </c>
      <c r="H61" s="110"/>
      <c r="I61" s="110"/>
      <c r="J61" s="314">
        <f t="shared" si="2"/>
        <v>0</v>
      </c>
      <c r="K61" s="314">
        <f t="shared" si="4"/>
        <v>4149.8999999999996</v>
      </c>
      <c r="L61" s="315"/>
      <c r="M61" s="314">
        <f t="shared" si="5"/>
        <v>96208.441800000219</v>
      </c>
      <c r="N61" s="314"/>
      <c r="O61" s="314"/>
    </row>
    <row r="62" spans="1:15">
      <c r="A62" s="103">
        <v>59</v>
      </c>
      <c r="B62" s="373" t="s">
        <v>138</v>
      </c>
      <c r="C62" s="334" t="s">
        <v>248</v>
      </c>
      <c r="D62" s="413" t="s">
        <v>234</v>
      </c>
      <c r="E62" s="316">
        <v>110</v>
      </c>
      <c r="F62" s="316">
        <v>92.19</v>
      </c>
      <c r="G62" s="356">
        <f t="shared" si="6"/>
        <v>10140.9</v>
      </c>
      <c r="H62" s="339">
        <v>10</v>
      </c>
      <c r="I62" s="339">
        <v>104.03</v>
      </c>
      <c r="J62" s="316">
        <f t="shared" si="2"/>
        <v>1040.3</v>
      </c>
      <c r="K62" s="314">
        <f t="shared" si="4"/>
        <v>11181.199999999999</v>
      </c>
      <c r="L62" s="357"/>
      <c r="M62" s="316">
        <f t="shared" si="5"/>
        <v>85027.241800000222</v>
      </c>
      <c r="N62" s="194"/>
      <c r="O62" s="194"/>
    </row>
    <row r="63" spans="1:15">
      <c r="A63" s="103">
        <v>60</v>
      </c>
      <c r="B63" s="373" t="s">
        <v>138</v>
      </c>
      <c r="C63" s="110" t="s">
        <v>214</v>
      </c>
      <c r="D63" s="175" t="s">
        <v>215</v>
      </c>
      <c r="E63" s="355">
        <v>48</v>
      </c>
      <c r="F63" s="355">
        <v>92.22</v>
      </c>
      <c r="G63" s="314">
        <f t="shared" si="6"/>
        <v>4426.5599999999995</v>
      </c>
      <c r="H63" s="110"/>
      <c r="I63" s="110"/>
      <c r="J63" s="314">
        <f t="shared" si="2"/>
        <v>0</v>
      </c>
      <c r="K63" s="314">
        <f t="shared" si="4"/>
        <v>4426.5599999999995</v>
      </c>
      <c r="L63" s="315"/>
      <c r="M63" s="314">
        <f t="shared" si="5"/>
        <v>80600.681800000224</v>
      </c>
      <c r="N63" s="361"/>
      <c r="O63" s="194"/>
    </row>
    <row r="64" spans="1:15">
      <c r="A64" s="332">
        <v>61</v>
      </c>
      <c r="B64" s="373" t="s">
        <v>138</v>
      </c>
      <c r="C64" s="110" t="s">
        <v>247</v>
      </c>
      <c r="D64" s="175" t="s">
        <v>207</v>
      </c>
      <c r="E64" s="110">
        <v>34.479999999999997</v>
      </c>
      <c r="F64" s="110">
        <v>95.7</v>
      </c>
      <c r="G64" s="314">
        <f t="shared" si="6"/>
        <v>3299.7359999999999</v>
      </c>
      <c r="H64" s="314"/>
      <c r="I64" s="314"/>
      <c r="J64" s="314">
        <f t="shared" ref="J64:J78" si="7">H64*I64</f>
        <v>0</v>
      </c>
      <c r="K64" s="314">
        <f t="shared" si="4"/>
        <v>3299.7359999999999</v>
      </c>
      <c r="L64" s="315"/>
      <c r="M64" s="314">
        <f t="shared" si="5"/>
        <v>77300.94580000022</v>
      </c>
      <c r="N64" s="361"/>
      <c r="O64" s="194"/>
    </row>
    <row r="65" spans="1:15">
      <c r="A65" s="103">
        <v>62</v>
      </c>
      <c r="B65" s="373" t="s">
        <v>138</v>
      </c>
      <c r="C65" s="110" t="s">
        <v>259</v>
      </c>
      <c r="D65" s="175" t="s">
        <v>219</v>
      </c>
      <c r="E65" s="110">
        <v>43</v>
      </c>
      <c r="F65" s="110">
        <v>97.49</v>
      </c>
      <c r="G65" s="314">
        <f t="shared" si="6"/>
        <v>4192.07</v>
      </c>
      <c r="H65" s="314"/>
      <c r="I65" s="314"/>
      <c r="J65" s="314">
        <f t="shared" si="7"/>
        <v>0</v>
      </c>
      <c r="K65" s="314">
        <f t="shared" si="4"/>
        <v>4192.07</v>
      </c>
      <c r="L65" s="315"/>
      <c r="M65" s="314">
        <f t="shared" si="5"/>
        <v>73108.875800000213</v>
      </c>
      <c r="N65" s="361"/>
      <c r="O65" s="194"/>
    </row>
    <row r="66" spans="1:15">
      <c r="A66" s="103">
        <v>63</v>
      </c>
      <c r="B66" s="373" t="s">
        <v>181</v>
      </c>
      <c r="C66" s="355" t="s">
        <v>260</v>
      </c>
      <c r="D66" s="355" t="s">
        <v>219</v>
      </c>
      <c r="E66" s="110"/>
      <c r="F66" s="110"/>
      <c r="G66" s="314">
        <f t="shared" si="6"/>
        <v>0</v>
      </c>
      <c r="H66" s="314">
        <v>5</v>
      </c>
      <c r="I66" s="314">
        <v>108.86</v>
      </c>
      <c r="J66" s="314">
        <f t="shared" si="7"/>
        <v>544.29999999999995</v>
      </c>
      <c r="K66" s="314">
        <f t="shared" si="4"/>
        <v>544.29999999999995</v>
      </c>
      <c r="L66" s="315"/>
      <c r="M66" s="314">
        <f t="shared" si="5"/>
        <v>72564.57580000021</v>
      </c>
      <c r="N66" s="362"/>
      <c r="O66" s="319"/>
    </row>
    <row r="67" spans="1:15">
      <c r="A67" s="332">
        <v>64</v>
      </c>
      <c r="B67" s="373" t="s">
        <v>181</v>
      </c>
      <c r="C67" s="355" t="s">
        <v>261</v>
      </c>
      <c r="D67" s="355" t="s">
        <v>234</v>
      </c>
      <c r="E67" s="318">
        <v>34.99</v>
      </c>
      <c r="F67" s="318">
        <v>92.19</v>
      </c>
      <c r="G67" s="318">
        <f t="shared" si="6"/>
        <v>3225.7281000000003</v>
      </c>
      <c r="H67" s="318"/>
      <c r="I67" s="318"/>
      <c r="J67" s="318">
        <f t="shared" si="7"/>
        <v>0</v>
      </c>
      <c r="K67" s="314">
        <f t="shared" si="4"/>
        <v>3225.7281000000003</v>
      </c>
      <c r="L67" s="337"/>
      <c r="M67" s="318">
        <f t="shared" si="5"/>
        <v>69338.847700000217</v>
      </c>
      <c r="N67" s="194"/>
      <c r="O67" s="194"/>
    </row>
    <row r="68" spans="1:15">
      <c r="A68" s="103">
        <v>65</v>
      </c>
      <c r="B68" s="373" t="s">
        <v>182</v>
      </c>
      <c r="C68" s="110" t="s">
        <v>262</v>
      </c>
      <c r="D68" s="175" t="s">
        <v>205</v>
      </c>
      <c r="E68" s="314"/>
      <c r="F68" s="314"/>
      <c r="G68" s="314">
        <f t="shared" si="6"/>
        <v>0</v>
      </c>
      <c r="H68" s="355">
        <v>3.72</v>
      </c>
      <c r="I68" s="355">
        <v>107.46</v>
      </c>
      <c r="J68" s="314">
        <f t="shared" si="7"/>
        <v>399.75119999999998</v>
      </c>
      <c r="K68" s="314">
        <f t="shared" si="4"/>
        <v>399.75119999999998</v>
      </c>
      <c r="L68" s="315"/>
      <c r="M68" s="314">
        <f t="shared" si="5"/>
        <v>68939.096500000218</v>
      </c>
      <c r="N68" s="194"/>
      <c r="O68" s="194"/>
    </row>
    <row r="69" spans="1:15">
      <c r="A69" s="103">
        <v>66</v>
      </c>
      <c r="B69" s="373" t="s">
        <v>183</v>
      </c>
      <c r="C69" s="110" t="s">
        <v>248</v>
      </c>
      <c r="D69" s="175" t="s">
        <v>234</v>
      </c>
      <c r="E69" s="314"/>
      <c r="F69" s="314"/>
      <c r="G69" s="314">
        <f t="shared" si="6"/>
        <v>0</v>
      </c>
      <c r="H69" s="314">
        <v>105</v>
      </c>
      <c r="I69" s="314">
        <v>92.19</v>
      </c>
      <c r="J69" s="314">
        <f t="shared" si="7"/>
        <v>9679.9499999999989</v>
      </c>
      <c r="K69" s="314">
        <f t="shared" si="4"/>
        <v>9679.9499999999989</v>
      </c>
      <c r="L69" s="315"/>
      <c r="M69" s="314">
        <f t="shared" si="5"/>
        <v>59259.146500000221</v>
      </c>
      <c r="N69" s="194"/>
      <c r="O69" s="194"/>
    </row>
    <row r="70" spans="1:15">
      <c r="A70" s="332">
        <v>67</v>
      </c>
      <c r="B70" s="373" t="s">
        <v>187</v>
      </c>
      <c r="C70" s="175" t="s">
        <v>263</v>
      </c>
      <c r="D70" s="175" t="s">
        <v>234</v>
      </c>
      <c r="E70" s="314">
        <v>40.01</v>
      </c>
      <c r="F70" s="314">
        <v>92.22</v>
      </c>
      <c r="G70" s="314">
        <f t="shared" si="6"/>
        <v>3689.7221999999997</v>
      </c>
      <c r="H70" s="314"/>
      <c r="I70" s="314"/>
      <c r="J70" s="314">
        <f t="shared" si="7"/>
        <v>0</v>
      </c>
      <c r="K70" s="314">
        <f t="shared" si="4"/>
        <v>3689.7221999999997</v>
      </c>
      <c r="L70" s="315"/>
      <c r="M70" s="314">
        <f t="shared" si="5"/>
        <v>55569.424300000224</v>
      </c>
      <c r="N70" s="414"/>
      <c r="O70" s="414"/>
    </row>
    <row r="71" spans="1:15">
      <c r="A71" s="103">
        <v>68</v>
      </c>
      <c r="B71" s="237"/>
      <c r="C71" s="110"/>
      <c r="D71" s="175"/>
      <c r="E71" s="314"/>
      <c r="F71" s="314"/>
      <c r="G71" s="314">
        <f t="shared" si="6"/>
        <v>0</v>
      </c>
      <c r="H71" s="314"/>
      <c r="I71" s="314"/>
      <c r="J71" s="314">
        <f t="shared" si="7"/>
        <v>0</v>
      </c>
      <c r="K71" s="314"/>
      <c r="L71" s="315"/>
      <c r="M71" s="314">
        <f t="shared" si="5"/>
        <v>55569.424300000224</v>
      </c>
      <c r="N71" s="194"/>
      <c r="O71" s="194"/>
    </row>
    <row r="72" spans="1:15">
      <c r="A72" s="103">
        <v>69</v>
      </c>
      <c r="B72" s="237"/>
      <c r="C72" s="175"/>
      <c r="D72" s="175"/>
      <c r="E72" s="314"/>
      <c r="F72" s="314"/>
      <c r="G72" s="314">
        <f t="shared" si="6"/>
        <v>0</v>
      </c>
      <c r="H72" s="314"/>
      <c r="I72" s="314"/>
      <c r="J72" s="314">
        <f t="shared" si="7"/>
        <v>0</v>
      </c>
      <c r="K72" s="314"/>
      <c r="L72" s="315"/>
      <c r="M72" s="314">
        <f t="shared" si="5"/>
        <v>55569.424300000224</v>
      </c>
      <c r="N72" s="319"/>
      <c r="O72" s="319"/>
    </row>
    <row r="73" spans="1:15">
      <c r="A73" s="332">
        <v>70</v>
      </c>
      <c r="B73" s="237"/>
      <c r="C73" s="175"/>
      <c r="D73" s="355"/>
      <c r="E73" s="314"/>
      <c r="F73" s="314"/>
      <c r="G73" s="314">
        <f t="shared" si="6"/>
        <v>0</v>
      </c>
      <c r="H73" s="355"/>
      <c r="I73" s="355"/>
      <c r="J73" s="314">
        <f t="shared" si="7"/>
        <v>0</v>
      </c>
      <c r="K73" s="314"/>
      <c r="L73" s="315"/>
      <c r="M73" s="314">
        <f t="shared" si="5"/>
        <v>55569.424300000224</v>
      </c>
      <c r="N73" s="319"/>
      <c r="O73" s="319"/>
    </row>
    <row r="74" spans="1:15">
      <c r="A74" s="103">
        <v>71</v>
      </c>
      <c r="B74" s="237"/>
      <c r="C74" s="175"/>
      <c r="D74" s="175"/>
      <c r="E74" s="314"/>
      <c r="F74" s="314"/>
      <c r="G74" s="314">
        <f t="shared" si="6"/>
        <v>0</v>
      </c>
      <c r="H74" s="314"/>
      <c r="I74" s="314"/>
      <c r="J74" s="314">
        <f t="shared" si="7"/>
        <v>0</v>
      </c>
      <c r="K74" s="314"/>
      <c r="L74" s="315"/>
      <c r="M74" s="314">
        <f t="shared" si="3"/>
        <v>55569.424300000224</v>
      </c>
      <c r="N74" s="194"/>
      <c r="O74" s="194"/>
    </row>
    <row r="75" spans="1:15">
      <c r="A75" s="103">
        <v>72</v>
      </c>
      <c r="B75" s="237"/>
      <c r="C75" s="175"/>
      <c r="D75" s="175"/>
      <c r="E75" s="314"/>
      <c r="F75" s="314"/>
      <c r="G75" s="314">
        <f t="shared" si="6"/>
        <v>0</v>
      </c>
      <c r="H75" s="314"/>
      <c r="I75" s="314"/>
      <c r="J75" s="314">
        <f t="shared" si="7"/>
        <v>0</v>
      </c>
      <c r="K75" s="314"/>
      <c r="L75" s="315"/>
      <c r="M75" s="314">
        <f t="shared" si="3"/>
        <v>55569.424300000224</v>
      </c>
      <c r="N75" s="319"/>
      <c r="O75" s="319"/>
    </row>
    <row r="76" spans="1:15">
      <c r="A76" s="332">
        <v>73</v>
      </c>
      <c r="B76" s="237"/>
      <c r="C76" s="175"/>
      <c r="D76" s="175"/>
      <c r="E76" s="314"/>
      <c r="F76" s="314"/>
      <c r="G76" s="314">
        <f t="shared" ref="G76:G79" si="8">E76*F76</f>
        <v>0</v>
      </c>
      <c r="H76" s="314"/>
      <c r="I76" s="314"/>
      <c r="J76" s="314">
        <f t="shared" si="7"/>
        <v>0</v>
      </c>
      <c r="K76" s="314"/>
      <c r="L76" s="315"/>
      <c r="M76" s="314">
        <f t="shared" si="3"/>
        <v>55569.424300000224</v>
      </c>
      <c r="N76" s="194"/>
      <c r="O76" s="194"/>
    </row>
    <row r="77" spans="1:15">
      <c r="A77" s="103">
        <v>74</v>
      </c>
      <c r="B77" s="237"/>
      <c r="C77" s="175"/>
      <c r="D77" s="175"/>
      <c r="E77" s="314"/>
      <c r="F77" s="314"/>
      <c r="G77" s="314">
        <f t="shared" si="8"/>
        <v>0</v>
      </c>
      <c r="H77" s="314"/>
      <c r="I77" s="314"/>
      <c r="J77" s="314">
        <f t="shared" si="7"/>
        <v>0</v>
      </c>
      <c r="K77" s="314"/>
      <c r="L77" s="314"/>
      <c r="M77" s="314">
        <f t="shared" ref="M77:M86" si="9">M76+L77-K77</f>
        <v>55569.424300000224</v>
      </c>
      <c r="N77" s="194"/>
      <c r="O77" s="194"/>
    </row>
    <row r="78" spans="1:15">
      <c r="A78" s="103">
        <v>75</v>
      </c>
      <c r="B78" s="237"/>
      <c r="C78" s="175"/>
      <c r="D78" s="175"/>
      <c r="E78" s="314"/>
      <c r="F78" s="314"/>
      <c r="G78" s="314">
        <f t="shared" si="8"/>
        <v>0</v>
      </c>
      <c r="H78" s="314"/>
      <c r="I78" s="314"/>
      <c r="J78" s="314">
        <f t="shared" si="7"/>
        <v>0</v>
      </c>
      <c r="K78" s="314"/>
      <c r="L78" s="314"/>
      <c r="M78" s="314">
        <f t="shared" si="9"/>
        <v>55569.424300000224</v>
      </c>
      <c r="N78" s="194"/>
      <c r="O78" s="194"/>
    </row>
    <row r="79" spans="1:15">
      <c r="A79" s="332">
        <v>76</v>
      </c>
      <c r="B79" s="237"/>
      <c r="C79" s="175"/>
      <c r="D79" s="175"/>
      <c r="E79" s="314"/>
      <c r="F79" s="314"/>
      <c r="G79" s="314">
        <f t="shared" si="8"/>
        <v>0</v>
      </c>
      <c r="H79" s="314"/>
      <c r="I79" s="314"/>
      <c r="J79" s="314">
        <f t="shared" ref="J79:J86" si="10">H79*I79</f>
        <v>0</v>
      </c>
      <c r="K79" s="314"/>
      <c r="L79" s="314"/>
      <c r="M79" s="314">
        <f t="shared" si="9"/>
        <v>55569.424300000224</v>
      </c>
      <c r="N79" s="194"/>
      <c r="O79" s="194"/>
    </row>
    <row r="80" spans="1:15">
      <c r="A80" s="103">
        <v>77</v>
      </c>
      <c r="B80" s="237"/>
      <c r="C80" s="175"/>
      <c r="D80" s="175"/>
      <c r="E80" s="314">
        <v>0</v>
      </c>
      <c r="F80" s="314"/>
      <c r="G80" s="314">
        <f t="shared" ref="G80:G86" si="11">E80*F80</f>
        <v>0</v>
      </c>
      <c r="H80" s="314"/>
      <c r="I80" s="314"/>
      <c r="J80" s="314">
        <f t="shared" si="10"/>
        <v>0</v>
      </c>
      <c r="K80" s="314"/>
      <c r="L80" s="314"/>
      <c r="M80" s="314">
        <f t="shared" si="9"/>
        <v>55569.424300000224</v>
      </c>
      <c r="N80" s="194"/>
      <c r="O80" s="194"/>
    </row>
    <row r="81" spans="1:15">
      <c r="A81" s="103">
        <v>78</v>
      </c>
      <c r="B81" s="237"/>
      <c r="C81" s="175"/>
      <c r="D81" s="175"/>
      <c r="E81" s="314">
        <v>0</v>
      </c>
      <c r="F81" s="314"/>
      <c r="G81" s="314">
        <f t="shared" si="11"/>
        <v>0</v>
      </c>
      <c r="H81" s="314"/>
      <c r="I81" s="314"/>
      <c r="J81" s="314">
        <f t="shared" si="10"/>
        <v>0</v>
      </c>
      <c r="K81" s="314"/>
      <c r="L81" s="314"/>
      <c r="M81" s="314">
        <f t="shared" si="9"/>
        <v>55569.424300000224</v>
      </c>
      <c r="N81" s="194"/>
      <c r="O81" s="194"/>
    </row>
    <row r="82" spans="1:15">
      <c r="A82" s="332">
        <v>79</v>
      </c>
      <c r="B82" s="237"/>
      <c r="C82" s="175"/>
      <c r="D82" s="175"/>
      <c r="E82" s="314">
        <v>0</v>
      </c>
      <c r="F82" s="314"/>
      <c r="G82" s="314">
        <f t="shared" si="11"/>
        <v>0</v>
      </c>
      <c r="H82" s="314"/>
      <c r="I82" s="314"/>
      <c r="J82" s="314">
        <f t="shared" si="10"/>
        <v>0</v>
      </c>
      <c r="K82" s="314"/>
      <c r="L82" s="314"/>
      <c r="M82" s="314">
        <f t="shared" si="9"/>
        <v>55569.424300000224</v>
      </c>
      <c r="N82" s="194"/>
      <c r="O82" s="194"/>
    </row>
    <row r="83" spans="1:15">
      <c r="A83" s="103">
        <v>80</v>
      </c>
      <c r="B83" s="237"/>
      <c r="C83" s="110"/>
      <c r="D83" s="175"/>
      <c r="E83" s="314">
        <v>0</v>
      </c>
      <c r="F83" s="314"/>
      <c r="G83" s="314">
        <f t="shared" si="11"/>
        <v>0</v>
      </c>
      <c r="H83" s="314"/>
      <c r="I83" s="314"/>
      <c r="J83" s="314">
        <f t="shared" si="10"/>
        <v>0</v>
      </c>
      <c r="K83" s="314"/>
      <c r="L83" s="314"/>
      <c r="M83" s="314">
        <f t="shared" si="9"/>
        <v>55569.424300000224</v>
      </c>
      <c r="N83" s="319"/>
      <c r="O83" s="319"/>
    </row>
    <row r="84" spans="1:15">
      <c r="A84" s="103">
        <v>81</v>
      </c>
      <c r="B84" s="237"/>
      <c r="C84" s="246"/>
      <c r="D84" s="110"/>
      <c r="E84" s="314">
        <v>0</v>
      </c>
      <c r="F84" s="314"/>
      <c r="G84" s="314">
        <f t="shared" si="11"/>
        <v>0</v>
      </c>
      <c r="H84" s="314"/>
      <c r="I84" s="314"/>
      <c r="J84" s="314">
        <f t="shared" si="10"/>
        <v>0</v>
      </c>
      <c r="K84" s="314"/>
      <c r="L84" s="314"/>
      <c r="M84" s="314">
        <f t="shared" si="9"/>
        <v>55569.424300000224</v>
      </c>
      <c r="N84" s="194"/>
      <c r="O84" s="194"/>
    </row>
    <row r="85" spans="1:15">
      <c r="A85" s="332">
        <v>82</v>
      </c>
      <c r="B85" s="237"/>
      <c r="C85" s="17"/>
      <c r="D85" s="246"/>
      <c r="E85" s="314">
        <v>0</v>
      </c>
      <c r="F85" s="314"/>
      <c r="G85" s="314">
        <f t="shared" si="11"/>
        <v>0</v>
      </c>
      <c r="H85" s="314"/>
      <c r="I85" s="314"/>
      <c r="J85" s="314">
        <f t="shared" si="10"/>
        <v>0</v>
      </c>
      <c r="K85" s="314"/>
      <c r="L85" s="314"/>
      <c r="M85" s="314">
        <f t="shared" si="9"/>
        <v>55569.424300000224</v>
      </c>
      <c r="N85" s="194"/>
      <c r="O85" s="194"/>
    </row>
    <row r="86" spans="1:15">
      <c r="A86" s="103">
        <v>83</v>
      </c>
      <c r="B86" s="17"/>
      <c r="D86" s="17"/>
      <c r="E86" s="314">
        <v>0</v>
      </c>
      <c r="F86" s="314"/>
      <c r="G86" s="314">
        <f t="shared" si="11"/>
        <v>0</v>
      </c>
      <c r="H86" s="314"/>
      <c r="I86" s="314"/>
      <c r="J86" s="314">
        <f t="shared" si="10"/>
        <v>0</v>
      </c>
      <c r="K86" s="314"/>
      <c r="L86" s="314"/>
      <c r="M86" s="314">
        <f t="shared" si="9"/>
        <v>55569.424300000224</v>
      </c>
      <c r="N86" s="194"/>
      <c r="O86" s="19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26"/>
  <sheetViews>
    <sheetView workbookViewId="0">
      <selection activeCell="C19" sqref="C19"/>
    </sheetView>
  </sheetViews>
  <sheetFormatPr defaultRowHeight="15"/>
  <cols>
    <col min="2" max="2" width="11.5703125" customWidth="1"/>
    <col min="3" max="3" width="36.5703125" bestFit="1" customWidth="1"/>
    <col min="4" max="4" width="40.85546875" bestFit="1" customWidth="1"/>
    <col min="5" max="5" width="15.7109375" customWidth="1"/>
    <col min="7" max="7" width="22.42578125" customWidth="1"/>
    <col min="8" max="8" width="22.140625" customWidth="1"/>
    <col min="9" max="9" width="17.7109375" bestFit="1" customWidth="1"/>
    <col min="11" max="11" width="15.42578125" customWidth="1"/>
    <col min="12" max="12" width="17.7109375" customWidth="1"/>
    <col min="13" max="13" width="12.7109375" customWidth="1"/>
    <col min="14" max="14" width="15.140625" customWidth="1"/>
    <col min="15" max="15" width="20.5703125" customWidth="1"/>
  </cols>
  <sheetData>
    <row r="1" spans="1:15" ht="15.75">
      <c r="A1" s="454" t="s">
        <v>264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</row>
    <row r="2" spans="1:15">
      <c r="A2" s="70" t="s">
        <v>95</v>
      </c>
      <c r="B2" s="89" t="s">
        <v>96</v>
      </c>
      <c r="C2" s="89" t="s">
        <v>200</v>
      </c>
      <c r="D2" s="89" t="s">
        <v>201</v>
      </c>
      <c r="E2" s="89" t="s">
        <v>99</v>
      </c>
      <c r="F2" s="89" t="s">
        <v>100</v>
      </c>
      <c r="G2" s="96" t="s">
        <v>101</v>
      </c>
      <c r="H2" s="89" t="s">
        <v>102</v>
      </c>
      <c r="I2" s="89" t="s">
        <v>100</v>
      </c>
      <c r="J2" s="96" t="s">
        <v>101</v>
      </c>
      <c r="K2" s="70" t="s">
        <v>103</v>
      </c>
      <c r="L2" s="97" t="s">
        <v>202</v>
      </c>
      <c r="M2" s="91" t="s">
        <v>110</v>
      </c>
      <c r="N2" s="89" t="s">
        <v>106</v>
      </c>
      <c r="O2" s="89" t="s">
        <v>203</v>
      </c>
    </row>
    <row r="3" spans="1:15">
      <c r="A3" s="448" t="s">
        <v>107</v>
      </c>
      <c r="B3" s="448"/>
      <c r="C3" s="448"/>
      <c r="D3" s="448"/>
      <c r="E3" s="448"/>
      <c r="F3" s="448"/>
      <c r="G3" s="448"/>
      <c r="H3" s="448"/>
      <c r="I3" s="448"/>
      <c r="J3" s="448"/>
      <c r="K3" s="22">
        <v>27664.05</v>
      </c>
      <c r="L3" s="176"/>
      <c r="M3" s="238">
        <f>+K3</f>
        <v>27664.05</v>
      </c>
      <c r="N3" s="100"/>
      <c r="O3" s="100"/>
    </row>
    <row r="4" spans="1:15">
      <c r="A4" s="100">
        <v>1</v>
      </c>
      <c r="B4" s="358" t="s">
        <v>210</v>
      </c>
      <c r="C4" s="358" t="s">
        <v>265</v>
      </c>
      <c r="D4" s="402" t="s">
        <v>266</v>
      </c>
      <c r="E4" s="319">
        <v>400</v>
      </c>
      <c r="F4" s="319">
        <v>97.76</v>
      </c>
      <c r="G4" s="319">
        <v>39104</v>
      </c>
      <c r="H4" s="358"/>
      <c r="I4" s="358"/>
      <c r="J4" s="358"/>
      <c r="K4" s="421">
        <f>G4+J4</f>
        <v>39104</v>
      </c>
      <c r="L4" s="48">
        <v>30000</v>
      </c>
      <c r="M4" s="423">
        <f>SUM(M3+L4-K4)</f>
        <v>18560.050000000003</v>
      </c>
      <c r="N4" s="100"/>
      <c r="O4" s="100"/>
    </row>
    <row r="5" spans="1:15">
      <c r="A5" s="17">
        <v>2</v>
      </c>
      <c r="B5" s="358" t="s">
        <v>115</v>
      </c>
      <c r="C5" s="358" t="s">
        <v>265</v>
      </c>
      <c r="D5" s="402" t="s">
        <v>266</v>
      </c>
      <c r="E5" s="314"/>
      <c r="F5" s="314"/>
      <c r="G5" s="42"/>
      <c r="H5" s="42">
        <v>4.54</v>
      </c>
      <c r="I5" s="42">
        <v>110.07</v>
      </c>
      <c r="J5" s="42">
        <v>500</v>
      </c>
      <c r="K5" s="421">
        <f>G5+J5</f>
        <v>500</v>
      </c>
      <c r="L5" s="48"/>
      <c r="M5" s="423">
        <f>SUM(M4+L5-K5)</f>
        <v>18060.050000000003</v>
      </c>
      <c r="N5" s="17"/>
      <c r="O5" s="17"/>
    </row>
    <row r="6" spans="1:15">
      <c r="A6" s="17">
        <v>3</v>
      </c>
      <c r="B6" s="358" t="s">
        <v>122</v>
      </c>
      <c r="C6" s="358" t="s">
        <v>265</v>
      </c>
      <c r="D6" s="402" t="s">
        <v>266</v>
      </c>
      <c r="E6" s="314">
        <v>250</v>
      </c>
      <c r="F6" s="314">
        <v>97.76</v>
      </c>
      <c r="G6" s="42">
        <v>24439.8</v>
      </c>
      <c r="H6" s="42"/>
      <c r="I6" s="42"/>
      <c r="J6" s="42"/>
      <c r="K6" s="421">
        <f>G6+J6</f>
        <v>24439.8</v>
      </c>
      <c r="L6" s="48">
        <v>30000</v>
      </c>
      <c r="M6" s="423">
        <f t="shared" ref="M6:M23" si="0">SUM(M5+L6-K6)</f>
        <v>23620.250000000004</v>
      </c>
      <c r="N6" s="17"/>
      <c r="O6" s="17"/>
    </row>
    <row r="7" spans="1:15">
      <c r="A7" s="100">
        <v>4</v>
      </c>
      <c r="B7" s="358" t="s">
        <v>130</v>
      </c>
      <c r="C7" s="358" t="s">
        <v>265</v>
      </c>
      <c r="D7" s="402" t="s">
        <v>266</v>
      </c>
      <c r="E7" s="314">
        <v>30.69</v>
      </c>
      <c r="F7" s="314">
        <v>97.76</v>
      </c>
      <c r="G7" s="42">
        <v>3000</v>
      </c>
      <c r="H7" s="42"/>
      <c r="I7" s="42"/>
      <c r="J7" s="42"/>
      <c r="K7" s="421">
        <f t="shared" ref="K7:K20" si="1">G7+J7</f>
        <v>3000</v>
      </c>
      <c r="L7" s="340"/>
      <c r="M7" s="423">
        <f t="shared" si="0"/>
        <v>20620.250000000004</v>
      </c>
      <c r="N7" s="17"/>
      <c r="O7" s="17"/>
    </row>
    <row r="8" spans="1:15">
      <c r="A8" s="17">
        <v>5</v>
      </c>
      <c r="B8" s="358" t="s">
        <v>171</v>
      </c>
      <c r="C8" s="403" t="s">
        <v>267</v>
      </c>
      <c r="D8" s="402" t="s">
        <v>266</v>
      </c>
      <c r="E8" s="314">
        <v>150</v>
      </c>
      <c r="F8" s="314">
        <v>92.17</v>
      </c>
      <c r="G8" s="42">
        <v>13825.5</v>
      </c>
      <c r="H8" s="42">
        <v>10</v>
      </c>
      <c r="I8" s="42">
        <v>104.02</v>
      </c>
      <c r="J8" s="42">
        <v>1040.2</v>
      </c>
      <c r="K8" s="421">
        <f t="shared" si="1"/>
        <v>14865.7</v>
      </c>
      <c r="L8" s="48">
        <v>30000</v>
      </c>
      <c r="M8" s="423">
        <f t="shared" si="0"/>
        <v>35754.550000000003</v>
      </c>
      <c r="N8" s="17"/>
      <c r="O8" s="17"/>
    </row>
    <row r="9" spans="1:15">
      <c r="A9" s="17">
        <v>6</v>
      </c>
      <c r="B9" s="358" t="s">
        <v>173</v>
      </c>
      <c r="C9" s="83" t="s">
        <v>268</v>
      </c>
      <c r="D9" s="403" t="s">
        <v>269</v>
      </c>
      <c r="E9" s="314">
        <v>218.99</v>
      </c>
      <c r="F9" s="314">
        <v>91.33</v>
      </c>
      <c r="G9" s="42">
        <v>20000</v>
      </c>
      <c r="H9" s="42"/>
      <c r="I9" s="42"/>
      <c r="J9" s="42"/>
      <c r="K9" s="421">
        <f t="shared" si="1"/>
        <v>20000</v>
      </c>
      <c r="L9" s="340"/>
      <c r="M9" s="423">
        <f t="shared" si="0"/>
        <v>15754.550000000003</v>
      </c>
      <c r="N9" s="17"/>
      <c r="O9" s="17"/>
    </row>
    <row r="10" spans="1:15">
      <c r="A10" s="100">
        <v>7</v>
      </c>
      <c r="B10" s="358" t="s">
        <v>173</v>
      </c>
      <c r="C10" s="83" t="s">
        <v>268</v>
      </c>
      <c r="D10" s="403" t="s">
        <v>269</v>
      </c>
      <c r="E10" s="314">
        <v>4379.7299999999996</v>
      </c>
      <c r="F10" s="314">
        <v>91.33</v>
      </c>
      <c r="G10" s="42">
        <v>400000</v>
      </c>
      <c r="H10" s="42"/>
      <c r="I10" s="42"/>
      <c r="J10" s="42"/>
      <c r="K10" s="421">
        <f t="shared" si="1"/>
        <v>400000</v>
      </c>
      <c r="L10" s="340"/>
      <c r="M10" s="423">
        <f t="shared" si="0"/>
        <v>-384245.45</v>
      </c>
      <c r="N10" s="17"/>
      <c r="O10" s="17"/>
    </row>
    <row r="11" spans="1:15">
      <c r="A11" s="17">
        <v>8</v>
      </c>
      <c r="B11" s="358" t="s">
        <v>174</v>
      </c>
      <c r="C11" s="403" t="s">
        <v>270</v>
      </c>
      <c r="D11" s="402" t="s">
        <v>266</v>
      </c>
      <c r="E11" s="314">
        <v>14210.82</v>
      </c>
      <c r="F11" s="314">
        <v>91.48</v>
      </c>
      <c r="G11" s="42">
        <v>1300000</v>
      </c>
      <c r="H11" s="42"/>
      <c r="I11" s="42"/>
      <c r="J11" s="42"/>
      <c r="K11" s="421">
        <f t="shared" si="1"/>
        <v>1300000</v>
      </c>
      <c r="L11" s="17">
        <v>1700000</v>
      </c>
      <c r="M11" s="423">
        <f t="shared" si="0"/>
        <v>15754.550000000047</v>
      </c>
      <c r="N11" s="17"/>
      <c r="O11" s="17"/>
    </row>
    <row r="12" spans="1:15">
      <c r="A12" s="17">
        <v>9</v>
      </c>
      <c r="B12" s="358" t="s">
        <v>176</v>
      </c>
      <c r="C12" s="358" t="s">
        <v>265</v>
      </c>
      <c r="D12" s="402" t="s">
        <v>266</v>
      </c>
      <c r="E12" s="314">
        <v>42.45</v>
      </c>
      <c r="F12" s="314">
        <v>97.76</v>
      </c>
      <c r="G12" s="42">
        <v>4150</v>
      </c>
      <c r="H12" s="42"/>
      <c r="I12" s="42"/>
      <c r="J12" s="42"/>
      <c r="K12" s="421">
        <f t="shared" si="1"/>
        <v>4150</v>
      </c>
      <c r="L12" s="48"/>
      <c r="M12" s="423">
        <f t="shared" si="0"/>
        <v>11604.550000000047</v>
      </c>
      <c r="N12" s="17"/>
      <c r="O12" s="17"/>
    </row>
    <row r="13" spans="1:15">
      <c r="A13" s="100">
        <v>10</v>
      </c>
      <c r="B13" s="358" t="s">
        <v>131</v>
      </c>
      <c r="C13" s="403" t="s">
        <v>271</v>
      </c>
      <c r="D13" s="402" t="s">
        <v>266</v>
      </c>
      <c r="E13" s="314">
        <v>100</v>
      </c>
      <c r="F13" s="314">
        <v>92.02</v>
      </c>
      <c r="G13" s="42">
        <v>9202</v>
      </c>
      <c r="H13" s="42"/>
      <c r="I13" s="42"/>
      <c r="J13" s="42"/>
      <c r="K13" s="421">
        <f t="shared" si="1"/>
        <v>9202</v>
      </c>
      <c r="L13" s="48"/>
      <c r="M13" s="423">
        <f t="shared" si="0"/>
        <v>2402.5500000000466</v>
      </c>
      <c r="N13" s="17"/>
      <c r="O13" s="17"/>
    </row>
    <row r="14" spans="1:15">
      <c r="A14" s="17">
        <v>11</v>
      </c>
      <c r="B14" s="358" t="s">
        <v>178</v>
      </c>
      <c r="C14" s="403" t="s">
        <v>271</v>
      </c>
      <c r="D14" s="402" t="s">
        <v>266</v>
      </c>
      <c r="E14" s="314"/>
      <c r="F14" s="314"/>
      <c r="G14" s="42"/>
      <c r="H14" s="42">
        <v>5</v>
      </c>
      <c r="I14" s="42">
        <v>104.02</v>
      </c>
      <c r="J14" s="42">
        <v>520.1</v>
      </c>
      <c r="K14" s="421">
        <f t="shared" si="1"/>
        <v>520.1</v>
      </c>
      <c r="L14" s="48">
        <v>8200000</v>
      </c>
      <c r="M14" s="423">
        <f t="shared" si="0"/>
        <v>8201882.4500000002</v>
      </c>
      <c r="N14" s="17"/>
      <c r="O14" s="17"/>
    </row>
    <row r="15" spans="1:15">
      <c r="A15" s="17">
        <v>12</v>
      </c>
      <c r="B15" s="358" t="s">
        <v>178</v>
      </c>
      <c r="C15" s="403" t="s">
        <v>272</v>
      </c>
      <c r="D15" s="402">
        <v>8200079004507080</v>
      </c>
      <c r="E15" s="314">
        <v>78386.25</v>
      </c>
      <c r="F15" s="314">
        <v>95.68</v>
      </c>
      <c r="G15" s="42">
        <v>7500000</v>
      </c>
      <c r="H15" s="224"/>
      <c r="I15" s="224"/>
      <c r="J15" s="224"/>
      <c r="K15" s="421">
        <f t="shared" si="1"/>
        <v>7500000</v>
      </c>
      <c r="L15" s="48">
        <v>1000000</v>
      </c>
      <c r="M15" s="423">
        <f t="shared" si="0"/>
        <v>1701882.4499999993</v>
      </c>
      <c r="N15" s="100"/>
      <c r="O15" s="100"/>
    </row>
    <row r="16" spans="1:15">
      <c r="A16" s="100">
        <v>13</v>
      </c>
      <c r="B16" s="17" t="s">
        <v>179</v>
      </c>
      <c r="C16" s="403" t="s">
        <v>270</v>
      </c>
      <c r="D16" s="402">
        <v>8200079004507060</v>
      </c>
      <c r="E16" s="425">
        <v>4372.5600000000004</v>
      </c>
      <c r="F16" s="425">
        <v>91.48</v>
      </c>
      <c r="G16" s="42">
        <v>400000</v>
      </c>
      <c r="H16" s="224"/>
      <c r="I16" s="224"/>
      <c r="J16" s="224"/>
      <c r="K16" s="421">
        <f t="shared" si="1"/>
        <v>400000</v>
      </c>
      <c r="L16" s="48"/>
      <c r="M16" s="423">
        <f t="shared" si="0"/>
        <v>1301882.4499999993</v>
      </c>
      <c r="N16" s="100"/>
      <c r="O16" s="100"/>
    </row>
    <row r="17" spans="1:15">
      <c r="A17" s="17">
        <v>14</v>
      </c>
      <c r="B17" s="17" t="s">
        <v>179</v>
      </c>
      <c r="C17" s="83" t="s">
        <v>268</v>
      </c>
      <c r="D17" s="403" t="s">
        <v>269</v>
      </c>
      <c r="E17" s="426">
        <v>3284.8</v>
      </c>
      <c r="F17" s="426">
        <v>91.33</v>
      </c>
      <c r="G17" s="42">
        <v>300000</v>
      </c>
      <c r="H17" s="224"/>
      <c r="I17" s="224"/>
      <c r="J17" s="224"/>
      <c r="K17" s="421">
        <f t="shared" si="1"/>
        <v>300000</v>
      </c>
      <c r="L17" s="48"/>
      <c r="M17" s="423">
        <f t="shared" si="0"/>
        <v>1001882.4499999993</v>
      </c>
      <c r="N17" s="359"/>
      <c r="O17" s="100"/>
    </row>
    <row r="18" spans="1:15">
      <c r="A18" s="17">
        <v>15</v>
      </c>
      <c r="B18" s="17" t="s">
        <v>181</v>
      </c>
      <c r="C18" s="403" t="s">
        <v>265</v>
      </c>
      <c r="D18" s="402" t="s">
        <v>266</v>
      </c>
      <c r="E18" s="316">
        <v>30.69</v>
      </c>
      <c r="F18" s="425">
        <v>97.76</v>
      </c>
      <c r="G18" s="42">
        <v>3000</v>
      </c>
      <c r="H18" s="224"/>
      <c r="I18" s="224"/>
      <c r="J18" s="224"/>
      <c r="K18" s="421">
        <f t="shared" si="1"/>
        <v>3000</v>
      </c>
      <c r="L18" s="48"/>
      <c r="M18" s="423">
        <f>SUM(M17+L18-K18)</f>
        <v>998882.44999999925</v>
      </c>
      <c r="N18" s="359"/>
      <c r="O18" s="100"/>
    </row>
    <row r="19" spans="1:15">
      <c r="A19" s="100">
        <v>16</v>
      </c>
      <c r="B19" s="17" t="s">
        <v>181</v>
      </c>
      <c r="C19" s="403" t="s">
        <v>267</v>
      </c>
      <c r="D19" s="416" t="s">
        <v>266</v>
      </c>
      <c r="E19" s="316">
        <v>190</v>
      </c>
      <c r="F19" s="426">
        <v>92.17</v>
      </c>
      <c r="G19" s="42">
        <v>17512.3</v>
      </c>
      <c r="H19" s="42">
        <v>20</v>
      </c>
      <c r="I19" s="42">
        <v>104.02</v>
      </c>
      <c r="J19" s="42">
        <v>2080.4</v>
      </c>
      <c r="K19" s="421">
        <f t="shared" si="1"/>
        <v>19592.7</v>
      </c>
      <c r="L19" s="48"/>
      <c r="M19" s="423">
        <f>SUM(M18+L19-K19)</f>
        <v>979289.7499999993</v>
      </c>
      <c r="N19" s="17"/>
      <c r="O19" s="17"/>
    </row>
    <row r="20" spans="1:15">
      <c r="A20" s="17">
        <v>17</v>
      </c>
      <c r="B20" s="17" t="s">
        <v>182</v>
      </c>
      <c r="C20" s="419" t="s">
        <v>265</v>
      </c>
      <c r="D20" s="402" t="s">
        <v>266</v>
      </c>
      <c r="E20" s="314">
        <v>400</v>
      </c>
      <c r="F20" s="427">
        <v>97.76</v>
      </c>
      <c r="G20" s="42">
        <v>39104</v>
      </c>
      <c r="H20" s="42"/>
      <c r="I20" s="42"/>
      <c r="J20" s="42"/>
      <c r="K20" s="421">
        <f>G20+J20</f>
        <v>39104</v>
      </c>
      <c r="L20" s="48"/>
      <c r="M20" s="423">
        <f>SUM(M19+L20-K20)</f>
        <v>940185.7499999993</v>
      </c>
      <c r="N20" s="17"/>
      <c r="O20" s="17"/>
    </row>
    <row r="21" spans="1:15">
      <c r="A21" s="17">
        <v>18</v>
      </c>
      <c r="B21" s="249"/>
      <c r="C21" s="420"/>
      <c r="D21" s="395"/>
      <c r="E21" s="340"/>
      <c r="F21" s="415"/>
      <c r="G21" s="42"/>
      <c r="H21" s="42"/>
      <c r="I21" s="42"/>
      <c r="J21" s="42"/>
      <c r="K21" s="422"/>
      <c r="L21" s="48"/>
      <c r="M21" s="423">
        <f t="shared" si="0"/>
        <v>940185.7499999993</v>
      </c>
      <c r="N21" s="17"/>
      <c r="O21" s="17"/>
    </row>
    <row r="22" spans="1:15">
      <c r="A22" s="100">
        <v>19</v>
      </c>
      <c r="B22" s="249"/>
      <c r="C22" s="403"/>
      <c r="D22" s="417"/>
      <c r="E22" s="189"/>
      <c r="F22" s="42"/>
      <c r="G22" s="42"/>
      <c r="H22" s="42"/>
      <c r="I22" s="42"/>
      <c r="J22" s="42"/>
      <c r="K22" s="103"/>
      <c r="L22" s="48"/>
      <c r="M22" s="423">
        <f t="shared" si="0"/>
        <v>940185.7499999993</v>
      </c>
      <c r="N22" s="17"/>
      <c r="O22" s="17"/>
    </row>
    <row r="23" spans="1:15">
      <c r="A23" s="17">
        <v>20</v>
      </c>
      <c r="B23" s="249"/>
      <c r="C23" s="204"/>
      <c r="D23" s="17"/>
      <c r="E23" s="17"/>
      <c r="F23" s="17"/>
      <c r="G23" s="17"/>
      <c r="H23" s="17"/>
      <c r="I23" s="17"/>
      <c r="J23" s="17"/>
      <c r="K23" s="394"/>
      <c r="L23" s="424"/>
      <c r="M23" s="418">
        <f>SUM(M22+L23-K23)</f>
        <v>940185.7499999993</v>
      </c>
      <c r="N23" s="249">
        <v>939685.75</v>
      </c>
      <c r="O23" s="42">
        <f>M23-N23</f>
        <v>499.99999999930151</v>
      </c>
    </row>
    <row r="26" spans="1:15">
      <c r="E26">
        <v>4000</v>
      </c>
      <c r="F26">
        <v>97.7</v>
      </c>
      <c r="G26">
        <f>E26*F26</f>
        <v>390800</v>
      </c>
      <c r="I26" s="244"/>
    </row>
  </sheetData>
  <autoFilter ref="A2:O23" xr:uid="{FE0DBD2A-34DD-4CE3-849C-464A244C338A}"/>
  <mergeCells count="2">
    <mergeCell ref="A1:O1"/>
    <mergeCell ref="A3:J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D20A-690F-40FF-B91E-37D431DC6476}">
  <dimension ref="A1:X56"/>
  <sheetViews>
    <sheetView workbookViewId="0">
      <pane ySplit="17" topLeftCell="A18" activePane="bottomLeft" state="frozen"/>
      <selection pane="bottomLeft"/>
    </sheetView>
  </sheetViews>
  <sheetFormatPr defaultRowHeight="15"/>
  <cols>
    <col min="1" max="1" width="27" bestFit="1" customWidth="1"/>
    <col min="2" max="2" width="17.42578125" bestFit="1" customWidth="1"/>
    <col min="3" max="3" width="15.7109375" bestFit="1" customWidth="1"/>
    <col min="4" max="4" width="22.85546875" customWidth="1"/>
    <col min="5" max="5" width="23.7109375" bestFit="1" customWidth="1"/>
    <col min="6" max="6" width="17.42578125" bestFit="1" customWidth="1"/>
    <col min="7" max="7" width="13.5703125" bestFit="1" customWidth="1"/>
    <col min="8" max="8" width="13" bestFit="1" customWidth="1"/>
    <col min="16" max="16" width="6.85546875" bestFit="1" customWidth="1"/>
    <col min="17" max="17" width="12.42578125" bestFit="1" customWidth="1"/>
    <col min="19" max="19" width="6.85546875" bestFit="1" customWidth="1"/>
    <col min="20" max="20" width="11.5703125" bestFit="1" customWidth="1"/>
    <col min="21" max="21" width="13" bestFit="1" customWidth="1"/>
    <col min="23" max="23" width="9.85546875" bestFit="1" customWidth="1"/>
    <col min="24" max="24" width="8" bestFit="1" customWidth="1"/>
  </cols>
  <sheetData>
    <row r="1" spans="1:24" ht="24">
      <c r="A1" s="486" t="s">
        <v>273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28"/>
      <c r="P1" s="428" t="s">
        <v>96</v>
      </c>
      <c r="Q1" s="428" t="s">
        <v>274</v>
      </c>
      <c r="R1" s="428"/>
      <c r="S1" s="428" t="s">
        <v>96</v>
      </c>
      <c r="T1" s="428" t="s">
        <v>275</v>
      </c>
      <c r="U1" s="428" t="s">
        <v>9</v>
      </c>
      <c r="V1" s="428"/>
      <c r="W1" s="428" t="s">
        <v>276</v>
      </c>
      <c r="X1" s="428" t="s">
        <v>277</v>
      </c>
    </row>
    <row r="2" spans="1:24">
      <c r="A2" s="488" t="s">
        <v>278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28"/>
      <c r="P2" s="428">
        <f>'YG Gudda '!B4</f>
        <v>45962</v>
      </c>
      <c r="Q2" s="429">
        <f>'YG Gudda '!M4</f>
        <v>102795.06451380023</v>
      </c>
      <c r="R2" s="428"/>
      <c r="S2" s="428">
        <f>'YG Gudda '!B4</f>
        <v>45962</v>
      </c>
      <c r="T2" s="428">
        <f>'YG Gudda '!K4</f>
        <v>0</v>
      </c>
      <c r="U2" s="429">
        <f>'YG Gudda '!L4</f>
        <v>0</v>
      </c>
      <c r="V2" s="428"/>
      <c r="W2" s="428" t="str">
        <f>"Diesel"</f>
        <v>Diesel</v>
      </c>
      <c r="X2" s="428">
        <f>SUM('YG Gudda '!E4:E35)</f>
        <v>164.29</v>
      </c>
    </row>
    <row r="3" spans="1:24">
      <c r="A3" s="428"/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>
        <f>'YG Gudda '!B5</f>
        <v>45963</v>
      </c>
      <c r="Q3" s="429">
        <f>'YG Gudda '!M5</f>
        <v>102795.06451380023</v>
      </c>
      <c r="R3" s="428"/>
      <c r="S3" s="428">
        <f>'YG Gudda '!B5</f>
        <v>45963</v>
      </c>
      <c r="T3" s="428">
        <f>'YG Gudda '!K5</f>
        <v>0</v>
      </c>
      <c r="U3" s="429">
        <f>'YG Gudda '!L5</f>
        <v>0</v>
      </c>
      <c r="V3" s="428"/>
      <c r="W3" s="428" t="str">
        <f>"Petrol"</f>
        <v>Petrol</v>
      </c>
      <c r="X3" s="428">
        <f>SUM('YG Gudda '!H4:H35)</f>
        <v>70</v>
      </c>
    </row>
    <row r="4" spans="1:24">
      <c r="A4" s="430" t="s">
        <v>107</v>
      </c>
      <c r="B4" s="430" t="s">
        <v>279</v>
      </c>
      <c r="C4" s="430" t="s">
        <v>9</v>
      </c>
      <c r="D4" s="430" t="s">
        <v>280</v>
      </c>
      <c r="E4" s="430" t="s">
        <v>281</v>
      </c>
      <c r="F4" s="430" t="s">
        <v>282</v>
      </c>
      <c r="G4" s="430" t="s">
        <v>283</v>
      </c>
      <c r="H4" s="430" t="s">
        <v>284</v>
      </c>
      <c r="I4" s="428"/>
      <c r="J4" s="428"/>
      <c r="K4" s="428"/>
      <c r="L4" s="428"/>
      <c r="M4" s="428"/>
      <c r="N4" s="428"/>
      <c r="O4" s="428"/>
      <c r="P4" s="428">
        <f>'YG Gudda '!B6</f>
        <v>45964</v>
      </c>
      <c r="Q4" s="429">
        <f>'YG Gudda '!M6</f>
        <v>102795.06451380023</v>
      </c>
      <c r="R4" s="428"/>
      <c r="S4" s="428">
        <f>'YG Gudda '!B6</f>
        <v>45964</v>
      </c>
      <c r="T4" s="428">
        <f>'YG Gudda '!K6</f>
        <v>0</v>
      </c>
      <c r="U4" s="429">
        <f>'YG Gudda '!L6</f>
        <v>0</v>
      </c>
      <c r="V4" s="428"/>
      <c r="W4" s="428"/>
      <c r="X4" s="428"/>
    </row>
    <row r="5" spans="1:24">
      <c r="A5" s="431">
        <f>'YG Gudda '!K3</f>
        <v>102795.06451380023</v>
      </c>
      <c r="B5" s="431">
        <f>SUM('YG Gudda '!K4:K35)</f>
        <v>22226.476999999999</v>
      </c>
      <c r="C5" s="431">
        <f>SUM('YG Gudda '!L4:L35)</f>
        <v>100000</v>
      </c>
      <c r="D5" s="431" cm="1">
        <f t="array" ref="D5">LOOKUP(2,1/('YG Gudda '!M4:M35&lt;&gt;""),'YG Gudda '!M4:M35)</f>
        <v>25021.541513800228</v>
      </c>
      <c r="E5" s="431">
        <f>A5-D5</f>
        <v>77773.523000000001</v>
      </c>
      <c r="F5" s="432">
        <f>COUNTIF('YG Gudda '!K4:K35,"&gt;0")</f>
        <v>1</v>
      </c>
      <c r="G5" s="433">
        <f>SUM('YG Gudda '!E4:E35)</f>
        <v>164.29</v>
      </c>
      <c r="H5" s="433">
        <f>SUM('YG Gudda '!H4:H35)</f>
        <v>70</v>
      </c>
      <c r="I5" s="428"/>
      <c r="J5" s="428"/>
      <c r="K5" s="428"/>
      <c r="L5" s="428"/>
      <c r="M5" s="428"/>
      <c r="N5" s="428"/>
      <c r="O5" s="428"/>
      <c r="P5" s="428">
        <f>'YG Gudda '!B7</f>
        <v>45965</v>
      </c>
      <c r="Q5" s="429">
        <f>'YG Gudda '!M7</f>
        <v>102795.06451380023</v>
      </c>
      <c r="R5" s="428"/>
      <c r="S5" s="428">
        <f>'YG Gudda '!B7</f>
        <v>45965</v>
      </c>
      <c r="T5" s="428">
        <f>'YG Gudda '!K7</f>
        <v>0</v>
      </c>
      <c r="U5" s="429">
        <f>'YG Gudda '!L7</f>
        <v>0</v>
      </c>
      <c r="V5" s="428"/>
      <c r="W5" s="428"/>
      <c r="X5" s="428"/>
    </row>
    <row r="6" spans="1:24">
      <c r="A6" s="428"/>
      <c r="B6" s="428"/>
      <c r="C6" s="428"/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428"/>
      <c r="P6" s="428">
        <f>'YG Gudda '!B8</f>
        <v>45966</v>
      </c>
      <c r="Q6" s="429">
        <f>'YG Gudda '!M8</f>
        <v>102795.06451380023</v>
      </c>
      <c r="R6" s="428"/>
      <c r="S6" s="428">
        <f>'YG Gudda '!B8</f>
        <v>45966</v>
      </c>
      <c r="T6" s="428">
        <f>'YG Gudda '!K8</f>
        <v>0</v>
      </c>
      <c r="U6" s="429">
        <f>'YG Gudda '!L8</f>
        <v>0</v>
      </c>
      <c r="V6" s="428"/>
      <c r="W6" s="428"/>
      <c r="X6" s="428"/>
    </row>
    <row r="7" spans="1:24">
      <c r="A7" s="489" t="s">
        <v>285</v>
      </c>
      <c r="B7" s="487"/>
      <c r="C7" s="487"/>
      <c r="D7" s="487"/>
      <c r="E7" s="487"/>
      <c r="F7" s="428"/>
      <c r="G7" s="428"/>
      <c r="H7" s="428"/>
      <c r="I7" s="428"/>
      <c r="J7" s="428"/>
      <c r="K7" s="428"/>
      <c r="L7" s="428"/>
      <c r="M7" s="428"/>
      <c r="N7" s="428"/>
      <c r="O7" s="428"/>
      <c r="P7" s="428">
        <f>'YG Gudda '!B9</f>
        <v>45967</v>
      </c>
      <c r="Q7" s="429">
        <f>'YG Gudda '!M9</f>
        <v>102795.06451380023</v>
      </c>
      <c r="R7" s="428"/>
      <c r="S7" s="428">
        <f>'YG Gudda '!B9</f>
        <v>45967</v>
      </c>
      <c r="T7" s="428">
        <f>'YG Gudda '!K9</f>
        <v>0</v>
      </c>
      <c r="U7" s="429">
        <f>'YG Gudda '!L9</f>
        <v>0</v>
      </c>
      <c r="V7" s="428"/>
      <c r="W7" s="428"/>
      <c r="X7" s="428"/>
    </row>
    <row r="8" spans="1:24" ht="72.75">
      <c r="A8" s="434" t="s">
        <v>286</v>
      </c>
      <c r="B8" s="434"/>
      <c r="C8" s="434"/>
      <c r="D8" s="434"/>
      <c r="E8" s="434"/>
      <c r="F8" s="428"/>
      <c r="G8" s="428"/>
      <c r="H8" s="428"/>
      <c r="I8" s="428"/>
      <c r="J8" s="428"/>
      <c r="K8" s="428"/>
      <c r="L8" s="428"/>
      <c r="M8" s="428"/>
      <c r="N8" s="428"/>
      <c r="O8" s="428"/>
      <c r="P8" s="428">
        <f>'YG Gudda '!B10</f>
        <v>45968</v>
      </c>
      <c r="Q8" s="429">
        <f>'YG Gudda '!M10</f>
        <v>102795.06451380023</v>
      </c>
      <c r="R8" s="428"/>
      <c r="S8" s="428">
        <f>'YG Gudda '!B10</f>
        <v>45968</v>
      </c>
      <c r="T8" s="428">
        <f>'YG Gudda '!K10</f>
        <v>0</v>
      </c>
      <c r="U8" s="429">
        <f>'YG Gudda '!L10</f>
        <v>0</v>
      </c>
      <c r="V8" s="428"/>
      <c r="W8" s="428"/>
      <c r="X8" s="428"/>
    </row>
    <row r="9" spans="1:24" ht="72.75">
      <c r="A9" s="434" t="s">
        <v>287</v>
      </c>
      <c r="B9" s="434"/>
      <c r="C9" s="434"/>
      <c r="D9" s="434"/>
      <c r="E9" s="434"/>
      <c r="F9" s="428"/>
      <c r="G9" s="428"/>
      <c r="H9" s="428"/>
      <c r="I9" s="428"/>
      <c r="J9" s="428"/>
      <c r="K9" s="428"/>
      <c r="L9" s="428"/>
      <c r="M9" s="428"/>
      <c r="N9" s="428"/>
      <c r="O9" s="428"/>
      <c r="P9" s="428">
        <f>'YG Gudda '!B11</f>
        <v>45969</v>
      </c>
      <c r="Q9" s="429">
        <f>'YG Gudda '!M11</f>
        <v>102795.06451380023</v>
      </c>
      <c r="R9" s="428"/>
      <c r="S9" s="428">
        <f>'YG Gudda '!B11</f>
        <v>45969</v>
      </c>
      <c r="T9" s="428">
        <f>'YG Gudda '!K11</f>
        <v>0</v>
      </c>
      <c r="U9" s="429">
        <f>'YG Gudda '!L11</f>
        <v>0</v>
      </c>
      <c r="V9" s="428"/>
      <c r="W9" s="428"/>
      <c r="X9" s="428"/>
    </row>
    <row r="10" spans="1:24" ht="43.5">
      <c r="A10" s="434" t="s">
        <v>288</v>
      </c>
      <c r="B10" s="434"/>
      <c r="C10" s="434"/>
      <c r="D10" s="434"/>
      <c r="E10" s="434"/>
      <c r="F10" s="428"/>
      <c r="G10" s="428"/>
      <c r="H10" s="428"/>
      <c r="I10" s="428"/>
      <c r="J10" s="428"/>
      <c r="K10" s="428"/>
      <c r="L10" s="428"/>
      <c r="M10" s="428"/>
      <c r="N10" s="428"/>
      <c r="O10" s="428"/>
      <c r="P10" s="428">
        <f>'YG Gudda '!B12</f>
        <v>45970</v>
      </c>
      <c r="Q10" s="429">
        <f>'YG Gudda '!M12</f>
        <v>102795.06451380023</v>
      </c>
      <c r="R10" s="428"/>
      <c r="S10" s="428">
        <f>'YG Gudda '!B12</f>
        <v>45970</v>
      </c>
      <c r="T10" s="428">
        <f>'YG Gudda '!K12</f>
        <v>0</v>
      </c>
      <c r="U10" s="429">
        <f>'YG Gudda '!L12</f>
        <v>0</v>
      </c>
      <c r="V10" s="428"/>
      <c r="W10" s="428"/>
      <c r="X10" s="428"/>
    </row>
    <row r="11" spans="1:24" ht="57.75">
      <c r="A11" s="434" t="s">
        <v>289</v>
      </c>
      <c r="B11" s="434"/>
      <c r="C11" s="434"/>
      <c r="D11" s="434"/>
      <c r="E11" s="434"/>
      <c r="F11" s="428"/>
      <c r="G11" s="428"/>
      <c r="H11" s="428"/>
      <c r="I11" s="428"/>
      <c r="J11" s="428"/>
      <c r="K11" s="428"/>
      <c r="L11" s="428"/>
      <c r="M11" s="428"/>
      <c r="N11" s="428"/>
      <c r="O11" s="428"/>
      <c r="P11" s="428">
        <f>'YG Gudda '!B13</f>
        <v>45971</v>
      </c>
      <c r="Q11" s="429">
        <f>'YG Gudda '!M13</f>
        <v>102795.06451380023</v>
      </c>
      <c r="R11" s="428"/>
      <c r="S11" s="428">
        <f>'YG Gudda '!B13</f>
        <v>45971</v>
      </c>
      <c r="T11" s="428">
        <f>'YG Gudda '!K13</f>
        <v>0</v>
      </c>
      <c r="U11" s="429">
        <f>'YG Gudda '!L13</f>
        <v>0</v>
      </c>
      <c r="V11" s="428"/>
      <c r="W11" s="428"/>
      <c r="X11" s="428"/>
    </row>
    <row r="12" spans="1:24" ht="57.75">
      <c r="A12" s="434" t="s">
        <v>290</v>
      </c>
      <c r="B12" s="434"/>
      <c r="C12" s="434"/>
      <c r="D12" s="434"/>
      <c r="E12" s="434"/>
      <c r="F12" s="428"/>
      <c r="G12" s="428"/>
      <c r="H12" s="428"/>
      <c r="I12" s="428"/>
      <c r="J12" s="428"/>
      <c r="K12" s="428"/>
      <c r="L12" s="428"/>
      <c r="M12" s="428"/>
      <c r="N12" s="428"/>
      <c r="O12" s="428"/>
      <c r="P12" s="428">
        <f>'YG Gudda '!B14</f>
        <v>45972</v>
      </c>
      <c r="Q12" s="429">
        <f>'YG Gudda '!M14</f>
        <v>102795.06451380023</v>
      </c>
      <c r="R12" s="428"/>
      <c r="S12" s="428">
        <f>'YG Gudda '!B14</f>
        <v>45972</v>
      </c>
      <c r="T12" s="428">
        <f>'YG Gudda '!K14</f>
        <v>0</v>
      </c>
      <c r="U12" s="429">
        <f>'YG Gudda '!L14</f>
        <v>0</v>
      </c>
      <c r="V12" s="428"/>
      <c r="W12" s="428"/>
      <c r="X12" s="428"/>
    </row>
    <row r="13" spans="1:24" ht="43.5">
      <c r="A13" s="434" t="s">
        <v>291</v>
      </c>
      <c r="B13" s="434"/>
      <c r="C13" s="434"/>
      <c r="D13" s="434"/>
      <c r="E13" s="434"/>
      <c r="F13" s="428"/>
      <c r="G13" s="428"/>
      <c r="H13" s="428"/>
      <c r="I13" s="428"/>
      <c r="J13" s="428"/>
      <c r="K13" s="428"/>
      <c r="L13" s="428"/>
      <c r="M13" s="428"/>
      <c r="N13" s="428"/>
      <c r="O13" s="428"/>
      <c r="P13" s="428">
        <f>'YG Gudda '!B15</f>
        <v>45973</v>
      </c>
      <c r="Q13" s="429">
        <f>'YG Gudda '!M15</f>
        <v>102795.06451380023</v>
      </c>
      <c r="R13" s="428"/>
      <c r="S13" s="428">
        <f>'YG Gudda '!B15</f>
        <v>45973</v>
      </c>
      <c r="T13" s="428">
        <f>'YG Gudda '!K15</f>
        <v>0</v>
      </c>
      <c r="U13" s="429">
        <f>'YG Gudda '!L15</f>
        <v>0</v>
      </c>
      <c r="V13" s="428"/>
      <c r="W13" s="428"/>
      <c r="X13" s="428"/>
    </row>
    <row r="14" spans="1:24">
      <c r="A14" s="428"/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428"/>
      <c r="O14" s="428"/>
      <c r="P14" s="428">
        <f>'YG Gudda '!B16</f>
        <v>45974</v>
      </c>
      <c r="Q14" s="429">
        <f>'YG Gudda '!M16</f>
        <v>102795.06451380023</v>
      </c>
      <c r="R14" s="428"/>
      <c r="S14" s="428">
        <f>'YG Gudda '!B16</f>
        <v>45974</v>
      </c>
      <c r="T14" s="428">
        <f>'YG Gudda '!K16</f>
        <v>0</v>
      </c>
      <c r="U14" s="429">
        <f>'YG Gudda '!L16</f>
        <v>0</v>
      </c>
      <c r="V14" s="428"/>
      <c r="W14" s="428"/>
      <c r="X14" s="428"/>
    </row>
    <row r="15" spans="1:24">
      <c r="A15" s="428"/>
      <c r="B15" s="428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>
        <f>'YG Gudda '!B17</f>
        <v>45975</v>
      </c>
      <c r="Q15" s="429">
        <f>'YG Gudda '!M17</f>
        <v>102795.06451380023</v>
      </c>
      <c r="R15" s="428"/>
      <c r="S15" s="428">
        <f>'YG Gudda '!B17</f>
        <v>45975</v>
      </c>
      <c r="T15" s="428">
        <f>'YG Gudda '!K17</f>
        <v>0</v>
      </c>
      <c r="U15" s="429">
        <f>'YG Gudda '!L17</f>
        <v>0</v>
      </c>
      <c r="V15" s="428"/>
      <c r="W15" s="428"/>
      <c r="X15" s="428"/>
    </row>
    <row r="16" spans="1:24" ht="17.25">
      <c r="A16" s="440" t="s">
        <v>292</v>
      </c>
      <c r="B16" s="428"/>
      <c r="C16" s="428"/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8"/>
      <c r="O16" s="428"/>
      <c r="P16" s="428">
        <f>'YG Gudda '!B18</f>
        <v>45976</v>
      </c>
      <c r="Q16" s="429">
        <f>'YG Gudda '!M18</f>
        <v>75021.541513800228</v>
      </c>
      <c r="R16" s="428"/>
      <c r="S16" s="428">
        <f>'YG Gudda '!B18</f>
        <v>45976</v>
      </c>
      <c r="T16" s="428">
        <f>'YG Gudda '!K18</f>
        <v>22226.476999999999</v>
      </c>
      <c r="U16" s="429">
        <f>'YG Gudda '!L18</f>
        <v>50000</v>
      </c>
      <c r="V16" s="428"/>
      <c r="W16" s="428"/>
      <c r="X16" s="428"/>
    </row>
    <row r="17" spans="1:24">
      <c r="A17" s="435" t="s">
        <v>96</v>
      </c>
      <c r="B17" s="435" t="s">
        <v>293</v>
      </c>
      <c r="C17" s="435" t="s">
        <v>4</v>
      </c>
      <c r="D17" s="435" t="s">
        <v>294</v>
      </c>
      <c r="E17" s="435" t="s">
        <v>6</v>
      </c>
      <c r="F17" s="435" t="s">
        <v>279</v>
      </c>
      <c r="G17" s="435" t="s">
        <v>9</v>
      </c>
      <c r="H17" s="435" t="s">
        <v>274</v>
      </c>
      <c r="I17" s="428"/>
      <c r="J17" s="428"/>
      <c r="K17" s="428"/>
      <c r="L17" s="428"/>
      <c r="M17" s="428"/>
      <c r="N17" s="428"/>
      <c r="O17" s="428"/>
      <c r="P17" s="428">
        <f>'YG Gudda '!B19</f>
        <v>45977</v>
      </c>
      <c r="Q17" s="429">
        <f>'YG Gudda '!M19</f>
        <v>75021.541513800228</v>
      </c>
      <c r="R17" s="428"/>
      <c r="S17" s="428">
        <f>'YG Gudda '!B19</f>
        <v>45977</v>
      </c>
      <c r="T17" s="428">
        <f>'YG Gudda '!K19</f>
        <v>0</v>
      </c>
      <c r="U17" s="429">
        <f>'YG Gudda '!L19</f>
        <v>0</v>
      </c>
      <c r="V17" s="428"/>
      <c r="W17" s="428"/>
      <c r="X17" s="428"/>
    </row>
    <row r="18" spans="1:24">
      <c r="A18" s="441">
        <f>'YG Gudda '!B4</f>
        <v>45962</v>
      </c>
      <c r="B18" s="436">
        <f>'YG Gudda '!E4</f>
        <v>0</v>
      </c>
      <c r="C18" s="437">
        <f>'YG Gudda '!G4</f>
        <v>0</v>
      </c>
      <c r="D18" s="436">
        <f>'YG Gudda '!H4</f>
        <v>0</v>
      </c>
      <c r="E18" s="437">
        <f>'YG Gudda '!J4</f>
        <v>0</v>
      </c>
      <c r="F18" s="437">
        <f>'YG Gudda '!K4</f>
        <v>0</v>
      </c>
      <c r="G18" s="437">
        <f>'YG Gudda '!L4</f>
        <v>0</v>
      </c>
      <c r="H18" s="437">
        <f>'YG Gudda '!M4</f>
        <v>102795.06451380023</v>
      </c>
      <c r="I18" s="428"/>
      <c r="J18" s="428"/>
      <c r="K18" s="428"/>
      <c r="L18" s="428"/>
      <c r="M18" s="428"/>
      <c r="N18" s="428"/>
      <c r="O18" s="428"/>
      <c r="P18" s="428">
        <f>'YG Gudda '!B20</f>
        <v>45978</v>
      </c>
      <c r="Q18" s="429">
        <f>'YG Gudda '!M20</f>
        <v>75021.541513800228</v>
      </c>
      <c r="R18" s="428"/>
      <c r="S18" s="428">
        <f>'YG Gudda '!B20</f>
        <v>45978</v>
      </c>
      <c r="T18" s="428">
        <f>'YG Gudda '!K20</f>
        <v>0</v>
      </c>
      <c r="U18" s="429">
        <f>'YG Gudda '!L20</f>
        <v>0</v>
      </c>
      <c r="V18" s="428"/>
      <c r="W18" s="428"/>
      <c r="X18" s="428"/>
    </row>
    <row r="19" spans="1:24">
      <c r="A19" s="441">
        <f>'YG Gudda '!B5</f>
        <v>45963</v>
      </c>
      <c r="B19" s="436">
        <f>'YG Gudda '!E5</f>
        <v>0</v>
      </c>
      <c r="C19" s="437">
        <f>'YG Gudda '!G5</f>
        <v>0</v>
      </c>
      <c r="D19" s="436">
        <f>'YG Gudda '!H5</f>
        <v>0</v>
      </c>
      <c r="E19" s="437">
        <f>'YG Gudda '!J5</f>
        <v>0</v>
      </c>
      <c r="F19" s="437">
        <f>'YG Gudda '!K5</f>
        <v>0</v>
      </c>
      <c r="G19" s="437">
        <f>'YG Gudda '!L5</f>
        <v>0</v>
      </c>
      <c r="H19" s="437">
        <f>'YG Gudda '!M5</f>
        <v>102795.06451380023</v>
      </c>
      <c r="I19" s="428"/>
      <c r="J19" s="428"/>
      <c r="K19" s="428"/>
      <c r="L19" s="428"/>
      <c r="M19" s="428"/>
      <c r="N19" s="428"/>
      <c r="O19" s="428"/>
      <c r="P19" s="428">
        <f>'YG Gudda '!B21</f>
        <v>45979</v>
      </c>
      <c r="Q19" s="429">
        <f>'YG Gudda '!M21</f>
        <v>75021.541513800228</v>
      </c>
      <c r="R19" s="428"/>
      <c r="S19" s="428">
        <f>'YG Gudda '!B21</f>
        <v>45979</v>
      </c>
      <c r="T19" s="428">
        <f>'YG Gudda '!K21</f>
        <v>0</v>
      </c>
      <c r="U19" s="429">
        <f>'YG Gudda '!L21</f>
        <v>0</v>
      </c>
      <c r="V19" s="428"/>
      <c r="W19" s="428"/>
      <c r="X19" s="428"/>
    </row>
    <row r="20" spans="1:24">
      <c r="A20" s="441">
        <f>'YG Gudda '!B6</f>
        <v>45964</v>
      </c>
      <c r="B20" s="436">
        <f>'YG Gudda '!E6</f>
        <v>0</v>
      </c>
      <c r="C20" s="437">
        <f>'YG Gudda '!G6</f>
        <v>0</v>
      </c>
      <c r="D20" s="436">
        <f>'YG Gudda '!H6</f>
        <v>0</v>
      </c>
      <c r="E20" s="437">
        <f>'YG Gudda '!J6</f>
        <v>0</v>
      </c>
      <c r="F20" s="437">
        <f>'YG Gudda '!K6</f>
        <v>0</v>
      </c>
      <c r="G20" s="437">
        <f>'YG Gudda '!L6</f>
        <v>0</v>
      </c>
      <c r="H20" s="437">
        <f>'YG Gudda '!M6</f>
        <v>102795.06451380023</v>
      </c>
      <c r="I20" s="428"/>
      <c r="J20" s="428"/>
      <c r="K20" s="428"/>
      <c r="L20" s="428"/>
      <c r="M20" s="428"/>
      <c r="N20" s="428"/>
      <c r="O20" s="428"/>
      <c r="P20" s="428">
        <f>'YG Gudda '!B22</f>
        <v>45980</v>
      </c>
      <c r="Q20" s="429">
        <f>'YG Gudda '!M22</f>
        <v>75021.541513800228</v>
      </c>
      <c r="R20" s="428"/>
      <c r="S20" s="428">
        <f>'YG Gudda '!B22</f>
        <v>45980</v>
      </c>
      <c r="T20" s="428">
        <f>'YG Gudda '!K22</f>
        <v>0</v>
      </c>
      <c r="U20" s="429">
        <f>'YG Gudda '!L22</f>
        <v>0</v>
      </c>
      <c r="V20" s="428"/>
      <c r="W20" s="428"/>
      <c r="X20" s="428"/>
    </row>
    <row r="21" spans="1:24">
      <c r="A21" s="441">
        <f>'YG Gudda '!B7</f>
        <v>45965</v>
      </c>
      <c r="B21" s="436">
        <f>'YG Gudda '!E7</f>
        <v>0</v>
      </c>
      <c r="C21" s="437">
        <f>'YG Gudda '!G7</f>
        <v>0</v>
      </c>
      <c r="D21" s="436">
        <f>'YG Gudda '!H7</f>
        <v>0</v>
      </c>
      <c r="E21" s="437">
        <f>'YG Gudda '!J7</f>
        <v>0</v>
      </c>
      <c r="F21" s="437">
        <f>'YG Gudda '!K7</f>
        <v>0</v>
      </c>
      <c r="G21" s="437">
        <f>'YG Gudda '!L7</f>
        <v>0</v>
      </c>
      <c r="H21" s="437">
        <f>'YG Gudda '!M7</f>
        <v>102795.06451380023</v>
      </c>
      <c r="I21" s="428"/>
      <c r="J21" s="428"/>
      <c r="K21" s="428"/>
      <c r="L21" s="428"/>
      <c r="M21" s="428"/>
      <c r="N21" s="428"/>
      <c r="O21" s="428"/>
      <c r="P21" s="428">
        <f>'YG Gudda '!B23</f>
        <v>45981</v>
      </c>
      <c r="Q21" s="429">
        <f>'YG Gudda '!M23</f>
        <v>25021.541513800228</v>
      </c>
      <c r="R21" s="428"/>
      <c r="S21" s="428">
        <f>'YG Gudda '!B23</f>
        <v>45981</v>
      </c>
      <c r="T21" s="428">
        <f>'YG Gudda '!K23</f>
        <v>0</v>
      </c>
      <c r="U21" s="429">
        <f>'YG Gudda '!L23</f>
        <v>50000</v>
      </c>
      <c r="V21" s="428"/>
      <c r="W21" s="428"/>
      <c r="X21" s="428"/>
    </row>
    <row r="22" spans="1:24">
      <c r="A22" s="441">
        <f>'YG Gudda '!B8</f>
        <v>45966</v>
      </c>
      <c r="B22" s="436">
        <f>'YG Gudda '!E8</f>
        <v>0</v>
      </c>
      <c r="C22" s="437">
        <f>'YG Gudda '!G8</f>
        <v>0</v>
      </c>
      <c r="D22" s="436">
        <f>'YG Gudda '!H8</f>
        <v>0</v>
      </c>
      <c r="E22" s="437">
        <f>'YG Gudda '!J8</f>
        <v>0</v>
      </c>
      <c r="F22" s="437">
        <f>'YG Gudda '!K8</f>
        <v>0</v>
      </c>
      <c r="G22" s="437">
        <f>'YG Gudda '!L8</f>
        <v>0</v>
      </c>
      <c r="H22" s="437">
        <f>'YG Gudda '!M8</f>
        <v>102795.06451380023</v>
      </c>
      <c r="I22" s="428"/>
      <c r="J22" s="428"/>
      <c r="K22" s="428"/>
      <c r="L22" s="428"/>
      <c r="M22" s="428"/>
      <c r="N22" s="428"/>
      <c r="O22" s="428"/>
      <c r="P22" s="428">
        <f>'YG Gudda '!B24</f>
        <v>45982</v>
      </c>
      <c r="Q22" s="429">
        <f>'YG Gudda '!M24</f>
        <v>25021.541513800228</v>
      </c>
      <c r="R22" s="428"/>
      <c r="S22" s="428">
        <f>'YG Gudda '!B24</f>
        <v>45982</v>
      </c>
      <c r="T22" s="428">
        <f>'YG Gudda '!K24</f>
        <v>0</v>
      </c>
      <c r="U22" s="429">
        <f>'YG Gudda '!L24</f>
        <v>0</v>
      </c>
      <c r="V22" s="428"/>
      <c r="W22" s="428"/>
      <c r="X22" s="428"/>
    </row>
    <row r="23" spans="1:24">
      <c r="A23" s="441">
        <f>'YG Gudda '!B9</f>
        <v>45967</v>
      </c>
      <c r="B23" s="436">
        <f>'YG Gudda '!E9</f>
        <v>0</v>
      </c>
      <c r="C23" s="437">
        <f>'YG Gudda '!G9</f>
        <v>0</v>
      </c>
      <c r="D23" s="436">
        <f>'YG Gudda '!H9</f>
        <v>0</v>
      </c>
      <c r="E23" s="437">
        <f>'YG Gudda '!J9</f>
        <v>0</v>
      </c>
      <c r="F23" s="437">
        <f>'YG Gudda '!K9</f>
        <v>0</v>
      </c>
      <c r="G23" s="437">
        <f>'YG Gudda '!L9</f>
        <v>0</v>
      </c>
      <c r="H23" s="437">
        <f>'YG Gudda '!M9</f>
        <v>102795.06451380023</v>
      </c>
      <c r="I23" s="428"/>
      <c r="J23" s="428"/>
      <c r="K23" s="428"/>
      <c r="L23" s="428"/>
      <c r="M23" s="428"/>
      <c r="N23" s="428"/>
      <c r="O23" s="428"/>
      <c r="P23" s="428">
        <f>'YG Gudda '!B25</f>
        <v>45983</v>
      </c>
      <c r="Q23" s="429">
        <f>'YG Gudda '!M25</f>
        <v>25021.541513800228</v>
      </c>
      <c r="R23" s="428"/>
      <c r="S23" s="428">
        <f>'YG Gudda '!B25</f>
        <v>45983</v>
      </c>
      <c r="T23" s="428">
        <f>'YG Gudda '!K25</f>
        <v>0</v>
      </c>
      <c r="U23" s="429">
        <f>'YG Gudda '!L25</f>
        <v>0</v>
      </c>
      <c r="V23" s="428"/>
      <c r="W23" s="428"/>
      <c r="X23" s="428"/>
    </row>
    <row r="24" spans="1:24">
      <c r="A24" s="441">
        <f>'YG Gudda '!B10</f>
        <v>45968</v>
      </c>
      <c r="B24" s="436">
        <f>'YG Gudda '!E10</f>
        <v>0</v>
      </c>
      <c r="C24" s="437">
        <f>'YG Gudda '!G10</f>
        <v>0</v>
      </c>
      <c r="D24" s="436">
        <f>'YG Gudda '!H10</f>
        <v>0</v>
      </c>
      <c r="E24" s="437">
        <f>'YG Gudda '!J10</f>
        <v>0</v>
      </c>
      <c r="F24" s="437">
        <f>'YG Gudda '!K10</f>
        <v>0</v>
      </c>
      <c r="G24" s="437">
        <f>'YG Gudda '!L10</f>
        <v>0</v>
      </c>
      <c r="H24" s="437">
        <f>'YG Gudda '!M10</f>
        <v>102795.06451380023</v>
      </c>
      <c r="I24" s="428"/>
      <c r="J24" s="428"/>
      <c r="K24" s="428"/>
      <c r="L24" s="428"/>
      <c r="M24" s="428"/>
      <c r="N24" s="428"/>
      <c r="O24" s="428"/>
      <c r="P24" s="428">
        <f>'YG Gudda '!B26</f>
        <v>45984</v>
      </c>
      <c r="Q24" s="429">
        <f>'YG Gudda '!M26</f>
        <v>25021.541513800228</v>
      </c>
      <c r="R24" s="428"/>
      <c r="S24" s="428">
        <f>'YG Gudda '!B26</f>
        <v>45984</v>
      </c>
      <c r="T24" s="428">
        <f>'YG Gudda '!K26</f>
        <v>0</v>
      </c>
      <c r="U24" s="429">
        <f>'YG Gudda '!L26</f>
        <v>0</v>
      </c>
      <c r="V24" s="428"/>
      <c r="W24" s="428"/>
      <c r="X24" s="428"/>
    </row>
    <row r="25" spans="1:24">
      <c r="A25" s="441">
        <f>'YG Gudda '!B11</f>
        <v>45969</v>
      </c>
      <c r="B25" s="436">
        <f>'YG Gudda '!E11</f>
        <v>0</v>
      </c>
      <c r="C25" s="437">
        <f>'YG Gudda '!G11</f>
        <v>0</v>
      </c>
      <c r="D25" s="436">
        <f>'YG Gudda '!H11</f>
        <v>0</v>
      </c>
      <c r="E25" s="437">
        <f>'YG Gudda '!J11</f>
        <v>0</v>
      </c>
      <c r="F25" s="437">
        <f>'YG Gudda '!K11</f>
        <v>0</v>
      </c>
      <c r="G25" s="437">
        <f>'YG Gudda '!L11</f>
        <v>0</v>
      </c>
      <c r="H25" s="437">
        <f>'YG Gudda '!M11</f>
        <v>102795.06451380023</v>
      </c>
      <c r="I25" s="428"/>
      <c r="J25" s="428"/>
      <c r="K25" s="428"/>
      <c r="L25" s="428"/>
      <c r="M25" s="428"/>
      <c r="N25" s="428"/>
      <c r="O25" s="428"/>
      <c r="P25" s="428">
        <f>'YG Gudda '!B27</f>
        <v>45985</v>
      </c>
      <c r="Q25" s="429">
        <f>'YG Gudda '!M27</f>
        <v>25021.541513800228</v>
      </c>
      <c r="R25" s="428"/>
      <c r="S25" s="428">
        <f>'YG Gudda '!B27</f>
        <v>45985</v>
      </c>
      <c r="T25" s="428">
        <f>'YG Gudda '!K27</f>
        <v>0</v>
      </c>
      <c r="U25" s="429">
        <f>'YG Gudda '!L27</f>
        <v>0</v>
      </c>
      <c r="V25" s="428"/>
      <c r="W25" s="428"/>
      <c r="X25" s="428"/>
    </row>
    <row r="26" spans="1:24">
      <c r="A26" s="441">
        <f>'YG Gudda '!B12</f>
        <v>45970</v>
      </c>
      <c r="B26" s="436">
        <f>'YG Gudda '!E12</f>
        <v>0</v>
      </c>
      <c r="C26" s="437">
        <f>'YG Gudda '!G12</f>
        <v>0</v>
      </c>
      <c r="D26" s="436">
        <f>'YG Gudda '!H12</f>
        <v>0</v>
      </c>
      <c r="E26" s="437">
        <f>'YG Gudda '!J12</f>
        <v>0</v>
      </c>
      <c r="F26" s="437">
        <f>'YG Gudda '!K12</f>
        <v>0</v>
      </c>
      <c r="G26" s="437">
        <f>'YG Gudda '!L12</f>
        <v>0</v>
      </c>
      <c r="H26" s="437">
        <f>'YG Gudda '!M12</f>
        <v>102795.06451380023</v>
      </c>
      <c r="I26" s="428"/>
      <c r="J26" s="428"/>
      <c r="K26" s="428"/>
      <c r="L26" s="428"/>
      <c r="M26" s="428"/>
      <c r="N26" s="428"/>
      <c r="O26" s="428"/>
      <c r="P26" s="428">
        <f>'YG Gudda '!B28</f>
        <v>45986</v>
      </c>
      <c r="Q26" s="429">
        <f>'YG Gudda '!M28</f>
        <v>25021.541513800228</v>
      </c>
      <c r="R26" s="428"/>
      <c r="S26" s="428">
        <f>'YG Gudda '!B28</f>
        <v>45986</v>
      </c>
      <c r="T26" s="428">
        <f>'YG Gudda '!K28</f>
        <v>0</v>
      </c>
      <c r="U26" s="429">
        <f>'YG Gudda '!L28</f>
        <v>0</v>
      </c>
      <c r="V26" s="428"/>
      <c r="W26" s="428"/>
      <c r="X26" s="428"/>
    </row>
    <row r="27" spans="1:24">
      <c r="A27" s="441">
        <f>'YG Gudda '!B13</f>
        <v>45971</v>
      </c>
      <c r="B27" s="436">
        <f>'YG Gudda '!E13</f>
        <v>0</v>
      </c>
      <c r="C27" s="437">
        <f>'YG Gudda '!G13</f>
        <v>0</v>
      </c>
      <c r="D27" s="436">
        <f>'YG Gudda '!H13</f>
        <v>0</v>
      </c>
      <c r="E27" s="437">
        <f>'YG Gudda '!J13</f>
        <v>0</v>
      </c>
      <c r="F27" s="437">
        <f>'YG Gudda '!K13</f>
        <v>0</v>
      </c>
      <c r="G27" s="437">
        <f>'YG Gudda '!L13</f>
        <v>0</v>
      </c>
      <c r="H27" s="437">
        <f>'YG Gudda '!M13</f>
        <v>102795.06451380023</v>
      </c>
      <c r="I27" s="428"/>
      <c r="J27" s="428"/>
      <c r="K27" s="428"/>
      <c r="L27" s="428"/>
      <c r="M27" s="428"/>
      <c r="N27" s="428"/>
      <c r="O27" s="428"/>
      <c r="P27" s="428">
        <f>'YG Gudda '!B29</f>
        <v>45987</v>
      </c>
      <c r="Q27" s="429">
        <f>'YG Gudda '!M29</f>
        <v>25021.541513800228</v>
      </c>
      <c r="R27" s="428"/>
      <c r="S27" s="428">
        <f>'YG Gudda '!B29</f>
        <v>45987</v>
      </c>
      <c r="T27" s="428">
        <f>'YG Gudda '!K29</f>
        <v>0</v>
      </c>
      <c r="U27" s="429">
        <f>'YG Gudda '!L29</f>
        <v>0</v>
      </c>
      <c r="V27" s="428"/>
      <c r="W27" s="428"/>
      <c r="X27" s="428"/>
    </row>
    <row r="28" spans="1:24">
      <c r="A28" s="441">
        <f>'YG Gudda '!B14</f>
        <v>45972</v>
      </c>
      <c r="B28" s="436">
        <f>'YG Gudda '!E14</f>
        <v>0</v>
      </c>
      <c r="C28" s="437">
        <f>'YG Gudda '!G14</f>
        <v>0</v>
      </c>
      <c r="D28" s="436">
        <f>'YG Gudda '!H14</f>
        <v>0</v>
      </c>
      <c r="E28" s="437">
        <f>'YG Gudda '!J14</f>
        <v>0</v>
      </c>
      <c r="F28" s="437">
        <f>'YG Gudda '!K14</f>
        <v>0</v>
      </c>
      <c r="G28" s="437">
        <f>'YG Gudda '!L14</f>
        <v>0</v>
      </c>
      <c r="H28" s="437">
        <f>'YG Gudda '!M14</f>
        <v>102795.06451380023</v>
      </c>
      <c r="I28" s="428"/>
      <c r="J28" s="428"/>
      <c r="K28" s="428"/>
      <c r="L28" s="428"/>
      <c r="M28" s="428"/>
      <c r="N28" s="428"/>
      <c r="O28" s="428"/>
      <c r="P28" s="428">
        <f>'YG Gudda '!B30</f>
        <v>45988</v>
      </c>
      <c r="Q28" s="429">
        <f>'YG Gudda '!M30</f>
        <v>25021.541513800228</v>
      </c>
      <c r="R28" s="428"/>
      <c r="S28" s="428">
        <f>'YG Gudda '!B30</f>
        <v>45988</v>
      </c>
      <c r="T28" s="428">
        <f>'YG Gudda '!K30</f>
        <v>0</v>
      </c>
      <c r="U28" s="429">
        <f>'YG Gudda '!L30</f>
        <v>0</v>
      </c>
      <c r="V28" s="428"/>
      <c r="W28" s="428"/>
      <c r="X28" s="428"/>
    </row>
    <row r="29" spans="1:24">
      <c r="A29" s="441">
        <f>'YG Gudda '!B15</f>
        <v>45973</v>
      </c>
      <c r="B29" s="436">
        <f>'YG Gudda '!E15</f>
        <v>0</v>
      </c>
      <c r="C29" s="437">
        <f>'YG Gudda '!G15</f>
        <v>0</v>
      </c>
      <c r="D29" s="436">
        <f>'YG Gudda '!H15</f>
        <v>0</v>
      </c>
      <c r="E29" s="437">
        <f>'YG Gudda '!J15</f>
        <v>0</v>
      </c>
      <c r="F29" s="437">
        <f>'YG Gudda '!K15</f>
        <v>0</v>
      </c>
      <c r="G29" s="437">
        <f>'YG Gudda '!L15</f>
        <v>0</v>
      </c>
      <c r="H29" s="437">
        <f>'YG Gudda '!M15</f>
        <v>102795.06451380023</v>
      </c>
      <c r="I29" s="428"/>
      <c r="J29" s="428"/>
      <c r="K29" s="428"/>
      <c r="L29" s="428"/>
      <c r="M29" s="428"/>
      <c r="N29" s="428"/>
      <c r="O29" s="428"/>
      <c r="P29" s="428">
        <f>'YG Gudda '!B31</f>
        <v>45989</v>
      </c>
      <c r="Q29" s="429">
        <f>'YG Gudda '!M31</f>
        <v>25021.541513800228</v>
      </c>
      <c r="R29" s="428"/>
      <c r="S29" s="428">
        <f>'YG Gudda '!B31</f>
        <v>45989</v>
      </c>
      <c r="T29" s="428">
        <f>'YG Gudda '!K31</f>
        <v>0</v>
      </c>
      <c r="U29" s="429">
        <f>'YG Gudda '!L31</f>
        <v>0</v>
      </c>
      <c r="V29" s="428"/>
      <c r="W29" s="428"/>
      <c r="X29" s="428"/>
    </row>
    <row r="30" spans="1:24">
      <c r="A30" s="441">
        <f>'YG Gudda '!B16</f>
        <v>45974</v>
      </c>
      <c r="B30" s="436">
        <f>'YG Gudda '!E16</f>
        <v>0</v>
      </c>
      <c r="C30" s="437">
        <f>'YG Gudda '!G16</f>
        <v>0</v>
      </c>
      <c r="D30" s="436">
        <f>'YG Gudda '!H16</f>
        <v>0</v>
      </c>
      <c r="E30" s="437">
        <f>'YG Gudda '!J16</f>
        <v>0</v>
      </c>
      <c r="F30" s="437">
        <f>'YG Gudda '!K16</f>
        <v>0</v>
      </c>
      <c r="G30" s="437">
        <f>'YG Gudda '!L16</f>
        <v>0</v>
      </c>
      <c r="H30" s="437">
        <f>'YG Gudda '!M16</f>
        <v>102795.06451380023</v>
      </c>
      <c r="I30" s="428"/>
      <c r="J30" s="428"/>
      <c r="K30" s="428"/>
      <c r="L30" s="428"/>
      <c r="M30" s="428"/>
      <c r="N30" s="428"/>
      <c r="O30" s="428"/>
      <c r="P30" s="428">
        <f>'YG Gudda '!B32</f>
        <v>45990</v>
      </c>
      <c r="Q30" s="429">
        <f>'YG Gudda '!M32</f>
        <v>25021.541513800228</v>
      </c>
      <c r="R30" s="428"/>
      <c r="S30" s="428">
        <f>'YG Gudda '!B32</f>
        <v>45990</v>
      </c>
      <c r="T30" s="428">
        <f>'YG Gudda '!K32</f>
        <v>0</v>
      </c>
      <c r="U30" s="429">
        <f>'YG Gudda '!L32</f>
        <v>0</v>
      </c>
      <c r="V30" s="428"/>
      <c r="W30" s="428"/>
      <c r="X30" s="428"/>
    </row>
    <row r="31" spans="1:24">
      <c r="A31" s="441">
        <f>'YG Gudda '!B17</f>
        <v>45975</v>
      </c>
      <c r="B31" s="436">
        <f>'YG Gudda '!E17</f>
        <v>0</v>
      </c>
      <c r="C31" s="437">
        <f>'YG Gudda '!G17</f>
        <v>0</v>
      </c>
      <c r="D31" s="436">
        <f>'YG Gudda '!H17</f>
        <v>0</v>
      </c>
      <c r="E31" s="437">
        <f>'YG Gudda '!J17</f>
        <v>0</v>
      </c>
      <c r="F31" s="437">
        <f>'YG Gudda '!K17</f>
        <v>0</v>
      </c>
      <c r="G31" s="437">
        <f>'YG Gudda '!L17</f>
        <v>0</v>
      </c>
      <c r="H31" s="437">
        <f>'YG Gudda '!M17</f>
        <v>102795.06451380023</v>
      </c>
      <c r="I31" s="428"/>
      <c r="J31" s="428"/>
      <c r="K31" s="428"/>
      <c r="L31" s="428"/>
      <c r="M31" s="428"/>
      <c r="N31" s="428"/>
      <c r="O31" s="428"/>
      <c r="P31" s="428">
        <f>'YG Gudda '!B33</f>
        <v>45991</v>
      </c>
      <c r="Q31" s="429">
        <f>'YG Gudda '!M33</f>
        <v>25021.541513800228</v>
      </c>
      <c r="R31" s="428"/>
      <c r="S31" s="428">
        <f>'YG Gudda '!B33</f>
        <v>45991</v>
      </c>
      <c r="T31" s="428">
        <f>'YG Gudda '!K33</f>
        <v>0</v>
      </c>
      <c r="U31" s="429">
        <f>'YG Gudda '!L33</f>
        <v>0</v>
      </c>
      <c r="V31" s="428"/>
      <c r="W31" s="428"/>
      <c r="X31" s="428"/>
    </row>
    <row r="32" spans="1:24">
      <c r="A32" s="441">
        <f>'YG Gudda '!B18</f>
        <v>45976</v>
      </c>
      <c r="B32" s="436">
        <f>'YG Gudda '!E18</f>
        <v>164.29</v>
      </c>
      <c r="C32" s="437">
        <f>'YG Gudda '!G18</f>
        <v>14999.677</v>
      </c>
      <c r="D32" s="436">
        <f>'YG Gudda '!H18</f>
        <v>70</v>
      </c>
      <c r="E32" s="437">
        <f>'YG Gudda '!J18</f>
        <v>7226.7999999999993</v>
      </c>
      <c r="F32" s="437">
        <f>'YG Gudda '!K18</f>
        <v>22226.476999999999</v>
      </c>
      <c r="G32" s="437">
        <f>'YG Gudda '!L18</f>
        <v>50000</v>
      </c>
      <c r="H32" s="437">
        <f>'YG Gudda '!M18</f>
        <v>75021.541513800228</v>
      </c>
      <c r="I32" s="428"/>
      <c r="J32" s="428"/>
      <c r="K32" s="428"/>
      <c r="L32" s="428"/>
      <c r="M32" s="428"/>
      <c r="N32" s="428"/>
      <c r="O32" s="428"/>
      <c r="P32" s="428">
        <f>'YG Gudda '!B34</f>
        <v>45992</v>
      </c>
      <c r="Q32" s="429">
        <f>'YG Gudda '!M34</f>
        <v>25021.541513800228</v>
      </c>
      <c r="R32" s="428"/>
      <c r="S32" s="428">
        <f>'YG Gudda '!B34</f>
        <v>45992</v>
      </c>
      <c r="T32" s="428">
        <f>'YG Gudda '!K34</f>
        <v>0</v>
      </c>
      <c r="U32" s="429">
        <f>'YG Gudda '!L34</f>
        <v>0</v>
      </c>
      <c r="V32" s="428"/>
      <c r="W32" s="428"/>
      <c r="X32" s="428"/>
    </row>
    <row r="33" spans="1:24">
      <c r="A33" s="441">
        <f>'YG Gudda '!B19</f>
        <v>45977</v>
      </c>
      <c r="B33" s="436">
        <f>'YG Gudda '!E19</f>
        <v>0</v>
      </c>
      <c r="C33" s="437">
        <f>'YG Gudda '!G19</f>
        <v>0</v>
      </c>
      <c r="D33" s="436">
        <f>'YG Gudda '!H19</f>
        <v>0</v>
      </c>
      <c r="E33" s="437">
        <f>'YG Gudda '!J19</f>
        <v>0</v>
      </c>
      <c r="F33" s="437">
        <f>'YG Gudda '!K19</f>
        <v>0</v>
      </c>
      <c r="G33" s="437">
        <f>'YG Gudda '!L19</f>
        <v>0</v>
      </c>
      <c r="H33" s="437">
        <f>'YG Gudda '!M19</f>
        <v>75021.541513800228</v>
      </c>
      <c r="I33" s="428"/>
      <c r="J33" s="428"/>
      <c r="K33" s="428"/>
      <c r="L33" s="428"/>
      <c r="M33" s="428"/>
      <c r="N33" s="428"/>
      <c r="O33" s="428"/>
      <c r="P33" s="428">
        <f>'YG Gudda '!B35</f>
        <v>0</v>
      </c>
      <c r="Q33" s="429">
        <f>'YG Gudda '!M35</f>
        <v>25021.541513800228</v>
      </c>
      <c r="R33" s="428"/>
      <c r="S33" s="428">
        <f>'YG Gudda '!B35</f>
        <v>0</v>
      </c>
      <c r="T33" s="428">
        <f>'YG Gudda '!K35</f>
        <v>0</v>
      </c>
      <c r="U33" s="429">
        <f>'YG Gudda '!L35</f>
        <v>0</v>
      </c>
      <c r="V33" s="428"/>
      <c r="W33" s="428"/>
      <c r="X33" s="428"/>
    </row>
    <row r="34" spans="1:24">
      <c r="A34" s="441">
        <f>'YG Gudda '!B20</f>
        <v>45978</v>
      </c>
      <c r="B34" s="436">
        <f>'YG Gudda '!E20</f>
        <v>0</v>
      </c>
      <c r="C34" s="437">
        <f>'YG Gudda '!G20</f>
        <v>0</v>
      </c>
      <c r="D34" s="436">
        <f>'YG Gudda '!H20</f>
        <v>0</v>
      </c>
      <c r="E34" s="437">
        <f>'YG Gudda '!J20</f>
        <v>0</v>
      </c>
      <c r="F34" s="437">
        <f>'YG Gudda '!K20</f>
        <v>0</v>
      </c>
      <c r="G34" s="437">
        <f>'YG Gudda '!L20</f>
        <v>0</v>
      </c>
      <c r="H34" s="437">
        <f>'YG Gudda '!M20</f>
        <v>75021.541513800228</v>
      </c>
      <c r="I34" s="428"/>
      <c r="J34" s="428"/>
      <c r="K34" s="428"/>
      <c r="L34" s="428"/>
      <c r="M34" s="428"/>
      <c r="N34" s="428"/>
      <c r="O34" s="428"/>
      <c r="P34" s="428"/>
      <c r="Q34" s="428"/>
      <c r="R34" s="428"/>
      <c r="S34" s="428"/>
      <c r="T34" s="428"/>
      <c r="U34" s="428"/>
      <c r="V34" s="428"/>
      <c r="W34" s="428"/>
      <c r="X34" s="428"/>
    </row>
    <row r="35" spans="1:24">
      <c r="A35" s="441">
        <f>'YG Gudda '!B21</f>
        <v>45979</v>
      </c>
      <c r="B35" s="436">
        <f>'YG Gudda '!E21</f>
        <v>0</v>
      </c>
      <c r="C35" s="437">
        <f>'YG Gudda '!G21</f>
        <v>0</v>
      </c>
      <c r="D35" s="436">
        <f>'YG Gudda '!H21</f>
        <v>0</v>
      </c>
      <c r="E35" s="437">
        <f>'YG Gudda '!J21</f>
        <v>0</v>
      </c>
      <c r="F35" s="437">
        <f>'YG Gudda '!K21</f>
        <v>0</v>
      </c>
      <c r="G35" s="437">
        <f>'YG Gudda '!L21</f>
        <v>0</v>
      </c>
      <c r="H35" s="437">
        <f>'YG Gudda '!M21</f>
        <v>75021.541513800228</v>
      </c>
      <c r="I35" s="428"/>
      <c r="J35" s="428"/>
      <c r="K35" s="428"/>
      <c r="L35" s="428"/>
      <c r="M35" s="428"/>
      <c r="N35" s="428"/>
      <c r="O35" s="428"/>
      <c r="P35" s="428"/>
      <c r="Q35" s="428"/>
      <c r="R35" s="428"/>
      <c r="S35" s="428"/>
      <c r="T35" s="428"/>
      <c r="U35" s="428"/>
      <c r="V35" s="428"/>
      <c r="W35" s="428"/>
      <c r="X35" s="428"/>
    </row>
    <row r="36" spans="1:24">
      <c r="A36" s="441">
        <f>'YG Gudda '!B22</f>
        <v>45980</v>
      </c>
      <c r="B36" s="436">
        <f>'YG Gudda '!E22</f>
        <v>0</v>
      </c>
      <c r="C36" s="437">
        <f>'YG Gudda '!G22</f>
        <v>0</v>
      </c>
      <c r="D36" s="436">
        <f>'YG Gudda '!H22</f>
        <v>0</v>
      </c>
      <c r="E36" s="437">
        <f>'YG Gudda '!J22</f>
        <v>0</v>
      </c>
      <c r="F36" s="437">
        <f>'YG Gudda '!K22</f>
        <v>0</v>
      </c>
      <c r="G36" s="437">
        <f>'YG Gudda '!L22</f>
        <v>0</v>
      </c>
      <c r="H36" s="437">
        <f>'YG Gudda '!M22</f>
        <v>75021.541513800228</v>
      </c>
      <c r="I36" s="428"/>
      <c r="J36" s="428"/>
      <c r="K36" s="428"/>
      <c r="L36" s="428"/>
      <c r="M36" s="428"/>
      <c r="N36" s="428"/>
      <c r="O36" s="428"/>
      <c r="P36" s="428"/>
      <c r="Q36" s="428"/>
      <c r="R36" s="428"/>
      <c r="S36" s="428"/>
      <c r="T36" s="428"/>
      <c r="U36" s="428"/>
      <c r="V36" s="428"/>
      <c r="W36" s="428"/>
      <c r="X36" s="428"/>
    </row>
    <row r="37" spans="1:24">
      <c r="A37" s="441">
        <f>'YG Gudda '!B23</f>
        <v>45981</v>
      </c>
      <c r="B37" s="436">
        <f>'YG Gudda '!E23</f>
        <v>0</v>
      </c>
      <c r="C37" s="437">
        <f>'YG Gudda '!G23</f>
        <v>0</v>
      </c>
      <c r="D37" s="436">
        <f>'YG Gudda '!H23</f>
        <v>0</v>
      </c>
      <c r="E37" s="437">
        <f>'YG Gudda '!J23</f>
        <v>0</v>
      </c>
      <c r="F37" s="437">
        <f>'YG Gudda '!K23</f>
        <v>0</v>
      </c>
      <c r="G37" s="437">
        <f>'YG Gudda '!L23</f>
        <v>50000</v>
      </c>
      <c r="H37" s="437">
        <f>'YG Gudda '!M23</f>
        <v>25021.541513800228</v>
      </c>
      <c r="I37" s="428"/>
      <c r="J37" s="428"/>
      <c r="K37" s="428"/>
      <c r="L37" s="428"/>
      <c r="M37" s="428"/>
      <c r="N37" s="428"/>
      <c r="O37" s="428"/>
      <c r="P37" s="428"/>
      <c r="Q37" s="428"/>
      <c r="R37" s="428"/>
      <c r="S37" s="428"/>
      <c r="T37" s="428"/>
      <c r="U37" s="428"/>
      <c r="V37" s="428"/>
      <c r="W37" s="428"/>
      <c r="X37" s="428"/>
    </row>
    <row r="38" spans="1:24">
      <c r="A38" s="441">
        <f>'YG Gudda '!B24</f>
        <v>45982</v>
      </c>
      <c r="B38" s="436">
        <f>'YG Gudda '!E24</f>
        <v>0</v>
      </c>
      <c r="C38" s="437">
        <f>'YG Gudda '!G24</f>
        <v>0</v>
      </c>
      <c r="D38" s="436">
        <f>'YG Gudda '!H24</f>
        <v>0</v>
      </c>
      <c r="E38" s="437">
        <f>'YG Gudda '!J24</f>
        <v>0</v>
      </c>
      <c r="F38" s="437">
        <f>'YG Gudda '!K24</f>
        <v>0</v>
      </c>
      <c r="G38" s="437">
        <f>'YG Gudda '!L24</f>
        <v>0</v>
      </c>
      <c r="H38" s="437">
        <f>'YG Gudda '!M24</f>
        <v>25021.541513800228</v>
      </c>
      <c r="I38" s="428"/>
      <c r="J38" s="428"/>
      <c r="K38" s="428"/>
      <c r="L38" s="428"/>
      <c r="M38" s="428"/>
      <c r="N38" s="428"/>
      <c r="O38" s="428"/>
      <c r="P38" s="428"/>
      <c r="Q38" s="428"/>
      <c r="R38" s="428"/>
      <c r="S38" s="428"/>
      <c r="T38" s="428"/>
      <c r="U38" s="428"/>
      <c r="V38" s="428"/>
      <c r="W38" s="428"/>
      <c r="X38" s="428"/>
    </row>
    <row r="39" spans="1:24">
      <c r="A39" s="441">
        <f>'YG Gudda '!B25</f>
        <v>45983</v>
      </c>
      <c r="B39" s="436">
        <f>'YG Gudda '!E25</f>
        <v>0</v>
      </c>
      <c r="C39" s="437">
        <f>'YG Gudda '!G25</f>
        <v>0</v>
      </c>
      <c r="D39" s="436">
        <f>'YG Gudda '!H25</f>
        <v>0</v>
      </c>
      <c r="E39" s="437">
        <f>'YG Gudda '!J25</f>
        <v>0</v>
      </c>
      <c r="F39" s="437">
        <f>'YG Gudda '!K25</f>
        <v>0</v>
      </c>
      <c r="G39" s="437">
        <f>'YG Gudda '!L25</f>
        <v>0</v>
      </c>
      <c r="H39" s="437">
        <f>'YG Gudda '!M25</f>
        <v>25021.541513800228</v>
      </c>
      <c r="I39" s="428"/>
      <c r="J39" s="428"/>
      <c r="K39" s="428"/>
      <c r="L39" s="428"/>
      <c r="M39" s="428"/>
      <c r="N39" s="428"/>
      <c r="O39" s="428"/>
      <c r="P39" s="428"/>
      <c r="Q39" s="428"/>
      <c r="R39" s="428"/>
      <c r="S39" s="428"/>
      <c r="T39" s="428"/>
      <c r="U39" s="428"/>
      <c r="V39" s="428"/>
      <c r="W39" s="428"/>
      <c r="X39" s="428"/>
    </row>
    <row r="40" spans="1:24">
      <c r="A40" s="441">
        <f>'YG Gudda '!B26</f>
        <v>45984</v>
      </c>
      <c r="B40" s="436">
        <f>'YG Gudda '!E26</f>
        <v>0</v>
      </c>
      <c r="C40" s="437">
        <f>'YG Gudda '!G26</f>
        <v>0</v>
      </c>
      <c r="D40" s="436">
        <f>'YG Gudda '!H26</f>
        <v>0</v>
      </c>
      <c r="E40" s="437">
        <f>'YG Gudda '!J26</f>
        <v>0</v>
      </c>
      <c r="F40" s="437">
        <f>'YG Gudda '!K26</f>
        <v>0</v>
      </c>
      <c r="G40" s="437">
        <f>'YG Gudda '!L26</f>
        <v>0</v>
      </c>
      <c r="H40" s="437">
        <f>'YG Gudda '!M26</f>
        <v>25021.541513800228</v>
      </c>
      <c r="I40" s="428"/>
      <c r="J40" s="428"/>
      <c r="K40" s="428"/>
      <c r="L40" s="428"/>
      <c r="M40" s="428"/>
      <c r="N40" s="428"/>
      <c r="O40" s="428"/>
      <c r="P40" s="428"/>
      <c r="Q40" s="428"/>
      <c r="R40" s="428"/>
      <c r="S40" s="428"/>
      <c r="T40" s="428"/>
      <c r="U40" s="428"/>
      <c r="V40" s="428"/>
      <c r="W40" s="428"/>
      <c r="X40" s="428"/>
    </row>
    <row r="41" spans="1:24">
      <c r="A41" s="441">
        <f>'YG Gudda '!B27</f>
        <v>45985</v>
      </c>
      <c r="B41" s="436">
        <f>'YG Gudda '!E27</f>
        <v>0</v>
      </c>
      <c r="C41" s="437">
        <f>'YG Gudda '!G27</f>
        <v>0</v>
      </c>
      <c r="D41" s="436">
        <f>'YG Gudda '!H27</f>
        <v>0</v>
      </c>
      <c r="E41" s="437">
        <f>'YG Gudda '!J27</f>
        <v>0</v>
      </c>
      <c r="F41" s="437">
        <f>'YG Gudda '!K27</f>
        <v>0</v>
      </c>
      <c r="G41" s="437">
        <f>'YG Gudda '!L27</f>
        <v>0</v>
      </c>
      <c r="H41" s="437">
        <f>'YG Gudda '!M27</f>
        <v>25021.541513800228</v>
      </c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8"/>
      <c r="U41" s="428"/>
      <c r="V41" s="428"/>
      <c r="W41" s="428"/>
      <c r="X41" s="428"/>
    </row>
    <row r="42" spans="1:24">
      <c r="A42" s="441">
        <f>'YG Gudda '!B28</f>
        <v>45986</v>
      </c>
      <c r="B42" s="436">
        <f>'YG Gudda '!E28</f>
        <v>0</v>
      </c>
      <c r="C42" s="437">
        <f>'YG Gudda '!G28</f>
        <v>0</v>
      </c>
      <c r="D42" s="436">
        <f>'YG Gudda '!H28</f>
        <v>0</v>
      </c>
      <c r="E42" s="437">
        <f>'YG Gudda '!J28</f>
        <v>0</v>
      </c>
      <c r="F42" s="437">
        <f>'YG Gudda '!K28</f>
        <v>0</v>
      </c>
      <c r="G42" s="437">
        <f>'YG Gudda '!L28</f>
        <v>0</v>
      </c>
      <c r="H42" s="437">
        <f>'YG Gudda '!M28</f>
        <v>25021.541513800228</v>
      </c>
      <c r="I42" s="428"/>
      <c r="J42" s="428"/>
      <c r="K42" s="428"/>
      <c r="L42" s="428"/>
      <c r="M42" s="428"/>
      <c r="N42" s="428"/>
      <c r="O42" s="428"/>
      <c r="P42" s="428"/>
      <c r="Q42" s="428"/>
      <c r="R42" s="428"/>
      <c r="S42" s="428"/>
      <c r="T42" s="428"/>
      <c r="U42" s="428"/>
      <c r="V42" s="428"/>
      <c r="W42" s="428"/>
      <c r="X42" s="428"/>
    </row>
    <row r="43" spans="1:24">
      <c r="A43" s="441">
        <f>'YG Gudda '!B29</f>
        <v>45987</v>
      </c>
      <c r="B43" s="436">
        <f>'YG Gudda '!E29</f>
        <v>0</v>
      </c>
      <c r="C43" s="437">
        <f>'YG Gudda '!G29</f>
        <v>0</v>
      </c>
      <c r="D43" s="436">
        <f>'YG Gudda '!H29</f>
        <v>0</v>
      </c>
      <c r="E43" s="437">
        <f>'YG Gudda '!J29</f>
        <v>0</v>
      </c>
      <c r="F43" s="437">
        <f>'YG Gudda '!K29</f>
        <v>0</v>
      </c>
      <c r="G43" s="437">
        <f>'YG Gudda '!L29</f>
        <v>0</v>
      </c>
      <c r="H43" s="437">
        <f>'YG Gudda '!M29</f>
        <v>25021.541513800228</v>
      </c>
      <c r="I43" s="428"/>
      <c r="J43" s="428"/>
      <c r="K43" s="428"/>
      <c r="L43" s="428"/>
      <c r="M43" s="428"/>
      <c r="N43" s="428"/>
      <c r="O43" s="428"/>
      <c r="P43" s="428"/>
      <c r="Q43" s="428"/>
      <c r="R43" s="428"/>
      <c r="S43" s="428"/>
      <c r="T43" s="428"/>
      <c r="U43" s="428"/>
      <c r="V43" s="428"/>
      <c r="W43" s="428"/>
      <c r="X43" s="428"/>
    </row>
    <row r="44" spans="1:24">
      <c r="A44" s="441">
        <f>'YG Gudda '!B30</f>
        <v>45988</v>
      </c>
      <c r="B44" s="436">
        <f>'YG Gudda '!E30</f>
        <v>0</v>
      </c>
      <c r="C44" s="437">
        <f>'YG Gudda '!G30</f>
        <v>0</v>
      </c>
      <c r="D44" s="436">
        <f>'YG Gudda '!H30</f>
        <v>0</v>
      </c>
      <c r="E44" s="437">
        <f>'YG Gudda '!J30</f>
        <v>0</v>
      </c>
      <c r="F44" s="437">
        <f>'YG Gudda '!K30</f>
        <v>0</v>
      </c>
      <c r="G44" s="437">
        <f>'YG Gudda '!L30</f>
        <v>0</v>
      </c>
      <c r="H44" s="437">
        <f>'YG Gudda '!M30</f>
        <v>25021.541513800228</v>
      </c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28"/>
    </row>
    <row r="45" spans="1:24">
      <c r="A45" s="441">
        <f>'YG Gudda '!B31</f>
        <v>45989</v>
      </c>
      <c r="B45" s="436">
        <f>'YG Gudda '!E31</f>
        <v>0</v>
      </c>
      <c r="C45" s="437">
        <f>'YG Gudda '!G31</f>
        <v>0</v>
      </c>
      <c r="D45" s="436">
        <f>'YG Gudda '!H31</f>
        <v>0</v>
      </c>
      <c r="E45" s="437">
        <f>'YG Gudda '!J31</f>
        <v>0</v>
      </c>
      <c r="F45" s="437">
        <f>'YG Gudda '!K31</f>
        <v>0</v>
      </c>
      <c r="G45" s="437">
        <f>'YG Gudda '!L31</f>
        <v>0</v>
      </c>
      <c r="H45" s="437">
        <f>'YG Gudda '!M31</f>
        <v>25021.541513800228</v>
      </c>
      <c r="I45" s="428"/>
      <c r="J45" s="428"/>
      <c r="K45" s="428"/>
      <c r="L45" s="428"/>
      <c r="M45" s="428"/>
      <c r="N45" s="428"/>
      <c r="O45" s="428"/>
      <c r="P45" s="428"/>
      <c r="Q45" s="428"/>
      <c r="R45" s="428"/>
      <c r="S45" s="428"/>
      <c r="T45" s="428"/>
      <c r="U45" s="428"/>
      <c r="V45" s="428"/>
      <c r="W45" s="428"/>
      <c r="X45" s="428"/>
    </row>
    <row r="46" spans="1:24">
      <c r="A46" s="441">
        <f>'YG Gudda '!B32</f>
        <v>45990</v>
      </c>
      <c r="B46" s="436">
        <f>'YG Gudda '!E32</f>
        <v>0</v>
      </c>
      <c r="C46" s="437">
        <f>'YG Gudda '!G32</f>
        <v>0</v>
      </c>
      <c r="D46" s="436">
        <f>'YG Gudda '!H32</f>
        <v>0</v>
      </c>
      <c r="E46" s="437">
        <f>'YG Gudda '!J32</f>
        <v>0</v>
      </c>
      <c r="F46" s="437">
        <f>'YG Gudda '!K32</f>
        <v>0</v>
      </c>
      <c r="G46" s="437">
        <f>'YG Gudda '!L32</f>
        <v>0</v>
      </c>
      <c r="H46" s="437">
        <f>'YG Gudda '!M32</f>
        <v>25021.541513800228</v>
      </c>
      <c r="I46" s="428"/>
      <c r="J46" s="428"/>
      <c r="K46" s="428"/>
      <c r="L46" s="428"/>
      <c r="M46" s="428"/>
      <c r="N46" s="428"/>
      <c r="O46" s="428"/>
      <c r="P46" s="428"/>
      <c r="Q46" s="428"/>
      <c r="R46" s="428"/>
      <c r="S46" s="428"/>
      <c r="T46" s="428"/>
      <c r="U46" s="428"/>
      <c r="V46" s="428"/>
      <c r="W46" s="428"/>
      <c r="X46" s="428"/>
    </row>
    <row r="47" spans="1:24">
      <c r="A47" s="441">
        <f>'YG Gudda '!B33</f>
        <v>45991</v>
      </c>
      <c r="B47" s="436">
        <f>'YG Gudda '!E33</f>
        <v>0</v>
      </c>
      <c r="C47" s="437">
        <f>'YG Gudda '!G33</f>
        <v>0</v>
      </c>
      <c r="D47" s="436">
        <f>'YG Gudda '!H33</f>
        <v>0</v>
      </c>
      <c r="E47" s="437">
        <f>'YG Gudda '!J33</f>
        <v>0</v>
      </c>
      <c r="F47" s="437">
        <f>'YG Gudda '!K33</f>
        <v>0</v>
      </c>
      <c r="G47" s="437">
        <f>'YG Gudda '!L33</f>
        <v>0</v>
      </c>
      <c r="H47" s="437">
        <f>'YG Gudda '!M33</f>
        <v>25021.541513800228</v>
      </c>
      <c r="I47" s="428"/>
      <c r="J47" s="428"/>
      <c r="K47" s="428"/>
      <c r="L47" s="428"/>
      <c r="M47" s="428"/>
      <c r="N47" s="428"/>
      <c r="O47" s="428"/>
      <c r="P47" s="428"/>
      <c r="Q47" s="428"/>
      <c r="R47" s="428"/>
      <c r="S47" s="428"/>
      <c r="T47" s="428"/>
      <c r="U47" s="428"/>
      <c r="V47" s="428"/>
      <c r="W47" s="428"/>
      <c r="X47" s="428"/>
    </row>
    <row r="48" spans="1:24">
      <c r="A48" s="441">
        <f>'YG Gudda '!B34</f>
        <v>45992</v>
      </c>
      <c r="B48" s="436">
        <f>'YG Gudda '!E34</f>
        <v>0</v>
      </c>
      <c r="C48" s="437">
        <f>'YG Gudda '!G34</f>
        <v>0</v>
      </c>
      <c r="D48" s="436">
        <f>'YG Gudda '!H34</f>
        <v>0</v>
      </c>
      <c r="E48" s="437">
        <f>'YG Gudda '!J34</f>
        <v>0</v>
      </c>
      <c r="F48" s="437">
        <f>'YG Gudda '!K34</f>
        <v>0</v>
      </c>
      <c r="G48" s="437">
        <f>'YG Gudda '!L34</f>
        <v>0</v>
      </c>
      <c r="H48" s="437">
        <f>'YG Gudda '!M34</f>
        <v>25021.541513800228</v>
      </c>
      <c r="I48" s="428"/>
      <c r="J48" s="428"/>
      <c r="K48" s="428"/>
      <c r="L48" s="428"/>
      <c r="M48" s="428"/>
      <c r="N48" s="428"/>
      <c r="O48" s="428"/>
      <c r="P48" s="428"/>
      <c r="Q48" s="428"/>
      <c r="R48" s="428"/>
      <c r="S48" s="428"/>
      <c r="T48" s="428"/>
      <c r="U48" s="428"/>
      <c r="V48" s="428"/>
      <c r="W48" s="428"/>
      <c r="X48" s="428"/>
    </row>
    <row r="49" spans="1:24">
      <c r="A49" s="441">
        <f>'YG Gudda '!B35</f>
        <v>0</v>
      </c>
      <c r="B49" s="436">
        <f>'YG Gudda '!E35</f>
        <v>0</v>
      </c>
      <c r="C49" s="437">
        <f>'YG Gudda '!G35</f>
        <v>0</v>
      </c>
      <c r="D49" s="436">
        <f>'YG Gudda '!H35</f>
        <v>0</v>
      </c>
      <c r="E49" s="437">
        <f>'YG Gudda '!J35</f>
        <v>0</v>
      </c>
      <c r="F49" s="437">
        <f>'YG Gudda '!K35</f>
        <v>0</v>
      </c>
      <c r="G49" s="437">
        <f>'YG Gudda '!L35</f>
        <v>0</v>
      </c>
      <c r="H49" s="437">
        <f>'YG Gudda '!M35</f>
        <v>25021.541513800228</v>
      </c>
      <c r="I49" s="428"/>
      <c r="J49" s="428"/>
      <c r="K49" s="428"/>
      <c r="L49" s="428"/>
      <c r="M49" s="428"/>
      <c r="N49" s="428"/>
      <c r="O49" s="428"/>
      <c r="P49" s="428"/>
      <c r="Q49" s="428"/>
      <c r="R49" s="428"/>
      <c r="S49" s="428"/>
      <c r="T49" s="428"/>
      <c r="U49" s="428"/>
      <c r="V49" s="428"/>
      <c r="W49" s="428"/>
      <c r="X49" s="428"/>
    </row>
    <row r="50" spans="1:24">
      <c r="A50" s="428"/>
      <c r="B50" s="428"/>
      <c r="C50" s="428"/>
      <c r="D50" s="428"/>
      <c r="E50" s="428"/>
      <c r="F50" s="428"/>
      <c r="G50" s="428"/>
      <c r="H50" s="428"/>
      <c r="I50" s="428"/>
      <c r="J50" s="428"/>
      <c r="K50" s="428"/>
      <c r="L50" s="428"/>
      <c r="M50" s="428"/>
      <c r="N50" s="428"/>
      <c r="O50" s="428"/>
      <c r="P50" s="428"/>
      <c r="Q50" s="428"/>
      <c r="R50" s="428"/>
      <c r="S50" s="428"/>
      <c r="T50" s="428"/>
      <c r="U50" s="428"/>
      <c r="V50" s="428"/>
      <c r="W50" s="428"/>
      <c r="X50" s="428"/>
    </row>
    <row r="51" spans="1:24">
      <c r="A51" s="428"/>
      <c r="B51" s="428"/>
      <c r="C51" s="428"/>
      <c r="D51" s="428"/>
      <c r="E51" s="428"/>
      <c r="F51" s="428"/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428"/>
      <c r="U51" s="428"/>
      <c r="V51" s="428"/>
      <c r="W51" s="428"/>
      <c r="X51" s="428"/>
    </row>
    <row r="52" spans="1:24">
      <c r="A52" s="490" t="s">
        <v>295</v>
      </c>
      <c r="B52" s="487"/>
      <c r="C52" s="487"/>
      <c r="D52" s="487"/>
      <c r="E52" s="428"/>
      <c r="F52" s="428"/>
      <c r="G52" s="428"/>
      <c r="H52" s="428"/>
      <c r="I52" s="428"/>
      <c r="J52" s="428"/>
      <c r="K52" s="428"/>
      <c r="L52" s="428"/>
      <c r="M52" s="428"/>
      <c r="N52" s="428"/>
      <c r="O52" s="428"/>
      <c r="P52" s="428"/>
      <c r="Q52" s="428"/>
      <c r="R52" s="428"/>
      <c r="S52" s="428"/>
      <c r="T52" s="428"/>
      <c r="U52" s="428"/>
      <c r="V52" s="428"/>
      <c r="W52" s="428"/>
      <c r="X52" s="428"/>
    </row>
    <row r="53" spans="1:24" ht="29.25">
      <c r="A53" s="438" t="s">
        <v>279</v>
      </c>
      <c r="B53" s="438">
        <f>SUM('YG Gudda '!K4:K35)</f>
        <v>22226.476999999999</v>
      </c>
      <c r="C53" s="438"/>
      <c r="D53" s="438" t="s">
        <v>296</v>
      </c>
      <c r="E53" s="428"/>
      <c r="F53" s="428"/>
      <c r="G53" s="428"/>
      <c r="H53" s="428"/>
      <c r="I53" s="428"/>
      <c r="J53" s="428"/>
      <c r="K53" s="428"/>
      <c r="L53" s="428"/>
      <c r="M53" s="428"/>
      <c r="N53" s="428"/>
      <c r="O53" s="428"/>
      <c r="P53" s="428"/>
      <c r="Q53" s="428"/>
      <c r="R53" s="428"/>
      <c r="S53" s="428"/>
      <c r="T53" s="428"/>
      <c r="U53" s="428"/>
      <c r="V53" s="428"/>
      <c r="W53" s="428"/>
      <c r="X53" s="428"/>
    </row>
    <row r="54" spans="1:24" ht="29.25">
      <c r="A54" s="438" t="s">
        <v>9</v>
      </c>
      <c r="B54" s="439">
        <f>SUM('YG Gudda '!L4:L35)</f>
        <v>100000</v>
      </c>
      <c r="C54" s="438"/>
      <c r="D54" s="438" t="s">
        <v>297</v>
      </c>
      <c r="E54" s="428"/>
      <c r="F54" s="428"/>
      <c r="G54" s="428"/>
      <c r="H54" s="428"/>
      <c r="I54" s="428"/>
      <c r="J54" s="428"/>
      <c r="K54" s="428"/>
      <c r="L54" s="428"/>
      <c r="M54" s="428"/>
      <c r="N54" s="428"/>
      <c r="O54" s="428"/>
      <c r="P54" s="428"/>
      <c r="Q54" s="428"/>
      <c r="R54" s="428"/>
      <c r="S54" s="428"/>
      <c r="T54" s="428"/>
      <c r="U54" s="428"/>
      <c r="V54" s="428"/>
      <c r="W54" s="428"/>
      <c r="X54" s="428"/>
    </row>
    <row r="55" spans="1:24" ht="29.25">
      <c r="A55" s="438" t="s">
        <v>280</v>
      </c>
      <c r="B55" s="438" cm="1">
        <f t="array" ref="B55">LOOKUP(2,1/('YG Gudda '!M4:M35&lt;&gt;""),'YG Gudda '!M4:M35)</f>
        <v>25021.541513800228</v>
      </c>
      <c r="C55" s="438"/>
      <c r="D55" s="438" t="s">
        <v>298</v>
      </c>
      <c r="E55" s="428"/>
      <c r="F55" s="428"/>
      <c r="G55" s="428"/>
      <c r="H55" s="428"/>
      <c r="I55" s="428"/>
      <c r="J55" s="428"/>
      <c r="K55" s="428"/>
      <c r="L55" s="428"/>
      <c r="M55" s="428"/>
      <c r="N55" s="428"/>
      <c r="O55" s="428"/>
      <c r="P55" s="428"/>
      <c r="Q55" s="428"/>
      <c r="R55" s="428"/>
      <c r="S55" s="428"/>
      <c r="T55" s="428"/>
      <c r="U55" s="428"/>
      <c r="V55" s="428"/>
      <c r="W55" s="428"/>
      <c r="X55" s="428"/>
    </row>
    <row r="56" spans="1:24" ht="29.25">
      <c r="A56" s="438" t="s">
        <v>282</v>
      </c>
      <c r="B56" s="438">
        <f>COUNTIF('YG Gudda '!K4:K35,"&gt;0")</f>
        <v>1</v>
      </c>
      <c r="C56" s="438"/>
      <c r="D56" s="438" t="s">
        <v>299</v>
      </c>
      <c r="E56" s="428"/>
      <c r="F56" s="428"/>
      <c r="G56" s="428"/>
      <c r="H56" s="428"/>
      <c r="I56" s="428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428"/>
      <c r="U56" s="428"/>
      <c r="V56" s="428"/>
      <c r="W56" s="428"/>
      <c r="X56" s="428"/>
    </row>
  </sheetData>
  <mergeCells count="4">
    <mergeCell ref="A1:N1"/>
    <mergeCell ref="A2:N2"/>
    <mergeCell ref="A7:E7"/>
    <mergeCell ref="A52:D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2026-10-07T04:49:25Z</dcterms:modified>
  <cp:category/>
  <cp:contentStatus/>
</cp:coreProperties>
</file>