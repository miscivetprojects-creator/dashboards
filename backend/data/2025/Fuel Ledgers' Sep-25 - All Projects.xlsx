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filterPrivacy="1"/>
  <xr:revisionPtr revIDLastSave="44131" documentId="13_ncr:1_{8AE36FE3-86F3-4CF6-9A97-12266062BE40}" xr6:coauthVersionLast="47" xr6:coauthVersionMax="47" xr10:uidLastSave="{310D37C4-D12C-4787-86D6-D3913CF6F605}"/>
  <bookViews>
    <workbookView xWindow="-120" yWindow="-120" windowWidth="24240" windowHeight="13020" firstSheet="37" xr2:uid="{00000000-000D-0000-FFFF-FFFF00000000}"/>
  </bookViews>
  <sheets>
    <sheet name="Sep-25 " sheetId="56" r:id="rId1"/>
    <sheet name="Khammam-1" sheetId="50" r:id="rId2"/>
    <sheet name="Khammam-2" sheetId="47" r:id="rId3"/>
    <sheet name="Jedcherla -1" sheetId="18" r:id="rId4"/>
    <sheet name="Jedcharla-2" sheetId="54" r:id="rId5"/>
    <sheet name="Devarakhadra" sheetId="59" r:id="rId6"/>
    <sheet name="Devarakhadra-2" sheetId="64" r:id="rId7"/>
    <sheet name="Dindi" sheetId="58" r:id="rId8"/>
    <sheet name="Amalapuram" sheetId="65" r:id="rId9"/>
    <sheet name="Kadur" sheetId="7" r:id="rId10"/>
    <sheet name="YG Gudda " sheetId="2" r:id="rId11"/>
    <sheet name="YG Gudda-2" sheetId="62" r:id="rId12"/>
    <sheet name="Hosadurga" sheetId="1" r:id="rId13"/>
    <sheet name="Hosadurga -2" sheetId="52" r:id="rId14"/>
    <sheet name="Hiriyur(VJNL)" sheetId="3" r:id="rId15"/>
    <sheet name="Chellakere (KUWSDB)" sheetId="20" r:id="rId16"/>
    <sheet name="Molakamuru" sheetId="63" r:id="rId17"/>
    <sheet name="Haveri" sheetId="15" r:id="rId18"/>
    <sheet name="Guttal" sheetId="36" r:id="rId19"/>
    <sheet name="Rattihali" sheetId="37" r:id="rId20"/>
    <sheet name="Gajendragada" sheetId="12" r:id="rId21"/>
    <sheet name=" Talikote" sheetId="26" r:id="rId22"/>
    <sheet name="Chadchan" sheetId="9" r:id="rId23"/>
    <sheet name="Sindagi" sheetId="33" r:id="rId24"/>
    <sheet name="Alemela" sheetId="35" r:id="rId25"/>
    <sheet name="Nalatwad" sheetId="51" r:id="rId26"/>
    <sheet name="Muddebihal" sheetId="34" r:id="rId27"/>
    <sheet name="Khanapur" sheetId="24" r:id="rId28"/>
    <sheet name="Munavali-2" sheetId="61" r:id="rId29"/>
    <sheet name="Gokak Dharwad PKG 3" sheetId="41" r:id="rId30"/>
    <sheet name="Ankalgi" sheetId="60" r:id="rId31"/>
    <sheet name=" Shankeshwar" sheetId="57" r:id="rId32"/>
    <sheet name="kumta" sheetId="25" r:id="rId33"/>
    <sheet name="Borgaon" sheetId="10" r:id="rId34"/>
    <sheet name="Ugar,Khagwad,Kudichi" sheetId="11" r:id="rId35"/>
    <sheet name="Kabbur" sheetId="40" r:id="rId36"/>
    <sheet name="Jalgaon" sheetId="22" r:id="rId37"/>
    <sheet name="MKBD" sheetId="14" r:id="rId38"/>
    <sheet name="Srirangapatna" sheetId="19" r:id="rId39"/>
    <sheet name="Malebenur(KUWSDB)" sheetId="16" r:id="rId40"/>
    <sheet name="BPCL March 25" sheetId="44" r:id="rId41"/>
    <sheet name=" HPCL March 2025" sheetId="45" r:id="rId42"/>
  </sheets>
  <definedNames>
    <definedName name="_xlnm.Print_Area" localSheetId="12">Hosadurga!$A$2:$N$39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56" l="1"/>
  <c r="M13" i="18"/>
  <c r="E35" i="11"/>
  <c r="M34" i="44"/>
  <c r="I38" i="37"/>
  <c r="L33" i="65"/>
  <c r="M33" i="65"/>
  <c r="M34" i="65"/>
  <c r="M32" i="65"/>
  <c r="K30" i="65"/>
  <c r="K32" i="65"/>
  <c r="K33" i="65"/>
  <c r="L32" i="65"/>
  <c r="K41" i="18"/>
  <c r="K43" i="18"/>
  <c r="P2" i="47"/>
  <c r="P32" i="50"/>
  <c r="Q36" i="61"/>
  <c r="T11" i="61"/>
  <c r="T10" i="61"/>
  <c r="M44" i="18"/>
  <c r="V14" i="18"/>
  <c r="H41" i="18"/>
  <c r="H43" i="18"/>
  <c r="M42" i="18"/>
  <c r="J19" i="56"/>
  <c r="L35" i="24"/>
  <c r="P6" i="26"/>
  <c r="K18" i="45"/>
  <c r="G18" i="45"/>
  <c r="M16" i="45"/>
  <c r="M17" i="45"/>
  <c r="M18" i="45"/>
  <c r="M19" i="45"/>
  <c r="K15" i="45"/>
  <c r="K16" i="45"/>
  <c r="K17" i="45"/>
  <c r="G17" i="45"/>
  <c r="G16" i="45"/>
  <c r="G59" i="44"/>
  <c r="K59" i="44"/>
  <c r="J31" i="65"/>
  <c r="J32" i="65"/>
  <c r="J33" i="65"/>
  <c r="J34" i="65"/>
  <c r="K31" i="65"/>
  <c r="K34" i="65"/>
  <c r="G33" i="65"/>
  <c r="G23" i="35"/>
  <c r="G24" i="35"/>
  <c r="G25" i="35"/>
  <c r="E30" i="26"/>
  <c r="E38" i="24"/>
  <c r="M29" i="24"/>
  <c r="M5" i="24"/>
  <c r="M3" i="24"/>
  <c r="M30" i="22"/>
  <c r="M31" i="22"/>
  <c r="K31" i="22"/>
  <c r="G31" i="22"/>
  <c r="P32" i="16"/>
  <c r="E35" i="60"/>
  <c r="G20" i="35"/>
  <c r="G21" i="35"/>
  <c r="G22" i="35"/>
  <c r="G26" i="34"/>
  <c r="K28" i="63"/>
  <c r="K14" i="45"/>
  <c r="K12" i="45"/>
  <c r="K11" i="45"/>
  <c r="M26" i="36"/>
  <c r="J16" i="40"/>
  <c r="J17" i="40"/>
  <c r="J18" i="40"/>
  <c r="J19" i="40"/>
  <c r="J20" i="40"/>
  <c r="J21" i="40"/>
  <c r="J22" i="40"/>
  <c r="J23" i="40"/>
  <c r="J24" i="40"/>
  <c r="J25" i="40"/>
  <c r="J26" i="40"/>
  <c r="K22" i="54"/>
  <c r="G19" i="35"/>
  <c r="G18" i="35"/>
  <c r="G17" i="35"/>
  <c r="K10" i="41"/>
  <c r="J43" i="44"/>
  <c r="J40" i="44"/>
  <c r="G40" i="44"/>
  <c r="K40" i="44" s="1"/>
  <c r="G38" i="44"/>
  <c r="J36" i="44"/>
  <c r="J37" i="44"/>
  <c r="J38" i="44"/>
  <c r="G37" i="44"/>
  <c r="K37" i="44" s="1"/>
  <c r="G35" i="44"/>
  <c r="G36" i="44"/>
  <c r="K36" i="44" s="1"/>
  <c r="J35" i="44"/>
  <c r="K35" i="44" s="1"/>
  <c r="H43" i="35"/>
  <c r="G15" i="35"/>
  <c r="G16" i="35"/>
  <c r="M18" i="10"/>
  <c r="J16" i="61"/>
  <c r="J17" i="61"/>
  <c r="M16" i="60"/>
  <c r="G14" i="35"/>
  <c r="J13" i="40"/>
  <c r="J14" i="40"/>
  <c r="J15" i="40"/>
  <c r="G12" i="35"/>
  <c r="G13" i="35"/>
  <c r="G7" i="45"/>
  <c r="G6" i="45"/>
  <c r="K7" i="45"/>
  <c r="K6" i="45"/>
  <c r="K4" i="45"/>
  <c r="J8" i="45"/>
  <c r="J9" i="45"/>
  <c r="K9" i="45" s="1"/>
  <c r="J10" i="45"/>
  <c r="K10" i="45" s="1"/>
  <c r="J5" i="45"/>
  <c r="G5" i="45"/>
  <c r="G8" i="45"/>
  <c r="M10" i="64"/>
  <c r="M9" i="64"/>
  <c r="M4" i="64"/>
  <c r="J12" i="40"/>
  <c r="G10" i="35"/>
  <c r="G11" i="35"/>
  <c r="E9" i="47"/>
  <c r="E10" i="50"/>
  <c r="G9" i="35"/>
  <c r="G8" i="35"/>
  <c r="E5" i="47"/>
  <c r="J5" i="35"/>
  <c r="K5" i="35"/>
  <c r="J6" i="35"/>
  <c r="K6" i="35"/>
  <c r="J7" i="35"/>
  <c r="K7" i="35"/>
  <c r="J8" i="35"/>
  <c r="K8" i="35"/>
  <c r="J9" i="35"/>
  <c r="K9" i="35"/>
  <c r="J10" i="35"/>
  <c r="K10" i="35"/>
  <c r="J11" i="35"/>
  <c r="K11" i="35"/>
  <c r="J12" i="35"/>
  <c r="K12" i="35"/>
  <c r="J13" i="35"/>
  <c r="K13" i="35"/>
  <c r="J14" i="35"/>
  <c r="K14" i="35"/>
  <c r="J15" i="35"/>
  <c r="K15" i="35"/>
  <c r="J16" i="35"/>
  <c r="K16" i="35"/>
  <c r="J17" i="35"/>
  <c r="K17" i="35"/>
  <c r="J18" i="35"/>
  <c r="K18" i="35"/>
  <c r="J19" i="35"/>
  <c r="K19" i="35"/>
  <c r="J20" i="35"/>
  <c r="K20" i="35"/>
  <c r="J21" i="35"/>
  <c r="K21" i="35"/>
  <c r="J22" i="35"/>
  <c r="K22" i="35"/>
  <c r="J23" i="35"/>
  <c r="K23" i="35"/>
  <c r="J24" i="35"/>
  <c r="K24" i="35"/>
  <c r="J25" i="35"/>
  <c r="K25" i="35"/>
  <c r="J26" i="35"/>
  <c r="K26" i="35"/>
  <c r="J27" i="35"/>
  <c r="K27" i="35"/>
  <c r="J28" i="35"/>
  <c r="K28" i="35"/>
  <c r="J29" i="35"/>
  <c r="K29" i="35"/>
  <c r="G5" i="19"/>
  <c r="J5" i="19"/>
  <c r="G6" i="19"/>
  <c r="J6" i="19"/>
  <c r="G7" i="19"/>
  <c r="J7" i="19"/>
  <c r="G8" i="19"/>
  <c r="J8" i="19"/>
  <c r="G9" i="19"/>
  <c r="J9" i="19"/>
  <c r="G10" i="19"/>
  <c r="J10" i="19"/>
  <c r="G11" i="19"/>
  <c r="J11" i="19"/>
  <c r="G12" i="19"/>
  <c r="J12" i="19"/>
  <c r="G13" i="19"/>
  <c r="J13" i="19"/>
  <c r="G14" i="19"/>
  <c r="J14" i="19"/>
  <c r="G15" i="19"/>
  <c r="J15" i="19"/>
  <c r="G16" i="19"/>
  <c r="J16" i="19"/>
  <c r="G17" i="19"/>
  <c r="J17" i="19"/>
  <c r="G18" i="19"/>
  <c r="J18" i="19"/>
  <c r="G19" i="19"/>
  <c r="J19" i="19"/>
  <c r="G20" i="19"/>
  <c r="J20" i="19"/>
  <c r="G21" i="19"/>
  <c r="J21" i="19"/>
  <c r="G22" i="19"/>
  <c r="J22" i="19"/>
  <c r="G23" i="19"/>
  <c r="J23" i="19"/>
  <c r="G24" i="19"/>
  <c r="J24" i="19"/>
  <c r="G25" i="19"/>
  <c r="J25" i="19"/>
  <c r="G26" i="19"/>
  <c r="J26" i="19"/>
  <c r="G27" i="19"/>
  <c r="J27" i="19"/>
  <c r="G28" i="19"/>
  <c r="J28" i="19"/>
  <c r="G29" i="19"/>
  <c r="J29" i="19"/>
  <c r="G30" i="19"/>
  <c r="J30" i="19"/>
  <c r="G31" i="19"/>
  <c r="J31" i="19"/>
  <c r="G32" i="19"/>
  <c r="J32" i="19"/>
  <c r="G33" i="19"/>
  <c r="J33" i="19"/>
  <c r="G34" i="19"/>
  <c r="J34" i="19"/>
  <c r="G5" i="51"/>
  <c r="J5" i="51"/>
  <c r="K5" i="51"/>
  <c r="G6" i="51"/>
  <c r="J6" i="51"/>
  <c r="K6" i="51"/>
  <c r="G7" i="51"/>
  <c r="J7" i="51"/>
  <c r="K7" i="51"/>
  <c r="G8" i="51"/>
  <c r="J8" i="51"/>
  <c r="K8" i="51"/>
  <c r="G9" i="51"/>
  <c r="J9" i="51"/>
  <c r="K9" i="51"/>
  <c r="G10" i="51"/>
  <c r="J10" i="51"/>
  <c r="K10" i="51"/>
  <c r="G11" i="51"/>
  <c r="J11" i="51"/>
  <c r="K11" i="51"/>
  <c r="G12" i="51"/>
  <c r="J12" i="51"/>
  <c r="K12" i="51"/>
  <c r="G13" i="51"/>
  <c r="J13" i="51"/>
  <c r="K13" i="51"/>
  <c r="G14" i="51"/>
  <c r="J14" i="51"/>
  <c r="K14" i="51"/>
  <c r="G15" i="51"/>
  <c r="J15" i="51"/>
  <c r="K15" i="51"/>
  <c r="G16" i="51"/>
  <c r="J16" i="51"/>
  <c r="K16" i="51"/>
  <c r="G17" i="51"/>
  <c r="J17" i="51"/>
  <c r="K17" i="51"/>
  <c r="G18" i="51"/>
  <c r="J18" i="51"/>
  <c r="K18" i="51"/>
  <c r="G19" i="51"/>
  <c r="J19" i="51"/>
  <c r="K19" i="51"/>
  <c r="G20" i="51"/>
  <c r="J20" i="51"/>
  <c r="K20" i="51"/>
  <c r="G21" i="51"/>
  <c r="J21" i="51"/>
  <c r="K21" i="51"/>
  <c r="G22" i="51"/>
  <c r="J22" i="51"/>
  <c r="K22" i="51"/>
  <c r="G23" i="51"/>
  <c r="J23" i="51"/>
  <c r="K23" i="51"/>
  <c r="G24" i="51"/>
  <c r="J24" i="51"/>
  <c r="K24" i="51"/>
  <c r="G25" i="51"/>
  <c r="J25" i="51"/>
  <c r="K25" i="51"/>
  <c r="G26" i="51"/>
  <c r="J26" i="51"/>
  <c r="K26" i="51"/>
  <c r="G27" i="51"/>
  <c r="J27" i="51"/>
  <c r="K27" i="51"/>
  <c r="G28" i="51"/>
  <c r="J28" i="51"/>
  <c r="K28" i="51"/>
  <c r="G29" i="51"/>
  <c r="J29" i="51"/>
  <c r="K29" i="51"/>
  <c r="G30" i="51"/>
  <c r="J30" i="51"/>
  <c r="K30" i="51"/>
  <c r="G31" i="51"/>
  <c r="J31" i="51"/>
  <c r="K31" i="51"/>
  <c r="G32" i="51"/>
  <c r="J32" i="51"/>
  <c r="K32" i="51"/>
  <c r="G33" i="51"/>
  <c r="J33" i="51"/>
  <c r="K33" i="51"/>
  <c r="G34" i="51"/>
  <c r="J34" i="51"/>
  <c r="K34" i="51"/>
  <c r="G5" i="34"/>
  <c r="J5" i="34"/>
  <c r="K5" i="34"/>
  <c r="G6" i="34"/>
  <c r="J6" i="34"/>
  <c r="K6" i="34"/>
  <c r="G7" i="34"/>
  <c r="J7" i="34"/>
  <c r="K7" i="34"/>
  <c r="G8" i="34"/>
  <c r="J8" i="34"/>
  <c r="K8" i="34"/>
  <c r="G9" i="34"/>
  <c r="J9" i="34"/>
  <c r="K9" i="34"/>
  <c r="G10" i="34"/>
  <c r="J10" i="34"/>
  <c r="K10" i="34"/>
  <c r="G11" i="34"/>
  <c r="J11" i="34"/>
  <c r="K11" i="34"/>
  <c r="G12" i="34"/>
  <c r="J12" i="34"/>
  <c r="K12" i="34"/>
  <c r="G13" i="34"/>
  <c r="J13" i="34"/>
  <c r="K13" i="34"/>
  <c r="G14" i="34"/>
  <c r="J14" i="34"/>
  <c r="K14" i="34"/>
  <c r="G15" i="34"/>
  <c r="J15" i="34"/>
  <c r="K15" i="34"/>
  <c r="G16" i="34"/>
  <c r="J16" i="34"/>
  <c r="K16" i="34"/>
  <c r="G17" i="34"/>
  <c r="J17" i="34"/>
  <c r="K17" i="34"/>
  <c r="G18" i="34"/>
  <c r="J18" i="34"/>
  <c r="K18" i="34"/>
  <c r="G19" i="34"/>
  <c r="J19" i="34"/>
  <c r="K19" i="34"/>
  <c r="G20" i="34"/>
  <c r="J20" i="34"/>
  <c r="K20" i="34"/>
  <c r="G21" i="34"/>
  <c r="J21" i="34"/>
  <c r="K21" i="34"/>
  <c r="G22" i="34"/>
  <c r="J22" i="34"/>
  <c r="K22" i="34"/>
  <c r="G23" i="34"/>
  <c r="J23" i="34"/>
  <c r="K23" i="34"/>
  <c r="G24" i="34"/>
  <c r="J24" i="34"/>
  <c r="K24" i="34"/>
  <c r="G25" i="34"/>
  <c r="J25" i="34"/>
  <c r="K25" i="34"/>
  <c r="J26" i="34"/>
  <c r="K26" i="34"/>
  <c r="G27" i="34"/>
  <c r="J27" i="34"/>
  <c r="K27" i="34"/>
  <c r="G28" i="34"/>
  <c r="J28" i="34"/>
  <c r="K28" i="34"/>
  <c r="G29" i="34"/>
  <c r="J29" i="34"/>
  <c r="K29" i="34"/>
  <c r="G30" i="34"/>
  <c r="J30" i="34"/>
  <c r="K30" i="34"/>
  <c r="G31" i="34"/>
  <c r="J31" i="34"/>
  <c r="K31" i="34"/>
  <c r="G5" i="33"/>
  <c r="J5" i="33"/>
  <c r="K5" i="33"/>
  <c r="G6" i="33"/>
  <c r="J6" i="33"/>
  <c r="K6" i="33"/>
  <c r="G7" i="33"/>
  <c r="J7" i="33"/>
  <c r="K7" i="33"/>
  <c r="G8" i="33"/>
  <c r="J8" i="33"/>
  <c r="K8" i="33"/>
  <c r="G9" i="33"/>
  <c r="J9" i="33"/>
  <c r="K9" i="33"/>
  <c r="G10" i="33"/>
  <c r="J10" i="33"/>
  <c r="K10" i="33"/>
  <c r="G11" i="33"/>
  <c r="J11" i="33"/>
  <c r="K11" i="33"/>
  <c r="G12" i="33"/>
  <c r="J12" i="33"/>
  <c r="K12" i="33"/>
  <c r="G13" i="33"/>
  <c r="J13" i="33"/>
  <c r="K13" i="33"/>
  <c r="G14" i="33"/>
  <c r="J14" i="33"/>
  <c r="K14" i="33"/>
  <c r="G15" i="33"/>
  <c r="J15" i="33"/>
  <c r="K15" i="33"/>
  <c r="G16" i="33"/>
  <c r="J16" i="33"/>
  <c r="K16" i="33"/>
  <c r="G17" i="33"/>
  <c r="J17" i="33"/>
  <c r="K17" i="33"/>
  <c r="G18" i="33"/>
  <c r="J18" i="33"/>
  <c r="K18" i="33"/>
  <c r="G19" i="33"/>
  <c r="J19" i="33"/>
  <c r="K19" i="33"/>
  <c r="G20" i="33"/>
  <c r="J20" i="33"/>
  <c r="K20" i="33"/>
  <c r="G21" i="33"/>
  <c r="J21" i="33"/>
  <c r="K21" i="33"/>
  <c r="G22" i="33"/>
  <c r="J22" i="33"/>
  <c r="K22" i="33"/>
  <c r="G23" i="33"/>
  <c r="J23" i="33"/>
  <c r="K23" i="33"/>
  <c r="G24" i="33"/>
  <c r="J24" i="33"/>
  <c r="K24" i="33"/>
  <c r="G25" i="33"/>
  <c r="J25" i="33"/>
  <c r="K25" i="33"/>
  <c r="G26" i="33"/>
  <c r="J26" i="33"/>
  <c r="K26" i="33"/>
  <c r="G27" i="33"/>
  <c r="J27" i="33"/>
  <c r="K27" i="33"/>
  <c r="G28" i="33"/>
  <c r="J28" i="33"/>
  <c r="K28" i="33"/>
  <c r="G29" i="33"/>
  <c r="J29" i="33"/>
  <c r="K29" i="33"/>
  <c r="G30" i="33"/>
  <c r="J30" i="33"/>
  <c r="K30" i="33"/>
  <c r="G31" i="33"/>
  <c r="J31" i="33"/>
  <c r="K31" i="33"/>
  <c r="G32" i="33"/>
  <c r="J32" i="33"/>
  <c r="K32" i="33"/>
  <c r="G33" i="33"/>
  <c r="J33" i="33"/>
  <c r="K33" i="33"/>
  <c r="G34" i="33"/>
  <c r="J34" i="33"/>
  <c r="K34" i="33"/>
  <c r="G35" i="33"/>
  <c r="J35" i="33"/>
  <c r="K35" i="33"/>
  <c r="G36" i="33"/>
  <c r="J36" i="33"/>
  <c r="K36" i="33"/>
  <c r="G37" i="33"/>
  <c r="J37" i="33"/>
  <c r="K37" i="33"/>
  <c r="G38" i="33"/>
  <c r="J38" i="33"/>
  <c r="K38" i="33"/>
  <c r="G39" i="33"/>
  <c r="J39" i="33"/>
  <c r="K39" i="33"/>
  <c r="G40" i="33"/>
  <c r="J40" i="33"/>
  <c r="K40" i="33"/>
  <c r="G41" i="33"/>
  <c r="J41" i="33"/>
  <c r="K41" i="33"/>
  <c r="G42" i="33"/>
  <c r="J42" i="33"/>
  <c r="K42" i="33"/>
  <c r="G5" i="9"/>
  <c r="J5" i="9"/>
  <c r="K5" i="9"/>
  <c r="G6" i="9"/>
  <c r="J6" i="9"/>
  <c r="K6" i="9"/>
  <c r="G7" i="9"/>
  <c r="J7" i="9"/>
  <c r="K7" i="9"/>
  <c r="G8" i="9"/>
  <c r="J8" i="9"/>
  <c r="K8" i="9"/>
  <c r="G9" i="9"/>
  <c r="J9" i="9"/>
  <c r="K9" i="9"/>
  <c r="G10" i="9"/>
  <c r="J10" i="9"/>
  <c r="K10" i="9"/>
  <c r="G11" i="9"/>
  <c r="J11" i="9"/>
  <c r="K11" i="9"/>
  <c r="G12" i="9"/>
  <c r="J12" i="9"/>
  <c r="K12" i="9"/>
  <c r="G13" i="9"/>
  <c r="J13" i="9"/>
  <c r="K13" i="9"/>
  <c r="G14" i="9"/>
  <c r="J14" i="9"/>
  <c r="K14" i="9"/>
  <c r="G15" i="9"/>
  <c r="J15" i="9"/>
  <c r="K15" i="9"/>
  <c r="G16" i="9"/>
  <c r="J16" i="9"/>
  <c r="K16" i="9"/>
  <c r="G17" i="9"/>
  <c r="J17" i="9"/>
  <c r="K17" i="9"/>
  <c r="G18" i="9"/>
  <c r="J18" i="9"/>
  <c r="K18" i="9"/>
  <c r="G19" i="9"/>
  <c r="J19" i="9"/>
  <c r="K19" i="9"/>
  <c r="G20" i="9"/>
  <c r="J20" i="9"/>
  <c r="K20" i="9"/>
  <c r="G21" i="9"/>
  <c r="J21" i="9"/>
  <c r="K21" i="9"/>
  <c r="G22" i="9"/>
  <c r="J22" i="9"/>
  <c r="K22" i="9"/>
  <c r="G23" i="9"/>
  <c r="J23" i="9"/>
  <c r="K23" i="9"/>
  <c r="G24" i="9"/>
  <c r="J24" i="9"/>
  <c r="K24" i="9"/>
  <c r="G25" i="9"/>
  <c r="J25" i="9"/>
  <c r="K25" i="9"/>
  <c r="G26" i="9"/>
  <c r="J26" i="9"/>
  <c r="K26" i="9"/>
  <c r="G27" i="9"/>
  <c r="J27" i="9"/>
  <c r="K27" i="9"/>
  <c r="G28" i="9"/>
  <c r="J28" i="9"/>
  <c r="K28" i="9"/>
  <c r="G29" i="9"/>
  <c r="J29" i="9"/>
  <c r="K29" i="9"/>
  <c r="G30" i="9"/>
  <c r="J30" i="9"/>
  <c r="K30" i="9"/>
  <c r="G31" i="9"/>
  <c r="J31" i="9"/>
  <c r="K31" i="9"/>
  <c r="G32" i="9"/>
  <c r="J32" i="9"/>
  <c r="K32" i="9"/>
  <c r="G33" i="9"/>
  <c r="J33" i="9"/>
  <c r="K33" i="9"/>
  <c r="G5" i="26"/>
  <c r="J5" i="26"/>
  <c r="K5" i="26"/>
  <c r="G6" i="26"/>
  <c r="J6" i="26"/>
  <c r="K6" i="26"/>
  <c r="G7" i="26"/>
  <c r="J7" i="26"/>
  <c r="K7" i="26"/>
  <c r="G8" i="26"/>
  <c r="J8" i="26"/>
  <c r="K8" i="26"/>
  <c r="G9" i="26"/>
  <c r="J9" i="26"/>
  <c r="K9" i="26"/>
  <c r="G10" i="26"/>
  <c r="J10" i="26"/>
  <c r="K10" i="26"/>
  <c r="G11" i="26"/>
  <c r="J11" i="26"/>
  <c r="K11" i="26"/>
  <c r="G12" i="26"/>
  <c r="J12" i="26"/>
  <c r="K12" i="26"/>
  <c r="G13" i="26"/>
  <c r="J13" i="26"/>
  <c r="K13" i="26"/>
  <c r="G14" i="26"/>
  <c r="J14" i="26"/>
  <c r="K14" i="26"/>
  <c r="G15" i="26"/>
  <c r="J15" i="26"/>
  <c r="K15" i="26"/>
  <c r="G16" i="26"/>
  <c r="J16" i="26"/>
  <c r="K16" i="26"/>
  <c r="G17" i="26"/>
  <c r="J17" i="26"/>
  <c r="K17" i="26"/>
  <c r="G18" i="26"/>
  <c r="J18" i="26"/>
  <c r="K18" i="26"/>
  <c r="G19" i="26"/>
  <c r="J19" i="26"/>
  <c r="K19" i="26"/>
  <c r="G20" i="26"/>
  <c r="J20" i="26"/>
  <c r="K20" i="26"/>
  <c r="G21" i="26"/>
  <c r="J21" i="26"/>
  <c r="K21" i="26"/>
  <c r="G22" i="26"/>
  <c r="J22" i="26"/>
  <c r="K22" i="26"/>
  <c r="G23" i="26"/>
  <c r="J23" i="26"/>
  <c r="K23" i="26"/>
  <c r="G24" i="26"/>
  <c r="J24" i="26"/>
  <c r="K24" i="26"/>
  <c r="G25" i="26"/>
  <c r="J25" i="26"/>
  <c r="K25" i="26"/>
  <c r="G26" i="26"/>
  <c r="J26" i="26"/>
  <c r="K26" i="26"/>
  <c r="G27" i="26"/>
  <c r="J27" i="26"/>
  <c r="K27" i="26"/>
  <c r="G28" i="26"/>
  <c r="J28" i="26"/>
  <c r="K28" i="26"/>
  <c r="G29" i="26"/>
  <c r="J29" i="26"/>
  <c r="K29" i="26"/>
  <c r="G30" i="26"/>
  <c r="J30" i="26"/>
  <c r="K30" i="26"/>
  <c r="G31" i="26"/>
  <c r="J31" i="26"/>
  <c r="K31" i="26"/>
  <c r="G32" i="26"/>
  <c r="J32" i="26"/>
  <c r="K32" i="26"/>
  <c r="G33" i="26"/>
  <c r="J33" i="26"/>
  <c r="K33" i="26"/>
  <c r="G34" i="26"/>
  <c r="J34" i="26"/>
  <c r="K34" i="26"/>
  <c r="G35" i="26"/>
  <c r="J35" i="26"/>
  <c r="K35" i="26"/>
  <c r="G36" i="26"/>
  <c r="J36" i="26"/>
  <c r="K36" i="26"/>
  <c r="G37" i="26"/>
  <c r="J37" i="26"/>
  <c r="K37" i="26"/>
  <c r="G38" i="26"/>
  <c r="J38" i="26"/>
  <c r="K38" i="26"/>
  <c r="G39" i="26"/>
  <c r="J39" i="26"/>
  <c r="K39" i="26"/>
  <c r="G40" i="26"/>
  <c r="J40" i="26"/>
  <c r="K40" i="26"/>
  <c r="G41" i="26"/>
  <c r="J41" i="26"/>
  <c r="K41" i="26"/>
  <c r="G42" i="26"/>
  <c r="J42" i="26"/>
  <c r="K42" i="26"/>
  <c r="G43" i="26"/>
  <c r="J43" i="26"/>
  <c r="K43" i="26"/>
  <c r="G44" i="26"/>
  <c r="J44" i="26"/>
  <c r="K44" i="26"/>
  <c r="J5" i="57"/>
  <c r="K5" i="57"/>
  <c r="J6" i="57"/>
  <c r="K6" i="57"/>
  <c r="J7" i="57"/>
  <c r="K7" i="57"/>
  <c r="J8" i="57"/>
  <c r="K8" i="57"/>
  <c r="J9" i="57"/>
  <c r="K9" i="57"/>
  <c r="J10" i="57"/>
  <c r="K10" i="57"/>
  <c r="J11" i="57"/>
  <c r="K11" i="57"/>
  <c r="J12" i="57"/>
  <c r="K12" i="57"/>
  <c r="J13" i="57"/>
  <c r="K13" i="57"/>
  <c r="J14" i="57"/>
  <c r="K14" i="57"/>
  <c r="J15" i="57"/>
  <c r="K15" i="57"/>
  <c r="J16" i="57"/>
  <c r="K16" i="57"/>
  <c r="J17" i="57"/>
  <c r="K17" i="57"/>
  <c r="J18" i="57"/>
  <c r="K18" i="57"/>
  <c r="J19" i="57"/>
  <c r="K19" i="57"/>
  <c r="J20" i="57"/>
  <c r="K20" i="57"/>
  <c r="J21" i="57"/>
  <c r="K21" i="57"/>
  <c r="J22" i="57"/>
  <c r="K22" i="57"/>
  <c r="J23" i="57"/>
  <c r="K23" i="57"/>
  <c r="J24" i="57"/>
  <c r="K24" i="57"/>
  <c r="J25" i="57"/>
  <c r="K25" i="57"/>
  <c r="J26" i="57"/>
  <c r="K26" i="57"/>
  <c r="J27" i="57"/>
  <c r="K27" i="57"/>
  <c r="J28" i="57"/>
  <c r="K28" i="57"/>
  <c r="J29" i="57"/>
  <c r="K29" i="57"/>
  <c r="J30" i="57"/>
  <c r="K30" i="57"/>
  <c r="J31" i="57"/>
  <c r="K31" i="57"/>
  <c r="J32" i="57"/>
  <c r="K32" i="57"/>
  <c r="J33" i="57"/>
  <c r="K33" i="57"/>
  <c r="J34" i="57"/>
  <c r="K34" i="57"/>
  <c r="G5" i="60"/>
  <c r="J5" i="60"/>
  <c r="K5" i="60"/>
  <c r="G6" i="60"/>
  <c r="J6" i="60"/>
  <c r="K6" i="60"/>
  <c r="G7" i="60"/>
  <c r="J7" i="60"/>
  <c r="K7" i="60"/>
  <c r="G8" i="60"/>
  <c r="J8" i="60"/>
  <c r="K8" i="60"/>
  <c r="G9" i="60"/>
  <c r="J9" i="60"/>
  <c r="K9" i="60"/>
  <c r="G10" i="60"/>
  <c r="J10" i="60"/>
  <c r="K10" i="60"/>
  <c r="G11" i="60"/>
  <c r="J11" i="60"/>
  <c r="K11" i="60"/>
  <c r="G12" i="60"/>
  <c r="J12" i="60"/>
  <c r="K12" i="60"/>
  <c r="G13" i="60"/>
  <c r="J13" i="60"/>
  <c r="K13" i="60"/>
  <c r="G14" i="60"/>
  <c r="J14" i="60"/>
  <c r="K14" i="60"/>
  <c r="G15" i="60"/>
  <c r="J15" i="60"/>
  <c r="K15" i="60"/>
  <c r="G16" i="60"/>
  <c r="J16" i="60"/>
  <c r="K16" i="60"/>
  <c r="G17" i="60"/>
  <c r="J17" i="60"/>
  <c r="K17" i="60"/>
  <c r="G18" i="60"/>
  <c r="J18" i="60"/>
  <c r="K18" i="60"/>
  <c r="G19" i="60"/>
  <c r="J19" i="60"/>
  <c r="K19" i="60"/>
  <c r="G20" i="60"/>
  <c r="J20" i="60"/>
  <c r="K20" i="60"/>
  <c r="G21" i="60"/>
  <c r="J21" i="60"/>
  <c r="K21" i="60"/>
  <c r="G22" i="60"/>
  <c r="J22" i="60"/>
  <c r="K22" i="60"/>
  <c r="G23" i="60"/>
  <c r="J23" i="60"/>
  <c r="K23" i="60"/>
  <c r="G24" i="60"/>
  <c r="J24" i="60"/>
  <c r="K24" i="60"/>
  <c r="G25" i="60"/>
  <c r="J25" i="60"/>
  <c r="K25" i="60"/>
  <c r="G26" i="60"/>
  <c r="J26" i="60"/>
  <c r="K26" i="60"/>
  <c r="G27" i="60"/>
  <c r="J27" i="60"/>
  <c r="K27" i="60"/>
  <c r="G28" i="60"/>
  <c r="J28" i="60"/>
  <c r="K28" i="60"/>
  <c r="G29" i="60"/>
  <c r="J29" i="60"/>
  <c r="K29" i="60"/>
  <c r="G30" i="60"/>
  <c r="J30" i="60"/>
  <c r="K30" i="60"/>
  <c r="G31" i="60"/>
  <c r="J31" i="60"/>
  <c r="K31" i="60"/>
  <c r="G32" i="60"/>
  <c r="J32" i="60"/>
  <c r="K32" i="60"/>
  <c r="G33" i="60"/>
  <c r="J33" i="60"/>
  <c r="K33" i="60"/>
  <c r="G5" i="41"/>
  <c r="J5" i="41"/>
  <c r="K5" i="41"/>
  <c r="G6" i="41"/>
  <c r="J6" i="41"/>
  <c r="K6" i="41"/>
  <c r="G7" i="41"/>
  <c r="J7" i="41"/>
  <c r="K7" i="41"/>
  <c r="G8" i="41"/>
  <c r="J8" i="41"/>
  <c r="K8" i="41"/>
  <c r="G9" i="41"/>
  <c r="J9" i="41"/>
  <c r="K9" i="41"/>
  <c r="G10" i="41"/>
  <c r="J10" i="41"/>
  <c r="G11" i="41"/>
  <c r="J11" i="41"/>
  <c r="K11" i="41"/>
  <c r="G12" i="41"/>
  <c r="J12" i="41"/>
  <c r="K12" i="41"/>
  <c r="G13" i="41"/>
  <c r="J13" i="41"/>
  <c r="K13" i="41"/>
  <c r="G14" i="41"/>
  <c r="J14" i="41"/>
  <c r="K14" i="41"/>
  <c r="G15" i="41"/>
  <c r="J15" i="41"/>
  <c r="K15" i="41"/>
  <c r="G16" i="41"/>
  <c r="J16" i="41"/>
  <c r="K16" i="41"/>
  <c r="G17" i="41"/>
  <c r="J17" i="41"/>
  <c r="K17" i="41"/>
  <c r="G18" i="41"/>
  <c r="J18" i="41"/>
  <c r="K18" i="41"/>
  <c r="G19" i="41"/>
  <c r="J19" i="41"/>
  <c r="K19" i="41"/>
  <c r="G20" i="41"/>
  <c r="J20" i="41"/>
  <c r="K20" i="41"/>
  <c r="G21" i="41"/>
  <c r="J21" i="41"/>
  <c r="K21" i="41"/>
  <c r="G22" i="41"/>
  <c r="J22" i="41"/>
  <c r="K22" i="41"/>
  <c r="G23" i="41"/>
  <c r="J23" i="41"/>
  <c r="K23" i="41"/>
  <c r="G24" i="41"/>
  <c r="J24" i="41"/>
  <c r="K24" i="41"/>
  <c r="G25" i="41"/>
  <c r="J25" i="41"/>
  <c r="K25" i="41"/>
  <c r="G26" i="41"/>
  <c r="J26" i="41"/>
  <c r="K26" i="41"/>
  <c r="G27" i="41"/>
  <c r="J27" i="41"/>
  <c r="K27" i="41"/>
  <c r="G28" i="41"/>
  <c r="J28" i="41"/>
  <c r="K28" i="41"/>
  <c r="G29" i="41"/>
  <c r="J29" i="41"/>
  <c r="K29" i="41"/>
  <c r="G30" i="41"/>
  <c r="J30" i="41"/>
  <c r="K30" i="41"/>
  <c r="G31" i="41"/>
  <c r="J31" i="41"/>
  <c r="K31" i="41"/>
  <c r="G32" i="41"/>
  <c r="J32" i="41"/>
  <c r="K32" i="41"/>
  <c r="G33" i="41"/>
  <c r="J33" i="41"/>
  <c r="K33" i="41"/>
  <c r="G34" i="41"/>
  <c r="J34" i="41"/>
  <c r="K34" i="41"/>
  <c r="G35" i="41"/>
  <c r="J35" i="41"/>
  <c r="K35" i="41"/>
  <c r="G36" i="41"/>
  <c r="J36" i="41"/>
  <c r="K36" i="41"/>
  <c r="G37" i="41"/>
  <c r="J37" i="41"/>
  <c r="K37" i="41"/>
  <c r="G5" i="12"/>
  <c r="J5" i="12"/>
  <c r="K5" i="12"/>
  <c r="G6" i="12"/>
  <c r="J6" i="12"/>
  <c r="K6" i="12"/>
  <c r="G7" i="12"/>
  <c r="J7" i="12"/>
  <c r="K7" i="12"/>
  <c r="G8" i="12"/>
  <c r="J8" i="12"/>
  <c r="K8" i="12"/>
  <c r="G9" i="12"/>
  <c r="J9" i="12"/>
  <c r="K9" i="12"/>
  <c r="G10" i="12"/>
  <c r="J10" i="12"/>
  <c r="K10" i="12"/>
  <c r="G11" i="12"/>
  <c r="J11" i="12"/>
  <c r="K11" i="12"/>
  <c r="G12" i="12"/>
  <c r="J12" i="12"/>
  <c r="K12" i="12"/>
  <c r="G13" i="12"/>
  <c r="J13" i="12"/>
  <c r="K13" i="12"/>
  <c r="G14" i="12"/>
  <c r="J14" i="12"/>
  <c r="K14" i="12"/>
  <c r="G15" i="12"/>
  <c r="J15" i="12"/>
  <c r="K15" i="12"/>
  <c r="G16" i="12"/>
  <c r="J16" i="12"/>
  <c r="K16" i="12"/>
  <c r="G17" i="12"/>
  <c r="J17" i="12"/>
  <c r="K17" i="12"/>
  <c r="G18" i="12"/>
  <c r="J18" i="12"/>
  <c r="K18" i="12"/>
  <c r="G19" i="12"/>
  <c r="J19" i="12"/>
  <c r="K19" i="12"/>
  <c r="G20" i="12"/>
  <c r="J20" i="12"/>
  <c r="K20" i="12"/>
  <c r="G21" i="12"/>
  <c r="J21" i="12"/>
  <c r="K21" i="12"/>
  <c r="G22" i="12"/>
  <c r="J22" i="12"/>
  <c r="K22" i="12"/>
  <c r="G23" i="12"/>
  <c r="J23" i="12"/>
  <c r="K23" i="12"/>
  <c r="G24" i="12"/>
  <c r="J24" i="12"/>
  <c r="K24" i="12"/>
  <c r="G25" i="12"/>
  <c r="J25" i="12"/>
  <c r="K25" i="12"/>
  <c r="G26" i="12"/>
  <c r="J26" i="12"/>
  <c r="K26" i="12"/>
  <c r="G27" i="12"/>
  <c r="J27" i="12"/>
  <c r="K27" i="12"/>
  <c r="G28" i="12"/>
  <c r="J28" i="12"/>
  <c r="K28" i="12"/>
  <c r="G29" i="12"/>
  <c r="J29" i="12"/>
  <c r="K29" i="12"/>
  <c r="G30" i="12"/>
  <c r="J30" i="12"/>
  <c r="K30" i="12"/>
  <c r="G31" i="12"/>
  <c r="J31" i="12"/>
  <c r="K31" i="12"/>
  <c r="G32" i="12"/>
  <c r="J32" i="12"/>
  <c r="K32" i="12"/>
  <c r="G33" i="12"/>
  <c r="J33" i="12"/>
  <c r="K33" i="12"/>
  <c r="G34" i="12"/>
  <c r="J34" i="12"/>
  <c r="K34" i="12"/>
  <c r="G5" i="36"/>
  <c r="J5" i="36"/>
  <c r="K5" i="36"/>
  <c r="G6" i="36"/>
  <c r="J6" i="36"/>
  <c r="K6" i="36"/>
  <c r="G7" i="36"/>
  <c r="J7" i="36"/>
  <c r="K7" i="36"/>
  <c r="G8" i="36"/>
  <c r="J8" i="36"/>
  <c r="K8" i="36"/>
  <c r="G9" i="36"/>
  <c r="J9" i="36"/>
  <c r="K9" i="36"/>
  <c r="G10" i="36"/>
  <c r="J10" i="36"/>
  <c r="K10" i="36"/>
  <c r="G11" i="36"/>
  <c r="J11" i="36"/>
  <c r="K11" i="36"/>
  <c r="G12" i="36"/>
  <c r="J12" i="36"/>
  <c r="K12" i="36"/>
  <c r="G13" i="36"/>
  <c r="J13" i="36"/>
  <c r="K13" i="36"/>
  <c r="G14" i="36"/>
  <c r="J14" i="36"/>
  <c r="K14" i="36"/>
  <c r="G15" i="36"/>
  <c r="J15" i="36"/>
  <c r="K15" i="36"/>
  <c r="G16" i="36"/>
  <c r="J16" i="36"/>
  <c r="K16" i="36"/>
  <c r="G17" i="36"/>
  <c r="J17" i="36"/>
  <c r="K17" i="36"/>
  <c r="G18" i="36"/>
  <c r="J18" i="36"/>
  <c r="K18" i="36"/>
  <c r="G19" i="36"/>
  <c r="J19" i="36"/>
  <c r="K19" i="36"/>
  <c r="G20" i="36"/>
  <c r="J20" i="36"/>
  <c r="K20" i="36"/>
  <c r="G21" i="36"/>
  <c r="J21" i="36"/>
  <c r="K21" i="36"/>
  <c r="G22" i="36"/>
  <c r="J22" i="36"/>
  <c r="K22" i="36"/>
  <c r="G23" i="36"/>
  <c r="J23" i="36"/>
  <c r="K23" i="36"/>
  <c r="G24" i="36"/>
  <c r="J24" i="36"/>
  <c r="K24" i="36"/>
  <c r="G25" i="36"/>
  <c r="J25" i="36"/>
  <c r="K25" i="36"/>
  <c r="G26" i="36"/>
  <c r="J26" i="36"/>
  <c r="K26" i="36"/>
  <c r="G27" i="36"/>
  <c r="J27" i="36"/>
  <c r="K27" i="36"/>
  <c r="G28" i="36"/>
  <c r="J28" i="36"/>
  <c r="K28" i="36"/>
  <c r="G29" i="36"/>
  <c r="J29" i="36"/>
  <c r="K29" i="36"/>
  <c r="G30" i="36"/>
  <c r="J30" i="36"/>
  <c r="K30" i="36"/>
  <c r="G31" i="36"/>
  <c r="J31" i="36"/>
  <c r="K31" i="36"/>
  <c r="G32" i="36"/>
  <c r="J32" i="36"/>
  <c r="K32" i="36"/>
  <c r="G33" i="36"/>
  <c r="J33" i="36"/>
  <c r="K33" i="36"/>
  <c r="G5" i="37"/>
  <c r="J5" i="37"/>
  <c r="K5" i="37"/>
  <c r="G6" i="37"/>
  <c r="J6" i="37"/>
  <c r="K6" i="37"/>
  <c r="G7" i="37"/>
  <c r="J7" i="37"/>
  <c r="K7" i="37"/>
  <c r="G8" i="37"/>
  <c r="J8" i="37"/>
  <c r="K8" i="37"/>
  <c r="G9" i="37"/>
  <c r="J9" i="37"/>
  <c r="K9" i="37"/>
  <c r="G10" i="37"/>
  <c r="J10" i="37"/>
  <c r="K10" i="37"/>
  <c r="G11" i="37"/>
  <c r="J11" i="37"/>
  <c r="K11" i="37"/>
  <c r="G12" i="37"/>
  <c r="J12" i="37"/>
  <c r="K12" i="37"/>
  <c r="G13" i="37"/>
  <c r="J13" i="37"/>
  <c r="K13" i="37"/>
  <c r="G14" i="37"/>
  <c r="J14" i="37"/>
  <c r="K14" i="37"/>
  <c r="G15" i="37"/>
  <c r="J15" i="37"/>
  <c r="K15" i="37"/>
  <c r="G16" i="37"/>
  <c r="J16" i="37"/>
  <c r="K16" i="37"/>
  <c r="G17" i="37"/>
  <c r="J17" i="37"/>
  <c r="K17" i="37"/>
  <c r="G18" i="37"/>
  <c r="J18" i="37"/>
  <c r="K18" i="37"/>
  <c r="G19" i="37"/>
  <c r="J19" i="37"/>
  <c r="K19" i="37"/>
  <c r="G20" i="37"/>
  <c r="J20" i="37"/>
  <c r="K20" i="37"/>
  <c r="G21" i="37"/>
  <c r="J21" i="37"/>
  <c r="K21" i="37"/>
  <c r="G22" i="37"/>
  <c r="J22" i="37"/>
  <c r="K22" i="37"/>
  <c r="G23" i="37"/>
  <c r="J23" i="37"/>
  <c r="K23" i="37"/>
  <c r="G24" i="37"/>
  <c r="J24" i="37"/>
  <c r="K24" i="37"/>
  <c r="G25" i="37"/>
  <c r="J25" i="37"/>
  <c r="K25" i="37"/>
  <c r="G26" i="37"/>
  <c r="J26" i="37"/>
  <c r="K26" i="37"/>
  <c r="G27" i="37"/>
  <c r="J27" i="37"/>
  <c r="K27" i="37"/>
  <c r="G28" i="37"/>
  <c r="J28" i="37"/>
  <c r="K28" i="37"/>
  <c r="G29" i="37"/>
  <c r="J29" i="37"/>
  <c r="K29" i="37"/>
  <c r="G30" i="37"/>
  <c r="J30" i="37"/>
  <c r="K30" i="37"/>
  <c r="G31" i="37"/>
  <c r="J31" i="37"/>
  <c r="K31" i="37"/>
  <c r="G32" i="37"/>
  <c r="J32" i="37"/>
  <c r="K32" i="37"/>
  <c r="G5" i="15"/>
  <c r="J5" i="15"/>
  <c r="K5" i="15"/>
  <c r="G6" i="15"/>
  <c r="J6" i="15"/>
  <c r="K6" i="15"/>
  <c r="G7" i="15"/>
  <c r="J7" i="15"/>
  <c r="K7" i="15"/>
  <c r="G8" i="15"/>
  <c r="J8" i="15"/>
  <c r="K8" i="15"/>
  <c r="G9" i="15"/>
  <c r="J9" i="15"/>
  <c r="K9" i="15"/>
  <c r="G10" i="15"/>
  <c r="J10" i="15"/>
  <c r="K10" i="15"/>
  <c r="G11" i="15"/>
  <c r="J11" i="15"/>
  <c r="K11" i="15"/>
  <c r="G12" i="15"/>
  <c r="J12" i="15"/>
  <c r="K12" i="15"/>
  <c r="G13" i="15"/>
  <c r="J13" i="15"/>
  <c r="K13" i="15"/>
  <c r="G14" i="15"/>
  <c r="J14" i="15"/>
  <c r="K14" i="15"/>
  <c r="G15" i="15"/>
  <c r="J15" i="15"/>
  <c r="K15" i="15"/>
  <c r="G16" i="15"/>
  <c r="J16" i="15"/>
  <c r="K16" i="15"/>
  <c r="G17" i="15"/>
  <c r="J17" i="15"/>
  <c r="K17" i="15"/>
  <c r="G18" i="15"/>
  <c r="J18" i="15"/>
  <c r="K18" i="15"/>
  <c r="G19" i="15"/>
  <c r="J19" i="15"/>
  <c r="K19" i="15"/>
  <c r="G20" i="15"/>
  <c r="J20" i="15"/>
  <c r="K20" i="15"/>
  <c r="G21" i="15"/>
  <c r="J21" i="15"/>
  <c r="K21" i="15"/>
  <c r="G22" i="15"/>
  <c r="J22" i="15"/>
  <c r="K22" i="15"/>
  <c r="G23" i="15"/>
  <c r="J23" i="15"/>
  <c r="K23" i="15"/>
  <c r="G24" i="15"/>
  <c r="J24" i="15"/>
  <c r="K24" i="15"/>
  <c r="G25" i="15"/>
  <c r="J25" i="15"/>
  <c r="K25" i="15"/>
  <c r="G26" i="15"/>
  <c r="J26" i="15"/>
  <c r="K26" i="15"/>
  <c r="G27" i="15"/>
  <c r="J27" i="15"/>
  <c r="K27" i="15"/>
  <c r="G28" i="15"/>
  <c r="J28" i="15"/>
  <c r="K28" i="15"/>
  <c r="G29" i="15"/>
  <c r="J29" i="15"/>
  <c r="K29" i="15"/>
  <c r="G30" i="15"/>
  <c r="J30" i="15"/>
  <c r="K30" i="15"/>
  <c r="G31" i="15"/>
  <c r="J31" i="15"/>
  <c r="K31" i="15"/>
  <c r="G32" i="15"/>
  <c r="J32" i="15"/>
  <c r="K32" i="15"/>
  <c r="G8" i="14"/>
  <c r="J8" i="14"/>
  <c r="K8" i="14"/>
  <c r="G9" i="14"/>
  <c r="J9" i="14"/>
  <c r="K9" i="14"/>
  <c r="G10" i="14"/>
  <c r="J10" i="14"/>
  <c r="K10" i="14"/>
  <c r="G11" i="14"/>
  <c r="J11" i="14"/>
  <c r="K11" i="14"/>
  <c r="G12" i="14"/>
  <c r="J12" i="14"/>
  <c r="K12" i="14"/>
  <c r="G13" i="14"/>
  <c r="J13" i="14"/>
  <c r="K13" i="14"/>
  <c r="G14" i="14"/>
  <c r="J14" i="14"/>
  <c r="K14" i="14"/>
  <c r="G15" i="14"/>
  <c r="J15" i="14"/>
  <c r="K15" i="14"/>
  <c r="G16" i="14"/>
  <c r="J16" i="14"/>
  <c r="K16" i="14"/>
  <c r="G17" i="14"/>
  <c r="J17" i="14"/>
  <c r="K17" i="14"/>
  <c r="G18" i="14"/>
  <c r="J18" i="14"/>
  <c r="K18" i="14"/>
  <c r="G19" i="14"/>
  <c r="J19" i="14"/>
  <c r="K19" i="14"/>
  <c r="G20" i="14"/>
  <c r="J20" i="14"/>
  <c r="K20" i="14"/>
  <c r="G21" i="14"/>
  <c r="J21" i="14"/>
  <c r="K21" i="14"/>
  <c r="G22" i="14"/>
  <c r="J22" i="14"/>
  <c r="K22" i="14"/>
  <c r="G23" i="14"/>
  <c r="J23" i="14"/>
  <c r="K23" i="14"/>
  <c r="G24" i="14"/>
  <c r="J24" i="14"/>
  <c r="K24" i="14"/>
  <c r="G25" i="14"/>
  <c r="J25" i="14"/>
  <c r="K25" i="14"/>
  <c r="G26" i="14"/>
  <c r="J26" i="14"/>
  <c r="K26" i="14"/>
  <c r="G27" i="14"/>
  <c r="J27" i="14"/>
  <c r="K27" i="14"/>
  <c r="G28" i="14"/>
  <c r="J28" i="14"/>
  <c r="K28" i="14"/>
  <c r="G29" i="14"/>
  <c r="J29" i="14"/>
  <c r="K29" i="14"/>
  <c r="G30" i="14"/>
  <c r="J30" i="14"/>
  <c r="K30" i="14"/>
  <c r="G31" i="14"/>
  <c r="J31" i="14"/>
  <c r="K31" i="14"/>
  <c r="G32" i="14"/>
  <c r="J32" i="14"/>
  <c r="K32" i="14"/>
  <c r="G33" i="14"/>
  <c r="J33" i="14"/>
  <c r="K33" i="14"/>
  <c r="G34" i="14"/>
  <c r="J34" i="14"/>
  <c r="K34" i="14"/>
  <c r="G35" i="14"/>
  <c r="J35" i="14"/>
  <c r="K35" i="14"/>
  <c r="G5" i="22"/>
  <c r="J5" i="22"/>
  <c r="K5" i="22"/>
  <c r="G6" i="22"/>
  <c r="J6" i="22"/>
  <c r="K6" i="22"/>
  <c r="G7" i="22"/>
  <c r="J7" i="22"/>
  <c r="K7" i="22"/>
  <c r="G8" i="22"/>
  <c r="J8" i="22"/>
  <c r="K8" i="22"/>
  <c r="G9" i="22"/>
  <c r="J9" i="22"/>
  <c r="K9" i="22"/>
  <c r="G10" i="22"/>
  <c r="J10" i="22"/>
  <c r="K10" i="22"/>
  <c r="G11" i="22"/>
  <c r="J11" i="22"/>
  <c r="K11" i="22"/>
  <c r="G12" i="22"/>
  <c r="J12" i="22"/>
  <c r="K12" i="22"/>
  <c r="G13" i="22"/>
  <c r="J13" i="22"/>
  <c r="K13" i="22"/>
  <c r="G14" i="22"/>
  <c r="J14" i="22"/>
  <c r="K14" i="22"/>
  <c r="G15" i="22"/>
  <c r="J15" i="22"/>
  <c r="K15" i="22"/>
  <c r="G16" i="22"/>
  <c r="J16" i="22"/>
  <c r="K16" i="22"/>
  <c r="G17" i="22"/>
  <c r="J17" i="22"/>
  <c r="K17" i="22"/>
  <c r="G18" i="22"/>
  <c r="J18" i="22"/>
  <c r="K18" i="22"/>
  <c r="G19" i="22"/>
  <c r="J19" i="22"/>
  <c r="K19" i="22"/>
  <c r="G20" i="22"/>
  <c r="J20" i="22"/>
  <c r="K20" i="22"/>
  <c r="G21" i="22"/>
  <c r="J21" i="22"/>
  <c r="K21" i="22"/>
  <c r="G22" i="22"/>
  <c r="J22" i="22"/>
  <c r="K22" i="22"/>
  <c r="G23" i="22"/>
  <c r="J23" i="22"/>
  <c r="K23" i="22"/>
  <c r="G24" i="22"/>
  <c r="J24" i="22"/>
  <c r="K24" i="22"/>
  <c r="G25" i="22"/>
  <c r="J25" i="22"/>
  <c r="K25" i="22"/>
  <c r="G26" i="22"/>
  <c r="J26" i="22"/>
  <c r="K26" i="22"/>
  <c r="G27" i="22"/>
  <c r="J27" i="22"/>
  <c r="K27" i="22"/>
  <c r="G28" i="22"/>
  <c r="J28" i="22"/>
  <c r="K28" i="22"/>
  <c r="G29" i="22"/>
  <c r="J29" i="22"/>
  <c r="K29" i="22"/>
  <c r="G30" i="22"/>
  <c r="J30" i="22"/>
  <c r="K30" i="22"/>
  <c r="G32" i="22"/>
  <c r="J32" i="22"/>
  <c r="K32" i="22"/>
  <c r="M32" i="22" s="1"/>
  <c r="G33" i="22"/>
  <c r="J33" i="22"/>
  <c r="K33" i="22"/>
  <c r="G34" i="22"/>
  <c r="J34" i="22"/>
  <c r="K34" i="22"/>
  <c r="G35" i="22"/>
  <c r="J35" i="22"/>
  <c r="K35" i="22"/>
  <c r="G36" i="22"/>
  <c r="J36" i="22"/>
  <c r="K36" i="22"/>
  <c r="G37" i="22"/>
  <c r="J37" i="22"/>
  <c r="K37" i="22"/>
  <c r="G38" i="22"/>
  <c r="J38" i="22"/>
  <c r="K38" i="22"/>
  <c r="G39" i="22"/>
  <c r="J39" i="22"/>
  <c r="K39" i="22"/>
  <c r="G40" i="22"/>
  <c r="J40" i="22"/>
  <c r="K40" i="22"/>
  <c r="G41" i="22"/>
  <c r="J41" i="22"/>
  <c r="K41" i="22"/>
  <c r="G42" i="22"/>
  <c r="J42" i="22"/>
  <c r="K42" i="22"/>
  <c r="G43" i="22"/>
  <c r="J43" i="22"/>
  <c r="K43" i="22"/>
  <c r="G44" i="22"/>
  <c r="J44" i="22"/>
  <c r="K44" i="22"/>
  <c r="G5" i="25"/>
  <c r="J5" i="25"/>
  <c r="K5" i="25"/>
  <c r="L5" i="25"/>
  <c r="G6" i="25"/>
  <c r="J6" i="25"/>
  <c r="K6" i="25"/>
  <c r="L6" i="25"/>
  <c r="G7" i="25"/>
  <c r="J7" i="25"/>
  <c r="K7" i="25"/>
  <c r="L7" i="25"/>
  <c r="G8" i="25"/>
  <c r="J8" i="25"/>
  <c r="K8" i="25"/>
  <c r="L8" i="25"/>
  <c r="G9" i="25"/>
  <c r="J9" i="25"/>
  <c r="K9" i="25"/>
  <c r="L9" i="25"/>
  <c r="G10" i="25"/>
  <c r="J10" i="25"/>
  <c r="K10" i="25"/>
  <c r="L10" i="25"/>
  <c r="G11" i="25"/>
  <c r="J11" i="25"/>
  <c r="K11" i="25"/>
  <c r="L11" i="25"/>
  <c r="G12" i="25"/>
  <c r="J12" i="25"/>
  <c r="K12" i="25"/>
  <c r="L12" i="25"/>
  <c r="G13" i="25"/>
  <c r="J13" i="25"/>
  <c r="K13" i="25"/>
  <c r="L13" i="25"/>
  <c r="G14" i="25"/>
  <c r="J14" i="25"/>
  <c r="K14" i="25"/>
  <c r="L14" i="25"/>
  <c r="G15" i="25"/>
  <c r="J15" i="25"/>
  <c r="K15" i="25"/>
  <c r="L15" i="25"/>
  <c r="G16" i="25"/>
  <c r="J16" i="25"/>
  <c r="K16" i="25"/>
  <c r="L16" i="25"/>
  <c r="G17" i="25"/>
  <c r="J17" i="25"/>
  <c r="K17" i="25"/>
  <c r="L17" i="25"/>
  <c r="G18" i="25"/>
  <c r="J18" i="25"/>
  <c r="K18" i="25"/>
  <c r="L18" i="25"/>
  <c r="G19" i="25"/>
  <c r="J19" i="25"/>
  <c r="K19" i="25"/>
  <c r="L19" i="25"/>
  <c r="G20" i="25"/>
  <c r="J20" i="25"/>
  <c r="K20" i="25"/>
  <c r="L20" i="25"/>
  <c r="G21" i="25"/>
  <c r="J21" i="25"/>
  <c r="K21" i="25"/>
  <c r="L21" i="25"/>
  <c r="G22" i="25"/>
  <c r="J22" i="25"/>
  <c r="K22" i="25"/>
  <c r="L22" i="25"/>
  <c r="G23" i="25"/>
  <c r="J23" i="25"/>
  <c r="K23" i="25"/>
  <c r="L23" i="25"/>
  <c r="G24" i="25"/>
  <c r="J24" i="25"/>
  <c r="K24" i="25"/>
  <c r="L24" i="25"/>
  <c r="G25" i="25"/>
  <c r="J25" i="25"/>
  <c r="K25" i="25"/>
  <c r="L25" i="25"/>
  <c r="G26" i="25"/>
  <c r="J26" i="25"/>
  <c r="K26" i="25"/>
  <c r="L26" i="25"/>
  <c r="G27" i="25"/>
  <c r="J27" i="25"/>
  <c r="K27" i="25"/>
  <c r="L27" i="25"/>
  <c r="G28" i="25"/>
  <c r="J28" i="25"/>
  <c r="K28" i="25"/>
  <c r="L28" i="25"/>
  <c r="G29" i="25"/>
  <c r="J29" i="25"/>
  <c r="G30" i="25"/>
  <c r="J30" i="25"/>
  <c r="K30" i="25"/>
  <c r="L30" i="25"/>
  <c r="G31" i="25"/>
  <c r="J31" i="25"/>
  <c r="K31" i="25"/>
  <c r="L31" i="25"/>
  <c r="G32" i="25"/>
  <c r="J32" i="25"/>
  <c r="K32" i="25"/>
  <c r="L32" i="25"/>
  <c r="G33" i="25"/>
  <c r="J33" i="25"/>
  <c r="K33" i="25"/>
  <c r="L33" i="25"/>
  <c r="G34" i="25"/>
  <c r="J34" i="25"/>
  <c r="K34" i="25"/>
  <c r="L34" i="25"/>
  <c r="G5" i="40"/>
  <c r="K5" i="40"/>
  <c r="G6" i="40"/>
  <c r="K6" i="40"/>
  <c r="G7" i="40"/>
  <c r="K7" i="40"/>
  <c r="G8" i="40"/>
  <c r="K8" i="40"/>
  <c r="G9" i="40"/>
  <c r="K9" i="40"/>
  <c r="G10" i="40"/>
  <c r="K10" i="40"/>
  <c r="G11" i="40"/>
  <c r="K11" i="40"/>
  <c r="G12" i="40"/>
  <c r="K12" i="40"/>
  <c r="G13" i="40"/>
  <c r="K13" i="40"/>
  <c r="G14" i="40"/>
  <c r="K14" i="40"/>
  <c r="G15" i="40"/>
  <c r="K15" i="40"/>
  <c r="G16" i="40"/>
  <c r="K16" i="40"/>
  <c r="G17" i="40"/>
  <c r="K17" i="40"/>
  <c r="G18" i="40"/>
  <c r="K18" i="40"/>
  <c r="G19" i="40"/>
  <c r="K19" i="40"/>
  <c r="G20" i="40"/>
  <c r="K20" i="40"/>
  <c r="G21" i="40"/>
  <c r="K21" i="40"/>
  <c r="G22" i="40"/>
  <c r="K22" i="40"/>
  <c r="G23" i="40"/>
  <c r="K23" i="40"/>
  <c r="G24" i="40"/>
  <c r="K24" i="40"/>
  <c r="G25" i="40"/>
  <c r="K25" i="40"/>
  <c r="G26" i="40"/>
  <c r="K26" i="40"/>
  <c r="G27" i="40"/>
  <c r="K27" i="40"/>
  <c r="G28" i="40"/>
  <c r="K28" i="40"/>
  <c r="G29" i="40"/>
  <c r="K29" i="40"/>
  <c r="G30" i="40"/>
  <c r="K30" i="40"/>
  <c r="G31" i="40"/>
  <c r="K31" i="40"/>
  <c r="G32" i="40"/>
  <c r="K32" i="40"/>
  <c r="G33" i="40"/>
  <c r="K33" i="40"/>
  <c r="G34" i="40"/>
  <c r="K34" i="40"/>
  <c r="G5" i="10"/>
  <c r="J5" i="10"/>
  <c r="K5" i="10"/>
  <c r="G6" i="10"/>
  <c r="J6" i="10"/>
  <c r="K6" i="10"/>
  <c r="G7" i="10"/>
  <c r="J7" i="10"/>
  <c r="K7" i="10"/>
  <c r="G8" i="10"/>
  <c r="J8" i="10"/>
  <c r="K8" i="10"/>
  <c r="G9" i="10"/>
  <c r="J9" i="10"/>
  <c r="K9" i="10"/>
  <c r="G10" i="10"/>
  <c r="J10" i="10"/>
  <c r="K10" i="10"/>
  <c r="G11" i="10"/>
  <c r="J11" i="10"/>
  <c r="K11" i="10"/>
  <c r="G12" i="10"/>
  <c r="J12" i="10"/>
  <c r="K12" i="10"/>
  <c r="G13" i="10"/>
  <c r="J13" i="10"/>
  <c r="K13" i="10"/>
  <c r="G14" i="10"/>
  <c r="J14" i="10"/>
  <c r="K14" i="10"/>
  <c r="G15" i="10"/>
  <c r="J15" i="10"/>
  <c r="K15" i="10"/>
  <c r="G16" i="10"/>
  <c r="J16" i="10"/>
  <c r="K16" i="10"/>
  <c r="G17" i="10"/>
  <c r="J17" i="10"/>
  <c r="K17" i="10"/>
  <c r="G18" i="10"/>
  <c r="J18" i="10"/>
  <c r="K18" i="10"/>
  <c r="G19" i="10"/>
  <c r="J19" i="10"/>
  <c r="K19" i="10"/>
  <c r="G20" i="10"/>
  <c r="J20" i="10"/>
  <c r="K20" i="10"/>
  <c r="G21" i="10"/>
  <c r="J21" i="10"/>
  <c r="K21" i="10"/>
  <c r="G22" i="10"/>
  <c r="J22" i="10"/>
  <c r="K22" i="10"/>
  <c r="G23" i="10"/>
  <c r="J23" i="10"/>
  <c r="K23" i="10"/>
  <c r="G24" i="10"/>
  <c r="J24" i="10"/>
  <c r="K24" i="10"/>
  <c r="G25" i="10"/>
  <c r="J25" i="10"/>
  <c r="K25" i="10"/>
  <c r="G26" i="10"/>
  <c r="J26" i="10"/>
  <c r="K26" i="10"/>
  <c r="G27" i="10"/>
  <c r="J27" i="10"/>
  <c r="K27" i="10"/>
  <c r="G28" i="10"/>
  <c r="J28" i="10"/>
  <c r="K28" i="10"/>
  <c r="G29" i="10"/>
  <c r="J29" i="10"/>
  <c r="K29" i="10"/>
  <c r="G30" i="10"/>
  <c r="J30" i="10"/>
  <c r="K30" i="10"/>
  <c r="G31" i="10"/>
  <c r="J31" i="10"/>
  <c r="K31" i="10"/>
  <c r="G32" i="10"/>
  <c r="J32" i="10"/>
  <c r="K32" i="10"/>
  <c r="G33" i="10"/>
  <c r="J33" i="10"/>
  <c r="K33" i="10"/>
  <c r="G34" i="10"/>
  <c r="J34" i="10"/>
  <c r="K34" i="10"/>
  <c r="E35" i="10"/>
  <c r="G35" i="10"/>
  <c r="H35" i="10"/>
  <c r="J35" i="10"/>
  <c r="K35" i="10"/>
  <c r="L35" i="10"/>
  <c r="G5" i="11"/>
  <c r="J5" i="11"/>
  <c r="K5" i="11"/>
  <c r="G6" i="11"/>
  <c r="J6" i="11"/>
  <c r="K6" i="11"/>
  <c r="G7" i="11"/>
  <c r="J7" i="11"/>
  <c r="K7" i="11"/>
  <c r="G8" i="11"/>
  <c r="J8" i="11"/>
  <c r="K8" i="11"/>
  <c r="G9" i="11"/>
  <c r="J9" i="11"/>
  <c r="K9" i="11"/>
  <c r="G10" i="11"/>
  <c r="J10" i="11"/>
  <c r="K10" i="11"/>
  <c r="G11" i="11"/>
  <c r="J11" i="11"/>
  <c r="K11" i="11"/>
  <c r="G12" i="11"/>
  <c r="J12" i="11"/>
  <c r="K12" i="11"/>
  <c r="G13" i="11"/>
  <c r="J13" i="11"/>
  <c r="K13" i="11"/>
  <c r="G14" i="11"/>
  <c r="J14" i="11"/>
  <c r="K14" i="11"/>
  <c r="G15" i="11"/>
  <c r="J15" i="11"/>
  <c r="K15" i="11"/>
  <c r="G16" i="11"/>
  <c r="J16" i="11"/>
  <c r="K16" i="11"/>
  <c r="G17" i="11"/>
  <c r="J17" i="11"/>
  <c r="K17" i="11"/>
  <c r="G18" i="11"/>
  <c r="J18" i="11"/>
  <c r="K18" i="11"/>
  <c r="G19" i="11"/>
  <c r="J19" i="11"/>
  <c r="K19" i="11"/>
  <c r="G20" i="11"/>
  <c r="J20" i="11"/>
  <c r="K20" i="11"/>
  <c r="G21" i="11"/>
  <c r="J21" i="11"/>
  <c r="K21" i="11"/>
  <c r="G22" i="11"/>
  <c r="J22" i="11"/>
  <c r="K22" i="11"/>
  <c r="G23" i="11"/>
  <c r="J23" i="11"/>
  <c r="K23" i="11"/>
  <c r="G24" i="11"/>
  <c r="J24" i="11"/>
  <c r="K24" i="11"/>
  <c r="G25" i="11"/>
  <c r="J25" i="11"/>
  <c r="K25" i="11"/>
  <c r="G26" i="11"/>
  <c r="J26" i="11"/>
  <c r="K26" i="11"/>
  <c r="G27" i="11"/>
  <c r="J27" i="11"/>
  <c r="K27" i="11"/>
  <c r="G28" i="11"/>
  <c r="J28" i="11"/>
  <c r="K28" i="11"/>
  <c r="G29" i="11"/>
  <c r="J29" i="11"/>
  <c r="K29" i="11"/>
  <c r="G30" i="11"/>
  <c r="J30" i="11"/>
  <c r="K30" i="11"/>
  <c r="G31" i="11"/>
  <c r="J31" i="11"/>
  <c r="K31" i="11"/>
  <c r="G32" i="11"/>
  <c r="J32" i="11"/>
  <c r="K32" i="11"/>
  <c r="G33" i="11"/>
  <c r="J33" i="11"/>
  <c r="K33" i="11"/>
  <c r="G34" i="11"/>
  <c r="J34" i="11"/>
  <c r="K34" i="11"/>
  <c r="G5" i="24"/>
  <c r="J5" i="24"/>
  <c r="K5" i="24"/>
  <c r="L5" i="24"/>
  <c r="G6" i="24"/>
  <c r="J6" i="24"/>
  <c r="K6" i="24"/>
  <c r="L6" i="24"/>
  <c r="G7" i="24"/>
  <c r="J7" i="24"/>
  <c r="K7" i="24"/>
  <c r="L7" i="24"/>
  <c r="G8" i="24"/>
  <c r="J8" i="24"/>
  <c r="K8" i="24"/>
  <c r="L8" i="24"/>
  <c r="G9" i="24"/>
  <c r="J9" i="24"/>
  <c r="K9" i="24"/>
  <c r="L9" i="24"/>
  <c r="G10" i="24"/>
  <c r="J10" i="24"/>
  <c r="K10" i="24"/>
  <c r="L10" i="24"/>
  <c r="G11" i="24"/>
  <c r="J11" i="24"/>
  <c r="K11" i="24"/>
  <c r="L11" i="24"/>
  <c r="G12" i="24"/>
  <c r="J12" i="24"/>
  <c r="K12" i="24"/>
  <c r="L12" i="24"/>
  <c r="G13" i="24"/>
  <c r="J13" i="24"/>
  <c r="K13" i="24"/>
  <c r="L13" i="24"/>
  <c r="G14" i="24"/>
  <c r="J14" i="24"/>
  <c r="K14" i="24"/>
  <c r="L14" i="24"/>
  <c r="G15" i="24"/>
  <c r="J15" i="24"/>
  <c r="K15" i="24"/>
  <c r="L15" i="24"/>
  <c r="G16" i="24"/>
  <c r="J16" i="24"/>
  <c r="K16" i="24"/>
  <c r="L16" i="24"/>
  <c r="G17" i="24"/>
  <c r="J17" i="24"/>
  <c r="K17" i="24"/>
  <c r="L17" i="24"/>
  <c r="G18" i="24"/>
  <c r="J18" i="24"/>
  <c r="K18" i="24"/>
  <c r="L18" i="24"/>
  <c r="G19" i="24"/>
  <c r="J19" i="24"/>
  <c r="K19" i="24"/>
  <c r="L19" i="24"/>
  <c r="G20" i="24"/>
  <c r="J20" i="24"/>
  <c r="K20" i="24"/>
  <c r="L20" i="24"/>
  <c r="G21" i="24"/>
  <c r="J21" i="24"/>
  <c r="K21" i="24"/>
  <c r="L21" i="24"/>
  <c r="G22" i="24"/>
  <c r="J22" i="24"/>
  <c r="K22" i="24"/>
  <c r="L22" i="24"/>
  <c r="G23" i="24"/>
  <c r="J23" i="24"/>
  <c r="K23" i="24"/>
  <c r="L23" i="24"/>
  <c r="G24" i="24"/>
  <c r="J24" i="24"/>
  <c r="K24" i="24"/>
  <c r="L24" i="24"/>
  <c r="G25" i="24"/>
  <c r="J25" i="24"/>
  <c r="K25" i="24"/>
  <c r="L25" i="24"/>
  <c r="G26" i="24"/>
  <c r="J26" i="24"/>
  <c r="K26" i="24"/>
  <c r="L26" i="24"/>
  <c r="G27" i="24"/>
  <c r="J27" i="24"/>
  <c r="K27" i="24"/>
  <c r="L27" i="24"/>
  <c r="G28" i="24"/>
  <c r="J28" i="24"/>
  <c r="K28" i="24"/>
  <c r="L28" i="24"/>
  <c r="G29" i="24"/>
  <c r="J29" i="24"/>
  <c r="K29" i="24"/>
  <c r="G30" i="24"/>
  <c r="J30" i="24"/>
  <c r="K30" i="24"/>
  <c r="G31" i="24"/>
  <c r="J31" i="24"/>
  <c r="K31" i="24"/>
  <c r="G32" i="24"/>
  <c r="J32" i="24"/>
  <c r="K32" i="24"/>
  <c r="G33" i="24"/>
  <c r="J33" i="24"/>
  <c r="K33" i="24"/>
  <c r="G5" i="61"/>
  <c r="J5" i="61"/>
  <c r="K5" i="61"/>
  <c r="G6" i="61"/>
  <c r="J6" i="61"/>
  <c r="K6" i="61"/>
  <c r="G7" i="61"/>
  <c r="J7" i="61"/>
  <c r="K7" i="61"/>
  <c r="G8" i="61"/>
  <c r="J8" i="61"/>
  <c r="K8" i="61"/>
  <c r="G9" i="61"/>
  <c r="J9" i="61"/>
  <c r="K9" i="61"/>
  <c r="G10" i="61"/>
  <c r="J10" i="61"/>
  <c r="K10" i="61"/>
  <c r="G11" i="61"/>
  <c r="J11" i="61"/>
  <c r="K11" i="61"/>
  <c r="G12" i="61"/>
  <c r="J12" i="61"/>
  <c r="K12" i="61"/>
  <c r="G13" i="61"/>
  <c r="J13" i="61"/>
  <c r="K13" i="61"/>
  <c r="G14" i="61"/>
  <c r="J14" i="61"/>
  <c r="K14" i="61"/>
  <c r="G15" i="61"/>
  <c r="J15" i="61"/>
  <c r="K15" i="61"/>
  <c r="G16" i="61"/>
  <c r="K16" i="61"/>
  <c r="G17" i="61"/>
  <c r="K17" i="61"/>
  <c r="G18" i="61"/>
  <c r="J18" i="61"/>
  <c r="K18" i="61"/>
  <c r="G19" i="61"/>
  <c r="J19" i="61"/>
  <c r="K19" i="61"/>
  <c r="G20" i="61"/>
  <c r="J20" i="61"/>
  <c r="K20" i="61"/>
  <c r="G21" i="61"/>
  <c r="J21" i="61"/>
  <c r="K21" i="61"/>
  <c r="G22" i="61"/>
  <c r="J22" i="61"/>
  <c r="K22" i="61"/>
  <c r="G23" i="61"/>
  <c r="J23" i="61"/>
  <c r="K23" i="61"/>
  <c r="G24" i="61"/>
  <c r="J24" i="61"/>
  <c r="K24" i="61"/>
  <c r="G25" i="61"/>
  <c r="J25" i="61"/>
  <c r="K25" i="61"/>
  <c r="G26" i="61"/>
  <c r="J26" i="61"/>
  <c r="K26" i="61"/>
  <c r="G27" i="61"/>
  <c r="J27" i="61"/>
  <c r="K27" i="61"/>
  <c r="G28" i="61"/>
  <c r="J28" i="61"/>
  <c r="K28" i="61"/>
  <c r="G29" i="61"/>
  <c r="J29" i="61"/>
  <c r="K29" i="61"/>
  <c r="G30" i="61"/>
  <c r="J30" i="61"/>
  <c r="K30" i="61"/>
  <c r="G31" i="61"/>
  <c r="J31" i="61"/>
  <c r="K31" i="61"/>
  <c r="G32" i="61"/>
  <c r="J32" i="61"/>
  <c r="K32" i="61"/>
  <c r="G33" i="61"/>
  <c r="J33" i="61"/>
  <c r="K33" i="61"/>
  <c r="G34" i="61"/>
  <c r="J34" i="61"/>
  <c r="K34" i="61"/>
  <c r="G35" i="61"/>
  <c r="J35" i="61"/>
  <c r="K35" i="61"/>
  <c r="G5" i="20"/>
  <c r="J5" i="20"/>
  <c r="K5" i="20"/>
  <c r="L5" i="20"/>
  <c r="G6" i="20"/>
  <c r="J6" i="20"/>
  <c r="K6" i="20"/>
  <c r="L6" i="20"/>
  <c r="G7" i="20"/>
  <c r="J7" i="20"/>
  <c r="K7" i="20"/>
  <c r="L7" i="20"/>
  <c r="G8" i="20"/>
  <c r="J8" i="20"/>
  <c r="K8" i="20"/>
  <c r="L8" i="20"/>
  <c r="G9" i="20"/>
  <c r="J9" i="20"/>
  <c r="K9" i="20"/>
  <c r="L9" i="20"/>
  <c r="G10" i="20"/>
  <c r="J10" i="20"/>
  <c r="K10" i="20"/>
  <c r="L10" i="20"/>
  <c r="G11" i="20"/>
  <c r="J11" i="20"/>
  <c r="K11" i="20"/>
  <c r="L11" i="20"/>
  <c r="G12" i="20"/>
  <c r="J12" i="20"/>
  <c r="K12" i="20"/>
  <c r="G13" i="20"/>
  <c r="J13" i="20"/>
  <c r="K13" i="20"/>
  <c r="L13" i="20"/>
  <c r="G14" i="20"/>
  <c r="J14" i="20"/>
  <c r="K14" i="20"/>
  <c r="G15" i="20"/>
  <c r="J15" i="20"/>
  <c r="K15" i="20"/>
  <c r="L15" i="20"/>
  <c r="G16" i="20"/>
  <c r="J16" i="20"/>
  <c r="K16" i="20"/>
  <c r="L16" i="20"/>
  <c r="G17" i="20"/>
  <c r="J17" i="20"/>
  <c r="K17" i="20"/>
  <c r="L17" i="20"/>
  <c r="G18" i="20"/>
  <c r="J18" i="20"/>
  <c r="K18" i="20"/>
  <c r="L18" i="20"/>
  <c r="G19" i="20"/>
  <c r="J19" i="20"/>
  <c r="K19" i="20"/>
  <c r="L19" i="20"/>
  <c r="G20" i="20"/>
  <c r="J20" i="20"/>
  <c r="K20" i="20"/>
  <c r="L20" i="20"/>
  <c r="G21" i="20"/>
  <c r="J21" i="20"/>
  <c r="K21" i="20"/>
  <c r="L21" i="20"/>
  <c r="G22" i="20"/>
  <c r="J22" i="20"/>
  <c r="K22" i="20"/>
  <c r="L22" i="20"/>
  <c r="G23" i="20"/>
  <c r="J23" i="20"/>
  <c r="K23" i="20"/>
  <c r="L23" i="20"/>
  <c r="G24" i="20"/>
  <c r="J24" i="20"/>
  <c r="K24" i="20"/>
  <c r="L24" i="20"/>
  <c r="G25" i="20"/>
  <c r="J25" i="20"/>
  <c r="K25" i="20"/>
  <c r="L25" i="20"/>
  <c r="G26" i="20"/>
  <c r="J26" i="20"/>
  <c r="K26" i="20"/>
  <c r="L26" i="20"/>
  <c r="G27" i="20"/>
  <c r="J27" i="20"/>
  <c r="K27" i="20"/>
  <c r="L27" i="20"/>
  <c r="G28" i="20"/>
  <c r="J28" i="20"/>
  <c r="K28" i="20"/>
  <c r="L28" i="20"/>
  <c r="G29" i="20"/>
  <c r="J29" i="20"/>
  <c r="K29" i="20"/>
  <c r="L29" i="20"/>
  <c r="G30" i="20"/>
  <c r="J30" i="20"/>
  <c r="K30" i="20"/>
  <c r="L30" i="20"/>
  <c r="G31" i="20"/>
  <c r="J31" i="20"/>
  <c r="K31" i="20"/>
  <c r="L31" i="20"/>
  <c r="G32" i="20"/>
  <c r="J32" i="20"/>
  <c r="K32" i="20"/>
  <c r="L32" i="20"/>
  <c r="G33" i="20"/>
  <c r="J33" i="20"/>
  <c r="K33" i="20"/>
  <c r="L33" i="20"/>
  <c r="G5" i="63"/>
  <c r="J5" i="63"/>
  <c r="G6" i="63"/>
  <c r="J6" i="63"/>
  <c r="G7" i="63"/>
  <c r="J7" i="63"/>
  <c r="G8" i="63"/>
  <c r="J8" i="63"/>
  <c r="G9" i="63"/>
  <c r="J9" i="63"/>
  <c r="G10" i="63"/>
  <c r="J10" i="63"/>
  <c r="G11" i="63"/>
  <c r="J11" i="63"/>
  <c r="G12" i="63"/>
  <c r="J12" i="63"/>
  <c r="G13" i="63"/>
  <c r="J13" i="63"/>
  <c r="G14" i="63"/>
  <c r="J14" i="63"/>
  <c r="G15" i="63"/>
  <c r="J15" i="63"/>
  <c r="G16" i="63"/>
  <c r="J16" i="63"/>
  <c r="G17" i="63"/>
  <c r="J17" i="63"/>
  <c r="G18" i="63"/>
  <c r="J18" i="63"/>
  <c r="G19" i="63"/>
  <c r="J19" i="63"/>
  <c r="G20" i="63"/>
  <c r="J20" i="63"/>
  <c r="G21" i="63"/>
  <c r="J21" i="63"/>
  <c r="G22" i="63"/>
  <c r="J22" i="63"/>
  <c r="G23" i="63"/>
  <c r="J23" i="63"/>
  <c r="G24" i="63"/>
  <c r="J24" i="63"/>
  <c r="G25" i="63"/>
  <c r="J25" i="63"/>
  <c r="G26" i="63"/>
  <c r="J26" i="63"/>
  <c r="G27" i="63"/>
  <c r="J27" i="63"/>
  <c r="G28" i="63"/>
  <c r="J28" i="63"/>
  <c r="G29" i="63"/>
  <c r="J29" i="63"/>
  <c r="G30" i="63"/>
  <c r="J30" i="63"/>
  <c r="G31" i="63"/>
  <c r="J31" i="63"/>
  <c r="G32" i="63"/>
  <c r="J32" i="63"/>
  <c r="G33" i="63"/>
  <c r="J33" i="63"/>
  <c r="G5" i="3"/>
  <c r="J5" i="3"/>
  <c r="K5" i="3"/>
  <c r="G6" i="3"/>
  <c r="J6" i="3"/>
  <c r="K6" i="3"/>
  <c r="G7" i="3"/>
  <c r="J7" i="3"/>
  <c r="K7" i="3"/>
  <c r="G8" i="3"/>
  <c r="J8" i="3"/>
  <c r="K8" i="3"/>
  <c r="G9" i="3"/>
  <c r="J9" i="3"/>
  <c r="K9" i="3"/>
  <c r="G10" i="3"/>
  <c r="J10" i="3"/>
  <c r="K10" i="3"/>
  <c r="G11" i="3"/>
  <c r="J11" i="3"/>
  <c r="K11" i="3"/>
  <c r="G12" i="3"/>
  <c r="J12" i="3"/>
  <c r="K12" i="3"/>
  <c r="G13" i="3"/>
  <c r="J13" i="3"/>
  <c r="K13" i="3"/>
  <c r="G14" i="3"/>
  <c r="J14" i="3"/>
  <c r="K14" i="3"/>
  <c r="G15" i="3"/>
  <c r="J15" i="3"/>
  <c r="K15" i="3"/>
  <c r="G16" i="3"/>
  <c r="J16" i="3"/>
  <c r="K16" i="3"/>
  <c r="G17" i="3"/>
  <c r="J17" i="3"/>
  <c r="K17" i="3"/>
  <c r="G18" i="3"/>
  <c r="J18" i="3"/>
  <c r="K18" i="3"/>
  <c r="G19" i="3"/>
  <c r="J19" i="3"/>
  <c r="K19" i="3"/>
  <c r="G20" i="3"/>
  <c r="J20" i="3"/>
  <c r="K20" i="3"/>
  <c r="G21" i="3"/>
  <c r="J21" i="3"/>
  <c r="K21" i="3"/>
  <c r="G22" i="3"/>
  <c r="J22" i="3"/>
  <c r="K22" i="3"/>
  <c r="G23" i="3"/>
  <c r="J23" i="3"/>
  <c r="K23" i="3"/>
  <c r="G24" i="3"/>
  <c r="J24" i="3"/>
  <c r="K24" i="3"/>
  <c r="G25" i="3"/>
  <c r="J25" i="3"/>
  <c r="K25" i="3"/>
  <c r="G26" i="3"/>
  <c r="J26" i="3"/>
  <c r="K26" i="3"/>
  <c r="G27" i="3"/>
  <c r="J27" i="3"/>
  <c r="K27" i="3"/>
  <c r="G28" i="3"/>
  <c r="J28" i="3"/>
  <c r="K28" i="3"/>
  <c r="G29" i="3"/>
  <c r="J29" i="3"/>
  <c r="K29" i="3"/>
  <c r="G30" i="3"/>
  <c r="J30" i="3"/>
  <c r="K30" i="3"/>
  <c r="G31" i="3"/>
  <c r="J31" i="3"/>
  <c r="K31" i="3"/>
  <c r="G32" i="3"/>
  <c r="J32" i="3"/>
  <c r="K32" i="3"/>
  <c r="G33" i="3"/>
  <c r="J33" i="3"/>
  <c r="K33" i="3"/>
  <c r="G5" i="16"/>
  <c r="J5" i="16"/>
  <c r="K5" i="16"/>
  <c r="G6" i="16"/>
  <c r="J6" i="16"/>
  <c r="K6" i="16"/>
  <c r="G7" i="16"/>
  <c r="J7" i="16"/>
  <c r="K7" i="16"/>
  <c r="G8" i="16"/>
  <c r="J8" i="16"/>
  <c r="K8" i="16"/>
  <c r="G9" i="16"/>
  <c r="J9" i="16"/>
  <c r="K9" i="16"/>
  <c r="G10" i="16"/>
  <c r="J10" i="16"/>
  <c r="K10" i="16"/>
  <c r="G11" i="16"/>
  <c r="J11" i="16"/>
  <c r="K11" i="16"/>
  <c r="G12" i="16"/>
  <c r="J12" i="16"/>
  <c r="K12" i="16"/>
  <c r="G13" i="16"/>
  <c r="J13" i="16"/>
  <c r="K13" i="16"/>
  <c r="G14" i="16"/>
  <c r="J14" i="16"/>
  <c r="K14" i="16"/>
  <c r="G15" i="16"/>
  <c r="J15" i="16"/>
  <c r="K15" i="16"/>
  <c r="G16" i="16"/>
  <c r="J16" i="16"/>
  <c r="K16" i="16"/>
  <c r="G17" i="16"/>
  <c r="J17" i="16"/>
  <c r="K17" i="16"/>
  <c r="G18" i="16"/>
  <c r="J18" i="16"/>
  <c r="K18" i="16"/>
  <c r="G19" i="16"/>
  <c r="J19" i="16"/>
  <c r="K19" i="16"/>
  <c r="G20" i="16"/>
  <c r="J20" i="16"/>
  <c r="K20" i="16"/>
  <c r="G21" i="16"/>
  <c r="J21" i="16"/>
  <c r="K21" i="16"/>
  <c r="G22" i="16"/>
  <c r="J22" i="16"/>
  <c r="K22" i="16"/>
  <c r="G23" i="16"/>
  <c r="J23" i="16"/>
  <c r="K23" i="16"/>
  <c r="G24" i="16"/>
  <c r="J24" i="16"/>
  <c r="K24" i="16"/>
  <c r="G25" i="16"/>
  <c r="J25" i="16"/>
  <c r="K25" i="16"/>
  <c r="G26" i="16"/>
  <c r="J26" i="16"/>
  <c r="K26" i="16"/>
  <c r="G27" i="16"/>
  <c r="J27" i="16"/>
  <c r="K27" i="16"/>
  <c r="G28" i="16"/>
  <c r="J28" i="16"/>
  <c r="K28" i="16"/>
  <c r="G29" i="16"/>
  <c r="J29" i="16"/>
  <c r="K29" i="16"/>
  <c r="G30" i="16"/>
  <c r="J30" i="16"/>
  <c r="K30" i="16"/>
  <c r="G31" i="16"/>
  <c r="J31" i="16"/>
  <c r="K31" i="16"/>
  <c r="G32" i="16"/>
  <c r="J32" i="16"/>
  <c r="K32" i="16"/>
  <c r="G33" i="16"/>
  <c r="J33" i="16"/>
  <c r="K33" i="16"/>
  <c r="G34" i="16"/>
  <c r="J34" i="16"/>
  <c r="K34" i="16"/>
  <c r="G35" i="16"/>
  <c r="J35" i="16"/>
  <c r="K35" i="16"/>
  <c r="G5" i="52"/>
  <c r="J5" i="52"/>
  <c r="K5" i="52"/>
  <c r="G6" i="52"/>
  <c r="J6" i="52"/>
  <c r="K6" i="52"/>
  <c r="G7" i="52"/>
  <c r="J7" i="52"/>
  <c r="K7" i="52"/>
  <c r="G8" i="52"/>
  <c r="J8" i="52"/>
  <c r="K8" i="52"/>
  <c r="G9" i="52"/>
  <c r="J9" i="52"/>
  <c r="K9" i="52"/>
  <c r="G10" i="52"/>
  <c r="J10" i="52"/>
  <c r="K10" i="52"/>
  <c r="G11" i="52"/>
  <c r="J11" i="52"/>
  <c r="K11" i="52"/>
  <c r="G12" i="52"/>
  <c r="J12" i="52"/>
  <c r="K12" i="52"/>
  <c r="G13" i="52"/>
  <c r="J13" i="52"/>
  <c r="K13" i="52"/>
  <c r="G14" i="52"/>
  <c r="J14" i="52"/>
  <c r="K14" i="52"/>
  <c r="G15" i="52"/>
  <c r="J15" i="52"/>
  <c r="K15" i="52"/>
  <c r="G16" i="52"/>
  <c r="J16" i="52"/>
  <c r="K16" i="52"/>
  <c r="G17" i="52"/>
  <c r="J17" i="52"/>
  <c r="K17" i="52"/>
  <c r="G18" i="52"/>
  <c r="J18" i="52"/>
  <c r="K18" i="52"/>
  <c r="G19" i="52"/>
  <c r="J19" i="52"/>
  <c r="K19" i="52"/>
  <c r="G20" i="52"/>
  <c r="J20" i="52"/>
  <c r="K20" i="52"/>
  <c r="G21" i="52"/>
  <c r="J21" i="52"/>
  <c r="K21" i="52"/>
  <c r="G22" i="52"/>
  <c r="J22" i="52"/>
  <c r="K22" i="52"/>
  <c r="G23" i="52"/>
  <c r="J23" i="52"/>
  <c r="K23" i="52"/>
  <c r="G24" i="52"/>
  <c r="J24" i="52"/>
  <c r="K24" i="52"/>
  <c r="G25" i="52"/>
  <c r="J25" i="52"/>
  <c r="K25" i="52"/>
  <c r="G26" i="52"/>
  <c r="J26" i="52"/>
  <c r="K26" i="52"/>
  <c r="G27" i="52"/>
  <c r="J27" i="52"/>
  <c r="K27" i="52"/>
  <c r="G28" i="52"/>
  <c r="J28" i="52"/>
  <c r="K28" i="52"/>
  <c r="G29" i="52"/>
  <c r="J29" i="52"/>
  <c r="K29" i="52"/>
  <c r="G30" i="52"/>
  <c r="J30" i="52"/>
  <c r="K30" i="52"/>
  <c r="G31" i="52"/>
  <c r="J31" i="52"/>
  <c r="K31" i="52"/>
  <c r="G32" i="52"/>
  <c r="J32" i="52"/>
  <c r="K32" i="52"/>
  <c r="G33" i="52"/>
  <c r="J33" i="52"/>
  <c r="K33" i="52"/>
  <c r="J26" i="1"/>
  <c r="K26" i="1"/>
  <c r="J27" i="1"/>
  <c r="K27" i="1"/>
  <c r="J28" i="1"/>
  <c r="K28" i="1"/>
  <c r="J29" i="1"/>
  <c r="K29" i="1"/>
  <c r="J30" i="1"/>
  <c r="K30" i="1"/>
  <c r="J31" i="1"/>
  <c r="K31" i="1"/>
  <c r="G5" i="62"/>
  <c r="J5" i="62"/>
  <c r="K5" i="62"/>
  <c r="G6" i="62"/>
  <c r="J6" i="62"/>
  <c r="K6" i="62"/>
  <c r="G7" i="62"/>
  <c r="J7" i="62"/>
  <c r="K7" i="62"/>
  <c r="G8" i="62"/>
  <c r="J8" i="62"/>
  <c r="K8" i="62"/>
  <c r="G9" i="62"/>
  <c r="J9" i="62"/>
  <c r="K9" i="62"/>
  <c r="G10" i="62"/>
  <c r="J10" i="62"/>
  <c r="K10" i="62"/>
  <c r="G11" i="62"/>
  <c r="J11" i="62"/>
  <c r="K11" i="62"/>
  <c r="G12" i="62"/>
  <c r="J12" i="62"/>
  <c r="K12" i="62"/>
  <c r="G13" i="62"/>
  <c r="J13" i="62"/>
  <c r="K13" i="62"/>
  <c r="G14" i="62"/>
  <c r="J14" i="62"/>
  <c r="K14" i="62"/>
  <c r="G15" i="62"/>
  <c r="J15" i="62"/>
  <c r="K15" i="62"/>
  <c r="G16" i="62"/>
  <c r="J16" i="62"/>
  <c r="K16" i="62"/>
  <c r="G17" i="62"/>
  <c r="J17" i="62"/>
  <c r="K17" i="62"/>
  <c r="G18" i="62"/>
  <c r="J18" i="62"/>
  <c r="K18" i="62"/>
  <c r="G19" i="62"/>
  <c r="J19" i="62"/>
  <c r="K19" i="62"/>
  <c r="G20" i="62"/>
  <c r="J20" i="62"/>
  <c r="K20" i="62"/>
  <c r="G21" i="62"/>
  <c r="J21" i="62"/>
  <c r="K21" i="62"/>
  <c r="G22" i="62"/>
  <c r="J22" i="62"/>
  <c r="K22" i="62"/>
  <c r="G23" i="62"/>
  <c r="J23" i="62"/>
  <c r="K23" i="62"/>
  <c r="G24" i="62"/>
  <c r="J24" i="62"/>
  <c r="K24" i="62"/>
  <c r="G25" i="62"/>
  <c r="J25" i="62"/>
  <c r="K25" i="62"/>
  <c r="G26" i="62"/>
  <c r="J26" i="62"/>
  <c r="K26" i="62"/>
  <c r="G27" i="62"/>
  <c r="J27" i="62"/>
  <c r="K27" i="62"/>
  <c r="G28" i="62"/>
  <c r="J28" i="62"/>
  <c r="K28" i="62"/>
  <c r="G29" i="62"/>
  <c r="J29" i="62"/>
  <c r="K29" i="62"/>
  <c r="G30" i="62"/>
  <c r="J30" i="62"/>
  <c r="K30" i="62"/>
  <c r="G31" i="62"/>
  <c r="J31" i="62"/>
  <c r="K31" i="62"/>
  <c r="G32" i="62"/>
  <c r="J32" i="62"/>
  <c r="K32" i="62"/>
  <c r="G33" i="62"/>
  <c r="J33" i="62"/>
  <c r="K33" i="62"/>
  <c r="G34" i="62"/>
  <c r="J34" i="62"/>
  <c r="K34" i="62"/>
  <c r="G5" i="2"/>
  <c r="J5" i="2"/>
  <c r="K5" i="2"/>
  <c r="G6" i="2"/>
  <c r="J6" i="2"/>
  <c r="K6" i="2"/>
  <c r="G7" i="2"/>
  <c r="J7" i="2"/>
  <c r="K7" i="2"/>
  <c r="G8" i="2"/>
  <c r="J8" i="2"/>
  <c r="K8" i="2"/>
  <c r="G9" i="2"/>
  <c r="J9" i="2"/>
  <c r="K9" i="2"/>
  <c r="G10" i="2"/>
  <c r="J10" i="2"/>
  <c r="K10" i="2"/>
  <c r="G11" i="2"/>
  <c r="J11" i="2"/>
  <c r="K11" i="2"/>
  <c r="G12" i="2"/>
  <c r="J12" i="2"/>
  <c r="K12" i="2"/>
  <c r="G13" i="2"/>
  <c r="J13" i="2"/>
  <c r="K13" i="2"/>
  <c r="G14" i="2"/>
  <c r="J14" i="2"/>
  <c r="K14" i="2"/>
  <c r="G15" i="2"/>
  <c r="J15" i="2"/>
  <c r="K15" i="2"/>
  <c r="G16" i="2"/>
  <c r="J16" i="2"/>
  <c r="K16" i="2"/>
  <c r="G17" i="2"/>
  <c r="J17" i="2"/>
  <c r="K17" i="2"/>
  <c r="G18" i="2"/>
  <c r="J18" i="2"/>
  <c r="K18" i="2"/>
  <c r="G19" i="2"/>
  <c r="J19" i="2"/>
  <c r="K19" i="2"/>
  <c r="G20" i="2"/>
  <c r="J20" i="2"/>
  <c r="K20" i="2"/>
  <c r="G21" i="2"/>
  <c r="J21" i="2"/>
  <c r="K21" i="2"/>
  <c r="G22" i="2"/>
  <c r="J22" i="2"/>
  <c r="K22" i="2"/>
  <c r="G23" i="2"/>
  <c r="J23" i="2"/>
  <c r="K23" i="2"/>
  <c r="G24" i="2"/>
  <c r="J24" i="2"/>
  <c r="K24" i="2"/>
  <c r="G25" i="2"/>
  <c r="J25" i="2"/>
  <c r="K25" i="2"/>
  <c r="G26" i="2"/>
  <c r="J26" i="2"/>
  <c r="K26" i="2"/>
  <c r="G27" i="2"/>
  <c r="J27" i="2"/>
  <c r="K27" i="2"/>
  <c r="G28" i="2"/>
  <c r="J28" i="2"/>
  <c r="K28" i="2"/>
  <c r="G29" i="2"/>
  <c r="J29" i="2"/>
  <c r="K29" i="2"/>
  <c r="G30" i="2"/>
  <c r="J30" i="2"/>
  <c r="K30" i="2"/>
  <c r="G31" i="2"/>
  <c r="J31" i="2"/>
  <c r="K31" i="2"/>
  <c r="G32" i="2"/>
  <c r="J32" i="2"/>
  <c r="K32" i="2"/>
  <c r="G33" i="2"/>
  <c r="J33" i="2"/>
  <c r="K33" i="2"/>
  <c r="G34" i="2"/>
  <c r="J34" i="2"/>
  <c r="K34" i="2"/>
  <c r="G35" i="2"/>
  <c r="J35" i="2"/>
  <c r="K35" i="2"/>
  <c r="G5" i="65"/>
  <c r="J5" i="65"/>
  <c r="K5" i="65"/>
  <c r="G6" i="65"/>
  <c r="J6" i="65"/>
  <c r="K6" i="65"/>
  <c r="G7" i="65"/>
  <c r="J7" i="65"/>
  <c r="K7" i="65"/>
  <c r="G8" i="65"/>
  <c r="J8" i="65"/>
  <c r="K8" i="65"/>
  <c r="G9" i="65"/>
  <c r="J9" i="65"/>
  <c r="K9" i="65"/>
  <c r="G10" i="65"/>
  <c r="J10" i="65"/>
  <c r="K10" i="65"/>
  <c r="G11" i="65"/>
  <c r="J11" i="65"/>
  <c r="K11" i="65"/>
  <c r="G12" i="65"/>
  <c r="J12" i="65"/>
  <c r="K12" i="65"/>
  <c r="G13" i="65"/>
  <c r="J13" i="65"/>
  <c r="K13" i="65"/>
  <c r="G14" i="65"/>
  <c r="J14" i="65"/>
  <c r="K14" i="65"/>
  <c r="G15" i="65"/>
  <c r="J15" i="65"/>
  <c r="K15" i="65"/>
  <c r="G16" i="65"/>
  <c r="J16" i="65"/>
  <c r="K16" i="65"/>
  <c r="G17" i="65"/>
  <c r="J17" i="65"/>
  <c r="K17" i="65"/>
  <c r="G18" i="65"/>
  <c r="J18" i="65"/>
  <c r="K18" i="65"/>
  <c r="G19" i="65"/>
  <c r="J19" i="65"/>
  <c r="K19" i="65"/>
  <c r="G20" i="65"/>
  <c r="J20" i="65"/>
  <c r="K20" i="65"/>
  <c r="G21" i="65"/>
  <c r="J21" i="65"/>
  <c r="K21" i="65"/>
  <c r="G22" i="65"/>
  <c r="J22" i="65"/>
  <c r="K22" i="65"/>
  <c r="G23" i="65"/>
  <c r="J23" i="65"/>
  <c r="K23" i="65"/>
  <c r="G24" i="65"/>
  <c r="J24" i="65"/>
  <c r="K24" i="65"/>
  <c r="G25" i="65"/>
  <c r="J25" i="65"/>
  <c r="K25" i="65"/>
  <c r="G26" i="65"/>
  <c r="J26" i="65"/>
  <c r="K26" i="65"/>
  <c r="G27" i="65"/>
  <c r="J27" i="65"/>
  <c r="K27" i="65"/>
  <c r="G28" i="65"/>
  <c r="J28" i="65"/>
  <c r="K28" i="65"/>
  <c r="G29" i="65"/>
  <c r="J29" i="65"/>
  <c r="K29" i="65"/>
  <c r="G30" i="65"/>
  <c r="J30" i="65"/>
  <c r="G31" i="65"/>
  <c r="G32" i="65"/>
  <c r="G34" i="65"/>
  <c r="G35" i="65"/>
  <c r="J35" i="65"/>
  <c r="K35" i="65"/>
  <c r="G11" i="64"/>
  <c r="J11" i="64"/>
  <c r="K11" i="64"/>
  <c r="M11" i="64" s="1"/>
  <c r="G12" i="64"/>
  <c r="J12" i="64"/>
  <c r="K12" i="64"/>
  <c r="G13" i="64"/>
  <c r="J13" i="64"/>
  <c r="K13" i="64"/>
  <c r="G14" i="64"/>
  <c r="J14" i="64"/>
  <c r="K14" i="64"/>
  <c r="G15" i="64"/>
  <c r="J15" i="64"/>
  <c r="K15" i="64"/>
  <c r="G16" i="64"/>
  <c r="J16" i="64"/>
  <c r="K16" i="64"/>
  <c r="G17" i="64"/>
  <c r="J17" i="64"/>
  <c r="K17" i="64"/>
  <c r="G18" i="64"/>
  <c r="J18" i="64"/>
  <c r="K18" i="64"/>
  <c r="G19" i="64"/>
  <c r="J19" i="64"/>
  <c r="K19" i="64"/>
  <c r="G20" i="64"/>
  <c r="J20" i="64"/>
  <c r="K20" i="64"/>
  <c r="G21" i="64"/>
  <c r="J21" i="64"/>
  <c r="K21" i="64"/>
  <c r="G22" i="64"/>
  <c r="J22" i="64"/>
  <c r="K22" i="64"/>
  <c r="G23" i="64"/>
  <c r="J23" i="64"/>
  <c r="K23" i="64"/>
  <c r="G24" i="64"/>
  <c r="J24" i="64"/>
  <c r="K24" i="64"/>
  <c r="G25" i="64"/>
  <c r="J25" i="64"/>
  <c r="K25" i="64"/>
  <c r="G26" i="64"/>
  <c r="J26" i="64"/>
  <c r="K26" i="64"/>
  <c r="G27" i="64"/>
  <c r="J27" i="64"/>
  <c r="K27" i="64"/>
  <c r="G28" i="64"/>
  <c r="J28" i="64"/>
  <c r="K28" i="64"/>
  <c r="G29" i="64"/>
  <c r="J29" i="64"/>
  <c r="K29" i="64"/>
  <c r="G30" i="64"/>
  <c r="J30" i="64"/>
  <c r="K30" i="64"/>
  <c r="G31" i="64"/>
  <c r="J31" i="64"/>
  <c r="K31" i="64"/>
  <c r="G32" i="64"/>
  <c r="J32" i="64"/>
  <c r="K32" i="64"/>
  <c r="G33" i="64"/>
  <c r="J33" i="64"/>
  <c r="K33" i="64"/>
  <c r="G34" i="64"/>
  <c r="J34" i="64"/>
  <c r="K34" i="64"/>
  <c r="G10" i="64"/>
  <c r="J10" i="64"/>
  <c r="K10" i="64"/>
  <c r="G5" i="59"/>
  <c r="J5" i="59"/>
  <c r="K5" i="59"/>
  <c r="G6" i="59"/>
  <c r="J6" i="59"/>
  <c r="K6" i="59"/>
  <c r="G7" i="59"/>
  <c r="J7" i="59"/>
  <c r="K7" i="59"/>
  <c r="G8" i="59"/>
  <c r="J8" i="59"/>
  <c r="K8" i="59"/>
  <c r="G9" i="59"/>
  <c r="J9" i="59"/>
  <c r="K9" i="59"/>
  <c r="G10" i="59"/>
  <c r="J10" i="59"/>
  <c r="K10" i="59"/>
  <c r="G11" i="59"/>
  <c r="J11" i="59"/>
  <c r="K11" i="59"/>
  <c r="G12" i="59"/>
  <c r="J12" i="59"/>
  <c r="K12" i="59"/>
  <c r="G13" i="59"/>
  <c r="J13" i="59"/>
  <c r="K13" i="59"/>
  <c r="G14" i="59"/>
  <c r="J14" i="59"/>
  <c r="K14" i="59"/>
  <c r="G15" i="59"/>
  <c r="J15" i="59"/>
  <c r="K15" i="59"/>
  <c r="G16" i="59"/>
  <c r="J16" i="59"/>
  <c r="K16" i="59"/>
  <c r="G17" i="59"/>
  <c r="J17" i="59"/>
  <c r="K17" i="59"/>
  <c r="G18" i="59"/>
  <c r="J18" i="59"/>
  <c r="K18" i="59"/>
  <c r="G19" i="59"/>
  <c r="J19" i="59"/>
  <c r="K19" i="59"/>
  <c r="G20" i="59"/>
  <c r="J20" i="59"/>
  <c r="K20" i="59"/>
  <c r="G21" i="59"/>
  <c r="J21" i="59"/>
  <c r="K21" i="59"/>
  <c r="G22" i="59"/>
  <c r="J22" i="59"/>
  <c r="K22" i="59"/>
  <c r="G23" i="59"/>
  <c r="J23" i="59"/>
  <c r="K23" i="59"/>
  <c r="G24" i="59"/>
  <c r="J24" i="59"/>
  <c r="K24" i="59"/>
  <c r="G25" i="59"/>
  <c r="J25" i="59"/>
  <c r="K25" i="59"/>
  <c r="G26" i="59"/>
  <c r="J26" i="59"/>
  <c r="K26" i="59"/>
  <c r="G27" i="59"/>
  <c r="J27" i="59"/>
  <c r="K27" i="59"/>
  <c r="G28" i="59"/>
  <c r="J28" i="59"/>
  <c r="K28" i="59"/>
  <c r="G29" i="59"/>
  <c r="J29" i="59"/>
  <c r="K29" i="59"/>
  <c r="G30" i="59"/>
  <c r="J30" i="59"/>
  <c r="K30" i="59"/>
  <c r="G31" i="59"/>
  <c r="J31" i="59"/>
  <c r="K31" i="59"/>
  <c r="G32" i="59"/>
  <c r="J32" i="59"/>
  <c r="K32" i="59"/>
  <c r="G33" i="59"/>
  <c r="J33" i="59"/>
  <c r="K33" i="59"/>
  <c r="G34" i="59"/>
  <c r="J34" i="59"/>
  <c r="K34" i="59"/>
  <c r="G5" i="58"/>
  <c r="J5" i="58"/>
  <c r="K5" i="58"/>
  <c r="L5" i="58"/>
  <c r="G6" i="58"/>
  <c r="J6" i="58"/>
  <c r="K6" i="58"/>
  <c r="L6" i="58"/>
  <c r="G7" i="58"/>
  <c r="J7" i="58"/>
  <c r="K7" i="58"/>
  <c r="L7" i="58"/>
  <c r="G8" i="58"/>
  <c r="J8" i="58"/>
  <c r="K8" i="58"/>
  <c r="L8" i="58"/>
  <c r="G9" i="58"/>
  <c r="J9" i="58"/>
  <c r="K9" i="58"/>
  <c r="L9" i="58"/>
  <c r="G10" i="58"/>
  <c r="J10" i="58"/>
  <c r="K10" i="58"/>
  <c r="L10" i="58"/>
  <c r="G11" i="58"/>
  <c r="J11" i="58"/>
  <c r="K11" i="58"/>
  <c r="L11" i="58"/>
  <c r="G12" i="58"/>
  <c r="J12" i="58"/>
  <c r="K12" i="58"/>
  <c r="L12" i="58"/>
  <c r="G13" i="58"/>
  <c r="J13" i="58"/>
  <c r="K13" i="58"/>
  <c r="L13" i="58"/>
  <c r="G14" i="58"/>
  <c r="J14" i="58"/>
  <c r="K14" i="58"/>
  <c r="L14" i="58"/>
  <c r="G15" i="58"/>
  <c r="J15" i="58"/>
  <c r="K15" i="58"/>
  <c r="L15" i="58"/>
  <c r="G16" i="58"/>
  <c r="J16" i="58"/>
  <c r="K16" i="58"/>
  <c r="L16" i="58"/>
  <c r="G17" i="58"/>
  <c r="J17" i="58"/>
  <c r="K17" i="58"/>
  <c r="L17" i="58"/>
  <c r="G18" i="58"/>
  <c r="J18" i="58"/>
  <c r="K18" i="58"/>
  <c r="L18" i="58"/>
  <c r="G19" i="58"/>
  <c r="J19" i="58"/>
  <c r="K19" i="58"/>
  <c r="L19" i="58"/>
  <c r="G20" i="58"/>
  <c r="J20" i="58"/>
  <c r="K20" i="58"/>
  <c r="L20" i="58"/>
  <c r="G21" i="58"/>
  <c r="J21" i="58"/>
  <c r="K21" i="58"/>
  <c r="L21" i="58"/>
  <c r="G22" i="58"/>
  <c r="J22" i="58"/>
  <c r="K22" i="58"/>
  <c r="L22" i="58"/>
  <c r="G23" i="58"/>
  <c r="J23" i="58"/>
  <c r="K23" i="58"/>
  <c r="L23" i="58"/>
  <c r="G24" i="58"/>
  <c r="J24" i="58"/>
  <c r="K24" i="58"/>
  <c r="L24" i="58"/>
  <c r="G25" i="58"/>
  <c r="J25" i="58"/>
  <c r="K25" i="58"/>
  <c r="L25" i="58"/>
  <c r="G26" i="58"/>
  <c r="J26" i="58"/>
  <c r="K26" i="58"/>
  <c r="L26" i="58"/>
  <c r="G27" i="58"/>
  <c r="J27" i="58"/>
  <c r="K27" i="58"/>
  <c r="L27" i="58"/>
  <c r="G28" i="58"/>
  <c r="J28" i="58"/>
  <c r="K28" i="58"/>
  <c r="L28" i="58"/>
  <c r="G29" i="58"/>
  <c r="J29" i="58"/>
  <c r="K29" i="58"/>
  <c r="L29" i="58"/>
  <c r="G30" i="58"/>
  <c r="J30" i="58"/>
  <c r="K30" i="58"/>
  <c r="L30" i="58"/>
  <c r="G31" i="58"/>
  <c r="J31" i="58"/>
  <c r="K31" i="58"/>
  <c r="L31" i="58"/>
  <c r="G32" i="58"/>
  <c r="J32" i="58"/>
  <c r="K32" i="58"/>
  <c r="L32" i="58"/>
  <c r="G33" i="58"/>
  <c r="J33" i="58"/>
  <c r="K33" i="58"/>
  <c r="L33" i="58"/>
  <c r="G5" i="18"/>
  <c r="J5" i="18"/>
  <c r="K5" i="18"/>
  <c r="G6" i="18"/>
  <c r="J6" i="18"/>
  <c r="K6" i="18"/>
  <c r="G7" i="18"/>
  <c r="J7" i="18"/>
  <c r="K7" i="18"/>
  <c r="G8" i="18"/>
  <c r="J8" i="18"/>
  <c r="K8" i="18"/>
  <c r="G9" i="18"/>
  <c r="J9" i="18"/>
  <c r="K9" i="18"/>
  <c r="G10" i="18"/>
  <c r="J10" i="18"/>
  <c r="K10" i="18"/>
  <c r="G11" i="18"/>
  <c r="J11" i="18"/>
  <c r="K11" i="18"/>
  <c r="G13" i="18"/>
  <c r="J13" i="18"/>
  <c r="K13" i="18"/>
  <c r="G14" i="18"/>
  <c r="J14" i="18"/>
  <c r="K14" i="18"/>
  <c r="G15" i="18"/>
  <c r="J15" i="18"/>
  <c r="K15" i="18"/>
  <c r="G16" i="18"/>
  <c r="J16" i="18"/>
  <c r="K16" i="18"/>
  <c r="G17" i="18"/>
  <c r="J17" i="18"/>
  <c r="K17" i="18"/>
  <c r="G18" i="18"/>
  <c r="J18" i="18"/>
  <c r="K18" i="18"/>
  <c r="G19" i="18"/>
  <c r="J19" i="18"/>
  <c r="K19" i="18"/>
  <c r="G20" i="18"/>
  <c r="J20" i="18"/>
  <c r="K20" i="18"/>
  <c r="G21" i="18"/>
  <c r="J21" i="18"/>
  <c r="K21" i="18"/>
  <c r="G22" i="18"/>
  <c r="J22" i="18"/>
  <c r="K22" i="18"/>
  <c r="G23" i="18"/>
  <c r="J23" i="18"/>
  <c r="K23" i="18"/>
  <c r="G24" i="18"/>
  <c r="J24" i="18"/>
  <c r="K24" i="18"/>
  <c r="G25" i="18"/>
  <c r="J25" i="18"/>
  <c r="K25" i="18"/>
  <c r="G26" i="18"/>
  <c r="J26" i="18"/>
  <c r="K26" i="18"/>
  <c r="G27" i="18"/>
  <c r="J27" i="18"/>
  <c r="K27" i="18"/>
  <c r="G28" i="18"/>
  <c r="J28" i="18"/>
  <c r="K28" i="18"/>
  <c r="G29" i="18"/>
  <c r="J29" i="18"/>
  <c r="K29" i="18"/>
  <c r="G30" i="18"/>
  <c r="J30" i="18"/>
  <c r="K30" i="18"/>
  <c r="G31" i="18"/>
  <c r="J31" i="18"/>
  <c r="K31" i="18"/>
  <c r="G32" i="18"/>
  <c r="J32" i="18"/>
  <c r="K32" i="18"/>
  <c r="G33" i="18"/>
  <c r="J33" i="18"/>
  <c r="K33" i="18"/>
  <c r="G34" i="18"/>
  <c r="J34" i="18"/>
  <c r="K34" i="18"/>
  <c r="G35" i="18"/>
  <c r="J35" i="18"/>
  <c r="K35" i="18"/>
  <c r="G5" i="47"/>
  <c r="J5" i="47"/>
  <c r="K5" i="47"/>
  <c r="G6" i="47"/>
  <c r="J6" i="47"/>
  <c r="K6" i="47"/>
  <c r="G7" i="47"/>
  <c r="J7" i="47"/>
  <c r="K7" i="47"/>
  <c r="G8" i="47"/>
  <c r="J8" i="47"/>
  <c r="K8" i="47"/>
  <c r="G9" i="47"/>
  <c r="J9" i="47"/>
  <c r="K9" i="47"/>
  <c r="G10" i="47"/>
  <c r="J10" i="47"/>
  <c r="K10" i="47"/>
  <c r="G11" i="47"/>
  <c r="J11" i="47"/>
  <c r="K11" i="47"/>
  <c r="G12" i="47"/>
  <c r="J12" i="47"/>
  <c r="K12" i="47"/>
  <c r="G13" i="47"/>
  <c r="J13" i="47"/>
  <c r="K13" i="47"/>
  <c r="G14" i="47"/>
  <c r="J14" i="47"/>
  <c r="K14" i="47"/>
  <c r="G15" i="47"/>
  <c r="J15" i="47"/>
  <c r="K15" i="47"/>
  <c r="G16" i="47"/>
  <c r="J16" i="47"/>
  <c r="K16" i="47"/>
  <c r="G17" i="47"/>
  <c r="J17" i="47"/>
  <c r="K17" i="47"/>
  <c r="G18" i="47"/>
  <c r="J18" i="47"/>
  <c r="K18" i="47"/>
  <c r="G19" i="47"/>
  <c r="J19" i="47"/>
  <c r="K19" i="47"/>
  <c r="G20" i="47"/>
  <c r="J20" i="47"/>
  <c r="K20" i="47"/>
  <c r="G21" i="47"/>
  <c r="J21" i="47"/>
  <c r="K21" i="47"/>
  <c r="G22" i="47"/>
  <c r="J22" i="47"/>
  <c r="K22" i="47"/>
  <c r="G23" i="47"/>
  <c r="J23" i="47"/>
  <c r="K23" i="47"/>
  <c r="G24" i="47"/>
  <c r="J24" i="47"/>
  <c r="K24" i="47"/>
  <c r="G25" i="47"/>
  <c r="J25" i="47"/>
  <c r="K25" i="47"/>
  <c r="G26" i="47"/>
  <c r="J26" i="47"/>
  <c r="K26" i="47"/>
  <c r="G27" i="47"/>
  <c r="J27" i="47"/>
  <c r="K27" i="47"/>
  <c r="G28" i="47"/>
  <c r="J28" i="47"/>
  <c r="K28" i="47"/>
  <c r="G29" i="47"/>
  <c r="J29" i="47"/>
  <c r="K29" i="47"/>
  <c r="G30" i="47"/>
  <c r="J30" i="47"/>
  <c r="K30" i="47"/>
  <c r="G31" i="47"/>
  <c r="J31" i="47"/>
  <c r="K31" i="47"/>
  <c r="G32" i="47"/>
  <c r="J32" i="47"/>
  <c r="K32" i="47"/>
  <c r="G33" i="47"/>
  <c r="J33" i="47"/>
  <c r="K33" i="47"/>
  <c r="G34" i="47"/>
  <c r="J34" i="47"/>
  <c r="K34" i="47"/>
  <c r="G5" i="50"/>
  <c r="J5" i="50"/>
  <c r="K5" i="50"/>
  <c r="G6" i="50"/>
  <c r="J6" i="50"/>
  <c r="K6" i="50"/>
  <c r="G7" i="50"/>
  <c r="J7" i="50"/>
  <c r="K7" i="50"/>
  <c r="G8" i="50"/>
  <c r="J8" i="50"/>
  <c r="K8" i="50"/>
  <c r="G9" i="50"/>
  <c r="J9" i="50"/>
  <c r="K9" i="50"/>
  <c r="G10" i="50"/>
  <c r="J10" i="50"/>
  <c r="K10" i="50"/>
  <c r="G11" i="50"/>
  <c r="J11" i="50"/>
  <c r="K11" i="50"/>
  <c r="G12" i="50"/>
  <c r="J12" i="50"/>
  <c r="K12" i="50"/>
  <c r="G13" i="50"/>
  <c r="J13" i="50"/>
  <c r="K13" i="50"/>
  <c r="G14" i="50"/>
  <c r="J14" i="50"/>
  <c r="K14" i="50"/>
  <c r="G15" i="50"/>
  <c r="J15" i="50"/>
  <c r="K15" i="50"/>
  <c r="G16" i="50"/>
  <c r="J16" i="50"/>
  <c r="K16" i="50"/>
  <c r="G17" i="50"/>
  <c r="J17" i="50"/>
  <c r="K17" i="50"/>
  <c r="G18" i="50"/>
  <c r="J18" i="50"/>
  <c r="K18" i="50"/>
  <c r="G19" i="50"/>
  <c r="J19" i="50"/>
  <c r="K19" i="50"/>
  <c r="G20" i="50"/>
  <c r="J20" i="50"/>
  <c r="K20" i="50"/>
  <c r="G21" i="50"/>
  <c r="J21" i="50"/>
  <c r="K21" i="50"/>
  <c r="G22" i="50"/>
  <c r="J22" i="50"/>
  <c r="K22" i="50"/>
  <c r="G23" i="50"/>
  <c r="J23" i="50"/>
  <c r="K23" i="50"/>
  <c r="G24" i="50"/>
  <c r="J24" i="50"/>
  <c r="K24" i="50"/>
  <c r="G25" i="50"/>
  <c r="J25" i="50"/>
  <c r="K25" i="50"/>
  <c r="G26" i="50"/>
  <c r="J26" i="50"/>
  <c r="K26" i="50"/>
  <c r="G27" i="50"/>
  <c r="J27" i="50"/>
  <c r="K27" i="50"/>
  <c r="G28" i="50"/>
  <c r="J28" i="50"/>
  <c r="K28" i="50"/>
  <c r="G29" i="50"/>
  <c r="J29" i="50"/>
  <c r="K29" i="50"/>
  <c r="G30" i="50"/>
  <c r="J30" i="50"/>
  <c r="K30" i="50"/>
  <c r="G31" i="50"/>
  <c r="J31" i="50"/>
  <c r="K31" i="50"/>
  <c r="G32" i="50"/>
  <c r="J32" i="50"/>
  <c r="K32" i="50"/>
  <c r="G33" i="50"/>
  <c r="J33" i="50"/>
  <c r="K33" i="50"/>
  <c r="G34" i="50"/>
  <c r="J34" i="50"/>
  <c r="K34" i="50"/>
  <c r="G35" i="50"/>
  <c r="J35" i="50"/>
  <c r="K35" i="50"/>
  <c r="G36" i="50"/>
  <c r="J36" i="50"/>
  <c r="K36" i="50"/>
  <c r="G37" i="50"/>
  <c r="J37" i="50"/>
  <c r="K37" i="50"/>
  <c r="E45" i="22"/>
  <c r="H35" i="59"/>
  <c r="I9" i="56"/>
  <c r="I8" i="56"/>
  <c r="G8" i="56"/>
  <c r="L36" i="65"/>
  <c r="J9" i="56" s="1"/>
  <c r="H36" i="65"/>
  <c r="F9" i="56" s="1"/>
  <c r="E36" i="65"/>
  <c r="D9" i="56" s="1"/>
  <c r="J4" i="65"/>
  <c r="J36" i="65" s="1"/>
  <c r="G9" i="56" s="1"/>
  <c r="G4" i="65"/>
  <c r="G5" i="64"/>
  <c r="J5" i="64"/>
  <c r="K5" i="64"/>
  <c r="G6" i="64"/>
  <c r="J6" i="64"/>
  <c r="K6" i="64"/>
  <c r="G7" i="64"/>
  <c r="J7" i="64"/>
  <c r="K7" i="64"/>
  <c r="G8" i="64"/>
  <c r="J8" i="64"/>
  <c r="K8" i="64"/>
  <c r="G9" i="64"/>
  <c r="J9" i="64"/>
  <c r="K9" i="64"/>
  <c r="L35" i="64"/>
  <c r="J8" i="56" s="1"/>
  <c r="H35" i="64"/>
  <c r="F8" i="56" s="1"/>
  <c r="E35" i="64"/>
  <c r="D8" i="56" s="1"/>
  <c r="J4" i="64"/>
  <c r="J35" i="64" s="1"/>
  <c r="G4" i="64"/>
  <c r="I18" i="56"/>
  <c r="H35" i="63"/>
  <c r="F18" i="56" s="1"/>
  <c r="E35" i="63"/>
  <c r="D18" i="56" s="1"/>
  <c r="K33" i="63"/>
  <c r="L33" i="63" s="1"/>
  <c r="K32" i="63"/>
  <c r="L32" i="63" s="1"/>
  <c r="K31" i="63"/>
  <c r="L31" i="63" s="1"/>
  <c r="K30" i="63"/>
  <c r="L30" i="63" s="1"/>
  <c r="K29" i="63"/>
  <c r="L29" i="63" s="1"/>
  <c r="L28" i="63"/>
  <c r="K27" i="63"/>
  <c r="L27" i="63" s="1"/>
  <c r="K26" i="63"/>
  <c r="L26" i="63" s="1"/>
  <c r="K25" i="63"/>
  <c r="L25" i="63" s="1"/>
  <c r="K24" i="63"/>
  <c r="L24" i="63" s="1"/>
  <c r="K23" i="63"/>
  <c r="L23" i="63" s="1"/>
  <c r="K22" i="63"/>
  <c r="L22" i="63" s="1"/>
  <c r="K21" i="63"/>
  <c r="L21" i="63" s="1"/>
  <c r="K20" i="63"/>
  <c r="L20" i="63" s="1"/>
  <c r="K19" i="63"/>
  <c r="L19" i="63" s="1"/>
  <c r="K18" i="63"/>
  <c r="L18" i="63" s="1"/>
  <c r="K17" i="63"/>
  <c r="L17" i="63" s="1"/>
  <c r="K16" i="63"/>
  <c r="L16" i="63" s="1"/>
  <c r="K15" i="63"/>
  <c r="L15" i="63" s="1"/>
  <c r="K14" i="63"/>
  <c r="L14" i="63" s="1"/>
  <c r="K13" i="63"/>
  <c r="L13" i="63" s="1"/>
  <c r="K12" i="63"/>
  <c r="L12" i="63" s="1"/>
  <c r="K11" i="63"/>
  <c r="L11" i="63" s="1"/>
  <c r="K10" i="63"/>
  <c r="L10" i="63" s="1"/>
  <c r="K9" i="63"/>
  <c r="L9" i="63" s="1"/>
  <c r="K8" i="63"/>
  <c r="L8" i="63" s="1"/>
  <c r="K7" i="63"/>
  <c r="L7" i="63" s="1"/>
  <c r="K6" i="63"/>
  <c r="L6" i="63" s="1"/>
  <c r="K5" i="63"/>
  <c r="L5" i="63" s="1"/>
  <c r="J4" i="63"/>
  <c r="J35" i="63" s="1"/>
  <c r="G18" i="56" s="1"/>
  <c r="G4" i="63"/>
  <c r="M3" i="63"/>
  <c r="G5" i="44"/>
  <c r="G6" i="44"/>
  <c r="G7" i="44"/>
  <c r="G8" i="44"/>
  <c r="G9" i="44"/>
  <c r="G10" i="44"/>
  <c r="G11" i="44"/>
  <c r="G12" i="44"/>
  <c r="G13" i="44"/>
  <c r="G14" i="44"/>
  <c r="G15" i="44"/>
  <c r="G16" i="44"/>
  <c r="G17" i="44"/>
  <c r="G18" i="44"/>
  <c r="G19" i="44"/>
  <c r="G20" i="44"/>
  <c r="G21" i="44"/>
  <c r="G22" i="44"/>
  <c r="G23" i="44"/>
  <c r="G24" i="44"/>
  <c r="G25" i="44"/>
  <c r="G26" i="44"/>
  <c r="G27" i="44"/>
  <c r="G28" i="44"/>
  <c r="G29" i="44"/>
  <c r="G30" i="44"/>
  <c r="G31" i="44"/>
  <c r="G32" i="44"/>
  <c r="G33" i="44"/>
  <c r="G34" i="44"/>
  <c r="G39" i="44"/>
  <c r="G41" i="44"/>
  <c r="G42" i="44"/>
  <c r="G43" i="44"/>
  <c r="G44" i="44"/>
  <c r="G45" i="44"/>
  <c r="G46" i="44"/>
  <c r="G47" i="44"/>
  <c r="G48" i="44"/>
  <c r="G49" i="44"/>
  <c r="G50" i="44"/>
  <c r="G51" i="44"/>
  <c r="G52" i="44"/>
  <c r="G53" i="44"/>
  <c r="G54" i="44"/>
  <c r="G55" i="44"/>
  <c r="G56" i="44"/>
  <c r="G57" i="44"/>
  <c r="G58" i="44"/>
  <c r="I22" i="56"/>
  <c r="L35" i="62"/>
  <c r="J11" i="56" s="1"/>
  <c r="H35" i="62"/>
  <c r="F11" i="56" s="1"/>
  <c r="E35" i="62"/>
  <c r="D11" i="56" s="1"/>
  <c r="J4" i="62"/>
  <c r="J35" i="62" s="1"/>
  <c r="G11" i="56" s="1"/>
  <c r="G4" i="62"/>
  <c r="M3" i="62"/>
  <c r="I11" i="56" s="1"/>
  <c r="G4" i="18"/>
  <c r="K5" i="19"/>
  <c r="L5" i="19"/>
  <c r="K6" i="19"/>
  <c r="L6" i="19"/>
  <c r="K7" i="19"/>
  <c r="L7" i="19"/>
  <c r="K8" i="19"/>
  <c r="L8" i="19"/>
  <c r="K9" i="19"/>
  <c r="L9" i="19"/>
  <c r="K10" i="19"/>
  <c r="L10" i="19"/>
  <c r="K11" i="19"/>
  <c r="L11" i="19"/>
  <c r="K12" i="19"/>
  <c r="L12" i="19"/>
  <c r="K13" i="19"/>
  <c r="L13" i="19"/>
  <c r="K14" i="19"/>
  <c r="L14" i="19"/>
  <c r="K15" i="19"/>
  <c r="L15" i="19"/>
  <c r="K16" i="19"/>
  <c r="L16" i="19"/>
  <c r="K17" i="19"/>
  <c r="L17" i="19"/>
  <c r="K18" i="19"/>
  <c r="L18" i="19"/>
  <c r="K19" i="19"/>
  <c r="L19" i="19" s="1"/>
  <c r="K20" i="19"/>
  <c r="L20" i="19"/>
  <c r="K21" i="19"/>
  <c r="L21" i="19"/>
  <c r="K22" i="19"/>
  <c r="L22" i="19"/>
  <c r="K23" i="19"/>
  <c r="L23" i="19"/>
  <c r="K24" i="19"/>
  <c r="L24" i="19"/>
  <c r="K25" i="19"/>
  <c r="L25" i="19"/>
  <c r="K26" i="19"/>
  <c r="L26" i="19"/>
  <c r="K27" i="19"/>
  <c r="L27" i="19"/>
  <c r="K28" i="19"/>
  <c r="L28" i="19"/>
  <c r="K29" i="19"/>
  <c r="L29" i="19"/>
  <c r="K30" i="19"/>
  <c r="L30" i="19"/>
  <c r="K31" i="19"/>
  <c r="L31" i="19"/>
  <c r="K32" i="19"/>
  <c r="L32" i="19"/>
  <c r="K33" i="19"/>
  <c r="L33" i="19"/>
  <c r="G35" i="51"/>
  <c r="J35" i="51"/>
  <c r="K35" i="51"/>
  <c r="L35" i="51"/>
  <c r="G36" i="51"/>
  <c r="J36" i="51"/>
  <c r="K36" i="51"/>
  <c r="L36" i="51"/>
  <c r="G37" i="51"/>
  <c r="J37" i="51"/>
  <c r="K37" i="51"/>
  <c r="L37" i="51"/>
  <c r="G30" i="35"/>
  <c r="J30" i="35"/>
  <c r="K30" i="35"/>
  <c r="G31" i="35"/>
  <c r="J31" i="35"/>
  <c r="K31" i="35"/>
  <c r="G32" i="35"/>
  <c r="J32" i="35"/>
  <c r="K32" i="35"/>
  <c r="G33" i="35"/>
  <c r="J33" i="35"/>
  <c r="K33" i="35"/>
  <c r="G34" i="35"/>
  <c r="J34" i="35"/>
  <c r="K34" i="35"/>
  <c r="G35" i="35"/>
  <c r="J35" i="35"/>
  <c r="K35" i="35"/>
  <c r="G32" i="34"/>
  <c r="J32" i="34"/>
  <c r="K32" i="34"/>
  <c r="G33" i="34"/>
  <c r="J33" i="34"/>
  <c r="K33" i="34"/>
  <c r="G34" i="34"/>
  <c r="J34" i="34"/>
  <c r="K34" i="34"/>
  <c r="G35" i="34"/>
  <c r="J35" i="34"/>
  <c r="K35" i="34"/>
  <c r="G36" i="34"/>
  <c r="J36" i="34"/>
  <c r="K36" i="34"/>
  <c r="G37" i="34"/>
  <c r="J37" i="34"/>
  <c r="K37" i="34"/>
  <c r="G38" i="34"/>
  <c r="J38" i="34"/>
  <c r="K38" i="34"/>
  <c r="G43" i="33"/>
  <c r="J43" i="33"/>
  <c r="K43" i="33"/>
  <c r="G34" i="9"/>
  <c r="J34" i="9"/>
  <c r="K34" i="9"/>
  <c r="G5" i="57"/>
  <c r="L5" i="57"/>
  <c r="G6" i="57"/>
  <c r="L6" i="57"/>
  <c r="G7" i="57"/>
  <c r="L7" i="57"/>
  <c r="G8" i="57"/>
  <c r="L8" i="57"/>
  <c r="G9" i="57"/>
  <c r="L9" i="57"/>
  <c r="G10" i="57"/>
  <c r="L10" i="57"/>
  <c r="G11" i="57"/>
  <c r="L11" i="57"/>
  <c r="G12" i="57"/>
  <c r="L12" i="57"/>
  <c r="G13" i="57"/>
  <c r="L13" i="57"/>
  <c r="G14" i="57"/>
  <c r="L14" i="57"/>
  <c r="G15" i="57"/>
  <c r="L15" i="57"/>
  <c r="G16" i="57"/>
  <c r="L16" i="57"/>
  <c r="G17" i="57"/>
  <c r="L17" i="57"/>
  <c r="G18" i="57"/>
  <c r="L18" i="57"/>
  <c r="G19" i="57"/>
  <c r="L19" i="57"/>
  <c r="G20" i="57"/>
  <c r="L20" i="57"/>
  <c r="G21" i="57"/>
  <c r="L21" i="57"/>
  <c r="G22" i="57"/>
  <c r="L22" i="57"/>
  <c r="G23" i="57"/>
  <c r="L23" i="57"/>
  <c r="G24" i="57"/>
  <c r="L24" i="57"/>
  <c r="G25" i="57"/>
  <c r="L25" i="57"/>
  <c r="G26" i="57"/>
  <c r="L26" i="57"/>
  <c r="G27" i="57"/>
  <c r="L27" i="57"/>
  <c r="G28" i="57"/>
  <c r="L28" i="57"/>
  <c r="G29" i="57"/>
  <c r="L29" i="57"/>
  <c r="G30" i="57"/>
  <c r="L30" i="57"/>
  <c r="G31" i="57"/>
  <c r="L31" i="57"/>
  <c r="G32" i="57"/>
  <c r="L32" i="57"/>
  <c r="G34" i="60"/>
  <c r="J34" i="60"/>
  <c r="K34" i="60"/>
  <c r="G38" i="41"/>
  <c r="J38" i="41"/>
  <c r="K38" i="41"/>
  <c r="G34" i="36"/>
  <c r="J34" i="36"/>
  <c r="K34" i="36"/>
  <c r="G33" i="37"/>
  <c r="J33" i="37"/>
  <c r="K33" i="37"/>
  <c r="L33" i="37"/>
  <c r="G34" i="37"/>
  <c r="J34" i="37"/>
  <c r="K34" i="37"/>
  <c r="L34" i="37"/>
  <c r="G33" i="15"/>
  <c r="J33" i="15"/>
  <c r="K33" i="15"/>
  <c r="G6" i="14"/>
  <c r="J6" i="14"/>
  <c r="K6" i="14"/>
  <c r="G7" i="14"/>
  <c r="J7" i="14"/>
  <c r="K7" i="14"/>
  <c r="L5" i="40"/>
  <c r="L6" i="40"/>
  <c r="L7" i="40"/>
  <c r="L8" i="40"/>
  <c r="L9" i="40"/>
  <c r="L10" i="40"/>
  <c r="L11" i="40"/>
  <c r="L12" i="40"/>
  <c r="L13" i="40"/>
  <c r="L14" i="40"/>
  <c r="L15" i="40"/>
  <c r="L16" i="40"/>
  <c r="L17" i="40"/>
  <c r="L18" i="40"/>
  <c r="L19" i="40"/>
  <c r="L20" i="40"/>
  <c r="L21" i="40"/>
  <c r="L22" i="40"/>
  <c r="L23" i="40"/>
  <c r="L24" i="40"/>
  <c r="L25" i="40"/>
  <c r="L26" i="40"/>
  <c r="L27" i="40"/>
  <c r="L28" i="40"/>
  <c r="L29" i="40"/>
  <c r="L30" i="40"/>
  <c r="L31" i="40"/>
  <c r="L32" i="40"/>
  <c r="L33" i="40"/>
  <c r="G36" i="61"/>
  <c r="J36" i="61"/>
  <c r="K36" i="61"/>
  <c r="G34" i="3"/>
  <c r="J34" i="3"/>
  <c r="K34" i="3"/>
  <c r="G23" i="7"/>
  <c r="J23" i="7"/>
  <c r="K23" i="7"/>
  <c r="G24" i="7"/>
  <c r="J24" i="7"/>
  <c r="K24" i="7"/>
  <c r="G25" i="7"/>
  <c r="J25" i="7"/>
  <c r="K25" i="7"/>
  <c r="G26" i="7"/>
  <c r="J26" i="7"/>
  <c r="K26" i="7"/>
  <c r="G27" i="7"/>
  <c r="J27" i="7"/>
  <c r="K27" i="7"/>
  <c r="G28" i="7"/>
  <c r="J28" i="7"/>
  <c r="K28" i="7"/>
  <c r="G29" i="7"/>
  <c r="J29" i="7"/>
  <c r="K29" i="7"/>
  <c r="G30" i="7"/>
  <c r="J30" i="7"/>
  <c r="K30" i="7"/>
  <c r="G31" i="7"/>
  <c r="J31" i="7"/>
  <c r="K31" i="7"/>
  <c r="G32" i="7"/>
  <c r="J32" i="7"/>
  <c r="K32" i="7"/>
  <c r="G8" i="1"/>
  <c r="J8" i="1"/>
  <c r="K8" i="1"/>
  <c r="G9" i="1"/>
  <c r="J9" i="1"/>
  <c r="K9" i="1"/>
  <c r="G10" i="1"/>
  <c r="J10" i="1"/>
  <c r="K10" i="1"/>
  <c r="G11" i="1"/>
  <c r="J11" i="1"/>
  <c r="K11" i="1"/>
  <c r="G12" i="1"/>
  <c r="J12" i="1"/>
  <c r="K12" i="1"/>
  <c r="G13" i="1"/>
  <c r="J13" i="1"/>
  <c r="K13" i="1"/>
  <c r="G14" i="1"/>
  <c r="J14" i="1"/>
  <c r="K14" i="1"/>
  <c r="G15" i="1"/>
  <c r="J15" i="1"/>
  <c r="K15" i="1"/>
  <c r="G16" i="1"/>
  <c r="J16" i="1"/>
  <c r="K16" i="1"/>
  <c r="G17" i="1"/>
  <c r="J17" i="1"/>
  <c r="K17" i="1"/>
  <c r="G18" i="1"/>
  <c r="J18" i="1"/>
  <c r="K18" i="1"/>
  <c r="G19" i="1"/>
  <c r="J19" i="1"/>
  <c r="K19" i="1"/>
  <c r="G20" i="1"/>
  <c r="J20" i="1"/>
  <c r="K20" i="1"/>
  <c r="G21" i="1"/>
  <c r="J21" i="1"/>
  <c r="K21" i="1"/>
  <c r="G22" i="1"/>
  <c r="J22" i="1"/>
  <c r="K22" i="1"/>
  <c r="G23" i="1"/>
  <c r="J23" i="1"/>
  <c r="K23" i="1"/>
  <c r="G24" i="1"/>
  <c r="J24" i="1"/>
  <c r="K24" i="1"/>
  <c r="G25" i="1"/>
  <c r="J25" i="1"/>
  <c r="K25" i="1"/>
  <c r="G26" i="1"/>
  <c r="G27" i="1"/>
  <c r="G28" i="1"/>
  <c r="G29" i="1"/>
  <c r="G30" i="1"/>
  <c r="G31" i="1"/>
  <c r="G32" i="1"/>
  <c r="J32" i="1"/>
  <c r="K32" i="1"/>
  <c r="G33" i="1"/>
  <c r="J33" i="1"/>
  <c r="K33" i="1"/>
  <c r="G34" i="1"/>
  <c r="J34" i="1"/>
  <c r="K34" i="1"/>
  <c r="G5" i="54"/>
  <c r="J5" i="54"/>
  <c r="K5" i="54"/>
  <c r="G6" i="54"/>
  <c r="J6" i="54"/>
  <c r="K6" i="54"/>
  <c r="G7" i="54"/>
  <c r="J7" i="54"/>
  <c r="K7" i="54"/>
  <c r="G8" i="54"/>
  <c r="J8" i="54"/>
  <c r="K8" i="54"/>
  <c r="G9" i="54"/>
  <c r="J9" i="54"/>
  <c r="K9" i="54"/>
  <c r="G10" i="54"/>
  <c r="J10" i="54"/>
  <c r="K10" i="54"/>
  <c r="G11" i="54"/>
  <c r="J11" i="54"/>
  <c r="K11" i="54"/>
  <c r="G12" i="54"/>
  <c r="J12" i="54"/>
  <c r="K12" i="54"/>
  <c r="G13" i="54"/>
  <c r="J13" i="54"/>
  <c r="K13" i="54"/>
  <c r="G14" i="54"/>
  <c r="J14" i="54"/>
  <c r="K14" i="54"/>
  <c r="G15" i="54"/>
  <c r="J15" i="54"/>
  <c r="K15" i="54"/>
  <c r="G16" i="54"/>
  <c r="J16" i="54"/>
  <c r="K16" i="54"/>
  <c r="G17" i="54"/>
  <c r="J17" i="54"/>
  <c r="K17" i="54"/>
  <c r="G18" i="54"/>
  <c r="J18" i="54"/>
  <c r="K18" i="54"/>
  <c r="G19" i="54"/>
  <c r="J19" i="54"/>
  <c r="K19" i="54"/>
  <c r="G20" i="54"/>
  <c r="J20" i="54"/>
  <c r="K20" i="54"/>
  <c r="G21" i="54"/>
  <c r="J21" i="54"/>
  <c r="K21" i="54"/>
  <c r="G22" i="54"/>
  <c r="J22" i="54"/>
  <c r="G23" i="54"/>
  <c r="J23" i="54"/>
  <c r="K23" i="54"/>
  <c r="G24" i="54"/>
  <c r="J24" i="54"/>
  <c r="K24" i="54"/>
  <c r="G25" i="54"/>
  <c r="J25" i="54"/>
  <c r="K25" i="54"/>
  <c r="G26" i="54"/>
  <c r="J26" i="54"/>
  <c r="K26" i="54"/>
  <c r="G27" i="54"/>
  <c r="J27" i="54"/>
  <c r="K27" i="54"/>
  <c r="G28" i="54"/>
  <c r="J28" i="54"/>
  <c r="K28" i="54"/>
  <c r="G29" i="54"/>
  <c r="J29" i="54"/>
  <c r="K29" i="54"/>
  <c r="G30" i="54"/>
  <c r="J30" i="54"/>
  <c r="K30" i="54"/>
  <c r="G31" i="54"/>
  <c r="J31" i="54"/>
  <c r="K31" i="54"/>
  <c r="G32" i="54"/>
  <c r="J32" i="54"/>
  <c r="K32" i="54"/>
  <c r="G33" i="54"/>
  <c r="J33" i="54"/>
  <c r="K33" i="54"/>
  <c r="G34" i="54"/>
  <c r="J34" i="54"/>
  <c r="K34" i="54"/>
  <c r="H35" i="37"/>
  <c r="E43" i="35"/>
  <c r="Q34" i="54"/>
  <c r="H40" i="41"/>
  <c r="J34" i="44"/>
  <c r="K34" i="44" s="1"/>
  <c r="I32" i="56"/>
  <c r="I20" i="56"/>
  <c r="H37" i="61"/>
  <c r="F20" i="56" s="1"/>
  <c r="E37" i="61"/>
  <c r="D20" i="56" s="1"/>
  <c r="L37" i="61"/>
  <c r="J20" i="56" s="1"/>
  <c r="J4" i="61"/>
  <c r="J37" i="61" s="1"/>
  <c r="G20" i="56" s="1"/>
  <c r="G4" i="61"/>
  <c r="H35" i="12"/>
  <c r="H46" i="26"/>
  <c r="E35" i="15"/>
  <c r="E35" i="37"/>
  <c r="J42" i="44"/>
  <c r="Q21" i="34"/>
  <c r="E47" i="34"/>
  <c r="G5" i="1"/>
  <c r="G6" i="1"/>
  <c r="G7" i="1"/>
  <c r="I38" i="56"/>
  <c r="I36" i="56"/>
  <c r="H35" i="60"/>
  <c r="F32" i="56" s="1"/>
  <c r="D32" i="56"/>
  <c r="J4" i="60"/>
  <c r="J35" i="60" s="1"/>
  <c r="G32" i="56" s="1"/>
  <c r="G4" i="60"/>
  <c r="I4" i="56"/>
  <c r="I29" i="56"/>
  <c r="I5" i="56"/>
  <c r="I27" i="56"/>
  <c r="I37" i="56"/>
  <c r="I34" i="56"/>
  <c r="G4" i="52"/>
  <c r="K42" i="44"/>
  <c r="G60" i="44"/>
  <c r="G61" i="44"/>
  <c r="G62" i="44"/>
  <c r="G63" i="44"/>
  <c r="G64" i="44"/>
  <c r="G65" i="44"/>
  <c r="G66" i="44"/>
  <c r="G67" i="44"/>
  <c r="G68" i="44"/>
  <c r="G69" i="44"/>
  <c r="G70" i="44"/>
  <c r="G71" i="44"/>
  <c r="G72" i="44"/>
  <c r="G73" i="44"/>
  <c r="G74" i="44"/>
  <c r="G75" i="44"/>
  <c r="G76" i="44"/>
  <c r="G77" i="44"/>
  <c r="G78" i="44"/>
  <c r="G79" i="44"/>
  <c r="J4" i="47"/>
  <c r="G4" i="20"/>
  <c r="L33" i="57"/>
  <c r="L34" i="57"/>
  <c r="J5" i="14"/>
  <c r="K5" i="14"/>
  <c r="H36" i="2"/>
  <c r="P11" i="33"/>
  <c r="I7" i="56"/>
  <c r="F7" i="56"/>
  <c r="E35" i="59"/>
  <c r="D7" i="56" s="1"/>
  <c r="J4" i="59"/>
  <c r="J35" i="59" s="1"/>
  <c r="G7" i="56" s="1"/>
  <c r="G4" i="59"/>
  <c r="L40" i="41"/>
  <c r="I39" i="56"/>
  <c r="I35" i="56"/>
  <c r="I31" i="56"/>
  <c r="I30" i="56"/>
  <c r="I26" i="56"/>
  <c r="I25" i="56"/>
  <c r="I21" i="56"/>
  <c r="I16" i="56"/>
  <c r="I15" i="56"/>
  <c r="I14" i="56"/>
  <c r="I13" i="56"/>
  <c r="I12" i="56"/>
  <c r="G36" i="18"/>
  <c r="M3" i="45"/>
  <c r="M4" i="45" s="1"/>
  <c r="M5" i="45" s="1"/>
  <c r="M6" i="45" s="1"/>
  <c r="M7" i="45" s="1"/>
  <c r="M8" i="45" s="1"/>
  <c r="M9" i="45" s="1"/>
  <c r="M10" i="45" s="1"/>
  <c r="M11" i="45" s="1"/>
  <c r="M12" i="45" s="1"/>
  <c r="M13" i="45" s="1"/>
  <c r="M14" i="45" s="1"/>
  <c r="M15" i="45" s="1"/>
  <c r="J5" i="44"/>
  <c r="K5" i="44"/>
  <c r="J6" i="44"/>
  <c r="K6" i="44"/>
  <c r="J7" i="44"/>
  <c r="K7" i="44"/>
  <c r="J8" i="44"/>
  <c r="K8" i="44"/>
  <c r="J9" i="44"/>
  <c r="K9" i="44"/>
  <c r="J10" i="44"/>
  <c r="K10" i="44"/>
  <c r="J11" i="44"/>
  <c r="K11" i="44"/>
  <c r="J12" i="44"/>
  <c r="K12" i="44"/>
  <c r="J13" i="44"/>
  <c r="K13" i="44"/>
  <c r="J14" i="44"/>
  <c r="K14" i="44"/>
  <c r="J15" i="44"/>
  <c r="K15" i="44"/>
  <c r="J16" i="44"/>
  <c r="K16" i="44"/>
  <c r="J17" i="44"/>
  <c r="K17" i="44"/>
  <c r="J18" i="44"/>
  <c r="K18" i="44"/>
  <c r="J19" i="44"/>
  <c r="J20" i="44"/>
  <c r="K20" i="44"/>
  <c r="J21" i="44"/>
  <c r="K21" i="44"/>
  <c r="J22" i="44"/>
  <c r="J23" i="44"/>
  <c r="K23" i="44"/>
  <c r="J24" i="44"/>
  <c r="K24" i="44"/>
  <c r="J25" i="44"/>
  <c r="J26" i="44"/>
  <c r="K26" i="44"/>
  <c r="J27" i="44"/>
  <c r="J28" i="44"/>
  <c r="K28" i="44"/>
  <c r="J29" i="44"/>
  <c r="K29" i="44"/>
  <c r="J30" i="44"/>
  <c r="K30" i="44"/>
  <c r="J31" i="44"/>
  <c r="K31" i="44"/>
  <c r="J32" i="44"/>
  <c r="K32" i="44"/>
  <c r="J33" i="44"/>
  <c r="K33" i="44"/>
  <c r="J39" i="44"/>
  <c r="J41" i="44"/>
  <c r="K41" i="44"/>
  <c r="K43" i="44"/>
  <c r="J44" i="44"/>
  <c r="K44" i="44"/>
  <c r="J45" i="44"/>
  <c r="K45" i="44"/>
  <c r="J46" i="44"/>
  <c r="K46" i="44"/>
  <c r="J47" i="44"/>
  <c r="K47" i="44"/>
  <c r="J48" i="44"/>
  <c r="K48" i="44"/>
  <c r="J49" i="44"/>
  <c r="K49" i="44"/>
  <c r="J50" i="44"/>
  <c r="K50" i="44"/>
  <c r="J51" i="44"/>
  <c r="K51" i="44"/>
  <c r="J52" i="44"/>
  <c r="K52" i="44"/>
  <c r="J53" i="44"/>
  <c r="K53" i="44"/>
  <c r="J54" i="44"/>
  <c r="K54" i="44"/>
  <c r="J55" i="44"/>
  <c r="K55" i="44"/>
  <c r="J56" i="44"/>
  <c r="K56" i="44"/>
  <c r="J57" i="44"/>
  <c r="K57" i="44"/>
  <c r="J58" i="44"/>
  <c r="K58" i="44"/>
  <c r="J60" i="44"/>
  <c r="K60" i="44"/>
  <c r="J61" i="44"/>
  <c r="K61" i="44"/>
  <c r="J62" i="44"/>
  <c r="K62" i="44"/>
  <c r="J63" i="44"/>
  <c r="K63" i="44"/>
  <c r="G4" i="9"/>
  <c r="G4" i="1"/>
  <c r="K34" i="19"/>
  <c r="L34" i="19"/>
  <c r="G36" i="35"/>
  <c r="J36" i="35"/>
  <c r="K36" i="35"/>
  <c r="L36" i="35"/>
  <c r="G37" i="35"/>
  <c r="J37" i="35"/>
  <c r="K37" i="35"/>
  <c r="L37" i="35"/>
  <c r="G38" i="35"/>
  <c r="J38" i="35"/>
  <c r="K38" i="35"/>
  <c r="L38" i="35"/>
  <c r="G33" i="57"/>
  <c r="G34" i="57"/>
  <c r="G39" i="41"/>
  <c r="J39" i="41"/>
  <c r="K39" i="41"/>
  <c r="G4" i="41"/>
  <c r="G4" i="37"/>
  <c r="G34" i="15"/>
  <c r="J34" i="15"/>
  <c r="K34" i="15"/>
  <c r="G5" i="14"/>
  <c r="M6" i="24"/>
  <c r="M3" i="16"/>
  <c r="M3" i="3"/>
  <c r="G5" i="7"/>
  <c r="J5" i="7"/>
  <c r="G6" i="7"/>
  <c r="J6" i="7"/>
  <c r="G7" i="7"/>
  <c r="J7" i="7"/>
  <c r="G8" i="7"/>
  <c r="J8" i="7"/>
  <c r="G9" i="7"/>
  <c r="J9" i="7"/>
  <c r="G10" i="7"/>
  <c r="J10" i="7"/>
  <c r="G11" i="7"/>
  <c r="J11" i="7"/>
  <c r="G12" i="7"/>
  <c r="J12" i="7"/>
  <c r="G13" i="7"/>
  <c r="J13" i="7"/>
  <c r="G14" i="7"/>
  <c r="J14" i="7"/>
  <c r="G15" i="7"/>
  <c r="J15" i="7"/>
  <c r="G16" i="7"/>
  <c r="J16" i="7"/>
  <c r="G17" i="7"/>
  <c r="J17" i="7"/>
  <c r="G18" i="7"/>
  <c r="J18" i="7"/>
  <c r="G19" i="7"/>
  <c r="J19" i="7"/>
  <c r="G20" i="7"/>
  <c r="J20" i="7"/>
  <c r="G21" i="7"/>
  <c r="J21" i="7"/>
  <c r="G22" i="7"/>
  <c r="J22" i="7"/>
  <c r="G33" i="7"/>
  <c r="J33" i="7"/>
  <c r="J5" i="1"/>
  <c r="K5" i="1"/>
  <c r="J6" i="1"/>
  <c r="K6" i="1"/>
  <c r="J7" i="1"/>
  <c r="K7" i="1"/>
  <c r="J36" i="18"/>
  <c r="K36" i="18"/>
  <c r="G4" i="50"/>
  <c r="J4" i="50"/>
  <c r="K4" i="50"/>
  <c r="H35" i="9"/>
  <c r="G34" i="58"/>
  <c r="J34" i="58"/>
  <c r="K34" i="58"/>
  <c r="L34" i="58"/>
  <c r="J4" i="58"/>
  <c r="G4" i="58"/>
  <c r="H35" i="58"/>
  <c r="F6" i="56" s="1"/>
  <c r="E35" i="58"/>
  <c r="D6" i="56" s="1"/>
  <c r="J35" i="58"/>
  <c r="G6" i="56" s="1"/>
  <c r="H35" i="36"/>
  <c r="E35" i="36"/>
  <c r="D28" i="56"/>
  <c r="H35" i="19"/>
  <c r="E35" i="19"/>
  <c r="H43" i="51"/>
  <c r="E43" i="51"/>
  <c r="F40" i="56"/>
  <c r="D40" i="56"/>
  <c r="F39" i="56"/>
  <c r="D39" i="56"/>
  <c r="D38" i="56"/>
  <c r="D37" i="56"/>
  <c r="E44" i="33"/>
  <c r="D36" i="56" s="1"/>
  <c r="F35" i="56"/>
  <c r="E35" i="9"/>
  <c r="D35" i="56" s="1"/>
  <c r="F34" i="56"/>
  <c r="E46" i="26"/>
  <c r="D34" i="56" s="1"/>
  <c r="H35" i="57"/>
  <c r="F33" i="56" s="1"/>
  <c r="E35" i="57"/>
  <c r="D33" i="56" s="1"/>
  <c r="J4" i="57"/>
  <c r="J35" i="57" s="1"/>
  <c r="G33" i="56" s="1"/>
  <c r="G4" i="57"/>
  <c r="J31" i="56"/>
  <c r="F31" i="56"/>
  <c r="E40" i="41"/>
  <c r="D31" i="56" s="1"/>
  <c r="E35" i="12"/>
  <c r="L35" i="12"/>
  <c r="J30" i="56"/>
  <c r="F30" i="56"/>
  <c r="D30" i="56"/>
  <c r="H45" i="22"/>
  <c r="F25" i="56"/>
  <c r="D25" i="56"/>
  <c r="E35" i="20"/>
  <c r="D17" i="56" s="1"/>
  <c r="I10" i="56"/>
  <c r="H47" i="34"/>
  <c r="F37" i="56" s="1"/>
  <c r="D29" i="56"/>
  <c r="D27" i="56"/>
  <c r="E36" i="14"/>
  <c r="D26" i="56" s="1"/>
  <c r="E35" i="25"/>
  <c r="D24" i="56" s="1"/>
  <c r="E35" i="40"/>
  <c r="D23" i="56" s="1"/>
  <c r="D22" i="56"/>
  <c r="J21" i="56"/>
  <c r="D21" i="56"/>
  <c r="E35" i="24"/>
  <c r="D19" i="56" s="1"/>
  <c r="E35" i="3"/>
  <c r="D16" i="56" s="1"/>
  <c r="E35" i="7"/>
  <c r="D15" i="56" s="1"/>
  <c r="E36" i="16"/>
  <c r="D14" i="56" s="1"/>
  <c r="L36" i="16"/>
  <c r="E35" i="52"/>
  <c r="D13" i="56" s="1"/>
  <c r="E35" i="1"/>
  <c r="D12" i="56" s="1"/>
  <c r="E36" i="2"/>
  <c r="D10" i="56" s="1"/>
  <c r="E35" i="54"/>
  <c r="D5" i="56" s="1"/>
  <c r="L35" i="9"/>
  <c r="J35" i="56" s="1"/>
  <c r="F29" i="56"/>
  <c r="F28" i="56"/>
  <c r="L35" i="11"/>
  <c r="J22" i="56" s="1"/>
  <c r="H35" i="11"/>
  <c r="F22" i="56" s="1"/>
  <c r="F21" i="56"/>
  <c r="G35" i="3"/>
  <c r="E16" i="56" s="1"/>
  <c r="H35" i="3"/>
  <c r="F16" i="56" s="1"/>
  <c r="L35" i="3"/>
  <c r="J16" i="56" s="1"/>
  <c r="H35" i="7"/>
  <c r="F15" i="56" s="1"/>
  <c r="L36" i="2"/>
  <c r="J10" i="56" s="1"/>
  <c r="H37" i="18"/>
  <c r="F4" i="56" s="1"/>
  <c r="E37" i="18"/>
  <c r="D4" i="56" s="1"/>
  <c r="I3" i="56"/>
  <c r="I2" i="56"/>
  <c r="L38" i="50"/>
  <c r="J2" i="56" s="1"/>
  <c r="H38" i="50"/>
  <c r="F2" i="56" s="1"/>
  <c r="E38" i="50"/>
  <c r="D2" i="56" s="1"/>
  <c r="F38" i="56"/>
  <c r="L35" i="15"/>
  <c r="J27" i="56" s="1"/>
  <c r="H35" i="15"/>
  <c r="F27" i="56" s="1"/>
  <c r="L36" i="14"/>
  <c r="J26" i="56" s="1"/>
  <c r="H36" i="14"/>
  <c r="F26" i="56" s="1"/>
  <c r="H35" i="25"/>
  <c r="F24" i="56" s="1"/>
  <c r="J35" i="40"/>
  <c r="G23" i="56" s="1"/>
  <c r="H35" i="40"/>
  <c r="F23" i="56" s="1"/>
  <c r="H35" i="24"/>
  <c r="F19" i="56" s="1"/>
  <c r="H35" i="20"/>
  <c r="F17" i="56" s="1"/>
  <c r="K37" i="16"/>
  <c r="L35" i="52"/>
  <c r="J13" i="56" s="1"/>
  <c r="H35" i="52"/>
  <c r="F13" i="56" s="1"/>
  <c r="H35" i="1"/>
  <c r="F12" i="56" s="1"/>
  <c r="G35" i="1"/>
  <c r="E12" i="56" s="1"/>
  <c r="L35" i="1"/>
  <c r="J12" i="56" s="1"/>
  <c r="F10" i="56"/>
  <c r="E35" i="47"/>
  <c r="D3" i="56" s="1"/>
  <c r="L35" i="47"/>
  <c r="J3" i="56" s="1"/>
  <c r="H35" i="47"/>
  <c r="F3" i="56" s="1"/>
  <c r="L35" i="54"/>
  <c r="J5" i="56" s="1"/>
  <c r="H35" i="54"/>
  <c r="J4" i="54"/>
  <c r="J35" i="54" s="1"/>
  <c r="G4" i="54"/>
  <c r="M3" i="54"/>
  <c r="G4" i="15"/>
  <c r="G35" i="15" s="1"/>
  <c r="E27" i="56" s="1"/>
  <c r="J4" i="44"/>
  <c r="G4" i="44"/>
  <c r="K4" i="44" s="1"/>
  <c r="M4" i="44" s="1"/>
  <c r="J64" i="44"/>
  <c r="K64" i="44"/>
  <c r="J65" i="44"/>
  <c r="K65" i="44"/>
  <c r="J66" i="44"/>
  <c r="K66" i="44"/>
  <c r="J67" i="44"/>
  <c r="K67" i="44"/>
  <c r="J68" i="44"/>
  <c r="K68" i="44"/>
  <c r="J69" i="44"/>
  <c r="J70" i="44"/>
  <c r="K70" i="44"/>
  <c r="J71" i="44"/>
  <c r="J72" i="44"/>
  <c r="K72" i="44"/>
  <c r="J73" i="44"/>
  <c r="K73" i="44"/>
  <c r="J74" i="44"/>
  <c r="K74" i="44"/>
  <c r="J75" i="44"/>
  <c r="K75" i="44"/>
  <c r="J76" i="44"/>
  <c r="K76" i="44"/>
  <c r="J77" i="44"/>
  <c r="K77" i="44"/>
  <c r="J78" i="44"/>
  <c r="K78" i="44"/>
  <c r="J79" i="44"/>
  <c r="K79" i="44"/>
  <c r="G80" i="44"/>
  <c r="J80" i="44"/>
  <c r="K80" i="44"/>
  <c r="G81" i="44"/>
  <c r="J81" i="44"/>
  <c r="K81" i="44"/>
  <c r="G82" i="44"/>
  <c r="J82" i="44"/>
  <c r="K82" i="44"/>
  <c r="G83" i="44"/>
  <c r="J83" i="44"/>
  <c r="K83" i="44"/>
  <c r="G84" i="44"/>
  <c r="J84" i="44"/>
  <c r="K84" i="44"/>
  <c r="G85" i="44"/>
  <c r="J85" i="44"/>
  <c r="K85" i="44"/>
  <c r="G86" i="44"/>
  <c r="J86" i="44"/>
  <c r="K86" i="44"/>
  <c r="G38" i="51"/>
  <c r="J38" i="51"/>
  <c r="K38" i="51"/>
  <c r="L38" i="51" s="1"/>
  <c r="G39" i="51"/>
  <c r="J39" i="51"/>
  <c r="K39" i="51"/>
  <c r="L39" i="51" s="1"/>
  <c r="G40" i="51"/>
  <c r="J40" i="51"/>
  <c r="K40" i="51"/>
  <c r="L40" i="51" s="1"/>
  <c r="G4" i="51"/>
  <c r="G39" i="35"/>
  <c r="J39" i="35"/>
  <c r="K39" i="35"/>
  <c r="G40" i="35"/>
  <c r="J40" i="35"/>
  <c r="K40" i="35"/>
  <c r="G41" i="35"/>
  <c r="J41" i="35"/>
  <c r="K41" i="35"/>
  <c r="G4" i="22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33" i="7"/>
  <c r="M3" i="52"/>
  <c r="J4" i="52"/>
  <c r="K4" i="52"/>
  <c r="M4" i="52"/>
  <c r="M5" i="52"/>
  <c r="M6" i="52"/>
  <c r="M7" i="52"/>
  <c r="M8" i="52"/>
  <c r="M9" i="52"/>
  <c r="M10" i="52"/>
  <c r="M11" i="52"/>
  <c r="M12" i="52"/>
  <c r="M13" i="52"/>
  <c r="M14" i="52"/>
  <c r="M15" i="52"/>
  <c r="M16" i="52"/>
  <c r="M17" i="52"/>
  <c r="M18" i="52"/>
  <c r="M19" i="52"/>
  <c r="M20" i="52"/>
  <c r="M21" i="52"/>
  <c r="M22" i="52"/>
  <c r="M23" i="52"/>
  <c r="M24" i="52"/>
  <c r="M25" i="52"/>
  <c r="M26" i="52"/>
  <c r="M27" i="52"/>
  <c r="M28" i="52"/>
  <c r="M29" i="52"/>
  <c r="M30" i="52"/>
  <c r="M31" i="52"/>
  <c r="J45" i="26"/>
  <c r="J4" i="41"/>
  <c r="J42" i="51"/>
  <c r="G42" i="51"/>
  <c r="K42" i="51" s="1"/>
  <c r="L42" i="51" s="1"/>
  <c r="J41" i="51"/>
  <c r="G41" i="51"/>
  <c r="K41" i="51" s="1"/>
  <c r="L41" i="51" s="1"/>
  <c r="J4" i="51"/>
  <c r="L39" i="35"/>
  <c r="L40" i="35"/>
  <c r="L41" i="35"/>
  <c r="G39" i="34"/>
  <c r="J39" i="34"/>
  <c r="K39" i="34"/>
  <c r="G40" i="34"/>
  <c r="J40" i="34"/>
  <c r="K40" i="34"/>
  <c r="L40" i="34"/>
  <c r="G41" i="34"/>
  <c r="J41" i="34"/>
  <c r="K41" i="34"/>
  <c r="L41" i="34"/>
  <c r="G42" i="34"/>
  <c r="J42" i="34"/>
  <c r="K42" i="34"/>
  <c r="L42" i="34"/>
  <c r="G43" i="34"/>
  <c r="J43" i="34"/>
  <c r="K43" i="34"/>
  <c r="L43" i="34"/>
  <c r="G4" i="34"/>
  <c r="G45" i="26"/>
  <c r="K45" i="26"/>
  <c r="L45" i="26"/>
  <c r="M7" i="24"/>
  <c r="M8" i="24"/>
  <c r="M9" i="24"/>
  <c r="M10" i="24"/>
  <c r="M11" i="24"/>
  <c r="M12" i="24"/>
  <c r="M13" i="24"/>
  <c r="M14" i="24"/>
  <c r="M15" i="24"/>
  <c r="M16" i="24"/>
  <c r="M17" i="24"/>
  <c r="M18" i="24"/>
  <c r="M19" i="24"/>
  <c r="M20" i="24"/>
  <c r="M21" i="24"/>
  <c r="M22" i="24"/>
  <c r="M23" i="24"/>
  <c r="M24" i="24"/>
  <c r="M25" i="24"/>
  <c r="M26" i="24"/>
  <c r="M27" i="24"/>
  <c r="M28" i="24"/>
  <c r="G34" i="7"/>
  <c r="J34" i="7"/>
  <c r="K34" i="7"/>
  <c r="G4" i="47"/>
  <c r="M3" i="50"/>
  <c r="L35" i="36"/>
  <c r="J28" i="56" s="1"/>
  <c r="X16" i="1"/>
  <c r="V21" i="16"/>
  <c r="V20" i="16"/>
  <c r="G4" i="40"/>
  <c r="M5" i="44"/>
  <c r="M6" i="44" s="1"/>
  <c r="M7" i="44" s="1"/>
  <c r="J4" i="25"/>
  <c r="G4" i="25"/>
  <c r="J4" i="24"/>
  <c r="J35" i="24" s="1"/>
  <c r="G19" i="56" s="1"/>
  <c r="G4" i="12"/>
  <c r="G35" i="12" s="1"/>
  <c r="E30" i="56" s="1"/>
  <c r="H36" i="16"/>
  <c r="F14" i="56" s="1"/>
  <c r="L37" i="18"/>
  <c r="J4" i="56" s="1"/>
  <c r="K4" i="56" s="1"/>
  <c r="M3" i="40"/>
  <c r="J4" i="37"/>
  <c r="I38" i="36"/>
  <c r="J4" i="36"/>
  <c r="J35" i="36" s="1"/>
  <c r="G4" i="36"/>
  <c r="G35" i="36" s="1"/>
  <c r="E28" i="56" s="1"/>
  <c r="M3" i="36"/>
  <c r="J42" i="35"/>
  <c r="G42" i="35"/>
  <c r="K42" i="35" s="1"/>
  <c r="L42" i="35" s="1"/>
  <c r="J4" i="35"/>
  <c r="J46" i="34"/>
  <c r="G46" i="34"/>
  <c r="K46" i="34" s="1"/>
  <c r="L46" i="34" s="1"/>
  <c r="J45" i="34"/>
  <c r="G45" i="34"/>
  <c r="K45" i="34" s="1"/>
  <c r="L45" i="34" s="1"/>
  <c r="J44" i="34"/>
  <c r="G44" i="34"/>
  <c r="K44" i="34" s="1"/>
  <c r="L44" i="34" s="1"/>
  <c r="J4" i="34"/>
  <c r="H44" i="33"/>
  <c r="F36" i="56" s="1"/>
  <c r="J4" i="33"/>
  <c r="J44" i="33" s="1"/>
  <c r="G36" i="56" s="1"/>
  <c r="G4" i="33"/>
  <c r="J4" i="10"/>
  <c r="M3" i="9"/>
  <c r="J4" i="22"/>
  <c r="J45" i="22" s="1"/>
  <c r="G25" i="56" s="1"/>
  <c r="L35" i="7"/>
  <c r="J15" i="56" s="1"/>
  <c r="M3" i="1"/>
  <c r="J4" i="18"/>
  <c r="I38" i="15"/>
  <c r="J4" i="26"/>
  <c r="G4" i="26"/>
  <c r="J4" i="9"/>
  <c r="J4" i="15"/>
  <c r="M3" i="20"/>
  <c r="M3" i="22"/>
  <c r="M3" i="25"/>
  <c r="G4" i="7"/>
  <c r="M3" i="2"/>
  <c r="G4" i="24"/>
  <c r="J4" i="20"/>
  <c r="G4" i="19"/>
  <c r="G35" i="19" s="1"/>
  <c r="E40" i="56" s="1"/>
  <c r="J4" i="19"/>
  <c r="K4" i="19"/>
  <c r="J4" i="16"/>
  <c r="G4" i="16"/>
  <c r="J4" i="14"/>
  <c r="G4" i="14"/>
  <c r="K4" i="14"/>
  <c r="J4" i="7"/>
  <c r="J35" i="7" s="1"/>
  <c r="G15" i="56" s="1"/>
  <c r="J4" i="12"/>
  <c r="G4" i="11"/>
  <c r="J4" i="11"/>
  <c r="J35" i="11" s="1"/>
  <c r="G22" i="56" s="1"/>
  <c r="K4" i="11"/>
  <c r="M4" i="11" s="1"/>
  <c r="M5" i="11" s="1"/>
  <c r="G4" i="10"/>
  <c r="J4" i="3"/>
  <c r="J35" i="3" s="1"/>
  <c r="G16" i="56" s="1"/>
  <c r="H16" i="56" s="1"/>
  <c r="K16" i="56" s="1"/>
  <c r="G4" i="3"/>
  <c r="J4" i="2"/>
  <c r="J36" i="2" s="1"/>
  <c r="G10" i="56" s="1"/>
  <c r="G4" i="2"/>
  <c r="G36" i="2" s="1"/>
  <c r="E10" i="56" s="1"/>
  <c r="H10" i="56" s="1"/>
  <c r="J4" i="1"/>
  <c r="J35" i="1" s="1"/>
  <c r="G12" i="56" s="1"/>
  <c r="K4" i="1"/>
  <c r="K35" i="1" s="1"/>
  <c r="M14" i="18" l="1"/>
  <c r="M15" i="18" s="1"/>
  <c r="M16" i="18" s="1"/>
  <c r="M17" i="18" s="1"/>
  <c r="M18" i="18" s="1"/>
  <c r="M19" i="18" s="1"/>
  <c r="M20" i="18" s="1"/>
  <c r="M21" i="18" s="1"/>
  <c r="M22" i="18" s="1"/>
  <c r="M23" i="18" s="1"/>
  <c r="M24" i="18" s="1"/>
  <c r="M25" i="18" s="1"/>
  <c r="M26" i="18" s="1"/>
  <c r="M27" i="18" s="1"/>
  <c r="M28" i="18" s="1"/>
  <c r="M29" i="18" s="1"/>
  <c r="M30" i="18" s="1"/>
  <c r="M31" i="18" s="1"/>
  <c r="M32" i="18" s="1"/>
  <c r="M33" i="18" s="1"/>
  <c r="M34" i="18" s="1"/>
  <c r="M35" i="18" s="1"/>
  <c r="M36" i="18" s="1"/>
  <c r="M30" i="24"/>
  <c r="M31" i="24" s="1"/>
  <c r="M33" i="22"/>
  <c r="M34" i="22" s="1"/>
  <c r="M35" i="22" s="1"/>
  <c r="M36" i="22" s="1"/>
  <c r="M37" i="22" s="1"/>
  <c r="M38" i="22" s="1"/>
  <c r="M39" i="22" s="1"/>
  <c r="M40" i="22" s="1"/>
  <c r="M41" i="22" s="1"/>
  <c r="M42" i="22" s="1"/>
  <c r="M43" i="22" s="1"/>
  <c r="M44" i="22" s="1"/>
  <c r="K71" i="44"/>
  <c r="M32" i="24"/>
  <c r="M33" i="24" s="1"/>
  <c r="K29" i="25"/>
  <c r="K39" i="44"/>
  <c r="K38" i="44"/>
  <c r="K25" i="44"/>
  <c r="K27" i="44"/>
  <c r="M6" i="11"/>
  <c r="G36" i="65"/>
  <c r="E9" i="56" s="1"/>
  <c r="H9" i="56" s="1"/>
  <c r="K9" i="56" s="1"/>
  <c r="K4" i="65"/>
  <c r="G35" i="64"/>
  <c r="E8" i="56" s="1"/>
  <c r="H8" i="56" s="1"/>
  <c r="K8" i="56" s="1"/>
  <c r="K4" i="64"/>
  <c r="J36" i="16"/>
  <c r="G14" i="56" s="1"/>
  <c r="L46" i="26"/>
  <c r="G35" i="63"/>
  <c r="E18" i="56" s="1"/>
  <c r="H18" i="56" s="1"/>
  <c r="K4" i="63"/>
  <c r="M7" i="11"/>
  <c r="M8" i="11" s="1"/>
  <c r="M9" i="11" s="1"/>
  <c r="M10" i="11" s="1"/>
  <c r="M11" i="11" s="1"/>
  <c r="M12" i="11" s="1"/>
  <c r="M13" i="11" s="1"/>
  <c r="M14" i="11" s="1"/>
  <c r="M15" i="11" s="1"/>
  <c r="M16" i="11" s="1"/>
  <c r="M17" i="11" s="1"/>
  <c r="M18" i="11" s="1"/>
  <c r="M19" i="11" s="1"/>
  <c r="G35" i="62"/>
  <c r="E11" i="56" s="1"/>
  <c r="H11" i="56" s="1"/>
  <c r="K11" i="56" s="1"/>
  <c r="K4" i="62"/>
  <c r="I41" i="56"/>
  <c r="G37" i="61"/>
  <c r="E20" i="56" s="1"/>
  <c r="H20" i="56" s="1"/>
  <c r="K20" i="56" s="1"/>
  <c r="K4" i="61"/>
  <c r="G35" i="60"/>
  <c r="E32" i="56" s="1"/>
  <c r="H32" i="56" s="1"/>
  <c r="K4" i="60"/>
  <c r="J43" i="51"/>
  <c r="G39" i="56" s="1"/>
  <c r="G47" i="34"/>
  <c r="E37" i="56" s="1"/>
  <c r="J14" i="56"/>
  <c r="G35" i="59"/>
  <c r="E7" i="56" s="1"/>
  <c r="H7" i="56" s="1"/>
  <c r="K4" i="59"/>
  <c r="M4" i="59" s="1"/>
  <c r="M5" i="59" s="1"/>
  <c r="M6" i="59" s="1"/>
  <c r="M7" i="59" s="1"/>
  <c r="M8" i="59" s="1"/>
  <c r="M9" i="59" s="1"/>
  <c r="M10" i="59" s="1"/>
  <c r="M11" i="59" s="1"/>
  <c r="M12" i="59" s="1"/>
  <c r="M13" i="59" s="1"/>
  <c r="M14" i="59" s="1"/>
  <c r="M15" i="59" s="1"/>
  <c r="M16" i="59" s="1"/>
  <c r="M17" i="59" s="1"/>
  <c r="M18" i="59" s="1"/>
  <c r="M19" i="59" s="1"/>
  <c r="M20" i="59" s="1"/>
  <c r="M21" i="59" s="1"/>
  <c r="M22" i="59" s="1"/>
  <c r="M23" i="59" s="1"/>
  <c r="G37" i="18"/>
  <c r="K4" i="12"/>
  <c r="K35" i="12" s="1"/>
  <c r="J35" i="12"/>
  <c r="G30" i="56" s="1"/>
  <c r="H30" i="56"/>
  <c r="K30" i="56" s="1"/>
  <c r="H12" i="56"/>
  <c r="K12" i="56" s="1"/>
  <c r="J47" i="34"/>
  <c r="G37" i="56" s="1"/>
  <c r="H37" i="56" s="1"/>
  <c r="G44" i="33"/>
  <c r="E36" i="56" s="1"/>
  <c r="H36" i="56" s="1"/>
  <c r="J35" i="9"/>
  <c r="G35" i="56" s="1"/>
  <c r="J46" i="26"/>
  <c r="G34" i="56" s="1"/>
  <c r="G45" i="22"/>
  <c r="E25" i="56" s="1"/>
  <c r="H25" i="56" s="1"/>
  <c r="K4" i="40"/>
  <c r="L4" i="40" s="1"/>
  <c r="G35" i="40"/>
  <c r="E23" i="56" s="1"/>
  <c r="H23" i="56" s="1"/>
  <c r="L35" i="40"/>
  <c r="J23" i="56" s="1"/>
  <c r="K35" i="40"/>
  <c r="J35" i="52"/>
  <c r="G13" i="56" s="1"/>
  <c r="K35" i="52"/>
  <c r="H13" i="56" s="1"/>
  <c r="K13" i="56" s="1"/>
  <c r="G35" i="52"/>
  <c r="K10" i="56"/>
  <c r="J40" i="41"/>
  <c r="G31" i="56" s="1"/>
  <c r="J35" i="15"/>
  <c r="G27" i="56" s="1"/>
  <c r="G35" i="11"/>
  <c r="E22" i="56" s="1"/>
  <c r="G43" i="35"/>
  <c r="E38" i="56" s="1"/>
  <c r="G43" i="51"/>
  <c r="E39" i="56" s="1"/>
  <c r="H39" i="56" s="1"/>
  <c r="J34" i="56"/>
  <c r="G46" i="26"/>
  <c r="E34" i="56" s="1"/>
  <c r="E4" i="56"/>
  <c r="J35" i="19"/>
  <c r="G40" i="56" s="1"/>
  <c r="H40" i="56" s="1"/>
  <c r="H34" i="56"/>
  <c r="J43" i="35"/>
  <c r="G38" i="56" s="1"/>
  <c r="H38" i="56" s="1"/>
  <c r="G35" i="9"/>
  <c r="E35" i="56" s="1"/>
  <c r="G40" i="41"/>
  <c r="E31" i="56" s="1"/>
  <c r="H31" i="56" s="1"/>
  <c r="H27" i="56"/>
  <c r="K27" i="56" s="1"/>
  <c r="G35" i="58"/>
  <c r="E6" i="56" s="1"/>
  <c r="H6" i="56" s="1"/>
  <c r="K4" i="58"/>
  <c r="G35" i="57"/>
  <c r="E33" i="56" s="1"/>
  <c r="H33" i="56" s="1"/>
  <c r="K4" i="57"/>
  <c r="L4" i="57" s="1"/>
  <c r="L35" i="57" s="1"/>
  <c r="J33" i="56" s="1"/>
  <c r="H22" i="56"/>
  <c r="K22" i="56" s="1"/>
  <c r="G35" i="7"/>
  <c r="E15" i="56" s="1"/>
  <c r="J35" i="47"/>
  <c r="G3" i="56" s="1"/>
  <c r="G21" i="56"/>
  <c r="J35" i="37"/>
  <c r="G29" i="56" s="1"/>
  <c r="J36" i="14"/>
  <c r="G26" i="56" s="1"/>
  <c r="G36" i="14"/>
  <c r="E26" i="56" s="1"/>
  <c r="H26" i="56" s="1"/>
  <c r="K26" i="56" s="1"/>
  <c r="J35" i="20"/>
  <c r="G17" i="56" s="1"/>
  <c r="F41" i="56"/>
  <c r="G35" i="47"/>
  <c r="E3" i="56" s="1"/>
  <c r="H3" i="56" s="1"/>
  <c r="K3" i="56" s="1"/>
  <c r="K35" i="19"/>
  <c r="G35" i="20"/>
  <c r="E17" i="56" s="1"/>
  <c r="H17" i="56" s="1"/>
  <c r="J37" i="18"/>
  <c r="G4" i="56" s="1"/>
  <c r="H4" i="56" s="1"/>
  <c r="J38" i="50"/>
  <c r="G2" i="56" s="1"/>
  <c r="G38" i="50"/>
  <c r="E2" i="56" s="1"/>
  <c r="G28" i="56"/>
  <c r="G35" i="25"/>
  <c r="E24" i="56" s="1"/>
  <c r="J35" i="25"/>
  <c r="G24" i="56" s="1"/>
  <c r="H24" i="56" s="1"/>
  <c r="K35" i="11"/>
  <c r="E21" i="56"/>
  <c r="H2" i="56"/>
  <c r="G35" i="54"/>
  <c r="E5" i="56" s="1"/>
  <c r="H5" i="56" s="1"/>
  <c r="K5" i="56" s="1"/>
  <c r="G35" i="24"/>
  <c r="E19" i="56" s="1"/>
  <c r="H19" i="56" s="1"/>
  <c r="G35" i="37"/>
  <c r="E29" i="56" s="1"/>
  <c r="H29" i="56" s="1"/>
  <c r="K4" i="54"/>
  <c r="K4" i="41"/>
  <c r="K36" i="14"/>
  <c r="K4" i="22"/>
  <c r="M4" i="22" s="1"/>
  <c r="M5" i="22" s="1"/>
  <c r="M6" i="22" s="1"/>
  <c r="M8" i="44"/>
  <c r="M9" i="44" s="1"/>
  <c r="M10" i="44" s="1"/>
  <c r="K4" i="51"/>
  <c r="K4" i="24"/>
  <c r="K35" i="24" s="1"/>
  <c r="M11" i="44"/>
  <c r="M12" i="44" s="1"/>
  <c r="M13" i="44" s="1"/>
  <c r="M14" i="44" s="1"/>
  <c r="M15" i="44" s="1"/>
  <c r="M16" i="44" s="1"/>
  <c r="M17" i="44" s="1"/>
  <c r="M18" i="44" s="1"/>
  <c r="M19" i="44" s="1"/>
  <c r="M20" i="44" s="1"/>
  <c r="M21" i="44" s="1"/>
  <c r="M22" i="44" s="1"/>
  <c r="K38" i="50"/>
  <c r="K4" i="47"/>
  <c r="K35" i="47" s="1"/>
  <c r="M4" i="47"/>
  <c r="G36" i="16"/>
  <c r="M5" i="47"/>
  <c r="M6" i="47" s="1"/>
  <c r="M7" i="47" s="1"/>
  <c r="M8" i="47" s="1"/>
  <c r="M9" i="47" s="1"/>
  <c r="M10" i="47" s="1"/>
  <c r="M11" i="47" s="1"/>
  <c r="M12" i="47" s="1"/>
  <c r="M13" i="47" s="1"/>
  <c r="M14" i="47" s="1"/>
  <c r="M15" i="47" s="1"/>
  <c r="M16" i="47" s="1"/>
  <c r="M17" i="47" s="1"/>
  <c r="M18" i="47" s="1"/>
  <c r="M19" i="47" s="1"/>
  <c r="M20" i="47" s="1"/>
  <c r="M21" i="47" s="1"/>
  <c r="M22" i="47" s="1"/>
  <c r="M23" i="47" s="1"/>
  <c r="M24" i="47" s="1"/>
  <c r="M4" i="12"/>
  <c r="K4" i="18"/>
  <c r="K37" i="18" s="1"/>
  <c r="M4" i="18"/>
  <c r="P4" i="18" s="1"/>
  <c r="K4" i="37"/>
  <c r="K4" i="36"/>
  <c r="K35" i="36" s="1"/>
  <c r="K4" i="35"/>
  <c r="M4" i="35" s="1"/>
  <c r="M5" i="35" s="1"/>
  <c r="M6" i="35" s="1"/>
  <c r="M7" i="35" s="1"/>
  <c r="M8" i="35" s="1"/>
  <c r="K4" i="34"/>
  <c r="M4" i="34" s="1"/>
  <c r="K4" i="33"/>
  <c r="L4" i="19"/>
  <c r="L35" i="19" s="1"/>
  <c r="J40" i="56" s="1"/>
  <c r="M5" i="18"/>
  <c r="M6" i="18" s="1"/>
  <c r="M7" i="18" s="1"/>
  <c r="M8" i="18" s="1"/>
  <c r="K4" i="7"/>
  <c r="K35" i="7" s="1"/>
  <c r="M4" i="14"/>
  <c r="M5" i="14" s="1"/>
  <c r="M6" i="14" s="1"/>
  <c r="M7" i="14" s="1"/>
  <c r="M8" i="14" s="1"/>
  <c r="M9" i="14" s="1"/>
  <c r="M10" i="14" s="1"/>
  <c r="M11" i="14" s="1"/>
  <c r="M12" i="14" s="1"/>
  <c r="M13" i="14" s="1"/>
  <c r="M14" i="14" s="1"/>
  <c r="M15" i="14" s="1"/>
  <c r="M16" i="14" s="1"/>
  <c r="M17" i="14" s="1"/>
  <c r="M18" i="14" s="1"/>
  <c r="K4" i="16"/>
  <c r="K4" i="9"/>
  <c r="K4" i="10"/>
  <c r="K4" i="2"/>
  <c r="K36" i="2" s="1"/>
  <c r="K4" i="26"/>
  <c r="M4" i="26" s="1"/>
  <c r="M5" i="12"/>
  <c r="M6" i="12" s="1"/>
  <c r="M7" i="12" s="1"/>
  <c r="M8" i="12" s="1"/>
  <c r="M9" i="12" s="1"/>
  <c r="M10" i="12" s="1"/>
  <c r="M11" i="12" s="1"/>
  <c r="M12" i="12" s="1"/>
  <c r="M13" i="12" s="1"/>
  <c r="M14" i="12" s="1"/>
  <c r="M15" i="12" s="1"/>
  <c r="M4" i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4" i="2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K4" i="20"/>
  <c r="K35" i="20" s="1"/>
  <c r="K4" i="25"/>
  <c r="K4" i="15"/>
  <c r="K35" i="15" s="1"/>
  <c r="K4" i="3"/>
  <c r="K35" i="25" l="1"/>
  <c r="M25" i="47"/>
  <c r="M26" i="47" s="1"/>
  <c r="M27" i="47" s="1"/>
  <c r="M28" i="47" s="1"/>
  <c r="M29" i="47" s="1"/>
  <c r="M30" i="47" s="1"/>
  <c r="M31" i="47" s="1"/>
  <c r="M32" i="47" s="1"/>
  <c r="M33" i="47" s="1"/>
  <c r="M34" i="47" s="1"/>
  <c r="H35" i="56"/>
  <c r="K35" i="56" s="1"/>
  <c r="C50" i="56" a="1"/>
  <c r="C50" i="56" s="1"/>
  <c r="M9" i="35"/>
  <c r="M10" i="35" s="1"/>
  <c r="M11" i="35" s="1"/>
  <c r="M12" i="35" s="1"/>
  <c r="M13" i="35" s="1"/>
  <c r="M14" i="35" s="1"/>
  <c r="M15" i="35" s="1"/>
  <c r="M16" i="35" s="1"/>
  <c r="M17" i="35" s="1"/>
  <c r="H15" i="56"/>
  <c r="M4" i="3"/>
  <c r="M5" i="3" s="1"/>
  <c r="M6" i="3" s="1"/>
  <c r="M7" i="3" s="1"/>
  <c r="M8" i="3" s="1"/>
  <c r="M9" i="3" s="1"/>
  <c r="M10" i="3" s="1"/>
  <c r="M11" i="3" s="1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K35" i="3"/>
  <c r="M20" i="11"/>
  <c r="M21" i="11" s="1"/>
  <c r="M22" i="11" s="1"/>
  <c r="M23" i="11" s="1"/>
  <c r="M24" i="11" s="1"/>
  <c r="M25" i="11" s="1"/>
  <c r="M26" i="11" s="1"/>
  <c r="M27" i="11" s="1"/>
  <c r="M28" i="11" s="1"/>
  <c r="M29" i="11" s="1"/>
  <c r="M30" i="11" s="1"/>
  <c r="M31" i="11" s="1"/>
  <c r="M32" i="11" s="1"/>
  <c r="M33" i="11" s="1"/>
  <c r="M34" i="11" s="1"/>
  <c r="K36" i="65"/>
  <c r="M4" i="65"/>
  <c r="M5" i="65" s="1"/>
  <c r="M6" i="65" s="1"/>
  <c r="M7" i="65" s="1"/>
  <c r="M8" i="65" s="1"/>
  <c r="M9" i="65" s="1"/>
  <c r="M10" i="65" s="1"/>
  <c r="M11" i="65" s="1"/>
  <c r="M12" i="65" s="1"/>
  <c r="M13" i="65" s="1"/>
  <c r="M14" i="65" s="1"/>
  <c r="M15" i="65" s="1"/>
  <c r="M16" i="65" s="1"/>
  <c r="M17" i="65" s="1"/>
  <c r="M18" i="65" s="1"/>
  <c r="M19" i="65" s="1"/>
  <c r="M20" i="65" s="1"/>
  <c r="M21" i="65" s="1"/>
  <c r="M22" i="65" s="1"/>
  <c r="M23" i="65" s="1"/>
  <c r="M24" i="65" s="1"/>
  <c r="M25" i="65" s="1"/>
  <c r="M26" i="65" s="1"/>
  <c r="M27" i="65" s="1"/>
  <c r="M28" i="65" s="1"/>
  <c r="M29" i="65" s="1"/>
  <c r="M30" i="65" s="1"/>
  <c r="M31" i="65" s="1"/>
  <c r="M35" i="65" s="1"/>
  <c r="K35" i="64"/>
  <c r="M5" i="64"/>
  <c r="M6" i="64" s="1"/>
  <c r="M7" i="64" s="1"/>
  <c r="M8" i="64" s="1"/>
  <c r="M12" i="64" s="1"/>
  <c r="M13" i="64" s="1"/>
  <c r="M14" i="64" s="1"/>
  <c r="M15" i="64" s="1"/>
  <c r="M16" i="64" s="1"/>
  <c r="M17" i="64" s="1"/>
  <c r="M18" i="64" s="1"/>
  <c r="M19" i="64" s="1"/>
  <c r="M20" i="64" s="1"/>
  <c r="M21" i="64" s="1"/>
  <c r="M22" i="64" s="1"/>
  <c r="M23" i="64" s="1"/>
  <c r="M24" i="64" s="1"/>
  <c r="M25" i="64" s="1"/>
  <c r="M26" i="64" s="1"/>
  <c r="M27" i="64" s="1"/>
  <c r="M28" i="64" s="1"/>
  <c r="M29" i="64" s="1"/>
  <c r="M30" i="64" s="1"/>
  <c r="M31" i="64" s="1"/>
  <c r="M32" i="64" s="1"/>
  <c r="M33" i="64" s="1"/>
  <c r="M34" i="64" s="1"/>
  <c r="E14" i="56"/>
  <c r="H14" i="56" s="1"/>
  <c r="K14" i="56" s="1"/>
  <c r="K35" i="63"/>
  <c r="L4" i="63"/>
  <c r="L35" i="63" s="1"/>
  <c r="J18" i="56" s="1"/>
  <c r="K18" i="56" s="1"/>
  <c r="M4" i="63"/>
  <c r="M5" i="63" s="1"/>
  <c r="M6" i="63" s="1"/>
  <c r="M7" i="63" s="1"/>
  <c r="M8" i="63" s="1"/>
  <c r="M9" i="63" s="1"/>
  <c r="M10" i="63" s="1"/>
  <c r="M11" i="63" s="1"/>
  <c r="M12" i="63" s="1"/>
  <c r="M13" i="63" s="1"/>
  <c r="M14" i="63" s="1"/>
  <c r="M15" i="63" s="1"/>
  <c r="M16" i="63" s="1"/>
  <c r="M17" i="63" s="1"/>
  <c r="M18" i="63" s="1"/>
  <c r="M19" i="63" s="1"/>
  <c r="M20" i="63" s="1"/>
  <c r="M21" i="63" s="1"/>
  <c r="M22" i="63" s="1"/>
  <c r="M23" i="63" s="1"/>
  <c r="M24" i="63" s="1"/>
  <c r="M25" i="63" s="1"/>
  <c r="M26" i="63" s="1"/>
  <c r="M27" i="63" s="1"/>
  <c r="K35" i="62"/>
  <c r="M4" i="62"/>
  <c r="M5" i="62" s="1"/>
  <c r="M6" i="62" s="1"/>
  <c r="M7" i="62" s="1"/>
  <c r="M8" i="62" s="1"/>
  <c r="M9" i="62" s="1"/>
  <c r="M10" i="62" s="1"/>
  <c r="M11" i="62" s="1"/>
  <c r="M12" i="62" s="1"/>
  <c r="M13" i="62" s="1"/>
  <c r="M14" i="62" s="1"/>
  <c r="M15" i="62" s="1"/>
  <c r="M16" i="62" s="1"/>
  <c r="M17" i="62" s="1"/>
  <c r="M18" i="62" s="1"/>
  <c r="M19" i="62" s="1"/>
  <c r="M20" i="62" s="1"/>
  <c r="M21" i="62" s="1"/>
  <c r="M22" i="62" s="1"/>
  <c r="M23" i="62" s="1"/>
  <c r="M24" i="62" s="1"/>
  <c r="M25" i="62" s="1"/>
  <c r="M26" i="62" s="1"/>
  <c r="M27" i="62" s="1"/>
  <c r="M28" i="62" s="1"/>
  <c r="M29" i="62" s="1"/>
  <c r="M30" i="62" s="1"/>
  <c r="M31" i="62" s="1"/>
  <c r="M32" i="62" s="1"/>
  <c r="M33" i="62" s="1"/>
  <c r="L43" i="51"/>
  <c r="J39" i="56" s="1"/>
  <c r="K39" i="56" s="1"/>
  <c r="M4" i="51"/>
  <c r="M5" i="51" s="1"/>
  <c r="M6" i="51" s="1"/>
  <c r="M7" i="51" s="1"/>
  <c r="M8" i="51" s="1"/>
  <c r="M9" i="51" s="1"/>
  <c r="M10" i="51" s="1"/>
  <c r="M11" i="51" s="1"/>
  <c r="M12" i="51" s="1"/>
  <c r="M13" i="51" s="1"/>
  <c r="M14" i="51" s="1"/>
  <c r="M15" i="51" s="1"/>
  <c r="M16" i="51" s="1"/>
  <c r="M17" i="51" s="1"/>
  <c r="M18" i="51" s="1"/>
  <c r="M19" i="51" s="1"/>
  <c r="K43" i="51"/>
  <c r="K34" i="56"/>
  <c r="K37" i="61"/>
  <c r="M4" i="61"/>
  <c r="M5" i="61" s="1"/>
  <c r="M6" i="61" s="1"/>
  <c r="M7" i="61" s="1"/>
  <c r="M8" i="61" s="1"/>
  <c r="M9" i="61" s="1"/>
  <c r="M10" i="61" s="1"/>
  <c r="M11" i="61" s="1"/>
  <c r="M12" i="61" s="1"/>
  <c r="M13" i="61" s="1"/>
  <c r="K31" i="56"/>
  <c r="K35" i="60"/>
  <c r="K46" i="26"/>
  <c r="M4" i="10"/>
  <c r="M5" i="10" s="1"/>
  <c r="M6" i="10" s="1"/>
  <c r="K44" i="33"/>
  <c r="K35" i="9"/>
  <c r="M4" i="9"/>
  <c r="K33" i="56"/>
  <c r="M19" i="14"/>
  <c r="M20" i="14" s="1"/>
  <c r="M21" i="14" s="1"/>
  <c r="M22" i="14" s="1"/>
  <c r="M23" i="14" s="1"/>
  <c r="M24" i="14" s="1"/>
  <c r="M25" i="14" s="1"/>
  <c r="M26" i="14" s="1"/>
  <c r="M27" i="14" s="1"/>
  <c r="M28" i="14" s="1"/>
  <c r="M29" i="14" s="1"/>
  <c r="M30" i="14" s="1"/>
  <c r="M31" i="14" s="1"/>
  <c r="M32" i="14" s="1"/>
  <c r="M33" i="14" s="1"/>
  <c r="M34" i="14" s="1"/>
  <c r="M35" i="14" s="1"/>
  <c r="Q35" i="14" s="1"/>
  <c r="K47" i="34"/>
  <c r="E13" i="56"/>
  <c r="K35" i="59"/>
  <c r="M16" i="12"/>
  <c r="M17" i="12" s="1"/>
  <c r="M18" i="12" s="1"/>
  <c r="M19" i="12" s="1"/>
  <c r="M20" i="12" s="1"/>
  <c r="M21" i="12" s="1"/>
  <c r="M22" i="12" s="1"/>
  <c r="M23" i="12" s="1"/>
  <c r="M24" i="12" s="1"/>
  <c r="M25" i="12" s="1"/>
  <c r="M26" i="12" s="1"/>
  <c r="M27" i="12" s="1"/>
  <c r="M28" i="12" s="1"/>
  <c r="M29" i="12" s="1"/>
  <c r="M30" i="12" s="1"/>
  <c r="M31" i="12" s="1"/>
  <c r="M32" i="12" s="1"/>
  <c r="M33" i="12" s="1"/>
  <c r="M34" i="12" s="1"/>
  <c r="K35" i="37"/>
  <c r="K23" i="56"/>
  <c r="H21" i="56"/>
  <c r="K21" i="56" s="1"/>
  <c r="M4" i="41"/>
  <c r="M5" i="41" s="1"/>
  <c r="M6" i="41" s="1"/>
  <c r="M7" i="41" s="1"/>
  <c r="M8" i="41" s="1"/>
  <c r="M9" i="41" s="1"/>
  <c r="M10" i="41" s="1"/>
  <c r="K40" i="41"/>
  <c r="M4" i="16"/>
  <c r="K36" i="16"/>
  <c r="K40" i="56"/>
  <c r="K35" i="58"/>
  <c r="L4" i="58"/>
  <c r="L35" i="58" s="1"/>
  <c r="J6" i="56" s="1"/>
  <c r="H28" i="56"/>
  <c r="K35" i="57"/>
  <c r="M4" i="57"/>
  <c r="M5" i="57" s="1"/>
  <c r="M6" i="57" s="1"/>
  <c r="M7" i="57" s="1"/>
  <c r="M8" i="57" s="1"/>
  <c r="M9" i="57" s="1"/>
  <c r="M10" i="57" s="1"/>
  <c r="M11" i="57" s="1"/>
  <c r="M12" i="57" s="1"/>
  <c r="M13" i="57" s="1"/>
  <c r="M14" i="57" s="1"/>
  <c r="M15" i="57" s="1"/>
  <c r="M16" i="57" s="1"/>
  <c r="M17" i="57" s="1"/>
  <c r="M18" i="57" s="1"/>
  <c r="M19" i="57" s="1"/>
  <c r="M20" i="57" s="1"/>
  <c r="M21" i="57" s="1"/>
  <c r="M22" i="57" s="1"/>
  <c r="M23" i="57" s="1"/>
  <c r="M24" i="57" s="1"/>
  <c r="M25" i="57" s="1"/>
  <c r="M26" i="57" s="1"/>
  <c r="M27" i="57" s="1"/>
  <c r="M28" i="57" s="1"/>
  <c r="M29" i="57" s="1"/>
  <c r="M30" i="57" s="1"/>
  <c r="M31" i="57" s="1"/>
  <c r="M32" i="57" s="1"/>
  <c r="M33" i="57" s="1"/>
  <c r="M34" i="57" s="1"/>
  <c r="K45" i="22"/>
  <c r="K28" i="56"/>
  <c r="K2" i="56"/>
  <c r="M23" i="44"/>
  <c r="M24" i="44" s="1"/>
  <c r="M25" i="44" s="1"/>
  <c r="M26" i="44" s="1"/>
  <c r="M27" i="44" s="1"/>
  <c r="M28" i="44" s="1"/>
  <c r="M29" i="44" s="1"/>
  <c r="M30" i="44" s="1"/>
  <c r="M31" i="44" s="1"/>
  <c r="M32" i="44" s="1"/>
  <c r="M33" i="44" s="1"/>
  <c r="K35" i="54"/>
  <c r="M4" i="54"/>
  <c r="M5" i="54" s="1"/>
  <c r="M6" i="54" s="1"/>
  <c r="M7" i="54" s="1"/>
  <c r="M5" i="26"/>
  <c r="M6" i="26" s="1"/>
  <c r="M7" i="26" s="1"/>
  <c r="M8" i="26" s="1"/>
  <c r="M9" i="26" s="1"/>
  <c r="M10" i="26" s="1"/>
  <c r="M11" i="26" s="1"/>
  <c r="M12" i="26" s="1"/>
  <c r="M13" i="26" s="1"/>
  <c r="M14" i="26" s="1"/>
  <c r="M15" i="26" s="1"/>
  <c r="M16" i="26" s="1"/>
  <c r="M17" i="26" s="1"/>
  <c r="M18" i="26" s="1"/>
  <c r="M19" i="26" s="1"/>
  <c r="M20" i="26" s="1"/>
  <c r="M21" i="26" s="1"/>
  <c r="M22" i="26" s="1"/>
  <c r="M23" i="26" s="1"/>
  <c r="M24" i="26" s="1"/>
  <c r="M25" i="26" s="1"/>
  <c r="M26" i="26" s="1"/>
  <c r="M27" i="26" s="1"/>
  <c r="M28" i="26" s="1"/>
  <c r="M29" i="26" s="1"/>
  <c r="M30" i="26" s="1"/>
  <c r="M31" i="26" s="1"/>
  <c r="M32" i="26" s="1"/>
  <c r="M33" i="26" s="1"/>
  <c r="M34" i="26" s="1"/>
  <c r="M35" i="26" s="1"/>
  <c r="M36" i="26" s="1"/>
  <c r="M37" i="26" s="1"/>
  <c r="M38" i="26" s="1"/>
  <c r="M39" i="26" s="1"/>
  <c r="M40" i="26" s="1"/>
  <c r="M41" i="26" s="1"/>
  <c r="M42" i="26" s="1"/>
  <c r="M43" i="26" s="1"/>
  <c r="M44" i="26" s="1"/>
  <c r="M45" i="26" s="1"/>
  <c r="L4" i="24"/>
  <c r="M4" i="24" s="1"/>
  <c r="M35" i="24" s="1"/>
  <c r="K19" i="56" s="1"/>
  <c r="M4" i="50"/>
  <c r="L4" i="25"/>
  <c r="M5" i="16"/>
  <c r="M6" i="16" s="1"/>
  <c r="M7" i="16"/>
  <c r="M8" i="16" s="1"/>
  <c r="M9" i="16" s="1"/>
  <c r="M10" i="16" s="1"/>
  <c r="M11" i="16" s="1"/>
  <c r="M12" i="16" s="1"/>
  <c r="M13" i="16" s="1"/>
  <c r="M14" i="16" s="1"/>
  <c r="M15" i="16" s="1"/>
  <c r="M16" i="16" s="1"/>
  <c r="M17" i="16" s="1"/>
  <c r="M18" i="16" s="1"/>
  <c r="M19" i="16" s="1"/>
  <c r="M20" i="16" s="1"/>
  <c r="M21" i="16" s="1"/>
  <c r="M22" i="16" s="1"/>
  <c r="M23" i="16" s="1"/>
  <c r="M24" i="16" s="1"/>
  <c r="M25" i="16" s="1"/>
  <c r="M26" i="16" s="1"/>
  <c r="M27" i="16" s="1"/>
  <c r="M28" i="16" s="1"/>
  <c r="M29" i="16" s="1"/>
  <c r="M30" i="16" s="1"/>
  <c r="M31" i="16" s="1"/>
  <c r="M32" i="16" s="1"/>
  <c r="M33" i="16" s="1"/>
  <c r="M34" i="16" s="1"/>
  <c r="M35" i="16" s="1"/>
  <c r="M4" i="36"/>
  <c r="M5" i="36" s="1"/>
  <c r="M6" i="36" s="1"/>
  <c r="M7" i="36" s="1"/>
  <c r="M8" i="36" s="1"/>
  <c r="M9" i="36" s="1"/>
  <c r="M10" i="36" s="1"/>
  <c r="M11" i="36" s="1"/>
  <c r="M12" i="36" s="1"/>
  <c r="M13" i="36" s="1"/>
  <c r="M14" i="36" s="1"/>
  <c r="M15" i="36" s="1"/>
  <c r="M16" i="36" s="1"/>
  <c r="M17" i="36" s="1"/>
  <c r="M18" i="36" s="1"/>
  <c r="M19" i="36" s="1"/>
  <c r="M20" i="36" s="1"/>
  <c r="M21" i="36" s="1"/>
  <c r="M22" i="36" s="1"/>
  <c r="M23" i="36" s="1"/>
  <c r="M24" i="36" s="1"/>
  <c r="M25" i="36" s="1"/>
  <c r="M27" i="36" s="1"/>
  <c r="M28" i="36" s="1"/>
  <c r="M29" i="36" s="1"/>
  <c r="M30" i="36" s="1"/>
  <c r="M31" i="36" s="1"/>
  <c r="M32" i="36" s="1"/>
  <c r="M33" i="36" s="1"/>
  <c r="K43" i="35"/>
  <c r="L43" i="35"/>
  <c r="J38" i="56" s="1"/>
  <c r="K38" i="56" s="1"/>
  <c r="M9" i="18"/>
  <c r="M10" i="18" s="1"/>
  <c r="M11" i="18" s="1"/>
  <c r="M4" i="7"/>
  <c r="M5" i="7" s="1"/>
  <c r="M6" i="7" s="1"/>
  <c r="M7" i="7" s="1"/>
  <c r="M8" i="7" s="1"/>
  <c r="M9" i="7" s="1"/>
  <c r="M10" i="7" s="1"/>
  <c r="M11" i="7" s="1"/>
  <c r="M12" i="7" s="1"/>
  <c r="M13" i="7" s="1"/>
  <c r="M14" i="7" s="1"/>
  <c r="M15" i="7" s="1"/>
  <c r="M16" i="7" s="1"/>
  <c r="M17" i="7" s="1"/>
  <c r="M18" i="7" s="1"/>
  <c r="M19" i="7" s="1"/>
  <c r="M20" i="7" s="1"/>
  <c r="M21" i="7" s="1"/>
  <c r="M22" i="7" s="1"/>
  <c r="M23" i="7" s="1"/>
  <c r="M24" i="7" s="1"/>
  <c r="M25" i="7" s="1"/>
  <c r="M26" i="7" s="1"/>
  <c r="M27" i="7" s="1"/>
  <c r="M28" i="7" s="1"/>
  <c r="M29" i="7" s="1"/>
  <c r="M30" i="7" s="1"/>
  <c r="M31" i="7" s="1"/>
  <c r="M32" i="7" s="1"/>
  <c r="M33" i="7" s="1"/>
  <c r="M5" i="9"/>
  <c r="M6" i="9" s="1"/>
  <c r="M7" i="9" s="1"/>
  <c r="M8" i="9" s="1"/>
  <c r="M9" i="9" s="1"/>
  <c r="M10" i="9" s="1"/>
  <c r="M11" i="9" s="1"/>
  <c r="M12" i="9" s="1"/>
  <c r="M7" i="10"/>
  <c r="M8" i="10" s="1"/>
  <c r="M9" i="10" s="1"/>
  <c r="M10" i="10" s="1"/>
  <c r="M11" i="10" s="1"/>
  <c r="M12" i="10" s="1"/>
  <c r="M13" i="10" s="1"/>
  <c r="M14" i="10" s="1"/>
  <c r="M15" i="10" s="1"/>
  <c r="M16" i="10" s="1"/>
  <c r="M17" i="10" s="1"/>
  <c r="M19" i="10" s="1"/>
  <c r="M20" i="10" s="1"/>
  <c r="M21" i="10" s="1"/>
  <c r="M22" i="10" s="1"/>
  <c r="M23" i="10" s="1"/>
  <c r="M24" i="10" s="1"/>
  <c r="M25" i="10" s="1"/>
  <c r="M26" i="10" s="1"/>
  <c r="M27" i="10" s="1"/>
  <c r="M28" i="10" s="1"/>
  <c r="M29" i="10" s="1"/>
  <c r="M30" i="10" s="1"/>
  <c r="M31" i="10" s="1"/>
  <c r="M32" i="10" s="1"/>
  <c r="M33" i="10" s="1"/>
  <c r="M34" i="10" s="1"/>
  <c r="M4" i="15"/>
  <c r="M5" i="15" s="1"/>
  <c r="M6" i="15" s="1"/>
  <c r="M7" i="15" s="1"/>
  <c r="M8" i="15" s="1"/>
  <c r="M9" i="15" s="1"/>
  <c r="M10" i="15" s="1"/>
  <c r="M11" i="15" s="1"/>
  <c r="M12" i="15" s="1"/>
  <c r="M13" i="15" s="1"/>
  <c r="M14" i="15" s="1"/>
  <c r="M15" i="15" s="1"/>
  <c r="L4" i="20"/>
  <c r="L35" i="20" s="1"/>
  <c r="J17" i="56" s="1"/>
  <c r="K17" i="56" s="1"/>
  <c r="M11" i="41" l="1"/>
  <c r="M12" i="41" s="1"/>
  <c r="M13" i="41" s="1"/>
  <c r="M14" i="41" s="1"/>
  <c r="M15" i="41" s="1"/>
  <c r="M16" i="41" s="1"/>
  <c r="M17" i="41" s="1"/>
  <c r="M18" i="41" s="1"/>
  <c r="M19" i="41" s="1"/>
  <c r="L35" i="25"/>
  <c r="J24" i="56" s="1"/>
  <c r="K24" i="56" s="1"/>
  <c r="M4" i="25"/>
  <c r="M5" i="25" s="1"/>
  <c r="M6" i="25" s="1"/>
  <c r="M7" i="25" s="1"/>
  <c r="M8" i="25" s="1"/>
  <c r="M9" i="25" s="1"/>
  <c r="M10" i="25" s="1"/>
  <c r="M11" i="25" s="1"/>
  <c r="M12" i="25" s="1"/>
  <c r="M13" i="25" s="1"/>
  <c r="M14" i="25" s="1"/>
  <c r="M15" i="25" s="1"/>
  <c r="M16" i="25" s="1"/>
  <c r="M17" i="25" s="1"/>
  <c r="M18" i="25" s="1"/>
  <c r="M19" i="25" s="1"/>
  <c r="M20" i="25" s="1"/>
  <c r="M21" i="25" s="1"/>
  <c r="M22" i="25" s="1"/>
  <c r="M23" i="25" s="1"/>
  <c r="M24" i="25" s="1"/>
  <c r="M25" i="25" s="1"/>
  <c r="M26" i="25" s="1"/>
  <c r="M27" i="25" s="1"/>
  <c r="M28" i="25" s="1"/>
  <c r="M29" i="25" s="1"/>
  <c r="M30" i="25" s="1"/>
  <c r="M31" i="25" s="1"/>
  <c r="M32" i="25" s="1"/>
  <c r="M33" i="25" s="1"/>
  <c r="M34" i="25" s="1"/>
  <c r="K15" i="56"/>
  <c r="B47" i="56" a="1"/>
  <c r="B47" i="56" s="1"/>
  <c r="M20" i="51"/>
  <c r="M21" i="51" s="1"/>
  <c r="M22" i="51" s="1"/>
  <c r="M23" i="51" s="1"/>
  <c r="M24" i="51" s="1"/>
  <c r="M25" i="51" s="1"/>
  <c r="M26" i="51" s="1"/>
  <c r="M27" i="51" s="1"/>
  <c r="M28" i="51" s="1"/>
  <c r="M29" i="51" s="1"/>
  <c r="M30" i="51" s="1"/>
  <c r="M31" i="51" s="1"/>
  <c r="M32" i="51" s="1"/>
  <c r="M33" i="51" s="1"/>
  <c r="M14" i="61"/>
  <c r="M15" i="61" s="1"/>
  <c r="M16" i="61"/>
  <c r="M17" i="61" s="1"/>
  <c r="M18" i="61" s="1"/>
  <c r="M19" i="61" s="1"/>
  <c r="M20" i="61" s="1"/>
  <c r="M21" i="61" s="1"/>
  <c r="M22" i="61" s="1"/>
  <c r="M23" i="61" s="1"/>
  <c r="M24" i="61" s="1"/>
  <c r="M25" i="61" s="1"/>
  <c r="M26" i="61" s="1"/>
  <c r="M27" i="61" s="1"/>
  <c r="M28" i="61" s="1"/>
  <c r="M29" i="61" s="1"/>
  <c r="M30" i="61" s="1"/>
  <c r="M31" i="61" s="1"/>
  <c r="M32" i="61" s="1"/>
  <c r="L35" i="37"/>
  <c r="J29" i="56" s="1"/>
  <c r="K29" i="56" s="1"/>
  <c r="M4" i="37"/>
  <c r="M5" i="37" s="1"/>
  <c r="M6" i="37" s="1"/>
  <c r="M7" i="37" s="1"/>
  <c r="M8" i="37" s="1"/>
  <c r="M9" i="37" s="1"/>
  <c r="M10" i="37" s="1"/>
  <c r="M11" i="37" s="1"/>
  <c r="M12" i="37" s="1"/>
  <c r="M13" i="37" s="1"/>
  <c r="M14" i="37" s="1"/>
  <c r="M15" i="37" s="1"/>
  <c r="M16" i="37" s="1"/>
  <c r="M17" i="37" s="1"/>
  <c r="M18" i="37" s="1"/>
  <c r="M19" i="37" s="1"/>
  <c r="M20" i="37" s="1"/>
  <c r="M21" i="37" s="1"/>
  <c r="M22" i="37" s="1"/>
  <c r="M23" i="37" s="1"/>
  <c r="M24" i="37" s="1"/>
  <c r="M25" i="37" s="1"/>
  <c r="M26" i="37" s="1"/>
  <c r="M27" i="37" s="1"/>
  <c r="M28" i="37" s="1"/>
  <c r="M29" i="37" s="1"/>
  <c r="M30" i="37" s="1"/>
  <c r="M31" i="37" s="1"/>
  <c r="M32" i="37" s="1"/>
  <c r="M33" i="37" s="1"/>
  <c r="M34" i="37" s="1"/>
  <c r="M20" i="41"/>
  <c r="M21" i="41" s="1"/>
  <c r="M22" i="41" s="1"/>
  <c r="M23" i="41" s="1"/>
  <c r="M24" i="41" s="1"/>
  <c r="M25" i="41" s="1"/>
  <c r="M26" i="41" s="1"/>
  <c r="M27" i="41" s="1"/>
  <c r="M28" i="41" s="1"/>
  <c r="M29" i="41" s="1"/>
  <c r="M30" i="41" s="1"/>
  <c r="M31" i="41" s="1"/>
  <c r="M32" i="41" s="1"/>
  <c r="M33" i="41" s="1"/>
  <c r="M34" i="41" s="1"/>
  <c r="M35" i="41" s="1"/>
  <c r="M36" i="41" s="1"/>
  <c r="M37" i="41" s="1"/>
  <c r="M38" i="41" s="1"/>
  <c r="M39" i="41" s="1"/>
  <c r="P19" i="41"/>
  <c r="L35" i="60"/>
  <c r="J32" i="56" s="1"/>
  <c r="K32" i="56" s="1"/>
  <c r="M4" i="60"/>
  <c r="M5" i="60" s="1"/>
  <c r="M6" i="60" s="1"/>
  <c r="M7" i="60" s="1"/>
  <c r="M8" i="60" s="1"/>
  <c r="M9" i="60" s="1"/>
  <c r="M10" i="60" s="1"/>
  <c r="M11" i="60" s="1"/>
  <c r="M12" i="60" s="1"/>
  <c r="M13" i="60" s="1"/>
  <c r="M14" i="60" s="1"/>
  <c r="M15" i="60" s="1"/>
  <c r="M17" i="60" s="1"/>
  <c r="M18" i="60" s="1"/>
  <c r="M19" i="60" s="1"/>
  <c r="M20" i="60" s="1"/>
  <c r="M8" i="54"/>
  <c r="M9" i="54" s="1"/>
  <c r="M10" i="54" s="1"/>
  <c r="M11" i="54" s="1"/>
  <c r="M12" i="54" s="1"/>
  <c r="M13" i="54" s="1"/>
  <c r="M14" i="54" s="1"/>
  <c r="M15" i="54" s="1"/>
  <c r="M16" i="54" s="1"/>
  <c r="M17" i="54" s="1"/>
  <c r="M18" i="54" s="1"/>
  <c r="M19" i="54" s="1"/>
  <c r="M20" i="54" s="1"/>
  <c r="M21" i="54" s="1"/>
  <c r="M22" i="54" s="1"/>
  <c r="M23" i="54" s="1"/>
  <c r="M24" i="54" s="1"/>
  <c r="M25" i="54" s="1"/>
  <c r="M26" i="54" s="1"/>
  <c r="M27" i="54" s="1"/>
  <c r="M28" i="54" s="1"/>
  <c r="M29" i="54" s="1"/>
  <c r="M30" i="54" s="1"/>
  <c r="M31" i="54" s="1"/>
  <c r="M32" i="54" s="1"/>
  <c r="M33" i="54" s="1"/>
  <c r="M34" i="54" s="1"/>
  <c r="M7" i="22"/>
  <c r="M8" i="22" s="1"/>
  <c r="M9" i="22" s="1"/>
  <c r="M10" i="22" s="1"/>
  <c r="M11" i="22" s="1"/>
  <c r="M12" i="22" s="1"/>
  <c r="M13" i="22" s="1"/>
  <c r="M14" i="22" s="1"/>
  <c r="M15" i="22" s="1"/>
  <c r="M16" i="22" s="1"/>
  <c r="M17" i="22" s="1"/>
  <c r="M18" i="22" s="1"/>
  <c r="M19" i="22" s="1"/>
  <c r="M20" i="22" s="1"/>
  <c r="M21" i="22" s="1"/>
  <c r="M22" i="22" s="1"/>
  <c r="M23" i="22" s="1"/>
  <c r="M24" i="22" s="1"/>
  <c r="M25" i="22" s="1"/>
  <c r="M26" i="22" s="1"/>
  <c r="M27" i="22" s="1"/>
  <c r="M28" i="22" s="1"/>
  <c r="M29" i="22" s="1"/>
  <c r="L35" i="59"/>
  <c r="J7" i="56" s="1"/>
  <c r="K7" i="56" s="1"/>
  <c r="M24" i="59"/>
  <c r="M25" i="59" s="1"/>
  <c r="M26" i="59" s="1"/>
  <c r="M27" i="59" s="1"/>
  <c r="M28" i="59" s="1"/>
  <c r="M29" i="59" s="1"/>
  <c r="M30" i="59" s="1"/>
  <c r="M31" i="59" s="1"/>
  <c r="M32" i="59" s="1"/>
  <c r="M33" i="59" s="1"/>
  <c r="M34" i="59" s="1"/>
  <c r="L44" i="33"/>
  <c r="J36" i="56" s="1"/>
  <c r="K36" i="56" s="1"/>
  <c r="M4" i="33"/>
  <c r="L47" i="34"/>
  <c r="J37" i="56" s="1"/>
  <c r="M5" i="34"/>
  <c r="M6" i="34" s="1"/>
  <c r="M7" i="34" s="1"/>
  <c r="M8" i="34" s="1"/>
  <c r="M9" i="34" s="1"/>
  <c r="M10" i="34" s="1"/>
  <c r="M11" i="34" s="1"/>
  <c r="M12" i="34" s="1"/>
  <c r="M13" i="34" s="1"/>
  <c r="M14" i="34" s="1"/>
  <c r="M15" i="34" s="1"/>
  <c r="M16" i="34" s="1"/>
  <c r="M17" i="34" s="1"/>
  <c r="M18" i="34" s="1"/>
  <c r="M19" i="34" s="1"/>
  <c r="M20" i="34" s="1"/>
  <c r="M21" i="34" s="1"/>
  <c r="M22" i="34" s="1"/>
  <c r="M23" i="34" s="1"/>
  <c r="M24" i="34" s="1"/>
  <c r="M25" i="34" s="1"/>
  <c r="M26" i="34" s="1"/>
  <c r="M27" i="34" s="1"/>
  <c r="M28" i="34" s="1"/>
  <c r="K6" i="56"/>
  <c r="L45" i="22"/>
  <c r="J25" i="56" s="1"/>
  <c r="M5" i="50"/>
  <c r="M6" i="50" s="1"/>
  <c r="M7" i="50" s="1"/>
  <c r="M8" i="50" s="1"/>
  <c r="M9" i="50" s="1"/>
  <c r="M10" i="50" s="1"/>
  <c r="M11" i="50" s="1"/>
  <c r="M12" i="50" s="1"/>
  <c r="M13" i="50" s="1"/>
  <c r="M13" i="9"/>
  <c r="M14" i="9" s="1"/>
  <c r="M15" i="9" s="1"/>
  <c r="M16" i="9" s="1"/>
  <c r="M17" i="9" s="1"/>
  <c r="M18" i="9" s="1"/>
  <c r="M19" i="9" s="1"/>
  <c r="M20" i="9" s="1"/>
  <c r="M21" i="9" s="1"/>
  <c r="M22" i="9" s="1"/>
  <c r="M23" i="9" s="1"/>
  <c r="M24" i="9" s="1"/>
  <c r="M25" i="9" s="1"/>
  <c r="M26" i="9" s="1"/>
  <c r="M27" i="9" s="1"/>
  <c r="M34" i="51"/>
  <c r="M35" i="51" s="1"/>
  <c r="M36" i="51" s="1"/>
  <c r="M37" i="51" s="1"/>
  <c r="M38" i="51" s="1"/>
  <c r="M39" i="51" s="1"/>
  <c r="L47" i="35"/>
  <c r="M16" i="15"/>
  <c r="M17" i="15" s="1"/>
  <c r="M18" i="15" s="1"/>
  <c r="M19" i="15" s="1"/>
  <c r="M20" i="15" s="1"/>
  <c r="M21" i="15" s="1"/>
  <c r="M22" i="15"/>
  <c r="M23" i="15" s="1"/>
  <c r="M24" i="15" s="1"/>
  <c r="M25" i="15" s="1"/>
  <c r="M26" i="15" s="1"/>
  <c r="M27" i="15" s="1"/>
  <c r="M28" i="15" s="1"/>
  <c r="M29" i="15" s="1"/>
  <c r="M30" i="15" s="1"/>
  <c r="M31" i="15" s="1"/>
  <c r="M32" i="15" s="1"/>
  <c r="M33" i="15" s="1"/>
  <c r="M34" i="15" s="1"/>
  <c r="M4" i="20"/>
  <c r="M21" i="60" l="1"/>
  <c r="M22" i="60" s="1"/>
  <c r="M23" i="60" s="1"/>
  <c r="M24" i="60" s="1"/>
  <c r="M25" i="60" s="1"/>
  <c r="M26" i="60" s="1"/>
  <c r="M27" i="60" s="1"/>
  <c r="M28" i="60" s="1"/>
  <c r="M29" i="60" s="1"/>
  <c r="M30" i="60" s="1"/>
  <c r="M31" i="60" s="1"/>
  <c r="M32" i="60" s="1"/>
  <c r="M33" i="60" s="1"/>
  <c r="M34" i="60" s="1"/>
  <c r="M35" i="44"/>
  <c r="M36" i="44" s="1"/>
  <c r="M37" i="44" s="1"/>
  <c r="M38" i="44" s="1"/>
  <c r="M39" i="44" s="1"/>
  <c r="M14" i="50"/>
  <c r="M15" i="50" s="1"/>
  <c r="M16" i="50" s="1"/>
  <c r="M17" i="50" s="1"/>
  <c r="M18" i="50" s="1"/>
  <c r="M19" i="50" s="1"/>
  <c r="M20" i="50" s="1"/>
  <c r="M21" i="50" s="1"/>
  <c r="M22" i="50" s="1"/>
  <c r="M23" i="50" s="1"/>
  <c r="M24" i="50" s="1"/>
  <c r="M25" i="50" s="1"/>
  <c r="M26" i="50" s="1"/>
  <c r="M27" i="50" s="1"/>
  <c r="M28" i="50" s="1"/>
  <c r="M29" i="50" s="1"/>
  <c r="M30" i="50" s="1"/>
  <c r="P13" i="50"/>
  <c r="M28" i="9"/>
  <c r="M29" i="9" s="1"/>
  <c r="M30" i="9" s="1"/>
  <c r="M31" i="9" s="1"/>
  <c r="M32" i="9" s="1"/>
  <c r="M33" i="9" s="1"/>
  <c r="M34" i="9" s="1"/>
  <c r="M33" i="61"/>
  <c r="M34" i="61" s="1"/>
  <c r="M35" i="61" s="1"/>
  <c r="M36" i="61" s="1"/>
  <c r="M31" i="50"/>
  <c r="M32" i="50" s="1"/>
  <c r="M29" i="34"/>
  <c r="M30" i="34" s="1"/>
  <c r="M31" i="34" s="1"/>
  <c r="M32" i="34" s="1"/>
  <c r="M33" i="34" s="1"/>
  <c r="M34" i="34" s="1"/>
  <c r="M35" i="34" s="1"/>
  <c r="M36" i="34" s="1"/>
  <c r="M37" i="34" s="1"/>
  <c r="M38" i="34" s="1"/>
  <c r="M39" i="34" s="1"/>
  <c r="M40" i="34" s="1"/>
  <c r="M41" i="34" s="1"/>
  <c r="M42" i="34" s="1"/>
  <c r="M43" i="34" s="1"/>
  <c r="M44" i="34" s="1"/>
  <c r="M45" i="34" s="1"/>
  <c r="M46" i="34" s="1"/>
  <c r="K37" i="56"/>
  <c r="J41" i="56"/>
  <c r="M5" i="33"/>
  <c r="M6" i="33" s="1"/>
  <c r="M7" i="33" s="1"/>
  <c r="M8" i="33" s="1"/>
  <c r="M9" i="33" s="1"/>
  <c r="M10" i="33" s="1"/>
  <c r="M11" i="33" s="1"/>
  <c r="M12" i="33" s="1"/>
  <c r="M13" i="33" s="1"/>
  <c r="M14" i="33" s="1"/>
  <c r="M15" i="33" s="1"/>
  <c r="M16" i="33" s="1"/>
  <c r="M17" i="33" s="1"/>
  <c r="M18" i="33" s="1"/>
  <c r="M19" i="33" s="1"/>
  <c r="M20" i="33" s="1"/>
  <c r="M21" i="33" s="1"/>
  <c r="M22" i="33" s="1"/>
  <c r="M23" i="33" s="1"/>
  <c r="M24" i="33" s="1"/>
  <c r="M25" i="33" s="1"/>
  <c r="M26" i="33" s="1"/>
  <c r="M27" i="33" s="1"/>
  <c r="M28" i="33" s="1"/>
  <c r="M29" i="33" s="1"/>
  <c r="M30" i="33" s="1"/>
  <c r="M31" i="33" s="1"/>
  <c r="M32" i="33" s="1"/>
  <c r="M33" i="33" s="1"/>
  <c r="M34" i="33" s="1"/>
  <c r="M35" i="33" s="1"/>
  <c r="M36" i="33" s="1"/>
  <c r="M37" i="33" s="1"/>
  <c r="M38" i="33" s="1"/>
  <c r="M39" i="33" s="1"/>
  <c r="M40" i="33" s="1"/>
  <c r="M41" i="33" s="1"/>
  <c r="M42" i="33" s="1"/>
  <c r="M43" i="33" s="1"/>
  <c r="M44" i="33"/>
  <c r="K25" i="56"/>
  <c r="M5" i="20"/>
  <c r="M6" i="20" s="1"/>
  <c r="M7" i="20" s="1"/>
  <c r="M8" i="20" s="1"/>
  <c r="M9" i="20" s="1"/>
  <c r="M10" i="20" s="1"/>
  <c r="M11" i="20" s="1"/>
  <c r="M12" i="20" s="1"/>
  <c r="M13" i="20" s="1"/>
  <c r="M14" i="20" s="1"/>
  <c r="M15" i="20" s="1"/>
  <c r="M16" i="20" s="1"/>
  <c r="M17" i="20" s="1"/>
  <c r="M18" i="20" s="1"/>
  <c r="M19" i="20" s="1"/>
  <c r="M20" i="20" s="1"/>
  <c r="M21" i="20" s="1"/>
  <c r="M22" i="20" s="1"/>
  <c r="M23" i="20" s="1"/>
  <c r="M24" i="20" s="1"/>
  <c r="M25" i="20" s="1"/>
  <c r="M26" i="20" s="1"/>
  <c r="M27" i="20" s="1"/>
  <c r="D41" i="56"/>
  <c r="E41" i="56"/>
  <c r="H41" i="56"/>
  <c r="K41" i="56" s="1"/>
  <c r="G41" i="56"/>
  <c r="M33" i="50" l="1"/>
  <c r="M34" i="50" s="1"/>
  <c r="M35" i="50" s="1"/>
  <c r="M40" i="44"/>
  <c r="M41" i="44" s="1"/>
  <c r="M42" i="44" s="1"/>
  <c r="M43" i="44" s="1"/>
  <c r="M44" i="44" s="1"/>
  <c r="M45" i="44" s="1"/>
  <c r="M46" i="44" s="1"/>
  <c r="M47" i="44" s="1"/>
  <c r="M48" i="44" s="1"/>
  <c r="M49" i="44" s="1"/>
  <c r="M50" i="44" s="1"/>
  <c r="M51" i="44" s="1"/>
  <c r="M52" i="44" s="1"/>
  <c r="M53" i="44" s="1"/>
  <c r="M54" i="44" s="1"/>
  <c r="M55" i="44" s="1"/>
  <c r="M56" i="44" s="1"/>
  <c r="M57" i="44" s="1"/>
  <c r="M58" i="44" s="1"/>
  <c r="M41" i="56"/>
  <c r="M18" i="35"/>
  <c r="M19" i="35" s="1"/>
  <c r="M20" i="35" s="1"/>
  <c r="M21" i="35" s="1"/>
  <c r="M22" i="35" s="1"/>
  <c r="M23" i="35" s="1"/>
  <c r="M24" i="35" s="1"/>
  <c r="M25" i="35" s="1"/>
  <c r="M26" i="35" s="1"/>
  <c r="M27" i="35" s="1"/>
  <c r="M28" i="35" s="1"/>
  <c r="M29" i="35" s="1"/>
  <c r="M30" i="35" s="1"/>
  <c r="M31" i="35" s="1"/>
  <c r="M32" i="35" s="1"/>
  <c r="M33" i="35" s="1"/>
  <c r="M34" i="35" s="1"/>
  <c r="M35" i="35" s="1"/>
  <c r="M36" i="35" s="1"/>
  <c r="M37" i="35" s="1"/>
  <c r="M38" i="35" s="1"/>
  <c r="M39" i="35" s="1"/>
  <c r="M40" i="35" s="1"/>
  <c r="M41" i="35" s="1"/>
  <c r="M42" i="35" s="1"/>
  <c r="M59" i="44" l="1"/>
  <c r="M60" i="44" s="1"/>
  <c r="M61" i="44" s="1"/>
  <c r="M62" i="44" s="1"/>
  <c r="M63" i="44" s="1"/>
  <c r="M64" i="44" s="1"/>
  <c r="M65" i="44" s="1"/>
  <c r="M66" i="44" s="1"/>
  <c r="M67" i="44" s="1"/>
  <c r="M68" i="44" s="1"/>
  <c r="M69" i="44" s="1"/>
  <c r="M70" i="44" s="1"/>
  <c r="M71" i="44" s="1"/>
  <c r="M72" i="44" s="1"/>
  <c r="M73" i="44" s="1"/>
  <c r="M74" i="44" s="1"/>
  <c r="M75" i="44" s="1"/>
  <c r="M76" i="44" s="1"/>
  <c r="M77" i="44" s="1"/>
  <c r="M78" i="44" s="1"/>
  <c r="M79" i="44" s="1"/>
  <c r="M80" i="44" s="1"/>
  <c r="M81" i="44" s="1"/>
  <c r="M82" i="44" s="1"/>
  <c r="M83" i="44" s="1"/>
  <c r="M84" i="44" s="1"/>
  <c r="M85" i="44" s="1"/>
  <c r="M86" i="4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MIS</author>
  </authors>
  <commentList>
    <comment ref="L12" authorId="0" shapeId="0" xr:uid="{4D3CAE31-4D36-4D1D-BC42-478436F816A8}">
      <text>
        <r>
          <rPr>
            <sz val="11"/>
            <color theme="1"/>
            <rFont val="Calibri"/>
            <family val="2"/>
            <scheme val="minor"/>
          </rPr>
          <t>MIS:
Payment was missing earlier, so adjusted to meet opening and closing balance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tc={FCBC03DA-EC8F-4223-8A39-277F81312B30}</author>
    <author>tc={089B2452-421E-462E-9337-B5CDE3095DB8}</author>
  </authors>
  <commentList>
    <comment ref="L16" authorId="0" shapeId="0" xr:uid="{FCBC03DA-EC8F-4223-8A39-277F81312B30}">
      <text>
        <t>[Threaded comment]
Your version of Excel allows you to read this threaded comment; however, any edits to it will get removed if the file is opened in a newer version of Excel. Learn more: https://go.microsoft.com/fwlink/?linkid=870924
Comment:
    redeem cash</t>
      </text>
    </comment>
    <comment ref="L55" authorId="1" shapeId="0" xr:uid="{089B2452-421E-462E-9337-B5CDE3095DB8}">
      <text>
        <t>[Threaded comment]
Your version of Excel allows you to read this threaded comment; however, any edits to it will get removed if the file is opened in a newer version of Excel. Learn more: https://go.microsoft.com/fwlink/?linkid=870924
Comment:
    redeem cash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tc={E7AC2994-AD03-4763-AAD9-69FE1B576101}</author>
    <author>tc={07247409-98C1-4D78-B296-1117FF9D04E8}</author>
  </authors>
  <commentList>
    <comment ref="L13" authorId="0" shapeId="0" xr:uid="{E7AC2994-AD03-4763-AAD9-69FE1B576101}">
      <text>
        <t>[Threaded comment]
Your version of Excel allows you to read this threaded comment; however, any edits to it will get removed if the file is opened in a newer version of Excel. Learn more: https://go.microsoft.com/fwlink/?linkid=870924
Comment:
    redeem cash</t>
      </text>
    </comment>
    <comment ref="L15" authorId="1" shapeId="0" xr:uid="{07247409-98C1-4D78-B296-1117FF9D04E8}">
      <text>
        <t>[Threaded comment]
Your version of Excel allows you to read this threaded comment; however, any edits to it will get removed if the file is opened in a newer version of Excel. Learn more: https://go.microsoft.com/fwlink/?linkid=870924
Comment:
    redeem cash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<sst xmlns="http://schemas.openxmlformats.org/spreadsheetml/2006/main" count="1344" uniqueCount="239">
  <si>
    <t>S.no</t>
  </si>
  <si>
    <t>Site Name</t>
  </si>
  <si>
    <t xml:space="preserve">Bunk Name </t>
  </si>
  <si>
    <t>Diesel(Liters)</t>
  </si>
  <si>
    <t>Diesel Amount</t>
  </si>
  <si>
    <t>Petrol(Liters)</t>
  </si>
  <si>
    <t>Petrol Amount</t>
  </si>
  <si>
    <t>Total Amount</t>
  </si>
  <si>
    <t>Opening Blance</t>
  </si>
  <si>
    <t>Amount Paid</t>
  </si>
  <si>
    <t>Closing Balances</t>
  </si>
  <si>
    <t>Khammam-1</t>
  </si>
  <si>
    <t xml:space="preserve">Divya laxmi ganapathi </t>
  </si>
  <si>
    <t>Khammam-2</t>
  </si>
  <si>
    <t>Jayasai union bunk</t>
  </si>
  <si>
    <t>Jadcherla-1</t>
  </si>
  <si>
    <t>Sai Baba Fuel Station</t>
  </si>
  <si>
    <t>Jadcherla-2</t>
  </si>
  <si>
    <t xml:space="preserve">ADHOC FILLING STATION STATION </t>
  </si>
  <si>
    <t>Dindi</t>
  </si>
  <si>
    <t>Akarapu Balakistamma Fillling</t>
  </si>
  <si>
    <t>Devarkhadra-1</t>
  </si>
  <si>
    <t>Kurumurthy Swami  F/S</t>
  </si>
  <si>
    <t>Devarkhadra-2</t>
  </si>
  <si>
    <t>M/S. Sri Rama Filling Station</t>
  </si>
  <si>
    <t>Amalapuram</t>
  </si>
  <si>
    <t>Sathya Filling Station</t>
  </si>
  <si>
    <t>YG Gudda-1</t>
  </si>
  <si>
    <t>Pallavi Petrolium</t>
  </si>
  <si>
    <t>YG Gudda-2</t>
  </si>
  <si>
    <t>Pankaja HP Fuel Center</t>
  </si>
  <si>
    <t>Hosadurga-1</t>
  </si>
  <si>
    <t>Merchant Petroliums</t>
  </si>
  <si>
    <t>Hosadurga-2</t>
  </si>
  <si>
    <t>Shree Veeraprathap Fuel</t>
  </si>
  <si>
    <t>Malebennuru(KUWSDB)</t>
  </si>
  <si>
    <t>Sri Ramanjuneya Service Station</t>
  </si>
  <si>
    <t>kadur</t>
  </si>
  <si>
    <t>Vishal Service Station</t>
  </si>
  <si>
    <t>Hiriyur(VJNL)</t>
  </si>
  <si>
    <t>Sri Balaji Agencies</t>
  </si>
  <si>
    <t>Chellakere(KUWSDB)</t>
  </si>
  <si>
    <t>Sri Vishnu Baba Petroleum</t>
  </si>
  <si>
    <t>Molakalmuru</t>
  </si>
  <si>
    <t>Sri Lakshmi Venkateshwara Filling Station</t>
  </si>
  <si>
    <t>Khanapur(PKG-3)</t>
  </si>
  <si>
    <t>J K Makavi</t>
  </si>
  <si>
    <t>Munavalli(PKG-3)-2</t>
  </si>
  <si>
    <t xml:space="preserve">Shri Daneshwari </t>
  </si>
  <si>
    <t>Borgaon(PKG-3)</t>
  </si>
  <si>
    <t>Aadisagar Petrolium</t>
  </si>
  <si>
    <t>Ugar,Kudichi(PKG-3)</t>
  </si>
  <si>
    <t>Shiri Bhrhmanath Petrolium</t>
  </si>
  <si>
    <t>Kabbur(PKG-3)</t>
  </si>
  <si>
    <t>Shri Jai Hanuman Petrolium</t>
  </si>
  <si>
    <t>Kumta (PKG-1)</t>
  </si>
  <si>
    <t>Krishma fuel station</t>
  </si>
  <si>
    <t>Jalgaon</t>
  </si>
  <si>
    <t>Sri Sai Petrol Pump</t>
  </si>
  <si>
    <t>MKBD</t>
  </si>
  <si>
    <t>Shree Sai Samarth Petroleum</t>
  </si>
  <si>
    <t>Haveri</t>
  </si>
  <si>
    <t>Shivalingeshwar Petroleum</t>
  </si>
  <si>
    <t>Guttal</t>
  </si>
  <si>
    <t>Taware filling station</t>
  </si>
  <si>
    <t>Rattihali</t>
  </si>
  <si>
    <t xml:space="preserve"> Shree Siri Gowari petroliam</t>
  </si>
  <si>
    <t>Gajendragada</t>
  </si>
  <si>
    <t>Vanasri Petrol Pump</t>
  </si>
  <si>
    <t xml:space="preserve"> Gokak(PKG-3)</t>
  </si>
  <si>
    <t>AJ Petrolinks</t>
  </si>
  <si>
    <t>Ankaligi</t>
  </si>
  <si>
    <t>Shiv ganga</t>
  </si>
  <si>
    <t>ShankeshWAR</t>
  </si>
  <si>
    <t>SR Patil</t>
  </si>
  <si>
    <t>Talikote(PKG-1)</t>
  </si>
  <si>
    <t>Raykar Oil Agencies</t>
  </si>
  <si>
    <t>Chadchan(PKG-1)</t>
  </si>
  <si>
    <t>Khavekar Petrolium</t>
  </si>
  <si>
    <t>Sindagi</t>
  </si>
  <si>
    <t>G.P.PORWAL</t>
  </si>
  <si>
    <t>Muddebihal(PKG-1)</t>
  </si>
  <si>
    <t xml:space="preserve"> Bhosle Service Station</t>
  </si>
  <si>
    <t>Almela(PKG-1)</t>
  </si>
  <si>
    <t>Shiddeshwar Petroleums</t>
  </si>
  <si>
    <t>Nalatwad(PKG-1)</t>
  </si>
  <si>
    <t>Shri Pawad Basaweshwar Petroleums</t>
  </si>
  <si>
    <t>Srirangapatna</t>
  </si>
  <si>
    <t>Sri Chakra Fuel Station</t>
  </si>
  <si>
    <t>Total</t>
  </si>
  <si>
    <t>S.No</t>
  </si>
  <si>
    <t>Date</t>
  </si>
  <si>
    <t>GRN No</t>
  </si>
  <si>
    <t>Ind No/Bill No</t>
  </si>
  <si>
    <t>Diesel (Lts)</t>
  </si>
  <si>
    <t>Price</t>
  </si>
  <si>
    <t xml:space="preserve">Amount </t>
  </si>
  <si>
    <t>Petrol (Lts)</t>
  </si>
  <si>
    <t xml:space="preserve">Total amount </t>
  </si>
  <si>
    <t>Amount paid</t>
  </si>
  <si>
    <t>As 0n Date</t>
  </si>
  <si>
    <t>Remarks</t>
  </si>
  <si>
    <t>Opening Balance</t>
  </si>
  <si>
    <t>As on date</t>
  </si>
  <si>
    <t>04.9.2025</t>
  </si>
  <si>
    <t>19.09.2025</t>
  </si>
  <si>
    <t>As on Date</t>
  </si>
  <si>
    <t>Ind no/Bill No</t>
  </si>
  <si>
    <t xml:space="preserve"> Fuel bills </t>
  </si>
  <si>
    <t>Sri rama F/S</t>
  </si>
  <si>
    <t>/</t>
  </si>
  <si>
    <t> </t>
  </si>
  <si>
    <t>Molakamuru</t>
  </si>
  <si>
    <t xml:space="preserve">  Shree Siri Gowari petroliam</t>
  </si>
  <si>
    <t>raja bhakshi</t>
  </si>
  <si>
    <t>Talikote</t>
  </si>
  <si>
    <t>1.09.2025</t>
  </si>
  <si>
    <t>IOCL Card</t>
  </si>
  <si>
    <t>2.09.2025</t>
  </si>
  <si>
    <t>3.09.2025</t>
  </si>
  <si>
    <t>4.09.2025</t>
  </si>
  <si>
    <t>5.09.2025</t>
  </si>
  <si>
    <t>6.09.2025</t>
  </si>
  <si>
    <t>8.09.2025</t>
  </si>
  <si>
    <t>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</si>
  <si>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</si>
  <si>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</si>
  <si>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</si>
  <si>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</si>
  <si>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</si>
  <si>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</si>
  <si>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</si>
  <si>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</si>
  <si>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</si>
  <si>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</si>
  <si>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</si>
  <si>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</si>
  <si>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</si>
  <si>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</si>
  <si>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</si>
  <si>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</si>
  <si>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28.09.2025</t>
  </si>
  <si>
    <t>29.09.2025</t>
  </si>
  <si>
    <t>7.09.2025</t>
  </si>
  <si>
    <t>27.09.2025</t>
  </si>
  <si>
    <t>01..09.2025</t>
  </si>
  <si>
    <t>02..09.2025</t>
  </si>
  <si>
    <t>03.09.2025</t>
  </si>
  <si>
    <t>04.09.2025</t>
  </si>
  <si>
    <t>05.09.2025</t>
  </si>
  <si>
    <t>06.09.2025</t>
  </si>
  <si>
    <t>07.09.2025</t>
  </si>
  <si>
    <t>09.09.2025</t>
  </si>
  <si>
    <t>30.09.2025</t>
  </si>
  <si>
    <t>Payment Amount</t>
  </si>
  <si>
    <t>BPCL</t>
  </si>
  <si>
    <t>Shiva ganga</t>
  </si>
  <si>
    <t xml:space="preserve"> S R PATIL</t>
  </si>
  <si>
    <t>d</t>
  </si>
  <si>
    <t xml:space="preserve"> </t>
  </si>
  <si>
    <t>Anupama F/S</t>
  </si>
  <si>
    <t>BPCL Card Ledger</t>
  </si>
  <si>
    <t>Petrol Bunk Name</t>
  </si>
  <si>
    <t>Card No</t>
  </si>
  <si>
    <t>Recharge Amount</t>
  </si>
  <si>
    <t>Redeem</t>
  </si>
  <si>
    <t>01.09.2025</t>
  </si>
  <si>
    <t>SAI BABA FILLING STATION</t>
  </si>
  <si>
    <t>FC3450563998</t>
  </si>
  <si>
    <t>AMBATI PUSHPALATHA CHANNAIAH</t>
  </si>
  <si>
    <t>FC3450698859</t>
  </si>
  <si>
    <t xml:space="preserve">DANESWARI PETROLEUM </t>
  </si>
  <si>
    <t>FC8000207648</t>
  </si>
  <si>
    <t xml:space="preserve">SREE S.V.AGENCIES </t>
  </si>
  <si>
    <t>FC8000207659</t>
  </si>
  <si>
    <t>02.09.2025</t>
  </si>
  <si>
    <t>SANDHYA FUEL STATION</t>
  </si>
  <si>
    <t>FC3450563999</t>
  </si>
  <si>
    <t xml:space="preserve">AKARAPU BALAKISTAMMA </t>
  </si>
  <si>
    <t xml:space="preserve"> FC3450676134</t>
  </si>
  <si>
    <t xml:space="preserve">SAI PRIYA FILLING STATION </t>
  </si>
  <si>
    <t>FC8000207658</t>
  </si>
  <si>
    <t xml:space="preserve">BHASKAR ENTERPRISES BHARAT </t>
  </si>
  <si>
    <t>FC3450698868</t>
  </si>
  <si>
    <t>V.V.VARDE BHARAT</t>
  </si>
  <si>
    <t>FC8000207649</t>
  </si>
  <si>
    <t xml:space="preserve">SHIVAGANGA SERVICE STATION </t>
  </si>
  <si>
    <t>FC8000207650</t>
  </si>
  <si>
    <t xml:space="preserve">RAJ SERVICE STATION, BHARAT PETROLEUM </t>
  </si>
  <si>
    <t>LAKEVIEW FILLING STATION</t>
  </si>
  <si>
    <t xml:space="preserve"> FC8000207659</t>
  </si>
  <si>
    <t>08.09.2025</t>
  </si>
  <si>
    <t xml:space="preserve">SHREE SAI SAMARTH PETROLEUM </t>
  </si>
  <si>
    <t>FC0323247261</t>
  </si>
  <si>
    <t>MAHMOOD FILLING STATION</t>
  </si>
  <si>
    <t>SLV FILLING STATION</t>
  </si>
  <si>
    <t>FC3450676134</t>
  </si>
  <si>
    <t>DANESWARI PETROLEUM</t>
  </si>
  <si>
    <t>SHRI BRAHMANATH</t>
  </si>
  <si>
    <t>AMADABAKULA FILLING</t>
  </si>
  <si>
    <t>BP-KAKINADA BHARAT</t>
  </si>
  <si>
    <t>VISHNU FILLING STATION</t>
  </si>
  <si>
    <t>K.VENKATA LAKSHMI SRINIVASA FU</t>
  </si>
  <si>
    <t>KAKINADA BHARAT PETROLEUM</t>
  </si>
  <si>
    <t xml:space="preserve">SANDHYA FUEL STATION </t>
  </si>
  <si>
    <t>SREE VEERABHADRESHWARA SER</t>
  </si>
  <si>
    <t>SHIVAGANGA SERVICE STATION</t>
  </si>
  <si>
    <t xml:space="preserve">BP-KAKINADA BHARAT </t>
  </si>
  <si>
    <t>EARTH PAVERS (HYD)</t>
  </si>
  <si>
    <t>SRI LAKSHMI NARASIMHA PETRO ST</t>
  </si>
  <si>
    <t xml:space="preserve">KESHAV PETROFIL BHARAT </t>
  </si>
  <si>
    <t xml:space="preserve">SREE S.V.AGENCIES BHARAT </t>
  </si>
  <si>
    <t>20.08.2025</t>
  </si>
  <si>
    <t>AKARAPU BALAKISTAMMA</t>
  </si>
  <si>
    <t>21.08.2025</t>
  </si>
  <si>
    <t>MOTILAL RUPCHAND BHARAT</t>
  </si>
  <si>
    <t>22.08.2025</t>
  </si>
  <si>
    <t xml:space="preserve">JUBILEE HILLS FILL. STN. </t>
  </si>
  <si>
    <t xml:space="preserve"> FC3450563999</t>
  </si>
  <si>
    <t>23.08.2025</t>
  </si>
  <si>
    <t xml:space="preserve">CHANDRIKA SRINIVAS FILLIN </t>
  </si>
  <si>
    <t xml:space="preserve">SANDHYA FUEL STATION  </t>
  </si>
  <si>
    <t xml:space="preserve">SHIVAGANGA SERVICE STATION  </t>
  </si>
  <si>
    <t xml:space="preserve">SREE VEERABHADRESHWARA SER.STA  </t>
  </si>
  <si>
    <t>SHAHAPUR PETROLEUM</t>
  </si>
  <si>
    <t xml:space="preserve">SREE VEERABHADRESHWARA SER </t>
  </si>
  <si>
    <t xml:space="preserve">SANDEEP ROAD CARRIERS </t>
  </si>
  <si>
    <t>SREE VEERABHADRESHWARA SER.STA</t>
  </si>
  <si>
    <t>HPCL Card Ledger</t>
  </si>
  <si>
    <t>8200079004507153</t>
  </si>
  <si>
    <t>PANKAJA HP FUEL CENTRE</t>
  </si>
  <si>
    <t>8200079004507088</t>
  </si>
  <si>
    <t>DIVYA LAXMI GANAPATHI</t>
  </si>
  <si>
    <t>8200079004507062</t>
  </si>
  <si>
    <t>AJ PETROLINKS</t>
  </si>
  <si>
    <t>PADMA PETROLEUMS</t>
  </si>
  <si>
    <t>SVBS FILLING STATION</t>
  </si>
  <si>
    <t xml:space="preserve">SEI LAKSHMI RANGANATHA  </t>
  </si>
  <si>
    <t>SEI LAKSHMI RANGANATHA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</si>
</sst>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 * #,##0.00_ ;_ * \-#,##0.00_ ;_ * &quot;-&quot;??_ ;_ @_ "/>
    <numFmt numFmtId="165" formatCode="[$-409]d\-mmm\-yy;@"/>
    <numFmt numFmtId="166" formatCode="0.00_ "/>
    <numFmt numFmtId="167" formatCode="[$-409]h:mm\ AM/PM;@"/>
    <numFmt numFmtId="168" formatCode="_ * #,##0.0_ ;_ * \-#,##0.0_ ;_ * &quot;-&quot;??_ ;_ @_ "/>
    <numFmt numFmtId="169" formatCode="_ * #,##0_ ;_ * \-#,##0_ ;_ * &quot;-&quot;??_ ;_ @_ "/>
    <numFmt numFmtId="170" formatCode="_(* #,##0_);_(* \(#,##0\);_(* &quot;-&quot;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sz val="12"/>
      <color rgb="FF000000"/>
      <name val="Book Antiqua"/>
      <family val="1"/>
    </font>
    <font>
      <sz val="11"/>
      <color rgb="FF000000"/>
      <name val="Cambria"/>
      <family val="1"/>
    </font>
    <font>
      <b/>
      <sz val="10"/>
      <color theme="1"/>
      <name val="Calibri"/>
    </font>
    <font>
      <sz val="10"/>
      <color theme="1"/>
      <name val="Calibri"/>
    </font>
    <font>
      <sz val="10"/>
      <color theme="0"/>
      <name val="Calibri"/>
    </font>
    <font>
      <sz val="12"/>
      <color rgb="FF000000"/>
      <name val="Calibri"/>
    </font>
    <font>
      <sz val="11"/>
      <color theme="0"/>
      <name val="Calibri"/>
    </font>
    <font>
      <sz val="12"/>
      <color theme="0"/>
      <name val="Calibri"/>
    </font>
    <font>
      <sz val="12"/>
      <color theme="0"/>
      <name val="Calibri"/>
      <family val="2"/>
      <scheme val="minor"/>
    </font>
    <font>
      <sz val="10"/>
      <color rgb="FF000000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charset val="134"/>
    </font>
    <font>
      <sz val="11"/>
      <color rgb="FF242424"/>
      <name val="Aptos Narrow"/>
      <charset val="1"/>
    </font>
    <font>
      <sz val="8"/>
      <color rgb="FF212529"/>
      <name val="Roboto"/>
      <charset val="1"/>
    </font>
    <font>
      <b/>
      <sz val="12"/>
      <color rgb="FF000000"/>
      <name val="Calibri"/>
    </font>
    <font>
      <b/>
      <sz val="12"/>
      <color theme="1"/>
      <name val="Calibri"/>
      <family val="2"/>
      <scheme val="minor"/>
    </font>
    <font>
      <sz val="10"/>
      <color theme="1"/>
      <name val="Cambria"/>
      <family val="1"/>
    </font>
    <font>
      <sz val="9"/>
      <color theme="1"/>
      <name val="Cambria"/>
      <family val="1"/>
    </font>
    <font>
      <sz val="11"/>
      <color theme="1"/>
      <name val="Calibri"/>
      <family val="2"/>
    </font>
    <font>
      <b/>
      <sz val="12"/>
      <color theme="0"/>
      <name val="Calibri"/>
    </font>
    <font>
      <sz val="12"/>
      <color theme="1"/>
      <name val="Calibri"/>
    </font>
    <font>
      <b/>
      <sz val="12"/>
      <color theme="1"/>
      <name val="Calibri"/>
    </font>
    <font>
      <u/>
      <sz val="11"/>
      <color theme="10"/>
      <name val="Calibri"/>
      <family val="2"/>
      <scheme val="minor"/>
    </font>
    <font>
      <sz val="11"/>
      <color theme="1"/>
      <name val="Cambria"/>
      <charset val="134"/>
    </font>
    <font>
      <sz val="11"/>
      <color rgb="FFFF0000"/>
      <name val="Calibri"/>
      <family val="2"/>
      <scheme val="minor"/>
    </font>
    <font>
      <sz val="8"/>
      <color rgb="FF000000"/>
      <name val="Arial"/>
      <family val="2"/>
    </font>
    <font>
      <b/>
      <sz val="10"/>
      <color rgb="FF26243B"/>
      <name val="Calibri"/>
    </font>
    <font>
      <sz val="11"/>
      <color rgb="FF000000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0" fillId="0" borderId="0" applyNumberFormat="0" applyFill="0" applyBorder="0" applyAlignment="0" applyProtection="0"/>
  </cellStyleXfs>
  <cellXfs count="430">
    <xf numFmtId="0" fontId="0" fillId="0" borderId="0" xfId="0"/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1" applyFont="1" applyAlignment="1">
      <alignment horizontal="center" vertical="center"/>
    </xf>
    <xf numFmtId="0" fontId="3" fillId="0" borderId="0" xfId="0" applyFont="1"/>
    <xf numFmtId="0" fontId="3" fillId="0" borderId="5" xfId="0" applyFont="1" applyBorder="1"/>
    <xf numFmtId="164" fontId="3" fillId="0" borderId="2" xfId="1" applyFont="1" applyBorder="1" applyAlignment="1">
      <alignment horizontal="center" vertical="center"/>
    </xf>
    <xf numFmtId="164" fontId="3" fillId="0" borderId="5" xfId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164" fontId="3" fillId="0" borderId="2" xfId="1" applyFont="1" applyBorder="1" applyAlignment="1">
      <alignment vertical="center"/>
    </xf>
    <xf numFmtId="164" fontId="3" fillId="0" borderId="6" xfId="1" applyFont="1" applyBorder="1" applyAlignment="1">
      <alignment vertical="center"/>
    </xf>
    <xf numFmtId="164" fontId="3" fillId="0" borderId="2" xfId="1" applyFont="1" applyBorder="1" applyAlignment="1">
      <alignment horizontal="center" vertical="top"/>
    </xf>
    <xf numFmtId="164" fontId="3" fillId="0" borderId="6" xfId="1" applyFont="1" applyBorder="1" applyAlignment="1">
      <alignment horizontal="center" vertical="top"/>
    </xf>
    <xf numFmtId="164" fontId="3" fillId="0" borderId="4" xfId="1" applyFont="1" applyBorder="1" applyAlignment="1">
      <alignment horizontal="center" vertical="center"/>
    </xf>
    <xf numFmtId="0" fontId="0" fillId="0" borderId="5" xfId="0" applyBorder="1"/>
    <xf numFmtId="0" fontId="3" fillId="0" borderId="5" xfId="0" applyFont="1" applyBorder="1" applyAlignment="1">
      <alignment horizontal="center" vertical="center" wrapText="1"/>
    </xf>
    <xf numFmtId="164" fontId="3" fillId="0" borderId="12" xfId="1" applyFont="1" applyBorder="1" applyAlignment="1">
      <alignment horizontal="center" vertical="center"/>
    </xf>
    <xf numFmtId="164" fontId="3" fillId="0" borderId="7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2" fontId="0" fillId="0" borderId="0" xfId="0" applyNumberFormat="1"/>
    <xf numFmtId="0" fontId="7" fillId="0" borderId="2" xfId="3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9" fillId="0" borderId="2" xfId="1" applyFont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4" fontId="9" fillId="0" borderId="0" xfId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164" fontId="10" fillId="0" borderId="5" xfId="1" applyFont="1" applyFill="1" applyBorder="1" applyAlignment="1">
      <alignment horizontal="center" vertical="center"/>
    </xf>
    <xf numFmtId="164" fontId="10" fillId="0" borderId="5" xfId="1" applyFont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164" fontId="10" fillId="0" borderId="0" xfId="1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0" fillId="0" borderId="0" xfId="1" applyFont="1" applyAlignment="1">
      <alignment horizontal="center" vertical="center"/>
    </xf>
    <xf numFmtId="2" fontId="0" fillId="0" borderId="5" xfId="0" applyNumberFormat="1" applyBorder="1"/>
    <xf numFmtId="164" fontId="3" fillId="0" borderId="5" xfId="1" applyFont="1" applyBorder="1" applyAlignment="1">
      <alignment vertical="center"/>
    </xf>
    <xf numFmtId="2" fontId="9" fillId="4" borderId="5" xfId="0" applyNumberFormat="1" applyFont="1" applyFill="1" applyBorder="1" applyAlignment="1">
      <alignment horizontal="center" vertical="center"/>
    </xf>
    <xf numFmtId="164" fontId="9" fillId="4" borderId="5" xfId="1" applyFont="1" applyFill="1" applyBorder="1" applyAlignment="1">
      <alignment horizontal="center" vertical="center"/>
    </xf>
    <xf numFmtId="0" fontId="5" fillId="0" borderId="5" xfId="0" applyFont="1" applyBorder="1"/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 wrapText="1"/>
    </xf>
    <xf numFmtId="43" fontId="3" fillId="0" borderId="5" xfId="0" applyNumberFormat="1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43" fontId="3" fillId="0" borderId="0" xfId="0" applyNumberFormat="1" applyFont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43" fontId="13" fillId="3" borderId="2" xfId="0" applyNumberFormat="1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/>
    </xf>
    <xf numFmtId="43" fontId="13" fillId="3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0" fillId="0" borderId="0" xfId="0" applyFont="1"/>
    <xf numFmtId="2" fontId="4" fillId="4" borderId="5" xfId="0" applyNumberFormat="1" applyFont="1" applyFill="1" applyBorder="1" applyAlignment="1">
      <alignment horizontal="center" vertical="center"/>
    </xf>
    <xf numFmtId="164" fontId="4" fillId="4" borderId="5" xfId="1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/>
    </xf>
    <xf numFmtId="2" fontId="3" fillId="0" borderId="5" xfId="0" applyNumberFormat="1" applyFont="1" applyBorder="1"/>
    <xf numFmtId="0" fontId="3" fillId="0" borderId="5" xfId="0" applyFont="1" applyBorder="1" applyAlignment="1">
      <alignment vertical="center"/>
    </xf>
    <xf numFmtId="164" fontId="3" fillId="0" borderId="5" xfId="1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2" fontId="3" fillId="0" borderId="0" xfId="0" applyNumberFormat="1" applyFont="1" applyAlignment="1">
      <alignment vertical="center"/>
    </xf>
    <xf numFmtId="2" fontId="3" fillId="0" borderId="0" xfId="0" applyNumberFormat="1" applyFont="1" applyAlignment="1">
      <alignment horizontal="center" vertical="center"/>
    </xf>
    <xf numFmtId="164" fontId="3" fillId="0" borderId="0" xfId="1" applyFont="1" applyAlignment="1">
      <alignment vertical="center"/>
    </xf>
    <xf numFmtId="164" fontId="3" fillId="0" borderId="0" xfId="1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14" fontId="3" fillId="0" borderId="5" xfId="0" applyNumberFormat="1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64" fontId="3" fillId="0" borderId="5" xfId="1" applyFont="1" applyBorder="1" applyAlignment="1">
      <alignment horizontal="center" indent="1"/>
    </xf>
    <xf numFmtId="164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3" borderId="5" xfId="0" applyFont="1" applyFill="1" applyBorder="1" applyAlignment="1">
      <alignment horizontal="center" vertical="center" wrapText="1"/>
    </xf>
    <xf numFmtId="43" fontId="13" fillId="3" borderId="5" xfId="0" applyNumberFormat="1" applyFont="1" applyFill="1" applyBorder="1" applyAlignment="1">
      <alignment horizontal="center" vertical="center" wrapText="1"/>
    </xf>
    <xf numFmtId="43" fontId="13" fillId="3" borderId="5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2" fontId="13" fillId="3" borderId="5" xfId="0" applyNumberFormat="1" applyFont="1" applyFill="1" applyBorder="1" applyAlignment="1">
      <alignment horizontal="center" vertical="center" wrapText="1"/>
    </xf>
    <xf numFmtId="2" fontId="13" fillId="3" borderId="5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5" fillId="0" borderId="12" xfId="0" applyFont="1" applyBorder="1"/>
    <xf numFmtId="0" fontId="0" fillId="0" borderId="13" xfId="0" applyBorder="1"/>
    <xf numFmtId="0" fontId="17" fillId="0" borderId="5" xfId="0" applyFont="1" applyBorder="1"/>
    <xf numFmtId="2" fontId="17" fillId="0" borderId="5" xfId="0" applyNumberFormat="1" applyFont="1" applyBorder="1"/>
    <xf numFmtId="0" fontId="0" fillId="0" borderId="10" xfId="0" applyBorder="1"/>
    <xf numFmtId="0" fontId="13" fillId="3" borderId="1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 wrapText="1"/>
    </xf>
    <xf numFmtId="2" fontId="3" fillId="0" borderId="0" xfId="0" applyNumberFormat="1" applyFont="1"/>
    <xf numFmtId="0" fontId="11" fillId="3" borderId="5" xfId="0" applyFont="1" applyFill="1" applyBorder="1" applyAlignment="1">
      <alignment horizontal="center" vertical="center"/>
    </xf>
    <xf numFmtId="0" fontId="18" fillId="0" borderId="5" xfId="0" applyFont="1" applyBorder="1"/>
    <xf numFmtId="164" fontId="0" fillId="0" borderId="5" xfId="0" applyNumberFormat="1" applyBorder="1"/>
    <xf numFmtId="0" fontId="11" fillId="3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4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64" fontId="3" fillId="0" borderId="18" xfId="1" applyFont="1" applyFill="1" applyBorder="1" applyAlignment="1">
      <alignment horizontal="center" vertical="center"/>
    </xf>
    <xf numFmtId="43" fontId="11" fillId="3" borderId="17" xfId="0" applyNumberFormat="1" applyFont="1" applyFill="1" applyBorder="1" applyAlignment="1">
      <alignment horizontal="center" vertical="center" wrapText="1"/>
    </xf>
    <xf numFmtId="43" fontId="11" fillId="3" borderId="6" xfId="0" applyNumberFormat="1" applyFont="1" applyFill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/>
    </xf>
    <xf numFmtId="0" fontId="11" fillId="3" borderId="6" xfId="0" applyFont="1" applyFill="1" applyBorder="1" applyAlignment="1">
      <alignment horizontal="center" vertical="center"/>
    </xf>
    <xf numFmtId="43" fontId="11" fillId="3" borderId="6" xfId="0" applyNumberFormat="1" applyFont="1" applyFill="1" applyBorder="1" applyAlignment="1">
      <alignment horizontal="center" vertical="center"/>
    </xf>
    <xf numFmtId="43" fontId="11" fillId="3" borderId="17" xfId="0" applyNumberFormat="1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12" fillId="0" borderId="7" xfId="3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4" fontId="6" fillId="0" borderId="5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center" vertical="center"/>
    </xf>
    <xf numFmtId="4" fontId="6" fillId="0" borderId="12" xfId="0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 wrapText="1"/>
    </xf>
    <xf numFmtId="43" fontId="13" fillId="3" borderId="13" xfId="0" applyNumberFormat="1" applyFont="1" applyFill="1" applyBorder="1" applyAlignment="1">
      <alignment horizontal="center" vertical="center" wrapText="1"/>
    </xf>
    <xf numFmtId="43" fontId="13" fillId="3" borderId="13" xfId="0" applyNumberFormat="1" applyFont="1" applyFill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164" fontId="3" fillId="0" borderId="12" xfId="0" applyNumberFormat="1" applyFont="1" applyBorder="1" applyAlignment="1">
      <alignment vertical="center"/>
    </xf>
    <xf numFmtId="164" fontId="3" fillId="0" borderId="12" xfId="1" applyFont="1" applyBorder="1" applyAlignment="1">
      <alignment horizontal="center" vertical="top"/>
    </xf>
    <xf numFmtId="164" fontId="9" fillId="0" borderId="5" xfId="1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17" fillId="0" borderId="18" xfId="0" applyFont="1" applyBorder="1" applyAlignment="1">
      <alignment vertical="center"/>
    </xf>
    <xf numFmtId="164" fontId="0" fillId="0" borderId="0" xfId="0" applyNumberFormat="1"/>
    <xf numFmtId="43" fontId="0" fillId="0" borderId="5" xfId="0" applyNumberFormat="1" applyBorder="1"/>
    <xf numFmtId="0" fontId="0" fillId="0" borderId="12" xfId="0" applyBorder="1"/>
    <xf numFmtId="43" fontId="13" fillId="3" borderId="6" xfId="0" applyNumberFormat="1" applyFont="1" applyFill="1" applyBorder="1" applyAlignment="1">
      <alignment horizontal="center" vertical="center" wrapText="1"/>
    </xf>
    <xf numFmtId="43" fontId="13" fillId="3" borderId="6" xfId="0" applyNumberFormat="1" applyFont="1" applyFill="1" applyBorder="1" applyAlignment="1">
      <alignment horizontal="center" vertical="center"/>
    </xf>
    <xf numFmtId="164" fontId="3" fillId="0" borderId="8" xfId="1" applyFont="1" applyBorder="1" applyAlignment="1">
      <alignment horizontal="center" vertical="center"/>
    </xf>
    <xf numFmtId="164" fontId="3" fillId="0" borderId="7" xfId="1" applyFont="1" applyBorder="1" applyAlignment="1">
      <alignment horizontal="center" vertical="top"/>
    </xf>
    <xf numFmtId="164" fontId="3" fillId="0" borderId="7" xfId="1" applyFont="1" applyBorder="1" applyAlignment="1">
      <alignment vertical="center"/>
    </xf>
    <xf numFmtId="43" fontId="13" fillId="3" borderId="17" xfId="0" applyNumberFormat="1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43" fontId="3" fillId="2" borderId="5" xfId="0" applyNumberFormat="1" applyFont="1" applyFill="1" applyBorder="1" applyAlignment="1">
      <alignment horizontal="center" vertical="center" wrapText="1"/>
    </xf>
    <xf numFmtId="43" fontId="3" fillId="2" borderId="5" xfId="0" applyNumberFormat="1" applyFont="1" applyFill="1" applyBorder="1" applyAlignment="1">
      <alignment horizontal="center" vertical="center"/>
    </xf>
    <xf numFmtId="43" fontId="5" fillId="2" borderId="5" xfId="0" applyNumberFormat="1" applyFont="1" applyFill="1" applyBorder="1" applyAlignment="1">
      <alignment horizontal="center" vertical="center"/>
    </xf>
    <xf numFmtId="2" fontId="10" fillId="0" borderId="5" xfId="0" applyNumberFormat="1" applyFont="1" applyBorder="1" applyAlignment="1">
      <alignment horizontal="center" vertical="center"/>
    </xf>
    <xf numFmtId="2" fontId="9" fillId="0" borderId="5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164" fontId="3" fillId="0" borderId="7" xfId="0" applyNumberFormat="1" applyFont="1" applyBorder="1" applyAlignment="1">
      <alignment vertical="center"/>
    </xf>
    <xf numFmtId="166" fontId="3" fillId="0" borderId="12" xfId="0" applyNumberFormat="1" applyFont="1" applyBorder="1" applyAlignment="1">
      <alignment horizontal="center"/>
    </xf>
    <xf numFmtId="2" fontId="3" fillId="0" borderId="12" xfId="0" applyNumberFormat="1" applyFont="1" applyBorder="1"/>
    <xf numFmtId="0" fontId="13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 wrapText="1"/>
    </xf>
    <xf numFmtId="43" fontId="13" fillId="2" borderId="5" xfId="0" applyNumberFormat="1" applyFont="1" applyFill="1" applyBorder="1" applyAlignment="1">
      <alignment horizontal="center" vertical="center" wrapText="1"/>
    </xf>
    <xf numFmtId="43" fontId="13" fillId="2" borderId="5" xfId="0" applyNumberFormat="1" applyFont="1" applyFill="1" applyBorder="1" applyAlignment="1">
      <alignment horizontal="center" vertical="center"/>
    </xf>
    <xf numFmtId="164" fontId="3" fillId="0" borderId="5" xfId="0" applyNumberFormat="1" applyFont="1" applyBorder="1" applyAlignment="1">
      <alignment vertical="center"/>
    </xf>
    <xf numFmtId="2" fontId="4" fillId="4" borderId="12" xfId="0" applyNumberFormat="1" applyFont="1" applyFill="1" applyBorder="1" applyAlignment="1">
      <alignment horizontal="center" vertical="center"/>
    </xf>
    <xf numFmtId="164" fontId="4" fillId="4" borderId="12" xfId="1" applyFont="1" applyFill="1" applyBorder="1" applyAlignment="1">
      <alignment horizontal="center" vertical="center"/>
    </xf>
    <xf numFmtId="2" fontId="3" fillId="0" borderId="5" xfId="0" applyNumberFormat="1" applyFont="1" applyBorder="1" applyAlignment="1">
      <alignment horizontal="right"/>
    </xf>
    <xf numFmtId="164" fontId="4" fillId="0" borderId="5" xfId="1" applyFont="1" applyBorder="1" applyAlignment="1">
      <alignment horizontal="center" vertical="center" indent="1"/>
    </xf>
    <xf numFmtId="0" fontId="5" fillId="0" borderId="5" xfId="0" applyFont="1" applyBorder="1" applyAlignment="1">
      <alignment vertical="center"/>
    </xf>
    <xf numFmtId="164" fontId="3" fillId="0" borderId="5" xfId="0" applyNumberFormat="1" applyFont="1" applyBorder="1" applyAlignment="1">
      <alignment horizontal="center" vertical="center"/>
    </xf>
    <xf numFmtId="43" fontId="11" fillId="3" borderId="5" xfId="0" applyNumberFormat="1" applyFont="1" applyFill="1" applyBorder="1" applyAlignment="1">
      <alignment horizontal="center" vertical="center"/>
    </xf>
    <xf numFmtId="0" fontId="18" fillId="2" borderId="5" xfId="0" applyFont="1" applyFill="1" applyBorder="1"/>
    <xf numFmtId="0" fontId="5" fillId="0" borderId="13" xfId="0" applyFont="1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0" fontId="3" fillId="0" borderId="13" xfId="0" applyFont="1" applyBorder="1"/>
    <xf numFmtId="14" fontId="3" fillId="0" borderId="13" xfId="0" applyNumberFormat="1" applyFont="1" applyBorder="1" applyAlignment="1">
      <alignment horizontal="center"/>
    </xf>
    <xf numFmtId="2" fontId="3" fillId="0" borderId="13" xfId="0" applyNumberFormat="1" applyFont="1" applyBorder="1"/>
    <xf numFmtId="2" fontId="3" fillId="0" borderId="13" xfId="0" applyNumberFormat="1" applyFont="1" applyBorder="1" applyAlignment="1">
      <alignment horizontal="right"/>
    </xf>
    <xf numFmtId="43" fontId="5" fillId="2" borderId="13" xfId="0" applyNumberFormat="1" applyFont="1" applyFill="1" applyBorder="1" applyAlignment="1">
      <alignment horizontal="center" vertical="center"/>
    </xf>
    <xf numFmtId="43" fontId="0" fillId="0" borderId="0" xfId="0" applyNumberFormat="1"/>
    <xf numFmtId="2" fontId="13" fillId="3" borderId="13" xfId="0" applyNumberFormat="1" applyFont="1" applyFill="1" applyBorder="1" applyAlignment="1">
      <alignment horizontal="center" vertical="center"/>
    </xf>
    <xf numFmtId="0" fontId="3" fillId="0" borderId="5" xfId="1" applyNumberFormat="1" applyFont="1" applyBorder="1" applyAlignment="1">
      <alignment vertical="center"/>
    </xf>
    <xf numFmtId="0" fontId="3" fillId="0" borderId="11" xfId="0" applyFont="1" applyBorder="1"/>
    <xf numFmtId="2" fontId="4" fillId="0" borderId="0" xfId="0" applyNumberFormat="1" applyFont="1"/>
    <xf numFmtId="2" fontId="0" fillId="0" borderId="12" xfId="0" applyNumberFormat="1" applyBorder="1"/>
    <xf numFmtId="0" fontId="10" fillId="0" borderId="13" xfId="0" applyFont="1" applyBorder="1" applyAlignment="1">
      <alignment horizontal="center" vertical="center"/>
    </xf>
    <xf numFmtId="2" fontId="9" fillId="4" borderId="26" xfId="0" applyNumberFormat="1" applyFont="1" applyFill="1" applyBorder="1" applyAlignment="1">
      <alignment horizontal="center" vertical="center"/>
    </xf>
    <xf numFmtId="164" fontId="3" fillId="0" borderId="13" xfId="1" applyFont="1" applyBorder="1" applyAlignment="1">
      <alignment horizontal="center" vertical="center"/>
    </xf>
    <xf numFmtId="0" fontId="13" fillId="3" borderId="6" xfId="0" applyFont="1" applyFill="1" applyBorder="1" applyAlignment="1">
      <alignment horizontal="right" vertical="center" wrapText="1"/>
    </xf>
    <xf numFmtId="0" fontId="0" fillId="0" borderId="5" xfId="0" applyBorder="1" applyAlignment="1">
      <alignment horizontal="right"/>
    </xf>
    <xf numFmtId="0" fontId="0" fillId="0" borderId="0" xfId="0" applyAlignment="1">
      <alignment horizontal="right"/>
    </xf>
    <xf numFmtId="43" fontId="13" fillId="3" borderId="6" xfId="0" applyNumberFormat="1" applyFont="1" applyFill="1" applyBorder="1" applyAlignment="1">
      <alignment horizontal="right" vertical="center" wrapText="1"/>
    </xf>
    <xf numFmtId="0" fontId="3" fillId="0" borderId="5" xfId="3" applyNumberFormat="1" applyFont="1" applyBorder="1" applyAlignment="1">
      <alignment vertical="center"/>
    </xf>
    <xf numFmtId="3" fontId="3" fillId="0" borderId="5" xfId="3" applyNumberFormat="1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3" fillId="0" borderId="13" xfId="0" applyFont="1" applyBorder="1" applyAlignment="1">
      <alignment vertical="center" wrapText="1"/>
    </xf>
    <xf numFmtId="164" fontId="3" fillId="0" borderId="13" xfId="1" applyFont="1" applyBorder="1" applyAlignment="1">
      <alignment vertical="center"/>
    </xf>
    <xf numFmtId="164" fontId="3" fillId="0" borderId="11" xfId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1" fillId="3" borderId="5" xfId="0" applyFont="1" applyFill="1" applyBorder="1" applyAlignment="1">
      <alignment horizontal="right" vertical="center" wrapText="1"/>
    </xf>
    <xf numFmtId="164" fontId="9" fillId="4" borderId="5" xfId="1" applyFont="1" applyFill="1" applyBorder="1" applyAlignment="1">
      <alignment horizontal="right" vertical="center"/>
    </xf>
    <xf numFmtId="0" fontId="3" fillId="0" borderId="13" xfId="0" applyFont="1" applyBorder="1" applyAlignment="1">
      <alignment vertical="center"/>
    </xf>
    <xf numFmtId="0" fontId="3" fillId="0" borderId="12" xfId="0" applyFont="1" applyBorder="1" applyAlignment="1">
      <alignment horizontal="center"/>
    </xf>
    <xf numFmtId="164" fontId="10" fillId="0" borderId="10" xfId="1" applyFont="1" applyBorder="1" applyAlignment="1">
      <alignment horizontal="center" vertical="center"/>
    </xf>
    <xf numFmtId="164" fontId="10" fillId="0" borderId="11" xfId="1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right" vertical="center"/>
    </xf>
    <xf numFmtId="164" fontId="10" fillId="0" borderId="5" xfId="1" applyFont="1" applyBorder="1" applyAlignment="1">
      <alignment horizontal="left" vertical="top"/>
    </xf>
    <xf numFmtId="165" fontId="3" fillId="0" borderId="10" xfId="0" applyNumberFormat="1" applyFont="1" applyBorder="1" applyAlignment="1">
      <alignment horizontal="center"/>
    </xf>
    <xf numFmtId="164" fontId="9" fillId="0" borderId="13" xfId="1" applyFont="1" applyBorder="1" applyAlignment="1">
      <alignment horizontal="center" vertical="center"/>
    </xf>
    <xf numFmtId="0" fontId="10" fillId="0" borderId="13" xfId="0" applyFont="1" applyBorder="1"/>
    <xf numFmtId="164" fontId="10" fillId="0" borderId="13" xfId="0" applyNumberFormat="1" applyFont="1" applyBorder="1"/>
    <xf numFmtId="2" fontId="9" fillId="4" borderId="12" xfId="0" applyNumberFormat="1" applyFont="1" applyFill="1" applyBorder="1" applyAlignment="1">
      <alignment horizontal="center" vertical="center"/>
    </xf>
    <xf numFmtId="164" fontId="9" fillId="4" borderId="12" xfId="1" applyFont="1" applyFill="1" applyBorder="1" applyAlignment="1">
      <alignment horizontal="center" vertical="center"/>
    </xf>
    <xf numFmtId="0" fontId="12" fillId="0" borderId="5" xfId="3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2" fillId="0" borderId="17" xfId="3" applyNumberFormat="1" applyFon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3" fillId="0" borderId="12" xfId="1" applyNumberFormat="1" applyFont="1" applyBorder="1" applyAlignment="1">
      <alignment vertical="center"/>
    </xf>
    <xf numFmtId="164" fontId="3" fillId="0" borderId="12" xfId="1" applyFont="1" applyBorder="1" applyAlignment="1">
      <alignment vertical="center"/>
    </xf>
    <xf numFmtId="2" fontId="0" fillId="0" borderId="13" xfId="0" applyNumberFormat="1" applyBorder="1"/>
    <xf numFmtId="2" fontId="13" fillId="3" borderId="13" xfId="0" applyNumberFormat="1" applyFont="1" applyFill="1" applyBorder="1" applyAlignment="1">
      <alignment horizontal="center" vertical="center" wrapText="1"/>
    </xf>
    <xf numFmtId="2" fontId="0" fillId="0" borderId="13" xfId="0" applyNumberFormat="1" applyBorder="1" applyAlignment="1">
      <alignment horizontal="center"/>
    </xf>
    <xf numFmtId="0" fontId="13" fillId="2" borderId="13" xfId="0" applyFont="1" applyFill="1" applyBorder="1" applyAlignment="1">
      <alignment horizontal="center" vertical="center" wrapText="1"/>
    </xf>
    <xf numFmtId="164" fontId="9" fillId="0" borderId="13" xfId="1" applyFont="1" applyBorder="1" applyAlignment="1">
      <alignment vertical="center"/>
    </xf>
    <xf numFmtId="164" fontId="0" fillId="0" borderId="13" xfId="0" applyNumberFormat="1" applyBorder="1"/>
    <xf numFmtId="164" fontId="10" fillId="0" borderId="12" xfId="1" applyFont="1" applyBorder="1" applyAlignment="1">
      <alignment horizontal="center" vertical="center"/>
    </xf>
    <xf numFmtId="1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165" fontId="3" fillId="0" borderId="27" xfId="0" applyNumberFormat="1" applyFont="1" applyBorder="1" applyAlignment="1">
      <alignment horizontal="center"/>
    </xf>
    <xf numFmtId="0" fontId="0" fillId="0" borderId="21" xfId="0" applyBorder="1"/>
    <xf numFmtId="0" fontId="3" fillId="0" borderId="10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15" fontId="18" fillId="2" borderId="5" xfId="0" applyNumberFormat="1" applyFont="1" applyFill="1" applyBorder="1"/>
    <xf numFmtId="2" fontId="18" fillId="0" borderId="13" xfId="0" applyNumberFormat="1" applyFont="1" applyBorder="1"/>
    <xf numFmtId="0" fontId="5" fillId="0" borderId="13" xfId="0" applyFont="1" applyBorder="1"/>
    <xf numFmtId="0" fontId="20" fillId="0" borderId="0" xfId="0" applyFont="1"/>
    <xf numFmtId="2" fontId="13" fillId="3" borderId="6" xfId="0" applyNumberFormat="1" applyFont="1" applyFill="1" applyBorder="1" applyAlignment="1">
      <alignment horizontal="center" vertical="center" wrapText="1"/>
    </xf>
    <xf numFmtId="2" fontId="13" fillId="3" borderId="6" xfId="0" applyNumberFormat="1" applyFont="1" applyFill="1" applyBorder="1" applyAlignment="1">
      <alignment horizontal="center" vertical="center"/>
    </xf>
    <xf numFmtId="2" fontId="17" fillId="0" borderId="13" xfId="0" applyNumberFormat="1" applyFont="1" applyBorder="1" applyAlignment="1">
      <alignment horizontal="center"/>
    </xf>
    <xf numFmtId="0" fontId="17" fillId="0" borderId="13" xfId="0" applyFont="1" applyBorder="1"/>
    <xf numFmtId="0" fontId="21" fillId="0" borderId="0" xfId="0" applyFont="1"/>
    <xf numFmtId="2" fontId="9" fillId="4" borderId="5" xfId="1" applyNumberFormat="1" applyFont="1" applyFill="1" applyBorder="1" applyAlignment="1">
      <alignment horizontal="center" vertical="center"/>
    </xf>
    <xf numFmtId="0" fontId="0" fillId="0" borderId="5" xfId="0" applyBorder="1" applyAlignment="1">
      <alignment wrapText="1"/>
    </xf>
    <xf numFmtId="164" fontId="3" fillId="2" borderId="5" xfId="1" applyFont="1" applyFill="1" applyBorder="1" applyAlignment="1">
      <alignment horizontal="center" vertical="center"/>
    </xf>
    <xf numFmtId="164" fontId="9" fillId="0" borderId="10" xfId="1" applyFont="1" applyBorder="1" applyAlignment="1">
      <alignment vertical="center"/>
    </xf>
    <xf numFmtId="0" fontId="0" fillId="0" borderId="11" xfId="0" applyBorder="1"/>
    <xf numFmtId="164" fontId="10" fillId="0" borderId="8" xfId="1" applyFont="1" applyBorder="1" applyAlignment="1">
      <alignment horizontal="center" vertical="center"/>
    </xf>
    <xf numFmtId="164" fontId="10" fillId="0" borderId="4" xfId="1" applyFont="1" applyBorder="1" applyAlignment="1">
      <alignment horizontal="center" vertical="center"/>
    </xf>
    <xf numFmtId="164" fontId="10" fillId="0" borderId="18" xfId="1" applyFont="1" applyBorder="1" applyAlignment="1">
      <alignment horizontal="center" vertical="center"/>
    </xf>
    <xf numFmtId="164" fontId="10" fillId="0" borderId="24" xfId="1" applyFont="1" applyBorder="1" applyAlignment="1">
      <alignment horizontal="center" vertical="center"/>
    </xf>
    <xf numFmtId="167" fontId="0" fillId="0" borderId="0" xfId="0" applyNumberFormat="1"/>
    <xf numFmtId="4" fontId="3" fillId="0" borderId="0" xfId="0" applyNumberFormat="1" applyFont="1" applyAlignment="1">
      <alignment vertical="center" wrapText="1"/>
    </xf>
    <xf numFmtId="43" fontId="3" fillId="0" borderId="0" xfId="0" applyNumberFormat="1" applyFont="1" applyAlignment="1">
      <alignment vertical="center"/>
    </xf>
    <xf numFmtId="4" fontId="0" fillId="0" borderId="0" xfId="0" applyNumberFormat="1"/>
    <xf numFmtId="168" fontId="3" fillId="0" borderId="2" xfId="1" applyNumberFormat="1" applyFont="1" applyBorder="1" applyAlignment="1">
      <alignment horizontal="center" vertical="top"/>
    </xf>
    <xf numFmtId="0" fontId="4" fillId="7" borderId="0" xfId="0" applyFont="1" applyFill="1" applyAlignment="1">
      <alignment vertical="center"/>
    </xf>
    <xf numFmtId="0" fontId="17" fillId="7" borderId="0" xfId="0" applyFont="1" applyFill="1"/>
    <xf numFmtId="0" fontId="0" fillId="0" borderId="12" xfId="0" applyBorder="1" applyAlignment="1">
      <alignment horizontal="center"/>
    </xf>
    <xf numFmtId="0" fontId="14" fillId="5" borderId="5" xfId="0" applyFont="1" applyFill="1" applyBorder="1" applyAlignment="1">
      <alignment horizontal="center" vertical="center"/>
    </xf>
    <xf numFmtId="0" fontId="23" fillId="6" borderId="13" xfId="0" applyFont="1" applyFill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2" fontId="3" fillId="0" borderId="5" xfId="1" applyNumberFormat="1" applyFont="1" applyBorder="1" applyAlignment="1">
      <alignment horizontal="center" vertical="center"/>
    </xf>
    <xf numFmtId="2" fontId="3" fillId="0" borderId="0" xfId="1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12" xfId="0" applyNumberFormat="1" applyBorder="1" applyAlignment="1">
      <alignment horizontal="center"/>
    </xf>
    <xf numFmtId="4" fontId="5" fillId="0" borderId="5" xfId="0" applyNumberFormat="1" applyFont="1" applyBorder="1"/>
    <xf numFmtId="1" fontId="0" fillId="0" borderId="5" xfId="0" quotePrefix="1" applyNumberFormat="1" applyBorder="1"/>
    <xf numFmtId="164" fontId="0" fillId="0" borderId="0" xfId="0" applyNumberFormat="1" applyAlignment="1">
      <alignment horizontal="center"/>
    </xf>
    <xf numFmtId="0" fontId="13" fillId="3" borderId="6" xfId="0" applyFont="1" applyFill="1" applyBorder="1" applyAlignment="1">
      <alignment vertical="center" wrapText="1"/>
    </xf>
    <xf numFmtId="166" fontId="3" fillId="0" borderId="5" xfId="0" applyNumberFormat="1" applyFont="1" applyBorder="1"/>
    <xf numFmtId="164" fontId="4" fillId="4" borderId="5" xfId="1" applyFont="1" applyFill="1" applyBorder="1" applyAlignment="1">
      <alignment vertical="center"/>
    </xf>
    <xf numFmtId="1" fontId="3" fillId="0" borderId="0" xfId="0" applyNumberFormat="1" applyFont="1" applyAlignment="1">
      <alignment horizontal="center" vertical="center"/>
    </xf>
    <xf numFmtId="169" fontId="0" fillId="0" borderId="11" xfId="0" applyNumberFormat="1" applyBorder="1"/>
    <xf numFmtId="0" fontId="24" fillId="0" borderId="11" xfId="0" applyFont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1" fontId="17" fillId="0" borderId="20" xfId="0" applyNumberFormat="1" applyFont="1" applyBorder="1" applyAlignment="1">
      <alignment vertical="center"/>
    </xf>
    <xf numFmtId="164" fontId="19" fillId="0" borderId="32" xfId="1" applyFont="1" applyBorder="1" applyAlignment="1">
      <alignment horizontal="center"/>
    </xf>
    <xf numFmtId="1" fontId="3" fillId="2" borderId="5" xfId="0" applyNumberFormat="1" applyFont="1" applyFill="1" applyBorder="1" applyAlignment="1">
      <alignment horizontal="center" vertical="center"/>
    </xf>
    <xf numFmtId="169" fontId="0" fillId="0" borderId="0" xfId="0" applyNumberFormat="1"/>
    <xf numFmtId="0" fontId="8" fillId="0" borderId="5" xfId="0" applyFont="1" applyBorder="1"/>
    <xf numFmtId="166" fontId="26" fillId="0" borderId="5" xfId="0" applyNumberFormat="1" applyFont="1" applyBorder="1" applyAlignment="1">
      <alignment horizontal="center"/>
    </xf>
    <xf numFmtId="166" fontId="24" fillId="0" borderId="5" xfId="0" applyNumberFormat="1" applyFont="1" applyBorder="1" applyAlignment="1">
      <alignment horizontal="center" vertical="center"/>
    </xf>
    <xf numFmtId="164" fontId="24" fillId="0" borderId="5" xfId="1" applyFont="1" applyBorder="1" applyAlignment="1">
      <alignment vertical="center"/>
    </xf>
    <xf numFmtId="0" fontId="27" fillId="8" borderId="28" xfId="0" applyFont="1" applyFill="1" applyBorder="1"/>
    <xf numFmtId="0" fontId="27" fillId="8" borderId="29" xfId="0" applyFont="1" applyFill="1" applyBorder="1"/>
    <xf numFmtId="2" fontId="27" fillId="8" borderId="29" xfId="0" applyNumberFormat="1" applyFont="1" applyFill="1" applyBorder="1"/>
    <xf numFmtId="2" fontId="27" fillId="8" borderId="30" xfId="0" applyNumberFormat="1" applyFont="1" applyFill="1" applyBorder="1"/>
    <xf numFmtId="0" fontId="28" fillId="0" borderId="0" xfId="0" applyFont="1"/>
    <xf numFmtId="0" fontId="28" fillId="0" borderId="5" xfId="0" applyFont="1" applyBorder="1" applyAlignment="1">
      <alignment horizontal="center"/>
    </xf>
    <xf numFmtId="0" fontId="28" fillId="0" borderId="5" xfId="0" applyFont="1" applyBorder="1"/>
    <xf numFmtId="1" fontId="28" fillId="2" borderId="5" xfId="0" applyNumberFormat="1" applyFont="1" applyFill="1" applyBorder="1"/>
    <xf numFmtId="0" fontId="28" fillId="0" borderId="5" xfId="0" applyFont="1" applyBorder="1" applyAlignment="1">
      <alignment wrapText="1"/>
    </xf>
    <xf numFmtId="2" fontId="28" fillId="0" borderId="5" xfId="0" applyNumberFormat="1" applyFont="1" applyBorder="1"/>
    <xf numFmtId="1" fontId="28" fillId="2" borderId="3" xfId="1" applyNumberFormat="1" applyFont="1" applyFill="1" applyBorder="1" applyAlignment="1">
      <alignment vertical="center"/>
    </xf>
    <xf numFmtId="1" fontId="28" fillId="9" borderId="5" xfId="0" applyNumberFormat="1" applyFont="1" applyFill="1" applyBorder="1"/>
    <xf numFmtId="2" fontId="28" fillId="0" borderId="0" xfId="0" applyNumberFormat="1" applyFont="1"/>
    <xf numFmtId="1" fontId="28" fillId="0" borderId="0" xfId="0" applyNumberFormat="1" applyFont="1"/>
    <xf numFmtId="164" fontId="30" fillId="0" borderId="5" xfId="4" applyNumberFormat="1" applyBorder="1" applyAlignment="1">
      <alignment horizontal="center" vertical="center"/>
    </xf>
    <xf numFmtId="164" fontId="3" fillId="0" borderId="10" xfId="1" applyFont="1" applyBorder="1" applyAlignment="1">
      <alignment horizontal="center" vertical="top"/>
    </xf>
    <xf numFmtId="0" fontId="14" fillId="5" borderId="5" xfId="0" applyFont="1" applyFill="1" applyBorder="1" applyAlignment="1">
      <alignment horizontal="right" vertical="center"/>
    </xf>
    <xf numFmtId="0" fontId="13" fillId="3" borderId="5" xfId="0" applyFont="1" applyFill="1" applyBorder="1" applyAlignment="1">
      <alignment horizontal="right" vertical="center" wrapText="1"/>
    </xf>
    <xf numFmtId="2" fontId="13" fillId="3" borderId="5" xfId="0" applyNumberFormat="1" applyFont="1" applyFill="1" applyBorder="1" applyAlignment="1">
      <alignment horizontal="right" vertical="center" wrapText="1"/>
    </xf>
    <xf numFmtId="0" fontId="13" fillId="3" borderId="5" xfId="0" applyFont="1" applyFill="1" applyBorder="1" applyAlignment="1">
      <alignment horizontal="right" vertical="center"/>
    </xf>
    <xf numFmtId="2" fontId="13" fillId="3" borderId="5" xfId="0" applyNumberFormat="1" applyFont="1" applyFill="1" applyBorder="1" applyAlignment="1">
      <alignment horizontal="right" vertical="center"/>
    </xf>
    <xf numFmtId="43" fontId="13" fillId="3" borderId="5" xfId="0" applyNumberFormat="1" applyFont="1" applyFill="1" applyBorder="1" applyAlignment="1">
      <alignment horizontal="right" vertical="center"/>
    </xf>
    <xf numFmtId="0" fontId="23" fillId="6" borderId="13" xfId="0" applyFont="1" applyFill="1" applyBorder="1" applyAlignment="1">
      <alignment horizontal="right"/>
    </xf>
    <xf numFmtId="2" fontId="22" fillId="6" borderId="21" xfId="0" applyNumberFormat="1" applyFont="1" applyFill="1" applyBorder="1" applyAlignment="1">
      <alignment horizontal="right"/>
    </xf>
    <xf numFmtId="2" fontId="22" fillId="6" borderId="11" xfId="0" applyNumberFormat="1" applyFont="1" applyFill="1" applyBorder="1" applyAlignment="1">
      <alignment horizontal="right"/>
    </xf>
    <xf numFmtId="2" fontId="0" fillId="0" borderId="5" xfId="0" applyNumberFormat="1" applyBorder="1" applyAlignment="1">
      <alignment horizontal="right"/>
    </xf>
    <xf numFmtId="2" fontId="0" fillId="2" borderId="5" xfId="0" applyNumberFormat="1" applyFill="1" applyBorder="1" applyAlignment="1">
      <alignment horizontal="right"/>
    </xf>
    <xf numFmtId="2" fontId="0" fillId="0" borderId="13" xfId="0" applyNumberFormat="1" applyBorder="1" applyAlignment="1">
      <alignment horizontal="right"/>
    </xf>
    <xf numFmtId="2" fontId="0" fillId="0" borderId="11" xfId="0" applyNumberFormat="1" applyBorder="1" applyAlignment="1">
      <alignment horizontal="right"/>
    </xf>
    <xf numFmtId="2" fontId="0" fillId="0" borderId="12" xfId="0" applyNumberFormat="1" applyBorder="1" applyAlignment="1">
      <alignment horizontal="right"/>
    </xf>
    <xf numFmtId="0" fontId="0" fillId="0" borderId="13" xfId="0" applyBorder="1" applyAlignment="1">
      <alignment horizontal="right"/>
    </xf>
    <xf numFmtId="1" fontId="0" fillId="0" borderId="13" xfId="0" quotePrefix="1" applyNumberFormat="1" applyBorder="1"/>
    <xf numFmtId="2" fontId="4" fillId="2" borderId="11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vertical="center"/>
    </xf>
    <xf numFmtId="43" fontId="5" fillId="2" borderId="12" xfId="0" applyNumberFormat="1" applyFont="1" applyFill="1" applyBorder="1" applyAlignment="1">
      <alignment horizontal="center" vertical="center"/>
    </xf>
    <xf numFmtId="164" fontId="31" fillId="0" borderId="5" xfId="1" applyFont="1" applyBorder="1" applyAlignment="1"/>
    <xf numFmtId="0" fontId="26" fillId="0" borderId="5" xfId="0" applyFont="1" applyBorder="1"/>
    <xf numFmtId="1" fontId="28" fillId="2" borderId="0" xfId="1" applyNumberFormat="1" applyFont="1" applyFill="1" applyBorder="1" applyAlignment="1">
      <alignment vertical="center"/>
    </xf>
    <xf numFmtId="170" fontId="5" fillId="2" borderId="5" xfId="0" applyNumberFormat="1" applyFont="1" applyFill="1" applyBorder="1" applyAlignment="1">
      <alignment horizontal="center" vertical="center"/>
    </xf>
    <xf numFmtId="170" fontId="0" fillId="0" borderId="11" xfId="0" applyNumberFormat="1" applyBorder="1"/>
    <xf numFmtId="43" fontId="32" fillId="0" borderId="0" xfId="0" applyNumberFormat="1" applyFont="1"/>
    <xf numFmtId="2" fontId="13" fillId="3" borderId="17" xfId="0" applyNumberFormat="1" applyFont="1" applyFill="1" applyBorder="1" applyAlignment="1">
      <alignment horizontal="center" vertical="center"/>
    </xf>
    <xf numFmtId="2" fontId="0" fillId="0" borderId="11" xfId="0" applyNumberFormat="1" applyBorder="1"/>
    <xf numFmtId="2" fontId="0" fillId="2" borderId="11" xfId="0" applyNumberFormat="1" applyFill="1" applyBorder="1" applyAlignment="1">
      <alignment horizontal="right"/>
    </xf>
    <xf numFmtId="0" fontId="0" fillId="2" borderId="10" xfId="0" applyFill="1" applyBorder="1"/>
    <xf numFmtId="2" fontId="0" fillId="0" borderId="33" xfId="0" applyNumberFormat="1" applyBorder="1" applyAlignment="1">
      <alignment horizontal="right"/>
    </xf>
    <xf numFmtId="0" fontId="18" fillId="0" borderId="12" xfId="0" applyFont="1" applyBorder="1"/>
    <xf numFmtId="2" fontId="0" fillId="0" borderId="10" xfId="0" applyNumberFormat="1" applyBorder="1" applyAlignment="1">
      <alignment horizontal="right"/>
    </xf>
    <xf numFmtId="2" fontId="22" fillId="6" borderId="25" xfId="0" applyNumberFormat="1" applyFont="1" applyFill="1" applyBorder="1" applyAlignment="1">
      <alignment horizontal="right"/>
    </xf>
    <xf numFmtId="2" fontId="0" fillId="2" borderId="12" xfId="0" applyNumberFormat="1" applyFill="1" applyBorder="1" applyAlignment="1">
      <alignment horizontal="right"/>
    </xf>
    <xf numFmtId="2" fontId="0" fillId="0" borderId="27" xfId="0" applyNumberFormat="1" applyBorder="1" applyAlignment="1">
      <alignment horizontal="right"/>
    </xf>
    <xf numFmtId="0" fontId="18" fillId="0" borderId="13" xfId="0" applyFont="1" applyBorder="1"/>
    <xf numFmtId="0" fontId="33" fillId="0" borderId="5" xfId="0" applyFont="1" applyBorder="1"/>
    <xf numFmtId="0" fontId="33" fillId="0" borderId="12" xfId="0" applyFont="1" applyBorder="1"/>
    <xf numFmtId="0" fontId="3" fillId="2" borderId="31" xfId="0" applyFont="1" applyFill="1" applyBorder="1"/>
    <xf numFmtId="1" fontId="34" fillId="10" borderId="34" xfId="0" applyNumberFormat="1" applyFont="1" applyFill="1" applyBorder="1" applyAlignment="1">
      <alignment horizontal="right" vertical="center"/>
    </xf>
    <xf numFmtId="2" fontId="0" fillId="0" borderId="21" xfId="0" applyNumberFormat="1" applyBorder="1" applyAlignment="1">
      <alignment horizontal="right"/>
    </xf>
    <xf numFmtId="2" fontId="0" fillId="0" borderId="24" xfId="0" applyNumberFormat="1" applyBorder="1" applyAlignment="1">
      <alignment horizontal="right"/>
    </xf>
    <xf numFmtId="0" fontId="18" fillId="0" borderId="11" xfId="0" applyFont="1" applyBorder="1"/>
    <xf numFmtId="0" fontId="18" fillId="2" borderId="13" xfId="0" applyFont="1" applyFill="1" applyBorder="1"/>
    <xf numFmtId="0" fontId="18" fillId="2" borderId="12" xfId="0" applyFont="1" applyFill="1" applyBorder="1"/>
    <xf numFmtId="166" fontId="31" fillId="0" borderId="5" xfId="0" applyNumberFormat="1" applyFont="1" applyBorder="1" applyAlignment="1">
      <alignment horizontal="center"/>
    </xf>
    <xf numFmtId="2" fontId="3" fillId="0" borderId="3" xfId="1" applyNumberFormat="1" applyFont="1" applyBorder="1" applyAlignment="1">
      <alignment vertical="center"/>
    </xf>
    <xf numFmtId="166" fontId="31" fillId="0" borderId="5" xfId="0" applyNumberFormat="1" applyFont="1" applyBorder="1" applyAlignment="1">
      <alignment horizontal="center" vertical="center"/>
    </xf>
    <xf numFmtId="0" fontId="27" fillId="8" borderId="5" xfId="0" applyFont="1" applyFill="1" applyBorder="1"/>
    <xf numFmtId="2" fontId="27" fillId="8" borderId="5" xfId="0" applyNumberFormat="1" applyFont="1" applyFill="1" applyBorder="1"/>
    <xf numFmtId="0" fontId="28" fillId="11" borderId="5" xfId="0" applyFont="1" applyFill="1" applyBorder="1"/>
    <xf numFmtId="164" fontId="31" fillId="0" borderId="5" xfId="1" applyFont="1" applyBorder="1" applyAlignment="1">
      <alignment vertical="center"/>
    </xf>
    <xf numFmtId="165" fontId="3" fillId="0" borderId="35" xfId="0" applyNumberFormat="1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0" fillId="0" borderId="5" xfId="0" applyBorder="1" applyAlignment="1">
      <alignment horizontal="left"/>
    </xf>
    <xf numFmtId="0" fontId="18" fillId="0" borderId="0" xfId="0" applyFont="1"/>
    <xf numFmtId="15" fontId="18" fillId="2" borderId="13" xfId="0" applyNumberFormat="1" applyFont="1" applyFill="1" applyBorder="1"/>
    <xf numFmtId="2" fontId="0" fillId="0" borderId="23" xfId="0" applyNumberFormat="1" applyBorder="1" applyAlignment="1">
      <alignment horizontal="right"/>
    </xf>
    <xf numFmtId="2" fontId="0" fillId="2" borderId="13" xfId="0" applyNumberFormat="1" applyFill="1" applyBorder="1" applyAlignment="1">
      <alignment horizontal="right"/>
    </xf>
    <xf numFmtId="0" fontId="0" fillId="0" borderId="5" xfId="0" quotePrefix="1" applyBorder="1"/>
    <xf numFmtId="0" fontId="0" fillId="0" borderId="13" xfId="0" applyBorder="1" applyAlignment="1">
      <alignment horizontal="center"/>
    </xf>
    <xf numFmtId="2" fontId="18" fillId="0" borderId="5" xfId="0" applyNumberFormat="1" applyFont="1" applyBorder="1"/>
    <xf numFmtId="0" fontId="35" fillId="0" borderId="5" xfId="0" applyFont="1" applyBorder="1"/>
    <xf numFmtId="0" fontId="5" fillId="0" borderId="23" xfId="0" applyFont="1" applyBorder="1" applyAlignment="1">
      <alignment horizontal="center"/>
    </xf>
    <xf numFmtId="0" fontId="0" fillId="0" borderId="24" xfId="0" applyBorder="1"/>
    <xf numFmtId="0" fontId="0" fillId="0" borderId="13" xfId="0" quotePrefix="1" applyBorder="1"/>
    <xf numFmtId="0" fontId="32" fillId="0" borderId="0" xfId="0" applyFont="1"/>
    <xf numFmtId="2" fontId="0" fillId="11" borderId="12" xfId="0" applyNumberFormat="1" applyFill="1" applyBorder="1"/>
    <xf numFmtId="2" fontId="3" fillId="11" borderId="5" xfId="0" applyNumberFormat="1" applyFont="1" applyFill="1" applyBorder="1"/>
    <xf numFmtId="0" fontId="8" fillId="2" borderId="5" xfId="0" applyFont="1" applyFill="1" applyBorder="1"/>
    <xf numFmtId="0" fontId="8" fillId="12" borderId="5" xfId="0" applyFont="1" applyFill="1" applyBorder="1"/>
    <xf numFmtId="0" fontId="0" fillId="0" borderId="11" xfId="0" applyBorder="1" applyAlignment="1">
      <alignment horizontal="right"/>
    </xf>
    <xf numFmtId="0" fontId="0" fillId="0" borderId="24" xfId="0" applyBorder="1" applyAlignment="1">
      <alignment horizontal="right"/>
    </xf>
    <xf numFmtId="164" fontId="10" fillId="11" borderId="5" xfId="1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center" vertical="center" wrapText="1"/>
    </xf>
    <xf numFmtId="0" fontId="0" fillId="11" borderId="0" xfId="0" applyFill="1"/>
    <xf numFmtId="0" fontId="5" fillId="11" borderId="5" xfId="0" applyFont="1" applyFill="1" applyBorder="1"/>
    <xf numFmtId="1" fontId="3" fillId="0" borderId="10" xfId="0" applyNumberFormat="1" applyFont="1" applyBorder="1" applyAlignment="1">
      <alignment horizontal="center" vertical="center"/>
    </xf>
    <xf numFmtId="2" fontId="9" fillId="4" borderId="36" xfId="0" applyNumberFormat="1" applyFont="1" applyFill="1" applyBorder="1" applyAlignment="1">
      <alignment horizontal="center" vertical="center"/>
    </xf>
    <xf numFmtId="165" fontId="3" fillId="0" borderId="13" xfId="0" applyNumberFormat="1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wrapText="1"/>
    </xf>
    <xf numFmtId="164" fontId="10" fillId="0" borderId="13" xfId="1" applyFont="1" applyBorder="1" applyAlignment="1">
      <alignment horizontal="center" vertical="center"/>
    </xf>
    <xf numFmtId="164" fontId="10" fillId="0" borderId="23" xfId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/>
    </xf>
    <xf numFmtId="164" fontId="10" fillId="13" borderId="10" xfId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4" fillId="5" borderId="9" xfId="0" applyFont="1" applyFill="1" applyBorder="1" applyAlignment="1">
      <alignment horizontal="center"/>
    </xf>
    <xf numFmtId="0" fontId="29" fillId="9" borderId="5" xfId="0" applyFont="1" applyFill="1" applyBorder="1" applyAlignment="1">
      <alignment horizontal="center"/>
    </xf>
    <xf numFmtId="0" fontId="14" fillId="5" borderId="5" xfId="0" applyFont="1" applyFill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7" fillId="0" borderId="23" xfId="0" applyFont="1" applyBorder="1" applyAlignment="1">
      <alignment horizontal="center"/>
    </xf>
    <xf numFmtId="0" fontId="17" fillId="0" borderId="25" xfId="0" applyFont="1" applyBorder="1" applyAlignment="1">
      <alignment horizontal="center"/>
    </xf>
    <xf numFmtId="0" fontId="14" fillId="5" borderId="0" xfId="0" applyFont="1" applyFill="1" applyAlignment="1">
      <alignment horizontal="center" vertical="center"/>
    </xf>
    <xf numFmtId="0" fontId="17" fillId="0" borderId="10" xfId="0" applyFont="1" applyBorder="1" applyAlignment="1">
      <alignment horizontal="center"/>
    </xf>
    <xf numFmtId="0" fontId="14" fillId="5" borderId="5" xfId="0" applyFont="1" applyFill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7" fillId="0" borderId="21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7" fillId="0" borderId="24" xfId="0" applyFont="1" applyBorder="1" applyAlignment="1">
      <alignment horizontal="center"/>
    </xf>
    <xf numFmtId="0" fontId="13" fillId="5" borderId="9" xfId="0" applyFont="1" applyFill="1" applyBorder="1" applyAlignment="1">
      <alignment horizontal="center"/>
    </xf>
    <xf numFmtId="0" fontId="17" fillId="0" borderId="22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5" fillId="5" borderId="9" xfId="0" applyFont="1" applyFill="1" applyBorder="1" applyAlignment="1">
      <alignment horizontal="center"/>
    </xf>
    <xf numFmtId="0" fontId="17" fillId="0" borderId="5" xfId="0" applyFont="1" applyBorder="1" applyAlignment="1">
      <alignment horizontal="center"/>
    </xf>
    <xf numFmtId="43" fontId="4" fillId="0" borderId="0" xfId="0" applyNumberFormat="1" applyFont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43" fontId="4" fillId="2" borderId="10" xfId="0" applyNumberFormat="1" applyFont="1" applyFill="1" applyBorder="1" applyAlignment="1">
      <alignment horizontal="center" vertical="center"/>
    </xf>
    <xf numFmtId="43" fontId="4" fillId="2" borderId="11" xfId="0" applyNumberFormat="1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wrapText="1"/>
    </xf>
    <xf numFmtId="2" fontId="14" fillId="5" borderId="5" xfId="0" applyNumberFormat="1" applyFont="1" applyFill="1" applyBorder="1" applyAlignment="1">
      <alignment horizontal="center" vertical="center"/>
    </xf>
    <xf numFmtId="2" fontId="4" fillId="2" borderId="5" xfId="0" applyNumberFormat="1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wrapText="1"/>
    </xf>
    <xf numFmtId="0" fontId="4" fillId="0" borderId="2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4" xfId="0" applyBorder="1" applyAlignment="1">
      <alignment horizontal="center"/>
    </xf>
    <xf numFmtId="0" fontId="14" fillId="5" borderId="0" xfId="0" applyFont="1" applyFill="1" applyAlignment="1">
      <alignment horizontal="center"/>
    </xf>
    <xf numFmtId="0" fontId="13" fillId="5" borderId="5" xfId="0" applyFont="1" applyFill="1" applyBorder="1" applyAlignment="1">
      <alignment horizontal="center" vertical="center"/>
    </xf>
  </cellXfs>
  <cellStyles count="5">
    <cellStyle name="Comma" xfId="1" builtinId="3"/>
    <cellStyle name="Comma 3" xfId="2" xr:uid="{00000000-0005-0000-0000-000001000000}"/>
    <cellStyle name="Comma 4" xfId="3" xr:uid="{00000000-0005-0000-0000-000002000000}"/>
    <cellStyle name="Hyperlink" xfId="4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eetMetadata" Target="metadata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S" id="{FBF7FABB-9BA5-4D93-8CF6-F4A6D6C03149}" userId="S::mis@civetprojects.com::385d0a88-2879-4baf-a915-f9a0490de5d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6" dT="2025-09-06T09:04:36.95" personId="{FBF7FABB-9BA5-4D93-8CF6-F4A6D6C03149}" id="{FCBC03DA-EC8F-4223-8A39-277F81312B30}">
    <text>redeem cash</text>
  </threadedComment>
  <threadedComment ref="L55" dT="2025-09-22T12:38:21.23" personId="{FBF7FABB-9BA5-4D93-8CF6-F4A6D6C03149}" id="{089B2452-421E-462E-9337-B5CDE3095DB8}">
    <text>redeem cash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13" dT="2025-09-25T10:30:35.04" personId="{FBF7FABB-9BA5-4D93-8CF6-F4A6D6C03149}" id="{E7AC2994-AD03-4763-AAD9-69FE1B576101}">
    <text>redeem cash</text>
  </threadedComment>
  <threadedComment ref="L15" dT="2025-09-25T10:30:35.04" personId="{FBF7FABB-9BA5-4D93-8CF6-F4A6D6C03149}" id="{07247409-98C1-4D78-B296-1117FF9D04E8}">
    <text>redeem cash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6A0B22C-7ABF-44C0-AAAC-85DEBFE341AE}">
  <we:reference id="WA200005502" version="1.0.0.12" store="en-US" storeType="omex"/>
  <we:alternateReferences>
    <we:reference id="WA200005502" version="1.0.0.12" store="en-US" storeType="omex"/>
  </we:alternateReferences>
  <we:properties>
    <we:property name="docId" value="&quot;-UPKuJ3c_HIm7jqlPQAB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civetprojectss-my.sharepoint.com/:x:/g/personal/mis_civetprojects_com/EaN7JETNVtRCqKO_Lcark7UBOl55m2ikPSDC63AQ1xDxNg?e=f6qb82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00C14-FF28-4670-9BCC-E8E660C202C7}">
  <dimension ref="A1:M50"/>
  <sheetViews>
    <sheetView topLeftCell="A24" workbookViewId="0">
      <selection activeCell="J7" sqref="J7"/>
    </sheetView>
  </sheetViews>
  <sheetFormatPr defaultColWidth="8.28515625" defaultRowHeight="15.75"/>
  <cols>
    <col min="1" max="1" width="8.28515625" style="291"/>
    <col min="2" max="2" width="25" style="291" customWidth="1"/>
    <col min="3" max="3" width="34.5703125" style="291" bestFit="1" customWidth="1"/>
    <col min="4" max="4" width="14.85546875" style="291" customWidth="1"/>
    <col min="5" max="5" width="15.42578125" style="291" customWidth="1"/>
    <col min="6" max="6" width="14.5703125" style="291" customWidth="1"/>
    <col min="7" max="7" width="16.5703125" style="291" customWidth="1"/>
    <col min="8" max="8" width="23.5703125" style="291" customWidth="1"/>
    <col min="9" max="9" width="17.42578125" style="291" customWidth="1"/>
    <col min="10" max="10" width="16.7109375" style="291" customWidth="1"/>
    <col min="11" max="11" width="20.42578125" style="291" customWidth="1"/>
    <col min="12" max="12" width="22.7109375" style="291" customWidth="1"/>
    <col min="13" max="16384" width="8.28515625" style="291"/>
  </cols>
  <sheetData>
    <row r="1" spans="1:13">
      <c r="A1" s="287" t="s">
        <v>0</v>
      </c>
      <c r="B1" s="288" t="s">
        <v>1</v>
      </c>
      <c r="C1" s="288" t="s">
        <v>2</v>
      </c>
      <c r="D1" s="289" t="s">
        <v>3</v>
      </c>
      <c r="E1" s="289" t="s">
        <v>4</v>
      </c>
      <c r="F1" s="289" t="s">
        <v>5</v>
      </c>
      <c r="G1" s="289" t="s">
        <v>6</v>
      </c>
      <c r="H1" s="289" t="s">
        <v>7</v>
      </c>
      <c r="I1" s="289" t="s">
        <v>8</v>
      </c>
      <c r="J1" s="289" t="s">
        <v>9</v>
      </c>
      <c r="K1" s="290" t="s">
        <v>10</v>
      </c>
    </row>
    <row r="2" spans="1:13">
      <c r="A2" s="292">
        <v>1</v>
      </c>
      <c r="B2" s="293" t="s">
        <v>11</v>
      </c>
      <c r="C2" s="293" t="s">
        <v>12</v>
      </c>
      <c r="D2" s="294">
        <f>+'Khammam-1'!E38</f>
        <v>79074.87</v>
      </c>
      <c r="E2" s="294">
        <f>+'Khammam-1'!G38</f>
        <v>7565836.5615999997</v>
      </c>
      <c r="F2" s="294">
        <f>+'Khammam-1'!H38</f>
        <v>450</v>
      </c>
      <c r="G2" s="294">
        <f>+'Khammam-1'!J38</f>
        <v>48356.799999999988</v>
      </c>
      <c r="H2" s="294">
        <f>E2+G2</f>
        <v>7614193.3615999995</v>
      </c>
      <c r="I2" s="294">
        <f>+'Khammam-1'!K3</f>
        <v>11063503.279699996</v>
      </c>
      <c r="J2" s="294">
        <f>+'Khammam-1'!L38</f>
        <v>7500000</v>
      </c>
      <c r="K2" s="294">
        <f>H2+I2-J2</f>
        <v>11177696.641299997</v>
      </c>
    </row>
    <row r="3" spans="1:13">
      <c r="A3" s="292">
        <v>2</v>
      </c>
      <c r="B3" s="293" t="s">
        <v>13</v>
      </c>
      <c r="C3" s="293" t="s">
        <v>14</v>
      </c>
      <c r="D3" s="294">
        <f>+'Khammam-2'!E35</f>
        <v>95538.08</v>
      </c>
      <c r="E3" s="294">
        <f>+'Khammam-2'!G35</f>
        <v>9142994.2559999991</v>
      </c>
      <c r="F3" s="294">
        <f>+'Khammam-2'!H35</f>
        <v>475</v>
      </c>
      <c r="G3" s="294">
        <f>+'Khammam-2'!J35</f>
        <v>51053</v>
      </c>
      <c r="H3" s="294">
        <f>E3+G3</f>
        <v>9194047.2559999991</v>
      </c>
      <c r="I3" s="294">
        <f>+'Khammam-2'!K3</f>
        <v>11749283.57</v>
      </c>
      <c r="J3" s="294">
        <f>+'Khammam-2'!L35</f>
        <v>7500000</v>
      </c>
      <c r="K3" s="294">
        <f>H3+I3-J3</f>
        <v>13443330.825999998</v>
      </c>
    </row>
    <row r="4" spans="1:13">
      <c r="A4" s="292">
        <v>3</v>
      </c>
      <c r="B4" s="293" t="s">
        <v>15</v>
      </c>
      <c r="C4" s="293" t="s">
        <v>16</v>
      </c>
      <c r="D4" s="294">
        <f>+'Jedcherla -1'!E37</f>
        <v>34171.990000000005</v>
      </c>
      <c r="E4" s="294">
        <f>+'Jedcherla -1'!G37</f>
        <v>3294863.2757999999</v>
      </c>
      <c r="F4" s="294">
        <f>+'Jedcherla -1'!H37</f>
        <v>592.72</v>
      </c>
      <c r="G4" s="294">
        <f>+'Jedcherla -1'!J37</f>
        <v>64150.085599999999</v>
      </c>
      <c r="H4" s="294">
        <f>E4+G4</f>
        <v>3359013.3613999998</v>
      </c>
      <c r="I4" s="294">
        <f>+'Jedcherla -1'!M3</f>
        <v>3836229.0562999994</v>
      </c>
      <c r="J4" s="294">
        <f>+'Jedcherla -1'!L37</f>
        <v>4555327.8599999994</v>
      </c>
      <c r="K4" s="294">
        <f>H4+I4-J4</f>
        <v>2639914.5576999998</v>
      </c>
    </row>
    <row r="5" spans="1:13" ht="15" customHeight="1">
      <c r="A5" s="292">
        <v>4</v>
      </c>
      <c r="B5" s="293" t="s">
        <v>17</v>
      </c>
      <c r="C5" s="293" t="s">
        <v>18</v>
      </c>
      <c r="D5" s="294">
        <f>+'Jedcharla-2'!E35</f>
        <v>23700</v>
      </c>
      <c r="E5" s="294">
        <f>+'Jedcharla-2'!G35</f>
        <v>2285391.0000000005</v>
      </c>
      <c r="F5" s="294">
        <v>0</v>
      </c>
      <c r="G5" s="294">
        <v>0</v>
      </c>
      <c r="H5" s="294">
        <f t="shared" ref="H5:H40" si="0">E5+G5</f>
        <v>2285391.0000000005</v>
      </c>
      <c r="I5" s="294">
        <f>+'Jedcharla-2'!K3</f>
        <v>0</v>
      </c>
      <c r="J5" s="294">
        <f>+'Jedcharla-2'!L35</f>
        <v>2046458</v>
      </c>
      <c r="K5" s="294">
        <f>H5+I5-J5</f>
        <v>238933.00000000047</v>
      </c>
    </row>
    <row r="6" spans="1:13">
      <c r="A6" s="292">
        <v>6</v>
      </c>
      <c r="B6" s="293" t="s">
        <v>19</v>
      </c>
      <c r="C6" s="293" t="s">
        <v>20</v>
      </c>
      <c r="D6" s="294">
        <f>+Dindi!E35</f>
        <v>118.69</v>
      </c>
      <c r="E6" s="294">
        <f>+Dindi!G35</f>
        <v>11458.415899999998</v>
      </c>
      <c r="F6" s="294">
        <f>+Dindi!H35</f>
        <v>0</v>
      </c>
      <c r="G6" s="294">
        <f>+Dindi!J35</f>
        <v>0</v>
      </c>
      <c r="H6" s="294">
        <f>E6+G6</f>
        <v>11458.415899999998</v>
      </c>
      <c r="I6" s="294"/>
      <c r="J6" s="294">
        <f>+Dindi!L35</f>
        <v>11458.415899999998</v>
      </c>
      <c r="K6" s="294">
        <f t="shared" ref="K6:K40" si="1">H6+I6-J6</f>
        <v>0</v>
      </c>
    </row>
    <row r="7" spans="1:13">
      <c r="A7" s="292">
        <v>7</v>
      </c>
      <c r="B7" s="293" t="s">
        <v>21</v>
      </c>
      <c r="C7" s="293" t="s">
        <v>22</v>
      </c>
      <c r="D7" s="294">
        <f>+Devarakhadra!E35</f>
        <v>16286.749999999998</v>
      </c>
      <c r="E7" s="294">
        <f>+Devarakhadra!G35</f>
        <v>1581443.4249999998</v>
      </c>
      <c r="F7" s="294">
        <f>+Devarakhadra!H35</f>
        <v>145</v>
      </c>
      <c r="G7" s="294">
        <f>+Devarakhadra!J35</f>
        <v>15780.349999999997</v>
      </c>
      <c r="H7" s="294">
        <f>E7+G7</f>
        <v>1597223.7749999999</v>
      </c>
      <c r="I7" s="294">
        <f>+Devarakhadra!M3</f>
        <v>562989.59100000001</v>
      </c>
      <c r="J7" s="294">
        <f>+Devarakhadra!L35</f>
        <v>2039000</v>
      </c>
      <c r="K7" s="294">
        <f t="shared" si="1"/>
        <v>121213.36599999992</v>
      </c>
    </row>
    <row r="8" spans="1:13">
      <c r="A8" s="292">
        <v>8</v>
      </c>
      <c r="B8" s="293" t="s">
        <v>23</v>
      </c>
      <c r="C8" s="293" t="s">
        <v>24</v>
      </c>
      <c r="D8" s="294">
        <f>+'Devarakhadra-2'!E35</f>
        <v>1200</v>
      </c>
      <c r="E8" s="294">
        <f>+'Devarakhadra-2'!G35</f>
        <v>116520</v>
      </c>
      <c r="F8" s="294">
        <f>+'Devarakhadra-2'!H35</f>
        <v>0</v>
      </c>
      <c r="G8" s="294">
        <f>+'Devarakhadra-2'!I35</f>
        <v>0</v>
      </c>
      <c r="H8" s="294">
        <f>E8+G8</f>
        <v>116520</v>
      </c>
      <c r="I8" s="294">
        <f>+'Devarakhadra-2'!M3</f>
        <v>134013.53599999999</v>
      </c>
      <c r="J8" s="294">
        <f>+'Devarakhadra-2'!L35</f>
        <v>118260</v>
      </c>
      <c r="K8" s="294">
        <f t="shared" si="1"/>
        <v>132273.53599999999</v>
      </c>
    </row>
    <row r="9" spans="1:13">
      <c r="A9" s="292">
        <v>9</v>
      </c>
      <c r="B9" s="293" t="s">
        <v>25</v>
      </c>
      <c r="C9" s="293" t="s">
        <v>26</v>
      </c>
      <c r="D9" s="294">
        <f>+Amalapuram!E36</f>
        <v>148.47999999999999</v>
      </c>
      <c r="E9" s="294">
        <f>+Amalapuram!G36</f>
        <v>14017.240400000001</v>
      </c>
      <c r="F9" s="294">
        <f>+Amalapuram!H36</f>
        <v>186.05</v>
      </c>
      <c r="G9" s="294">
        <f>+Amalapuram!J36</f>
        <v>20075.552000000003</v>
      </c>
      <c r="H9" s="294">
        <f>E9+G9</f>
        <v>34092.792400000006</v>
      </c>
      <c r="I9" s="294">
        <f>+Amalapuram!M3</f>
        <v>0</v>
      </c>
      <c r="J9" s="294">
        <f>+Amalapuram!L36</f>
        <v>34092.794999999998</v>
      </c>
      <c r="K9" s="294">
        <f t="shared" si="1"/>
        <v>-2.5999999925261363E-3</v>
      </c>
    </row>
    <row r="10" spans="1:13">
      <c r="A10" s="292">
        <v>10</v>
      </c>
      <c r="B10" s="293" t="s">
        <v>27</v>
      </c>
      <c r="C10" s="293" t="s">
        <v>28</v>
      </c>
      <c r="D10" s="294">
        <f>+'YG Gudda '!E36</f>
        <v>3000</v>
      </c>
      <c r="E10" s="294">
        <f>+'YG Gudda '!G36</f>
        <v>273900</v>
      </c>
      <c r="F10" s="294">
        <f>+'YG Gudda '!H36</f>
        <v>210</v>
      </c>
      <c r="G10" s="294">
        <f>+'YG Gudda '!J36</f>
        <v>21681.449999999997</v>
      </c>
      <c r="H10" s="294">
        <f t="shared" ref="H10:H11" si="2">E10+G10</f>
        <v>295581.45</v>
      </c>
      <c r="I10" s="294">
        <f>'YG Gudda '!K3</f>
        <v>284233.21451380022</v>
      </c>
      <c r="J10" s="294">
        <f>+'YG Gudda '!L36</f>
        <v>470000</v>
      </c>
      <c r="K10" s="294">
        <f t="shared" si="1"/>
        <v>109814.66451380029</v>
      </c>
      <c r="L10" s="291">
        <v>102795</v>
      </c>
      <c r="M10" s="300">
        <f>K10-L10</f>
        <v>7019.6645138002932</v>
      </c>
    </row>
    <row r="11" spans="1:13">
      <c r="A11" s="292">
        <v>11</v>
      </c>
      <c r="B11" s="293" t="s">
        <v>29</v>
      </c>
      <c r="C11" s="293" t="s">
        <v>30</v>
      </c>
      <c r="D11" s="294">
        <f>+'YG Gudda-2'!E35</f>
        <v>8600</v>
      </c>
      <c r="E11" s="294">
        <f>+'YG Gudda-2'!G35</f>
        <v>785438</v>
      </c>
      <c r="F11" s="294">
        <f>+'YG Gudda-2'!H35</f>
        <v>490</v>
      </c>
      <c r="G11" s="294">
        <f>+'YG Gudda-2'!J35</f>
        <v>50602.3</v>
      </c>
      <c r="H11" s="294">
        <f t="shared" si="2"/>
        <v>836040.3</v>
      </c>
      <c r="I11" s="294">
        <f>+'YG Gudda-2'!M3</f>
        <v>230070.7</v>
      </c>
      <c r="J11" s="294">
        <f>+'YG Gudda-2'!L35</f>
        <v>760000</v>
      </c>
      <c r="K11" s="294">
        <f t="shared" si="1"/>
        <v>306111</v>
      </c>
    </row>
    <row r="12" spans="1:13">
      <c r="A12" s="292">
        <v>12</v>
      </c>
      <c r="B12" s="293" t="s">
        <v>31</v>
      </c>
      <c r="C12" s="293" t="s">
        <v>32</v>
      </c>
      <c r="D12" s="294">
        <f>+Hosadurga!E35</f>
        <v>1500</v>
      </c>
      <c r="E12" s="294">
        <f>+Hosadurga!G35</f>
        <v>137700</v>
      </c>
      <c r="F12" s="294">
        <f>+Hosadurga!H35</f>
        <v>70</v>
      </c>
      <c r="G12" s="294">
        <f>+Hosadurga!J35</f>
        <v>7279.2999999999993</v>
      </c>
      <c r="H12" s="294">
        <f t="shared" si="0"/>
        <v>144979.29999999999</v>
      </c>
      <c r="I12" s="294">
        <f>+Hosadurga!K3</f>
        <v>7279.2999999999993</v>
      </c>
      <c r="J12" s="294">
        <f>+Hosadurga!L35</f>
        <v>150000</v>
      </c>
      <c r="K12" s="294">
        <f t="shared" si="1"/>
        <v>2258.5999999999767</v>
      </c>
    </row>
    <row r="13" spans="1:13">
      <c r="A13" s="292">
        <v>13</v>
      </c>
      <c r="B13" s="293" t="s">
        <v>33</v>
      </c>
      <c r="C13" s="293" t="s">
        <v>34</v>
      </c>
      <c r="D13" s="294">
        <f>+'Hosadurga -2'!E35</f>
        <v>3776.7</v>
      </c>
      <c r="E13" s="294">
        <f>+'Hosadurga -2'!G35</f>
        <v>345756.88500000001</v>
      </c>
      <c r="F13" s="294">
        <f>+'Hosadurga -2'!H35</f>
        <v>305</v>
      </c>
      <c r="G13" s="294">
        <f>+'Hosadurga -2'!J35</f>
        <v>31637.649999999998</v>
      </c>
      <c r="H13" s="294">
        <f>+'Hosadurga -2'!K35</f>
        <v>377394.53500000003</v>
      </c>
      <c r="I13" s="294">
        <f>+'Hosadurga -2'!K3</f>
        <v>439314.55189999996</v>
      </c>
      <c r="J13" s="294">
        <f>+'Hosadurga -2'!L35</f>
        <v>539000</v>
      </c>
      <c r="K13" s="294">
        <f>H13+I13-J13</f>
        <v>277709.08689999999</v>
      </c>
    </row>
    <row r="14" spans="1:13" ht="16.5">
      <c r="A14" s="292">
        <v>14</v>
      </c>
      <c r="B14" s="295" t="s">
        <v>35</v>
      </c>
      <c r="C14" s="295" t="s">
        <v>36</v>
      </c>
      <c r="D14" s="294">
        <f>+'Malebenur(KUWSDB)'!E36</f>
        <v>8303.58</v>
      </c>
      <c r="E14" s="294">
        <f>+'Malebenur(KUWSDB)'!G36</f>
        <v>765757.66190000018</v>
      </c>
      <c r="F14" s="294">
        <f>+'Malebenur(KUWSDB)'!H36</f>
        <v>234.99</v>
      </c>
      <c r="G14" s="294">
        <f>+'Malebenur(KUWSDB)'!J36</f>
        <v>24425.519699999997</v>
      </c>
      <c r="H14" s="294">
        <f>E14+G14</f>
        <v>790183.18160000013</v>
      </c>
      <c r="I14" s="294">
        <f>+'Malebenur(KUWSDB)'!K3</f>
        <v>191809.51679999995</v>
      </c>
      <c r="J14" s="294">
        <f>+'Malebenur(KUWSDB)'!L36</f>
        <v>979357.87000000011</v>
      </c>
      <c r="K14" s="294">
        <f>H14+I14-J14</f>
        <v>2634.8283999999985</v>
      </c>
    </row>
    <row r="15" spans="1:13">
      <c r="A15" s="292">
        <v>15</v>
      </c>
      <c r="B15" s="293" t="s">
        <v>37</v>
      </c>
      <c r="C15" s="293" t="s">
        <v>38</v>
      </c>
      <c r="D15" s="294">
        <f>+Kadur!E35</f>
        <v>0</v>
      </c>
      <c r="E15" s="294">
        <f>+Kadur!G35</f>
        <v>0</v>
      </c>
      <c r="F15" s="294">
        <f>+Kadur!H35</f>
        <v>110</v>
      </c>
      <c r="G15" s="294">
        <f>+Kadur!J35</f>
        <v>11469.699999999999</v>
      </c>
      <c r="H15" s="294">
        <f t="shared" si="0"/>
        <v>11469.699999999999</v>
      </c>
      <c r="I15" s="294">
        <f>+Kadur!K3</f>
        <v>417039.13099999976</v>
      </c>
      <c r="J15" s="294">
        <f>+Kadur!L35</f>
        <v>417000</v>
      </c>
      <c r="K15" s="294">
        <f t="shared" si="1"/>
        <v>11508.830999999773</v>
      </c>
    </row>
    <row r="16" spans="1:13">
      <c r="A16" s="292">
        <v>16</v>
      </c>
      <c r="B16" s="293" t="s">
        <v>39</v>
      </c>
      <c r="C16" s="293" t="s">
        <v>40</v>
      </c>
      <c r="D16" s="294">
        <f>+'Hiriyur(VJNL)'!E35</f>
        <v>2200</v>
      </c>
      <c r="E16" s="294">
        <f>+'Hiriyur(VJNL)'!G35</f>
        <v>202972</v>
      </c>
      <c r="F16" s="294">
        <f>+'Hiriyur(VJNL)'!H35</f>
        <v>280</v>
      </c>
      <c r="G16" s="294">
        <f>+'Hiriyur(VJNL)'!J35</f>
        <v>29159.200000000001</v>
      </c>
      <c r="H16" s="294">
        <f t="shared" si="0"/>
        <v>232131.20000000001</v>
      </c>
      <c r="I16" s="294">
        <f>+'Hiriyur(VJNL)'!K3</f>
        <v>191992.3</v>
      </c>
      <c r="J16" s="294">
        <f>+'Hiriyur(VJNL)'!L35</f>
        <v>349282.1</v>
      </c>
      <c r="K16" s="294">
        <f t="shared" si="1"/>
        <v>74841.400000000023</v>
      </c>
    </row>
    <row r="17" spans="1:13">
      <c r="A17" s="292">
        <v>17</v>
      </c>
      <c r="B17" s="293" t="s">
        <v>41</v>
      </c>
      <c r="C17" s="293" t="s">
        <v>42</v>
      </c>
      <c r="D17" s="294">
        <f>+'Chellakere (KUWSDB)'!E35</f>
        <v>4332.28</v>
      </c>
      <c r="E17" s="294">
        <f>+'Chellakere (KUWSDB)'!G35</f>
        <v>399641.44040000002</v>
      </c>
      <c r="F17" s="294">
        <f>+'Chellakere (KUWSDB)'!H35</f>
        <v>260</v>
      </c>
      <c r="G17" s="294">
        <f>+'Chellakere (KUWSDB)'!J35</f>
        <v>24991.199999999997</v>
      </c>
      <c r="H17" s="294">
        <f t="shared" si="0"/>
        <v>424632.64040000003</v>
      </c>
      <c r="I17" s="294">
        <v>0</v>
      </c>
      <c r="J17" s="294">
        <f>+'Chellakere (KUWSDB)'!L35</f>
        <v>424632.64040000003</v>
      </c>
      <c r="K17" s="294">
        <f t="shared" si="1"/>
        <v>0</v>
      </c>
    </row>
    <row r="18" spans="1:13">
      <c r="A18" s="292">
        <v>18</v>
      </c>
      <c r="B18" s="293" t="s">
        <v>43</v>
      </c>
      <c r="C18" s="341" t="s">
        <v>44</v>
      </c>
      <c r="D18" s="294">
        <f>+Molakamuru!E35</f>
        <v>2650</v>
      </c>
      <c r="E18" s="294">
        <f>+Molakamuru!G35</f>
        <v>244489</v>
      </c>
      <c r="F18" s="294">
        <f>+Molakamuru!H35</f>
        <v>50</v>
      </c>
      <c r="G18" s="294">
        <f>+Molakamuru!J35</f>
        <v>5206.5</v>
      </c>
      <c r="H18" s="294">
        <f t="shared" si="0"/>
        <v>249695.5</v>
      </c>
      <c r="I18" s="294">
        <f>+Molakamuru!K3</f>
        <v>0</v>
      </c>
      <c r="J18" s="294">
        <f>+Molakamuru!L35</f>
        <v>249695.49999999997</v>
      </c>
      <c r="K18" s="294">
        <f t="shared" si="1"/>
        <v>0</v>
      </c>
    </row>
    <row r="19" spans="1:13">
      <c r="A19" s="292">
        <v>19</v>
      </c>
      <c r="B19" s="293" t="s">
        <v>45</v>
      </c>
      <c r="C19" s="293" t="s">
        <v>46</v>
      </c>
      <c r="D19" s="294">
        <f>+Khanapur!E35</f>
        <v>1822.61</v>
      </c>
      <c r="E19" s="294">
        <f>+Khanapur!G35</f>
        <v>161544.79680000001</v>
      </c>
      <c r="F19" s="294">
        <f>+Khanapur!H35</f>
        <v>58.86</v>
      </c>
      <c r="G19" s="294">
        <f>+Khanapur!J35</f>
        <v>6049.0422000000008</v>
      </c>
      <c r="H19" s="294">
        <f t="shared" si="0"/>
        <v>167593.83900000001</v>
      </c>
      <c r="I19" s="294">
        <v>0</v>
      </c>
      <c r="J19" s="294">
        <f>+Khanapur!L35</f>
        <v>157423.08899999998</v>
      </c>
      <c r="K19" s="294">
        <f t="shared" si="1"/>
        <v>10170.750000000029</v>
      </c>
    </row>
    <row r="20" spans="1:13">
      <c r="A20" s="292">
        <v>20</v>
      </c>
      <c r="B20" s="293" t="s">
        <v>47</v>
      </c>
      <c r="C20" s="293" t="s">
        <v>48</v>
      </c>
      <c r="D20" s="294">
        <f>+'Munavali-2'!E37</f>
        <v>9465.14</v>
      </c>
      <c r="E20" s="294">
        <f>+'Munavali-2'!G37</f>
        <v>864311.87939999986</v>
      </c>
      <c r="F20" s="294">
        <f>+'Munavali-2'!H37</f>
        <v>184.72</v>
      </c>
      <c r="G20" s="294">
        <f>+'Munavali-2'!J37</f>
        <v>19070.134000000002</v>
      </c>
      <c r="H20" s="294">
        <f t="shared" si="0"/>
        <v>883382.01339999982</v>
      </c>
      <c r="I20" s="294">
        <f>+'Munavali-2'!M3</f>
        <v>480082.77439999999</v>
      </c>
      <c r="J20" s="294">
        <f>+'Munavali-2'!L37</f>
        <v>1158613.76</v>
      </c>
      <c r="K20" s="294">
        <f t="shared" si="1"/>
        <v>204851.02779999981</v>
      </c>
    </row>
    <row r="21" spans="1:13">
      <c r="A21" s="292">
        <v>21</v>
      </c>
      <c r="B21" s="293" t="s">
        <v>49</v>
      </c>
      <c r="C21" s="293" t="s">
        <v>50</v>
      </c>
      <c r="D21" s="294">
        <f>+Borgaon!E35</f>
        <v>393.5</v>
      </c>
      <c r="E21" s="294">
        <f>+Borgaon!G35</f>
        <v>36111.495000000003</v>
      </c>
      <c r="F21" s="294">
        <f>+Borgaon!H35</f>
        <v>90.91</v>
      </c>
      <c r="G21" s="294">
        <f>+Borgaon!J35</f>
        <v>9510.5042999999987</v>
      </c>
      <c r="H21" s="294">
        <f t="shared" si="0"/>
        <v>45621.999300000003</v>
      </c>
      <c r="I21" s="294">
        <f>+Borgaon!K3</f>
        <v>38975.608099999976</v>
      </c>
      <c r="J21" s="294">
        <f>+Borgaon!L35</f>
        <v>43000</v>
      </c>
      <c r="K21" s="294">
        <f>H21+I21-J21</f>
        <v>41597.607399999979</v>
      </c>
    </row>
    <row r="22" spans="1:13">
      <c r="A22" s="292">
        <v>22</v>
      </c>
      <c r="B22" s="293" t="s">
        <v>51</v>
      </c>
      <c r="C22" s="293" t="s">
        <v>52</v>
      </c>
      <c r="D22" s="294">
        <f>+'Ugar,Khagwad,Kudichi'!E35</f>
        <v>3544.61</v>
      </c>
      <c r="E22" s="294">
        <f>+'Ugar,Khagwad,Kudichi'!G35</f>
        <v>325855.99730000005</v>
      </c>
      <c r="F22" s="294">
        <f>+'Ugar,Khagwad,Kudichi'!H35</f>
        <v>300</v>
      </c>
      <c r="G22" s="294">
        <f>+'Ugar,Khagwad,Kudichi'!J35</f>
        <v>31167.000000000007</v>
      </c>
      <c r="H22" s="294">
        <f t="shared" si="0"/>
        <v>357022.99730000005</v>
      </c>
      <c r="I22" s="294">
        <f>+'Ugar,Khagwad,Kudichi'!M3</f>
        <v>276896.23910000024</v>
      </c>
      <c r="J22" s="294">
        <f>+'Ugar,Khagwad,Kudichi'!L35</f>
        <v>403000</v>
      </c>
      <c r="K22" s="294">
        <f>H22+I22-J22</f>
        <v>230919.23640000029</v>
      </c>
    </row>
    <row r="23" spans="1:13">
      <c r="A23" s="292">
        <v>23</v>
      </c>
      <c r="B23" s="293" t="s">
        <v>53</v>
      </c>
      <c r="C23" s="293" t="s">
        <v>54</v>
      </c>
      <c r="D23" s="294">
        <f>+Kabbur!E35</f>
        <v>425</v>
      </c>
      <c r="E23" s="294">
        <f>+Kabbur!G35</f>
        <v>38925.75</v>
      </c>
      <c r="F23" s="294">
        <f>+Kabbur!H35</f>
        <v>26.25</v>
      </c>
      <c r="G23" s="294">
        <f>+Kabbur!J35</f>
        <v>2717.6624999999999</v>
      </c>
      <c r="H23" s="294">
        <f t="shared" si="0"/>
        <v>41643.412499999999</v>
      </c>
      <c r="I23" s="294">
        <v>0</v>
      </c>
      <c r="J23" s="294">
        <f>+Kabbur!L35</f>
        <v>41643.412500000006</v>
      </c>
      <c r="K23" s="294">
        <f t="shared" si="1"/>
        <v>0</v>
      </c>
    </row>
    <row r="24" spans="1:13">
      <c r="A24" s="292">
        <v>24</v>
      </c>
      <c r="B24" s="293" t="s">
        <v>55</v>
      </c>
      <c r="C24" s="293" t="s">
        <v>56</v>
      </c>
      <c r="D24" s="294">
        <f>+kumta!E35</f>
        <v>708.42000000000007</v>
      </c>
      <c r="E24" s="294">
        <f>+kumta!G35</f>
        <v>65117.966400000012</v>
      </c>
      <c r="F24" s="294">
        <f>+kumta!H35</f>
        <v>48.370000000000005</v>
      </c>
      <c r="G24" s="294">
        <f>+kumta!J35</f>
        <v>5028.5452000000005</v>
      </c>
      <c r="H24" s="294">
        <f t="shared" si="0"/>
        <v>70146.511600000013</v>
      </c>
      <c r="I24" s="294">
        <v>0</v>
      </c>
      <c r="J24" s="294">
        <f>+kumta!L35</f>
        <v>70146.511200000008</v>
      </c>
      <c r="K24" s="294">
        <f t="shared" si="1"/>
        <v>4.0000000444706529E-4</v>
      </c>
    </row>
    <row r="25" spans="1:13">
      <c r="A25" s="292">
        <v>25</v>
      </c>
      <c r="B25" s="293" t="s">
        <v>57</v>
      </c>
      <c r="C25" s="293" t="s">
        <v>58</v>
      </c>
      <c r="D25" s="294">
        <f>+Jalgaon!E45</f>
        <v>10846.58</v>
      </c>
      <c r="E25" s="294">
        <f>+Jalgaon!G45</f>
        <v>994753.75899999985</v>
      </c>
      <c r="F25" s="294">
        <f>+Jalgaon!H45</f>
        <v>34.18</v>
      </c>
      <c r="G25" s="294">
        <f>+Jalgaon!J45</f>
        <v>3069.4441999999999</v>
      </c>
      <c r="H25" s="294">
        <f t="shared" si="0"/>
        <v>997823.20319999987</v>
      </c>
      <c r="I25" s="294">
        <f>+Jalgaon!K3</f>
        <v>215765.12089999995</v>
      </c>
      <c r="J25" s="294">
        <f>+Jalgaon!L45</f>
        <v>704000</v>
      </c>
      <c r="K25" s="294">
        <f t="shared" si="1"/>
        <v>509588.32409999985</v>
      </c>
    </row>
    <row r="26" spans="1:13">
      <c r="A26" s="292">
        <v>26</v>
      </c>
      <c r="B26" s="293" t="s">
        <v>59</v>
      </c>
      <c r="C26" s="293" t="s">
        <v>60</v>
      </c>
      <c r="D26" s="294">
        <f>+MKBD!E36</f>
        <v>3180</v>
      </c>
      <c r="E26" s="294">
        <f>+MKBD!G36</f>
        <v>290191.59999999998</v>
      </c>
      <c r="F26" s="294">
        <f>+MKBD!H36</f>
        <v>60</v>
      </c>
      <c r="G26" s="294">
        <f>+MKBD!J36</f>
        <v>6276</v>
      </c>
      <c r="H26" s="294">
        <f t="shared" si="0"/>
        <v>296467.59999999998</v>
      </c>
      <c r="I26" s="294">
        <f>+MKBD!K3</f>
        <v>1341625.6499999999</v>
      </c>
      <c r="J26" s="294">
        <f>+MKBD!L36</f>
        <v>1529612.6</v>
      </c>
      <c r="K26" s="294">
        <f t="shared" si="1"/>
        <v>108480.64999999991</v>
      </c>
    </row>
    <row r="27" spans="1:13">
      <c r="A27" s="292">
        <v>27</v>
      </c>
      <c r="B27" s="293" t="s">
        <v>61</v>
      </c>
      <c r="C27" s="293" t="s">
        <v>62</v>
      </c>
      <c r="D27" s="294">
        <f>+Haveri!E35</f>
        <v>3853.1</v>
      </c>
      <c r="E27" s="294">
        <f>+Haveri!G35</f>
        <v>352349.45460000006</v>
      </c>
      <c r="F27" s="294">
        <f>+Haveri!H35</f>
        <v>108.91</v>
      </c>
      <c r="G27" s="294">
        <f>+Haveri!J35</f>
        <v>11261.294</v>
      </c>
      <c r="H27" s="294">
        <f t="shared" si="0"/>
        <v>363610.74860000005</v>
      </c>
      <c r="I27" s="294">
        <f>+Haveri!M3</f>
        <v>166543.85650000002</v>
      </c>
      <c r="J27" s="294">
        <f>+Haveri!L35</f>
        <v>429766</v>
      </c>
      <c r="K27" s="294">
        <f t="shared" si="1"/>
        <v>100388.60510000004</v>
      </c>
    </row>
    <row r="28" spans="1:13">
      <c r="A28" s="292">
        <v>28</v>
      </c>
      <c r="B28" s="293" t="s">
        <v>63</v>
      </c>
      <c r="C28" s="293" t="s">
        <v>64</v>
      </c>
      <c r="D28" s="294">
        <f>+Guttal!E35</f>
        <v>1975.51</v>
      </c>
      <c r="E28" s="294">
        <f>+Guttal!G35</f>
        <v>181351.818</v>
      </c>
      <c r="F28" s="294">
        <f>+Guttal!H35</f>
        <v>132</v>
      </c>
      <c r="G28" s="294">
        <f>+Guttal!J35</f>
        <v>13696.319999999998</v>
      </c>
      <c r="H28" s="294">
        <f t="shared" si="0"/>
        <v>195048.13800000001</v>
      </c>
      <c r="I28" s="294">
        <v>0</v>
      </c>
      <c r="J28" s="294">
        <f>+Guttal!L35</f>
        <v>195048.13999999996</v>
      </c>
      <c r="K28" s="294">
        <f t="shared" si="1"/>
        <v>-1.9999999494757503E-3</v>
      </c>
    </row>
    <row r="29" spans="1:13">
      <c r="A29" s="292">
        <v>29</v>
      </c>
      <c r="B29" s="293" t="s">
        <v>65</v>
      </c>
      <c r="C29" s="293" t="s">
        <v>66</v>
      </c>
      <c r="D29" s="294">
        <f>+Rattihali!E35</f>
        <v>2721.88</v>
      </c>
      <c r="E29" s="294">
        <f>+Rattihali!G35</f>
        <v>250521.83519999997</v>
      </c>
      <c r="F29" s="294">
        <f>+Rattihali!H35</f>
        <v>73.94</v>
      </c>
      <c r="G29" s="294">
        <f>+Rattihali!J35</f>
        <v>7691.2387999999992</v>
      </c>
      <c r="H29" s="294">
        <f t="shared" si="0"/>
        <v>258213.07399999996</v>
      </c>
      <c r="I29" s="294">
        <f>+Rattihali!M3</f>
        <v>266689.15999999997</v>
      </c>
      <c r="J29" s="294">
        <f>+Rattihali!L35</f>
        <v>351026</v>
      </c>
      <c r="K29" s="294">
        <f t="shared" si="1"/>
        <v>173876.23399999994</v>
      </c>
    </row>
    <row r="30" spans="1:13">
      <c r="A30" s="292">
        <v>30</v>
      </c>
      <c r="B30" s="293" t="s">
        <v>67</v>
      </c>
      <c r="C30" s="293" t="s">
        <v>68</v>
      </c>
      <c r="D30" s="294">
        <f>+Gajendragada!E35</f>
        <v>1750</v>
      </c>
      <c r="E30" s="294">
        <f>+Gajendragada!G35</f>
        <v>160702.5</v>
      </c>
      <c r="F30" s="294">
        <f>+Gajendragada!H35</f>
        <v>135</v>
      </c>
      <c r="G30" s="294">
        <f>+Gajendragada!J35</f>
        <v>14013</v>
      </c>
      <c r="H30" s="294">
        <f t="shared" si="0"/>
        <v>174715.5</v>
      </c>
      <c r="I30" s="294">
        <f>+Gajendragada!K3</f>
        <v>60128.511500000008</v>
      </c>
      <c r="J30" s="294">
        <f>+Gajendragada!L35</f>
        <v>101172</v>
      </c>
      <c r="K30" s="294">
        <f t="shared" si="1"/>
        <v>133672.01150000002</v>
      </c>
    </row>
    <row r="31" spans="1:13">
      <c r="A31" s="292">
        <v>32</v>
      </c>
      <c r="B31" s="296" t="s">
        <v>69</v>
      </c>
      <c r="C31" s="296" t="s">
        <v>70</v>
      </c>
      <c r="D31" s="294">
        <f>+'Gokak Dharwad PKG 3'!E40</f>
        <v>9359.68</v>
      </c>
      <c r="E31" s="294">
        <f>+'Gokak Dharwad PKG 3'!G40</f>
        <v>856223.52639999986</v>
      </c>
      <c r="F31" s="294">
        <f>+'Gokak Dharwad PKG 3'!H40</f>
        <v>362</v>
      </c>
      <c r="G31" s="294">
        <f>+'Gokak Dharwad PKG 3'!J40</f>
        <v>37434.42</v>
      </c>
      <c r="H31" s="294">
        <f t="shared" si="0"/>
        <v>893657.9463999999</v>
      </c>
      <c r="I31" s="297">
        <f>+'Gokak Dharwad PKG 3'!K3</f>
        <v>743234.14550000057</v>
      </c>
      <c r="J31" s="294">
        <f>+'Gokak Dharwad PKG 3'!L40</f>
        <v>600000</v>
      </c>
      <c r="K31" s="294">
        <f t="shared" si="1"/>
        <v>1036892.0919000003</v>
      </c>
      <c r="M31" s="300"/>
    </row>
    <row r="32" spans="1:13">
      <c r="A32" s="292">
        <v>33</v>
      </c>
      <c r="B32" s="296" t="s">
        <v>71</v>
      </c>
      <c r="C32" s="296" t="s">
        <v>72</v>
      </c>
      <c r="D32" s="294">
        <f>+Ankalgi!E35</f>
        <v>1622.6099999999997</v>
      </c>
      <c r="E32" s="294">
        <f>+Ankalgi!G35</f>
        <v>148160.5191</v>
      </c>
      <c r="F32" s="294">
        <f>+Ankalgi!H35</f>
        <v>147</v>
      </c>
      <c r="G32" s="294">
        <f>+Ankalgi!J35</f>
        <v>15174.809999999998</v>
      </c>
      <c r="H32" s="294">
        <f t="shared" si="0"/>
        <v>163335.3291</v>
      </c>
      <c r="I32" s="324">
        <f>+Ankalgi!M3</f>
        <v>228405.7726</v>
      </c>
      <c r="J32" s="294">
        <f>+Ankalgi!L35</f>
        <v>285745</v>
      </c>
      <c r="K32" s="294">
        <f t="shared" si="1"/>
        <v>105996.1017</v>
      </c>
    </row>
    <row r="33" spans="1:13">
      <c r="A33" s="292">
        <v>34</v>
      </c>
      <c r="B33" s="296" t="s">
        <v>73</v>
      </c>
      <c r="C33" s="296" t="s">
        <v>74</v>
      </c>
      <c r="D33" s="294">
        <f>+' Shankeshwar'!E35</f>
        <v>0</v>
      </c>
      <c r="E33" s="294">
        <f>+' Shankeshwar'!G35</f>
        <v>0</v>
      </c>
      <c r="F33" s="294">
        <f>+' Shankeshwar'!H35</f>
        <v>29</v>
      </c>
      <c r="G33" s="294">
        <f>+' Shankeshwar'!J35</f>
        <v>2993.38</v>
      </c>
      <c r="H33" s="294">
        <f t="shared" si="0"/>
        <v>2993.38</v>
      </c>
      <c r="I33" s="294"/>
      <c r="J33" s="294">
        <f>+' Shankeshwar'!L35</f>
        <v>2993.38</v>
      </c>
      <c r="K33" s="294">
        <f t="shared" si="1"/>
        <v>0</v>
      </c>
    </row>
    <row r="34" spans="1:13">
      <c r="A34" s="292">
        <v>35</v>
      </c>
      <c r="B34" s="296" t="s">
        <v>75</v>
      </c>
      <c r="C34" s="296" t="s">
        <v>76</v>
      </c>
      <c r="D34" s="294">
        <f>+' Talikote'!E46</f>
        <v>1199.7400000000002</v>
      </c>
      <c r="E34" s="294">
        <f>+' Talikote'!G46</f>
        <v>109776.20999999999</v>
      </c>
      <c r="F34" s="294">
        <f>+' Talikote'!H46</f>
        <v>103.21</v>
      </c>
      <c r="G34" s="294">
        <f>+' Talikote'!J46</f>
        <v>10673.848400000001</v>
      </c>
      <c r="H34" s="294">
        <f t="shared" si="0"/>
        <v>120450.05839999999</v>
      </c>
      <c r="I34" s="294">
        <f>+' Talikote'!N3</f>
        <v>40815.883999999998</v>
      </c>
      <c r="J34" s="294">
        <f>+' Talikote'!L46</f>
        <v>140652</v>
      </c>
      <c r="K34" s="294">
        <f t="shared" si="1"/>
        <v>20613.9424</v>
      </c>
    </row>
    <row r="35" spans="1:13">
      <c r="A35" s="292">
        <v>36</v>
      </c>
      <c r="B35" s="296" t="s">
        <v>77</v>
      </c>
      <c r="C35" s="296" t="s">
        <v>78</v>
      </c>
      <c r="D35" s="294">
        <f>+Chadchan!E35</f>
        <v>1396.2099999999998</v>
      </c>
      <c r="E35" s="294">
        <f>+Chadchan!G35</f>
        <v>127376.23830000001</v>
      </c>
      <c r="F35" s="294">
        <f>+Chadchan!H35</f>
        <v>120.93999999999998</v>
      </c>
      <c r="G35" s="294">
        <f>+Chadchan!J35</f>
        <v>12476.170399999997</v>
      </c>
      <c r="H35" s="294">
        <f t="shared" si="0"/>
        <v>139852.4087</v>
      </c>
      <c r="I35" s="294">
        <f>+Chadchan!K3</f>
        <v>188963.51950000002</v>
      </c>
      <c r="J35" s="294">
        <f>+Chadchan!L35</f>
        <v>235933.5</v>
      </c>
      <c r="K35" s="294">
        <f t="shared" si="1"/>
        <v>92882.428200000024</v>
      </c>
    </row>
    <row r="36" spans="1:13">
      <c r="A36" s="292">
        <v>37</v>
      </c>
      <c r="B36" s="296" t="s">
        <v>79</v>
      </c>
      <c r="C36" s="296" t="s">
        <v>80</v>
      </c>
      <c r="D36" s="294">
        <f>+Sindagi!E44</f>
        <v>0</v>
      </c>
      <c r="E36" s="294">
        <f>+Sindagi!G44</f>
        <v>0</v>
      </c>
      <c r="F36" s="294">
        <f>+Sindagi!H44</f>
        <v>0</v>
      </c>
      <c r="G36" s="294">
        <f>+Sindagi!J44</f>
        <v>0</v>
      </c>
      <c r="H36" s="294">
        <f t="shared" si="0"/>
        <v>0</v>
      </c>
      <c r="I36" s="294">
        <f>+Sindagi!M3</f>
        <v>31876.861399999994</v>
      </c>
      <c r="J36" s="294">
        <f>+Sindagi!L44</f>
        <v>31876.861399999994</v>
      </c>
      <c r="K36" s="294">
        <f t="shared" si="1"/>
        <v>0</v>
      </c>
    </row>
    <row r="37" spans="1:13">
      <c r="A37" s="292">
        <v>38</v>
      </c>
      <c r="B37" s="296" t="s">
        <v>81</v>
      </c>
      <c r="C37" s="296" t="s">
        <v>82</v>
      </c>
      <c r="D37" s="294">
        <f>+Muddebihal!E47</f>
        <v>2309.1</v>
      </c>
      <c r="E37" s="294">
        <f>+Muddebihal!G47</f>
        <v>211167.19499999995</v>
      </c>
      <c r="F37" s="294">
        <f>+Muddebihal!H47</f>
        <v>55.61</v>
      </c>
      <c r="G37" s="294">
        <f>+Muddebihal!J47</f>
        <v>5748.6332000000002</v>
      </c>
      <c r="H37" s="294">
        <f t="shared" si="0"/>
        <v>216915.82819999996</v>
      </c>
      <c r="I37" s="294">
        <f>+Muddebihal!M3</f>
        <v>45514.196000000004</v>
      </c>
      <c r="J37" s="294">
        <f>+Muddebihal!L47</f>
        <v>232027</v>
      </c>
      <c r="K37" s="294">
        <f t="shared" si="1"/>
        <v>30403.024199999985</v>
      </c>
    </row>
    <row r="38" spans="1:13">
      <c r="A38" s="292">
        <v>39</v>
      </c>
      <c r="B38" s="296" t="s">
        <v>83</v>
      </c>
      <c r="C38" s="296" t="s">
        <v>84</v>
      </c>
      <c r="D38" s="294">
        <f>+Alemela!E43</f>
        <v>1365</v>
      </c>
      <c r="E38" s="294">
        <f>+Alemela!G43</f>
        <v>124634.44999999998</v>
      </c>
      <c r="F38" s="294">
        <f>+Alemela!H43</f>
        <v>100.68</v>
      </c>
      <c r="G38" s="294">
        <f>+Alemela!J43</f>
        <v>10396.216799999998</v>
      </c>
      <c r="H38" s="294">
        <f t="shared" si="0"/>
        <v>135030.66679999998</v>
      </c>
      <c r="I38" s="294">
        <f>+Alemela!M3</f>
        <v>37173.47389999999</v>
      </c>
      <c r="J38" s="294">
        <f>+Alemela!L43</f>
        <v>167807.32</v>
      </c>
      <c r="K38" s="294">
        <f t="shared" si="1"/>
        <v>4396.8206999999529</v>
      </c>
    </row>
    <row r="39" spans="1:13">
      <c r="A39" s="292">
        <v>40</v>
      </c>
      <c r="B39" s="296" t="s">
        <v>85</v>
      </c>
      <c r="C39" s="296" t="s">
        <v>86</v>
      </c>
      <c r="D39" s="294">
        <f>+Nalatwad!E43</f>
        <v>468.66000000000008</v>
      </c>
      <c r="E39" s="294">
        <f>+Nalatwad!G43</f>
        <v>42959.583600000005</v>
      </c>
      <c r="F39" s="294">
        <f>+Nalatwad!H43</f>
        <v>64.16</v>
      </c>
      <c r="G39" s="294">
        <f>+Nalatwad!J43</f>
        <v>6645.0511999999999</v>
      </c>
      <c r="H39" s="294">
        <f>E39+G39</f>
        <v>49604.634800000007</v>
      </c>
      <c r="I39" s="294">
        <f>+Nalatwad!M3</f>
        <v>119940.00260000002</v>
      </c>
      <c r="J39" s="294">
        <f>+Nalatwad!L43</f>
        <v>150000</v>
      </c>
      <c r="K39" s="294">
        <f>H39+I39-J39</f>
        <v>19544.637400000036</v>
      </c>
    </row>
    <row r="40" spans="1:13">
      <c r="A40" s="292">
        <v>41</v>
      </c>
      <c r="B40" s="296" t="s">
        <v>87</v>
      </c>
      <c r="C40" s="296" t="s">
        <v>88</v>
      </c>
      <c r="D40" s="294">
        <f>+Srirangapatna!E35</f>
        <v>0</v>
      </c>
      <c r="E40" s="294">
        <f>+Srirangapatna!G35</f>
        <v>0</v>
      </c>
      <c r="F40" s="294">
        <f>+Srirangapatna!H35</f>
        <v>71.28</v>
      </c>
      <c r="G40" s="294">
        <f>+Srirangapatna!J35</f>
        <v>7303.3487999999988</v>
      </c>
      <c r="H40" s="294">
        <f t="shared" si="0"/>
        <v>7303.3487999999988</v>
      </c>
      <c r="I40" s="294">
        <v>0</v>
      </c>
      <c r="J40" s="294">
        <f>+Srirangapatna!L35</f>
        <v>7303.3487999999988</v>
      </c>
      <c r="K40" s="294">
        <f t="shared" si="1"/>
        <v>0</v>
      </c>
    </row>
    <row r="41" spans="1:13">
      <c r="A41" s="390" t="s">
        <v>89</v>
      </c>
      <c r="B41" s="390"/>
      <c r="C41" s="390"/>
      <c r="D41" s="298">
        <f>SUM(D2:D40)</f>
        <v>343008.76999999996</v>
      </c>
      <c r="E41" s="298">
        <f>SUM(E2:E40)</f>
        <v>32510215.736099999</v>
      </c>
      <c r="F41" s="298">
        <f>SUM(F2:F40)</f>
        <v>6165.7799999999988</v>
      </c>
      <c r="G41" s="298">
        <f>SUM(G2:G40)</f>
        <v>644264.67130000005</v>
      </c>
      <c r="H41" s="298">
        <f>SUM(H2:H40)</f>
        <v>33154480.407400001</v>
      </c>
      <c r="I41" s="298">
        <f>SUM(I2:I40)</f>
        <v>33390388.523213796</v>
      </c>
      <c r="J41" s="298">
        <f>SUM(J2:J40)</f>
        <v>35182355.104200013</v>
      </c>
      <c r="K41" s="298">
        <f>H41+I41-J41</f>
        <v>31362513.826413788</v>
      </c>
      <c r="L41" s="291">
        <v>31331039</v>
      </c>
      <c r="M41" s="300">
        <f>L41-K41</f>
        <v>-31474.826413787901</v>
      </c>
    </row>
    <row r="42" spans="1:13">
      <c r="K42" s="299">
        <v>3133038</v>
      </c>
    </row>
    <row r="43" spans="1:13">
      <c r="K43" s="342"/>
    </row>
    <row r="44" spans="1:13">
      <c r="K44" s="299"/>
    </row>
    <row r="45" spans="1:13">
      <c r="K45" s="299"/>
    </row>
    <row r="46" spans="1:13">
      <c r="A46" s="351" t="s">
        <v>0</v>
      </c>
      <c r="B46" s="351" t="s">
        <v>1</v>
      </c>
      <c r="C46" s="351" t="s">
        <v>2</v>
      </c>
      <c r="D46" s="352" t="s">
        <v>3</v>
      </c>
      <c r="E46" s="352" t="s">
        <v>4</v>
      </c>
      <c r="F46" s="352" t="s">
        <v>5</v>
      </c>
      <c r="G46" s="352" t="s">
        <v>6</v>
      </c>
      <c r="H46" s="352" t="s">
        <v>7</v>
      </c>
      <c r="I46" s="352" t="s">
        <v>8</v>
      </c>
      <c r="J46" s="352" t="s">
        <v>9</v>
      </c>
      <c r="K46" s="352" t="s">
        <v>10</v>
      </c>
    </row>
    <row r="47" spans="1:13">
      <c r="A47" s="353">
        <v>15</v>
      </c>
      <c r="B47" s="353" t="str" cm="1">
        <f t="array" ref="B47:K47">VLOOKUP(A47,A1:K40,{2,3,4,5,6,7,8,9,10,11},FALSE)</f>
        <v>kadur</v>
      </c>
      <c r="C47" s="353" t="str">
        <v>Vishal Service Station</v>
      </c>
      <c r="D47" s="353">
        <v>0</v>
      </c>
      <c r="E47" s="353">
        <v>0</v>
      </c>
      <c r="F47" s="353">
        <v>110</v>
      </c>
      <c r="G47" s="353">
        <v>11469.699999999999</v>
      </c>
      <c r="H47" s="353">
        <v>11469.699999999999</v>
      </c>
      <c r="I47" s="353">
        <v>417039.13099999976</v>
      </c>
      <c r="J47" s="353">
        <v>417000</v>
      </c>
      <c r="K47" s="353">
        <v>11508.830999999773</v>
      </c>
    </row>
    <row r="49" spans="2:11">
      <c r="B49" s="351" t="s">
        <v>1</v>
      </c>
      <c r="C49" s="351" t="s">
        <v>2</v>
      </c>
      <c r="D49" s="352" t="s">
        <v>3</v>
      </c>
      <c r="E49" s="352" t="s">
        <v>4</v>
      </c>
      <c r="F49" s="352" t="s">
        <v>5</v>
      </c>
      <c r="G49" s="352" t="s">
        <v>6</v>
      </c>
      <c r="H49" s="352" t="s">
        <v>7</v>
      </c>
      <c r="I49" s="352" t="s">
        <v>8</v>
      </c>
      <c r="J49" s="352" t="s">
        <v>9</v>
      </c>
      <c r="K49" s="352" t="s">
        <v>10</v>
      </c>
    </row>
    <row r="50" spans="2:11">
      <c r="B50" s="291" t="s">
        <v>77</v>
      </c>
      <c r="C50" s="291" t="str" cm="1">
        <f t="array" ref="C50:K50">VLOOKUP(B50,B1:K40,{2,3,4,5,6,7,8,9,10},FALSE)</f>
        <v>Khavekar Petrolium</v>
      </c>
      <c r="D50" s="291">
        <v>1396.2099999999998</v>
      </c>
      <c r="E50" s="291">
        <v>127376.23830000001</v>
      </c>
      <c r="F50" s="291">
        <v>120.93999999999998</v>
      </c>
      <c r="G50" s="291">
        <v>12476.170399999997</v>
      </c>
      <c r="H50" s="291">
        <v>139852.4087</v>
      </c>
      <c r="I50" s="291">
        <v>188963.51950000002</v>
      </c>
      <c r="J50" s="291">
        <v>235933.5</v>
      </c>
      <c r="K50" s="291">
        <v>92882.428200000024</v>
      </c>
    </row>
  </sheetData>
  <sheetProtection algorithmName="SHA-512" hashValue="XrilyTk32+pC8wCmhNGrxTGXztjSAWxXdjA4uALJT21eD58AYIZVT3xr+nvR+ZWu26xi+OL5N3kNDG6GmgD8iw==" saltValue="/Eg4kNKLPKeb4ka0/Ym5Jw==" spinCount="100000" sheet="1" objects="1" scenarios="1"/>
  <mergeCells count="1">
    <mergeCell ref="A41:C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5461-B56A-421B-8409-CCEF1CCB2111}">
  <sheetPr>
    <tabColor rgb="FF00B050"/>
  </sheetPr>
  <dimension ref="A1:R40"/>
  <sheetViews>
    <sheetView topLeftCell="A19" workbookViewId="0">
      <selection activeCell="Q47" sqref="Q47"/>
    </sheetView>
  </sheetViews>
  <sheetFormatPr defaultRowHeight="15"/>
  <cols>
    <col min="2" max="2" width="10.5703125" bestFit="1" customWidth="1"/>
    <col min="4" max="4" width="31.28515625" bestFit="1" customWidth="1"/>
    <col min="5" max="5" width="16.85546875" customWidth="1"/>
    <col min="7" max="7" width="13.85546875" customWidth="1"/>
    <col min="11" max="11" width="13" customWidth="1"/>
    <col min="12" max="12" width="16.42578125" customWidth="1"/>
    <col min="13" max="13" width="12.28515625" bestFit="1" customWidth="1"/>
    <col min="15" max="15" width="9.85546875" bestFit="1" customWidth="1"/>
    <col min="16" max="16" width="10.42578125" bestFit="1" customWidth="1"/>
    <col min="18" max="18" width="13" bestFit="1" customWidth="1"/>
  </cols>
  <sheetData>
    <row r="1" spans="1:18" ht="15.75">
      <c r="A1" s="391" t="s">
        <v>12</v>
      </c>
      <c r="B1" s="391"/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</row>
    <row r="2" spans="1:18" ht="30.75">
      <c r="A2" s="128" t="s">
        <v>90</v>
      </c>
      <c r="B2" s="129" t="s">
        <v>91</v>
      </c>
      <c r="C2" s="129" t="s">
        <v>92</v>
      </c>
      <c r="D2" s="129" t="s">
        <v>93</v>
      </c>
      <c r="E2" s="129" t="s">
        <v>94</v>
      </c>
      <c r="F2" s="129" t="s">
        <v>95</v>
      </c>
      <c r="G2" s="129" t="s">
        <v>96</v>
      </c>
      <c r="H2" s="129" t="s">
        <v>97</v>
      </c>
      <c r="I2" s="129" t="s">
        <v>95</v>
      </c>
      <c r="J2" s="130" t="s">
        <v>96</v>
      </c>
      <c r="K2" s="128" t="s">
        <v>98</v>
      </c>
      <c r="L2" s="131" t="s">
        <v>99</v>
      </c>
      <c r="M2" s="131" t="s">
        <v>100</v>
      </c>
      <c r="N2" s="129" t="s">
        <v>101</v>
      </c>
    </row>
    <row r="3" spans="1:18">
      <c r="A3" s="392" t="s">
        <v>102</v>
      </c>
      <c r="B3" s="392"/>
      <c r="C3" s="392"/>
      <c r="D3" s="392"/>
      <c r="E3" s="392"/>
      <c r="F3" s="392"/>
      <c r="G3" s="392"/>
      <c r="H3" s="392"/>
      <c r="I3" s="392"/>
      <c r="J3" s="392"/>
      <c r="K3" s="240">
        <v>11063503.279699996</v>
      </c>
      <c r="L3" s="241"/>
      <c r="M3" s="221">
        <f>+K3</f>
        <v>11063503.279699996</v>
      </c>
      <c r="N3" s="98"/>
      <c r="O3">
        <v>14609972.222099997</v>
      </c>
    </row>
    <row r="4" spans="1:18">
      <c r="A4" s="26">
        <v>1</v>
      </c>
      <c r="B4" s="27">
        <v>45901</v>
      </c>
      <c r="C4" s="17"/>
      <c r="D4" s="17"/>
      <c r="E4" s="90">
        <v>0</v>
      </c>
      <c r="F4" s="17">
        <v>0</v>
      </c>
      <c r="G4" s="17">
        <f>E4*F4</f>
        <v>0</v>
      </c>
      <c r="H4" s="357">
        <v>0</v>
      </c>
      <c r="I4" s="17">
        <v>0</v>
      </c>
      <c r="J4" s="17">
        <f>H4*I4</f>
        <v>0</v>
      </c>
      <c r="K4" s="17">
        <f>G4+J4</f>
        <v>0</v>
      </c>
      <c r="L4" s="17">
        <v>0</v>
      </c>
      <c r="M4" s="42">
        <f>M3+K4-L4</f>
        <v>11063503.279699996</v>
      </c>
      <c r="N4" s="17"/>
    </row>
    <row r="5" spans="1:18">
      <c r="A5" s="26">
        <v>2</v>
      </c>
      <c r="B5" s="27">
        <v>45902</v>
      </c>
      <c r="C5" s="17"/>
      <c r="D5" s="17"/>
      <c r="E5" s="90">
        <v>0</v>
      </c>
      <c r="F5" s="17">
        <v>0</v>
      </c>
      <c r="G5" s="17">
        <f t="shared" ref="G5:G37" si="0">E5*F5</f>
        <v>0</v>
      </c>
      <c r="H5" s="357">
        <v>0</v>
      </c>
      <c r="I5" s="17">
        <v>0</v>
      </c>
      <c r="J5" s="17">
        <f t="shared" ref="J5:J37" si="1">H5*I5</f>
        <v>0</v>
      </c>
      <c r="K5" s="17">
        <f t="shared" ref="K5:K37" si="2">G5+J5</f>
        <v>0</v>
      </c>
      <c r="L5" s="17"/>
      <c r="M5" s="42">
        <f>M4+K5-L5</f>
        <v>11063503.279699996</v>
      </c>
      <c r="N5" s="17"/>
    </row>
    <row r="6" spans="1:18">
      <c r="A6" s="26">
        <v>3</v>
      </c>
      <c r="B6" s="27">
        <v>45903</v>
      </c>
      <c r="C6" s="17"/>
      <c r="D6" s="17"/>
      <c r="E6" s="90">
        <v>2800</v>
      </c>
      <c r="F6" s="17">
        <v>95.68</v>
      </c>
      <c r="G6" s="17">
        <f t="shared" si="0"/>
        <v>267904</v>
      </c>
      <c r="H6" s="357">
        <v>0</v>
      </c>
      <c r="I6" s="17">
        <v>0</v>
      </c>
      <c r="J6" s="17">
        <f t="shared" si="1"/>
        <v>0</v>
      </c>
      <c r="K6" s="17">
        <f t="shared" si="2"/>
        <v>267904</v>
      </c>
      <c r="L6" s="17"/>
      <c r="M6" s="42">
        <f t="shared" ref="M5:M8" si="3">M5+K6-L6</f>
        <v>11331407.279699996</v>
      </c>
      <c r="N6" s="17"/>
    </row>
    <row r="7" spans="1:18">
      <c r="A7" s="26">
        <v>4</v>
      </c>
      <c r="B7" s="27">
        <v>45904</v>
      </c>
      <c r="C7" s="17"/>
      <c r="D7" s="17"/>
      <c r="E7" s="90">
        <v>8093.72</v>
      </c>
      <c r="F7" s="17">
        <v>95.68</v>
      </c>
      <c r="G7" s="17">
        <f t="shared" si="0"/>
        <v>774407.1296000001</v>
      </c>
      <c r="H7" s="357">
        <v>40</v>
      </c>
      <c r="I7" s="17">
        <v>107.46</v>
      </c>
      <c r="J7" s="17">
        <f t="shared" si="1"/>
        <v>4298.3999999999996</v>
      </c>
      <c r="K7" s="17">
        <f t="shared" si="2"/>
        <v>778705.52960000013</v>
      </c>
      <c r="L7" s="17"/>
      <c r="M7" s="42">
        <f t="shared" si="3"/>
        <v>12110112.809299996</v>
      </c>
      <c r="N7" s="17"/>
    </row>
    <row r="8" spans="1:18">
      <c r="A8" s="26">
        <v>5</v>
      </c>
      <c r="B8" s="27">
        <v>45905</v>
      </c>
      <c r="C8" s="17"/>
      <c r="D8" s="17"/>
      <c r="E8" s="90">
        <v>5695.37</v>
      </c>
      <c r="F8" s="17">
        <v>95.68</v>
      </c>
      <c r="G8" s="17">
        <f t="shared" si="0"/>
        <v>544933.00160000008</v>
      </c>
      <c r="H8" s="357">
        <v>40</v>
      </c>
      <c r="I8" s="17">
        <v>107.46</v>
      </c>
      <c r="J8" s="17">
        <f t="shared" si="1"/>
        <v>4298.3999999999996</v>
      </c>
      <c r="K8" s="17">
        <f t="shared" si="2"/>
        <v>549231.4016000001</v>
      </c>
      <c r="L8" s="17"/>
      <c r="M8" s="42">
        <f t="shared" si="3"/>
        <v>12659344.210899996</v>
      </c>
      <c r="N8" s="17"/>
    </row>
    <row r="9" spans="1:18">
      <c r="A9" s="26">
        <v>6</v>
      </c>
      <c r="B9" s="27">
        <v>45906</v>
      </c>
      <c r="C9" s="17"/>
      <c r="D9" s="17"/>
      <c r="E9" s="350">
        <v>2000</v>
      </c>
      <c r="F9" s="354">
        <v>95.68</v>
      </c>
      <c r="G9" s="17">
        <f t="shared" si="0"/>
        <v>191360</v>
      </c>
      <c r="H9" s="357">
        <v>0</v>
      </c>
      <c r="I9" s="17">
        <v>0</v>
      </c>
      <c r="J9" s="17">
        <f t="shared" si="1"/>
        <v>0</v>
      </c>
      <c r="K9" s="17">
        <f t="shared" si="2"/>
        <v>191360</v>
      </c>
      <c r="L9" s="17"/>
      <c r="M9" s="42">
        <f>M8+K9-L9</f>
        <v>12850704.210899996</v>
      </c>
      <c r="N9" s="17"/>
    </row>
    <row r="10" spans="1:18">
      <c r="A10" s="26">
        <v>7</v>
      </c>
      <c r="B10" s="27">
        <v>45907</v>
      </c>
      <c r="C10" s="17"/>
      <c r="D10" s="17"/>
      <c r="E10" s="350">
        <f>2700+2208.37</f>
        <v>4908.37</v>
      </c>
      <c r="F10" s="354">
        <v>95.68</v>
      </c>
      <c r="G10" s="17">
        <f t="shared" si="0"/>
        <v>469632.84160000004</v>
      </c>
      <c r="H10" s="357">
        <v>0</v>
      </c>
      <c r="I10" s="17">
        <v>0</v>
      </c>
      <c r="J10" s="17">
        <f t="shared" si="1"/>
        <v>0</v>
      </c>
      <c r="K10" s="17">
        <f t="shared" si="2"/>
        <v>469632.84160000004</v>
      </c>
      <c r="L10" s="17"/>
      <c r="M10" s="42">
        <f>M9+K10-L10</f>
        <v>13320337.052499996</v>
      </c>
      <c r="N10" s="17"/>
    </row>
    <row r="11" spans="1:18">
      <c r="A11" s="26">
        <v>8</v>
      </c>
      <c r="B11" s="27">
        <v>45908</v>
      </c>
      <c r="C11" s="17"/>
      <c r="D11" s="17"/>
      <c r="E11" s="90">
        <v>3799.19</v>
      </c>
      <c r="F11" s="354">
        <v>95.68</v>
      </c>
      <c r="G11" s="17">
        <f t="shared" si="0"/>
        <v>363506.49920000002</v>
      </c>
      <c r="H11" s="357">
        <v>40</v>
      </c>
      <c r="I11" s="17">
        <v>107.46</v>
      </c>
      <c r="J11" s="17">
        <f t="shared" si="1"/>
        <v>4298.3999999999996</v>
      </c>
      <c r="K11" s="17">
        <f t="shared" si="2"/>
        <v>367804.89920000004</v>
      </c>
      <c r="L11" s="17">
        <v>7500000</v>
      </c>
      <c r="M11" s="42">
        <f>M10+K11-L11</f>
        <v>6188141.9516999964</v>
      </c>
      <c r="N11" s="17"/>
    </row>
    <row r="12" spans="1:18">
      <c r="A12" s="26">
        <v>9</v>
      </c>
      <c r="B12" s="27">
        <v>45909</v>
      </c>
      <c r="C12" s="17"/>
      <c r="D12" s="17"/>
      <c r="E12" s="90">
        <v>0</v>
      </c>
      <c r="F12" s="17">
        <v>0</v>
      </c>
      <c r="G12" s="17">
        <f t="shared" si="0"/>
        <v>0</v>
      </c>
      <c r="H12" s="357">
        <v>0</v>
      </c>
      <c r="I12" s="17">
        <v>0</v>
      </c>
      <c r="J12" s="17">
        <f t="shared" si="1"/>
        <v>0</v>
      </c>
      <c r="K12" s="17">
        <f t="shared" si="2"/>
        <v>0</v>
      </c>
      <c r="L12" s="17"/>
      <c r="M12" s="42">
        <f>M11+K12-L12</f>
        <v>6188141.9516999964</v>
      </c>
      <c r="N12" s="17"/>
    </row>
    <row r="13" spans="1:18">
      <c r="A13" s="26">
        <v>10</v>
      </c>
      <c r="B13" s="27">
        <v>45910</v>
      </c>
      <c r="C13" s="17"/>
      <c r="D13" s="17"/>
      <c r="E13" s="90">
        <v>8416.25</v>
      </c>
      <c r="F13" s="354">
        <v>95.68</v>
      </c>
      <c r="G13" s="17">
        <f t="shared" si="0"/>
        <v>805266.8</v>
      </c>
      <c r="H13" s="17">
        <v>60</v>
      </c>
      <c r="I13" s="17">
        <v>107.46</v>
      </c>
      <c r="J13" s="17">
        <f t="shared" si="1"/>
        <v>6447.5999999999995</v>
      </c>
      <c r="K13" s="17">
        <f t="shared" si="2"/>
        <v>811714.4</v>
      </c>
      <c r="L13" s="17"/>
      <c r="M13" s="42">
        <f t="shared" ref="M13:M35" si="4">M12+K13-L13</f>
        <v>6999856.3516999967</v>
      </c>
      <c r="N13" s="17"/>
      <c r="O13">
        <v>6999851.2920000004</v>
      </c>
      <c r="P13" s="22">
        <f>M13-O13</f>
        <v>5.0596999963745475</v>
      </c>
    </row>
    <row r="14" spans="1:18">
      <c r="A14" s="26">
        <v>11</v>
      </c>
      <c r="B14" s="27">
        <v>45911</v>
      </c>
      <c r="C14" s="17"/>
      <c r="D14" s="17"/>
      <c r="E14" s="90">
        <v>0</v>
      </c>
      <c r="F14" s="17">
        <v>0</v>
      </c>
      <c r="G14" s="17">
        <f t="shared" si="0"/>
        <v>0</v>
      </c>
      <c r="H14" s="17">
        <v>0</v>
      </c>
      <c r="I14" s="17">
        <v>0</v>
      </c>
      <c r="J14" s="17">
        <f t="shared" si="1"/>
        <v>0</v>
      </c>
      <c r="K14" s="17">
        <f t="shared" si="2"/>
        <v>0</v>
      </c>
      <c r="L14" s="17"/>
      <c r="M14" s="42">
        <f t="shared" si="4"/>
        <v>6999856.3516999967</v>
      </c>
      <c r="N14" s="17"/>
    </row>
    <row r="15" spans="1:18">
      <c r="A15" s="26">
        <v>12</v>
      </c>
      <c r="B15" s="27">
        <v>45912</v>
      </c>
      <c r="C15" s="17"/>
      <c r="D15" s="17"/>
      <c r="E15" s="200">
        <v>3879.39</v>
      </c>
      <c r="F15" s="17">
        <v>95.68</v>
      </c>
      <c r="G15" s="17">
        <f t="shared" si="0"/>
        <v>371180.03520000004</v>
      </c>
      <c r="H15" s="17">
        <v>0</v>
      </c>
      <c r="I15" s="17">
        <v>0</v>
      </c>
      <c r="J15" s="17">
        <f t="shared" si="1"/>
        <v>0</v>
      </c>
      <c r="K15" s="17">
        <f t="shared" si="2"/>
        <v>371180.03520000004</v>
      </c>
      <c r="L15" s="17"/>
      <c r="M15" s="42">
        <f t="shared" si="4"/>
        <v>7371036.3868999965</v>
      </c>
      <c r="N15" s="17"/>
      <c r="R15" s="22"/>
    </row>
    <row r="16" spans="1:18">
      <c r="A16" s="26">
        <v>13</v>
      </c>
      <c r="B16" s="27">
        <v>45913</v>
      </c>
      <c r="C16" s="17"/>
      <c r="D16" s="17"/>
      <c r="E16" s="200">
        <v>5382.58</v>
      </c>
      <c r="F16" s="17">
        <v>95.68</v>
      </c>
      <c r="G16" s="17">
        <f t="shared" si="0"/>
        <v>515005.25440000003</v>
      </c>
      <c r="H16" s="17">
        <v>0</v>
      </c>
      <c r="I16" s="17">
        <v>0</v>
      </c>
      <c r="J16" s="17">
        <f t="shared" si="1"/>
        <v>0</v>
      </c>
      <c r="K16" s="17">
        <f t="shared" si="2"/>
        <v>515005.25440000003</v>
      </c>
      <c r="L16" s="17"/>
      <c r="M16" s="42">
        <f t="shared" si="4"/>
        <v>7886041.6412999965</v>
      </c>
      <c r="N16" s="17"/>
    </row>
    <row r="17" spans="1:16">
      <c r="A17" s="26">
        <v>14</v>
      </c>
      <c r="B17" s="27">
        <v>45914</v>
      </c>
      <c r="C17" s="17"/>
      <c r="D17" s="17"/>
      <c r="E17" s="200">
        <v>0</v>
      </c>
      <c r="F17" s="17">
        <v>0</v>
      </c>
      <c r="G17" s="17">
        <f t="shared" si="0"/>
        <v>0</v>
      </c>
      <c r="H17" s="17">
        <v>0</v>
      </c>
      <c r="I17" s="17">
        <v>0</v>
      </c>
      <c r="J17" s="17">
        <f t="shared" si="1"/>
        <v>0</v>
      </c>
      <c r="K17" s="17">
        <f t="shared" si="2"/>
        <v>0</v>
      </c>
      <c r="L17" s="17"/>
      <c r="M17" s="42">
        <f t="shared" si="4"/>
        <v>7886041.6412999965</v>
      </c>
      <c r="N17" s="17"/>
    </row>
    <row r="18" spans="1:16">
      <c r="A18" s="26">
        <v>15</v>
      </c>
      <c r="B18" s="27">
        <v>45915</v>
      </c>
      <c r="C18" s="17"/>
      <c r="D18" s="17"/>
      <c r="E18" s="200">
        <v>0</v>
      </c>
      <c r="F18" s="17">
        <v>0</v>
      </c>
      <c r="G18" s="17">
        <f t="shared" si="0"/>
        <v>0</v>
      </c>
      <c r="H18" s="17">
        <v>0</v>
      </c>
      <c r="I18" s="17">
        <v>0</v>
      </c>
      <c r="J18" s="17">
        <f t="shared" si="1"/>
        <v>0</v>
      </c>
      <c r="K18" s="17">
        <f t="shared" si="2"/>
        <v>0</v>
      </c>
      <c r="L18" s="17"/>
      <c r="M18" s="42">
        <f t="shared" si="4"/>
        <v>7886041.6412999965</v>
      </c>
      <c r="N18" s="17"/>
    </row>
    <row r="19" spans="1:16">
      <c r="A19" s="26">
        <v>16</v>
      </c>
      <c r="B19" s="27">
        <v>45916</v>
      </c>
      <c r="C19" s="17"/>
      <c r="D19" s="17"/>
      <c r="E19" s="200">
        <v>5500</v>
      </c>
      <c r="F19" s="17">
        <v>95.68</v>
      </c>
      <c r="G19" s="17">
        <f t="shared" si="0"/>
        <v>526240</v>
      </c>
      <c r="H19" s="17">
        <v>40</v>
      </c>
      <c r="I19" s="17">
        <v>107.46</v>
      </c>
      <c r="J19" s="17">
        <f t="shared" si="1"/>
        <v>4298.3999999999996</v>
      </c>
      <c r="K19" s="17">
        <f t="shared" si="2"/>
        <v>530538.4</v>
      </c>
      <c r="L19" s="17"/>
      <c r="M19" s="42">
        <f t="shared" si="4"/>
        <v>8416580.0412999969</v>
      </c>
      <c r="N19" s="17"/>
    </row>
    <row r="20" spans="1:16">
      <c r="A20" s="26">
        <v>17</v>
      </c>
      <c r="B20" s="27">
        <v>45917</v>
      </c>
      <c r="C20" s="17"/>
      <c r="D20" s="17"/>
      <c r="E20" s="200">
        <v>2700</v>
      </c>
      <c r="F20" s="17">
        <v>95.67</v>
      </c>
      <c r="G20" s="17">
        <f t="shared" si="0"/>
        <v>258309</v>
      </c>
      <c r="H20" s="17">
        <v>20</v>
      </c>
      <c r="I20" s="17">
        <v>107.45</v>
      </c>
      <c r="J20" s="17">
        <f t="shared" si="1"/>
        <v>2149</v>
      </c>
      <c r="K20" s="17">
        <f t="shared" si="2"/>
        <v>260458</v>
      </c>
      <c r="L20" s="17"/>
      <c r="M20" s="42">
        <f t="shared" si="4"/>
        <v>8677038.0412999969</v>
      </c>
      <c r="N20" s="17"/>
    </row>
    <row r="21" spans="1:16">
      <c r="A21" s="26">
        <v>18</v>
      </c>
      <c r="B21" s="27">
        <v>45918</v>
      </c>
      <c r="C21" s="17"/>
      <c r="D21" s="17"/>
      <c r="E21" s="200">
        <v>5500</v>
      </c>
      <c r="F21" s="17">
        <v>95.68</v>
      </c>
      <c r="G21" s="17">
        <f t="shared" si="0"/>
        <v>526240</v>
      </c>
      <c r="H21" s="17">
        <v>55</v>
      </c>
      <c r="I21" s="17">
        <v>107.46</v>
      </c>
      <c r="J21" s="17">
        <f t="shared" si="1"/>
        <v>5910.2999999999993</v>
      </c>
      <c r="K21" s="17">
        <f t="shared" si="2"/>
        <v>532150.30000000005</v>
      </c>
      <c r="L21" s="17"/>
      <c r="M21" s="42">
        <f t="shared" si="4"/>
        <v>9209188.3412999976</v>
      </c>
      <c r="N21" s="17"/>
    </row>
    <row r="22" spans="1:16">
      <c r="A22" s="26">
        <v>19</v>
      </c>
      <c r="B22" s="27">
        <v>45919</v>
      </c>
      <c r="C22" s="17"/>
      <c r="D22" s="17"/>
      <c r="E22" s="200">
        <v>0</v>
      </c>
      <c r="F22" s="17">
        <v>0</v>
      </c>
      <c r="G22" s="17">
        <f t="shared" si="0"/>
        <v>0</v>
      </c>
      <c r="H22" s="17">
        <v>0</v>
      </c>
      <c r="I22" s="17">
        <v>0</v>
      </c>
      <c r="J22" s="17">
        <f t="shared" si="1"/>
        <v>0</v>
      </c>
      <c r="K22" s="17">
        <f t="shared" si="2"/>
        <v>0</v>
      </c>
      <c r="L22" s="17"/>
      <c r="M22" s="42">
        <f t="shared" si="4"/>
        <v>9209188.3412999976</v>
      </c>
      <c r="N22" s="17"/>
    </row>
    <row r="23" spans="1:16">
      <c r="A23" s="26">
        <v>20</v>
      </c>
      <c r="B23" s="27">
        <v>45920</v>
      </c>
      <c r="C23" s="17"/>
      <c r="D23" s="17"/>
      <c r="E23" s="200">
        <v>5500</v>
      </c>
      <c r="F23" s="17">
        <v>95.68</v>
      </c>
      <c r="G23" s="17">
        <f t="shared" si="0"/>
        <v>526240</v>
      </c>
      <c r="H23" s="17">
        <v>40</v>
      </c>
      <c r="I23" s="17">
        <v>107.46</v>
      </c>
      <c r="J23" s="17">
        <f t="shared" si="1"/>
        <v>4298.3999999999996</v>
      </c>
      <c r="K23" s="17">
        <f t="shared" si="2"/>
        <v>530538.4</v>
      </c>
      <c r="L23" s="17"/>
      <c r="M23" s="42">
        <f t="shared" si="4"/>
        <v>9739726.741299998</v>
      </c>
      <c r="N23" s="17"/>
    </row>
    <row r="24" spans="1:16">
      <c r="A24" s="26">
        <v>21</v>
      </c>
      <c r="B24" s="27">
        <v>45921</v>
      </c>
      <c r="C24" s="17"/>
      <c r="D24" s="17"/>
      <c r="E24" s="200">
        <v>0</v>
      </c>
      <c r="F24" s="17">
        <v>0</v>
      </c>
      <c r="G24" s="17">
        <f t="shared" si="0"/>
        <v>0</v>
      </c>
      <c r="H24" s="17">
        <v>0</v>
      </c>
      <c r="I24" s="17">
        <v>0</v>
      </c>
      <c r="J24" s="17">
        <f t="shared" si="1"/>
        <v>0</v>
      </c>
      <c r="K24" s="17">
        <f t="shared" si="2"/>
        <v>0</v>
      </c>
      <c r="L24" s="17"/>
      <c r="M24" s="42">
        <f t="shared" si="4"/>
        <v>9739726.741299998</v>
      </c>
      <c r="N24" s="17"/>
    </row>
    <row r="25" spans="1:16">
      <c r="A25" s="26">
        <v>22</v>
      </c>
      <c r="B25" s="27">
        <v>45922</v>
      </c>
      <c r="C25" s="17"/>
      <c r="D25" s="17"/>
      <c r="E25" s="200">
        <v>2000</v>
      </c>
      <c r="F25" s="17">
        <v>95.67</v>
      </c>
      <c r="G25" s="17">
        <f t="shared" si="0"/>
        <v>191340</v>
      </c>
      <c r="H25" s="17">
        <v>0</v>
      </c>
      <c r="I25" s="17">
        <v>0</v>
      </c>
      <c r="J25" s="17">
        <f t="shared" si="1"/>
        <v>0</v>
      </c>
      <c r="K25" s="17">
        <f t="shared" si="2"/>
        <v>191340</v>
      </c>
      <c r="L25" s="17"/>
      <c r="M25" s="42">
        <f t="shared" si="4"/>
        <v>9931066.741299998</v>
      </c>
      <c r="N25" s="17"/>
    </row>
    <row r="26" spans="1:16">
      <c r="A26" s="26">
        <v>23</v>
      </c>
      <c r="B26" s="27">
        <v>45923</v>
      </c>
      <c r="C26" s="17"/>
      <c r="D26" s="17"/>
      <c r="E26" s="200">
        <v>2700</v>
      </c>
      <c r="F26" s="17">
        <v>95.68</v>
      </c>
      <c r="G26" s="17">
        <f t="shared" si="0"/>
        <v>258336.00000000003</v>
      </c>
      <c r="H26" s="17">
        <v>20</v>
      </c>
      <c r="I26" s="17">
        <v>107.46</v>
      </c>
      <c r="J26" s="17">
        <f t="shared" si="1"/>
        <v>2149.1999999999998</v>
      </c>
      <c r="K26" s="17">
        <f t="shared" si="2"/>
        <v>260485.20000000004</v>
      </c>
      <c r="L26" s="17"/>
      <c r="M26" s="42">
        <f t="shared" si="4"/>
        <v>10191551.941299997</v>
      </c>
      <c r="N26" s="17"/>
    </row>
    <row r="27" spans="1:16">
      <c r="A27" s="26">
        <v>24</v>
      </c>
      <c r="B27" s="27">
        <v>45924</v>
      </c>
      <c r="C27" s="17"/>
      <c r="D27" s="17"/>
      <c r="E27" s="200">
        <v>0</v>
      </c>
      <c r="F27" s="17">
        <v>0</v>
      </c>
      <c r="G27" s="17">
        <f t="shared" si="0"/>
        <v>0</v>
      </c>
      <c r="H27" s="17">
        <v>0</v>
      </c>
      <c r="I27" s="17">
        <v>0</v>
      </c>
      <c r="J27" s="17">
        <f t="shared" si="1"/>
        <v>0</v>
      </c>
      <c r="K27" s="17">
        <f t="shared" si="2"/>
        <v>0</v>
      </c>
      <c r="L27" s="17"/>
      <c r="M27" s="42">
        <f t="shared" si="4"/>
        <v>10191551.941299997</v>
      </c>
      <c r="N27" s="17"/>
    </row>
    <row r="28" spans="1:16">
      <c r="A28" s="26">
        <v>25</v>
      </c>
      <c r="B28" s="27">
        <v>45925</v>
      </c>
      <c r="C28" s="17"/>
      <c r="D28" s="17"/>
      <c r="E28" s="200">
        <v>0</v>
      </c>
      <c r="F28" s="17">
        <v>0</v>
      </c>
      <c r="G28" s="17">
        <f t="shared" si="0"/>
        <v>0</v>
      </c>
      <c r="H28" s="17">
        <v>0</v>
      </c>
      <c r="I28" s="17">
        <v>0</v>
      </c>
      <c r="J28" s="17">
        <f t="shared" si="1"/>
        <v>0</v>
      </c>
      <c r="K28" s="17">
        <f t="shared" si="2"/>
        <v>0</v>
      </c>
      <c r="L28" s="17"/>
      <c r="M28" s="42">
        <f t="shared" si="4"/>
        <v>10191551.941299997</v>
      </c>
      <c r="N28" s="17"/>
    </row>
    <row r="29" spans="1:16">
      <c r="A29" s="26">
        <v>26</v>
      </c>
      <c r="B29" s="27">
        <v>45926</v>
      </c>
      <c r="C29" s="17"/>
      <c r="D29" s="17"/>
      <c r="E29" s="200">
        <v>2700</v>
      </c>
      <c r="F29" s="17">
        <v>95.68</v>
      </c>
      <c r="G29" s="17">
        <f t="shared" si="0"/>
        <v>258336.00000000003</v>
      </c>
      <c r="H29" s="17">
        <v>20</v>
      </c>
      <c r="I29" s="17">
        <v>107.46</v>
      </c>
      <c r="J29" s="17">
        <f t="shared" si="1"/>
        <v>2149.1999999999998</v>
      </c>
      <c r="K29" s="17">
        <f t="shared" si="2"/>
        <v>260485.20000000004</v>
      </c>
      <c r="L29" s="17"/>
      <c r="M29" s="42">
        <f t="shared" si="4"/>
        <v>10452037.141299997</v>
      </c>
      <c r="N29" s="17"/>
    </row>
    <row r="30" spans="1:16">
      <c r="A30" s="26">
        <v>27</v>
      </c>
      <c r="B30" s="27">
        <v>45927</v>
      </c>
      <c r="C30" s="17"/>
      <c r="D30" s="17"/>
      <c r="E30" s="200">
        <v>2000</v>
      </c>
      <c r="F30" s="17">
        <v>95.68</v>
      </c>
      <c r="G30" s="17">
        <f t="shared" si="0"/>
        <v>191360</v>
      </c>
      <c r="H30" s="17">
        <v>0</v>
      </c>
      <c r="I30" s="17">
        <v>0</v>
      </c>
      <c r="J30" s="17">
        <f t="shared" si="1"/>
        <v>0</v>
      </c>
      <c r="K30" s="17">
        <f t="shared" si="2"/>
        <v>191360</v>
      </c>
      <c r="L30" s="17"/>
      <c r="M30" s="42">
        <f t="shared" si="4"/>
        <v>10643397.141299997</v>
      </c>
      <c r="N30" s="17"/>
      <c r="P30" s="22"/>
    </row>
    <row r="31" spans="1:16">
      <c r="A31" s="26">
        <v>28</v>
      </c>
      <c r="B31" s="27">
        <v>45928</v>
      </c>
      <c r="C31" s="17"/>
      <c r="D31" s="17"/>
      <c r="E31" s="200">
        <v>2800</v>
      </c>
      <c r="F31" s="17">
        <v>95.68</v>
      </c>
      <c r="G31" s="17">
        <f t="shared" si="0"/>
        <v>267904</v>
      </c>
      <c r="H31" s="17">
        <v>55</v>
      </c>
      <c r="I31" s="17">
        <v>107.46</v>
      </c>
      <c r="J31" s="17">
        <f t="shared" si="1"/>
        <v>5910.2999999999993</v>
      </c>
      <c r="K31" s="17">
        <f t="shared" si="2"/>
        <v>273814.3</v>
      </c>
      <c r="L31" s="17"/>
      <c r="M31" s="42">
        <f t="shared" si="4"/>
        <v>10917211.441299997</v>
      </c>
      <c r="N31" s="17"/>
    </row>
    <row r="32" spans="1:16">
      <c r="A32" s="26">
        <v>29</v>
      </c>
      <c r="B32" s="27">
        <v>45929</v>
      </c>
      <c r="C32" s="17"/>
      <c r="D32" s="17"/>
      <c r="E32" s="200">
        <v>2700</v>
      </c>
      <c r="F32" s="17">
        <v>95.68</v>
      </c>
      <c r="G32" s="17">
        <f t="shared" si="0"/>
        <v>258336.00000000003</v>
      </c>
      <c r="H32" s="17">
        <v>20</v>
      </c>
      <c r="I32" s="17">
        <v>107.46</v>
      </c>
      <c r="J32" s="17">
        <f t="shared" si="1"/>
        <v>2149.1999999999998</v>
      </c>
      <c r="K32" s="17">
        <f t="shared" si="2"/>
        <v>260485.20000000004</v>
      </c>
      <c r="L32" s="17"/>
      <c r="M32" s="42">
        <f t="shared" si="4"/>
        <v>11177696.641299997</v>
      </c>
      <c r="N32" s="17"/>
      <c r="O32">
        <v>11177691.581599999</v>
      </c>
      <c r="P32" s="22">
        <f>M32-O32</f>
        <v>5.0596999973058701</v>
      </c>
    </row>
    <row r="33" spans="1:16">
      <c r="A33" s="26">
        <v>30</v>
      </c>
      <c r="B33" s="27">
        <v>45930</v>
      </c>
      <c r="C33" s="17"/>
      <c r="D33" s="17"/>
      <c r="E33" s="200">
        <v>0</v>
      </c>
      <c r="F33" s="17">
        <v>0</v>
      </c>
      <c r="G33" s="17">
        <f t="shared" si="0"/>
        <v>0</v>
      </c>
      <c r="H33" s="17">
        <v>0</v>
      </c>
      <c r="I33" s="17">
        <v>0</v>
      </c>
      <c r="J33" s="17">
        <f t="shared" si="1"/>
        <v>0</v>
      </c>
      <c r="K33" s="17">
        <f t="shared" si="2"/>
        <v>0</v>
      </c>
      <c r="L33" s="17"/>
      <c r="M33" s="42">
        <f t="shared" si="4"/>
        <v>11177696.641299997</v>
      </c>
      <c r="N33" s="17"/>
    </row>
    <row r="34" spans="1:16">
      <c r="A34" s="26">
        <v>31</v>
      </c>
      <c r="B34" s="27"/>
      <c r="C34" s="17"/>
      <c r="D34" s="17"/>
      <c r="E34" s="200">
        <v>0</v>
      </c>
      <c r="F34" s="17">
        <v>0</v>
      </c>
      <c r="G34" s="17">
        <f t="shared" si="0"/>
        <v>0</v>
      </c>
      <c r="H34" s="17">
        <v>0</v>
      </c>
      <c r="I34" s="17">
        <v>0</v>
      </c>
      <c r="J34" s="17">
        <f t="shared" si="1"/>
        <v>0</v>
      </c>
      <c r="K34" s="17">
        <f t="shared" si="2"/>
        <v>0</v>
      </c>
      <c r="L34" s="17"/>
      <c r="M34" s="42">
        <f t="shared" si="4"/>
        <v>11177696.641299997</v>
      </c>
      <c r="N34" s="17"/>
    </row>
    <row r="35" spans="1:16">
      <c r="A35" s="26">
        <v>32</v>
      </c>
      <c r="B35" s="27"/>
      <c r="C35" s="17"/>
      <c r="D35" s="17"/>
      <c r="E35" s="200">
        <v>0</v>
      </c>
      <c r="F35" s="17">
        <v>0</v>
      </c>
      <c r="G35" s="17">
        <f t="shared" si="0"/>
        <v>0</v>
      </c>
      <c r="H35" s="17">
        <v>0</v>
      </c>
      <c r="I35" s="17">
        <v>0</v>
      </c>
      <c r="J35" s="17">
        <f t="shared" si="1"/>
        <v>0</v>
      </c>
      <c r="K35" s="17">
        <f t="shared" si="2"/>
        <v>0</v>
      </c>
      <c r="L35" s="17"/>
      <c r="M35" s="42">
        <f t="shared" si="4"/>
        <v>11177696.641299997</v>
      </c>
      <c r="N35" s="17"/>
    </row>
    <row r="36" spans="1:16">
      <c r="A36" s="26">
        <v>33</v>
      </c>
      <c r="B36" s="27"/>
      <c r="C36" s="17"/>
      <c r="D36" s="17"/>
      <c r="E36" s="200">
        <v>0</v>
      </c>
      <c r="F36" s="17">
        <v>0</v>
      </c>
      <c r="G36" s="17">
        <f t="shared" si="0"/>
        <v>0</v>
      </c>
      <c r="H36" s="17">
        <v>0</v>
      </c>
      <c r="I36" s="17">
        <v>0</v>
      </c>
      <c r="J36" s="17">
        <f t="shared" si="1"/>
        <v>0</v>
      </c>
      <c r="K36" s="17">
        <f t="shared" si="2"/>
        <v>0</v>
      </c>
      <c r="L36" s="17"/>
      <c r="M36" s="17"/>
      <c r="N36" s="17"/>
    </row>
    <row r="37" spans="1:16">
      <c r="A37" s="26">
        <v>34</v>
      </c>
      <c r="B37" s="27"/>
      <c r="C37" s="17"/>
      <c r="D37" s="17"/>
      <c r="E37" s="200">
        <v>0</v>
      </c>
      <c r="F37" s="17">
        <v>0</v>
      </c>
      <c r="G37" s="17">
        <f t="shared" si="0"/>
        <v>0</v>
      </c>
      <c r="H37" s="17">
        <v>0</v>
      </c>
      <c r="I37" s="17">
        <v>0</v>
      </c>
      <c r="J37" s="17">
        <f t="shared" si="1"/>
        <v>0</v>
      </c>
      <c r="K37" s="17">
        <f t="shared" si="2"/>
        <v>0</v>
      </c>
      <c r="L37" s="17"/>
      <c r="M37" s="17"/>
      <c r="N37" s="17"/>
    </row>
    <row r="38" spans="1:16">
      <c r="A38" s="44"/>
      <c r="B38" s="44"/>
      <c r="C38" s="44"/>
      <c r="D38" s="44"/>
      <c r="E38" s="243">
        <f>SUM(E3:E37)</f>
        <v>79074.87</v>
      </c>
      <c r="F38" s="243"/>
      <c r="G38" s="243">
        <f>SUM(G3:G37)</f>
        <v>7565836.5615999997</v>
      </c>
      <c r="H38" s="243">
        <f>SUM(H3:H37)</f>
        <v>450</v>
      </c>
      <c r="I38" s="243"/>
      <c r="J38" s="243">
        <f>SUM(J3:J37)</f>
        <v>48356.799999999988</v>
      </c>
      <c r="K38" s="243">
        <f>SUM(K4:K37)</f>
        <v>7614193.3616000013</v>
      </c>
      <c r="L38" s="243">
        <f>SUM(L3:L37)</f>
        <v>7500000</v>
      </c>
      <c r="M38" s="243"/>
      <c r="N38" s="243"/>
    </row>
    <row r="40" spans="1:16">
      <c r="P40" s="22"/>
    </row>
  </sheetData>
  <mergeCells count="2">
    <mergeCell ref="A1:N1"/>
    <mergeCell ref="A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0FDB-C841-4265-A23A-57FCCE1432F4}">
  <sheetPr>
    <tabColor rgb="FF00B050"/>
  </sheetPr>
  <dimension ref="A1:P39"/>
  <sheetViews>
    <sheetView workbookViewId="0">
      <selection activeCell="P11" sqref="P11"/>
    </sheetView>
  </sheetViews>
  <sheetFormatPr defaultRowHeight="15"/>
  <cols>
    <col min="2" max="2" width="12.140625" customWidth="1"/>
    <col min="4" max="4" width="20.85546875" customWidth="1"/>
    <col min="5" max="5" width="23.42578125" customWidth="1"/>
    <col min="7" max="7" width="14.42578125" customWidth="1"/>
    <col min="11" max="11" width="15.5703125" customWidth="1"/>
    <col min="12" max="12" width="16.7109375" customWidth="1"/>
    <col min="13" max="13" width="16" customWidth="1"/>
    <col min="14" max="14" width="34.5703125" customWidth="1"/>
    <col min="15" max="15" width="9.85546875" bestFit="1" customWidth="1"/>
  </cols>
  <sheetData>
    <row r="1" spans="1:16" ht="15.75">
      <c r="A1" s="391" t="s">
        <v>14</v>
      </c>
      <c r="B1" s="391"/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</row>
    <row r="2" spans="1:16" ht="30.75">
      <c r="A2" s="68" t="s">
        <v>90</v>
      </c>
      <c r="B2" s="87" t="s">
        <v>91</v>
      </c>
      <c r="C2" s="87" t="s">
        <v>92</v>
      </c>
      <c r="D2" s="87" t="s">
        <v>93</v>
      </c>
      <c r="E2" s="87" t="s">
        <v>94</v>
      </c>
      <c r="F2" s="87" t="s">
        <v>95</v>
      </c>
      <c r="G2" s="87" t="s">
        <v>96</v>
      </c>
      <c r="H2" s="87" t="s">
        <v>97</v>
      </c>
      <c r="I2" s="87" t="s">
        <v>95</v>
      </c>
      <c r="J2" s="88" t="s">
        <v>96</v>
      </c>
      <c r="K2" s="128" t="s">
        <v>98</v>
      </c>
      <c r="L2" s="131" t="s">
        <v>99</v>
      </c>
      <c r="M2" s="131" t="s">
        <v>100</v>
      </c>
      <c r="N2" s="129" t="s">
        <v>101</v>
      </c>
      <c r="O2" s="369">
        <v>11748804.990399998</v>
      </c>
      <c r="P2" s="22">
        <f>K3-O2</f>
        <v>478.57960000261664</v>
      </c>
    </row>
    <row r="3" spans="1:16">
      <c r="A3" s="393" t="s">
        <v>102</v>
      </c>
      <c r="B3" s="394"/>
      <c r="C3" s="394"/>
      <c r="D3" s="394"/>
      <c r="E3" s="394"/>
      <c r="F3" s="394"/>
      <c r="G3" s="394"/>
      <c r="H3" s="394"/>
      <c r="I3" s="394"/>
      <c r="J3" s="394"/>
      <c r="K3" s="240">
        <v>11749283.57</v>
      </c>
      <c r="L3" s="241"/>
      <c r="M3" s="240">
        <v>11749283.57</v>
      </c>
      <c r="N3" s="98"/>
      <c r="O3">
        <v>12663588.2974</v>
      </c>
    </row>
    <row r="4" spans="1:16">
      <c r="A4" s="26">
        <v>1</v>
      </c>
      <c r="B4" s="27">
        <v>45901</v>
      </c>
      <c r="C4" s="17"/>
      <c r="D4" s="276"/>
      <c r="E4" s="285">
        <v>5457.77</v>
      </c>
      <c r="F4" s="286">
        <v>95.7</v>
      </c>
      <c r="G4" s="17">
        <f>E4*F4</f>
        <v>522308.58900000004</v>
      </c>
      <c r="H4" s="17">
        <v>40</v>
      </c>
      <c r="I4" s="17">
        <v>107.48</v>
      </c>
      <c r="J4" s="17">
        <f>H4*I4</f>
        <v>4299.2</v>
      </c>
      <c r="K4" s="17">
        <f>G4+J4</f>
        <v>526607.78899999999</v>
      </c>
      <c r="L4" s="17"/>
      <c r="M4" s="42">
        <f>M3+K4-L4</f>
        <v>12275891.359000001</v>
      </c>
      <c r="N4" s="17"/>
    </row>
    <row r="5" spans="1:16">
      <c r="A5" s="26">
        <v>2</v>
      </c>
      <c r="B5" s="27">
        <v>45902</v>
      </c>
      <c r="C5" s="17"/>
      <c r="D5" s="276"/>
      <c r="E5" s="350">
        <f>2700+2310.74</f>
        <v>5010.74</v>
      </c>
      <c r="F5" s="286">
        <v>95.7</v>
      </c>
      <c r="G5" s="17">
        <f t="shared" ref="G5:G34" si="0">E5*F5</f>
        <v>479527.81799999997</v>
      </c>
      <c r="H5" s="17">
        <v>0</v>
      </c>
      <c r="I5" s="17">
        <v>0</v>
      </c>
      <c r="J5" s="17">
        <f t="shared" ref="J5:J34" si="1">H5*I5</f>
        <v>0</v>
      </c>
      <c r="K5" s="17">
        <f t="shared" ref="K5:K34" si="2">G5+J5</f>
        <v>479527.81799999997</v>
      </c>
      <c r="L5" s="17"/>
      <c r="M5" s="42">
        <f t="shared" ref="M5:M17" si="3">M4+K5-L5</f>
        <v>12755419.177000001</v>
      </c>
      <c r="N5" s="17"/>
    </row>
    <row r="6" spans="1:16">
      <c r="A6" s="26">
        <v>3</v>
      </c>
      <c r="B6" s="27">
        <v>45903</v>
      </c>
      <c r="C6" s="17"/>
      <c r="D6" s="276"/>
      <c r="E6" s="285">
        <v>4200</v>
      </c>
      <c r="F6" s="286">
        <v>95.7</v>
      </c>
      <c r="G6" s="17">
        <f t="shared" si="0"/>
        <v>401940</v>
      </c>
      <c r="H6" s="17">
        <v>40</v>
      </c>
      <c r="I6" s="17">
        <v>107.48</v>
      </c>
      <c r="J6" s="17">
        <f t="shared" si="1"/>
        <v>4299.2</v>
      </c>
      <c r="K6" s="17">
        <f t="shared" si="2"/>
        <v>406239.2</v>
      </c>
      <c r="L6" s="17"/>
      <c r="M6" s="42">
        <f t="shared" si="3"/>
        <v>13161658.377</v>
      </c>
      <c r="N6" s="17"/>
    </row>
    <row r="7" spans="1:16">
      <c r="A7" s="26">
        <v>4</v>
      </c>
      <c r="B7" s="27">
        <v>45904</v>
      </c>
      <c r="C7" s="17"/>
      <c r="D7" s="276"/>
      <c r="E7" s="285">
        <v>0</v>
      </c>
      <c r="F7" s="286">
        <v>0</v>
      </c>
      <c r="G7" s="17">
        <f t="shared" si="0"/>
        <v>0</v>
      </c>
      <c r="H7" s="17">
        <v>0</v>
      </c>
      <c r="I7" s="17">
        <v>0</v>
      </c>
      <c r="J7" s="17">
        <f t="shared" si="1"/>
        <v>0</v>
      </c>
      <c r="K7" s="17">
        <f t="shared" si="2"/>
        <v>0</v>
      </c>
      <c r="L7" s="17"/>
      <c r="M7" s="42">
        <f t="shared" si="3"/>
        <v>13161658.377</v>
      </c>
      <c r="N7" s="17"/>
    </row>
    <row r="8" spans="1:16">
      <c r="A8" s="26">
        <v>5</v>
      </c>
      <c r="B8" s="27">
        <v>45905</v>
      </c>
      <c r="C8" s="17"/>
      <c r="D8" s="276"/>
      <c r="E8" s="285">
        <v>0</v>
      </c>
      <c r="F8" s="286">
        <v>0</v>
      </c>
      <c r="G8" s="17">
        <f t="shared" si="0"/>
        <v>0</v>
      </c>
      <c r="H8" s="17">
        <v>0</v>
      </c>
      <c r="I8" s="17">
        <v>0</v>
      </c>
      <c r="J8" s="17">
        <f t="shared" si="1"/>
        <v>0</v>
      </c>
      <c r="K8" s="17">
        <f t="shared" si="2"/>
        <v>0</v>
      </c>
      <c r="L8" s="17"/>
      <c r="M8" s="42">
        <f t="shared" si="3"/>
        <v>13161658.377</v>
      </c>
      <c r="N8" s="17"/>
    </row>
    <row r="9" spans="1:16">
      <c r="A9" s="26">
        <v>6</v>
      </c>
      <c r="B9" s="27">
        <v>45906</v>
      </c>
      <c r="C9" s="17"/>
      <c r="D9" s="276"/>
      <c r="E9" s="350">
        <f>2700+2800</f>
        <v>5500</v>
      </c>
      <c r="F9" s="286">
        <v>95.7</v>
      </c>
      <c r="G9" s="17">
        <f t="shared" si="0"/>
        <v>526350</v>
      </c>
      <c r="H9" s="17">
        <v>40</v>
      </c>
      <c r="I9" s="17">
        <v>107.48</v>
      </c>
      <c r="J9" s="17">
        <f t="shared" si="1"/>
        <v>4299.2</v>
      </c>
      <c r="K9" s="17">
        <f t="shared" si="2"/>
        <v>530649.19999999995</v>
      </c>
      <c r="L9" s="17"/>
      <c r="M9" s="42">
        <f t="shared" si="3"/>
        <v>13692307.577</v>
      </c>
      <c r="N9" s="244"/>
    </row>
    <row r="10" spans="1:16">
      <c r="A10" s="26">
        <v>7</v>
      </c>
      <c r="B10" s="27">
        <v>45907</v>
      </c>
      <c r="C10" s="17"/>
      <c r="D10" s="276"/>
      <c r="E10" s="350">
        <v>1500</v>
      </c>
      <c r="F10" s="286">
        <v>95.7</v>
      </c>
      <c r="G10" s="17">
        <f t="shared" si="0"/>
        <v>143550</v>
      </c>
      <c r="H10" s="17">
        <v>0</v>
      </c>
      <c r="I10" s="17">
        <v>0</v>
      </c>
      <c r="J10" s="17">
        <f t="shared" si="1"/>
        <v>0</v>
      </c>
      <c r="K10" s="17">
        <f t="shared" si="2"/>
        <v>143550</v>
      </c>
      <c r="L10" s="17"/>
      <c r="M10" s="42">
        <f t="shared" si="3"/>
        <v>13835857.577</v>
      </c>
      <c r="N10" s="17"/>
    </row>
    <row r="11" spans="1:16">
      <c r="A11" s="26">
        <v>8</v>
      </c>
      <c r="B11" s="27">
        <v>45908</v>
      </c>
      <c r="C11" s="17"/>
      <c r="D11" s="276"/>
      <c r="E11" s="285">
        <v>4200</v>
      </c>
      <c r="F11" s="286">
        <v>95.7</v>
      </c>
      <c r="G11" s="17">
        <f t="shared" si="0"/>
        <v>401940</v>
      </c>
      <c r="H11" s="17">
        <v>0</v>
      </c>
      <c r="I11" s="17">
        <v>0</v>
      </c>
      <c r="J11" s="17">
        <f t="shared" si="1"/>
        <v>0</v>
      </c>
      <c r="K11" s="17">
        <f t="shared" si="2"/>
        <v>401940</v>
      </c>
      <c r="L11" s="17">
        <v>7500000</v>
      </c>
      <c r="M11" s="42">
        <f t="shared" si="3"/>
        <v>6737797.5769999996</v>
      </c>
      <c r="N11" s="17"/>
    </row>
    <row r="12" spans="1:16">
      <c r="A12" s="26">
        <v>9</v>
      </c>
      <c r="B12" s="27">
        <v>45909</v>
      </c>
      <c r="C12" s="17"/>
      <c r="D12" s="276"/>
      <c r="E12" s="285">
        <v>5400</v>
      </c>
      <c r="F12" s="286">
        <v>95.7</v>
      </c>
      <c r="G12" s="17">
        <f t="shared" si="0"/>
        <v>516780</v>
      </c>
      <c r="H12" s="17">
        <v>0</v>
      </c>
      <c r="I12" s="17">
        <v>0</v>
      </c>
      <c r="J12" s="17">
        <f t="shared" si="1"/>
        <v>0</v>
      </c>
      <c r="K12" s="17">
        <f t="shared" si="2"/>
        <v>516780</v>
      </c>
      <c r="L12" s="17"/>
      <c r="M12" s="42">
        <f t="shared" si="3"/>
        <v>7254577.5769999996</v>
      </c>
      <c r="N12" s="17"/>
    </row>
    <row r="13" spans="1:16">
      <c r="A13" s="26">
        <v>10</v>
      </c>
      <c r="B13" s="27">
        <v>45910</v>
      </c>
      <c r="C13" s="17"/>
      <c r="D13" s="276"/>
      <c r="E13" s="285">
        <v>0</v>
      </c>
      <c r="F13" s="286">
        <v>0</v>
      </c>
      <c r="G13" s="17">
        <f t="shared" si="0"/>
        <v>0</v>
      </c>
      <c r="H13" s="17">
        <v>0</v>
      </c>
      <c r="I13" s="17">
        <v>0</v>
      </c>
      <c r="J13" s="17">
        <f t="shared" si="1"/>
        <v>0</v>
      </c>
      <c r="K13" s="17">
        <f t="shared" si="2"/>
        <v>0</v>
      </c>
      <c r="L13" s="17"/>
      <c r="M13" s="42">
        <f t="shared" si="3"/>
        <v>7254577.5769999996</v>
      </c>
      <c r="N13" s="17"/>
    </row>
    <row r="14" spans="1:16">
      <c r="A14" s="26">
        <v>11</v>
      </c>
      <c r="B14" s="27">
        <v>45911</v>
      </c>
      <c r="C14" s="17"/>
      <c r="D14" s="276"/>
      <c r="E14" s="285">
        <v>2700</v>
      </c>
      <c r="F14" s="286">
        <v>95.7</v>
      </c>
      <c r="G14" s="17">
        <f t="shared" si="0"/>
        <v>258390</v>
      </c>
      <c r="H14" s="17">
        <v>55</v>
      </c>
      <c r="I14" s="17">
        <v>107.48</v>
      </c>
      <c r="J14" s="17">
        <f t="shared" si="1"/>
        <v>5911.4000000000005</v>
      </c>
      <c r="K14" s="17">
        <f t="shared" si="2"/>
        <v>264301.40000000002</v>
      </c>
      <c r="L14" s="17"/>
      <c r="M14" s="42">
        <f t="shared" si="3"/>
        <v>7518878.977</v>
      </c>
      <c r="N14" s="17"/>
    </row>
    <row r="15" spans="1:16">
      <c r="A15" s="26">
        <v>12</v>
      </c>
      <c r="B15" s="27">
        <v>45912</v>
      </c>
      <c r="C15" s="17"/>
      <c r="D15" s="276"/>
      <c r="E15" s="285">
        <v>5400</v>
      </c>
      <c r="F15" s="286">
        <v>95.7</v>
      </c>
      <c r="G15" s="17">
        <f t="shared" si="0"/>
        <v>516780</v>
      </c>
      <c r="H15" s="17">
        <v>60</v>
      </c>
      <c r="I15" s="17">
        <v>107.48</v>
      </c>
      <c r="J15" s="17">
        <f t="shared" si="1"/>
        <v>6448.8</v>
      </c>
      <c r="K15" s="17">
        <f t="shared" si="2"/>
        <v>523228.8</v>
      </c>
      <c r="L15" s="17"/>
      <c r="M15" s="42">
        <f t="shared" si="3"/>
        <v>8042107.7769999998</v>
      </c>
      <c r="N15" s="17"/>
    </row>
    <row r="16" spans="1:16">
      <c r="A16" s="26">
        <v>13</v>
      </c>
      <c r="B16" s="27">
        <v>45913</v>
      </c>
      <c r="C16" s="17"/>
      <c r="D16" s="276"/>
      <c r="E16" s="285">
        <v>2700</v>
      </c>
      <c r="F16" s="286">
        <v>95.7</v>
      </c>
      <c r="G16" s="17">
        <f t="shared" si="0"/>
        <v>258390</v>
      </c>
      <c r="H16" s="17">
        <v>40</v>
      </c>
      <c r="I16" s="17">
        <v>107.48</v>
      </c>
      <c r="J16" s="17">
        <f t="shared" si="1"/>
        <v>4299.2</v>
      </c>
      <c r="K16" s="17">
        <f t="shared" si="2"/>
        <v>262689.2</v>
      </c>
      <c r="L16" s="17"/>
      <c r="M16" s="42">
        <f t="shared" si="3"/>
        <v>8304796.977</v>
      </c>
      <c r="N16" s="17"/>
    </row>
    <row r="17" spans="1:14">
      <c r="A17" s="26">
        <v>14</v>
      </c>
      <c r="B17" s="27">
        <v>45914</v>
      </c>
      <c r="C17" s="17"/>
      <c r="D17" s="276"/>
      <c r="E17" s="285">
        <v>2274.85</v>
      </c>
      <c r="F17" s="286">
        <v>95.7</v>
      </c>
      <c r="G17" s="17">
        <f t="shared" si="0"/>
        <v>217703.14499999999</v>
      </c>
      <c r="H17" s="17">
        <v>0</v>
      </c>
      <c r="I17" s="17">
        <v>0</v>
      </c>
      <c r="J17" s="17">
        <f t="shared" si="1"/>
        <v>0</v>
      </c>
      <c r="K17" s="17">
        <f t="shared" si="2"/>
        <v>217703.14499999999</v>
      </c>
      <c r="L17" s="17"/>
      <c r="M17" s="42">
        <f>M16+K17-L17</f>
        <v>8522500.1219999995</v>
      </c>
      <c r="N17" s="17"/>
    </row>
    <row r="18" spans="1:14">
      <c r="A18" s="26">
        <v>15</v>
      </c>
      <c r="B18" s="27">
        <v>45915</v>
      </c>
      <c r="C18" s="17"/>
      <c r="D18" s="276"/>
      <c r="E18" s="285">
        <v>5990</v>
      </c>
      <c r="F18" s="286">
        <v>95.7</v>
      </c>
      <c r="G18" s="17">
        <f t="shared" si="0"/>
        <v>573243</v>
      </c>
      <c r="H18" s="17">
        <v>0</v>
      </c>
      <c r="I18" s="17">
        <v>0</v>
      </c>
      <c r="J18" s="17">
        <f t="shared" si="1"/>
        <v>0</v>
      </c>
      <c r="K18" s="17">
        <f t="shared" si="2"/>
        <v>573243</v>
      </c>
      <c r="L18" s="17"/>
      <c r="M18" s="42">
        <f>M17+K18-L18</f>
        <v>9095743.1219999995</v>
      </c>
      <c r="N18" s="17"/>
    </row>
    <row r="19" spans="1:14">
      <c r="A19" s="26">
        <v>16</v>
      </c>
      <c r="B19" s="27">
        <v>45916</v>
      </c>
      <c r="C19" s="17"/>
      <c r="D19" s="276"/>
      <c r="E19" s="285">
        <v>2755.94</v>
      </c>
      <c r="F19" s="286">
        <v>95.7</v>
      </c>
      <c r="G19" s="17">
        <f t="shared" si="0"/>
        <v>263743.45799999998</v>
      </c>
      <c r="H19" s="17">
        <v>0</v>
      </c>
      <c r="I19" s="17">
        <v>0</v>
      </c>
      <c r="J19" s="17">
        <f t="shared" si="1"/>
        <v>0</v>
      </c>
      <c r="K19" s="17">
        <f t="shared" si="2"/>
        <v>263743.45799999998</v>
      </c>
      <c r="L19" s="17"/>
      <c r="M19" s="42">
        <f>M18+K19-L19</f>
        <v>9359486.5800000001</v>
      </c>
      <c r="N19" s="17"/>
    </row>
    <row r="20" spans="1:14">
      <c r="A20" s="26">
        <v>17</v>
      </c>
      <c r="B20" s="27">
        <v>45917</v>
      </c>
      <c r="C20" s="17"/>
      <c r="D20" s="276"/>
      <c r="E20" s="285">
        <v>1038.28</v>
      </c>
      <c r="F20" s="286">
        <v>95.7</v>
      </c>
      <c r="G20" s="17">
        <f t="shared" si="0"/>
        <v>99363.395999999993</v>
      </c>
      <c r="H20" s="17">
        <v>0</v>
      </c>
      <c r="I20" s="17">
        <v>0</v>
      </c>
      <c r="J20" s="17">
        <f t="shared" si="1"/>
        <v>0</v>
      </c>
      <c r="K20" s="17">
        <f t="shared" si="2"/>
        <v>99363.395999999993</v>
      </c>
      <c r="L20" s="17"/>
      <c r="M20" s="42">
        <f>M19+K20-L20</f>
        <v>9458849.9759999998</v>
      </c>
      <c r="N20" s="17"/>
    </row>
    <row r="21" spans="1:14">
      <c r="A21" s="26">
        <v>18</v>
      </c>
      <c r="B21" s="27">
        <v>45918</v>
      </c>
      <c r="C21" s="17"/>
      <c r="D21" s="276"/>
      <c r="E21" s="285">
        <v>5115.3599999999997</v>
      </c>
      <c r="F21" s="286">
        <v>95.7</v>
      </c>
      <c r="G21" s="17">
        <f t="shared" si="0"/>
        <v>489539.95199999999</v>
      </c>
      <c r="H21" s="17">
        <v>0</v>
      </c>
      <c r="I21" s="17">
        <v>0</v>
      </c>
      <c r="J21" s="17">
        <f t="shared" si="1"/>
        <v>0</v>
      </c>
      <c r="K21" s="17">
        <f t="shared" si="2"/>
        <v>489539.95199999999</v>
      </c>
      <c r="L21" s="17"/>
      <c r="M21" s="42">
        <f>M20+K21-L21</f>
        <v>9948389.9279999994</v>
      </c>
      <c r="N21" s="17"/>
    </row>
    <row r="22" spans="1:14">
      <c r="A22" s="26">
        <v>19</v>
      </c>
      <c r="B22" s="27">
        <v>45919</v>
      </c>
      <c r="C22" s="17"/>
      <c r="D22" s="276"/>
      <c r="E22" s="285">
        <v>6907.62</v>
      </c>
      <c r="F22" s="286">
        <v>95.7</v>
      </c>
      <c r="G22" s="17">
        <f t="shared" si="0"/>
        <v>661059.23400000005</v>
      </c>
      <c r="H22" s="17">
        <v>20</v>
      </c>
      <c r="I22" s="17">
        <v>107.48</v>
      </c>
      <c r="J22" s="17">
        <f t="shared" si="1"/>
        <v>2149.6</v>
      </c>
      <c r="K22" s="17">
        <f t="shared" si="2"/>
        <v>663208.83400000003</v>
      </c>
      <c r="L22" s="17"/>
      <c r="M22" s="42">
        <f>M21+K22-L22</f>
        <v>10611598.762</v>
      </c>
      <c r="N22" s="17"/>
    </row>
    <row r="23" spans="1:14">
      <c r="A23" s="26">
        <v>20</v>
      </c>
      <c r="B23" s="27">
        <v>45920</v>
      </c>
      <c r="C23" s="17"/>
      <c r="D23" s="276"/>
      <c r="E23" s="285">
        <v>0</v>
      </c>
      <c r="F23" s="286">
        <v>0</v>
      </c>
      <c r="G23" s="17">
        <f t="shared" si="0"/>
        <v>0</v>
      </c>
      <c r="H23" s="17">
        <v>0</v>
      </c>
      <c r="I23" s="17">
        <v>0</v>
      </c>
      <c r="J23" s="17">
        <f t="shared" si="1"/>
        <v>0</v>
      </c>
      <c r="K23" s="17">
        <f t="shared" si="2"/>
        <v>0</v>
      </c>
      <c r="L23" s="17"/>
      <c r="M23" s="42">
        <f>M22+K23-L23</f>
        <v>10611598.762</v>
      </c>
      <c r="N23" s="17"/>
    </row>
    <row r="24" spans="1:14">
      <c r="A24" s="26">
        <v>21</v>
      </c>
      <c r="B24" s="27">
        <v>45921</v>
      </c>
      <c r="C24" s="17"/>
      <c r="D24" s="276"/>
      <c r="E24" s="285">
        <v>4628.8599999999997</v>
      </c>
      <c r="F24" s="286">
        <v>95.7</v>
      </c>
      <c r="G24" s="17">
        <f t="shared" si="0"/>
        <v>442981.902</v>
      </c>
      <c r="H24" s="17">
        <v>0</v>
      </c>
      <c r="I24" s="17">
        <v>0</v>
      </c>
      <c r="J24" s="17">
        <f t="shared" si="1"/>
        <v>0</v>
      </c>
      <c r="K24" s="17">
        <f t="shared" si="2"/>
        <v>442981.902</v>
      </c>
      <c r="L24" s="17"/>
      <c r="M24" s="42">
        <f>M23+K24-L24</f>
        <v>11054580.664000001</v>
      </c>
      <c r="N24" s="17"/>
    </row>
    <row r="25" spans="1:14">
      <c r="A25" s="26">
        <v>22</v>
      </c>
      <c r="B25" s="27">
        <v>45922</v>
      </c>
      <c r="C25" s="17"/>
      <c r="D25" s="276"/>
      <c r="E25" s="285">
        <v>2000</v>
      </c>
      <c r="F25" s="286">
        <v>95.7</v>
      </c>
      <c r="G25" s="17">
        <f t="shared" si="0"/>
        <v>191400</v>
      </c>
      <c r="H25" s="17">
        <v>60</v>
      </c>
      <c r="I25" s="17">
        <v>107.48</v>
      </c>
      <c r="J25" s="17">
        <f t="shared" si="1"/>
        <v>6448.8</v>
      </c>
      <c r="K25" s="17">
        <f t="shared" si="2"/>
        <v>197848.8</v>
      </c>
      <c r="L25" s="17"/>
      <c r="M25" s="42">
        <f>M24+K25-L25</f>
        <v>11252429.464000002</v>
      </c>
      <c r="N25" s="17"/>
    </row>
    <row r="26" spans="1:14">
      <c r="A26" s="26">
        <v>23</v>
      </c>
      <c r="B26" s="27">
        <v>45923</v>
      </c>
      <c r="C26" s="17"/>
      <c r="D26" s="276"/>
      <c r="E26" s="285">
        <v>4458.66</v>
      </c>
      <c r="F26" s="286">
        <v>95.7</v>
      </c>
      <c r="G26" s="17">
        <f t="shared" si="0"/>
        <v>426693.76199999999</v>
      </c>
      <c r="H26" s="17">
        <v>0</v>
      </c>
      <c r="I26" s="17">
        <v>0</v>
      </c>
      <c r="J26" s="17">
        <f t="shared" si="1"/>
        <v>0</v>
      </c>
      <c r="K26" s="17">
        <f t="shared" si="2"/>
        <v>426693.76199999999</v>
      </c>
      <c r="L26" s="17"/>
      <c r="M26" s="42">
        <f>M25+K26-L26</f>
        <v>11679123.226000002</v>
      </c>
      <c r="N26" s="17"/>
    </row>
    <row r="27" spans="1:14">
      <c r="A27" s="26">
        <v>24</v>
      </c>
      <c r="B27" s="27">
        <v>45924</v>
      </c>
      <c r="C27" s="17"/>
      <c r="D27" s="276"/>
      <c r="E27" s="285">
        <v>0</v>
      </c>
      <c r="F27" s="286">
        <v>0</v>
      </c>
      <c r="G27" s="17">
        <f t="shared" si="0"/>
        <v>0</v>
      </c>
      <c r="H27" s="17">
        <v>0</v>
      </c>
      <c r="I27" s="17">
        <v>0</v>
      </c>
      <c r="J27" s="17">
        <f t="shared" si="1"/>
        <v>0</v>
      </c>
      <c r="K27" s="17">
        <f t="shared" si="2"/>
        <v>0</v>
      </c>
      <c r="L27" s="17"/>
      <c r="M27" s="42">
        <f>M26+K27-L27</f>
        <v>11679123.226000002</v>
      </c>
      <c r="N27" s="17"/>
    </row>
    <row r="28" spans="1:14">
      <c r="A28" s="26">
        <v>25</v>
      </c>
      <c r="B28" s="27">
        <v>45925</v>
      </c>
      <c r="C28" s="17"/>
      <c r="D28" s="276"/>
      <c r="E28" s="285">
        <v>1500</v>
      </c>
      <c r="F28" s="286">
        <v>95.7</v>
      </c>
      <c r="G28" s="17">
        <f t="shared" si="0"/>
        <v>143550</v>
      </c>
      <c r="H28" s="17">
        <v>0</v>
      </c>
      <c r="I28" s="17">
        <v>0</v>
      </c>
      <c r="J28" s="17">
        <f t="shared" si="1"/>
        <v>0</v>
      </c>
      <c r="K28" s="17">
        <f t="shared" si="2"/>
        <v>143550</v>
      </c>
      <c r="L28" s="17"/>
      <c r="M28" s="42">
        <f>M27+K28-L28</f>
        <v>11822673.226000002</v>
      </c>
      <c r="N28" s="17"/>
    </row>
    <row r="29" spans="1:14">
      <c r="A29" s="26">
        <v>26</v>
      </c>
      <c r="B29" s="27">
        <v>45926</v>
      </c>
      <c r="C29" s="17"/>
      <c r="D29" s="276"/>
      <c r="E29" s="285">
        <v>4200</v>
      </c>
      <c r="F29" s="286">
        <v>95.7</v>
      </c>
      <c r="G29" s="17">
        <f t="shared" si="0"/>
        <v>401940</v>
      </c>
      <c r="H29" s="17">
        <v>60</v>
      </c>
      <c r="I29" s="17">
        <v>107.48</v>
      </c>
      <c r="J29" s="17">
        <f t="shared" si="1"/>
        <v>6448.8</v>
      </c>
      <c r="K29" s="17">
        <f t="shared" si="2"/>
        <v>408388.8</v>
      </c>
      <c r="L29" s="17"/>
      <c r="M29" s="42">
        <f t="shared" ref="M29:M34" si="4">M28+K29-L29</f>
        <v>12231062.026000002</v>
      </c>
      <c r="N29" s="17"/>
    </row>
    <row r="30" spans="1:14">
      <c r="A30" s="26">
        <v>27</v>
      </c>
      <c r="B30" s="27">
        <v>45927</v>
      </c>
      <c r="C30" s="17"/>
      <c r="D30" s="276"/>
      <c r="E30" s="285">
        <v>1200</v>
      </c>
      <c r="F30" s="286">
        <v>95.7</v>
      </c>
      <c r="G30" s="17">
        <f t="shared" si="0"/>
        <v>114840</v>
      </c>
      <c r="H30" s="17">
        <v>0</v>
      </c>
      <c r="I30" s="17">
        <v>0</v>
      </c>
      <c r="J30" s="17">
        <f t="shared" si="1"/>
        <v>0</v>
      </c>
      <c r="K30" s="17">
        <f t="shared" si="2"/>
        <v>114840</v>
      </c>
      <c r="L30" s="17"/>
      <c r="M30" s="42">
        <f t="shared" si="4"/>
        <v>12345902.026000002</v>
      </c>
      <c r="N30" s="17"/>
    </row>
    <row r="31" spans="1:14">
      <c r="A31" s="26">
        <v>28</v>
      </c>
      <c r="B31" s="27">
        <v>45928</v>
      </c>
      <c r="C31" s="17"/>
      <c r="D31" s="276"/>
      <c r="E31" s="285">
        <v>0</v>
      </c>
      <c r="F31" s="286">
        <v>0</v>
      </c>
      <c r="G31" s="17">
        <f t="shared" si="0"/>
        <v>0</v>
      </c>
      <c r="H31" s="17">
        <v>0</v>
      </c>
      <c r="I31" s="17">
        <v>0</v>
      </c>
      <c r="J31" s="17">
        <f t="shared" si="1"/>
        <v>0</v>
      </c>
      <c r="K31" s="17">
        <f t="shared" si="2"/>
        <v>0</v>
      </c>
      <c r="L31" s="17"/>
      <c r="M31" s="42">
        <f t="shared" si="4"/>
        <v>12345902.026000002</v>
      </c>
      <c r="N31" s="17"/>
    </row>
    <row r="32" spans="1:14">
      <c r="A32" s="26">
        <v>29</v>
      </c>
      <c r="B32" s="27">
        <v>45929</v>
      </c>
      <c r="C32" s="17"/>
      <c r="D32" s="276"/>
      <c r="E32" s="285">
        <v>4700</v>
      </c>
      <c r="F32" s="286">
        <v>95.7</v>
      </c>
      <c r="G32" s="17">
        <f t="shared" si="0"/>
        <v>449790</v>
      </c>
      <c r="H32" s="17">
        <v>40</v>
      </c>
      <c r="I32" s="17">
        <v>107.48</v>
      </c>
      <c r="J32" s="17">
        <f t="shared" si="1"/>
        <v>4299.2</v>
      </c>
      <c r="K32" s="17">
        <f t="shared" si="2"/>
        <v>454089.2</v>
      </c>
      <c r="L32" s="17"/>
      <c r="M32" s="42">
        <f t="shared" si="4"/>
        <v>12799991.226000002</v>
      </c>
      <c r="N32" s="17"/>
    </row>
    <row r="33" spans="1:16">
      <c r="A33" s="26">
        <v>30</v>
      </c>
      <c r="B33" s="27">
        <v>45930</v>
      </c>
      <c r="C33" s="17"/>
      <c r="D33" s="276"/>
      <c r="E33" s="285">
        <v>6700</v>
      </c>
      <c r="F33" s="286">
        <v>95.7</v>
      </c>
      <c r="G33" s="17">
        <f t="shared" si="0"/>
        <v>641190</v>
      </c>
      <c r="H33" s="17">
        <v>20</v>
      </c>
      <c r="I33" s="17">
        <v>107.48</v>
      </c>
      <c r="J33" s="17">
        <f t="shared" si="1"/>
        <v>2149.6</v>
      </c>
      <c r="K33" s="17">
        <f t="shared" si="2"/>
        <v>643339.6</v>
      </c>
      <c r="L33" s="17"/>
      <c r="M33" s="42">
        <f t="shared" si="4"/>
        <v>13443330.826000001</v>
      </c>
      <c r="N33" s="17"/>
    </row>
    <row r="34" spans="1:16">
      <c r="A34" s="26">
        <v>31</v>
      </c>
      <c r="B34" s="27">
        <v>45931</v>
      </c>
      <c r="C34" s="17"/>
      <c r="D34" s="276"/>
      <c r="E34" s="285">
        <v>0</v>
      </c>
      <c r="F34" s="286">
        <v>0</v>
      </c>
      <c r="G34" s="17">
        <f t="shared" si="0"/>
        <v>0</v>
      </c>
      <c r="H34" s="17">
        <v>0</v>
      </c>
      <c r="I34" s="17">
        <v>0</v>
      </c>
      <c r="J34" s="17">
        <f t="shared" si="1"/>
        <v>0</v>
      </c>
      <c r="K34" s="17">
        <f t="shared" si="2"/>
        <v>0</v>
      </c>
      <c r="L34" s="17"/>
      <c r="M34" s="42">
        <f t="shared" si="4"/>
        <v>13443330.826000001</v>
      </c>
      <c r="N34" s="17"/>
    </row>
    <row r="35" spans="1:16">
      <c r="A35" s="44"/>
      <c r="B35" s="44"/>
      <c r="C35" s="44"/>
      <c r="D35" s="44"/>
      <c r="E35" s="45">
        <f>SUM(E4:E34)</f>
        <v>95538.08</v>
      </c>
      <c r="F35" s="45"/>
      <c r="G35" s="45">
        <f>SUM(G4:G34)</f>
        <v>9142994.2559999991</v>
      </c>
      <c r="H35" s="45">
        <f>SUM(H4:H34)</f>
        <v>475</v>
      </c>
      <c r="I35" s="45"/>
      <c r="J35" s="45">
        <f>SUM(J4:J34)</f>
        <v>51053</v>
      </c>
      <c r="K35" s="45">
        <f>SUM(K4:K34)</f>
        <v>9194047.2559999973</v>
      </c>
      <c r="L35" s="45">
        <f>SUM(L4:L34)</f>
        <v>7500000</v>
      </c>
      <c r="M35" s="45"/>
      <c r="N35" s="45"/>
    </row>
    <row r="39" spans="1:16">
      <c r="M39" s="22"/>
      <c r="P39" s="22"/>
    </row>
  </sheetData>
  <mergeCells count="2">
    <mergeCell ref="A1:N1"/>
    <mergeCell ref="A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03A1F-96EA-4DAE-B7A1-3DBAC484D0C4}">
  <dimension ref="A1:V48"/>
  <sheetViews>
    <sheetView topLeftCell="A28" workbookViewId="0">
      <selection activeCell="R46" sqref="R46"/>
    </sheetView>
  </sheetViews>
  <sheetFormatPr defaultRowHeight="15"/>
  <cols>
    <col min="2" max="2" width="13.42578125" customWidth="1"/>
    <col min="3" max="3" width="11.85546875" customWidth="1"/>
    <col min="4" max="4" width="13.85546875" customWidth="1"/>
    <col min="5" max="5" width="12" customWidth="1"/>
    <col min="6" max="6" width="14.140625" customWidth="1"/>
    <col min="7" max="7" width="12" customWidth="1"/>
    <col min="10" max="10" width="11.85546875" customWidth="1"/>
    <col min="11" max="11" width="12.140625" customWidth="1"/>
    <col min="12" max="13" width="14.42578125" customWidth="1"/>
    <col min="14" max="14" width="16.28515625" customWidth="1"/>
    <col min="16" max="16" width="11.42578125" bestFit="1" customWidth="1"/>
  </cols>
  <sheetData>
    <row r="1" spans="1:22" ht="15.75" customHeight="1">
      <c r="A1" s="395" t="s">
        <v>16</v>
      </c>
      <c r="B1" s="395"/>
      <c r="C1" s="395"/>
      <c r="D1" s="395"/>
      <c r="E1" s="395"/>
      <c r="F1" s="395"/>
      <c r="G1" s="395"/>
      <c r="H1" s="395"/>
      <c r="I1" s="395"/>
      <c r="J1" s="395"/>
      <c r="K1" s="395"/>
      <c r="L1" s="395"/>
      <c r="M1" s="395"/>
      <c r="N1" s="395"/>
    </row>
    <row r="2" spans="1:22">
      <c r="A2" s="107" t="s">
        <v>90</v>
      </c>
      <c r="B2" s="110" t="s">
        <v>91</v>
      </c>
      <c r="C2" s="110" t="s">
        <v>92</v>
      </c>
      <c r="D2" s="110" t="s">
        <v>93</v>
      </c>
      <c r="E2" s="110" t="s">
        <v>94</v>
      </c>
      <c r="F2" s="110" t="s">
        <v>95</v>
      </c>
      <c r="G2" s="110" t="s">
        <v>96</v>
      </c>
      <c r="H2" s="110" t="s">
        <v>97</v>
      </c>
      <c r="I2" s="110" t="s">
        <v>95</v>
      </c>
      <c r="J2" s="110" t="s">
        <v>96</v>
      </c>
      <c r="K2" s="148" t="s">
        <v>98</v>
      </c>
      <c r="L2" s="148" t="s">
        <v>99</v>
      </c>
      <c r="M2" s="148" t="s">
        <v>103</v>
      </c>
      <c r="N2" s="110" t="s">
        <v>101</v>
      </c>
    </row>
    <row r="3" spans="1:22">
      <c r="A3" s="396" t="s">
        <v>102</v>
      </c>
      <c r="B3" s="396"/>
      <c r="C3" s="396"/>
      <c r="D3" s="396"/>
      <c r="E3" s="396"/>
      <c r="F3" s="396"/>
      <c r="G3" s="396"/>
      <c r="H3" s="396"/>
      <c r="I3" s="396"/>
      <c r="J3" s="396"/>
      <c r="K3" s="135"/>
      <c r="L3" s="246"/>
      <c r="M3" s="109">
        <v>3836229.0562999994</v>
      </c>
      <c r="N3" s="247"/>
      <c r="O3">
        <v>1388015.2685</v>
      </c>
    </row>
    <row r="4" spans="1:22">
      <c r="A4" s="26">
        <v>1</v>
      </c>
      <c r="B4" s="27">
        <v>45901</v>
      </c>
      <c r="C4" s="111"/>
      <c r="D4" s="35"/>
      <c r="E4" s="37">
        <v>1000</v>
      </c>
      <c r="F4" s="37">
        <v>96.42</v>
      </c>
      <c r="G4" s="37">
        <f>E4*F4</f>
        <v>96420</v>
      </c>
      <c r="H4" s="37">
        <v>5</v>
      </c>
      <c r="I4" s="37">
        <v>108.23</v>
      </c>
      <c r="J4" s="37">
        <f t="shared" ref="J4:J7" si="0">H4*I4</f>
        <v>541.15</v>
      </c>
      <c r="K4" s="37">
        <f t="shared" ref="K4:K7" si="1">G4+J4</f>
        <v>96961.15</v>
      </c>
      <c r="L4" s="205">
        <v>600000</v>
      </c>
      <c r="M4" s="37">
        <f>M3+K4-L4</f>
        <v>3333190.2062999993</v>
      </c>
      <c r="N4" s="248"/>
      <c r="O4">
        <v>1526163</v>
      </c>
      <c r="P4" s="22">
        <f>M4-O4</f>
        <v>1807027.2062999993</v>
      </c>
      <c r="R4">
        <v>10</v>
      </c>
    </row>
    <row r="5" spans="1:22">
      <c r="A5" s="26">
        <v>2</v>
      </c>
      <c r="B5" s="27">
        <v>45902</v>
      </c>
      <c r="C5" s="111"/>
      <c r="D5" s="35"/>
      <c r="E5" s="37">
        <v>1000</v>
      </c>
      <c r="F5" s="37">
        <v>96.42</v>
      </c>
      <c r="G5" s="37">
        <f t="shared" ref="G5:G35" si="2">E5*F5</f>
        <v>96420</v>
      </c>
      <c r="H5" s="37">
        <v>15</v>
      </c>
      <c r="I5" s="37">
        <v>108.23</v>
      </c>
      <c r="J5" s="37">
        <f t="shared" ref="J5:J35" si="3">H5*I5</f>
        <v>1623.45</v>
      </c>
      <c r="K5" s="37">
        <f t="shared" ref="K5:K35" si="4">G5+J5</f>
        <v>98043.45</v>
      </c>
      <c r="L5" s="205">
        <v>0</v>
      </c>
      <c r="M5" s="37">
        <f t="shared" ref="M5:M10" si="5">M4+K5-L5</f>
        <v>3431233.6562999994</v>
      </c>
      <c r="N5" s="249"/>
      <c r="Q5">
        <v>44.36</v>
      </c>
      <c r="R5">
        <v>20</v>
      </c>
    </row>
    <row r="6" spans="1:22">
      <c r="A6" s="26">
        <v>3</v>
      </c>
      <c r="B6" s="27">
        <v>45903</v>
      </c>
      <c r="C6" s="111"/>
      <c r="D6" s="35"/>
      <c r="E6" s="376">
        <v>41.58</v>
      </c>
      <c r="F6" s="37">
        <v>96.42</v>
      </c>
      <c r="G6" s="37">
        <f t="shared" si="2"/>
        <v>4009.1435999999999</v>
      </c>
      <c r="H6" s="37">
        <v>25</v>
      </c>
      <c r="I6" s="37">
        <v>108.23</v>
      </c>
      <c r="J6" s="37">
        <f t="shared" si="3"/>
        <v>2705.75</v>
      </c>
      <c r="K6" s="37">
        <f t="shared" si="4"/>
        <v>6714.8935999999994</v>
      </c>
      <c r="L6" s="205">
        <v>0</v>
      </c>
      <c r="M6" s="37">
        <f t="shared" si="5"/>
        <v>3437948.5498999995</v>
      </c>
      <c r="N6" s="250"/>
      <c r="R6">
        <v>58.27</v>
      </c>
    </row>
    <row r="7" spans="1:22">
      <c r="A7" s="26">
        <v>4</v>
      </c>
      <c r="B7" s="27">
        <v>45904</v>
      </c>
      <c r="C7" s="111"/>
      <c r="D7" s="376">
        <v>80.88</v>
      </c>
      <c r="E7" s="376">
        <v>0</v>
      </c>
      <c r="F7" s="37">
        <v>96.42</v>
      </c>
      <c r="G7" s="37">
        <f t="shared" si="2"/>
        <v>0</v>
      </c>
      <c r="H7" s="37">
        <v>5</v>
      </c>
      <c r="I7" s="37">
        <v>108.23</v>
      </c>
      <c r="J7" s="37">
        <f t="shared" si="3"/>
        <v>541.15</v>
      </c>
      <c r="K7" s="37">
        <f t="shared" si="4"/>
        <v>541.15</v>
      </c>
      <c r="L7" s="205">
        <v>0</v>
      </c>
      <c r="M7" s="37">
        <f>M6+K7-L7</f>
        <v>3438489.6998999994</v>
      </c>
      <c r="N7" s="206"/>
    </row>
    <row r="8" spans="1:22">
      <c r="A8" s="26">
        <v>5</v>
      </c>
      <c r="B8" s="27">
        <v>45905</v>
      </c>
      <c r="C8" s="34"/>
      <c r="D8" s="35"/>
      <c r="E8" s="37">
        <v>0</v>
      </c>
      <c r="F8" s="37">
        <v>0</v>
      </c>
      <c r="G8" s="37">
        <f t="shared" si="2"/>
        <v>0</v>
      </c>
      <c r="H8" s="37">
        <v>48.26</v>
      </c>
      <c r="I8" s="37">
        <v>108.23</v>
      </c>
      <c r="J8" s="37">
        <f t="shared" si="3"/>
        <v>5223.1797999999999</v>
      </c>
      <c r="K8" s="37">
        <f t="shared" si="4"/>
        <v>5223.1797999999999</v>
      </c>
      <c r="L8" s="205">
        <v>0</v>
      </c>
      <c r="M8" s="37">
        <f>M7+K8-L8</f>
        <v>3443712.8796999995</v>
      </c>
      <c r="N8" s="206"/>
    </row>
    <row r="9" spans="1:22">
      <c r="A9" s="26">
        <v>6</v>
      </c>
      <c r="B9" s="27">
        <v>45906</v>
      </c>
      <c r="C9" s="34"/>
      <c r="D9" s="35"/>
      <c r="E9" s="37">
        <v>0</v>
      </c>
      <c r="F9" s="37">
        <v>0</v>
      </c>
      <c r="G9" s="37">
        <f t="shared" si="2"/>
        <v>0</v>
      </c>
      <c r="H9" s="37">
        <v>47.46</v>
      </c>
      <c r="I9" s="37">
        <v>108.23</v>
      </c>
      <c r="J9" s="37">
        <f t="shared" si="3"/>
        <v>5136.5958000000001</v>
      </c>
      <c r="K9" s="37">
        <f t="shared" si="4"/>
        <v>5136.5958000000001</v>
      </c>
      <c r="L9" s="205">
        <v>0</v>
      </c>
      <c r="M9" s="37">
        <f t="shared" si="5"/>
        <v>3448849.4754999992</v>
      </c>
      <c r="N9" s="206"/>
      <c r="R9">
        <v>52.46</v>
      </c>
    </row>
    <row r="10" spans="1:22">
      <c r="A10" s="26">
        <v>7</v>
      </c>
      <c r="B10" s="27">
        <v>45907</v>
      </c>
      <c r="C10" s="34"/>
      <c r="D10" s="35"/>
      <c r="E10" s="37">
        <v>0</v>
      </c>
      <c r="F10" s="37">
        <v>0</v>
      </c>
      <c r="G10" s="37">
        <f t="shared" si="2"/>
        <v>0</v>
      </c>
      <c r="H10" s="37">
        <v>20</v>
      </c>
      <c r="I10" s="37">
        <v>108.23</v>
      </c>
      <c r="J10" s="37">
        <f t="shared" si="3"/>
        <v>2164.6</v>
      </c>
      <c r="K10" s="37">
        <f t="shared" si="4"/>
        <v>2164.6</v>
      </c>
      <c r="L10" s="205">
        <v>0</v>
      </c>
      <c r="M10" s="37">
        <f t="shared" si="5"/>
        <v>3451014.0754999993</v>
      </c>
      <c r="N10" s="206"/>
      <c r="R10">
        <v>25</v>
      </c>
    </row>
    <row r="11" spans="1:22">
      <c r="A11" s="26">
        <v>8</v>
      </c>
      <c r="B11" s="27">
        <v>45908</v>
      </c>
      <c r="C11" s="34"/>
      <c r="D11" s="35"/>
      <c r="E11" s="376">
        <v>46.36</v>
      </c>
      <c r="F11" s="37">
        <v>96.42</v>
      </c>
      <c r="G11" s="37">
        <f t="shared" si="2"/>
        <v>4470.0312000000004</v>
      </c>
      <c r="H11" s="37">
        <v>25</v>
      </c>
      <c r="I11" s="37">
        <v>108.23</v>
      </c>
      <c r="J11" s="37">
        <f t="shared" si="3"/>
        <v>2705.75</v>
      </c>
      <c r="K11" s="37">
        <f t="shared" si="4"/>
        <v>7175.7812000000004</v>
      </c>
      <c r="L11" s="205">
        <v>3450000</v>
      </c>
      <c r="M11" s="37">
        <f>M10+K11-L11</f>
        <v>8189.8566999994218</v>
      </c>
      <c r="N11" s="206"/>
      <c r="O11">
        <v>2862</v>
      </c>
      <c r="Q11">
        <v>46.36</v>
      </c>
    </row>
    <row r="12" spans="1:22">
      <c r="A12" s="26"/>
      <c r="B12" s="27"/>
      <c r="C12" s="34"/>
      <c r="D12" s="35"/>
      <c r="E12" s="376"/>
      <c r="F12" s="37"/>
      <c r="G12" s="37"/>
      <c r="H12" s="37"/>
      <c r="I12" s="37"/>
      <c r="J12" s="37"/>
      <c r="K12" s="37"/>
      <c r="L12" s="387">
        <v>5327.86</v>
      </c>
      <c r="M12" s="376">
        <v>2862</v>
      </c>
      <c r="N12" s="206"/>
    </row>
    <row r="13" spans="1:22">
      <c r="A13" s="26">
        <v>9</v>
      </c>
      <c r="B13" s="27">
        <v>45909</v>
      </c>
      <c r="C13" s="34"/>
      <c r="D13" s="35"/>
      <c r="E13" s="37">
        <v>2400</v>
      </c>
      <c r="F13" s="37">
        <v>96.42</v>
      </c>
      <c r="G13" s="37">
        <f t="shared" si="2"/>
        <v>231408</v>
      </c>
      <c r="H13" s="37">
        <v>20</v>
      </c>
      <c r="I13" s="37">
        <v>108.23</v>
      </c>
      <c r="J13" s="37">
        <f t="shared" si="3"/>
        <v>2164.6</v>
      </c>
      <c r="K13" s="37">
        <f t="shared" si="4"/>
        <v>233572.6</v>
      </c>
      <c r="L13" s="205">
        <v>0</v>
      </c>
      <c r="M13" s="37">
        <f>M12+K13-L13</f>
        <v>236434.6</v>
      </c>
      <c r="N13" s="206"/>
      <c r="P13" s="180"/>
    </row>
    <row r="14" spans="1:22">
      <c r="A14" s="26">
        <v>10</v>
      </c>
      <c r="B14" s="27">
        <v>45910</v>
      </c>
      <c r="C14" s="34"/>
      <c r="D14" s="35"/>
      <c r="E14" s="37">
        <v>2500</v>
      </c>
      <c r="F14" s="37">
        <v>96.42</v>
      </c>
      <c r="G14" s="37">
        <f t="shared" si="2"/>
        <v>241050</v>
      </c>
      <c r="H14" s="37">
        <v>15</v>
      </c>
      <c r="I14" s="37">
        <v>108.23</v>
      </c>
      <c r="J14" s="37">
        <f t="shared" si="3"/>
        <v>1623.45</v>
      </c>
      <c r="K14" s="37">
        <f t="shared" si="4"/>
        <v>242673.45</v>
      </c>
      <c r="L14" s="205">
        <v>0</v>
      </c>
      <c r="M14" s="37">
        <f t="shared" ref="M14:M36" si="6">M13+K14-L14</f>
        <v>479108.05000000005</v>
      </c>
      <c r="N14" s="206"/>
      <c r="V14">
        <f>8189.86-2862</f>
        <v>5327.86</v>
      </c>
    </row>
    <row r="15" spans="1:22">
      <c r="A15" s="26">
        <v>11</v>
      </c>
      <c r="B15" s="27">
        <v>45911</v>
      </c>
      <c r="C15" s="34"/>
      <c r="D15" s="35"/>
      <c r="E15" s="37">
        <v>2400</v>
      </c>
      <c r="F15" s="37">
        <v>96.42</v>
      </c>
      <c r="G15" s="37">
        <f t="shared" si="2"/>
        <v>231408</v>
      </c>
      <c r="H15" s="37">
        <v>15</v>
      </c>
      <c r="I15" s="37">
        <v>108.23</v>
      </c>
      <c r="J15" s="37">
        <f t="shared" si="3"/>
        <v>1623.45</v>
      </c>
      <c r="K15" s="37">
        <f t="shared" si="4"/>
        <v>233031.45</v>
      </c>
      <c r="L15" s="205">
        <v>0</v>
      </c>
      <c r="M15" s="37">
        <f t="shared" si="6"/>
        <v>712139.5</v>
      </c>
      <c r="N15" s="206"/>
    </row>
    <row r="16" spans="1:22">
      <c r="A16" s="26">
        <v>12</v>
      </c>
      <c r="B16" s="27">
        <v>45912</v>
      </c>
      <c r="C16" s="34"/>
      <c r="D16" s="35"/>
      <c r="E16" s="37">
        <v>0</v>
      </c>
      <c r="F16" s="37">
        <v>0</v>
      </c>
      <c r="G16" s="37">
        <f t="shared" si="2"/>
        <v>0</v>
      </c>
      <c r="H16" s="37">
        <v>35</v>
      </c>
      <c r="I16" s="37">
        <v>108.23</v>
      </c>
      <c r="J16" s="37">
        <f t="shared" si="3"/>
        <v>3788.05</v>
      </c>
      <c r="K16" s="37">
        <f t="shared" si="4"/>
        <v>3788.05</v>
      </c>
      <c r="L16" s="205">
        <v>0</v>
      </c>
      <c r="M16" s="37">
        <f t="shared" si="6"/>
        <v>715927.55</v>
      </c>
      <c r="N16" s="206"/>
      <c r="R16">
        <v>40</v>
      </c>
    </row>
    <row r="17" spans="1:18">
      <c r="A17" s="26">
        <v>13</v>
      </c>
      <c r="B17" s="27">
        <v>45913</v>
      </c>
      <c r="C17" s="34"/>
      <c r="D17" s="35"/>
      <c r="E17" s="37">
        <v>0</v>
      </c>
      <c r="F17" s="37">
        <v>0</v>
      </c>
      <c r="G17" s="37">
        <f t="shared" si="2"/>
        <v>0</v>
      </c>
      <c r="H17" s="37">
        <v>10</v>
      </c>
      <c r="I17" s="37">
        <v>108.23</v>
      </c>
      <c r="J17" s="37">
        <f t="shared" si="3"/>
        <v>1082.3</v>
      </c>
      <c r="K17" s="37">
        <f t="shared" si="4"/>
        <v>1082.3</v>
      </c>
      <c r="L17" s="205">
        <v>0</v>
      </c>
      <c r="M17" s="37">
        <f t="shared" si="6"/>
        <v>717009.85000000009</v>
      </c>
      <c r="N17" s="206"/>
      <c r="R17">
        <v>5</v>
      </c>
    </row>
    <row r="18" spans="1:18">
      <c r="A18" s="26">
        <v>14</v>
      </c>
      <c r="B18" s="27">
        <v>45914</v>
      </c>
      <c r="C18" s="34"/>
      <c r="D18" s="35"/>
      <c r="E18" s="37">
        <v>2000</v>
      </c>
      <c r="F18" s="37">
        <v>96.42</v>
      </c>
      <c r="G18" s="37">
        <f t="shared" si="2"/>
        <v>192840</v>
      </c>
      <c r="H18" s="37">
        <v>10</v>
      </c>
      <c r="I18" s="37">
        <v>108.23</v>
      </c>
      <c r="J18" s="37">
        <f t="shared" si="3"/>
        <v>1082.3</v>
      </c>
      <c r="K18" s="37">
        <f t="shared" si="4"/>
        <v>193922.3</v>
      </c>
      <c r="L18" s="205">
        <v>0</v>
      </c>
      <c r="M18" s="37">
        <f t="shared" si="6"/>
        <v>910932.15000000014</v>
      </c>
      <c r="N18" s="206"/>
      <c r="R18">
        <v>15</v>
      </c>
    </row>
    <row r="19" spans="1:18">
      <c r="A19" s="26">
        <v>15</v>
      </c>
      <c r="B19" s="27">
        <v>45915</v>
      </c>
      <c r="C19" s="174"/>
      <c r="D19" s="35"/>
      <c r="E19" s="37">
        <v>0</v>
      </c>
      <c r="F19" s="37">
        <v>0</v>
      </c>
      <c r="G19" s="37">
        <f t="shared" si="2"/>
        <v>0</v>
      </c>
      <c r="H19" s="37">
        <v>20</v>
      </c>
      <c r="I19" s="37">
        <v>108.23</v>
      </c>
      <c r="J19" s="37">
        <f t="shared" si="3"/>
        <v>2164.6</v>
      </c>
      <c r="K19" s="37">
        <f t="shared" si="4"/>
        <v>2164.6</v>
      </c>
      <c r="L19" s="205">
        <v>0</v>
      </c>
      <c r="M19" s="37">
        <f t="shared" si="6"/>
        <v>913096.75000000012</v>
      </c>
      <c r="N19" s="251"/>
      <c r="R19">
        <v>10</v>
      </c>
    </row>
    <row r="20" spans="1:18">
      <c r="A20" s="26">
        <v>16</v>
      </c>
      <c r="B20" s="27">
        <v>45916</v>
      </c>
      <c r="C20" s="111"/>
      <c r="D20" s="377">
        <v>94.59</v>
      </c>
      <c r="E20" s="37">
        <v>2527.0500000000002</v>
      </c>
      <c r="F20" s="37">
        <v>96.42</v>
      </c>
      <c r="G20" s="37">
        <f t="shared" si="2"/>
        <v>243658.16100000002</v>
      </c>
      <c r="H20" s="37">
        <v>5</v>
      </c>
      <c r="I20" s="37">
        <v>108.23</v>
      </c>
      <c r="J20" s="37">
        <f t="shared" si="3"/>
        <v>541.15</v>
      </c>
      <c r="K20" s="37">
        <f t="shared" si="4"/>
        <v>244199.31100000002</v>
      </c>
      <c r="L20" s="205">
        <v>0</v>
      </c>
      <c r="M20" s="37">
        <f t="shared" si="6"/>
        <v>1157296.0610000002</v>
      </c>
      <c r="N20" s="251"/>
      <c r="Q20">
        <v>2527.0500000000002</v>
      </c>
      <c r="R20">
        <v>5</v>
      </c>
    </row>
    <row r="21" spans="1:18">
      <c r="A21" s="26">
        <v>17</v>
      </c>
      <c r="B21" s="27">
        <v>45917</v>
      </c>
      <c r="C21" s="186"/>
      <c r="D21" s="35">
        <v>32.46</v>
      </c>
      <c r="E21" s="37">
        <v>0</v>
      </c>
      <c r="F21" s="37">
        <v>0</v>
      </c>
      <c r="G21" s="37">
        <f t="shared" si="2"/>
        <v>0</v>
      </c>
      <c r="H21" s="37">
        <v>5</v>
      </c>
      <c r="I21" s="37">
        <v>108.23</v>
      </c>
      <c r="J21" s="37">
        <f t="shared" si="3"/>
        <v>541.15</v>
      </c>
      <c r="K21" s="37">
        <f t="shared" si="4"/>
        <v>541.15</v>
      </c>
      <c r="L21" s="205">
        <v>0</v>
      </c>
      <c r="M21" s="37">
        <f t="shared" si="6"/>
        <v>1157837.2110000001</v>
      </c>
      <c r="N21" s="251"/>
      <c r="R21">
        <v>25</v>
      </c>
    </row>
    <row r="22" spans="1:18">
      <c r="A22" s="26">
        <v>18</v>
      </c>
      <c r="B22" s="27">
        <v>45918</v>
      </c>
      <c r="C22" s="186"/>
      <c r="D22" s="35"/>
      <c r="E22" s="37">
        <v>2030</v>
      </c>
      <c r="F22" s="37">
        <v>96.42</v>
      </c>
      <c r="G22" s="37">
        <f t="shared" si="2"/>
        <v>195732.6</v>
      </c>
      <c r="H22" s="37">
        <v>35</v>
      </c>
      <c r="I22" s="37">
        <v>108.23</v>
      </c>
      <c r="J22" s="37">
        <f t="shared" si="3"/>
        <v>3788.05</v>
      </c>
      <c r="K22" s="37">
        <f t="shared" si="4"/>
        <v>199520.65</v>
      </c>
      <c r="L22" s="205">
        <v>0</v>
      </c>
      <c r="M22" s="37">
        <f t="shared" si="6"/>
        <v>1357357.861</v>
      </c>
      <c r="N22" s="251"/>
      <c r="R22">
        <v>24</v>
      </c>
    </row>
    <row r="23" spans="1:18">
      <c r="A23" s="26">
        <v>19</v>
      </c>
      <c r="B23" s="27">
        <v>45919</v>
      </c>
      <c r="C23" s="111"/>
      <c r="D23" s="35"/>
      <c r="E23" s="37">
        <v>2000</v>
      </c>
      <c r="F23" s="37">
        <v>96.42</v>
      </c>
      <c r="G23" s="37">
        <f t="shared" si="2"/>
        <v>192840</v>
      </c>
      <c r="H23" s="37">
        <v>24</v>
      </c>
      <c r="I23" s="37">
        <v>108.23</v>
      </c>
      <c r="J23" s="37">
        <f t="shared" si="3"/>
        <v>2597.52</v>
      </c>
      <c r="K23" s="37">
        <f t="shared" si="4"/>
        <v>195437.52</v>
      </c>
      <c r="L23" s="205">
        <v>0</v>
      </c>
      <c r="M23" s="37">
        <f t="shared" si="6"/>
        <v>1552795.3810000001</v>
      </c>
      <c r="N23" s="206"/>
      <c r="R23">
        <v>15</v>
      </c>
    </row>
    <row r="24" spans="1:18">
      <c r="A24" s="26">
        <v>20</v>
      </c>
      <c r="B24" s="27">
        <v>45920</v>
      </c>
      <c r="C24" s="111"/>
      <c r="D24" s="35"/>
      <c r="E24" s="37">
        <v>2400</v>
      </c>
      <c r="F24" s="37">
        <v>96.42</v>
      </c>
      <c r="G24" s="37">
        <f t="shared" si="2"/>
        <v>231408</v>
      </c>
      <c r="H24" s="37">
        <v>20</v>
      </c>
      <c r="I24" s="37">
        <v>108.23</v>
      </c>
      <c r="J24" s="37">
        <f t="shared" si="3"/>
        <v>2164.6</v>
      </c>
      <c r="K24" s="37">
        <f t="shared" si="4"/>
        <v>233572.6</v>
      </c>
      <c r="L24" s="205">
        <v>0</v>
      </c>
      <c r="M24" s="37">
        <f t="shared" si="6"/>
        <v>1786367.9810000001</v>
      </c>
      <c r="N24" s="206"/>
      <c r="R24">
        <v>20</v>
      </c>
    </row>
    <row r="25" spans="1:18">
      <c r="A25" s="26">
        <v>21</v>
      </c>
      <c r="B25" s="27">
        <v>45921</v>
      </c>
      <c r="C25" s="111"/>
      <c r="D25" s="35"/>
      <c r="E25" s="37">
        <v>2400</v>
      </c>
      <c r="F25" s="37">
        <v>96.42</v>
      </c>
      <c r="G25" s="37">
        <f t="shared" si="2"/>
        <v>231408</v>
      </c>
      <c r="H25" s="37">
        <v>5</v>
      </c>
      <c r="I25" s="37">
        <v>108.23</v>
      </c>
      <c r="J25" s="37">
        <f t="shared" si="3"/>
        <v>541.15</v>
      </c>
      <c r="K25" s="37">
        <f t="shared" si="4"/>
        <v>231949.15</v>
      </c>
      <c r="L25" s="205">
        <v>0</v>
      </c>
      <c r="M25" s="37">
        <f t="shared" si="6"/>
        <v>2018317.1310000001</v>
      </c>
      <c r="N25" s="206"/>
      <c r="Q25">
        <v>2440</v>
      </c>
      <c r="R25">
        <v>25</v>
      </c>
    </row>
    <row r="26" spans="1:18">
      <c r="A26" s="26">
        <v>22</v>
      </c>
      <c r="B26" s="27">
        <v>45922</v>
      </c>
      <c r="C26" s="111"/>
      <c r="D26" s="35">
        <v>40</v>
      </c>
      <c r="E26" s="37">
        <v>1840</v>
      </c>
      <c r="F26" s="37">
        <v>96.42</v>
      </c>
      <c r="G26" s="37">
        <f t="shared" si="2"/>
        <v>177412.80000000002</v>
      </c>
      <c r="H26" s="37">
        <v>19</v>
      </c>
      <c r="I26" s="37">
        <v>108.23</v>
      </c>
      <c r="J26" s="37">
        <f t="shared" si="3"/>
        <v>2056.37</v>
      </c>
      <c r="K26" s="37">
        <f t="shared" si="4"/>
        <v>179469.17</v>
      </c>
      <c r="L26" s="205">
        <v>0</v>
      </c>
      <c r="M26" s="37">
        <f t="shared" si="6"/>
        <v>2197786.301</v>
      </c>
      <c r="N26" s="206"/>
      <c r="Q26">
        <v>1800</v>
      </c>
      <c r="R26">
        <v>10</v>
      </c>
    </row>
    <row r="27" spans="1:18">
      <c r="A27" s="26">
        <v>23</v>
      </c>
      <c r="B27" s="27">
        <v>45923</v>
      </c>
      <c r="C27" s="111"/>
      <c r="D27" s="35"/>
      <c r="E27" s="37">
        <v>1400</v>
      </c>
      <c r="F27" s="37">
        <v>96.42</v>
      </c>
      <c r="G27" s="37">
        <f t="shared" si="2"/>
        <v>134988</v>
      </c>
      <c r="H27" s="37">
        <v>10</v>
      </c>
      <c r="I27" s="37">
        <v>108.23</v>
      </c>
      <c r="J27" s="37">
        <f t="shared" si="3"/>
        <v>1082.3</v>
      </c>
      <c r="K27" s="37">
        <f t="shared" si="4"/>
        <v>136070.29999999999</v>
      </c>
      <c r="L27" s="205">
        <v>0</v>
      </c>
      <c r="M27" s="37">
        <f t="shared" si="6"/>
        <v>2333856.6009999998</v>
      </c>
      <c r="N27" s="206"/>
      <c r="P27">
        <v>2440</v>
      </c>
      <c r="R27">
        <v>5</v>
      </c>
    </row>
    <row r="28" spans="1:18">
      <c r="A28" s="26">
        <v>24</v>
      </c>
      <c r="B28" s="27">
        <v>45924</v>
      </c>
      <c r="C28" s="111"/>
      <c r="D28" s="35"/>
      <c r="E28" s="37">
        <v>0</v>
      </c>
      <c r="F28" s="37">
        <v>0</v>
      </c>
      <c r="G28" s="37">
        <f t="shared" si="2"/>
        <v>0</v>
      </c>
      <c r="H28" s="37">
        <v>24</v>
      </c>
      <c r="I28" s="37">
        <v>108.23</v>
      </c>
      <c r="J28" s="37">
        <f t="shared" si="3"/>
        <v>2597.52</v>
      </c>
      <c r="K28" s="37">
        <f t="shared" si="4"/>
        <v>2597.52</v>
      </c>
      <c r="L28" s="205">
        <v>0</v>
      </c>
      <c r="M28" s="37">
        <f t="shared" si="6"/>
        <v>2336454.1209999998</v>
      </c>
      <c r="N28" s="206"/>
      <c r="R28">
        <v>29</v>
      </c>
    </row>
    <row r="29" spans="1:18">
      <c r="A29" s="26">
        <v>25</v>
      </c>
      <c r="B29" s="27">
        <v>45925</v>
      </c>
      <c r="C29" s="111"/>
      <c r="D29" s="35"/>
      <c r="E29" s="37">
        <v>3400</v>
      </c>
      <c r="F29" s="37">
        <v>96.42</v>
      </c>
      <c r="G29" s="37">
        <f t="shared" si="2"/>
        <v>327828</v>
      </c>
      <c r="H29" s="37">
        <v>20</v>
      </c>
      <c r="I29" s="37">
        <v>108.23</v>
      </c>
      <c r="J29" s="37">
        <f t="shared" si="3"/>
        <v>2164.6</v>
      </c>
      <c r="K29" s="37">
        <f t="shared" si="4"/>
        <v>329992.59999999998</v>
      </c>
      <c r="L29" s="205">
        <v>0</v>
      </c>
      <c r="M29" s="37">
        <f t="shared" si="6"/>
        <v>2666446.7209999999</v>
      </c>
      <c r="N29" s="206"/>
      <c r="R29">
        <v>20</v>
      </c>
    </row>
    <row r="30" spans="1:18">
      <c r="A30" s="26">
        <v>26</v>
      </c>
      <c r="B30" s="27">
        <v>45926</v>
      </c>
      <c r="C30" s="111"/>
      <c r="D30" s="35"/>
      <c r="E30" s="37">
        <v>0</v>
      </c>
      <c r="F30" s="37">
        <v>0</v>
      </c>
      <c r="G30" s="37">
        <f t="shared" si="2"/>
        <v>0</v>
      </c>
      <c r="H30" s="37">
        <v>10</v>
      </c>
      <c r="I30" s="37">
        <v>108.23</v>
      </c>
      <c r="J30" s="37">
        <f t="shared" si="3"/>
        <v>1082.3</v>
      </c>
      <c r="K30" s="37">
        <f t="shared" si="4"/>
        <v>1082.3</v>
      </c>
      <c r="L30" s="205">
        <v>0</v>
      </c>
      <c r="M30" s="37">
        <f t="shared" si="6"/>
        <v>2667529.0209999997</v>
      </c>
      <c r="N30" s="206"/>
      <c r="Q30">
        <v>0</v>
      </c>
    </row>
    <row r="31" spans="1:18">
      <c r="A31" s="26">
        <v>27</v>
      </c>
      <c r="B31" s="27">
        <v>45927</v>
      </c>
      <c r="C31" s="111"/>
      <c r="D31" s="35"/>
      <c r="E31" s="37">
        <v>45</v>
      </c>
      <c r="F31" s="37">
        <v>96.42</v>
      </c>
      <c r="G31" s="37">
        <f t="shared" si="2"/>
        <v>4338.8999999999996</v>
      </c>
      <c r="H31" s="37">
        <v>40</v>
      </c>
      <c r="I31" s="37">
        <v>108.23</v>
      </c>
      <c r="J31" s="37">
        <f t="shared" si="3"/>
        <v>4329.2</v>
      </c>
      <c r="K31" s="37">
        <f t="shared" si="4"/>
        <v>8668.0999999999985</v>
      </c>
      <c r="L31" s="205">
        <v>500000</v>
      </c>
      <c r="M31" s="37">
        <f t="shared" si="6"/>
        <v>2176197.1209999998</v>
      </c>
      <c r="N31" s="206"/>
      <c r="Q31">
        <v>75</v>
      </c>
      <c r="R31">
        <v>5</v>
      </c>
    </row>
    <row r="32" spans="1:18">
      <c r="A32" s="26">
        <v>28</v>
      </c>
      <c r="B32" s="382">
        <v>45928</v>
      </c>
      <c r="C32" s="186"/>
      <c r="D32" s="383"/>
      <c r="E32" s="384">
        <v>0</v>
      </c>
      <c r="F32" s="384">
        <v>0</v>
      </c>
      <c r="G32" s="384">
        <f t="shared" si="2"/>
        <v>0</v>
      </c>
      <c r="H32" s="384">
        <v>5</v>
      </c>
      <c r="I32" s="384">
        <v>108.23</v>
      </c>
      <c r="J32" s="384">
        <f t="shared" si="3"/>
        <v>541.15</v>
      </c>
      <c r="K32" s="384">
        <f t="shared" si="4"/>
        <v>541.15</v>
      </c>
      <c r="L32" s="385">
        <v>0</v>
      </c>
      <c r="M32" s="384">
        <f t="shared" si="6"/>
        <v>2176738.2709999997</v>
      </c>
      <c r="N32" s="251"/>
      <c r="R32">
        <v>10</v>
      </c>
    </row>
    <row r="33" spans="1:18">
      <c r="A33" s="380">
        <v>29</v>
      </c>
      <c r="B33" s="27">
        <v>45929</v>
      </c>
      <c r="C33" s="111"/>
      <c r="D33" s="35"/>
      <c r="E33" s="37">
        <v>3700</v>
      </c>
      <c r="F33" s="37">
        <v>96.42</v>
      </c>
      <c r="G33" s="37">
        <f t="shared" si="2"/>
        <v>356754</v>
      </c>
      <c r="H33" s="37">
        <v>15</v>
      </c>
      <c r="I33" s="37">
        <v>108.23</v>
      </c>
      <c r="J33" s="37">
        <f t="shared" si="3"/>
        <v>1623.45</v>
      </c>
      <c r="K33" s="37">
        <f t="shared" si="4"/>
        <v>358377.45</v>
      </c>
      <c r="L33" s="37">
        <v>0</v>
      </c>
      <c r="M33" s="37">
        <f t="shared" si="6"/>
        <v>2535115.7209999999</v>
      </c>
      <c r="N33" s="37"/>
      <c r="Q33">
        <v>3742</v>
      </c>
      <c r="R33">
        <v>15</v>
      </c>
    </row>
    <row r="34" spans="1:18">
      <c r="A34" s="380">
        <v>30</v>
      </c>
      <c r="B34" s="27">
        <v>45930</v>
      </c>
      <c r="C34" s="111"/>
      <c r="D34" s="35">
        <v>42</v>
      </c>
      <c r="E34" s="37">
        <v>1042</v>
      </c>
      <c r="F34" s="37">
        <v>96.42</v>
      </c>
      <c r="G34" s="37">
        <f t="shared" si="2"/>
        <v>100469.64</v>
      </c>
      <c r="H34" s="37">
        <v>40</v>
      </c>
      <c r="I34" s="37">
        <v>108.23</v>
      </c>
      <c r="J34" s="37">
        <f t="shared" si="3"/>
        <v>4329.2</v>
      </c>
      <c r="K34" s="37">
        <f t="shared" si="4"/>
        <v>104798.84</v>
      </c>
      <c r="L34" s="37">
        <v>0</v>
      </c>
      <c r="M34" s="37">
        <f t="shared" si="6"/>
        <v>2639914.5609999998</v>
      </c>
      <c r="N34" s="37"/>
    </row>
    <row r="35" spans="1:18">
      <c r="A35" s="380">
        <v>31</v>
      </c>
      <c r="B35" s="27">
        <v>45931</v>
      </c>
      <c r="C35" s="111"/>
      <c r="D35" s="35"/>
      <c r="E35" s="37">
        <v>0</v>
      </c>
      <c r="F35" s="37">
        <v>0</v>
      </c>
      <c r="G35" s="37">
        <f t="shared" si="2"/>
        <v>0</v>
      </c>
      <c r="H35" s="37">
        <v>0</v>
      </c>
      <c r="I35" s="37">
        <v>0</v>
      </c>
      <c r="J35" s="37">
        <f t="shared" si="3"/>
        <v>0</v>
      </c>
      <c r="K35" s="37">
        <f t="shared" si="4"/>
        <v>0</v>
      </c>
      <c r="L35" s="37">
        <v>0</v>
      </c>
      <c r="M35" s="37">
        <f t="shared" si="6"/>
        <v>2639914.5609999998</v>
      </c>
      <c r="N35" s="37"/>
    </row>
    <row r="36" spans="1:18">
      <c r="A36" s="274"/>
      <c r="B36" s="27"/>
      <c r="C36" s="111"/>
      <c r="D36" s="35"/>
      <c r="E36" s="37">
        <v>0</v>
      </c>
      <c r="F36" s="37">
        <v>0</v>
      </c>
      <c r="G36" s="37">
        <f>E36*F36</f>
        <v>0</v>
      </c>
      <c r="H36" s="37">
        <v>0</v>
      </c>
      <c r="I36" s="37">
        <v>0</v>
      </c>
      <c r="J36" s="37">
        <f t="shared" ref="J36" si="7">H36*I36</f>
        <v>0</v>
      </c>
      <c r="K36" s="37">
        <f t="shared" ref="K36" si="8">G36+J36</f>
        <v>0</v>
      </c>
      <c r="L36" s="37"/>
      <c r="M36" s="37">
        <f t="shared" si="6"/>
        <v>2639914.5609999998</v>
      </c>
      <c r="N36" s="37"/>
    </row>
    <row r="37" spans="1:18">
      <c r="A37" s="381"/>
      <c r="B37" s="44"/>
      <c r="C37" s="44"/>
      <c r="D37" s="44"/>
      <c r="E37" s="45">
        <f>SUM(E4:E35)</f>
        <v>34171.990000000005</v>
      </c>
      <c r="F37" s="45"/>
      <c r="G37" s="45">
        <f>SUM(G4:G35)</f>
        <v>3294863.2757999999</v>
      </c>
      <c r="H37" s="45">
        <f>SUM(H4:H35)</f>
        <v>592.72</v>
      </c>
      <c r="I37" s="45"/>
      <c r="J37" s="45">
        <f>SUM(J4:J35)</f>
        <v>64150.085599999999</v>
      </c>
      <c r="K37" s="45">
        <f>SUM(K4:K35)</f>
        <v>3359013.3613999998</v>
      </c>
      <c r="L37" s="45">
        <f>SUM(L4:L35)</f>
        <v>4555327.8599999994</v>
      </c>
      <c r="M37" s="45"/>
      <c r="N37" s="45"/>
    </row>
    <row r="38" spans="1:18">
      <c r="A38" s="38"/>
      <c r="B38" s="38"/>
      <c r="C38" s="38"/>
      <c r="D38" s="38"/>
      <c r="E38" s="41"/>
      <c r="F38" s="41"/>
      <c r="G38" s="41"/>
      <c r="H38" s="41"/>
      <c r="I38" s="41"/>
      <c r="J38" s="41"/>
      <c r="K38" s="41"/>
      <c r="L38" s="41"/>
      <c r="M38" s="41"/>
      <c r="N38" s="41"/>
      <c r="Q38" s="378" t="s">
        <v>104</v>
      </c>
    </row>
    <row r="39" spans="1:18">
      <c r="A39" s="33"/>
      <c r="B39" s="33"/>
      <c r="C39" s="33"/>
      <c r="D39" s="33"/>
      <c r="E39" s="33">
        <v>545.46</v>
      </c>
      <c r="F39" s="33"/>
      <c r="G39" s="40"/>
      <c r="H39" s="33">
        <v>365.04</v>
      </c>
      <c r="I39" s="33"/>
      <c r="J39" s="33"/>
      <c r="K39" s="33"/>
      <c r="L39" s="33"/>
      <c r="M39" s="33"/>
      <c r="N39" s="33"/>
      <c r="Q39" s="378">
        <v>5850</v>
      </c>
    </row>
    <row r="40" spans="1:18">
      <c r="A40" s="33"/>
      <c r="B40" s="33"/>
      <c r="C40" s="33"/>
      <c r="D40" s="33"/>
      <c r="E40" s="33"/>
      <c r="F40" s="33"/>
      <c r="G40" s="33"/>
      <c r="H40" s="33">
        <v>273</v>
      </c>
      <c r="I40" s="33"/>
      <c r="J40" s="33"/>
      <c r="K40" s="33">
        <v>3115380</v>
      </c>
      <c r="L40" s="33"/>
      <c r="M40" s="33"/>
      <c r="N40" s="33"/>
      <c r="Q40" s="378" t="s">
        <v>105</v>
      </c>
    </row>
    <row r="41" spans="1:18">
      <c r="H41">
        <f>SUM(H39:H40)</f>
        <v>638.04</v>
      </c>
      <c r="K41">
        <f>500000-K40</f>
        <v>-2615380</v>
      </c>
      <c r="Q41" s="378">
        <v>4848</v>
      </c>
    </row>
    <row r="42" spans="1:18">
      <c r="H42">
        <v>593.72</v>
      </c>
      <c r="K42">
        <v>2885890</v>
      </c>
      <c r="L42">
        <v>2615380</v>
      </c>
      <c r="M42">
        <f>K42-L42</f>
        <v>270510</v>
      </c>
    </row>
    <row r="43" spans="1:18">
      <c r="H43">
        <f>H41-H42</f>
        <v>44.319999999999936</v>
      </c>
      <c r="K43">
        <f>K42-265380</f>
        <v>2620510</v>
      </c>
    </row>
    <row r="44" spans="1:18">
      <c r="E44" s="180"/>
      <c r="M44">
        <f>2645242-5327</f>
        <v>2639915</v>
      </c>
    </row>
    <row r="48" spans="1:18">
      <c r="N48" s="180"/>
    </row>
  </sheetData>
  <mergeCells count="2">
    <mergeCell ref="A1:N1"/>
    <mergeCell ref="A3:J3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8C841-9E0F-4432-87D3-E0CE7CD55810}">
  <dimension ref="A1:R35"/>
  <sheetViews>
    <sheetView workbookViewId="0">
      <selection activeCell="S21" sqref="S21"/>
    </sheetView>
  </sheetViews>
  <sheetFormatPr defaultRowHeight="15"/>
  <cols>
    <col min="2" max="2" width="10.5703125" bestFit="1" customWidth="1"/>
    <col min="5" max="5" width="10.5703125" customWidth="1"/>
    <col min="7" max="7" width="14.85546875" customWidth="1"/>
    <col min="8" max="8" width="9.7109375" customWidth="1"/>
    <col min="11" max="12" width="11.85546875" bestFit="1" customWidth="1"/>
    <col min="13" max="13" width="13.5703125" bestFit="1" customWidth="1"/>
  </cols>
  <sheetData>
    <row r="1" spans="1:18" ht="15.75">
      <c r="A1" s="397" t="s">
        <v>18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97"/>
      <c r="M1" s="397"/>
      <c r="N1" s="397"/>
    </row>
    <row r="2" spans="1:18" ht="27">
      <c r="A2" s="107" t="s">
        <v>90</v>
      </c>
      <c r="B2" s="110" t="s">
        <v>91</v>
      </c>
      <c r="C2" s="110" t="s">
        <v>92</v>
      </c>
      <c r="D2" s="110" t="s">
        <v>93</v>
      </c>
      <c r="E2" s="201" t="s">
        <v>94</v>
      </c>
      <c r="F2" s="110" t="s">
        <v>95</v>
      </c>
      <c r="G2" s="110" t="s">
        <v>96</v>
      </c>
      <c r="H2" s="110" t="s">
        <v>97</v>
      </c>
      <c r="I2" s="110" t="s">
        <v>95</v>
      </c>
      <c r="J2" s="110" t="s">
        <v>96</v>
      </c>
      <c r="K2" s="110" t="s">
        <v>98</v>
      </c>
      <c r="L2" s="110" t="s">
        <v>99</v>
      </c>
      <c r="M2" s="110" t="s">
        <v>106</v>
      </c>
      <c r="N2" s="110" t="s">
        <v>101</v>
      </c>
    </row>
    <row r="3" spans="1:18">
      <c r="A3" s="398" t="s">
        <v>102</v>
      </c>
      <c r="B3" s="398"/>
      <c r="C3" s="398"/>
      <c r="D3" s="398"/>
      <c r="E3" s="398"/>
      <c r="F3" s="398"/>
      <c r="G3" s="398"/>
      <c r="H3" s="398"/>
      <c r="I3" s="398"/>
      <c r="J3" s="398"/>
      <c r="K3" s="225">
        <v>0</v>
      </c>
      <c r="L3" s="225"/>
      <c r="M3" s="226">
        <f>+K3</f>
        <v>0</v>
      </c>
      <c r="N3" s="98"/>
      <c r="O3">
        <v>1400599.5758000002</v>
      </c>
    </row>
    <row r="4" spans="1:18">
      <c r="A4" s="26">
        <v>1</v>
      </c>
      <c r="B4" s="27">
        <v>45901</v>
      </c>
      <c r="C4" s="17"/>
      <c r="D4" s="17"/>
      <c r="E4" s="17">
        <v>2500</v>
      </c>
      <c r="F4" s="17">
        <v>96.43</v>
      </c>
      <c r="G4" s="17">
        <f>E4*F4</f>
        <v>241075.00000000003</v>
      </c>
      <c r="H4" s="17"/>
      <c r="I4" s="17"/>
      <c r="J4" s="17">
        <f>H4*I4</f>
        <v>0</v>
      </c>
      <c r="K4" s="17">
        <f>G4+J4</f>
        <v>241075.00000000003</v>
      </c>
      <c r="L4" s="17"/>
      <c r="M4" s="140">
        <f>M3+K4-L4</f>
        <v>241075.00000000003</v>
      </c>
      <c r="N4" s="17"/>
      <c r="O4" s="22"/>
    </row>
    <row r="5" spans="1:18">
      <c r="A5" s="26">
        <v>2</v>
      </c>
      <c r="B5" s="27">
        <v>45902</v>
      </c>
      <c r="C5" s="17"/>
      <c r="D5" s="17"/>
      <c r="E5" s="17">
        <v>0</v>
      </c>
      <c r="F5" s="17">
        <v>0</v>
      </c>
      <c r="G5" s="17">
        <f t="shared" ref="G5:G34" si="0">E5*F5</f>
        <v>0</v>
      </c>
      <c r="H5" s="17"/>
      <c r="I5" s="17"/>
      <c r="J5" s="17">
        <f t="shared" ref="J5:J34" si="1">H5*I5</f>
        <v>0</v>
      </c>
      <c r="K5" s="17">
        <f t="shared" ref="K5:K34" si="2">G5+J5</f>
        <v>0</v>
      </c>
      <c r="L5" s="17">
        <v>0</v>
      </c>
      <c r="M5" s="140">
        <f t="shared" ref="M5:M34" si="3">M4+K5-L5</f>
        <v>241075.00000000003</v>
      </c>
      <c r="N5" s="17"/>
    </row>
    <row r="6" spans="1:18">
      <c r="A6" s="26">
        <v>3</v>
      </c>
      <c r="B6" s="27">
        <v>45903</v>
      </c>
      <c r="C6" s="17"/>
      <c r="D6" s="17"/>
      <c r="E6" s="17">
        <v>2500</v>
      </c>
      <c r="F6" s="17">
        <v>96.43</v>
      </c>
      <c r="G6" s="17">
        <f t="shared" si="0"/>
        <v>241075.00000000003</v>
      </c>
      <c r="H6" s="17"/>
      <c r="I6" s="17"/>
      <c r="J6" s="17">
        <f t="shared" si="1"/>
        <v>0</v>
      </c>
      <c r="K6" s="17">
        <f t="shared" si="2"/>
        <v>241075.00000000003</v>
      </c>
      <c r="L6" s="17"/>
      <c r="M6" s="140">
        <f t="shared" si="3"/>
        <v>482150.00000000006</v>
      </c>
      <c r="N6" s="17"/>
      <c r="R6">
        <v>541.08000000000004</v>
      </c>
    </row>
    <row r="7" spans="1:18">
      <c r="A7" s="26">
        <v>4</v>
      </c>
      <c r="B7" s="27">
        <v>45904</v>
      </c>
      <c r="C7" s="17"/>
      <c r="D7" s="17"/>
      <c r="E7" s="17">
        <v>2500</v>
      </c>
      <c r="F7" s="17">
        <v>96.43</v>
      </c>
      <c r="G7" s="17">
        <f t="shared" si="0"/>
        <v>241075.00000000003</v>
      </c>
      <c r="H7" s="17"/>
      <c r="I7" s="17"/>
      <c r="J7" s="17">
        <f t="shared" si="1"/>
        <v>0</v>
      </c>
      <c r="K7" s="17">
        <f t="shared" si="2"/>
        <v>241075.00000000003</v>
      </c>
      <c r="L7" s="17"/>
      <c r="M7" s="140">
        <f t="shared" si="3"/>
        <v>723225.00000000012</v>
      </c>
      <c r="N7" s="17"/>
    </row>
    <row r="8" spans="1:18">
      <c r="A8" s="26">
        <v>5</v>
      </c>
      <c r="B8" s="27">
        <v>45905</v>
      </c>
      <c r="C8" s="17"/>
      <c r="D8" s="17"/>
      <c r="E8" s="17">
        <v>2500</v>
      </c>
      <c r="F8" s="17">
        <v>96.43</v>
      </c>
      <c r="G8" s="17">
        <f t="shared" si="0"/>
        <v>241075.00000000003</v>
      </c>
      <c r="H8" s="17"/>
      <c r="I8" s="17"/>
      <c r="J8" s="17">
        <f t="shared" si="1"/>
        <v>0</v>
      </c>
      <c r="K8" s="17">
        <f t="shared" si="2"/>
        <v>241075.00000000003</v>
      </c>
      <c r="L8" s="17"/>
      <c r="M8" s="140">
        <f>M7+K8-L8</f>
        <v>964300.00000000012</v>
      </c>
      <c r="N8" s="17"/>
    </row>
    <row r="9" spans="1:18">
      <c r="A9" s="26">
        <v>6</v>
      </c>
      <c r="B9" s="27">
        <v>45906</v>
      </c>
      <c r="C9" s="17"/>
      <c r="D9" s="17"/>
      <c r="E9" s="17">
        <v>2500</v>
      </c>
      <c r="F9" s="17">
        <v>96.43</v>
      </c>
      <c r="G9" s="17">
        <f t="shared" si="0"/>
        <v>241075.00000000003</v>
      </c>
      <c r="H9" s="17"/>
      <c r="I9" s="17"/>
      <c r="J9" s="17">
        <f t="shared" si="1"/>
        <v>0</v>
      </c>
      <c r="K9" s="17">
        <f t="shared" si="2"/>
        <v>241075.00000000003</v>
      </c>
      <c r="L9" s="17"/>
      <c r="M9" s="140">
        <f t="shared" si="3"/>
        <v>1205375.0000000002</v>
      </c>
      <c r="N9" s="17"/>
    </row>
    <row r="10" spans="1:18">
      <c r="A10" s="26">
        <v>7</v>
      </c>
      <c r="B10" s="27">
        <v>45907</v>
      </c>
      <c r="C10" s="17"/>
      <c r="D10" s="17"/>
      <c r="E10" s="17">
        <v>2500</v>
      </c>
      <c r="F10" s="17">
        <v>96.43</v>
      </c>
      <c r="G10" s="17">
        <f t="shared" si="0"/>
        <v>241075.00000000003</v>
      </c>
      <c r="H10" s="17"/>
      <c r="I10" s="17"/>
      <c r="J10" s="17">
        <f t="shared" si="1"/>
        <v>0</v>
      </c>
      <c r="K10" s="17">
        <f t="shared" si="2"/>
        <v>241075.00000000003</v>
      </c>
      <c r="L10" s="17"/>
      <c r="M10" s="140">
        <f t="shared" si="3"/>
        <v>1446450.0000000002</v>
      </c>
      <c r="N10" s="17"/>
    </row>
    <row r="11" spans="1:18">
      <c r="A11" s="26">
        <v>8</v>
      </c>
      <c r="B11" s="27">
        <v>45908</v>
      </c>
      <c r="C11" s="17"/>
      <c r="D11" s="17"/>
      <c r="E11" s="17">
        <v>2500</v>
      </c>
      <c r="F11" s="17">
        <v>96.43</v>
      </c>
      <c r="G11" s="17">
        <f t="shared" si="0"/>
        <v>241075.00000000003</v>
      </c>
      <c r="H11" s="17"/>
      <c r="I11" s="17"/>
      <c r="J11" s="17">
        <f t="shared" si="1"/>
        <v>0</v>
      </c>
      <c r="K11" s="17">
        <f t="shared" si="2"/>
        <v>241075.00000000003</v>
      </c>
      <c r="L11" s="17">
        <v>1446458</v>
      </c>
      <c r="M11" s="140">
        <f t="shared" si="3"/>
        <v>241067.00000000023</v>
      </c>
      <c r="N11" s="17"/>
    </row>
    <row r="12" spans="1:18">
      <c r="A12" s="26">
        <v>9</v>
      </c>
      <c r="B12" s="27">
        <v>45909</v>
      </c>
      <c r="C12" s="17"/>
      <c r="D12" s="17"/>
      <c r="E12" s="17">
        <v>0</v>
      </c>
      <c r="F12" s="17">
        <v>0</v>
      </c>
      <c r="G12" s="17">
        <f t="shared" si="0"/>
        <v>0</v>
      </c>
      <c r="H12" s="17"/>
      <c r="I12" s="17"/>
      <c r="J12" s="17">
        <f t="shared" si="1"/>
        <v>0</v>
      </c>
      <c r="K12" s="17">
        <f t="shared" si="2"/>
        <v>0</v>
      </c>
      <c r="L12" s="17"/>
      <c r="M12" s="140">
        <f t="shared" si="3"/>
        <v>241067.00000000023</v>
      </c>
      <c r="N12" s="17"/>
    </row>
    <row r="13" spans="1:18">
      <c r="A13" s="26">
        <v>10</v>
      </c>
      <c r="B13" s="27">
        <v>45910</v>
      </c>
      <c r="C13" s="17"/>
      <c r="D13" s="17"/>
      <c r="E13" s="17">
        <v>1500</v>
      </c>
      <c r="F13" s="17">
        <v>96.43</v>
      </c>
      <c r="G13" s="17">
        <f t="shared" si="0"/>
        <v>144645</v>
      </c>
      <c r="H13" s="17"/>
      <c r="I13" s="17"/>
      <c r="J13" s="17">
        <f t="shared" si="1"/>
        <v>0</v>
      </c>
      <c r="K13" s="17">
        <f t="shared" si="2"/>
        <v>144645</v>
      </c>
      <c r="L13" s="17"/>
      <c r="M13" s="140">
        <f t="shared" si="3"/>
        <v>385712.00000000023</v>
      </c>
      <c r="N13" s="17"/>
    </row>
    <row r="14" spans="1:18">
      <c r="A14" s="26">
        <v>11</v>
      </c>
      <c r="B14" s="27">
        <v>45911</v>
      </c>
      <c r="C14" s="17"/>
      <c r="D14" s="17"/>
      <c r="E14" s="17">
        <v>0</v>
      </c>
      <c r="F14" s="17">
        <v>0</v>
      </c>
      <c r="G14" s="17">
        <f t="shared" si="0"/>
        <v>0</v>
      </c>
      <c r="H14" s="17"/>
      <c r="I14" s="17"/>
      <c r="J14" s="17">
        <f t="shared" si="1"/>
        <v>0</v>
      </c>
      <c r="K14" s="17">
        <f t="shared" si="2"/>
        <v>0</v>
      </c>
      <c r="L14" s="17"/>
      <c r="M14" s="140">
        <f t="shared" si="3"/>
        <v>385712.00000000023</v>
      </c>
      <c r="N14" s="17"/>
    </row>
    <row r="15" spans="1:18">
      <c r="A15" s="26">
        <v>12</v>
      </c>
      <c r="B15" s="27">
        <v>45912</v>
      </c>
      <c r="C15" s="17"/>
      <c r="D15" s="17"/>
      <c r="E15" s="17">
        <v>1000</v>
      </c>
      <c r="F15" s="17">
        <v>96.43</v>
      </c>
      <c r="G15" s="17">
        <f t="shared" si="0"/>
        <v>96430</v>
      </c>
      <c r="H15" s="17"/>
      <c r="I15" s="17"/>
      <c r="J15" s="17">
        <f t="shared" si="1"/>
        <v>0</v>
      </c>
      <c r="K15" s="17">
        <f t="shared" si="2"/>
        <v>96430</v>
      </c>
      <c r="L15" s="17"/>
      <c r="M15" s="140">
        <f t="shared" si="3"/>
        <v>482142.00000000023</v>
      </c>
      <c r="N15" s="17"/>
    </row>
    <row r="16" spans="1:18">
      <c r="A16" s="26">
        <v>13</v>
      </c>
      <c r="B16" s="27">
        <v>45913</v>
      </c>
      <c r="C16" s="17"/>
      <c r="D16" s="17"/>
      <c r="E16" s="17">
        <v>0</v>
      </c>
      <c r="F16" s="17">
        <v>0</v>
      </c>
      <c r="G16" s="17">
        <f t="shared" si="0"/>
        <v>0</v>
      </c>
      <c r="H16" s="17"/>
      <c r="I16" s="17"/>
      <c r="J16" s="17">
        <f t="shared" si="1"/>
        <v>0</v>
      </c>
      <c r="K16" s="17">
        <f t="shared" si="2"/>
        <v>0</v>
      </c>
      <c r="L16" s="17"/>
      <c r="M16" s="140">
        <f t="shared" si="3"/>
        <v>482142.00000000023</v>
      </c>
      <c r="N16" s="17"/>
    </row>
    <row r="17" spans="1:14">
      <c r="A17" s="26">
        <v>14</v>
      </c>
      <c r="B17" s="27">
        <v>45914</v>
      </c>
      <c r="C17" s="17"/>
      <c r="D17" s="17"/>
      <c r="E17" s="17">
        <v>0</v>
      </c>
      <c r="F17" s="17">
        <v>0</v>
      </c>
      <c r="G17" s="17">
        <f t="shared" si="0"/>
        <v>0</v>
      </c>
      <c r="H17" s="17"/>
      <c r="I17" s="17"/>
      <c r="J17" s="17">
        <f t="shared" si="1"/>
        <v>0</v>
      </c>
      <c r="K17" s="17">
        <f t="shared" si="2"/>
        <v>0</v>
      </c>
      <c r="L17" s="17"/>
      <c r="M17" s="140">
        <f t="shared" si="3"/>
        <v>482142.00000000023</v>
      </c>
      <c r="N17" s="17"/>
    </row>
    <row r="18" spans="1:14">
      <c r="A18" s="26">
        <v>15</v>
      </c>
      <c r="B18" s="27">
        <v>45915</v>
      </c>
      <c r="C18" s="17"/>
      <c r="D18" s="17"/>
      <c r="E18" s="17">
        <v>0</v>
      </c>
      <c r="F18" s="17">
        <v>0</v>
      </c>
      <c r="G18" s="17">
        <f t="shared" si="0"/>
        <v>0</v>
      </c>
      <c r="H18" s="17"/>
      <c r="I18" s="17"/>
      <c r="J18" s="17">
        <f t="shared" si="1"/>
        <v>0</v>
      </c>
      <c r="K18" s="17">
        <f t="shared" si="2"/>
        <v>0</v>
      </c>
      <c r="L18" s="17"/>
      <c r="M18" s="140">
        <f t="shared" si="3"/>
        <v>482142.00000000023</v>
      </c>
      <c r="N18" s="17"/>
    </row>
    <row r="19" spans="1:14">
      <c r="A19" s="26">
        <v>16</v>
      </c>
      <c r="B19" s="27">
        <v>45916</v>
      </c>
      <c r="C19" s="17"/>
      <c r="D19" s="17"/>
      <c r="E19" s="17">
        <v>0</v>
      </c>
      <c r="F19" s="17">
        <v>0</v>
      </c>
      <c r="G19" s="17">
        <f t="shared" si="0"/>
        <v>0</v>
      </c>
      <c r="H19" s="17"/>
      <c r="I19" s="17"/>
      <c r="J19" s="17">
        <f t="shared" si="1"/>
        <v>0</v>
      </c>
      <c r="K19" s="17">
        <f t="shared" si="2"/>
        <v>0</v>
      </c>
      <c r="L19" s="17"/>
      <c r="M19" s="140">
        <f t="shared" si="3"/>
        <v>482142.00000000023</v>
      </c>
      <c r="N19" s="17"/>
    </row>
    <row r="20" spans="1:14">
      <c r="A20" s="26">
        <v>17</v>
      </c>
      <c r="B20" s="27">
        <v>45917</v>
      </c>
      <c r="C20" s="17"/>
      <c r="D20" s="17"/>
      <c r="E20" s="17">
        <v>0</v>
      </c>
      <c r="F20" s="17">
        <v>0</v>
      </c>
      <c r="G20" s="17">
        <f t="shared" si="0"/>
        <v>0</v>
      </c>
      <c r="H20" s="17"/>
      <c r="I20" s="17"/>
      <c r="J20" s="17">
        <f t="shared" si="1"/>
        <v>0</v>
      </c>
      <c r="K20" s="17">
        <f t="shared" si="2"/>
        <v>0</v>
      </c>
      <c r="L20" s="17"/>
      <c r="M20" s="140">
        <f t="shared" si="3"/>
        <v>482142.00000000023</v>
      </c>
      <c r="N20" s="17"/>
    </row>
    <row r="21" spans="1:14">
      <c r="A21" s="26">
        <v>18</v>
      </c>
      <c r="B21" s="27">
        <v>45918</v>
      </c>
      <c r="C21" s="17"/>
      <c r="D21" s="17"/>
      <c r="E21" s="17">
        <v>0</v>
      </c>
      <c r="F21" s="17">
        <v>0</v>
      </c>
      <c r="G21" s="17">
        <f t="shared" si="0"/>
        <v>0</v>
      </c>
      <c r="H21" s="17"/>
      <c r="I21" s="17"/>
      <c r="J21" s="17">
        <f t="shared" si="1"/>
        <v>0</v>
      </c>
      <c r="K21" s="17">
        <f t="shared" si="2"/>
        <v>0</v>
      </c>
      <c r="L21" s="17"/>
      <c r="M21" s="140">
        <f t="shared" si="3"/>
        <v>482142.00000000023</v>
      </c>
      <c r="N21" s="17"/>
    </row>
    <row r="22" spans="1:14">
      <c r="A22" s="26">
        <v>19</v>
      </c>
      <c r="B22" s="27">
        <v>45919</v>
      </c>
      <c r="C22" s="17"/>
      <c r="D22" s="17"/>
      <c r="E22" s="17">
        <v>2200</v>
      </c>
      <c r="F22" s="17">
        <v>96.43</v>
      </c>
      <c r="G22" s="17">
        <f t="shared" si="0"/>
        <v>212146.00000000003</v>
      </c>
      <c r="H22" s="17"/>
      <c r="I22" s="17"/>
      <c r="J22" s="17">
        <f t="shared" si="1"/>
        <v>0</v>
      </c>
      <c r="K22" s="17">
        <f>G22+J22</f>
        <v>212146.00000000003</v>
      </c>
      <c r="L22" s="17"/>
      <c r="M22" s="140">
        <f t="shared" si="3"/>
        <v>694288.00000000023</v>
      </c>
      <c r="N22" s="17"/>
    </row>
    <row r="23" spans="1:14">
      <c r="A23" s="26">
        <v>20</v>
      </c>
      <c r="B23" s="27">
        <v>45920</v>
      </c>
      <c r="C23" s="17"/>
      <c r="D23" s="17"/>
      <c r="E23" s="17">
        <v>0</v>
      </c>
      <c r="F23" s="17">
        <v>0</v>
      </c>
      <c r="G23" s="17">
        <f t="shared" si="0"/>
        <v>0</v>
      </c>
      <c r="H23" s="17"/>
      <c r="I23" s="17"/>
      <c r="J23" s="17">
        <f t="shared" si="1"/>
        <v>0</v>
      </c>
      <c r="K23" s="17">
        <f t="shared" si="2"/>
        <v>0</v>
      </c>
      <c r="L23" s="17"/>
      <c r="M23" s="140">
        <f t="shared" si="3"/>
        <v>694288.00000000023</v>
      </c>
      <c r="N23" s="17"/>
    </row>
    <row r="24" spans="1:14">
      <c r="A24" s="26">
        <v>21</v>
      </c>
      <c r="B24" s="27">
        <v>45921</v>
      </c>
      <c r="C24" s="17"/>
      <c r="D24" s="17"/>
      <c r="E24" s="17">
        <v>0</v>
      </c>
      <c r="F24" s="17">
        <v>0</v>
      </c>
      <c r="G24" s="17">
        <f t="shared" si="0"/>
        <v>0</v>
      </c>
      <c r="H24" s="17"/>
      <c r="I24" s="17"/>
      <c r="J24" s="17">
        <f t="shared" si="1"/>
        <v>0</v>
      </c>
      <c r="K24" s="17">
        <f t="shared" si="2"/>
        <v>0</v>
      </c>
      <c r="L24" s="17"/>
      <c r="M24" s="140">
        <f t="shared" si="3"/>
        <v>694288.00000000023</v>
      </c>
      <c r="N24" s="17"/>
    </row>
    <row r="25" spans="1:14">
      <c r="A25" s="26">
        <v>22</v>
      </c>
      <c r="B25" s="27">
        <v>45922</v>
      </c>
      <c r="C25" s="17"/>
      <c r="D25" s="17"/>
      <c r="E25" s="17">
        <v>0</v>
      </c>
      <c r="F25" s="17">
        <v>0</v>
      </c>
      <c r="G25" s="17">
        <f t="shared" si="0"/>
        <v>0</v>
      </c>
      <c r="H25" s="17"/>
      <c r="I25" s="17"/>
      <c r="J25" s="17">
        <f t="shared" si="1"/>
        <v>0</v>
      </c>
      <c r="K25" s="17">
        <f t="shared" si="2"/>
        <v>0</v>
      </c>
      <c r="L25" s="17"/>
      <c r="M25" s="140">
        <f t="shared" si="3"/>
        <v>694288.00000000023</v>
      </c>
      <c r="N25" s="17"/>
    </row>
    <row r="26" spans="1:14">
      <c r="A26" s="26">
        <v>23</v>
      </c>
      <c r="B26" s="27">
        <v>45923</v>
      </c>
      <c r="C26" s="17"/>
      <c r="D26" s="17"/>
      <c r="E26" s="17">
        <v>1500</v>
      </c>
      <c r="F26" s="17">
        <v>96.43</v>
      </c>
      <c r="G26" s="17">
        <f t="shared" si="0"/>
        <v>144645</v>
      </c>
      <c r="H26" s="17"/>
      <c r="I26" s="17"/>
      <c r="J26" s="17">
        <f t="shared" si="1"/>
        <v>0</v>
      </c>
      <c r="K26" s="17">
        <f t="shared" si="2"/>
        <v>144645</v>
      </c>
      <c r="L26" s="17"/>
      <c r="M26" s="140">
        <f t="shared" si="3"/>
        <v>838933.00000000023</v>
      </c>
      <c r="N26" s="17"/>
    </row>
    <row r="27" spans="1:14">
      <c r="A27" s="26">
        <v>24</v>
      </c>
      <c r="B27" s="27">
        <v>45924</v>
      </c>
      <c r="C27" s="17"/>
      <c r="D27" s="17"/>
      <c r="E27" s="17">
        <v>0</v>
      </c>
      <c r="F27" s="17">
        <v>0</v>
      </c>
      <c r="G27" s="17">
        <f t="shared" si="0"/>
        <v>0</v>
      </c>
      <c r="H27" s="17"/>
      <c r="I27" s="17"/>
      <c r="J27" s="17">
        <f t="shared" si="1"/>
        <v>0</v>
      </c>
      <c r="K27" s="17">
        <f t="shared" si="2"/>
        <v>0</v>
      </c>
      <c r="L27" s="17"/>
      <c r="M27" s="140">
        <f t="shared" si="3"/>
        <v>838933.00000000023</v>
      </c>
      <c r="N27" s="17"/>
    </row>
    <row r="28" spans="1:14">
      <c r="A28" s="26">
        <v>25</v>
      </c>
      <c r="B28" s="27">
        <v>45925</v>
      </c>
      <c r="C28" s="17"/>
      <c r="D28" s="17"/>
      <c r="E28" s="17">
        <v>0</v>
      </c>
      <c r="F28" s="17">
        <v>0</v>
      </c>
      <c r="G28" s="17">
        <f t="shared" si="0"/>
        <v>0</v>
      </c>
      <c r="H28" s="17"/>
      <c r="I28" s="17"/>
      <c r="J28" s="17">
        <f t="shared" si="1"/>
        <v>0</v>
      </c>
      <c r="K28" s="17">
        <f t="shared" si="2"/>
        <v>0</v>
      </c>
      <c r="L28" s="17"/>
      <c r="M28" s="140">
        <f t="shared" si="3"/>
        <v>838933.00000000023</v>
      </c>
      <c r="N28" s="17"/>
    </row>
    <row r="29" spans="1:14">
      <c r="A29" s="26">
        <v>26</v>
      </c>
      <c r="B29" s="27">
        <v>45926</v>
      </c>
      <c r="C29" s="17"/>
      <c r="D29" s="17"/>
      <c r="E29" s="17">
        <v>0</v>
      </c>
      <c r="F29" s="17">
        <v>0</v>
      </c>
      <c r="G29" s="17">
        <f t="shared" si="0"/>
        <v>0</v>
      </c>
      <c r="H29" s="17"/>
      <c r="I29" s="17"/>
      <c r="J29" s="17">
        <f t="shared" si="1"/>
        <v>0</v>
      </c>
      <c r="K29" s="17">
        <f t="shared" si="2"/>
        <v>0</v>
      </c>
      <c r="L29" s="17"/>
      <c r="M29" s="140">
        <f t="shared" si="3"/>
        <v>838933.00000000023</v>
      </c>
      <c r="N29" s="17"/>
    </row>
    <row r="30" spans="1:14">
      <c r="A30" s="26">
        <v>27</v>
      </c>
      <c r="B30" s="27">
        <v>45927</v>
      </c>
      <c r="C30" s="17"/>
      <c r="D30" s="17"/>
      <c r="E30" s="17">
        <v>0</v>
      </c>
      <c r="F30" s="17">
        <v>0</v>
      </c>
      <c r="G30" s="17">
        <f t="shared" si="0"/>
        <v>0</v>
      </c>
      <c r="H30" s="17"/>
      <c r="I30" s="17"/>
      <c r="J30" s="17">
        <f t="shared" si="1"/>
        <v>0</v>
      </c>
      <c r="K30" s="17">
        <f t="shared" si="2"/>
        <v>0</v>
      </c>
      <c r="L30" s="17">
        <v>600000</v>
      </c>
      <c r="M30" s="140">
        <f t="shared" si="3"/>
        <v>238933.00000000023</v>
      </c>
      <c r="N30" s="17"/>
    </row>
    <row r="31" spans="1:14">
      <c r="A31" s="26">
        <v>28</v>
      </c>
      <c r="B31" s="27">
        <v>45928</v>
      </c>
      <c r="C31" s="17"/>
      <c r="D31" s="17"/>
      <c r="E31" s="17">
        <v>0</v>
      </c>
      <c r="F31" s="17">
        <v>0</v>
      </c>
      <c r="G31" s="17">
        <f t="shared" si="0"/>
        <v>0</v>
      </c>
      <c r="H31" s="17"/>
      <c r="I31" s="17"/>
      <c r="J31" s="17">
        <f t="shared" si="1"/>
        <v>0</v>
      </c>
      <c r="K31" s="17">
        <f t="shared" si="2"/>
        <v>0</v>
      </c>
      <c r="L31" s="17"/>
      <c r="M31" s="140">
        <f t="shared" si="3"/>
        <v>238933.00000000023</v>
      </c>
      <c r="N31" s="17"/>
    </row>
    <row r="32" spans="1:14">
      <c r="A32" s="26">
        <v>29</v>
      </c>
      <c r="B32" s="27">
        <v>45929</v>
      </c>
      <c r="C32" s="17"/>
      <c r="D32" s="17"/>
      <c r="E32" s="17">
        <v>0</v>
      </c>
      <c r="F32" s="17">
        <v>0</v>
      </c>
      <c r="G32" s="17">
        <f t="shared" si="0"/>
        <v>0</v>
      </c>
      <c r="H32" s="17"/>
      <c r="I32" s="17"/>
      <c r="J32" s="17">
        <f t="shared" si="1"/>
        <v>0</v>
      </c>
      <c r="K32" s="17">
        <f t="shared" si="2"/>
        <v>0</v>
      </c>
      <c r="L32" s="17"/>
      <c r="M32" s="140">
        <f t="shared" si="3"/>
        <v>238933.00000000023</v>
      </c>
      <c r="N32" s="17"/>
    </row>
    <row r="33" spans="1:17">
      <c r="A33" s="26">
        <v>30</v>
      </c>
      <c r="B33" s="27">
        <v>45930</v>
      </c>
      <c r="C33" s="17"/>
      <c r="D33" s="17"/>
      <c r="E33" s="17">
        <v>0</v>
      </c>
      <c r="F33" s="17">
        <v>0</v>
      </c>
      <c r="G33" s="17">
        <f t="shared" si="0"/>
        <v>0</v>
      </c>
      <c r="H33" s="17"/>
      <c r="I33" s="17"/>
      <c r="J33" s="17">
        <f t="shared" si="1"/>
        <v>0</v>
      </c>
      <c r="K33" s="17">
        <f t="shared" si="2"/>
        <v>0</v>
      </c>
      <c r="L33" s="17"/>
      <c r="M33" s="140">
        <f t="shared" si="3"/>
        <v>238933.00000000023</v>
      </c>
      <c r="N33" s="17"/>
    </row>
    <row r="34" spans="1:17">
      <c r="A34" s="26">
        <v>31</v>
      </c>
      <c r="B34" s="27"/>
      <c r="C34" s="17"/>
      <c r="D34" s="17"/>
      <c r="E34" s="17">
        <v>0</v>
      </c>
      <c r="F34" s="17">
        <v>0</v>
      </c>
      <c r="G34" s="17">
        <f t="shared" si="0"/>
        <v>0</v>
      </c>
      <c r="H34" s="17"/>
      <c r="I34" s="17"/>
      <c r="J34" s="17">
        <f t="shared" si="1"/>
        <v>0</v>
      </c>
      <c r="K34" s="17">
        <f t="shared" si="2"/>
        <v>0</v>
      </c>
      <c r="L34" s="17"/>
      <c r="M34" s="140">
        <f t="shared" si="3"/>
        <v>238933.00000000023</v>
      </c>
      <c r="N34" s="17"/>
      <c r="O34">
        <v>1688453.58</v>
      </c>
      <c r="P34">
        <v>1900671</v>
      </c>
      <c r="Q34">
        <f>P34-O34</f>
        <v>212217.41999999993</v>
      </c>
    </row>
    <row r="35" spans="1:17">
      <c r="A35" s="44"/>
      <c r="B35" s="44"/>
      <c r="C35" s="44"/>
      <c r="D35" s="44"/>
      <c r="E35" s="202">
        <f>SUM(E4:E34)</f>
        <v>23700</v>
      </c>
      <c r="F35" s="45"/>
      <c r="G35" s="202">
        <f>SUM(G4:G34)</f>
        <v>2285391.0000000005</v>
      </c>
      <c r="H35" s="202">
        <f>SUM(H4:H34)</f>
        <v>0</v>
      </c>
      <c r="I35" s="45"/>
      <c r="J35" s="202">
        <f>SUM(J4:J34)</f>
        <v>0</v>
      </c>
      <c r="K35" s="202">
        <f>SUM(K4:K34)</f>
        <v>2285391.0000000005</v>
      </c>
      <c r="L35" s="202">
        <f>SUM(L4:L34)</f>
        <v>2046458</v>
      </c>
      <c r="M35" s="45"/>
      <c r="N35" s="45"/>
      <c r="O35" s="33"/>
    </row>
  </sheetData>
  <mergeCells count="2">
    <mergeCell ref="A1:N1"/>
    <mergeCell ref="A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07CF9-90F8-4EA7-A54C-C64C8019A5D6}">
  <dimension ref="A1:R44"/>
  <sheetViews>
    <sheetView workbookViewId="0">
      <selection activeCell="S36" sqref="S36"/>
    </sheetView>
  </sheetViews>
  <sheetFormatPr defaultRowHeight="15"/>
  <cols>
    <col min="5" max="5" width="10.85546875" bestFit="1" customWidth="1"/>
    <col min="7" max="7" width="13.7109375" bestFit="1" customWidth="1"/>
    <col min="8" max="8" width="10.5703125" customWidth="1"/>
    <col min="9" max="9" width="8.140625" customWidth="1"/>
    <col min="10" max="10" width="11.85546875" customWidth="1"/>
    <col min="11" max="12" width="13.5703125" bestFit="1" customWidth="1"/>
    <col min="13" max="13" width="11.5703125" bestFit="1" customWidth="1"/>
    <col min="14" max="14" width="10.7109375" bestFit="1" customWidth="1"/>
  </cols>
  <sheetData>
    <row r="1" spans="1:18" ht="15.75">
      <c r="A1" s="399" t="s">
        <v>22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399"/>
      <c r="N1" s="399"/>
      <c r="O1" s="86"/>
    </row>
    <row r="2" spans="1:18" ht="30.75">
      <c r="A2" s="102" t="s">
        <v>90</v>
      </c>
      <c r="B2" s="103" t="s">
        <v>91</v>
      </c>
      <c r="C2" s="103" t="s">
        <v>92</v>
      </c>
      <c r="D2" s="103" t="s">
        <v>107</v>
      </c>
      <c r="E2" s="271" t="s">
        <v>94</v>
      </c>
      <c r="F2" s="271" t="s">
        <v>95</v>
      </c>
      <c r="G2" s="103" t="s">
        <v>96</v>
      </c>
      <c r="H2" s="103" t="s">
        <v>97</v>
      </c>
      <c r="I2" s="103" t="s">
        <v>95</v>
      </c>
      <c r="J2" s="142" t="s">
        <v>96</v>
      </c>
      <c r="K2" s="104" t="s">
        <v>98</v>
      </c>
      <c r="L2" s="143" t="s">
        <v>99</v>
      </c>
      <c r="M2" s="147" t="s">
        <v>106</v>
      </c>
      <c r="N2" s="105" t="s">
        <v>101</v>
      </c>
      <c r="O2" s="63"/>
    </row>
    <row r="3" spans="1:18">
      <c r="A3" s="396" t="s">
        <v>102</v>
      </c>
      <c r="B3" s="400"/>
      <c r="C3" s="400"/>
      <c r="D3" s="400"/>
      <c r="E3" s="400"/>
      <c r="F3" s="400"/>
      <c r="G3" s="400"/>
      <c r="H3" s="400"/>
      <c r="I3" s="400"/>
      <c r="J3" s="400"/>
      <c r="K3" s="400"/>
      <c r="L3" s="401"/>
      <c r="M3" s="152">
        <v>562989.59100000001</v>
      </c>
      <c r="N3" s="161"/>
      <c r="O3" s="63">
        <v>580925.57799999998</v>
      </c>
    </row>
    <row r="4" spans="1:18">
      <c r="A4" s="204">
        <v>1</v>
      </c>
      <c r="B4" s="230">
        <v>45901</v>
      </c>
      <c r="C4" s="71"/>
      <c r="D4" s="164"/>
      <c r="E4" s="272">
        <v>890</v>
      </c>
      <c r="F4" s="272">
        <v>97.1</v>
      </c>
      <c r="G4" s="8">
        <f t="shared" ref="G4:G34" si="0">E4*F4</f>
        <v>86419</v>
      </c>
      <c r="H4" s="69">
        <v>5</v>
      </c>
      <c r="I4" s="70">
        <v>108.83</v>
      </c>
      <c r="J4" s="8">
        <f>H4*I4</f>
        <v>544.15</v>
      </c>
      <c r="K4" s="8">
        <f>G4+J4</f>
        <v>86963.15</v>
      </c>
      <c r="L4" s="72">
        <v>300000</v>
      </c>
      <c r="M4" s="72">
        <f>+M3+K4-L4</f>
        <v>349952.74100000004</v>
      </c>
      <c r="N4" s="8"/>
    </row>
    <row r="5" spans="1:18">
      <c r="A5" s="48">
        <v>2</v>
      </c>
      <c r="B5" s="230">
        <v>45902</v>
      </c>
      <c r="C5" s="71"/>
      <c r="D5" s="164"/>
      <c r="E5" s="272">
        <v>768</v>
      </c>
      <c r="F5" s="272">
        <v>97.1</v>
      </c>
      <c r="G5" s="8">
        <f t="shared" ref="G5:G34" si="1">E5*F5</f>
        <v>74572.799999999988</v>
      </c>
      <c r="H5" s="69">
        <v>0</v>
      </c>
      <c r="I5" s="70">
        <v>0</v>
      </c>
      <c r="J5" s="8">
        <f t="shared" ref="J5:J34" si="2">H5*I5</f>
        <v>0</v>
      </c>
      <c r="K5" s="8">
        <f t="shared" ref="K5:K34" si="3">G5+J5</f>
        <v>74572.799999999988</v>
      </c>
      <c r="L5" s="72">
        <v>0</v>
      </c>
      <c r="M5" s="72">
        <f t="shared" ref="M5:M18" si="4">+M4+K5-L5</f>
        <v>424525.54100000003</v>
      </c>
      <c r="N5" s="8"/>
    </row>
    <row r="6" spans="1:18">
      <c r="A6" s="48">
        <v>3</v>
      </c>
      <c r="B6" s="230">
        <v>45903</v>
      </c>
      <c r="C6" s="71"/>
      <c r="D6" s="164"/>
      <c r="E6" s="272">
        <v>655.38</v>
      </c>
      <c r="F6" s="272">
        <v>97.1</v>
      </c>
      <c r="G6" s="8">
        <f t="shared" si="1"/>
        <v>63637.397999999994</v>
      </c>
      <c r="H6" s="69">
        <v>5</v>
      </c>
      <c r="I6" s="70">
        <v>108.83</v>
      </c>
      <c r="J6" s="8">
        <f t="shared" si="2"/>
        <v>544.15</v>
      </c>
      <c r="K6" s="8">
        <f t="shared" si="3"/>
        <v>64181.547999999995</v>
      </c>
      <c r="L6" s="72">
        <v>0</v>
      </c>
      <c r="M6" s="72">
        <f t="shared" si="4"/>
        <v>488707.08900000004</v>
      </c>
      <c r="N6" s="8"/>
    </row>
    <row r="7" spans="1:18">
      <c r="A7" s="48">
        <v>4</v>
      </c>
      <c r="B7" s="230">
        <v>45904</v>
      </c>
      <c r="C7" s="71"/>
      <c r="D7" s="164"/>
      <c r="E7" s="272">
        <v>887.52</v>
      </c>
      <c r="F7" s="272">
        <v>97.1</v>
      </c>
      <c r="G7" s="8">
        <f t="shared" si="1"/>
        <v>86178.191999999995</v>
      </c>
      <c r="H7" s="69">
        <v>5</v>
      </c>
      <c r="I7" s="70">
        <v>108.83</v>
      </c>
      <c r="J7" s="8">
        <f t="shared" si="2"/>
        <v>544.15</v>
      </c>
      <c r="K7" s="8">
        <f t="shared" si="3"/>
        <v>86722.34199999999</v>
      </c>
      <c r="L7" s="72">
        <v>0</v>
      </c>
      <c r="M7" s="72">
        <f t="shared" si="4"/>
        <v>575429.43099999998</v>
      </c>
      <c r="N7" s="8"/>
    </row>
    <row r="8" spans="1:18">
      <c r="A8" s="48">
        <v>5</v>
      </c>
      <c r="B8" s="230">
        <v>45905</v>
      </c>
      <c r="C8" s="71"/>
      <c r="D8" s="164"/>
      <c r="E8" s="272">
        <v>1093</v>
      </c>
      <c r="F8" s="272">
        <v>97.1</v>
      </c>
      <c r="G8" s="8">
        <f t="shared" si="1"/>
        <v>106130.29999999999</v>
      </c>
      <c r="H8" s="69">
        <v>0</v>
      </c>
      <c r="I8" s="70">
        <v>108.83</v>
      </c>
      <c r="J8" s="8">
        <f t="shared" si="2"/>
        <v>0</v>
      </c>
      <c r="K8" s="8">
        <f t="shared" si="3"/>
        <v>106130.29999999999</v>
      </c>
      <c r="L8" s="72">
        <v>0</v>
      </c>
      <c r="M8" s="72">
        <f t="shared" si="4"/>
        <v>681559.73099999991</v>
      </c>
      <c r="N8" s="8"/>
      <c r="O8" s="73"/>
      <c r="R8" s="237"/>
    </row>
    <row r="9" spans="1:18">
      <c r="A9" s="48">
        <v>6</v>
      </c>
      <c r="B9" s="230">
        <v>45906</v>
      </c>
      <c r="C9" s="71"/>
      <c r="D9" s="164"/>
      <c r="E9" s="272">
        <v>580</v>
      </c>
      <c r="F9" s="272">
        <v>97.1</v>
      </c>
      <c r="G9" s="8">
        <f t="shared" si="1"/>
        <v>56318</v>
      </c>
      <c r="H9" s="69">
        <v>1</v>
      </c>
      <c r="I9" s="70">
        <v>108.83</v>
      </c>
      <c r="J9" s="8">
        <f t="shared" si="2"/>
        <v>108.83</v>
      </c>
      <c r="K9" s="8">
        <f t="shared" si="3"/>
        <v>56426.83</v>
      </c>
      <c r="L9" s="72">
        <v>0</v>
      </c>
      <c r="M9" s="72">
        <f t="shared" si="4"/>
        <v>737986.56099999987</v>
      </c>
      <c r="N9" s="8"/>
      <c r="O9" s="73"/>
    </row>
    <row r="10" spans="1:18">
      <c r="A10" s="48">
        <v>7</v>
      </c>
      <c r="B10" s="230">
        <v>45907</v>
      </c>
      <c r="C10" s="71"/>
      <c r="D10" s="164"/>
      <c r="E10" s="272">
        <v>0</v>
      </c>
      <c r="F10" s="272">
        <v>0</v>
      </c>
      <c r="G10" s="8">
        <f t="shared" si="1"/>
        <v>0</v>
      </c>
      <c r="H10" s="69">
        <v>12</v>
      </c>
      <c r="I10" s="70">
        <v>108.83</v>
      </c>
      <c r="J10" s="8">
        <f t="shared" si="2"/>
        <v>1305.96</v>
      </c>
      <c r="K10" s="8">
        <f t="shared" si="3"/>
        <v>1305.96</v>
      </c>
      <c r="L10" s="72">
        <v>0</v>
      </c>
      <c r="M10" s="72">
        <f t="shared" si="4"/>
        <v>739292.52099999983</v>
      </c>
      <c r="N10" s="8"/>
      <c r="O10" s="73"/>
    </row>
    <row r="11" spans="1:18">
      <c r="A11" s="48">
        <v>8</v>
      </c>
      <c r="B11" s="230">
        <v>45908</v>
      </c>
      <c r="C11" s="71"/>
      <c r="D11" s="164"/>
      <c r="E11" s="272">
        <v>100</v>
      </c>
      <c r="F11" s="272">
        <v>97.1</v>
      </c>
      <c r="G11" s="8">
        <f t="shared" si="1"/>
        <v>9710</v>
      </c>
      <c r="H11" s="69">
        <v>9</v>
      </c>
      <c r="I11" s="70">
        <v>108.83</v>
      </c>
      <c r="J11" s="8">
        <f t="shared" si="2"/>
        <v>979.47</v>
      </c>
      <c r="K11" s="8">
        <f t="shared" si="3"/>
        <v>10689.47</v>
      </c>
      <c r="L11" s="72">
        <v>739000</v>
      </c>
      <c r="M11" s="72">
        <f t="shared" si="4"/>
        <v>10981.990999999805</v>
      </c>
      <c r="N11" s="8"/>
      <c r="O11" s="73"/>
    </row>
    <row r="12" spans="1:18">
      <c r="A12" s="48">
        <v>9</v>
      </c>
      <c r="B12" s="230">
        <v>45909</v>
      </c>
      <c r="C12" s="71"/>
      <c r="D12" s="164"/>
      <c r="E12" s="272">
        <v>0</v>
      </c>
      <c r="F12" s="272">
        <v>0</v>
      </c>
      <c r="G12" s="8">
        <f t="shared" si="1"/>
        <v>0</v>
      </c>
      <c r="H12" s="69">
        <v>0</v>
      </c>
      <c r="I12" s="70">
        <v>0</v>
      </c>
      <c r="J12" s="8">
        <f t="shared" si="2"/>
        <v>0</v>
      </c>
      <c r="K12" s="8">
        <f t="shared" si="3"/>
        <v>0</v>
      </c>
      <c r="L12" s="72">
        <v>0</v>
      </c>
      <c r="M12" s="72">
        <f t="shared" si="4"/>
        <v>10981.990999999805</v>
      </c>
      <c r="N12" s="8"/>
      <c r="O12" s="73"/>
    </row>
    <row r="13" spans="1:18">
      <c r="A13" s="48">
        <v>10</v>
      </c>
      <c r="B13" s="230">
        <v>45910</v>
      </c>
      <c r="C13" s="71"/>
      <c r="D13" s="164"/>
      <c r="E13" s="272">
        <v>653.24</v>
      </c>
      <c r="F13" s="272">
        <v>97.1</v>
      </c>
      <c r="G13" s="8">
        <f t="shared" si="1"/>
        <v>63429.603999999999</v>
      </c>
      <c r="H13" s="69">
        <v>6</v>
      </c>
      <c r="I13" s="70">
        <v>108.83</v>
      </c>
      <c r="J13" s="8">
        <f t="shared" si="2"/>
        <v>652.98</v>
      </c>
      <c r="K13" s="8">
        <f t="shared" si="3"/>
        <v>64082.584000000003</v>
      </c>
      <c r="L13" s="72">
        <v>0</v>
      </c>
      <c r="M13" s="72">
        <f t="shared" si="4"/>
        <v>75064.574999999808</v>
      </c>
      <c r="N13" s="8"/>
      <c r="O13" s="73"/>
    </row>
    <row r="14" spans="1:18">
      <c r="A14" s="48">
        <v>11</v>
      </c>
      <c r="B14" s="230">
        <v>45911</v>
      </c>
      <c r="C14" s="71"/>
      <c r="D14" s="164"/>
      <c r="E14" s="272">
        <v>36</v>
      </c>
      <c r="F14" s="272">
        <v>97.1</v>
      </c>
      <c r="G14" s="8">
        <f t="shared" si="1"/>
        <v>3495.6</v>
      </c>
      <c r="H14" s="69">
        <v>5</v>
      </c>
      <c r="I14" s="70">
        <v>108.83</v>
      </c>
      <c r="J14" s="8">
        <f t="shared" si="2"/>
        <v>544.15</v>
      </c>
      <c r="K14" s="8">
        <f t="shared" si="3"/>
        <v>4039.75</v>
      </c>
      <c r="L14" s="72">
        <v>0</v>
      </c>
      <c r="M14" s="72">
        <f t="shared" si="4"/>
        <v>79104.324999999808</v>
      </c>
      <c r="N14" s="8"/>
      <c r="O14" s="73"/>
    </row>
    <row r="15" spans="1:18">
      <c r="A15" s="48">
        <v>12</v>
      </c>
      <c r="B15" s="230">
        <v>45912</v>
      </c>
      <c r="C15" s="71"/>
      <c r="D15" s="164"/>
      <c r="E15" s="272">
        <v>255</v>
      </c>
      <c r="F15" s="272">
        <v>97.1</v>
      </c>
      <c r="G15" s="8">
        <f t="shared" si="1"/>
        <v>24760.5</v>
      </c>
      <c r="H15" s="69">
        <v>15</v>
      </c>
      <c r="I15" s="70">
        <v>108.83</v>
      </c>
      <c r="J15" s="8">
        <f t="shared" si="2"/>
        <v>1632.45</v>
      </c>
      <c r="K15" s="8">
        <f t="shared" si="3"/>
        <v>26392.95</v>
      </c>
      <c r="L15" s="72">
        <v>0</v>
      </c>
      <c r="M15" s="72">
        <f t="shared" si="4"/>
        <v>105497.27499999981</v>
      </c>
      <c r="N15" s="8"/>
      <c r="O15" s="73"/>
    </row>
    <row r="16" spans="1:18">
      <c r="A16" s="48">
        <v>13</v>
      </c>
      <c r="B16" s="230">
        <v>45913</v>
      </c>
      <c r="C16" s="71"/>
      <c r="D16" s="164"/>
      <c r="E16" s="272">
        <v>240</v>
      </c>
      <c r="F16" s="272">
        <v>97.1</v>
      </c>
      <c r="G16" s="8">
        <f t="shared" si="1"/>
        <v>23304</v>
      </c>
      <c r="H16" s="69">
        <v>2</v>
      </c>
      <c r="I16" s="70">
        <v>108.83</v>
      </c>
      <c r="J16" s="8">
        <f t="shared" si="2"/>
        <v>217.66</v>
      </c>
      <c r="K16" s="8">
        <f t="shared" si="3"/>
        <v>23521.66</v>
      </c>
      <c r="L16" s="72">
        <v>0</v>
      </c>
      <c r="M16" s="72">
        <f t="shared" si="4"/>
        <v>129018.93499999981</v>
      </c>
      <c r="N16" s="8"/>
      <c r="O16" s="73"/>
    </row>
    <row r="17" spans="1:17">
      <c r="A17" s="48">
        <v>14</v>
      </c>
      <c r="B17" s="230">
        <v>45914</v>
      </c>
      <c r="C17" s="71"/>
      <c r="D17" s="164"/>
      <c r="E17" s="272">
        <v>107.8</v>
      </c>
      <c r="F17" s="272">
        <v>97.1</v>
      </c>
      <c r="G17" s="8">
        <f t="shared" si="1"/>
        <v>10467.379999999999</v>
      </c>
      <c r="H17" s="69">
        <v>0</v>
      </c>
      <c r="I17" s="70">
        <v>0</v>
      </c>
      <c r="J17" s="8">
        <f t="shared" si="2"/>
        <v>0</v>
      </c>
      <c r="K17" s="8">
        <f t="shared" si="3"/>
        <v>10467.379999999999</v>
      </c>
      <c r="L17" s="72">
        <v>0</v>
      </c>
      <c r="M17" s="72">
        <f t="shared" si="4"/>
        <v>139486.3149999998</v>
      </c>
      <c r="N17" s="8"/>
      <c r="O17" s="73"/>
    </row>
    <row r="18" spans="1:17">
      <c r="A18" s="48">
        <v>15</v>
      </c>
      <c r="B18" s="230">
        <v>45915</v>
      </c>
      <c r="C18" s="71"/>
      <c r="D18" s="164"/>
      <c r="E18" s="272">
        <v>1187</v>
      </c>
      <c r="F18" s="272">
        <v>97.1</v>
      </c>
      <c r="G18" s="8">
        <f t="shared" si="1"/>
        <v>115257.7</v>
      </c>
      <c r="H18" s="69">
        <v>7</v>
      </c>
      <c r="I18" s="70">
        <v>108.83</v>
      </c>
      <c r="J18" s="8">
        <f t="shared" si="2"/>
        <v>761.81</v>
      </c>
      <c r="K18" s="8">
        <f t="shared" si="3"/>
        <v>116019.51</v>
      </c>
      <c r="L18" s="72">
        <v>0</v>
      </c>
      <c r="M18" s="72">
        <f t="shared" si="4"/>
        <v>255505.82499999978</v>
      </c>
      <c r="N18" s="188"/>
      <c r="O18" s="73"/>
    </row>
    <row r="19" spans="1:17">
      <c r="A19" s="48">
        <v>16</v>
      </c>
      <c r="B19" s="230">
        <v>45916</v>
      </c>
      <c r="C19" s="71"/>
      <c r="D19" s="164"/>
      <c r="E19" s="272">
        <v>886.27</v>
      </c>
      <c r="F19" s="272">
        <v>97.1</v>
      </c>
      <c r="G19" s="8">
        <f t="shared" si="1"/>
        <v>86056.816999999995</v>
      </c>
      <c r="H19" s="69">
        <v>0</v>
      </c>
      <c r="I19" s="70">
        <v>0</v>
      </c>
      <c r="J19" s="8">
        <f t="shared" si="2"/>
        <v>0</v>
      </c>
      <c r="K19" s="8">
        <f t="shared" si="3"/>
        <v>86056.816999999995</v>
      </c>
      <c r="L19" s="72">
        <v>0</v>
      </c>
      <c r="M19" s="302">
        <f t="shared" ref="M5:M34" si="5">+M18+K19-L19</f>
        <v>341562.64199999976</v>
      </c>
      <c r="N19" s="301" t="s">
        <v>108</v>
      </c>
      <c r="O19" s="73"/>
    </row>
    <row r="20" spans="1:17">
      <c r="A20" s="48">
        <v>17</v>
      </c>
      <c r="B20" s="230">
        <v>45917</v>
      </c>
      <c r="C20" s="71"/>
      <c r="D20" s="164"/>
      <c r="E20" s="272">
        <v>140</v>
      </c>
      <c r="F20" s="272">
        <v>97.1</v>
      </c>
      <c r="G20" s="8">
        <f t="shared" si="1"/>
        <v>13594</v>
      </c>
      <c r="H20" s="69">
        <v>12</v>
      </c>
      <c r="I20" s="70">
        <v>108.83</v>
      </c>
      <c r="J20" s="8">
        <f t="shared" si="2"/>
        <v>1305.96</v>
      </c>
      <c r="K20" s="8">
        <f t="shared" si="3"/>
        <v>14899.96</v>
      </c>
      <c r="L20" s="72">
        <v>0</v>
      </c>
      <c r="M20" s="72">
        <f t="shared" si="5"/>
        <v>356462.60199999978</v>
      </c>
      <c r="N20" s="19"/>
      <c r="O20" s="73"/>
    </row>
    <row r="21" spans="1:17">
      <c r="A21" s="48">
        <v>18</v>
      </c>
      <c r="B21" s="230">
        <v>45918</v>
      </c>
      <c r="C21" s="71"/>
      <c r="D21" s="164"/>
      <c r="E21" s="272">
        <v>1035.9000000000001</v>
      </c>
      <c r="F21" s="272">
        <v>97.1</v>
      </c>
      <c r="G21" s="8">
        <f t="shared" si="1"/>
        <v>100585.89</v>
      </c>
      <c r="H21" s="69">
        <v>0</v>
      </c>
      <c r="I21" s="70">
        <v>0</v>
      </c>
      <c r="J21" s="8">
        <f t="shared" si="2"/>
        <v>0</v>
      </c>
      <c r="K21" s="8">
        <f t="shared" si="3"/>
        <v>100585.89</v>
      </c>
      <c r="L21" s="72">
        <v>200000</v>
      </c>
      <c r="M21" s="72">
        <f t="shared" si="5"/>
        <v>257048.49199999979</v>
      </c>
      <c r="N21" s="8"/>
      <c r="O21" s="73"/>
    </row>
    <row r="22" spans="1:17">
      <c r="A22" s="48">
        <v>19</v>
      </c>
      <c r="B22" s="230">
        <v>45919</v>
      </c>
      <c r="C22" s="71"/>
      <c r="D22" s="164"/>
      <c r="E22" s="272">
        <v>675</v>
      </c>
      <c r="F22" s="272">
        <v>97.1</v>
      </c>
      <c r="G22" s="8">
        <f t="shared" si="1"/>
        <v>65542.5</v>
      </c>
      <c r="H22" s="69">
        <v>9</v>
      </c>
      <c r="I22" s="70">
        <v>108.83</v>
      </c>
      <c r="J22" s="8">
        <f t="shared" si="2"/>
        <v>979.47</v>
      </c>
      <c r="K22" s="8">
        <f t="shared" si="3"/>
        <v>66521.97</v>
      </c>
      <c r="L22" s="72">
        <v>0</v>
      </c>
      <c r="M22" s="72">
        <f t="shared" si="5"/>
        <v>323570.46199999982</v>
      </c>
      <c r="N22" s="8"/>
      <c r="O22" s="73"/>
      <c r="Q22" s="22"/>
    </row>
    <row r="23" spans="1:17">
      <c r="A23" s="48">
        <v>20</v>
      </c>
      <c r="B23" s="230">
        <v>45920</v>
      </c>
      <c r="C23" s="71"/>
      <c r="D23" s="164"/>
      <c r="E23" s="272">
        <v>1177.8800000000001</v>
      </c>
      <c r="F23" s="272">
        <v>97.1</v>
      </c>
      <c r="G23" s="8">
        <f t="shared" si="1"/>
        <v>114372.148</v>
      </c>
      <c r="H23" s="69">
        <v>5</v>
      </c>
      <c r="I23" s="70">
        <v>108.83</v>
      </c>
      <c r="J23" s="8">
        <f t="shared" si="2"/>
        <v>544.15</v>
      </c>
      <c r="K23" s="8">
        <f t="shared" si="3"/>
        <v>114916.298</v>
      </c>
      <c r="L23" s="72">
        <v>0</v>
      </c>
      <c r="M23" s="72">
        <f t="shared" si="5"/>
        <v>438486.75999999983</v>
      </c>
      <c r="N23" s="8"/>
      <c r="O23" s="73"/>
    </row>
    <row r="24" spans="1:17">
      <c r="A24" s="48">
        <v>21</v>
      </c>
      <c r="B24" s="230">
        <v>45921</v>
      </c>
      <c r="C24" s="71"/>
      <c r="D24" s="164"/>
      <c r="E24" s="272">
        <v>410</v>
      </c>
      <c r="F24" s="272">
        <v>97.1</v>
      </c>
      <c r="G24" s="8">
        <f t="shared" si="1"/>
        <v>39811</v>
      </c>
      <c r="H24" s="69">
        <v>5</v>
      </c>
      <c r="I24" s="70">
        <v>108.83</v>
      </c>
      <c r="J24" s="8">
        <f t="shared" si="2"/>
        <v>544.15</v>
      </c>
      <c r="K24" s="8">
        <f t="shared" si="3"/>
        <v>40355.15</v>
      </c>
      <c r="L24" s="72">
        <v>0</v>
      </c>
      <c r="M24" s="72">
        <f t="shared" si="5"/>
        <v>478841.90999999986</v>
      </c>
      <c r="N24" s="8"/>
      <c r="O24" s="73"/>
    </row>
    <row r="25" spans="1:17">
      <c r="A25" s="48">
        <v>22</v>
      </c>
      <c r="B25" s="230">
        <v>45922</v>
      </c>
      <c r="C25" s="71"/>
      <c r="D25" s="164"/>
      <c r="E25" s="272">
        <v>730</v>
      </c>
      <c r="F25" s="272">
        <v>97.1</v>
      </c>
      <c r="G25" s="8">
        <f t="shared" si="1"/>
        <v>70883</v>
      </c>
      <c r="H25" s="69">
        <v>7</v>
      </c>
      <c r="I25" s="70">
        <v>108.83</v>
      </c>
      <c r="J25" s="8">
        <f t="shared" si="2"/>
        <v>761.81</v>
      </c>
      <c r="K25" s="8">
        <f t="shared" si="3"/>
        <v>71644.81</v>
      </c>
      <c r="L25" s="72">
        <v>0</v>
      </c>
      <c r="M25" s="72">
        <f t="shared" si="5"/>
        <v>550486.71999999986</v>
      </c>
      <c r="N25" s="8"/>
      <c r="O25" s="73"/>
    </row>
    <row r="26" spans="1:17">
      <c r="A26" s="48">
        <v>23</v>
      </c>
      <c r="B26" s="230">
        <v>45923</v>
      </c>
      <c r="C26" s="71"/>
      <c r="D26" s="164"/>
      <c r="E26" s="272">
        <v>707.3</v>
      </c>
      <c r="F26" s="272">
        <v>97.1</v>
      </c>
      <c r="G26" s="8">
        <f t="shared" si="1"/>
        <v>68678.829999999987</v>
      </c>
      <c r="H26" s="69">
        <v>5</v>
      </c>
      <c r="I26" s="70">
        <v>108.83</v>
      </c>
      <c r="J26" s="8">
        <f t="shared" si="2"/>
        <v>544.15</v>
      </c>
      <c r="K26" s="8">
        <f t="shared" si="3"/>
        <v>69222.979999999981</v>
      </c>
      <c r="L26" s="72">
        <v>0</v>
      </c>
      <c r="M26" s="72">
        <f t="shared" si="5"/>
        <v>619709.69999999984</v>
      </c>
      <c r="N26" s="8"/>
      <c r="O26" s="73"/>
    </row>
    <row r="27" spans="1:17">
      <c r="A27" s="48">
        <v>24</v>
      </c>
      <c r="B27" s="230">
        <v>45924</v>
      </c>
      <c r="C27" s="71"/>
      <c r="D27" s="164"/>
      <c r="E27" s="272">
        <v>1057.5999999999999</v>
      </c>
      <c r="F27" s="272">
        <v>97.1</v>
      </c>
      <c r="G27" s="8">
        <f t="shared" si="1"/>
        <v>102692.95999999999</v>
      </c>
      <c r="H27" s="69">
        <v>10</v>
      </c>
      <c r="I27" s="70">
        <v>108.83</v>
      </c>
      <c r="J27" s="8">
        <f t="shared" si="2"/>
        <v>1088.3</v>
      </c>
      <c r="K27" s="8">
        <f t="shared" si="3"/>
        <v>103781.26</v>
      </c>
      <c r="L27" s="72">
        <v>0</v>
      </c>
      <c r="M27" s="72">
        <f t="shared" si="5"/>
        <v>723490.95999999985</v>
      </c>
      <c r="N27" s="8"/>
      <c r="O27" s="73"/>
    </row>
    <row r="28" spans="1:17">
      <c r="A28" s="232">
        <v>25</v>
      </c>
      <c r="B28" s="230">
        <v>45925</v>
      </c>
      <c r="C28" s="71"/>
      <c r="D28" s="164"/>
      <c r="E28" s="272">
        <v>1377</v>
      </c>
      <c r="F28" s="272">
        <v>97.1</v>
      </c>
      <c r="G28" s="8">
        <f t="shared" si="1"/>
        <v>133706.69999999998</v>
      </c>
      <c r="H28" s="69">
        <v>10</v>
      </c>
      <c r="I28" s="70">
        <v>108.83</v>
      </c>
      <c r="J28" s="8">
        <f t="shared" si="2"/>
        <v>1088.3</v>
      </c>
      <c r="K28" s="8">
        <f t="shared" si="3"/>
        <v>134794.99999999997</v>
      </c>
      <c r="L28" s="72">
        <v>0</v>
      </c>
      <c r="M28" s="72">
        <f t="shared" si="5"/>
        <v>858285.95999999985</v>
      </c>
      <c r="N28" s="8"/>
      <c r="O28" s="73"/>
    </row>
    <row r="29" spans="1:17">
      <c r="A29" s="232">
        <v>26</v>
      </c>
      <c r="B29" s="230">
        <v>45926</v>
      </c>
      <c r="C29" s="71"/>
      <c r="D29" s="164"/>
      <c r="E29" s="272">
        <v>0</v>
      </c>
      <c r="F29" s="272">
        <v>97.1</v>
      </c>
      <c r="G29" s="8">
        <f t="shared" si="1"/>
        <v>0</v>
      </c>
      <c r="H29" s="69">
        <v>0</v>
      </c>
      <c r="I29" s="70">
        <v>108.83</v>
      </c>
      <c r="J29" s="8">
        <f t="shared" si="2"/>
        <v>0</v>
      </c>
      <c r="K29" s="8">
        <f t="shared" si="3"/>
        <v>0</v>
      </c>
      <c r="L29" s="72">
        <v>800000</v>
      </c>
      <c r="M29" s="72">
        <f t="shared" si="5"/>
        <v>58285.959999999846</v>
      </c>
      <c r="N29" s="8"/>
      <c r="O29" s="73"/>
    </row>
    <row r="30" spans="1:17">
      <c r="A30" s="232">
        <v>27</v>
      </c>
      <c r="B30" s="230">
        <v>45927</v>
      </c>
      <c r="C30" s="71"/>
      <c r="D30" s="164"/>
      <c r="E30" s="272">
        <v>20</v>
      </c>
      <c r="F30" s="272">
        <v>97.1</v>
      </c>
      <c r="G30" s="8">
        <f t="shared" si="1"/>
        <v>1942</v>
      </c>
      <c r="H30" s="69">
        <v>10</v>
      </c>
      <c r="I30" s="70">
        <v>108.83</v>
      </c>
      <c r="J30" s="8">
        <f t="shared" si="2"/>
        <v>1088.3</v>
      </c>
      <c r="K30" s="8">
        <f t="shared" si="3"/>
        <v>3030.3</v>
      </c>
      <c r="L30" s="72">
        <v>0</v>
      </c>
      <c r="M30" s="72">
        <f t="shared" si="5"/>
        <v>61316.259999999849</v>
      </c>
      <c r="N30" s="8"/>
      <c r="O30" s="73"/>
    </row>
    <row r="31" spans="1:17">
      <c r="A31" s="232">
        <v>28</v>
      </c>
      <c r="B31" s="230">
        <v>45928</v>
      </c>
      <c r="C31" s="71"/>
      <c r="D31" s="164"/>
      <c r="E31" s="272">
        <v>105</v>
      </c>
      <c r="F31" s="272">
        <v>97.1</v>
      </c>
      <c r="G31" s="8">
        <f t="shared" si="1"/>
        <v>10195.5</v>
      </c>
      <c r="H31" s="69">
        <v>0</v>
      </c>
      <c r="I31" s="70">
        <v>0</v>
      </c>
      <c r="J31" s="8">
        <f t="shared" si="2"/>
        <v>0</v>
      </c>
      <c r="K31" s="8">
        <f t="shared" si="3"/>
        <v>10195.5</v>
      </c>
      <c r="L31" s="72">
        <v>0</v>
      </c>
      <c r="M31" s="72">
        <f t="shared" si="5"/>
        <v>71511.759999999849</v>
      </c>
      <c r="N31" s="8"/>
      <c r="O31" s="73"/>
    </row>
    <row r="32" spans="1:17">
      <c r="A32" s="233">
        <v>29</v>
      </c>
      <c r="B32" s="230">
        <v>45929</v>
      </c>
      <c r="C32" s="71"/>
      <c r="D32" s="164"/>
      <c r="E32" s="272">
        <v>46.86</v>
      </c>
      <c r="F32" s="272">
        <v>97.1</v>
      </c>
      <c r="G32" s="8">
        <f t="shared" si="1"/>
        <v>4550.1059999999998</v>
      </c>
      <c r="H32" s="69">
        <v>0</v>
      </c>
      <c r="I32" s="70">
        <v>0</v>
      </c>
      <c r="J32" s="8">
        <f t="shared" si="2"/>
        <v>0</v>
      </c>
      <c r="K32" s="8">
        <f t="shared" si="3"/>
        <v>4550.1059999999998</v>
      </c>
      <c r="L32" s="72">
        <v>0</v>
      </c>
      <c r="M32" s="72">
        <f t="shared" si="5"/>
        <v>76061.865999999849</v>
      </c>
      <c r="N32" s="8"/>
      <c r="O32" s="73"/>
    </row>
    <row r="33" spans="1:15">
      <c r="A33" s="233">
        <v>30</v>
      </c>
      <c r="B33" s="230">
        <v>45930</v>
      </c>
      <c r="C33" s="71"/>
      <c r="D33" s="164"/>
      <c r="E33" s="272">
        <v>465</v>
      </c>
      <c r="F33" s="272">
        <v>97.1</v>
      </c>
      <c r="G33" s="8">
        <f t="shared" si="1"/>
        <v>45151.5</v>
      </c>
      <c r="H33" s="69">
        <v>0</v>
      </c>
      <c r="I33" s="70">
        <v>0</v>
      </c>
      <c r="J33" s="8">
        <f t="shared" si="2"/>
        <v>0</v>
      </c>
      <c r="K33" s="8">
        <f t="shared" si="3"/>
        <v>45151.5</v>
      </c>
      <c r="L33" s="72">
        <v>0</v>
      </c>
      <c r="M33" s="72">
        <f t="shared" si="5"/>
        <v>121213.36599999985</v>
      </c>
      <c r="N33" s="8"/>
      <c r="O33" s="73"/>
    </row>
    <row r="34" spans="1:15">
      <c r="A34" s="233">
        <v>31</v>
      </c>
      <c r="B34" s="230">
        <v>45931</v>
      </c>
      <c r="C34" s="71"/>
      <c r="D34" s="164"/>
      <c r="E34" s="272">
        <v>0</v>
      </c>
      <c r="F34" s="272">
        <v>0</v>
      </c>
      <c r="G34" s="8">
        <f t="shared" si="1"/>
        <v>0</v>
      </c>
      <c r="H34" s="69">
        <v>0</v>
      </c>
      <c r="I34" s="70">
        <v>0</v>
      </c>
      <c r="J34" s="8">
        <f t="shared" si="2"/>
        <v>0</v>
      </c>
      <c r="K34" s="8">
        <f t="shared" si="3"/>
        <v>0</v>
      </c>
      <c r="L34" s="72">
        <v>0</v>
      </c>
      <c r="M34" s="72">
        <f t="shared" si="5"/>
        <v>121213.36599999985</v>
      </c>
      <c r="N34" s="8"/>
      <c r="O34" s="73"/>
    </row>
    <row r="35" spans="1:15">
      <c r="A35" s="66"/>
      <c r="B35" s="66"/>
      <c r="C35" s="66"/>
      <c r="D35" s="66"/>
      <c r="E35" s="273">
        <f>SUM(E4:E34)</f>
        <v>16286.749999999998</v>
      </c>
      <c r="F35" s="273"/>
      <c r="G35" s="67">
        <f>SUM(G4:G34)</f>
        <v>1581443.4249999998</v>
      </c>
      <c r="H35" s="67">
        <f>SUM(H4:H34)</f>
        <v>145</v>
      </c>
      <c r="I35" s="67"/>
      <c r="J35" s="67">
        <f>SUM(J4:J34)</f>
        <v>15780.349999999997</v>
      </c>
      <c r="K35" s="67">
        <f>SUM(K4:K34)</f>
        <v>1597223.7749999999</v>
      </c>
      <c r="L35" s="67">
        <f>SUM(L4:L34)</f>
        <v>2039000</v>
      </c>
      <c r="M35" s="67"/>
      <c r="N35" s="67"/>
      <c r="O35" s="63"/>
    </row>
    <row r="36" spans="1:15">
      <c r="A36" s="76"/>
      <c r="B36" s="77"/>
      <c r="C36" s="76"/>
      <c r="D36" s="76"/>
      <c r="E36" s="78"/>
      <c r="F36" s="78"/>
      <c r="G36" s="78"/>
      <c r="H36" s="78"/>
      <c r="I36" s="78"/>
      <c r="J36" s="79"/>
      <c r="K36" s="79"/>
      <c r="L36" s="79"/>
      <c r="M36" s="79"/>
      <c r="N36" s="78"/>
      <c r="O36" s="73"/>
    </row>
    <row r="37" spans="1:15">
      <c r="O37" s="73"/>
    </row>
    <row r="38" spans="1:15">
      <c r="O38" s="73"/>
    </row>
    <row r="39" spans="1:15">
      <c r="O39" s="73"/>
    </row>
    <row r="40" spans="1:15">
      <c r="O40" s="73"/>
    </row>
    <row r="41" spans="1:15">
      <c r="O41" s="73"/>
    </row>
    <row r="42" spans="1:15">
      <c r="A42" s="73"/>
      <c r="B42" s="63"/>
      <c r="C42" s="73"/>
      <c r="D42" s="73"/>
      <c r="E42" s="73"/>
      <c r="F42" s="73"/>
      <c r="G42" s="80"/>
      <c r="H42" s="73"/>
      <c r="I42" s="73"/>
      <c r="J42" s="63"/>
      <c r="K42" s="63"/>
      <c r="L42" s="63"/>
      <c r="M42" s="63"/>
      <c r="N42" s="73"/>
      <c r="O42" s="78"/>
    </row>
    <row r="43" spans="1:15">
      <c r="A43" s="73"/>
      <c r="B43" s="402"/>
      <c r="C43" s="402"/>
      <c r="D43" s="402"/>
      <c r="E43" s="402"/>
      <c r="F43" s="73"/>
      <c r="G43" s="73"/>
      <c r="H43" s="73"/>
      <c r="I43" s="402"/>
      <c r="J43" s="402"/>
      <c r="K43" s="402"/>
      <c r="L43" s="402"/>
      <c r="M43" s="402"/>
      <c r="N43" s="402"/>
      <c r="O43" s="78"/>
    </row>
    <row r="44" spans="1:15">
      <c r="A44" s="73"/>
      <c r="B44" s="63"/>
      <c r="C44" s="73"/>
      <c r="D44" s="73"/>
      <c r="E44" s="73"/>
      <c r="F44" s="73"/>
      <c r="G44" s="73"/>
      <c r="H44" s="73"/>
      <c r="I44" s="73"/>
      <c r="J44" s="63"/>
      <c r="K44" s="63"/>
      <c r="L44" s="63"/>
      <c r="M44" s="63"/>
      <c r="N44" s="73"/>
      <c r="O44" s="78"/>
    </row>
  </sheetData>
  <mergeCells count="4">
    <mergeCell ref="A1:N1"/>
    <mergeCell ref="A3:L3"/>
    <mergeCell ref="B43:E43"/>
    <mergeCell ref="I43:N43"/>
  </mergeCells>
  <hyperlinks>
    <hyperlink ref="N19" r:id="rId1" xr:uid="{D157A590-9512-4734-821E-E8C1B924315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EA3EE-65D5-4D13-AD57-D03C52105DD6}">
  <dimension ref="A1:R44"/>
  <sheetViews>
    <sheetView topLeftCell="A16" workbookViewId="0">
      <selection activeCell="A14" sqref="A14:XFD14"/>
    </sheetView>
  </sheetViews>
  <sheetFormatPr defaultRowHeight="15"/>
  <cols>
    <col min="7" max="7" width="11.85546875" bestFit="1" customWidth="1"/>
    <col min="11" max="12" width="13.5703125" bestFit="1" customWidth="1"/>
    <col min="13" max="13" width="11.85546875" bestFit="1" customWidth="1"/>
    <col min="15" max="15" width="12" customWidth="1"/>
  </cols>
  <sheetData>
    <row r="1" spans="1:18" ht="15.75">
      <c r="A1" s="399" t="s">
        <v>109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399"/>
      <c r="N1" s="399"/>
      <c r="O1" s="86"/>
    </row>
    <row r="2" spans="1:18" ht="30.75">
      <c r="A2" s="102" t="s">
        <v>90</v>
      </c>
      <c r="B2" s="103" t="s">
        <v>91</v>
      </c>
      <c r="C2" s="103" t="s">
        <v>92</v>
      </c>
      <c r="D2" s="103" t="s">
        <v>107</v>
      </c>
      <c r="E2" s="271" t="s">
        <v>94</v>
      </c>
      <c r="F2" s="271" t="s">
        <v>95</v>
      </c>
      <c r="G2" s="103" t="s">
        <v>96</v>
      </c>
      <c r="H2" s="103" t="s">
        <v>97</v>
      </c>
      <c r="I2" s="103" t="s">
        <v>95</v>
      </c>
      <c r="J2" s="142" t="s">
        <v>96</v>
      </c>
      <c r="K2" s="104" t="s">
        <v>98</v>
      </c>
      <c r="L2" s="143" t="s">
        <v>99</v>
      </c>
      <c r="M2" s="147" t="s">
        <v>106</v>
      </c>
      <c r="N2" s="105" t="s">
        <v>101</v>
      </c>
      <c r="O2" s="63"/>
    </row>
    <row r="3" spans="1:18">
      <c r="A3" s="396" t="s">
        <v>102</v>
      </c>
      <c r="B3" s="400"/>
      <c r="C3" s="400"/>
      <c r="D3" s="400"/>
      <c r="E3" s="400"/>
      <c r="F3" s="400"/>
      <c r="G3" s="400"/>
      <c r="H3" s="400"/>
      <c r="I3" s="400"/>
      <c r="J3" s="400"/>
      <c r="K3" s="400"/>
      <c r="L3" s="401"/>
      <c r="M3" s="152">
        <v>134013.53599999999</v>
      </c>
      <c r="N3" s="161"/>
      <c r="O3" s="63"/>
    </row>
    <row r="4" spans="1:18">
      <c r="A4" s="204">
        <v>1</v>
      </c>
      <c r="B4" s="230">
        <v>45901</v>
      </c>
      <c r="C4" s="71"/>
      <c r="D4" s="164"/>
      <c r="E4" s="272">
        <v>0</v>
      </c>
      <c r="F4" s="272">
        <v>0</v>
      </c>
      <c r="G4" s="8">
        <f t="shared" ref="G4:G34" si="0">E4*F4</f>
        <v>0</v>
      </c>
      <c r="H4" s="69">
        <v>0</v>
      </c>
      <c r="I4" s="70">
        <v>0</v>
      </c>
      <c r="J4" s="8">
        <f>H4*I4</f>
        <v>0</v>
      </c>
      <c r="K4" s="8">
        <f>G4+J4</f>
        <v>0</v>
      </c>
      <c r="L4" s="72">
        <v>0</v>
      </c>
      <c r="M4" s="72">
        <f>+M3+K4-L4</f>
        <v>134013.53599999999</v>
      </c>
      <c r="N4" s="8"/>
    </row>
    <row r="5" spans="1:18">
      <c r="A5" s="48">
        <v>2</v>
      </c>
      <c r="B5" s="230">
        <v>45902</v>
      </c>
      <c r="C5" s="71"/>
      <c r="D5" s="164"/>
      <c r="E5" s="272">
        <v>0</v>
      </c>
      <c r="F5" s="272">
        <v>0</v>
      </c>
      <c r="G5" s="8">
        <f t="shared" ref="G5:G13" si="1">E5*F5</f>
        <v>0</v>
      </c>
      <c r="H5" s="69">
        <v>0</v>
      </c>
      <c r="I5" s="70">
        <v>0</v>
      </c>
      <c r="J5" s="8">
        <f t="shared" ref="J5:J13" si="2">H5*I5</f>
        <v>0</v>
      </c>
      <c r="K5" s="8">
        <f t="shared" ref="K5:K13" si="3">G5+J5</f>
        <v>0</v>
      </c>
      <c r="L5" s="72">
        <v>0</v>
      </c>
      <c r="M5" s="72">
        <f t="shared" ref="M5:M34" si="4">+M4+K5-L5</f>
        <v>134013.53599999999</v>
      </c>
      <c r="N5" s="8"/>
    </row>
    <row r="6" spans="1:18">
      <c r="A6" s="48">
        <v>3</v>
      </c>
      <c r="B6" s="230">
        <v>45903</v>
      </c>
      <c r="C6" s="71"/>
      <c r="D6" s="164"/>
      <c r="E6" s="272">
        <v>0</v>
      </c>
      <c r="F6" s="272">
        <v>0</v>
      </c>
      <c r="G6" s="8">
        <f t="shared" si="1"/>
        <v>0</v>
      </c>
      <c r="H6" s="69">
        <v>0</v>
      </c>
      <c r="I6" s="70">
        <v>0</v>
      </c>
      <c r="J6" s="8">
        <f t="shared" si="2"/>
        <v>0</v>
      </c>
      <c r="K6" s="8">
        <f t="shared" si="3"/>
        <v>0</v>
      </c>
      <c r="L6" s="72">
        <v>0</v>
      </c>
      <c r="M6" s="72">
        <f t="shared" si="4"/>
        <v>134013.53599999999</v>
      </c>
      <c r="N6" s="8"/>
    </row>
    <row r="7" spans="1:18">
      <c r="A7" s="48">
        <v>4</v>
      </c>
      <c r="B7" s="230">
        <v>45904</v>
      </c>
      <c r="C7" s="71"/>
      <c r="D7" s="164"/>
      <c r="E7" s="272">
        <v>0</v>
      </c>
      <c r="F7" s="272">
        <v>0</v>
      </c>
      <c r="G7" s="8">
        <f t="shared" si="1"/>
        <v>0</v>
      </c>
      <c r="H7" s="69">
        <v>0</v>
      </c>
      <c r="I7" s="70">
        <v>0</v>
      </c>
      <c r="J7" s="8">
        <f t="shared" si="2"/>
        <v>0</v>
      </c>
      <c r="K7" s="8">
        <f t="shared" si="3"/>
        <v>0</v>
      </c>
      <c r="L7" s="72">
        <v>0</v>
      </c>
      <c r="M7" s="72">
        <f t="shared" si="4"/>
        <v>134013.53599999999</v>
      </c>
      <c r="N7" s="8"/>
    </row>
    <row r="8" spans="1:18">
      <c r="A8" s="48">
        <v>5</v>
      </c>
      <c r="B8" s="230">
        <v>45905</v>
      </c>
      <c r="C8" s="71"/>
      <c r="D8" s="164"/>
      <c r="E8" s="272">
        <v>0</v>
      </c>
      <c r="F8" s="272">
        <v>0</v>
      </c>
      <c r="G8" s="8">
        <f t="shared" si="1"/>
        <v>0</v>
      </c>
      <c r="H8" s="69">
        <v>0</v>
      </c>
      <c r="I8" s="70">
        <v>0</v>
      </c>
      <c r="J8" s="8">
        <f t="shared" si="2"/>
        <v>0</v>
      </c>
      <c r="K8" s="8">
        <f t="shared" si="3"/>
        <v>0</v>
      </c>
      <c r="L8" s="72">
        <v>0</v>
      </c>
      <c r="M8" s="72">
        <f t="shared" si="4"/>
        <v>134013.53599999999</v>
      </c>
      <c r="N8" s="8"/>
      <c r="O8" s="73"/>
      <c r="R8" s="237"/>
    </row>
    <row r="9" spans="1:18">
      <c r="A9" s="48">
        <v>6</v>
      </c>
      <c r="B9" s="230">
        <v>45906</v>
      </c>
      <c r="C9" s="71"/>
      <c r="D9" s="164"/>
      <c r="E9" s="272">
        <v>600</v>
      </c>
      <c r="F9" s="69">
        <v>97.1</v>
      </c>
      <c r="G9" s="8">
        <f t="shared" si="1"/>
        <v>58260</v>
      </c>
      <c r="H9" s="69">
        <v>0</v>
      </c>
      <c r="I9" s="70">
        <v>0</v>
      </c>
      <c r="J9" s="8">
        <f t="shared" si="2"/>
        <v>0</v>
      </c>
      <c r="K9" s="8">
        <f t="shared" si="3"/>
        <v>58260</v>
      </c>
      <c r="L9" s="72">
        <v>0</v>
      </c>
      <c r="M9" s="72">
        <f>+M8+K9-L9</f>
        <v>192273.53599999999</v>
      </c>
      <c r="N9" s="8"/>
      <c r="O9" s="73"/>
    </row>
    <row r="10" spans="1:18">
      <c r="A10" s="48">
        <v>7</v>
      </c>
      <c r="B10" s="230">
        <v>45907</v>
      </c>
      <c r="C10" s="71"/>
      <c r="D10" s="164"/>
      <c r="E10" s="272">
        <v>0</v>
      </c>
      <c r="F10" s="272">
        <v>0</v>
      </c>
      <c r="G10" s="8">
        <f t="shared" si="1"/>
        <v>0</v>
      </c>
      <c r="H10" s="69">
        <v>0</v>
      </c>
      <c r="I10" s="70">
        <v>0</v>
      </c>
      <c r="J10" s="8">
        <f t="shared" si="2"/>
        <v>0</v>
      </c>
      <c r="K10" s="8">
        <f t="shared" si="3"/>
        <v>0</v>
      </c>
      <c r="L10" s="72">
        <v>0</v>
      </c>
      <c r="M10" s="72">
        <f>+M9+K10-L10</f>
        <v>192273.53599999999</v>
      </c>
      <c r="N10" s="8"/>
      <c r="O10" s="73"/>
    </row>
    <row r="11" spans="1:18">
      <c r="A11" s="48">
        <v>8</v>
      </c>
      <c r="B11" s="230">
        <v>45908</v>
      </c>
      <c r="C11" s="71"/>
      <c r="D11" s="164"/>
      <c r="E11" s="272">
        <v>600</v>
      </c>
      <c r="F11" s="272">
        <v>97.1</v>
      </c>
      <c r="G11" s="8">
        <f t="shared" ref="G11:G34" si="5">E11*F11</f>
        <v>58260</v>
      </c>
      <c r="H11" s="69">
        <v>0</v>
      </c>
      <c r="I11" s="70">
        <v>0</v>
      </c>
      <c r="J11" s="8">
        <f t="shared" ref="J11:J34" si="6">H11*I11</f>
        <v>0</v>
      </c>
      <c r="K11" s="8">
        <f t="shared" ref="K11:K34" si="7">G11+J11</f>
        <v>58260</v>
      </c>
      <c r="L11" s="72">
        <v>60000</v>
      </c>
      <c r="M11" s="72">
        <f>+M10+K11-L11</f>
        <v>190533.53599999999</v>
      </c>
      <c r="N11" s="8"/>
      <c r="O11" s="73"/>
    </row>
    <row r="12" spans="1:18">
      <c r="A12" s="48">
        <v>9</v>
      </c>
      <c r="B12" s="230">
        <v>45909</v>
      </c>
      <c r="C12" s="71"/>
      <c r="D12" s="164"/>
      <c r="E12" s="272">
        <v>0</v>
      </c>
      <c r="F12" s="272">
        <v>0</v>
      </c>
      <c r="G12" s="8">
        <f t="shared" si="5"/>
        <v>0</v>
      </c>
      <c r="H12" s="69">
        <v>0</v>
      </c>
      <c r="I12" s="70">
        <v>0</v>
      </c>
      <c r="J12" s="8">
        <f t="shared" si="6"/>
        <v>0</v>
      </c>
      <c r="K12" s="8">
        <f t="shared" si="7"/>
        <v>0</v>
      </c>
      <c r="L12" s="72">
        <v>0</v>
      </c>
      <c r="M12" s="72">
        <f t="shared" ref="M11:M34" si="8">+M11+K12-L12</f>
        <v>190533.53599999999</v>
      </c>
      <c r="N12" s="8"/>
      <c r="O12" s="73"/>
    </row>
    <row r="13" spans="1:18">
      <c r="A13" s="48">
        <v>10</v>
      </c>
      <c r="B13" s="230">
        <v>45910</v>
      </c>
      <c r="C13" s="71"/>
      <c r="D13" s="164"/>
      <c r="E13" s="272">
        <v>0</v>
      </c>
      <c r="F13" s="272">
        <v>0</v>
      </c>
      <c r="G13" s="8">
        <f t="shared" si="5"/>
        <v>0</v>
      </c>
      <c r="H13" s="69">
        <v>0</v>
      </c>
      <c r="I13" s="70">
        <v>0</v>
      </c>
      <c r="J13" s="8">
        <f t="shared" si="6"/>
        <v>0</v>
      </c>
      <c r="K13" s="8">
        <f t="shared" si="7"/>
        <v>0</v>
      </c>
      <c r="L13" s="72">
        <v>0</v>
      </c>
      <c r="M13" s="72">
        <f t="shared" si="8"/>
        <v>190533.53599999999</v>
      </c>
      <c r="N13" s="8"/>
      <c r="O13" s="73"/>
    </row>
    <row r="14" spans="1:18">
      <c r="A14" s="48">
        <v>11</v>
      </c>
      <c r="B14" s="230">
        <v>45911</v>
      </c>
      <c r="C14" s="71"/>
      <c r="D14" s="164"/>
      <c r="E14" s="272">
        <v>0</v>
      </c>
      <c r="F14" s="272">
        <v>0</v>
      </c>
      <c r="G14" s="8">
        <f t="shared" si="5"/>
        <v>0</v>
      </c>
      <c r="H14" s="69">
        <v>0</v>
      </c>
      <c r="I14" s="70">
        <v>0</v>
      </c>
      <c r="J14" s="8">
        <f t="shared" si="6"/>
        <v>0</v>
      </c>
      <c r="K14" s="8">
        <f t="shared" si="7"/>
        <v>0</v>
      </c>
      <c r="L14" s="72">
        <v>58260</v>
      </c>
      <c r="M14" s="72">
        <f t="shared" si="8"/>
        <v>132273.53599999999</v>
      </c>
      <c r="N14" s="8"/>
      <c r="O14" s="73"/>
    </row>
    <row r="15" spans="1:18">
      <c r="A15" s="48">
        <v>12</v>
      </c>
      <c r="B15" s="230">
        <v>45912</v>
      </c>
      <c r="C15" s="71"/>
      <c r="D15" s="164"/>
      <c r="E15" s="272">
        <v>0</v>
      </c>
      <c r="F15" s="272">
        <v>0</v>
      </c>
      <c r="G15" s="8">
        <f t="shared" si="5"/>
        <v>0</v>
      </c>
      <c r="H15" s="69">
        <v>0</v>
      </c>
      <c r="I15" s="70">
        <v>0</v>
      </c>
      <c r="J15" s="8">
        <f t="shared" si="6"/>
        <v>0</v>
      </c>
      <c r="K15" s="8">
        <f t="shared" si="7"/>
        <v>0</v>
      </c>
      <c r="L15" s="72">
        <v>0</v>
      </c>
      <c r="M15" s="72">
        <f t="shared" si="8"/>
        <v>132273.53599999999</v>
      </c>
      <c r="N15" s="8"/>
      <c r="O15" s="73"/>
    </row>
    <row r="16" spans="1:18">
      <c r="A16" s="48">
        <v>13</v>
      </c>
      <c r="B16" s="230">
        <v>45913</v>
      </c>
      <c r="C16" s="71"/>
      <c r="D16" s="164"/>
      <c r="E16" s="272">
        <v>0</v>
      </c>
      <c r="F16" s="272">
        <v>0</v>
      </c>
      <c r="G16" s="8">
        <f t="shared" si="5"/>
        <v>0</v>
      </c>
      <c r="H16" s="69">
        <v>0</v>
      </c>
      <c r="I16" s="70">
        <v>0</v>
      </c>
      <c r="J16" s="8">
        <f t="shared" si="6"/>
        <v>0</v>
      </c>
      <c r="K16" s="8">
        <f t="shared" si="7"/>
        <v>0</v>
      </c>
      <c r="L16" s="72">
        <v>0</v>
      </c>
      <c r="M16" s="72">
        <f t="shared" si="8"/>
        <v>132273.53599999999</v>
      </c>
      <c r="N16" s="8"/>
      <c r="O16" s="73"/>
    </row>
    <row r="17" spans="1:17">
      <c r="A17" s="48">
        <v>14</v>
      </c>
      <c r="B17" s="230">
        <v>45914</v>
      </c>
      <c r="C17" s="71"/>
      <c r="D17" s="164"/>
      <c r="E17" s="272">
        <v>0</v>
      </c>
      <c r="F17" s="272">
        <v>0</v>
      </c>
      <c r="G17" s="8">
        <f t="shared" si="5"/>
        <v>0</v>
      </c>
      <c r="H17" s="69">
        <v>0</v>
      </c>
      <c r="I17" s="70">
        <v>0</v>
      </c>
      <c r="J17" s="8">
        <f t="shared" si="6"/>
        <v>0</v>
      </c>
      <c r="K17" s="8">
        <f t="shared" si="7"/>
        <v>0</v>
      </c>
      <c r="L17" s="72">
        <v>0</v>
      </c>
      <c r="M17" s="72">
        <f t="shared" si="8"/>
        <v>132273.53599999999</v>
      </c>
      <c r="N17" s="8"/>
      <c r="O17" s="73"/>
    </row>
    <row r="18" spans="1:17">
      <c r="A18" s="48">
        <v>15</v>
      </c>
      <c r="B18" s="230">
        <v>45915</v>
      </c>
      <c r="C18" s="71"/>
      <c r="D18" s="164"/>
      <c r="E18" s="272">
        <v>0</v>
      </c>
      <c r="F18" s="272">
        <v>0</v>
      </c>
      <c r="G18" s="8">
        <f t="shared" si="5"/>
        <v>0</v>
      </c>
      <c r="H18" s="69">
        <v>0</v>
      </c>
      <c r="I18" s="70">
        <v>0</v>
      </c>
      <c r="J18" s="8">
        <f t="shared" si="6"/>
        <v>0</v>
      </c>
      <c r="K18" s="8">
        <f t="shared" si="7"/>
        <v>0</v>
      </c>
      <c r="L18" s="72">
        <v>0</v>
      </c>
      <c r="M18" s="72">
        <f t="shared" si="8"/>
        <v>132273.53599999999</v>
      </c>
      <c r="N18" s="188"/>
      <c r="O18" s="73"/>
    </row>
    <row r="19" spans="1:17">
      <c r="A19" s="48">
        <v>16</v>
      </c>
      <c r="B19" s="230">
        <v>45916</v>
      </c>
      <c r="C19" s="71"/>
      <c r="D19" s="164"/>
      <c r="E19" s="272">
        <v>0</v>
      </c>
      <c r="F19" s="272">
        <v>0</v>
      </c>
      <c r="G19" s="8">
        <f t="shared" si="5"/>
        <v>0</v>
      </c>
      <c r="H19" s="69">
        <v>0</v>
      </c>
      <c r="I19" s="70">
        <v>0</v>
      </c>
      <c r="J19" s="8">
        <f t="shared" si="6"/>
        <v>0</v>
      </c>
      <c r="K19" s="8">
        <f t="shared" si="7"/>
        <v>0</v>
      </c>
      <c r="L19" s="72">
        <v>0</v>
      </c>
      <c r="M19" s="72">
        <f t="shared" si="8"/>
        <v>132273.53599999999</v>
      </c>
      <c r="N19" s="301"/>
      <c r="O19" s="73"/>
    </row>
    <row r="20" spans="1:17">
      <c r="A20" s="48">
        <v>17</v>
      </c>
      <c r="B20" s="230">
        <v>45917</v>
      </c>
      <c r="C20" s="71"/>
      <c r="D20" s="164"/>
      <c r="E20" s="272">
        <v>0</v>
      </c>
      <c r="F20" s="272">
        <v>0</v>
      </c>
      <c r="G20" s="8">
        <f t="shared" si="5"/>
        <v>0</v>
      </c>
      <c r="H20" s="69">
        <v>0</v>
      </c>
      <c r="I20" s="70">
        <v>0</v>
      </c>
      <c r="J20" s="8">
        <f t="shared" si="6"/>
        <v>0</v>
      </c>
      <c r="K20" s="8">
        <f t="shared" si="7"/>
        <v>0</v>
      </c>
      <c r="L20" s="72">
        <v>0</v>
      </c>
      <c r="M20" s="72">
        <f t="shared" si="8"/>
        <v>132273.53599999999</v>
      </c>
      <c r="N20" s="19"/>
      <c r="O20" s="73"/>
    </row>
    <row r="21" spans="1:17">
      <c r="A21" s="48">
        <v>18</v>
      </c>
      <c r="B21" s="230">
        <v>45918</v>
      </c>
      <c r="C21" s="71"/>
      <c r="D21" s="164"/>
      <c r="E21" s="272">
        <v>0</v>
      </c>
      <c r="F21" s="272">
        <v>0</v>
      </c>
      <c r="G21" s="8">
        <f t="shared" si="5"/>
        <v>0</v>
      </c>
      <c r="H21" s="69">
        <v>0</v>
      </c>
      <c r="I21" s="70">
        <v>0</v>
      </c>
      <c r="J21" s="8">
        <f t="shared" si="6"/>
        <v>0</v>
      </c>
      <c r="K21" s="8">
        <f t="shared" si="7"/>
        <v>0</v>
      </c>
      <c r="L21" s="72">
        <v>0</v>
      </c>
      <c r="M21" s="72">
        <f t="shared" si="8"/>
        <v>132273.53599999999</v>
      </c>
      <c r="N21" s="8"/>
      <c r="O21" s="73"/>
    </row>
    <row r="22" spans="1:17">
      <c r="A22" s="48">
        <v>19</v>
      </c>
      <c r="B22" s="230">
        <v>45919</v>
      </c>
      <c r="C22" s="71"/>
      <c r="D22" s="164"/>
      <c r="E22" s="272">
        <v>0</v>
      </c>
      <c r="F22" s="272">
        <v>0</v>
      </c>
      <c r="G22" s="8">
        <f t="shared" si="5"/>
        <v>0</v>
      </c>
      <c r="H22" s="69">
        <v>0</v>
      </c>
      <c r="I22" s="70">
        <v>0</v>
      </c>
      <c r="J22" s="8">
        <f t="shared" si="6"/>
        <v>0</v>
      </c>
      <c r="K22" s="8">
        <f t="shared" si="7"/>
        <v>0</v>
      </c>
      <c r="L22" s="72">
        <v>0</v>
      </c>
      <c r="M22" s="72">
        <f t="shared" si="8"/>
        <v>132273.53599999999</v>
      </c>
      <c r="N22" s="8"/>
      <c r="O22" s="73"/>
      <c r="Q22" s="22"/>
    </row>
    <row r="23" spans="1:17">
      <c r="A23" s="48">
        <v>20</v>
      </c>
      <c r="B23" s="230">
        <v>45920</v>
      </c>
      <c r="C23" s="71"/>
      <c r="D23" s="164"/>
      <c r="E23" s="272">
        <v>0</v>
      </c>
      <c r="F23" s="272">
        <v>0</v>
      </c>
      <c r="G23" s="8">
        <f t="shared" si="5"/>
        <v>0</v>
      </c>
      <c r="H23" s="69">
        <v>0</v>
      </c>
      <c r="I23" s="70">
        <v>0</v>
      </c>
      <c r="J23" s="8">
        <f t="shared" si="6"/>
        <v>0</v>
      </c>
      <c r="K23" s="8">
        <f t="shared" si="7"/>
        <v>0</v>
      </c>
      <c r="L23" s="72">
        <v>0</v>
      </c>
      <c r="M23" s="72">
        <f t="shared" si="8"/>
        <v>132273.53599999999</v>
      </c>
      <c r="N23" s="8"/>
      <c r="O23" s="73"/>
    </row>
    <row r="24" spans="1:17">
      <c r="A24" s="48">
        <v>21</v>
      </c>
      <c r="B24" s="230">
        <v>45921</v>
      </c>
      <c r="C24" s="71"/>
      <c r="D24" s="164"/>
      <c r="E24" s="272">
        <v>0</v>
      </c>
      <c r="F24" s="272">
        <v>0</v>
      </c>
      <c r="G24" s="8">
        <f t="shared" si="5"/>
        <v>0</v>
      </c>
      <c r="H24" s="69">
        <v>0</v>
      </c>
      <c r="I24" s="70">
        <v>0</v>
      </c>
      <c r="J24" s="8">
        <f t="shared" si="6"/>
        <v>0</v>
      </c>
      <c r="K24" s="8">
        <f t="shared" si="7"/>
        <v>0</v>
      </c>
      <c r="L24" s="72">
        <v>0</v>
      </c>
      <c r="M24" s="72">
        <f t="shared" si="8"/>
        <v>132273.53599999999</v>
      </c>
      <c r="N24" s="8"/>
      <c r="O24" s="73"/>
    </row>
    <row r="25" spans="1:17">
      <c r="A25" s="48">
        <v>22</v>
      </c>
      <c r="B25" s="230">
        <v>45922</v>
      </c>
      <c r="C25" s="71"/>
      <c r="D25" s="164"/>
      <c r="E25" s="272">
        <v>0</v>
      </c>
      <c r="F25" s="272">
        <v>0</v>
      </c>
      <c r="G25" s="8">
        <f t="shared" si="5"/>
        <v>0</v>
      </c>
      <c r="H25" s="69">
        <v>0</v>
      </c>
      <c r="I25" s="70">
        <v>0</v>
      </c>
      <c r="J25" s="8">
        <f t="shared" si="6"/>
        <v>0</v>
      </c>
      <c r="K25" s="8">
        <f t="shared" si="7"/>
        <v>0</v>
      </c>
      <c r="L25" s="72">
        <v>0</v>
      </c>
      <c r="M25" s="72">
        <f t="shared" si="8"/>
        <v>132273.53599999999</v>
      </c>
      <c r="N25" s="8"/>
      <c r="O25" s="73"/>
    </row>
    <row r="26" spans="1:17">
      <c r="A26" s="48">
        <v>23</v>
      </c>
      <c r="B26" s="230">
        <v>45923</v>
      </c>
      <c r="C26" s="71"/>
      <c r="D26" s="164"/>
      <c r="E26" s="272">
        <v>0</v>
      </c>
      <c r="F26" s="272">
        <v>0</v>
      </c>
      <c r="G26" s="8">
        <f t="shared" si="5"/>
        <v>0</v>
      </c>
      <c r="H26" s="69">
        <v>0</v>
      </c>
      <c r="I26" s="70">
        <v>0</v>
      </c>
      <c r="J26" s="8">
        <f t="shared" si="6"/>
        <v>0</v>
      </c>
      <c r="K26" s="8">
        <f t="shared" si="7"/>
        <v>0</v>
      </c>
      <c r="L26" s="72">
        <v>0</v>
      </c>
      <c r="M26" s="72">
        <f t="shared" si="8"/>
        <v>132273.53599999999</v>
      </c>
      <c r="N26" s="8"/>
      <c r="O26" s="73"/>
    </row>
    <row r="27" spans="1:17">
      <c r="A27" s="48">
        <v>24</v>
      </c>
      <c r="B27" s="230">
        <v>45924</v>
      </c>
      <c r="C27" s="71"/>
      <c r="D27" s="164"/>
      <c r="E27" s="272">
        <v>0</v>
      </c>
      <c r="F27" s="272">
        <v>0</v>
      </c>
      <c r="G27" s="8">
        <f t="shared" si="5"/>
        <v>0</v>
      </c>
      <c r="H27" s="69">
        <v>0</v>
      </c>
      <c r="I27" s="70">
        <v>0</v>
      </c>
      <c r="J27" s="8">
        <f t="shared" si="6"/>
        <v>0</v>
      </c>
      <c r="K27" s="8">
        <f t="shared" si="7"/>
        <v>0</v>
      </c>
      <c r="L27" s="72">
        <v>0</v>
      </c>
      <c r="M27" s="72">
        <f t="shared" si="8"/>
        <v>132273.53599999999</v>
      </c>
      <c r="N27" s="8"/>
      <c r="O27" s="73"/>
    </row>
    <row r="28" spans="1:17">
      <c r="A28" s="232">
        <v>25</v>
      </c>
      <c r="B28" s="230">
        <v>45925</v>
      </c>
      <c r="C28" s="71"/>
      <c r="D28" s="164"/>
      <c r="E28" s="272">
        <v>0</v>
      </c>
      <c r="F28" s="272">
        <v>0</v>
      </c>
      <c r="G28" s="8">
        <f t="shared" si="5"/>
        <v>0</v>
      </c>
      <c r="H28" s="69">
        <v>0</v>
      </c>
      <c r="I28" s="70">
        <v>0</v>
      </c>
      <c r="J28" s="8">
        <f t="shared" si="6"/>
        <v>0</v>
      </c>
      <c r="K28" s="8">
        <f t="shared" si="7"/>
        <v>0</v>
      </c>
      <c r="L28" s="72">
        <v>0</v>
      </c>
      <c r="M28" s="72">
        <f t="shared" si="8"/>
        <v>132273.53599999999</v>
      </c>
      <c r="N28" s="8"/>
      <c r="O28" s="73"/>
    </row>
    <row r="29" spans="1:17">
      <c r="A29" s="232">
        <v>26</v>
      </c>
      <c r="B29" s="230">
        <v>45926</v>
      </c>
      <c r="C29" s="71"/>
      <c r="D29" s="164"/>
      <c r="E29" s="272">
        <v>0</v>
      </c>
      <c r="F29" s="272">
        <v>0</v>
      </c>
      <c r="G29" s="8">
        <f t="shared" si="5"/>
        <v>0</v>
      </c>
      <c r="H29" s="69">
        <v>0</v>
      </c>
      <c r="I29" s="70">
        <v>0</v>
      </c>
      <c r="J29" s="8">
        <f t="shared" si="6"/>
        <v>0</v>
      </c>
      <c r="K29" s="8">
        <f t="shared" si="7"/>
        <v>0</v>
      </c>
      <c r="L29" s="72">
        <v>0</v>
      </c>
      <c r="M29" s="72">
        <f t="shared" si="8"/>
        <v>132273.53599999999</v>
      </c>
      <c r="N29" s="8"/>
      <c r="O29" s="73"/>
    </row>
    <row r="30" spans="1:17">
      <c r="A30" s="232">
        <v>27</v>
      </c>
      <c r="B30" s="230">
        <v>45927</v>
      </c>
      <c r="C30" s="71"/>
      <c r="D30" s="164"/>
      <c r="E30" s="272">
        <v>0</v>
      </c>
      <c r="F30" s="272">
        <v>0</v>
      </c>
      <c r="G30" s="8">
        <f t="shared" si="5"/>
        <v>0</v>
      </c>
      <c r="H30" s="69">
        <v>0</v>
      </c>
      <c r="I30" s="70">
        <v>0</v>
      </c>
      <c r="J30" s="8">
        <f t="shared" si="6"/>
        <v>0</v>
      </c>
      <c r="K30" s="8">
        <f t="shared" si="7"/>
        <v>0</v>
      </c>
      <c r="L30" s="72">
        <v>0</v>
      </c>
      <c r="M30" s="72">
        <f t="shared" si="8"/>
        <v>132273.53599999999</v>
      </c>
      <c r="N30" s="8"/>
      <c r="O30" s="73"/>
    </row>
    <row r="31" spans="1:17">
      <c r="A31" s="232">
        <v>28</v>
      </c>
      <c r="B31" s="230">
        <v>45928</v>
      </c>
      <c r="C31" s="71"/>
      <c r="D31" s="164"/>
      <c r="E31" s="272">
        <v>0</v>
      </c>
      <c r="F31" s="272">
        <v>0</v>
      </c>
      <c r="G31" s="8">
        <f t="shared" si="5"/>
        <v>0</v>
      </c>
      <c r="H31" s="69">
        <v>0</v>
      </c>
      <c r="I31" s="70">
        <v>0</v>
      </c>
      <c r="J31" s="8">
        <f t="shared" si="6"/>
        <v>0</v>
      </c>
      <c r="K31" s="8">
        <f t="shared" si="7"/>
        <v>0</v>
      </c>
      <c r="L31" s="72">
        <v>0</v>
      </c>
      <c r="M31" s="72">
        <f t="shared" si="8"/>
        <v>132273.53599999999</v>
      </c>
      <c r="N31" s="8"/>
      <c r="O31" s="73"/>
    </row>
    <row r="32" spans="1:17">
      <c r="A32" s="233">
        <v>29</v>
      </c>
      <c r="B32" s="230">
        <v>45929</v>
      </c>
      <c r="C32" s="71"/>
      <c r="D32" s="164"/>
      <c r="E32" s="272">
        <v>0</v>
      </c>
      <c r="F32" s="272">
        <v>0</v>
      </c>
      <c r="G32" s="8">
        <f t="shared" si="5"/>
        <v>0</v>
      </c>
      <c r="H32" s="69">
        <v>0</v>
      </c>
      <c r="I32" s="70">
        <v>0</v>
      </c>
      <c r="J32" s="8">
        <f t="shared" si="6"/>
        <v>0</v>
      </c>
      <c r="K32" s="8">
        <f t="shared" si="7"/>
        <v>0</v>
      </c>
      <c r="L32" s="72">
        <v>0</v>
      </c>
      <c r="M32" s="72">
        <f t="shared" si="8"/>
        <v>132273.53599999999</v>
      </c>
      <c r="N32" s="8"/>
      <c r="O32" s="73"/>
    </row>
    <row r="33" spans="1:15">
      <c r="A33" s="233">
        <v>30</v>
      </c>
      <c r="B33" s="230">
        <v>45930</v>
      </c>
      <c r="C33" s="71"/>
      <c r="D33" s="164"/>
      <c r="E33" s="272">
        <v>0</v>
      </c>
      <c r="F33" s="272">
        <v>0</v>
      </c>
      <c r="G33" s="8">
        <f t="shared" si="5"/>
        <v>0</v>
      </c>
      <c r="H33" s="69">
        <v>0</v>
      </c>
      <c r="I33" s="70">
        <v>0</v>
      </c>
      <c r="J33" s="8">
        <f t="shared" si="6"/>
        <v>0</v>
      </c>
      <c r="K33" s="8">
        <f t="shared" si="7"/>
        <v>0</v>
      </c>
      <c r="L33" s="72">
        <v>0</v>
      </c>
      <c r="M33" s="72">
        <f t="shared" si="8"/>
        <v>132273.53599999999</v>
      </c>
      <c r="N33" s="8"/>
      <c r="O33" s="73"/>
    </row>
    <row r="34" spans="1:15">
      <c r="A34" s="233">
        <v>31</v>
      </c>
      <c r="B34" s="230"/>
      <c r="C34" s="71"/>
      <c r="D34" s="164"/>
      <c r="E34" s="272">
        <v>0</v>
      </c>
      <c r="F34" s="272">
        <v>0</v>
      </c>
      <c r="G34" s="8">
        <f t="shared" si="5"/>
        <v>0</v>
      </c>
      <c r="H34" s="69">
        <v>0</v>
      </c>
      <c r="I34" s="70">
        <v>0</v>
      </c>
      <c r="J34" s="8">
        <f t="shared" si="6"/>
        <v>0</v>
      </c>
      <c r="K34" s="8">
        <f t="shared" si="7"/>
        <v>0</v>
      </c>
      <c r="L34" s="72">
        <v>0</v>
      </c>
      <c r="M34" s="72">
        <f t="shared" si="8"/>
        <v>132273.53599999999</v>
      </c>
      <c r="N34" s="8"/>
      <c r="O34" s="73"/>
    </row>
    <row r="35" spans="1:15">
      <c r="A35" s="66"/>
      <c r="B35" s="66"/>
      <c r="C35" s="66"/>
      <c r="D35" s="66"/>
      <c r="E35" s="273">
        <f>SUM(E4:E34)</f>
        <v>1200</v>
      </c>
      <c r="F35" s="273"/>
      <c r="G35" s="67">
        <f>SUM(G4:G34)</f>
        <v>116520</v>
      </c>
      <c r="H35" s="67">
        <f>SUM(H4:H34)</f>
        <v>0</v>
      </c>
      <c r="I35" s="67"/>
      <c r="J35" s="67">
        <f>SUM(J4:J34)</f>
        <v>0</v>
      </c>
      <c r="K35" s="67">
        <f>SUM(K4:K34)</f>
        <v>116520</v>
      </c>
      <c r="L35" s="67">
        <f>SUM(L4:L34)</f>
        <v>118260</v>
      </c>
      <c r="M35" s="67"/>
      <c r="N35" s="67"/>
      <c r="O35" s="63"/>
    </row>
    <row r="36" spans="1:15">
      <c r="A36" s="76"/>
      <c r="B36" s="77"/>
      <c r="C36" s="76"/>
      <c r="D36" s="76"/>
      <c r="E36" s="78"/>
      <c r="F36" s="78"/>
      <c r="G36" s="78"/>
      <c r="H36" s="78"/>
      <c r="I36" s="78"/>
      <c r="J36" s="79"/>
      <c r="K36" s="79"/>
      <c r="L36" s="79"/>
      <c r="M36" s="79"/>
      <c r="N36" s="78"/>
      <c r="O36" s="73"/>
    </row>
    <row r="37" spans="1:15">
      <c r="O37" s="73"/>
    </row>
    <row r="38" spans="1:15">
      <c r="F38" t="s">
        <v>110</v>
      </c>
      <c r="O38" s="73"/>
    </row>
    <row r="39" spans="1:15">
      <c r="O39" s="73"/>
    </row>
    <row r="40" spans="1:15">
      <c r="O40" s="73"/>
    </row>
    <row r="41" spans="1:15">
      <c r="O41" s="73"/>
    </row>
    <row r="42" spans="1:15">
      <c r="A42" s="73"/>
      <c r="B42" s="63"/>
      <c r="C42" s="73"/>
      <c r="D42" s="73"/>
      <c r="E42" s="73"/>
      <c r="F42" s="73"/>
      <c r="G42" s="80"/>
      <c r="H42" s="73"/>
      <c r="I42" s="73"/>
      <c r="J42" s="63"/>
      <c r="K42" s="63"/>
      <c r="L42" s="63"/>
      <c r="M42" s="63"/>
      <c r="N42" s="73"/>
      <c r="O42" s="78"/>
    </row>
    <row r="43" spans="1:15">
      <c r="A43" s="73"/>
      <c r="B43" s="402"/>
      <c r="C43" s="402"/>
      <c r="D43" s="402"/>
      <c r="E43" s="402"/>
      <c r="F43" s="73"/>
      <c r="G43" s="73"/>
      <c r="H43" s="73"/>
      <c r="I43" s="402"/>
      <c r="J43" s="402"/>
      <c r="K43" s="402"/>
      <c r="L43" s="402"/>
      <c r="M43" s="402"/>
      <c r="N43" s="402"/>
      <c r="O43" s="78"/>
    </row>
    <row r="44" spans="1:15">
      <c r="A44" s="73"/>
      <c r="B44" s="63"/>
      <c r="C44" s="73"/>
      <c r="D44" s="73"/>
      <c r="E44" s="73"/>
      <c r="F44" s="73"/>
      <c r="G44" s="73"/>
      <c r="H44" s="73"/>
      <c r="I44" s="73"/>
      <c r="J44" s="63"/>
      <c r="K44" s="63"/>
      <c r="L44" s="63"/>
      <c r="M44" s="63"/>
      <c r="N44" s="73"/>
      <c r="O44" s="78"/>
    </row>
  </sheetData>
  <mergeCells count="4">
    <mergeCell ref="A1:N1"/>
    <mergeCell ref="A3:L3"/>
    <mergeCell ref="B43:E43"/>
    <mergeCell ref="I43:N4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713C3-8F2A-43C8-ABCD-FE8AB65C47D7}">
  <dimension ref="A1:R44"/>
  <sheetViews>
    <sheetView workbookViewId="0">
      <selection activeCell="U33" sqref="U33"/>
    </sheetView>
  </sheetViews>
  <sheetFormatPr defaultRowHeight="15"/>
  <cols>
    <col min="1" max="1" width="5.140625" bestFit="1" customWidth="1"/>
    <col min="2" max="2" width="10.5703125" bestFit="1" customWidth="1"/>
    <col min="3" max="3" width="8" bestFit="1" customWidth="1"/>
    <col min="4" max="4" width="17.85546875" customWidth="1"/>
    <col min="5" max="5" width="15" customWidth="1"/>
    <col min="6" max="6" width="7.5703125" customWidth="1"/>
    <col min="7" max="7" width="10.7109375" customWidth="1"/>
    <col min="8" max="8" width="11.140625" customWidth="1"/>
    <col min="9" max="9" width="8.42578125" customWidth="1"/>
    <col min="11" max="12" width="13.5703125" bestFit="1" customWidth="1"/>
    <col min="13" max="13" width="11.5703125" bestFit="1" customWidth="1"/>
    <col min="14" max="14" width="8.7109375" bestFit="1" customWidth="1"/>
  </cols>
  <sheetData>
    <row r="1" spans="1:18" ht="15.75">
      <c r="A1" s="399" t="s">
        <v>20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399"/>
      <c r="N1" s="399"/>
      <c r="O1" s="86"/>
    </row>
    <row r="2" spans="1:18">
      <c r="A2" s="102" t="s">
        <v>90</v>
      </c>
      <c r="B2" s="103" t="s">
        <v>91</v>
      </c>
      <c r="C2" s="103" t="s">
        <v>92</v>
      </c>
      <c r="D2" s="103" t="s">
        <v>107</v>
      </c>
      <c r="E2" s="271" t="s">
        <v>94</v>
      </c>
      <c r="F2" s="271" t="s">
        <v>95</v>
      </c>
      <c r="G2" s="103" t="s">
        <v>96</v>
      </c>
      <c r="H2" s="103" t="s">
        <v>97</v>
      </c>
      <c r="I2" s="103" t="s">
        <v>95</v>
      </c>
      <c r="J2" s="142" t="s">
        <v>96</v>
      </c>
      <c r="K2" s="104" t="s">
        <v>98</v>
      </c>
      <c r="L2" s="143" t="s">
        <v>99</v>
      </c>
      <c r="M2" s="147" t="s">
        <v>106</v>
      </c>
      <c r="N2" s="105" t="s">
        <v>101</v>
      </c>
      <c r="O2" s="63"/>
    </row>
    <row r="3" spans="1:18">
      <c r="A3" s="396" t="s">
        <v>102</v>
      </c>
      <c r="B3" s="400"/>
      <c r="C3" s="400"/>
      <c r="D3" s="400"/>
      <c r="E3" s="400"/>
      <c r="F3" s="400"/>
      <c r="G3" s="400"/>
      <c r="H3" s="400"/>
      <c r="I3" s="400"/>
      <c r="J3" s="400"/>
      <c r="K3" s="400"/>
      <c r="L3" s="401"/>
      <c r="M3" s="152">
        <v>0</v>
      </c>
      <c r="N3" s="161"/>
      <c r="O3" s="63"/>
    </row>
    <row r="4" spans="1:18">
      <c r="A4" s="204">
        <v>1</v>
      </c>
      <c r="B4" s="230">
        <v>45901</v>
      </c>
      <c r="C4" s="71"/>
      <c r="D4" s="164"/>
      <c r="E4" s="272">
        <v>0</v>
      </c>
      <c r="F4" s="272">
        <v>0</v>
      </c>
      <c r="G4" s="8">
        <f t="shared" ref="G4" si="0">E4*F4</f>
        <v>0</v>
      </c>
      <c r="H4" s="69">
        <v>0</v>
      </c>
      <c r="I4" s="70">
        <v>0</v>
      </c>
      <c r="J4" s="8">
        <f>H4*I4</f>
        <v>0</v>
      </c>
      <c r="K4" s="8">
        <f>G4+J4</f>
        <v>0</v>
      </c>
      <c r="L4" s="72">
        <f>+K4</f>
        <v>0</v>
      </c>
      <c r="M4" s="72">
        <v>0</v>
      </c>
      <c r="N4" s="8"/>
    </row>
    <row r="5" spans="1:18">
      <c r="A5" s="48">
        <v>2</v>
      </c>
      <c r="B5" s="230">
        <v>45902</v>
      </c>
      <c r="C5" s="71"/>
      <c r="D5" s="164"/>
      <c r="E5" s="272">
        <v>34.299999999999997</v>
      </c>
      <c r="F5" s="272">
        <v>96.83</v>
      </c>
      <c r="G5" s="8">
        <f t="shared" ref="G5:G33" si="1">E5*F5</f>
        <v>3321.2689999999998</v>
      </c>
      <c r="H5" s="69">
        <v>0</v>
      </c>
      <c r="I5" s="70">
        <v>0</v>
      </c>
      <c r="J5" s="8">
        <f t="shared" ref="J5:J33" si="2">H5*I5</f>
        <v>0</v>
      </c>
      <c r="K5" s="8">
        <f t="shared" ref="K5:K33" si="3">G5+J5</f>
        <v>3321.2689999999998</v>
      </c>
      <c r="L5" s="72">
        <f t="shared" ref="L5:L33" si="4">+K5</f>
        <v>3321.2689999999998</v>
      </c>
      <c r="M5" s="72">
        <v>0</v>
      </c>
      <c r="N5" s="8"/>
    </row>
    <row r="6" spans="1:18">
      <c r="A6" s="48">
        <v>3</v>
      </c>
      <c r="B6" s="230">
        <v>45903</v>
      </c>
      <c r="C6" s="71"/>
      <c r="D6" s="164"/>
      <c r="E6" s="272">
        <v>0</v>
      </c>
      <c r="F6" s="272">
        <v>0</v>
      </c>
      <c r="G6" s="8">
        <f t="shared" si="1"/>
        <v>0</v>
      </c>
      <c r="H6" s="69">
        <v>0</v>
      </c>
      <c r="I6" s="70">
        <v>0</v>
      </c>
      <c r="J6" s="8">
        <f t="shared" si="2"/>
        <v>0</v>
      </c>
      <c r="K6" s="8">
        <f t="shared" si="3"/>
        <v>0</v>
      </c>
      <c r="L6" s="72">
        <f t="shared" si="4"/>
        <v>0</v>
      </c>
      <c r="M6" s="72">
        <v>0</v>
      </c>
      <c r="N6" s="8"/>
    </row>
    <row r="7" spans="1:18">
      <c r="A7" s="48">
        <v>4</v>
      </c>
      <c r="B7" s="230">
        <v>45904</v>
      </c>
      <c r="C7" s="71"/>
      <c r="D7" s="164"/>
      <c r="E7" s="272">
        <v>0</v>
      </c>
      <c r="F7" s="272">
        <v>0</v>
      </c>
      <c r="G7" s="8">
        <f t="shared" si="1"/>
        <v>0</v>
      </c>
      <c r="H7" s="69">
        <v>0</v>
      </c>
      <c r="I7" s="70">
        <v>0</v>
      </c>
      <c r="J7" s="8">
        <f t="shared" si="2"/>
        <v>0</v>
      </c>
      <c r="K7" s="8">
        <f t="shared" si="3"/>
        <v>0</v>
      </c>
      <c r="L7" s="72">
        <f t="shared" si="4"/>
        <v>0</v>
      </c>
      <c r="M7" s="72">
        <v>0</v>
      </c>
      <c r="N7" s="8"/>
    </row>
    <row r="8" spans="1:18">
      <c r="A8" s="48">
        <v>5</v>
      </c>
      <c r="B8" s="230">
        <v>45905</v>
      </c>
      <c r="C8" s="71"/>
      <c r="D8" s="164"/>
      <c r="E8" s="272">
        <v>0</v>
      </c>
      <c r="F8" s="272">
        <v>0</v>
      </c>
      <c r="G8" s="8">
        <f t="shared" si="1"/>
        <v>0</v>
      </c>
      <c r="H8" s="69">
        <v>0</v>
      </c>
      <c r="I8" s="70">
        <v>0</v>
      </c>
      <c r="J8" s="8">
        <f t="shared" si="2"/>
        <v>0</v>
      </c>
      <c r="K8" s="8">
        <f t="shared" si="3"/>
        <v>0</v>
      </c>
      <c r="L8" s="72">
        <f t="shared" si="4"/>
        <v>0</v>
      </c>
      <c r="M8" s="72">
        <v>0</v>
      </c>
      <c r="N8" s="8"/>
      <c r="O8" s="73"/>
      <c r="R8" s="237"/>
    </row>
    <row r="9" spans="1:18">
      <c r="A9" s="48">
        <v>6</v>
      </c>
      <c r="B9" s="230">
        <v>45906</v>
      </c>
      <c r="C9" s="71"/>
      <c r="D9" s="164"/>
      <c r="E9" s="272">
        <v>0</v>
      </c>
      <c r="F9" s="272">
        <v>0</v>
      </c>
      <c r="G9" s="8">
        <f t="shared" si="1"/>
        <v>0</v>
      </c>
      <c r="H9" s="69">
        <v>0</v>
      </c>
      <c r="I9" s="70">
        <v>0</v>
      </c>
      <c r="J9" s="8">
        <f t="shared" si="2"/>
        <v>0</v>
      </c>
      <c r="K9" s="8">
        <f t="shared" si="3"/>
        <v>0</v>
      </c>
      <c r="L9" s="72">
        <f t="shared" si="4"/>
        <v>0</v>
      </c>
      <c r="M9" s="72">
        <v>0</v>
      </c>
      <c r="N9" s="8"/>
      <c r="O9" s="73"/>
    </row>
    <row r="10" spans="1:18">
      <c r="A10" s="48">
        <v>7</v>
      </c>
      <c r="B10" s="230">
        <v>45907</v>
      </c>
      <c r="C10" s="71"/>
      <c r="D10" s="164"/>
      <c r="E10" s="272">
        <v>0</v>
      </c>
      <c r="F10" s="272">
        <v>0</v>
      </c>
      <c r="G10" s="8">
        <f t="shared" si="1"/>
        <v>0</v>
      </c>
      <c r="H10" s="69">
        <v>0</v>
      </c>
      <c r="I10" s="70">
        <v>0</v>
      </c>
      <c r="J10" s="8">
        <f t="shared" si="2"/>
        <v>0</v>
      </c>
      <c r="K10" s="8">
        <f t="shared" si="3"/>
        <v>0</v>
      </c>
      <c r="L10" s="72">
        <f t="shared" si="4"/>
        <v>0</v>
      </c>
      <c r="M10" s="72">
        <v>0</v>
      </c>
      <c r="N10" s="8"/>
      <c r="O10" s="73"/>
    </row>
    <row r="11" spans="1:18">
      <c r="A11" s="48">
        <v>8</v>
      </c>
      <c r="B11" s="230">
        <v>45908</v>
      </c>
      <c r="C11" s="71"/>
      <c r="D11" s="164"/>
      <c r="E11" s="272">
        <v>45.18</v>
      </c>
      <c r="F11" s="272">
        <v>96.07</v>
      </c>
      <c r="G11" s="8">
        <f t="shared" si="1"/>
        <v>4340.4425999999994</v>
      </c>
      <c r="H11" s="69">
        <v>0</v>
      </c>
      <c r="I11" s="70">
        <v>0</v>
      </c>
      <c r="J11" s="8">
        <f t="shared" si="2"/>
        <v>0</v>
      </c>
      <c r="K11" s="8">
        <f t="shared" si="3"/>
        <v>4340.4425999999994</v>
      </c>
      <c r="L11" s="72">
        <f t="shared" si="4"/>
        <v>4340.4425999999994</v>
      </c>
      <c r="M11" s="72">
        <v>0</v>
      </c>
      <c r="N11" s="8"/>
      <c r="O11" s="73"/>
    </row>
    <row r="12" spans="1:18">
      <c r="A12" s="48">
        <v>9</v>
      </c>
      <c r="B12" s="230">
        <v>45909</v>
      </c>
      <c r="C12" s="71"/>
      <c r="D12" s="164"/>
      <c r="E12" s="272">
        <v>0</v>
      </c>
      <c r="F12" s="272">
        <v>0</v>
      </c>
      <c r="G12" s="8">
        <f t="shared" si="1"/>
        <v>0</v>
      </c>
      <c r="H12" s="69">
        <v>0</v>
      </c>
      <c r="I12" s="70">
        <v>0</v>
      </c>
      <c r="J12" s="8">
        <f t="shared" si="2"/>
        <v>0</v>
      </c>
      <c r="K12" s="8">
        <f t="shared" si="3"/>
        <v>0</v>
      </c>
      <c r="L12" s="72">
        <f t="shared" si="4"/>
        <v>0</v>
      </c>
      <c r="M12" s="72">
        <v>0</v>
      </c>
      <c r="N12" s="8"/>
      <c r="O12" s="73"/>
    </row>
    <row r="13" spans="1:18">
      <c r="A13" s="48">
        <v>10</v>
      </c>
      <c r="B13" s="230">
        <v>45910</v>
      </c>
      <c r="C13" s="71"/>
      <c r="D13" s="164"/>
      <c r="E13" s="272">
        <v>0</v>
      </c>
      <c r="F13" s="272">
        <v>0</v>
      </c>
      <c r="G13" s="8">
        <f t="shared" si="1"/>
        <v>0</v>
      </c>
      <c r="H13" s="69">
        <v>0</v>
      </c>
      <c r="I13" s="70">
        <v>0</v>
      </c>
      <c r="J13" s="8">
        <f t="shared" si="2"/>
        <v>0</v>
      </c>
      <c r="K13" s="8">
        <f t="shared" si="3"/>
        <v>0</v>
      </c>
      <c r="L13" s="72">
        <f t="shared" si="4"/>
        <v>0</v>
      </c>
      <c r="M13" s="72">
        <v>0</v>
      </c>
      <c r="N13" s="8"/>
      <c r="O13" s="73"/>
    </row>
    <row r="14" spans="1:18">
      <c r="A14" s="48">
        <v>11</v>
      </c>
      <c r="B14" s="230">
        <v>45911</v>
      </c>
      <c r="C14" s="71"/>
      <c r="D14" s="164"/>
      <c r="E14" s="272">
        <v>0</v>
      </c>
      <c r="F14" s="272">
        <v>0</v>
      </c>
      <c r="G14" s="8">
        <f t="shared" si="1"/>
        <v>0</v>
      </c>
      <c r="H14" s="69">
        <v>0</v>
      </c>
      <c r="I14" s="70">
        <v>0</v>
      </c>
      <c r="J14" s="8">
        <f t="shared" si="2"/>
        <v>0</v>
      </c>
      <c r="K14" s="8">
        <f t="shared" si="3"/>
        <v>0</v>
      </c>
      <c r="L14" s="72">
        <f t="shared" si="4"/>
        <v>0</v>
      </c>
      <c r="M14" s="72">
        <v>0</v>
      </c>
      <c r="N14" s="8"/>
      <c r="O14" s="73"/>
    </row>
    <row r="15" spans="1:18">
      <c r="A15" s="48">
        <v>12</v>
      </c>
      <c r="B15" s="230">
        <v>45912</v>
      </c>
      <c r="C15" s="71"/>
      <c r="D15" s="164"/>
      <c r="E15" s="272">
        <v>0</v>
      </c>
      <c r="F15" s="272">
        <v>0</v>
      </c>
      <c r="G15" s="8">
        <f t="shared" si="1"/>
        <v>0</v>
      </c>
      <c r="H15" s="69">
        <v>0</v>
      </c>
      <c r="I15" s="70">
        <v>0</v>
      </c>
      <c r="J15" s="8">
        <f t="shared" si="2"/>
        <v>0</v>
      </c>
      <c r="K15" s="8">
        <f t="shared" si="3"/>
        <v>0</v>
      </c>
      <c r="L15" s="72">
        <f t="shared" si="4"/>
        <v>0</v>
      </c>
      <c r="M15" s="72">
        <v>0</v>
      </c>
      <c r="N15" s="8"/>
      <c r="O15" s="73"/>
    </row>
    <row r="16" spans="1:18">
      <c r="A16" s="48">
        <v>13</v>
      </c>
      <c r="B16" s="230">
        <v>45913</v>
      </c>
      <c r="C16" s="71"/>
      <c r="D16" s="164"/>
      <c r="E16" s="272">
        <v>0</v>
      </c>
      <c r="F16" s="272">
        <v>0</v>
      </c>
      <c r="G16" s="8">
        <f t="shared" si="1"/>
        <v>0</v>
      </c>
      <c r="H16" s="69">
        <v>0</v>
      </c>
      <c r="I16" s="70">
        <v>0</v>
      </c>
      <c r="J16" s="8">
        <f t="shared" si="2"/>
        <v>0</v>
      </c>
      <c r="K16" s="8">
        <f t="shared" si="3"/>
        <v>0</v>
      </c>
      <c r="L16" s="72">
        <f t="shared" si="4"/>
        <v>0</v>
      </c>
      <c r="M16" s="72">
        <v>0</v>
      </c>
      <c r="N16" s="8"/>
      <c r="O16" s="73"/>
    </row>
    <row r="17" spans="1:15">
      <c r="A17" s="48">
        <v>14</v>
      </c>
      <c r="B17" s="230">
        <v>45914</v>
      </c>
      <c r="C17" s="71"/>
      <c r="D17" s="164"/>
      <c r="E17" s="272">
        <v>0</v>
      </c>
      <c r="F17" s="272">
        <v>0</v>
      </c>
      <c r="G17" s="8">
        <f t="shared" si="1"/>
        <v>0</v>
      </c>
      <c r="H17" s="69">
        <v>0</v>
      </c>
      <c r="I17" s="70">
        <v>0</v>
      </c>
      <c r="J17" s="8">
        <f t="shared" si="2"/>
        <v>0</v>
      </c>
      <c r="K17" s="8">
        <f t="shared" si="3"/>
        <v>0</v>
      </c>
      <c r="L17" s="72">
        <f t="shared" si="4"/>
        <v>0</v>
      </c>
      <c r="M17" s="72">
        <v>0</v>
      </c>
      <c r="N17" s="8"/>
      <c r="O17" s="73"/>
    </row>
    <row r="18" spans="1:15">
      <c r="A18" s="48">
        <v>15</v>
      </c>
      <c r="B18" s="230">
        <v>45915</v>
      </c>
      <c r="C18" s="71"/>
      <c r="D18" s="164"/>
      <c r="E18" s="272">
        <v>0</v>
      </c>
      <c r="F18" s="272">
        <v>0</v>
      </c>
      <c r="G18" s="8">
        <f t="shared" si="1"/>
        <v>0</v>
      </c>
      <c r="H18" s="69">
        <v>0</v>
      </c>
      <c r="I18" s="70">
        <v>0</v>
      </c>
      <c r="J18" s="8">
        <f t="shared" si="2"/>
        <v>0</v>
      </c>
      <c r="K18" s="8">
        <f t="shared" si="3"/>
        <v>0</v>
      </c>
      <c r="L18" s="72">
        <f t="shared" si="4"/>
        <v>0</v>
      </c>
      <c r="M18" s="72">
        <v>0</v>
      </c>
      <c r="N18" s="8"/>
      <c r="O18" s="73"/>
    </row>
    <row r="19" spans="1:15">
      <c r="A19" s="48">
        <v>16</v>
      </c>
      <c r="B19" s="230">
        <v>45916</v>
      </c>
      <c r="C19" s="71"/>
      <c r="D19" s="164"/>
      <c r="E19" s="272">
        <v>0</v>
      </c>
      <c r="F19" s="272">
        <v>0</v>
      </c>
      <c r="G19" s="8">
        <f t="shared" si="1"/>
        <v>0</v>
      </c>
      <c r="H19" s="69">
        <v>0</v>
      </c>
      <c r="I19" s="70">
        <v>0</v>
      </c>
      <c r="J19" s="8">
        <f t="shared" si="2"/>
        <v>0</v>
      </c>
      <c r="K19" s="8">
        <f t="shared" si="3"/>
        <v>0</v>
      </c>
      <c r="L19" s="72">
        <f t="shared" si="4"/>
        <v>0</v>
      </c>
      <c r="M19" s="72">
        <v>0</v>
      </c>
      <c r="N19" s="8"/>
      <c r="O19" s="73"/>
    </row>
    <row r="20" spans="1:15">
      <c r="A20" s="48">
        <v>17</v>
      </c>
      <c r="B20" s="230">
        <v>45917</v>
      </c>
      <c r="C20" s="71"/>
      <c r="D20" s="164"/>
      <c r="E20" s="272">
        <v>0</v>
      </c>
      <c r="F20" s="272">
        <v>0</v>
      </c>
      <c r="G20" s="8">
        <f t="shared" si="1"/>
        <v>0</v>
      </c>
      <c r="H20" s="69">
        <v>0</v>
      </c>
      <c r="I20" s="70">
        <v>0</v>
      </c>
      <c r="J20" s="8">
        <f t="shared" si="2"/>
        <v>0</v>
      </c>
      <c r="K20" s="8">
        <f t="shared" si="3"/>
        <v>0</v>
      </c>
      <c r="L20" s="72">
        <f t="shared" si="4"/>
        <v>0</v>
      </c>
      <c r="M20" s="72">
        <v>0</v>
      </c>
      <c r="N20" s="8"/>
      <c r="O20" s="73"/>
    </row>
    <row r="21" spans="1:15">
      <c r="A21" s="48">
        <v>18</v>
      </c>
      <c r="B21" s="230">
        <v>45918</v>
      </c>
      <c r="C21" s="71"/>
      <c r="D21" s="164"/>
      <c r="E21" s="272">
        <v>0</v>
      </c>
      <c r="F21" s="272">
        <v>0</v>
      </c>
      <c r="G21" s="8">
        <f t="shared" si="1"/>
        <v>0</v>
      </c>
      <c r="H21" s="69">
        <v>0</v>
      </c>
      <c r="I21" s="70">
        <v>0</v>
      </c>
      <c r="J21" s="8">
        <f t="shared" si="2"/>
        <v>0</v>
      </c>
      <c r="K21" s="8">
        <f t="shared" si="3"/>
        <v>0</v>
      </c>
      <c r="L21" s="72">
        <f t="shared" si="4"/>
        <v>0</v>
      </c>
      <c r="M21" s="72">
        <v>0</v>
      </c>
      <c r="N21" s="8"/>
      <c r="O21" s="73"/>
    </row>
    <row r="22" spans="1:15">
      <c r="A22" s="48">
        <v>19</v>
      </c>
      <c r="B22" s="230">
        <v>45919</v>
      </c>
      <c r="C22" s="71"/>
      <c r="D22" s="164"/>
      <c r="E22" s="272">
        <v>0</v>
      </c>
      <c r="F22" s="272">
        <v>0</v>
      </c>
      <c r="G22" s="8">
        <f t="shared" si="1"/>
        <v>0</v>
      </c>
      <c r="H22" s="69">
        <v>0</v>
      </c>
      <c r="I22" s="70">
        <v>0</v>
      </c>
      <c r="J22" s="8">
        <f t="shared" si="2"/>
        <v>0</v>
      </c>
      <c r="K22" s="8">
        <f t="shared" si="3"/>
        <v>0</v>
      </c>
      <c r="L22" s="72">
        <f t="shared" si="4"/>
        <v>0</v>
      </c>
      <c r="M22" s="72">
        <v>0</v>
      </c>
      <c r="N22" s="8"/>
      <c r="O22" s="73"/>
    </row>
    <row r="23" spans="1:15">
      <c r="A23" s="48">
        <v>20</v>
      </c>
      <c r="B23" s="230">
        <v>45920</v>
      </c>
      <c r="C23" s="71"/>
      <c r="D23" s="164"/>
      <c r="E23" s="272">
        <v>39.21</v>
      </c>
      <c r="F23" s="272">
        <v>96.83</v>
      </c>
      <c r="G23" s="8">
        <f t="shared" si="1"/>
        <v>3796.7042999999999</v>
      </c>
      <c r="H23" s="69">
        <v>0</v>
      </c>
      <c r="I23" s="70">
        <v>0</v>
      </c>
      <c r="J23" s="8">
        <f t="shared" si="2"/>
        <v>0</v>
      </c>
      <c r="K23" s="8">
        <f t="shared" si="3"/>
        <v>3796.7042999999999</v>
      </c>
      <c r="L23" s="72">
        <f t="shared" si="4"/>
        <v>3796.7042999999999</v>
      </c>
      <c r="M23" s="72">
        <v>0</v>
      </c>
      <c r="N23" s="8"/>
      <c r="O23" s="73"/>
    </row>
    <row r="24" spans="1:15">
      <c r="A24" s="48">
        <v>21</v>
      </c>
      <c r="B24" s="230">
        <v>45921</v>
      </c>
      <c r="C24" s="71"/>
      <c r="D24" s="164"/>
      <c r="E24" s="272">
        <v>0</v>
      </c>
      <c r="F24" s="272">
        <v>0</v>
      </c>
      <c r="G24" s="8">
        <f t="shared" si="1"/>
        <v>0</v>
      </c>
      <c r="H24" s="69">
        <v>0</v>
      </c>
      <c r="I24" s="70">
        <v>0</v>
      </c>
      <c r="J24" s="8">
        <f t="shared" si="2"/>
        <v>0</v>
      </c>
      <c r="K24" s="8">
        <f t="shared" si="3"/>
        <v>0</v>
      </c>
      <c r="L24" s="72">
        <f t="shared" si="4"/>
        <v>0</v>
      </c>
      <c r="M24" s="72">
        <v>0</v>
      </c>
      <c r="N24" s="8"/>
      <c r="O24" s="73"/>
    </row>
    <row r="25" spans="1:15">
      <c r="A25" s="48">
        <v>22</v>
      </c>
      <c r="B25" s="230">
        <v>45922</v>
      </c>
      <c r="C25" s="71"/>
      <c r="D25" s="164"/>
      <c r="E25" s="272">
        <v>0</v>
      </c>
      <c r="F25" s="272">
        <v>0</v>
      </c>
      <c r="G25" s="8">
        <f t="shared" si="1"/>
        <v>0</v>
      </c>
      <c r="H25" s="69">
        <v>0</v>
      </c>
      <c r="I25" s="70">
        <v>0</v>
      </c>
      <c r="J25" s="8">
        <f t="shared" si="2"/>
        <v>0</v>
      </c>
      <c r="K25" s="8">
        <f t="shared" si="3"/>
        <v>0</v>
      </c>
      <c r="L25" s="72">
        <f t="shared" si="4"/>
        <v>0</v>
      </c>
      <c r="M25" s="72">
        <v>0</v>
      </c>
      <c r="N25" s="8"/>
      <c r="O25" s="73"/>
    </row>
    <row r="26" spans="1:15">
      <c r="A26" s="48">
        <v>23</v>
      </c>
      <c r="B26" s="230">
        <v>45923</v>
      </c>
      <c r="C26" s="71"/>
      <c r="D26" s="164"/>
      <c r="E26" s="272">
        <v>0</v>
      </c>
      <c r="F26" s="272">
        <v>0</v>
      </c>
      <c r="G26" s="8">
        <f t="shared" si="1"/>
        <v>0</v>
      </c>
      <c r="H26" s="69">
        <v>0</v>
      </c>
      <c r="I26" s="70">
        <v>0</v>
      </c>
      <c r="J26" s="8">
        <f t="shared" si="2"/>
        <v>0</v>
      </c>
      <c r="K26" s="8">
        <f t="shared" si="3"/>
        <v>0</v>
      </c>
      <c r="L26" s="72">
        <f t="shared" si="4"/>
        <v>0</v>
      </c>
      <c r="M26" s="72">
        <v>0</v>
      </c>
      <c r="N26" s="8"/>
      <c r="O26" s="73"/>
    </row>
    <row r="27" spans="1:15">
      <c r="A27" s="48">
        <v>24</v>
      </c>
      <c r="B27" s="230">
        <v>45924</v>
      </c>
      <c r="C27" s="71"/>
      <c r="D27" s="164"/>
      <c r="E27" s="272">
        <v>0</v>
      </c>
      <c r="F27" s="272">
        <v>0</v>
      </c>
      <c r="G27" s="8">
        <f t="shared" si="1"/>
        <v>0</v>
      </c>
      <c r="H27" s="69">
        <v>0</v>
      </c>
      <c r="I27" s="70">
        <v>0</v>
      </c>
      <c r="J27" s="8">
        <f t="shared" si="2"/>
        <v>0</v>
      </c>
      <c r="K27" s="8">
        <f t="shared" si="3"/>
        <v>0</v>
      </c>
      <c r="L27" s="72">
        <f t="shared" si="4"/>
        <v>0</v>
      </c>
      <c r="M27" s="72">
        <v>0</v>
      </c>
      <c r="N27" s="8"/>
      <c r="O27" s="73"/>
    </row>
    <row r="28" spans="1:15">
      <c r="A28" s="232">
        <v>25</v>
      </c>
      <c r="B28" s="230">
        <v>45925</v>
      </c>
      <c r="C28" s="71"/>
      <c r="D28" s="164"/>
      <c r="E28" s="272">
        <v>0</v>
      </c>
      <c r="F28" s="272">
        <v>0</v>
      </c>
      <c r="G28" s="8">
        <f t="shared" si="1"/>
        <v>0</v>
      </c>
      <c r="H28" s="69">
        <v>0</v>
      </c>
      <c r="I28" s="70">
        <v>0</v>
      </c>
      <c r="J28" s="8">
        <f t="shared" si="2"/>
        <v>0</v>
      </c>
      <c r="K28" s="8">
        <f t="shared" si="3"/>
        <v>0</v>
      </c>
      <c r="L28" s="72">
        <f t="shared" si="4"/>
        <v>0</v>
      </c>
      <c r="M28" s="72">
        <v>0</v>
      </c>
      <c r="N28" s="8"/>
      <c r="O28" s="73"/>
    </row>
    <row r="29" spans="1:15">
      <c r="A29" s="232">
        <v>26</v>
      </c>
      <c r="B29" s="230">
        <v>45926</v>
      </c>
      <c r="C29" s="71"/>
      <c r="D29" s="164"/>
      <c r="E29" s="272">
        <v>0</v>
      </c>
      <c r="F29" s="272">
        <v>0</v>
      </c>
      <c r="G29" s="8">
        <f t="shared" si="1"/>
        <v>0</v>
      </c>
      <c r="H29" s="69">
        <v>0</v>
      </c>
      <c r="I29" s="70">
        <v>0</v>
      </c>
      <c r="J29" s="8">
        <f t="shared" si="2"/>
        <v>0</v>
      </c>
      <c r="K29" s="8">
        <f t="shared" si="3"/>
        <v>0</v>
      </c>
      <c r="L29" s="72">
        <f t="shared" si="4"/>
        <v>0</v>
      </c>
      <c r="M29" s="72">
        <v>0</v>
      </c>
      <c r="N29" s="8"/>
      <c r="O29" s="73"/>
    </row>
    <row r="30" spans="1:15">
      <c r="A30" s="232">
        <v>27</v>
      </c>
      <c r="B30" s="230">
        <v>45927</v>
      </c>
      <c r="C30" s="71"/>
      <c r="D30" s="164"/>
      <c r="E30" s="272">
        <v>0</v>
      </c>
      <c r="F30" s="272">
        <v>0</v>
      </c>
      <c r="G30" s="8">
        <f t="shared" si="1"/>
        <v>0</v>
      </c>
      <c r="H30" s="69">
        <v>0</v>
      </c>
      <c r="I30" s="70">
        <v>0</v>
      </c>
      <c r="J30" s="8">
        <f t="shared" si="2"/>
        <v>0</v>
      </c>
      <c r="K30" s="8">
        <f t="shared" si="3"/>
        <v>0</v>
      </c>
      <c r="L30" s="72">
        <f t="shared" si="4"/>
        <v>0</v>
      </c>
      <c r="M30" s="72">
        <v>0</v>
      </c>
      <c r="N30" s="8"/>
      <c r="O30" s="73"/>
    </row>
    <row r="31" spans="1:15">
      <c r="A31" s="232">
        <v>28</v>
      </c>
      <c r="B31" s="230">
        <v>45928</v>
      </c>
      <c r="C31" s="71"/>
      <c r="D31" s="164"/>
      <c r="E31" s="272">
        <v>0</v>
      </c>
      <c r="F31" s="272">
        <v>0</v>
      </c>
      <c r="G31" s="8">
        <f t="shared" si="1"/>
        <v>0</v>
      </c>
      <c r="H31" s="69">
        <v>0</v>
      </c>
      <c r="I31" s="70">
        <v>0</v>
      </c>
      <c r="J31" s="8">
        <f t="shared" si="2"/>
        <v>0</v>
      </c>
      <c r="K31" s="8">
        <f t="shared" si="3"/>
        <v>0</v>
      </c>
      <c r="L31" s="72">
        <f t="shared" si="4"/>
        <v>0</v>
      </c>
      <c r="M31" s="72">
        <v>0</v>
      </c>
      <c r="N31" s="8"/>
      <c r="O31" s="73"/>
    </row>
    <row r="32" spans="1:15">
      <c r="A32" s="233">
        <v>29</v>
      </c>
      <c r="B32" s="230">
        <v>45929</v>
      </c>
      <c r="C32" s="71"/>
      <c r="D32" s="164"/>
      <c r="E32" s="272">
        <v>0</v>
      </c>
      <c r="F32" s="272">
        <v>0</v>
      </c>
      <c r="G32" s="8">
        <f t="shared" si="1"/>
        <v>0</v>
      </c>
      <c r="H32" s="69">
        <v>0</v>
      </c>
      <c r="I32" s="70">
        <v>0</v>
      </c>
      <c r="J32" s="8">
        <f t="shared" si="2"/>
        <v>0</v>
      </c>
      <c r="K32" s="8">
        <f t="shared" si="3"/>
        <v>0</v>
      </c>
      <c r="L32" s="72">
        <f t="shared" si="4"/>
        <v>0</v>
      </c>
      <c r="M32" s="72">
        <v>0</v>
      </c>
      <c r="N32" s="8"/>
      <c r="O32" s="73"/>
    </row>
    <row r="33" spans="1:15">
      <c r="A33" s="233">
        <v>30</v>
      </c>
      <c r="B33" s="230">
        <v>45930</v>
      </c>
      <c r="C33" s="71"/>
      <c r="D33" s="164"/>
      <c r="E33" s="272">
        <v>0</v>
      </c>
      <c r="F33" s="272">
        <v>0</v>
      </c>
      <c r="G33" s="8">
        <f t="shared" si="1"/>
        <v>0</v>
      </c>
      <c r="H33" s="69">
        <v>0</v>
      </c>
      <c r="I33" s="70">
        <v>0</v>
      </c>
      <c r="J33" s="8">
        <f t="shared" si="2"/>
        <v>0</v>
      </c>
      <c r="K33" s="8">
        <f t="shared" si="3"/>
        <v>0</v>
      </c>
      <c r="L33" s="72">
        <f t="shared" si="4"/>
        <v>0</v>
      </c>
      <c r="M33" s="72">
        <v>0</v>
      </c>
      <c r="N33" s="8"/>
      <c r="O33" s="73"/>
    </row>
    <row r="34" spans="1:15">
      <c r="A34" s="233">
        <v>31</v>
      </c>
      <c r="B34" s="230"/>
      <c r="C34" s="71"/>
      <c r="D34" s="164"/>
      <c r="E34" s="272">
        <v>0</v>
      </c>
      <c r="F34" s="272">
        <v>0</v>
      </c>
      <c r="G34" s="8">
        <f t="shared" ref="G5:G34" si="5">E34*F34</f>
        <v>0</v>
      </c>
      <c r="H34" s="69">
        <v>0</v>
      </c>
      <c r="I34" s="70">
        <v>0</v>
      </c>
      <c r="J34" s="8">
        <f t="shared" ref="J5:J34" si="6">H34*I34</f>
        <v>0</v>
      </c>
      <c r="K34" s="8">
        <f t="shared" ref="K5:K34" si="7">G34+J34</f>
        <v>0</v>
      </c>
      <c r="L34" s="72">
        <f t="shared" ref="L5:L34" si="8">+K34</f>
        <v>0</v>
      </c>
      <c r="M34" s="72">
        <v>0</v>
      </c>
      <c r="N34" s="8"/>
      <c r="O34" s="73"/>
    </row>
    <row r="35" spans="1:15">
      <c r="A35" s="66"/>
      <c r="B35" s="66"/>
      <c r="C35" s="66"/>
      <c r="D35" s="66"/>
      <c r="E35" s="273">
        <f>SUM(E4:E34)</f>
        <v>118.69</v>
      </c>
      <c r="F35" s="273"/>
      <c r="G35" s="67">
        <f>SUM(G4:G34)</f>
        <v>11458.415899999998</v>
      </c>
      <c r="H35" s="67">
        <f>SUM(H4:H34)</f>
        <v>0</v>
      </c>
      <c r="I35" s="67"/>
      <c r="J35" s="67">
        <f>SUM(J4:J34)</f>
        <v>0</v>
      </c>
      <c r="K35" s="67">
        <f>SUM(K4:K34)</f>
        <v>11458.415899999998</v>
      </c>
      <c r="L35" s="67">
        <f>SUM(L4:L34)</f>
        <v>11458.415899999998</v>
      </c>
      <c r="M35" s="67"/>
      <c r="N35" s="67"/>
      <c r="O35" s="63"/>
    </row>
    <row r="36" spans="1:15">
      <c r="A36" s="76"/>
      <c r="B36" s="77"/>
      <c r="C36" s="76"/>
      <c r="D36" s="76"/>
      <c r="E36" s="78"/>
      <c r="F36" s="78"/>
      <c r="G36" s="78"/>
      <c r="H36" s="78"/>
      <c r="I36" s="78"/>
      <c r="J36" s="79"/>
      <c r="K36" s="79"/>
      <c r="L36" s="79"/>
      <c r="M36" s="79"/>
      <c r="N36" s="78"/>
      <c r="O36" s="73"/>
    </row>
    <row r="37" spans="1:15">
      <c r="O37" s="73"/>
    </row>
    <row r="38" spans="1:15">
      <c r="O38" s="73"/>
    </row>
    <row r="39" spans="1:15">
      <c r="O39" s="73"/>
    </row>
    <row r="40" spans="1:15">
      <c r="O40" s="73"/>
    </row>
    <row r="41" spans="1:15">
      <c r="O41" s="73"/>
    </row>
    <row r="42" spans="1:15">
      <c r="A42" s="73"/>
      <c r="B42" s="63"/>
      <c r="C42" s="73"/>
      <c r="D42" s="73"/>
      <c r="E42" s="73"/>
      <c r="F42" s="73"/>
      <c r="G42" s="80"/>
      <c r="H42" s="73"/>
      <c r="I42" s="73"/>
      <c r="J42" s="63"/>
      <c r="K42" s="63"/>
      <c r="L42" s="63"/>
      <c r="M42" s="63"/>
      <c r="N42" s="73"/>
      <c r="O42" s="78"/>
    </row>
    <row r="43" spans="1:15">
      <c r="A43" s="73"/>
      <c r="B43" s="402"/>
      <c r="C43" s="402"/>
      <c r="D43" s="402"/>
      <c r="E43" s="402"/>
      <c r="F43" s="73"/>
      <c r="G43" s="73"/>
      <c r="H43" s="73"/>
      <c r="I43" s="402"/>
      <c r="J43" s="402"/>
      <c r="K43" s="402"/>
      <c r="L43" s="402"/>
      <c r="M43" s="402"/>
      <c r="N43" s="402"/>
      <c r="O43" s="78"/>
    </row>
    <row r="44" spans="1:15">
      <c r="A44" s="73"/>
      <c r="B44" s="63"/>
      <c r="C44" s="73"/>
      <c r="D44" s="73"/>
      <c r="E44" s="73"/>
      <c r="F44" s="73"/>
      <c r="G44" s="73"/>
      <c r="H44" s="73"/>
      <c r="I44" s="73"/>
      <c r="J44" s="63"/>
      <c r="K44" s="63"/>
      <c r="L44" s="63"/>
      <c r="M44" s="63"/>
      <c r="N44" s="73"/>
      <c r="O44" s="78"/>
    </row>
  </sheetData>
  <mergeCells count="4">
    <mergeCell ref="A1:N1"/>
    <mergeCell ref="A3:L3"/>
    <mergeCell ref="B43:E43"/>
    <mergeCell ref="I43:N4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FFC41-4E21-4FD6-9FE8-E1AAC5267FD0}">
  <dimension ref="A1:R45"/>
  <sheetViews>
    <sheetView workbookViewId="0">
      <selection activeCell="L41" sqref="L41"/>
    </sheetView>
  </sheetViews>
  <sheetFormatPr defaultColWidth="18.28515625" defaultRowHeight="15"/>
  <cols>
    <col min="1" max="1" width="13.42578125" customWidth="1"/>
    <col min="3" max="3" width="12" customWidth="1"/>
    <col min="4" max="4" width="10.85546875" customWidth="1"/>
    <col min="5" max="5" width="11.5703125" customWidth="1"/>
    <col min="6" max="6" width="11.140625" customWidth="1"/>
    <col min="7" max="7" width="11.28515625" customWidth="1"/>
    <col min="8" max="8" width="9.85546875" customWidth="1"/>
    <col min="10" max="10" width="16.5703125" customWidth="1"/>
  </cols>
  <sheetData>
    <row r="1" spans="1:18" ht="15.75">
      <c r="A1" s="399" t="s">
        <v>26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399"/>
      <c r="N1" s="399"/>
      <c r="O1" s="86"/>
    </row>
    <row r="2" spans="1:18" ht="30.75">
      <c r="A2" s="102" t="s">
        <v>90</v>
      </c>
      <c r="B2" s="103" t="s">
        <v>91</v>
      </c>
      <c r="C2" s="103" t="s">
        <v>92</v>
      </c>
      <c r="D2" s="103" t="s">
        <v>107</v>
      </c>
      <c r="E2" s="271" t="s">
        <v>94</v>
      </c>
      <c r="F2" s="271" t="s">
        <v>95</v>
      </c>
      <c r="G2" s="103" t="s">
        <v>96</v>
      </c>
      <c r="H2" s="103" t="s">
        <v>97</v>
      </c>
      <c r="I2" s="103" t="s">
        <v>95</v>
      </c>
      <c r="J2" s="142" t="s">
        <v>96</v>
      </c>
      <c r="K2" s="104" t="s">
        <v>98</v>
      </c>
      <c r="L2" s="143" t="s">
        <v>99</v>
      </c>
      <c r="M2" s="147" t="s">
        <v>106</v>
      </c>
      <c r="N2" s="105" t="s">
        <v>101</v>
      </c>
      <c r="O2" s="63"/>
    </row>
    <row r="3" spans="1:18">
      <c r="A3" s="396" t="s">
        <v>102</v>
      </c>
      <c r="B3" s="400"/>
      <c r="C3" s="400"/>
      <c r="D3" s="400"/>
      <c r="E3" s="400"/>
      <c r="F3" s="400"/>
      <c r="G3" s="400"/>
      <c r="H3" s="400"/>
      <c r="I3" s="400"/>
      <c r="J3" s="400"/>
      <c r="K3" s="400"/>
      <c r="L3" s="401"/>
      <c r="M3" s="152">
        <v>0</v>
      </c>
      <c r="N3" s="161"/>
      <c r="O3" s="63"/>
    </row>
    <row r="4" spans="1:18">
      <c r="A4" s="204">
        <v>1</v>
      </c>
      <c r="B4" s="230">
        <v>45901</v>
      </c>
      <c r="C4" s="71"/>
      <c r="D4" s="164"/>
      <c r="E4" s="108">
        <v>0</v>
      </c>
      <c r="F4" s="272">
        <v>0</v>
      </c>
      <c r="G4" s="8">
        <f t="shared" ref="G4:G35" si="0">E4*F4</f>
        <v>0</v>
      </c>
      <c r="H4" s="108">
        <v>25</v>
      </c>
      <c r="I4" s="272">
        <v>109.01</v>
      </c>
      <c r="J4" s="8">
        <f>H4*I4</f>
        <v>2725.25</v>
      </c>
      <c r="K4" s="8">
        <f>G4+J4</f>
        <v>2725.25</v>
      </c>
      <c r="L4" s="72">
        <v>2725.25</v>
      </c>
      <c r="M4" s="72">
        <f>+M3+K4-L4</f>
        <v>0</v>
      </c>
      <c r="N4" s="8"/>
    </row>
    <row r="5" spans="1:18">
      <c r="A5" s="48">
        <v>2</v>
      </c>
      <c r="B5" s="230">
        <v>45902</v>
      </c>
      <c r="C5" s="71"/>
      <c r="D5" s="164"/>
      <c r="E5" s="272">
        <v>0</v>
      </c>
      <c r="F5" s="272">
        <v>0</v>
      </c>
      <c r="G5" s="8">
        <f t="shared" ref="G5:G35" si="1">E5*F5</f>
        <v>0</v>
      </c>
      <c r="H5" s="69">
        <v>0</v>
      </c>
      <c r="I5" s="70">
        <v>0</v>
      </c>
      <c r="J5" s="8">
        <f t="shared" ref="J5:J35" si="2">H5*I5</f>
        <v>0</v>
      </c>
      <c r="K5" s="8">
        <f t="shared" ref="K5:L35" si="3">G5+J5</f>
        <v>0</v>
      </c>
      <c r="L5" s="72">
        <v>0</v>
      </c>
      <c r="M5" s="72">
        <f t="shared" ref="M5:M35" si="4">+M4+K5-L5</f>
        <v>0</v>
      </c>
      <c r="N5" s="8"/>
    </row>
    <row r="6" spans="1:18">
      <c r="A6" s="48">
        <v>3</v>
      </c>
      <c r="B6" s="230">
        <v>45903</v>
      </c>
      <c r="C6" s="71"/>
      <c r="D6" s="164"/>
      <c r="E6" s="272">
        <v>0</v>
      </c>
      <c r="F6" s="272">
        <v>0</v>
      </c>
      <c r="G6" s="8">
        <f t="shared" si="1"/>
        <v>0</v>
      </c>
      <c r="H6" s="69">
        <v>0</v>
      </c>
      <c r="I6" s="70">
        <v>0</v>
      </c>
      <c r="J6" s="8">
        <f t="shared" si="2"/>
        <v>0</v>
      </c>
      <c r="K6" s="8">
        <f t="shared" si="3"/>
        <v>0</v>
      </c>
      <c r="L6" s="72">
        <v>0</v>
      </c>
      <c r="M6" s="72">
        <f t="shared" si="4"/>
        <v>0</v>
      </c>
      <c r="N6" s="8"/>
    </row>
    <row r="7" spans="1:18">
      <c r="A7" s="48">
        <v>4</v>
      </c>
      <c r="B7" s="230">
        <v>45904</v>
      </c>
      <c r="C7" s="71"/>
      <c r="D7" s="164"/>
      <c r="E7" s="272">
        <v>0</v>
      </c>
      <c r="F7" s="272">
        <v>0</v>
      </c>
      <c r="G7" s="8">
        <f t="shared" si="1"/>
        <v>0</v>
      </c>
      <c r="H7" s="69">
        <v>0</v>
      </c>
      <c r="I7" s="70">
        <v>0</v>
      </c>
      <c r="J7" s="8">
        <f t="shared" si="2"/>
        <v>0</v>
      </c>
      <c r="K7" s="8">
        <f t="shared" si="3"/>
        <v>0</v>
      </c>
      <c r="L7" s="72">
        <v>0</v>
      </c>
      <c r="M7" s="72">
        <f t="shared" si="4"/>
        <v>0</v>
      </c>
      <c r="N7" s="8"/>
    </row>
    <row r="8" spans="1:18">
      <c r="A8" s="48">
        <v>5</v>
      </c>
      <c r="B8" s="230">
        <v>45905</v>
      </c>
      <c r="C8" s="71"/>
      <c r="D8" s="164"/>
      <c r="E8" s="272">
        <v>0</v>
      </c>
      <c r="F8" s="272">
        <v>0</v>
      </c>
      <c r="G8" s="8">
        <f t="shared" si="1"/>
        <v>0</v>
      </c>
      <c r="H8" s="69">
        <v>0</v>
      </c>
      <c r="I8" s="70">
        <v>0</v>
      </c>
      <c r="J8" s="8">
        <f t="shared" si="2"/>
        <v>0</v>
      </c>
      <c r="K8" s="8">
        <f t="shared" si="3"/>
        <v>0</v>
      </c>
      <c r="L8" s="72">
        <v>0</v>
      </c>
      <c r="M8" s="72">
        <f t="shared" si="4"/>
        <v>0</v>
      </c>
      <c r="N8" s="8"/>
      <c r="O8" s="73"/>
      <c r="R8" s="237"/>
    </row>
    <row r="9" spans="1:18">
      <c r="A9" s="48">
        <v>6</v>
      </c>
      <c r="B9" s="230">
        <v>45906</v>
      </c>
      <c r="C9" s="71"/>
      <c r="D9" s="164"/>
      <c r="E9" s="272">
        <v>0</v>
      </c>
      <c r="F9" s="272">
        <v>0</v>
      </c>
      <c r="G9" s="8">
        <f t="shared" si="1"/>
        <v>0</v>
      </c>
      <c r="H9" s="69">
        <v>6</v>
      </c>
      <c r="I9" s="70">
        <v>109.94</v>
      </c>
      <c r="J9" s="8">
        <f t="shared" si="2"/>
        <v>659.64</v>
      </c>
      <c r="K9" s="8">
        <f t="shared" si="3"/>
        <v>659.64</v>
      </c>
      <c r="L9" s="72">
        <v>659.64</v>
      </c>
      <c r="M9" s="72">
        <f t="shared" si="4"/>
        <v>0</v>
      </c>
      <c r="N9" s="8"/>
      <c r="O9" s="73"/>
    </row>
    <row r="10" spans="1:18">
      <c r="A10" s="48">
        <v>7</v>
      </c>
      <c r="B10" s="230">
        <v>45907</v>
      </c>
      <c r="C10" s="71"/>
      <c r="D10" s="164"/>
      <c r="E10" s="272">
        <v>0</v>
      </c>
      <c r="F10" s="272">
        <v>0</v>
      </c>
      <c r="G10" s="8">
        <f t="shared" si="1"/>
        <v>0</v>
      </c>
      <c r="H10" s="69">
        <v>0</v>
      </c>
      <c r="I10" s="70">
        <v>0</v>
      </c>
      <c r="J10" s="8">
        <f t="shared" si="2"/>
        <v>0</v>
      </c>
      <c r="K10" s="8">
        <f t="shared" si="3"/>
        <v>0</v>
      </c>
      <c r="L10" s="72">
        <v>0</v>
      </c>
      <c r="M10" s="72">
        <f t="shared" si="4"/>
        <v>0</v>
      </c>
      <c r="N10" s="8"/>
      <c r="O10" s="73"/>
    </row>
    <row r="11" spans="1:18">
      <c r="A11" s="48">
        <v>8</v>
      </c>
      <c r="B11" s="230">
        <v>45908</v>
      </c>
      <c r="C11" s="71"/>
      <c r="D11" s="164"/>
      <c r="E11" s="272">
        <v>0</v>
      </c>
      <c r="F11" s="272">
        <v>0</v>
      </c>
      <c r="G11" s="8">
        <f t="shared" si="1"/>
        <v>0</v>
      </c>
      <c r="H11" s="69">
        <v>10</v>
      </c>
      <c r="I11" s="70">
        <v>109.94</v>
      </c>
      <c r="J11" s="8">
        <f t="shared" si="2"/>
        <v>1099.4000000000001</v>
      </c>
      <c r="K11" s="8">
        <f t="shared" si="3"/>
        <v>1099.4000000000001</v>
      </c>
      <c r="L11" s="72">
        <v>1099.4000000000001</v>
      </c>
      <c r="M11" s="72">
        <f t="shared" si="4"/>
        <v>0</v>
      </c>
      <c r="N11" s="8"/>
      <c r="O11" s="73"/>
    </row>
    <row r="12" spans="1:18">
      <c r="A12" s="48">
        <v>9</v>
      </c>
      <c r="B12" s="230">
        <v>45909</v>
      </c>
      <c r="C12" s="71"/>
      <c r="D12" s="164"/>
      <c r="E12" s="272">
        <v>0</v>
      </c>
      <c r="F12" s="272">
        <v>0</v>
      </c>
      <c r="G12" s="8">
        <f t="shared" si="1"/>
        <v>0</v>
      </c>
      <c r="H12" s="69">
        <v>4.55</v>
      </c>
      <c r="I12" s="70">
        <v>109.94</v>
      </c>
      <c r="J12" s="8">
        <f t="shared" si="2"/>
        <v>500.22699999999998</v>
      </c>
      <c r="K12" s="8">
        <f t="shared" si="3"/>
        <v>500.22699999999998</v>
      </c>
      <c r="L12" s="72">
        <v>500.23</v>
      </c>
      <c r="M12" s="72">
        <f t="shared" si="4"/>
        <v>-3.0000000000427463E-3</v>
      </c>
      <c r="N12" s="8"/>
      <c r="O12" s="73"/>
    </row>
    <row r="13" spans="1:18">
      <c r="A13" s="48">
        <v>10</v>
      </c>
      <c r="B13" s="230">
        <v>45910</v>
      </c>
      <c r="C13" s="71"/>
      <c r="D13" s="164"/>
      <c r="E13" s="272">
        <v>0</v>
      </c>
      <c r="F13" s="272">
        <v>0</v>
      </c>
      <c r="G13" s="8">
        <f t="shared" si="1"/>
        <v>0</v>
      </c>
      <c r="H13" s="69">
        <v>0</v>
      </c>
      <c r="I13" s="70">
        <v>0</v>
      </c>
      <c r="J13" s="8">
        <f t="shared" si="2"/>
        <v>0</v>
      </c>
      <c r="K13" s="8">
        <f t="shared" si="3"/>
        <v>0</v>
      </c>
      <c r="L13" s="72">
        <v>0</v>
      </c>
      <c r="M13" s="72">
        <f t="shared" si="4"/>
        <v>-3.0000000000427463E-3</v>
      </c>
      <c r="N13" s="8"/>
      <c r="O13" s="73"/>
    </row>
    <row r="14" spans="1:18">
      <c r="A14" s="48">
        <v>11</v>
      </c>
      <c r="B14" s="230">
        <v>45911</v>
      </c>
      <c r="C14" s="71"/>
      <c r="D14" s="164"/>
      <c r="E14" s="272">
        <v>36</v>
      </c>
      <c r="F14" s="272">
        <v>97.91</v>
      </c>
      <c r="G14" s="8">
        <f t="shared" si="1"/>
        <v>3524.7599999999998</v>
      </c>
      <c r="H14" s="69">
        <v>5</v>
      </c>
      <c r="I14" s="70">
        <v>109.94</v>
      </c>
      <c r="J14" s="8">
        <f t="shared" si="2"/>
        <v>549.70000000000005</v>
      </c>
      <c r="K14" s="8">
        <f t="shared" si="3"/>
        <v>4074.46</v>
      </c>
      <c r="L14" s="72">
        <v>4074.46</v>
      </c>
      <c r="M14" s="72">
        <f t="shared" si="4"/>
        <v>-3.0000000001564331E-3</v>
      </c>
      <c r="N14" s="8"/>
      <c r="O14" s="73"/>
    </row>
    <row r="15" spans="1:18">
      <c r="A15" s="48">
        <v>12</v>
      </c>
      <c r="B15" s="230">
        <v>45912</v>
      </c>
      <c r="C15" s="71"/>
      <c r="D15" s="164"/>
      <c r="E15" s="272">
        <v>0</v>
      </c>
      <c r="F15" s="272">
        <v>0</v>
      </c>
      <c r="G15" s="8">
        <f t="shared" si="1"/>
        <v>0</v>
      </c>
      <c r="H15" s="69">
        <v>25</v>
      </c>
      <c r="I15" s="70">
        <v>109.94</v>
      </c>
      <c r="J15" s="8">
        <f t="shared" si="2"/>
        <v>2748.5</v>
      </c>
      <c r="K15" s="8">
        <f t="shared" si="3"/>
        <v>2748.5</v>
      </c>
      <c r="L15" s="72">
        <v>2748.5</v>
      </c>
      <c r="M15" s="72">
        <f t="shared" si="4"/>
        <v>-3.0000000001564331E-3</v>
      </c>
      <c r="N15" s="8"/>
      <c r="O15" s="73"/>
    </row>
    <row r="16" spans="1:18">
      <c r="A16" s="48">
        <v>13</v>
      </c>
      <c r="B16" s="230">
        <v>45913</v>
      </c>
      <c r="C16" s="71"/>
      <c r="D16" s="164"/>
      <c r="E16" s="272">
        <v>0</v>
      </c>
      <c r="F16" s="272">
        <v>0</v>
      </c>
      <c r="G16" s="8">
        <f t="shared" si="1"/>
        <v>0</v>
      </c>
      <c r="H16" s="69">
        <v>0</v>
      </c>
      <c r="I16" s="70">
        <v>0</v>
      </c>
      <c r="J16" s="8">
        <f t="shared" si="2"/>
        <v>0</v>
      </c>
      <c r="K16" s="8">
        <f t="shared" si="3"/>
        <v>0</v>
      </c>
      <c r="L16" s="72">
        <v>0</v>
      </c>
      <c r="M16" s="72">
        <f t="shared" si="4"/>
        <v>-3.0000000001564331E-3</v>
      </c>
      <c r="N16" s="8"/>
      <c r="O16" s="73"/>
    </row>
    <row r="17" spans="1:17">
      <c r="A17" s="48">
        <v>14</v>
      </c>
      <c r="B17" s="230">
        <v>45914</v>
      </c>
      <c r="C17" s="71"/>
      <c r="D17" s="164"/>
      <c r="E17" s="272">
        <v>0</v>
      </c>
      <c r="F17" s="272">
        <v>0</v>
      </c>
      <c r="G17" s="8">
        <f t="shared" si="1"/>
        <v>0</v>
      </c>
      <c r="H17" s="69">
        <v>0</v>
      </c>
      <c r="I17" s="70">
        <v>0</v>
      </c>
      <c r="J17" s="8">
        <f t="shared" si="2"/>
        <v>0</v>
      </c>
      <c r="K17" s="8">
        <f t="shared" si="3"/>
        <v>0</v>
      </c>
      <c r="L17" s="72">
        <v>0</v>
      </c>
      <c r="M17" s="72">
        <f t="shared" si="4"/>
        <v>-3.0000000001564331E-3</v>
      </c>
      <c r="N17" s="8"/>
      <c r="O17" s="73"/>
    </row>
    <row r="18" spans="1:17">
      <c r="A18" s="48">
        <v>15</v>
      </c>
      <c r="B18" s="230">
        <v>45915</v>
      </c>
      <c r="C18" s="71"/>
      <c r="D18" s="164"/>
      <c r="E18" s="272">
        <v>0</v>
      </c>
      <c r="F18" s="272">
        <v>0</v>
      </c>
      <c r="G18" s="8">
        <f t="shared" si="1"/>
        <v>0</v>
      </c>
      <c r="H18" s="69">
        <v>0</v>
      </c>
      <c r="I18" s="70">
        <v>0</v>
      </c>
      <c r="J18" s="8">
        <f t="shared" si="2"/>
        <v>0</v>
      </c>
      <c r="K18" s="8">
        <f t="shared" si="3"/>
        <v>0</v>
      </c>
      <c r="L18" s="72">
        <v>0</v>
      </c>
      <c r="M18" s="72">
        <f t="shared" si="4"/>
        <v>-3.0000000001564331E-3</v>
      </c>
      <c r="N18" s="188"/>
      <c r="O18" s="73"/>
    </row>
    <row r="19" spans="1:17">
      <c r="A19" s="48">
        <v>16</v>
      </c>
      <c r="B19" s="230">
        <v>45916</v>
      </c>
      <c r="C19" s="71"/>
      <c r="D19" s="164"/>
      <c r="E19" s="272">
        <v>0</v>
      </c>
      <c r="F19" s="272">
        <v>0</v>
      </c>
      <c r="G19" s="8">
        <f t="shared" si="1"/>
        <v>0</v>
      </c>
      <c r="H19" s="69">
        <v>15</v>
      </c>
      <c r="I19" s="70">
        <v>109.39</v>
      </c>
      <c r="J19" s="8">
        <f t="shared" si="2"/>
        <v>1640.85</v>
      </c>
      <c r="K19" s="8">
        <f t="shared" si="3"/>
        <v>1640.85</v>
      </c>
      <c r="L19" s="72">
        <v>1640.85</v>
      </c>
      <c r="M19" s="72">
        <f t="shared" si="4"/>
        <v>-3.0000000001564331E-3</v>
      </c>
      <c r="N19" s="301"/>
      <c r="O19" s="73"/>
    </row>
    <row r="20" spans="1:17">
      <c r="A20" s="48">
        <v>17</v>
      </c>
      <c r="B20" s="230">
        <v>45917</v>
      </c>
      <c r="C20" s="71"/>
      <c r="D20" s="164"/>
      <c r="E20" s="272">
        <v>0</v>
      </c>
      <c r="F20" s="272">
        <v>0</v>
      </c>
      <c r="G20" s="8">
        <f t="shared" si="1"/>
        <v>0</v>
      </c>
      <c r="H20" s="69">
        <v>0</v>
      </c>
      <c r="I20" s="70">
        <v>109.39</v>
      </c>
      <c r="J20" s="8">
        <f t="shared" si="2"/>
        <v>0</v>
      </c>
      <c r="K20" s="8">
        <f t="shared" si="3"/>
        <v>0</v>
      </c>
      <c r="L20" s="72">
        <v>0</v>
      </c>
      <c r="M20" s="72">
        <f t="shared" si="4"/>
        <v>-3.0000000001564331E-3</v>
      </c>
      <c r="N20" s="19"/>
      <c r="O20" s="73"/>
    </row>
    <row r="21" spans="1:17">
      <c r="A21" s="48">
        <v>18</v>
      </c>
      <c r="B21" s="230">
        <v>45918</v>
      </c>
      <c r="C21" s="71"/>
      <c r="D21" s="164"/>
      <c r="E21" s="272">
        <v>0</v>
      </c>
      <c r="F21" s="272">
        <v>0</v>
      </c>
      <c r="G21" s="8">
        <f t="shared" si="1"/>
        <v>0</v>
      </c>
      <c r="H21" s="69">
        <v>15</v>
      </c>
      <c r="I21" s="70">
        <v>109.39</v>
      </c>
      <c r="J21" s="8">
        <f t="shared" si="2"/>
        <v>1640.85</v>
      </c>
      <c r="K21" s="8">
        <f t="shared" si="3"/>
        <v>1640.85</v>
      </c>
      <c r="L21" s="72">
        <v>1640.85</v>
      </c>
      <c r="M21" s="72">
        <f t="shared" si="4"/>
        <v>-3.0000000001564331E-3</v>
      </c>
      <c r="N21" s="8"/>
      <c r="O21" s="73"/>
    </row>
    <row r="22" spans="1:17">
      <c r="A22" s="48">
        <v>19</v>
      </c>
      <c r="B22" s="230">
        <v>45919</v>
      </c>
      <c r="C22" s="71"/>
      <c r="D22" s="164"/>
      <c r="E22" s="272">
        <v>0</v>
      </c>
      <c r="F22" s="272">
        <v>0</v>
      </c>
      <c r="G22" s="8">
        <f t="shared" si="1"/>
        <v>0</v>
      </c>
      <c r="H22" s="69">
        <v>0</v>
      </c>
      <c r="I22" s="70">
        <v>0</v>
      </c>
      <c r="J22" s="8">
        <f t="shared" si="2"/>
        <v>0</v>
      </c>
      <c r="K22" s="8">
        <f t="shared" si="3"/>
        <v>0</v>
      </c>
      <c r="L22" s="72">
        <v>0</v>
      </c>
      <c r="M22" s="72">
        <f t="shared" si="4"/>
        <v>-3.0000000001564331E-3</v>
      </c>
      <c r="N22" s="8"/>
      <c r="O22" s="73"/>
      <c r="Q22" s="22"/>
    </row>
    <row r="23" spans="1:17">
      <c r="A23" s="48">
        <v>20</v>
      </c>
      <c r="B23" s="230">
        <v>45920</v>
      </c>
      <c r="C23" s="71"/>
      <c r="D23" s="164"/>
      <c r="E23" s="272">
        <v>0</v>
      </c>
      <c r="F23" s="272">
        <v>0</v>
      </c>
      <c r="G23" s="8">
        <f t="shared" si="1"/>
        <v>0</v>
      </c>
      <c r="H23" s="69">
        <v>0</v>
      </c>
      <c r="I23" s="70">
        <v>0</v>
      </c>
      <c r="J23" s="8">
        <f t="shared" si="2"/>
        <v>0</v>
      </c>
      <c r="K23" s="8">
        <f t="shared" si="3"/>
        <v>0</v>
      </c>
      <c r="L23" s="72">
        <v>0</v>
      </c>
      <c r="M23" s="72">
        <f t="shared" si="4"/>
        <v>-3.0000000001564331E-3</v>
      </c>
      <c r="N23" s="8"/>
      <c r="O23" s="73"/>
    </row>
    <row r="24" spans="1:17">
      <c r="A24" s="48">
        <v>21</v>
      </c>
      <c r="B24" s="230">
        <v>45921</v>
      </c>
      <c r="C24" s="71"/>
      <c r="D24" s="164"/>
      <c r="E24" s="272">
        <v>41.31</v>
      </c>
      <c r="F24" s="272">
        <v>96.82</v>
      </c>
      <c r="G24" s="8">
        <f t="shared" si="1"/>
        <v>3999.6342</v>
      </c>
      <c r="H24" s="69">
        <v>10</v>
      </c>
      <c r="I24" s="70">
        <v>109.39</v>
      </c>
      <c r="J24" s="8">
        <f t="shared" si="2"/>
        <v>1093.9000000000001</v>
      </c>
      <c r="K24" s="8">
        <f t="shared" si="3"/>
        <v>5093.5342000000001</v>
      </c>
      <c r="L24" s="72">
        <v>5093.53</v>
      </c>
      <c r="M24" s="72">
        <f t="shared" si="4"/>
        <v>1.1999999996987754E-3</v>
      </c>
      <c r="N24" s="8"/>
      <c r="O24" s="73"/>
    </row>
    <row r="25" spans="1:17">
      <c r="A25" s="48">
        <v>22</v>
      </c>
      <c r="B25" s="230">
        <v>45922</v>
      </c>
      <c r="C25" s="71"/>
      <c r="D25" s="164"/>
      <c r="E25" s="272">
        <v>20.66</v>
      </c>
      <c r="F25" s="272">
        <v>96.82</v>
      </c>
      <c r="G25" s="8">
        <f t="shared" si="1"/>
        <v>2000.3011999999999</v>
      </c>
      <c r="H25" s="69">
        <v>0</v>
      </c>
      <c r="I25" s="70">
        <v>0</v>
      </c>
      <c r="J25" s="8">
        <f t="shared" si="2"/>
        <v>0</v>
      </c>
      <c r="K25" s="8">
        <f t="shared" si="3"/>
        <v>2000.3011999999999</v>
      </c>
      <c r="L25" s="72">
        <v>2000.3</v>
      </c>
      <c r="M25" s="72">
        <f t="shared" si="4"/>
        <v>2.3999999996249244E-3</v>
      </c>
      <c r="N25" s="8"/>
      <c r="O25" s="73"/>
    </row>
    <row r="26" spans="1:17">
      <c r="A26" s="48">
        <v>23</v>
      </c>
      <c r="B26" s="230">
        <v>45923</v>
      </c>
      <c r="C26" s="71"/>
      <c r="D26" s="164"/>
      <c r="E26" s="272">
        <v>0</v>
      </c>
      <c r="F26" s="272">
        <v>0</v>
      </c>
      <c r="G26" s="8">
        <f t="shared" si="1"/>
        <v>0</v>
      </c>
      <c r="H26" s="69">
        <v>0</v>
      </c>
      <c r="I26" s="70">
        <v>0</v>
      </c>
      <c r="J26" s="8">
        <f t="shared" si="2"/>
        <v>0</v>
      </c>
      <c r="K26" s="8">
        <f t="shared" si="3"/>
        <v>0</v>
      </c>
      <c r="L26" s="72">
        <v>0</v>
      </c>
      <c r="M26" s="72">
        <f t="shared" si="4"/>
        <v>2.3999999996249244E-3</v>
      </c>
      <c r="N26" s="8"/>
      <c r="O26" s="73"/>
    </row>
    <row r="27" spans="1:17">
      <c r="A27" s="48">
        <v>24</v>
      </c>
      <c r="B27" s="230">
        <v>45924</v>
      </c>
      <c r="C27" s="71"/>
      <c r="D27" s="164"/>
      <c r="E27" s="272">
        <v>0</v>
      </c>
      <c r="F27" s="272">
        <v>0</v>
      </c>
      <c r="G27" s="8">
        <f t="shared" si="1"/>
        <v>0</v>
      </c>
      <c r="H27" s="69">
        <v>20.5</v>
      </c>
      <c r="I27" s="70">
        <v>109.67</v>
      </c>
      <c r="J27" s="8">
        <f t="shared" si="2"/>
        <v>2248.2350000000001</v>
      </c>
      <c r="K27" s="8">
        <f t="shared" si="3"/>
        <v>2248.2350000000001</v>
      </c>
      <c r="L27" s="72">
        <v>2248.2399999999998</v>
      </c>
      <c r="M27" s="72">
        <f t="shared" si="4"/>
        <v>-2.599999999802094E-3</v>
      </c>
      <c r="N27" s="8"/>
      <c r="O27" s="73"/>
    </row>
    <row r="28" spans="1:17">
      <c r="A28" s="232">
        <v>25</v>
      </c>
      <c r="B28" s="230">
        <v>45925</v>
      </c>
      <c r="C28" s="71"/>
      <c r="D28" s="164"/>
      <c r="E28" s="272">
        <v>0</v>
      </c>
      <c r="F28" s="272">
        <v>0</v>
      </c>
      <c r="G28" s="8">
        <f t="shared" si="1"/>
        <v>0</v>
      </c>
      <c r="H28" s="69">
        <v>0</v>
      </c>
      <c r="I28" s="70">
        <v>0</v>
      </c>
      <c r="J28" s="8">
        <f t="shared" si="2"/>
        <v>0</v>
      </c>
      <c r="K28" s="8">
        <f t="shared" si="3"/>
        <v>0</v>
      </c>
      <c r="L28" s="72">
        <v>0</v>
      </c>
      <c r="M28" s="72">
        <f t="shared" si="4"/>
        <v>-2.599999999802094E-3</v>
      </c>
      <c r="N28" s="8"/>
      <c r="O28" s="73"/>
    </row>
    <row r="29" spans="1:17">
      <c r="A29" s="232">
        <v>26</v>
      </c>
      <c r="B29" s="230">
        <v>45926</v>
      </c>
      <c r="C29" s="71"/>
      <c r="D29" s="164"/>
      <c r="E29" s="272">
        <v>0</v>
      </c>
      <c r="F29" s="272">
        <v>0</v>
      </c>
      <c r="G29" s="8">
        <f t="shared" si="1"/>
        <v>0</v>
      </c>
      <c r="H29" s="69">
        <v>0</v>
      </c>
      <c r="I29" s="70">
        <v>0</v>
      </c>
      <c r="J29" s="8">
        <f t="shared" si="2"/>
        <v>0</v>
      </c>
      <c r="K29" s="8">
        <f t="shared" si="3"/>
        <v>0</v>
      </c>
      <c r="L29" s="72">
        <v>0</v>
      </c>
      <c r="M29" s="72">
        <f t="shared" si="4"/>
        <v>-2.599999999802094E-3</v>
      </c>
      <c r="N29" s="8"/>
      <c r="O29" s="73"/>
    </row>
    <row r="30" spans="1:17">
      <c r="A30" s="232">
        <v>27</v>
      </c>
      <c r="B30" s="230">
        <v>45927</v>
      </c>
      <c r="C30" s="71"/>
      <c r="D30" s="164"/>
      <c r="E30" s="272">
        <v>0</v>
      </c>
      <c r="F30" s="272">
        <v>0</v>
      </c>
      <c r="G30" s="8">
        <f t="shared" si="1"/>
        <v>0</v>
      </c>
      <c r="H30" s="69">
        <v>25</v>
      </c>
      <c r="I30" s="70">
        <v>109.84</v>
      </c>
      <c r="J30" s="8">
        <f t="shared" si="2"/>
        <v>2746</v>
      </c>
      <c r="K30" s="8">
        <f>G30+J30</f>
        <v>2746</v>
      </c>
      <c r="L30" s="72">
        <v>2746</v>
      </c>
      <c r="M30" s="72">
        <f t="shared" si="4"/>
        <v>-2.599999999802094E-3</v>
      </c>
      <c r="N30" s="8"/>
      <c r="O30" s="73"/>
    </row>
    <row r="31" spans="1:17">
      <c r="A31" s="232">
        <v>28</v>
      </c>
      <c r="B31" s="230">
        <v>45928</v>
      </c>
      <c r="C31" s="71"/>
      <c r="D31" s="164"/>
      <c r="E31" s="272">
        <v>0</v>
      </c>
      <c r="F31" s="272">
        <v>0</v>
      </c>
      <c r="G31" s="8">
        <f t="shared" si="1"/>
        <v>0</v>
      </c>
      <c r="H31" s="69">
        <v>0</v>
      </c>
      <c r="I31" s="70">
        <v>0</v>
      </c>
      <c r="J31" s="8">
        <f t="shared" si="2"/>
        <v>0</v>
      </c>
      <c r="K31" s="8">
        <f t="shared" si="3"/>
        <v>0</v>
      </c>
      <c r="L31" s="72">
        <v>0</v>
      </c>
      <c r="M31" s="72">
        <f t="shared" si="4"/>
        <v>-2.599999999802094E-3</v>
      </c>
      <c r="N31" s="8"/>
      <c r="O31" s="73"/>
    </row>
    <row r="32" spans="1:17">
      <c r="A32" s="233">
        <v>29</v>
      </c>
      <c r="B32" s="230">
        <v>45929</v>
      </c>
      <c r="C32" s="71"/>
      <c r="D32" s="164"/>
      <c r="E32" s="272">
        <v>10.25</v>
      </c>
      <c r="F32" s="108">
        <v>97.56</v>
      </c>
      <c r="G32" s="8">
        <f t="shared" si="1"/>
        <v>999.99</v>
      </c>
      <c r="H32" s="69">
        <v>0</v>
      </c>
      <c r="I32" s="70">
        <v>0</v>
      </c>
      <c r="J32" s="8">
        <f t="shared" si="2"/>
        <v>0</v>
      </c>
      <c r="K32" s="8">
        <f>G32+J32</f>
        <v>999.99</v>
      </c>
      <c r="L32" s="8">
        <f>H32+K32</f>
        <v>999.99</v>
      </c>
      <c r="M32" s="72">
        <f>+M31+K32-L32</f>
        <v>-2.599999999802094E-3</v>
      </c>
      <c r="N32" s="8"/>
      <c r="O32" s="73"/>
    </row>
    <row r="33" spans="1:15">
      <c r="A33" s="233"/>
      <c r="B33" s="230">
        <v>45929</v>
      </c>
      <c r="C33" s="71"/>
      <c r="D33" s="164"/>
      <c r="E33" s="272">
        <v>40.26</v>
      </c>
      <c r="F33" s="333">
        <v>86.75</v>
      </c>
      <c r="G33" s="8">
        <f t="shared" si="1"/>
        <v>3492.5549999999998</v>
      </c>
      <c r="H33" s="69">
        <v>25</v>
      </c>
      <c r="I33" s="70">
        <v>96.92</v>
      </c>
      <c r="J33" s="8">
        <f t="shared" si="2"/>
        <v>2423</v>
      </c>
      <c r="K33" s="8">
        <f>G33+J33</f>
        <v>5915.5550000000003</v>
      </c>
      <c r="L33" s="8">
        <f>K33</f>
        <v>5915.5550000000003</v>
      </c>
      <c r="M33" s="72">
        <f t="shared" ref="M33:M34" si="5">+M32+K33-L33</f>
        <v>-2.599999999802094E-3</v>
      </c>
      <c r="N33" s="8"/>
      <c r="O33" s="73"/>
    </row>
    <row r="34" spans="1:15">
      <c r="A34" s="233">
        <v>30</v>
      </c>
      <c r="B34" s="230">
        <v>45930</v>
      </c>
      <c r="C34" s="71"/>
      <c r="D34" s="164"/>
      <c r="E34" s="272">
        <v>0</v>
      </c>
      <c r="F34" s="272">
        <v>0</v>
      </c>
      <c r="G34" s="8">
        <f t="shared" si="1"/>
        <v>0</v>
      </c>
      <c r="H34" s="69">
        <v>0</v>
      </c>
      <c r="I34" s="70">
        <v>0</v>
      </c>
      <c r="J34" s="8">
        <f t="shared" si="2"/>
        <v>0</v>
      </c>
      <c r="K34" s="8">
        <f t="shared" si="3"/>
        <v>0</v>
      </c>
      <c r="L34" s="72">
        <v>0</v>
      </c>
      <c r="M34" s="72">
        <f t="shared" si="5"/>
        <v>-2.599999999802094E-3</v>
      </c>
      <c r="N34" s="8"/>
      <c r="O34" s="73"/>
    </row>
    <row r="35" spans="1:15">
      <c r="A35" s="233">
        <v>31</v>
      </c>
      <c r="B35" s="230"/>
      <c r="C35" s="71"/>
      <c r="D35" s="164"/>
      <c r="E35" s="272">
        <v>0</v>
      </c>
      <c r="F35" s="272">
        <v>0</v>
      </c>
      <c r="G35" s="8">
        <f t="shared" si="1"/>
        <v>0</v>
      </c>
      <c r="H35" s="69">
        <v>0</v>
      </c>
      <c r="I35" s="70">
        <v>0</v>
      </c>
      <c r="J35" s="8">
        <f t="shared" si="2"/>
        <v>0</v>
      </c>
      <c r="K35" s="8">
        <f t="shared" si="3"/>
        <v>0</v>
      </c>
      <c r="L35" s="72">
        <v>0</v>
      </c>
      <c r="M35" s="72">
        <f t="shared" si="4"/>
        <v>-2.599999999802094E-3</v>
      </c>
      <c r="N35" s="8"/>
      <c r="O35" s="73"/>
    </row>
    <row r="36" spans="1:15">
      <c r="A36" s="66"/>
      <c r="B36" s="66"/>
      <c r="C36" s="66"/>
      <c r="D36" s="66"/>
      <c r="E36" s="273">
        <f>SUM(E4:E35)</f>
        <v>148.47999999999999</v>
      </c>
      <c r="F36" s="273"/>
      <c r="G36" s="67">
        <f>SUM(G4:G35)</f>
        <v>14017.240400000001</v>
      </c>
      <c r="H36" s="67">
        <f>SUM(H4:H35)</f>
        <v>186.05</v>
      </c>
      <c r="I36" s="67"/>
      <c r="J36" s="67">
        <f>SUM(J4:J35)</f>
        <v>20075.552000000003</v>
      </c>
      <c r="K36" s="67">
        <f>SUM(K4:K35)</f>
        <v>34092.792400000006</v>
      </c>
      <c r="L36" s="67">
        <f>SUM(L4:L35)</f>
        <v>34092.794999999998</v>
      </c>
      <c r="M36" s="67"/>
      <c r="N36" s="67"/>
      <c r="O36" s="63"/>
    </row>
    <row r="37" spans="1:15">
      <c r="A37" s="76"/>
      <c r="B37" s="77"/>
      <c r="C37" s="76"/>
      <c r="D37" s="76"/>
      <c r="E37" s="78"/>
      <c r="F37" s="78"/>
      <c r="G37" s="78"/>
      <c r="H37" s="78"/>
      <c r="I37" s="78"/>
      <c r="J37" s="79"/>
      <c r="K37" s="79"/>
      <c r="L37" s="79"/>
      <c r="M37" s="79"/>
      <c r="N37" s="78"/>
      <c r="O37" s="73"/>
    </row>
    <row r="38" spans="1:15">
      <c r="O38" s="73"/>
    </row>
    <row r="39" spans="1:15">
      <c r="O39" s="73"/>
    </row>
    <row r="40" spans="1:15">
      <c r="O40" s="73"/>
    </row>
    <row r="41" spans="1:15">
      <c r="O41" s="73"/>
    </row>
    <row r="42" spans="1:15">
      <c r="O42" s="73"/>
    </row>
    <row r="43" spans="1:15">
      <c r="A43" s="73"/>
      <c r="B43" s="63"/>
      <c r="C43" s="73"/>
      <c r="D43" s="73"/>
      <c r="E43" s="73"/>
      <c r="F43" s="73"/>
      <c r="G43" s="80"/>
      <c r="H43" s="73"/>
      <c r="I43" s="73"/>
      <c r="J43" s="63"/>
      <c r="K43" s="63"/>
      <c r="L43" s="63"/>
      <c r="M43" s="63"/>
      <c r="N43" s="73"/>
      <c r="O43" s="78"/>
    </row>
    <row r="44" spans="1:15">
      <c r="A44" s="73"/>
      <c r="B44" s="402"/>
      <c r="C44" s="402"/>
      <c r="D44" s="402"/>
      <c r="E44" s="402"/>
      <c r="F44" s="73"/>
      <c r="G44" s="73"/>
      <c r="H44" s="73"/>
      <c r="I44" s="402"/>
      <c r="J44" s="402"/>
      <c r="K44" s="402"/>
      <c r="L44" s="402"/>
      <c r="M44" s="402"/>
      <c r="N44" s="402"/>
      <c r="O44" s="78"/>
    </row>
    <row r="45" spans="1:15">
      <c r="A45" s="73"/>
      <c r="B45" s="63"/>
      <c r="C45" s="73"/>
      <c r="D45" s="73"/>
      <c r="E45" s="73"/>
      <c r="F45" s="73"/>
      <c r="G45" s="73"/>
      <c r="H45" s="73"/>
      <c r="I45" s="73"/>
      <c r="J45" s="63"/>
      <c r="K45" s="63"/>
      <c r="L45" s="63"/>
      <c r="M45" s="63"/>
      <c r="N45" s="73"/>
      <c r="O45" s="78"/>
    </row>
  </sheetData>
  <mergeCells count="4">
    <mergeCell ref="A1:N1"/>
    <mergeCell ref="A3:L3"/>
    <mergeCell ref="B44:E44"/>
    <mergeCell ref="I44:N4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A176-B02F-4D5D-BFBA-88F02F90B0CD}">
  <dimension ref="A1:O39"/>
  <sheetViews>
    <sheetView workbookViewId="0">
      <pane ySplit="2" topLeftCell="A19" activePane="bottomLeft" state="frozen"/>
      <selection pane="bottomLeft" activeCell="H26" sqref="H26"/>
    </sheetView>
  </sheetViews>
  <sheetFormatPr defaultColWidth="12.28515625" defaultRowHeight="12.75"/>
  <cols>
    <col min="1" max="1" width="8.42578125" style="65" customWidth="1"/>
    <col min="2" max="3" width="12.28515625" style="65"/>
    <col min="4" max="4" width="13.5703125" style="65" customWidth="1"/>
    <col min="5" max="5" width="12.28515625" style="65"/>
    <col min="6" max="6" width="13.7109375" style="65" bestFit="1" customWidth="1"/>
    <col min="7" max="16384" width="12.28515625" style="65"/>
  </cols>
  <sheetData>
    <row r="1" spans="1:15" ht="15.75" customHeight="1">
      <c r="A1" s="389" t="s">
        <v>38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64"/>
    </row>
    <row r="2" spans="1:15" ht="15.75" customHeight="1">
      <c r="A2" s="91" t="s">
        <v>90</v>
      </c>
      <c r="B2" s="92" t="s">
        <v>91</v>
      </c>
      <c r="C2" s="92" t="s">
        <v>92</v>
      </c>
      <c r="D2" s="92" t="s">
        <v>93</v>
      </c>
      <c r="E2" s="92" t="s">
        <v>94</v>
      </c>
      <c r="F2" s="92" t="s">
        <v>95</v>
      </c>
      <c r="G2" s="92" t="s">
        <v>96</v>
      </c>
      <c r="H2" s="92" t="s">
        <v>97</v>
      </c>
      <c r="I2" s="92" t="s">
        <v>95</v>
      </c>
      <c r="J2" s="116" t="s">
        <v>96</v>
      </c>
      <c r="K2" s="118" t="s">
        <v>98</v>
      </c>
      <c r="L2" s="119" t="s">
        <v>99</v>
      </c>
      <c r="M2" s="120" t="s">
        <v>106</v>
      </c>
      <c r="N2" s="93" t="s">
        <v>101</v>
      </c>
      <c r="O2" s="33"/>
    </row>
    <row r="3" spans="1:15" ht="15.75" customHeight="1">
      <c r="A3" s="396" t="s">
        <v>102</v>
      </c>
      <c r="B3" s="400"/>
      <c r="C3" s="394"/>
      <c r="D3" s="394"/>
      <c r="E3" s="394"/>
      <c r="F3" s="394"/>
      <c r="G3" s="394"/>
      <c r="H3" s="394"/>
      <c r="I3" s="394"/>
      <c r="J3" s="404"/>
      <c r="K3" s="212">
        <v>417039.13099999976</v>
      </c>
      <c r="L3" s="211"/>
      <c r="M3" s="212">
        <v>417039.13099999976</v>
      </c>
      <c r="N3" s="211"/>
      <c r="O3" s="33">
        <v>207239.43099999998</v>
      </c>
    </row>
    <row r="4" spans="1:15" ht="15">
      <c r="A4" s="26">
        <v>1</v>
      </c>
      <c r="B4" s="27">
        <v>45901</v>
      </c>
      <c r="C4" s="111"/>
      <c r="D4" s="111"/>
      <c r="E4" s="37"/>
      <c r="F4" s="37">
        <v>0</v>
      </c>
      <c r="G4" s="37">
        <f>E4*F4</f>
        <v>0</v>
      </c>
      <c r="H4" s="207">
        <v>0</v>
      </c>
      <c r="I4" s="207">
        <v>0</v>
      </c>
      <c r="J4" s="37">
        <f>H4*I4</f>
        <v>0</v>
      </c>
      <c r="K4" s="37">
        <f>G4+J4</f>
        <v>0</v>
      </c>
      <c r="L4" s="211"/>
      <c r="M4" s="208">
        <f>M3+K4-L4</f>
        <v>417039.13099999976</v>
      </c>
      <c r="N4" s="37"/>
      <c r="O4" s="28"/>
    </row>
    <row r="5" spans="1:15" ht="15">
      <c r="A5" s="26">
        <v>2</v>
      </c>
      <c r="B5" s="27">
        <v>45902</v>
      </c>
      <c r="C5" s="111"/>
      <c r="D5" s="111"/>
      <c r="E5" s="37"/>
      <c r="F5" s="37">
        <v>0</v>
      </c>
      <c r="G5" s="37">
        <f t="shared" ref="G5:G33" si="0">E5*F5</f>
        <v>0</v>
      </c>
      <c r="H5" s="207">
        <v>0</v>
      </c>
      <c r="I5" s="207">
        <v>0</v>
      </c>
      <c r="J5" s="37">
        <f t="shared" ref="J5:J33" si="1">H5*I5</f>
        <v>0</v>
      </c>
      <c r="K5" s="37">
        <f t="shared" ref="K5:K33" si="2">G5+J5</f>
        <v>0</v>
      </c>
      <c r="L5" s="211"/>
      <c r="M5" s="208">
        <f>M4+K5-L5</f>
        <v>417039.13099999976</v>
      </c>
      <c r="N5" s="37"/>
      <c r="O5" s="28"/>
    </row>
    <row r="6" spans="1:15" ht="15">
      <c r="A6" s="26">
        <v>3</v>
      </c>
      <c r="B6" s="27">
        <v>45903</v>
      </c>
      <c r="C6" s="111"/>
      <c r="D6" s="111"/>
      <c r="E6" s="37"/>
      <c r="F6" s="37">
        <v>0</v>
      </c>
      <c r="G6" s="37">
        <f t="shared" si="0"/>
        <v>0</v>
      </c>
      <c r="H6" s="207">
        <v>0</v>
      </c>
      <c r="I6" s="207">
        <v>0</v>
      </c>
      <c r="J6" s="37">
        <f t="shared" si="1"/>
        <v>0</v>
      </c>
      <c r="K6" s="37">
        <f t="shared" si="2"/>
        <v>0</v>
      </c>
      <c r="L6" s="211"/>
      <c r="M6" s="208">
        <f>M5+K6-L6</f>
        <v>417039.13099999976</v>
      </c>
      <c r="N6" s="37"/>
      <c r="O6" s="28"/>
    </row>
    <row r="7" spans="1:15" ht="15">
      <c r="A7" s="26">
        <v>4</v>
      </c>
      <c r="B7" s="27">
        <v>45904</v>
      </c>
      <c r="C7" s="111"/>
      <c r="D7" s="111"/>
      <c r="E7" s="37"/>
      <c r="F7" s="37">
        <v>0</v>
      </c>
      <c r="G7" s="37">
        <f t="shared" si="0"/>
        <v>0</v>
      </c>
      <c r="H7" s="207">
        <v>0</v>
      </c>
      <c r="I7" s="207">
        <v>0</v>
      </c>
      <c r="J7" s="37">
        <f t="shared" si="1"/>
        <v>0</v>
      </c>
      <c r="K7" s="37">
        <f t="shared" si="2"/>
        <v>0</v>
      </c>
      <c r="L7" s="211"/>
      <c r="M7" s="208">
        <f>M6+K7-L7</f>
        <v>417039.13099999976</v>
      </c>
      <c r="N7" s="37"/>
      <c r="O7" s="28"/>
    </row>
    <row r="8" spans="1:15" ht="15">
      <c r="A8" s="26">
        <v>5</v>
      </c>
      <c r="B8" s="27">
        <v>45905</v>
      </c>
      <c r="C8" s="111"/>
      <c r="D8" s="111"/>
      <c r="E8" s="37"/>
      <c r="F8" s="37">
        <v>0</v>
      </c>
      <c r="G8" s="37">
        <f t="shared" si="0"/>
        <v>0</v>
      </c>
      <c r="H8" s="207">
        <v>0</v>
      </c>
      <c r="I8" s="207">
        <v>0</v>
      </c>
      <c r="J8" s="37">
        <f t="shared" si="1"/>
        <v>0</v>
      </c>
      <c r="K8" s="37">
        <f t="shared" si="2"/>
        <v>0</v>
      </c>
      <c r="L8" s="211"/>
      <c r="M8" s="208">
        <f>M7+K8-L8</f>
        <v>417039.13099999976</v>
      </c>
      <c r="N8" s="37"/>
      <c r="O8" s="28"/>
    </row>
    <row r="9" spans="1:15" ht="15">
      <c r="A9" s="26">
        <v>6</v>
      </c>
      <c r="B9" s="27">
        <v>45906</v>
      </c>
      <c r="C9" s="111"/>
      <c r="D9" s="111"/>
      <c r="E9" s="37"/>
      <c r="F9" s="37">
        <v>0</v>
      </c>
      <c r="G9" s="37">
        <f t="shared" si="0"/>
        <v>0</v>
      </c>
      <c r="H9" s="207">
        <v>0</v>
      </c>
      <c r="I9" s="207">
        <v>0</v>
      </c>
      <c r="J9" s="37">
        <f t="shared" si="1"/>
        <v>0</v>
      </c>
      <c r="K9" s="37">
        <f t="shared" si="2"/>
        <v>0</v>
      </c>
      <c r="L9" s="211"/>
      <c r="M9" s="208">
        <f t="shared" ref="M9:M33" si="3">M8+K9-L9</f>
        <v>417039.13099999976</v>
      </c>
      <c r="N9" s="37"/>
      <c r="O9" s="28"/>
    </row>
    <row r="10" spans="1:15" ht="15">
      <c r="A10" s="26">
        <v>7</v>
      </c>
      <c r="B10" s="27">
        <v>45907</v>
      </c>
      <c r="C10" s="111"/>
      <c r="D10" s="111"/>
      <c r="E10" s="37"/>
      <c r="F10" s="37">
        <v>0</v>
      </c>
      <c r="G10" s="37">
        <f t="shared" si="0"/>
        <v>0</v>
      </c>
      <c r="H10" s="207">
        <v>0</v>
      </c>
      <c r="I10" s="207">
        <v>0</v>
      </c>
      <c r="J10" s="37">
        <f t="shared" si="1"/>
        <v>0</v>
      </c>
      <c r="K10" s="37">
        <f t="shared" si="2"/>
        <v>0</v>
      </c>
      <c r="L10" s="211"/>
      <c r="M10" s="208">
        <f t="shared" si="3"/>
        <v>417039.13099999976</v>
      </c>
      <c r="N10" s="37"/>
      <c r="O10" s="28"/>
    </row>
    <row r="11" spans="1:15" ht="15">
      <c r="A11" s="26">
        <v>8</v>
      </c>
      <c r="B11" s="27">
        <v>45908</v>
      </c>
      <c r="C11" s="111"/>
      <c r="D11" s="111"/>
      <c r="E11" s="37"/>
      <c r="F11" s="37">
        <v>0</v>
      </c>
      <c r="G11" s="37">
        <f t="shared" si="0"/>
        <v>0</v>
      </c>
      <c r="H11" s="207">
        <v>0</v>
      </c>
      <c r="I11" s="207">
        <v>0</v>
      </c>
      <c r="J11" s="37">
        <f t="shared" si="1"/>
        <v>0</v>
      </c>
      <c r="K11" s="37">
        <f t="shared" si="2"/>
        <v>0</v>
      </c>
      <c r="L11" s="211">
        <v>417000</v>
      </c>
      <c r="M11" s="208">
        <f t="shared" si="3"/>
        <v>39.130999999761116</v>
      </c>
      <c r="N11" s="37"/>
      <c r="O11" s="28"/>
    </row>
    <row r="12" spans="1:15" ht="15">
      <c r="A12" s="26">
        <v>9</v>
      </c>
      <c r="B12" s="27">
        <v>45909</v>
      </c>
      <c r="C12" s="111"/>
      <c r="D12" s="111"/>
      <c r="E12" s="37"/>
      <c r="F12" s="37">
        <v>0</v>
      </c>
      <c r="G12" s="37">
        <f t="shared" si="0"/>
        <v>0</v>
      </c>
      <c r="H12" s="207">
        <v>0</v>
      </c>
      <c r="I12" s="207">
        <v>0</v>
      </c>
      <c r="J12" s="37">
        <f t="shared" si="1"/>
        <v>0</v>
      </c>
      <c r="K12" s="37">
        <f t="shared" si="2"/>
        <v>0</v>
      </c>
      <c r="L12" s="211"/>
      <c r="M12" s="208">
        <f t="shared" si="3"/>
        <v>39.130999999761116</v>
      </c>
      <c r="N12" s="37"/>
      <c r="O12" s="28"/>
    </row>
    <row r="13" spans="1:15" ht="15">
      <c r="A13" s="26">
        <v>10</v>
      </c>
      <c r="B13" s="27">
        <v>45910</v>
      </c>
      <c r="C13" s="111"/>
      <c r="D13" s="111"/>
      <c r="E13" s="37"/>
      <c r="F13" s="37">
        <v>0</v>
      </c>
      <c r="G13" s="37">
        <f t="shared" si="0"/>
        <v>0</v>
      </c>
      <c r="H13" s="207">
        <v>0</v>
      </c>
      <c r="I13" s="207">
        <v>0</v>
      </c>
      <c r="J13" s="37">
        <f t="shared" si="1"/>
        <v>0</v>
      </c>
      <c r="K13" s="37">
        <f t="shared" si="2"/>
        <v>0</v>
      </c>
      <c r="L13" s="211"/>
      <c r="M13" s="208">
        <f t="shared" si="3"/>
        <v>39.130999999761116</v>
      </c>
      <c r="N13" s="37"/>
      <c r="O13" s="28"/>
    </row>
    <row r="14" spans="1:15" ht="15">
      <c r="A14" s="26">
        <v>11</v>
      </c>
      <c r="B14" s="27">
        <v>45911</v>
      </c>
      <c r="C14" s="111"/>
      <c r="D14" s="111"/>
      <c r="E14" s="37"/>
      <c r="F14" s="37">
        <v>0</v>
      </c>
      <c r="G14" s="37">
        <f t="shared" si="0"/>
        <v>0</v>
      </c>
      <c r="H14" s="207">
        <v>0</v>
      </c>
      <c r="I14" s="207">
        <v>0</v>
      </c>
      <c r="J14" s="37">
        <f t="shared" si="1"/>
        <v>0</v>
      </c>
      <c r="K14" s="37">
        <f t="shared" si="2"/>
        <v>0</v>
      </c>
      <c r="L14" s="211"/>
      <c r="M14" s="208">
        <f t="shared" si="3"/>
        <v>39.130999999761116</v>
      </c>
      <c r="N14" s="37"/>
      <c r="O14" s="28"/>
    </row>
    <row r="15" spans="1:15" ht="15">
      <c r="A15" s="26">
        <v>12</v>
      </c>
      <c r="B15" s="27">
        <v>45912</v>
      </c>
      <c r="C15" s="111"/>
      <c r="D15" s="111"/>
      <c r="E15" s="37"/>
      <c r="F15" s="37">
        <v>0</v>
      </c>
      <c r="G15" s="37">
        <f t="shared" si="0"/>
        <v>0</v>
      </c>
      <c r="H15" s="207">
        <v>0</v>
      </c>
      <c r="I15" s="207">
        <v>0</v>
      </c>
      <c r="J15" s="37">
        <f t="shared" si="1"/>
        <v>0</v>
      </c>
      <c r="K15" s="37">
        <f t="shared" si="2"/>
        <v>0</v>
      </c>
      <c r="L15" s="211"/>
      <c r="M15" s="208">
        <f t="shared" si="3"/>
        <v>39.130999999761116</v>
      </c>
      <c r="N15" s="37"/>
      <c r="O15" s="28"/>
    </row>
    <row r="16" spans="1:15" ht="15">
      <c r="A16" s="26">
        <v>13</v>
      </c>
      <c r="B16" s="27">
        <v>45913</v>
      </c>
      <c r="C16" s="111"/>
      <c r="D16" s="111"/>
      <c r="E16" s="37"/>
      <c r="F16" s="37">
        <v>0</v>
      </c>
      <c r="G16" s="37">
        <f t="shared" si="0"/>
        <v>0</v>
      </c>
      <c r="H16" s="207">
        <v>0</v>
      </c>
      <c r="I16" s="207">
        <v>0</v>
      </c>
      <c r="J16" s="37">
        <f t="shared" si="1"/>
        <v>0</v>
      </c>
      <c r="K16" s="37">
        <f t="shared" si="2"/>
        <v>0</v>
      </c>
      <c r="L16" s="211"/>
      <c r="M16" s="208">
        <f t="shared" si="3"/>
        <v>39.130999999761116</v>
      </c>
      <c r="N16" s="37"/>
      <c r="O16" s="28"/>
    </row>
    <row r="17" spans="1:15" ht="15">
      <c r="A17" s="26">
        <v>14</v>
      </c>
      <c r="B17" s="27">
        <v>45914</v>
      </c>
      <c r="C17" s="111"/>
      <c r="D17" s="111"/>
      <c r="E17" s="37"/>
      <c r="F17" s="37">
        <v>0</v>
      </c>
      <c r="G17" s="37">
        <f t="shared" si="0"/>
        <v>0</v>
      </c>
      <c r="H17" s="207">
        <v>0</v>
      </c>
      <c r="I17" s="207">
        <v>0</v>
      </c>
      <c r="J17" s="37">
        <f t="shared" si="1"/>
        <v>0</v>
      </c>
      <c r="K17" s="37">
        <f t="shared" si="2"/>
        <v>0</v>
      </c>
      <c r="L17" s="211"/>
      <c r="M17" s="208">
        <f t="shared" si="3"/>
        <v>39.130999999761116</v>
      </c>
      <c r="N17" s="37"/>
      <c r="O17" s="28"/>
    </row>
    <row r="18" spans="1:15" ht="15">
      <c r="A18" s="26">
        <v>15</v>
      </c>
      <c r="B18" s="27">
        <v>45915</v>
      </c>
      <c r="C18" s="111"/>
      <c r="D18" s="111"/>
      <c r="E18" s="37"/>
      <c r="F18" s="37">
        <v>0</v>
      </c>
      <c r="G18" s="37">
        <f t="shared" si="0"/>
        <v>0</v>
      </c>
      <c r="H18" s="207">
        <v>0</v>
      </c>
      <c r="I18" s="207">
        <v>0</v>
      </c>
      <c r="J18" s="37">
        <f t="shared" si="1"/>
        <v>0</v>
      </c>
      <c r="K18" s="37">
        <f t="shared" si="2"/>
        <v>0</v>
      </c>
      <c r="L18" s="211"/>
      <c r="M18" s="208">
        <f t="shared" si="3"/>
        <v>39.130999999761116</v>
      </c>
      <c r="N18" s="37"/>
      <c r="O18" s="28"/>
    </row>
    <row r="19" spans="1:15" ht="15">
      <c r="A19" s="26">
        <v>16</v>
      </c>
      <c r="B19" s="27">
        <v>45916</v>
      </c>
      <c r="C19" s="111"/>
      <c r="D19" s="111"/>
      <c r="E19" s="37"/>
      <c r="F19" s="37">
        <v>0</v>
      </c>
      <c r="G19" s="37">
        <f t="shared" si="0"/>
        <v>0</v>
      </c>
      <c r="H19" s="207">
        <v>0</v>
      </c>
      <c r="I19" s="207">
        <v>0</v>
      </c>
      <c r="J19" s="37">
        <f t="shared" si="1"/>
        <v>0</v>
      </c>
      <c r="K19" s="37">
        <f t="shared" si="2"/>
        <v>0</v>
      </c>
      <c r="L19" s="211"/>
      <c r="M19" s="208">
        <f t="shared" si="3"/>
        <v>39.130999999761116</v>
      </c>
      <c r="N19" s="37"/>
      <c r="O19" s="28"/>
    </row>
    <row r="20" spans="1:15" ht="15">
      <c r="A20" s="26">
        <v>17</v>
      </c>
      <c r="B20" s="27">
        <v>45917</v>
      </c>
      <c r="C20" s="111"/>
      <c r="D20" s="111"/>
      <c r="E20" s="37"/>
      <c r="F20" s="37">
        <v>0</v>
      </c>
      <c r="G20" s="37">
        <f t="shared" si="0"/>
        <v>0</v>
      </c>
      <c r="H20" s="207">
        <v>0</v>
      </c>
      <c r="I20" s="207">
        <v>0</v>
      </c>
      <c r="J20" s="37">
        <f t="shared" si="1"/>
        <v>0</v>
      </c>
      <c r="K20" s="37">
        <f t="shared" si="2"/>
        <v>0</v>
      </c>
      <c r="L20" s="211"/>
      <c r="M20" s="208">
        <f t="shared" si="3"/>
        <v>39.130999999761116</v>
      </c>
      <c r="N20" s="37"/>
      <c r="O20" s="28"/>
    </row>
    <row r="21" spans="1:15" ht="15">
      <c r="A21" s="26">
        <v>18</v>
      </c>
      <c r="B21" s="27">
        <v>45918</v>
      </c>
      <c r="C21" s="111"/>
      <c r="D21" s="111"/>
      <c r="E21" s="37"/>
      <c r="F21" s="37">
        <v>0</v>
      </c>
      <c r="G21" s="37">
        <f t="shared" si="0"/>
        <v>0</v>
      </c>
      <c r="H21" s="207">
        <v>0</v>
      </c>
      <c r="I21" s="207">
        <v>0</v>
      </c>
      <c r="J21" s="37">
        <f t="shared" si="1"/>
        <v>0</v>
      </c>
      <c r="K21" s="37">
        <f t="shared" si="2"/>
        <v>0</v>
      </c>
      <c r="L21" s="211"/>
      <c r="M21" s="208">
        <f t="shared" si="3"/>
        <v>39.130999999761116</v>
      </c>
      <c r="N21" s="37"/>
      <c r="O21" s="28"/>
    </row>
    <row r="22" spans="1:15" ht="15">
      <c r="A22" s="26">
        <v>19</v>
      </c>
      <c r="B22" s="27">
        <v>45919</v>
      </c>
      <c r="C22" s="111"/>
      <c r="D22" s="111"/>
      <c r="E22" s="37"/>
      <c r="F22" s="37">
        <v>0</v>
      </c>
      <c r="G22" s="37">
        <f t="shared" si="0"/>
        <v>0</v>
      </c>
      <c r="H22" s="207">
        <v>0</v>
      </c>
      <c r="I22" s="207">
        <v>0</v>
      </c>
      <c r="J22" s="37">
        <f t="shared" si="1"/>
        <v>0</v>
      </c>
      <c r="K22" s="37">
        <f t="shared" si="2"/>
        <v>0</v>
      </c>
      <c r="L22" s="211"/>
      <c r="M22" s="208">
        <f t="shared" si="3"/>
        <v>39.130999999761116</v>
      </c>
      <c r="N22" s="37"/>
      <c r="O22" s="28"/>
    </row>
    <row r="23" spans="1:15" ht="15">
      <c r="A23" s="26">
        <v>20</v>
      </c>
      <c r="B23" s="27">
        <v>45920</v>
      </c>
      <c r="C23" s="111"/>
      <c r="D23" s="111"/>
      <c r="E23" s="37"/>
      <c r="F23" s="37">
        <v>0</v>
      </c>
      <c r="G23" s="37">
        <f t="shared" ref="G23:G32" si="4">E23*F23</f>
        <v>0</v>
      </c>
      <c r="H23" s="207">
        <v>0</v>
      </c>
      <c r="I23" s="207">
        <v>0</v>
      </c>
      <c r="J23" s="37">
        <f t="shared" ref="J23:J32" si="5">H23*I23</f>
        <v>0</v>
      </c>
      <c r="K23" s="37">
        <f t="shared" ref="K23:K32" si="6">G23+J23</f>
        <v>0</v>
      </c>
      <c r="L23" s="211"/>
      <c r="M23" s="208">
        <f t="shared" si="3"/>
        <v>39.130999999761116</v>
      </c>
      <c r="N23" s="37"/>
      <c r="O23" s="28"/>
    </row>
    <row r="24" spans="1:15" ht="15">
      <c r="A24" s="26">
        <v>21</v>
      </c>
      <c r="B24" s="27">
        <v>45921</v>
      </c>
      <c r="C24" s="111"/>
      <c r="D24" s="111"/>
      <c r="E24" s="37"/>
      <c r="F24" s="37">
        <v>0</v>
      </c>
      <c r="G24" s="37">
        <f t="shared" si="4"/>
        <v>0</v>
      </c>
      <c r="H24" s="207">
        <v>0</v>
      </c>
      <c r="I24" s="207">
        <v>0</v>
      </c>
      <c r="J24" s="37">
        <f t="shared" si="5"/>
        <v>0</v>
      </c>
      <c r="K24" s="37">
        <f t="shared" si="6"/>
        <v>0</v>
      </c>
      <c r="L24" s="211"/>
      <c r="M24" s="208">
        <f t="shared" si="3"/>
        <v>39.130999999761116</v>
      </c>
      <c r="N24" s="37"/>
      <c r="O24" s="28"/>
    </row>
    <row r="25" spans="1:15" ht="15">
      <c r="A25" s="26">
        <v>22</v>
      </c>
      <c r="B25" s="27">
        <v>45922</v>
      </c>
      <c r="C25" s="111"/>
      <c r="D25" s="111"/>
      <c r="E25" s="37"/>
      <c r="F25" s="37">
        <v>0</v>
      </c>
      <c r="G25" s="37">
        <f t="shared" si="4"/>
        <v>0</v>
      </c>
      <c r="H25" s="207">
        <v>0</v>
      </c>
      <c r="I25" s="207">
        <v>0</v>
      </c>
      <c r="J25" s="37">
        <f t="shared" si="5"/>
        <v>0</v>
      </c>
      <c r="K25" s="37">
        <f t="shared" si="6"/>
        <v>0</v>
      </c>
      <c r="L25" s="211"/>
      <c r="M25" s="208">
        <f t="shared" si="3"/>
        <v>39.130999999761116</v>
      </c>
      <c r="N25" s="37"/>
      <c r="O25" s="28"/>
    </row>
    <row r="26" spans="1:15" ht="15">
      <c r="A26" s="26">
        <v>23</v>
      </c>
      <c r="B26" s="27">
        <v>45923</v>
      </c>
      <c r="C26" s="111"/>
      <c r="D26" s="111"/>
      <c r="E26" s="37"/>
      <c r="F26" s="37">
        <v>0</v>
      </c>
      <c r="G26" s="37">
        <f t="shared" si="4"/>
        <v>0</v>
      </c>
      <c r="H26" s="207">
        <v>110</v>
      </c>
      <c r="I26" s="207">
        <v>104.27</v>
      </c>
      <c r="J26" s="37">
        <f t="shared" si="5"/>
        <v>11469.699999999999</v>
      </c>
      <c r="K26" s="37">
        <f t="shared" si="6"/>
        <v>11469.699999999999</v>
      </c>
      <c r="L26" s="211"/>
      <c r="M26" s="208">
        <f t="shared" si="3"/>
        <v>11508.83099999976</v>
      </c>
      <c r="N26" s="37"/>
      <c r="O26" s="28"/>
    </row>
    <row r="27" spans="1:15" ht="15">
      <c r="A27" s="26">
        <v>24</v>
      </c>
      <c r="B27" s="27">
        <v>45924</v>
      </c>
      <c r="C27" s="111"/>
      <c r="D27" s="111"/>
      <c r="E27" s="37"/>
      <c r="F27" s="37">
        <v>0</v>
      </c>
      <c r="G27" s="37">
        <f t="shared" si="4"/>
        <v>0</v>
      </c>
      <c r="H27" s="207">
        <v>0</v>
      </c>
      <c r="I27" s="207">
        <v>0</v>
      </c>
      <c r="J27" s="37">
        <f t="shared" si="5"/>
        <v>0</v>
      </c>
      <c r="K27" s="37">
        <f t="shared" si="6"/>
        <v>0</v>
      </c>
      <c r="L27" s="211"/>
      <c r="M27" s="208">
        <f t="shared" si="3"/>
        <v>11508.83099999976</v>
      </c>
      <c r="N27" s="37"/>
      <c r="O27" s="28"/>
    </row>
    <row r="28" spans="1:15" ht="15">
      <c r="A28" s="26">
        <v>25</v>
      </c>
      <c r="B28" s="27">
        <v>45925</v>
      </c>
      <c r="C28" s="111"/>
      <c r="D28" s="111"/>
      <c r="E28" s="37"/>
      <c r="F28" s="37">
        <v>0</v>
      </c>
      <c r="G28" s="37">
        <f t="shared" si="4"/>
        <v>0</v>
      </c>
      <c r="H28" s="207">
        <v>0</v>
      </c>
      <c r="I28" s="207">
        <v>0</v>
      </c>
      <c r="J28" s="37">
        <f t="shared" si="5"/>
        <v>0</v>
      </c>
      <c r="K28" s="37">
        <f t="shared" si="6"/>
        <v>0</v>
      </c>
      <c r="L28" s="211"/>
      <c r="M28" s="208">
        <f>M27+K28-L28</f>
        <v>11508.83099999976</v>
      </c>
      <c r="N28" s="37"/>
      <c r="O28" s="28"/>
    </row>
    <row r="29" spans="1:15" ht="15">
      <c r="A29" s="26">
        <v>26</v>
      </c>
      <c r="B29" s="27">
        <v>45926</v>
      </c>
      <c r="C29" s="111"/>
      <c r="D29" s="111"/>
      <c r="E29" s="37"/>
      <c r="F29" s="37">
        <v>0</v>
      </c>
      <c r="G29" s="37">
        <f t="shared" si="4"/>
        <v>0</v>
      </c>
      <c r="H29" s="207">
        <v>0</v>
      </c>
      <c r="I29" s="207">
        <v>0</v>
      </c>
      <c r="J29" s="37">
        <f t="shared" si="5"/>
        <v>0</v>
      </c>
      <c r="K29" s="37">
        <f t="shared" si="6"/>
        <v>0</v>
      </c>
      <c r="L29" s="211"/>
      <c r="M29" s="208">
        <f t="shared" si="3"/>
        <v>11508.83099999976</v>
      </c>
      <c r="N29" s="37"/>
      <c r="O29" s="28"/>
    </row>
    <row r="30" spans="1:15" ht="15">
      <c r="A30" s="26">
        <v>27</v>
      </c>
      <c r="B30" s="27">
        <v>45927</v>
      </c>
      <c r="C30" s="111"/>
      <c r="D30" s="111"/>
      <c r="E30" s="37"/>
      <c r="F30" s="37">
        <v>0</v>
      </c>
      <c r="G30" s="37">
        <f t="shared" si="4"/>
        <v>0</v>
      </c>
      <c r="H30" s="207">
        <v>0</v>
      </c>
      <c r="I30" s="207">
        <v>0</v>
      </c>
      <c r="J30" s="37">
        <f t="shared" si="5"/>
        <v>0</v>
      </c>
      <c r="K30" s="37">
        <f t="shared" si="6"/>
        <v>0</v>
      </c>
      <c r="L30" s="211"/>
      <c r="M30" s="208">
        <f t="shared" si="3"/>
        <v>11508.83099999976</v>
      </c>
      <c r="N30" s="37"/>
      <c r="O30" s="28"/>
    </row>
    <row r="31" spans="1:15" ht="15">
      <c r="A31" s="26">
        <v>28</v>
      </c>
      <c r="B31" s="27">
        <v>45928</v>
      </c>
      <c r="C31" s="111"/>
      <c r="D31" s="111"/>
      <c r="E31" s="37"/>
      <c r="F31" s="37">
        <v>0</v>
      </c>
      <c r="G31" s="37">
        <f t="shared" si="4"/>
        <v>0</v>
      </c>
      <c r="H31" s="207">
        <v>0</v>
      </c>
      <c r="I31" s="207">
        <v>0</v>
      </c>
      <c r="J31" s="37">
        <f t="shared" si="5"/>
        <v>0</v>
      </c>
      <c r="K31" s="37">
        <f t="shared" si="6"/>
        <v>0</v>
      </c>
      <c r="L31" s="211"/>
      <c r="M31" s="208">
        <f t="shared" si="3"/>
        <v>11508.83099999976</v>
      </c>
      <c r="N31" s="37"/>
      <c r="O31" s="28"/>
    </row>
    <row r="32" spans="1:15" ht="15">
      <c r="A32" s="26">
        <v>29</v>
      </c>
      <c r="B32" s="27">
        <v>45929</v>
      </c>
      <c r="C32" s="111"/>
      <c r="D32" s="111"/>
      <c r="E32" s="37"/>
      <c r="F32" s="37">
        <v>0</v>
      </c>
      <c r="G32" s="37">
        <f t="shared" si="4"/>
        <v>0</v>
      </c>
      <c r="H32" s="207">
        <v>0</v>
      </c>
      <c r="I32" s="207">
        <v>0</v>
      </c>
      <c r="J32" s="37">
        <f t="shared" si="5"/>
        <v>0</v>
      </c>
      <c r="K32" s="37">
        <f t="shared" si="6"/>
        <v>0</v>
      </c>
      <c r="L32" s="211"/>
      <c r="M32" s="208">
        <f t="shared" si="3"/>
        <v>11508.83099999976</v>
      </c>
      <c r="N32" s="227"/>
      <c r="O32" s="28"/>
    </row>
    <row r="33" spans="1:15" ht="15">
      <c r="A33" s="26">
        <v>30</v>
      </c>
      <c r="B33" s="27">
        <v>45930</v>
      </c>
      <c r="C33" s="111"/>
      <c r="D33" s="111"/>
      <c r="E33" s="37"/>
      <c r="F33" s="37">
        <v>0</v>
      </c>
      <c r="G33" s="37">
        <f t="shared" si="0"/>
        <v>0</v>
      </c>
      <c r="H33" s="207">
        <v>0</v>
      </c>
      <c r="I33" s="207">
        <v>0</v>
      </c>
      <c r="J33" s="37">
        <f t="shared" si="1"/>
        <v>0</v>
      </c>
      <c r="K33" s="37">
        <f t="shared" si="2"/>
        <v>0</v>
      </c>
      <c r="L33" s="211"/>
      <c r="M33" s="208">
        <f t="shared" si="3"/>
        <v>11508.83099999976</v>
      </c>
      <c r="N33" s="227"/>
      <c r="O33" s="28"/>
    </row>
    <row r="34" spans="1:15" ht="15">
      <c r="A34" s="26">
        <v>31</v>
      </c>
      <c r="B34" s="27"/>
      <c r="C34" s="111"/>
      <c r="D34" s="111"/>
      <c r="E34" s="37"/>
      <c r="F34" s="37">
        <v>0</v>
      </c>
      <c r="G34" s="37">
        <f t="shared" ref="G34" si="7">E34*F34</f>
        <v>0</v>
      </c>
      <c r="H34" s="207"/>
      <c r="I34" s="207"/>
      <c r="J34" s="37">
        <f t="shared" ref="J34" si="8">H34*I34</f>
        <v>0</v>
      </c>
      <c r="K34" s="37">
        <f t="shared" ref="K34" si="9">G34+J34</f>
        <v>0</v>
      </c>
      <c r="L34" s="211"/>
      <c r="M34" s="227"/>
      <c r="N34" s="227"/>
      <c r="O34" s="28"/>
    </row>
    <row r="35" spans="1:15">
      <c r="A35" s="44"/>
      <c r="B35" s="44"/>
      <c r="C35" s="213"/>
      <c r="D35" s="213"/>
      <c r="E35" s="214">
        <f>SUM(E4:E34)</f>
        <v>0</v>
      </c>
      <c r="F35" s="214"/>
      <c r="G35" s="214">
        <f>SUM(G4:G34)</f>
        <v>0</v>
      </c>
      <c r="H35" s="214">
        <f>SUM(H4:H34)</f>
        <v>110</v>
      </c>
      <c r="I35" s="214"/>
      <c r="J35" s="214">
        <f>SUM(J4:J34)</f>
        <v>11469.699999999999</v>
      </c>
      <c r="K35" s="214">
        <f>SUM(K4:K34)</f>
        <v>11469.699999999999</v>
      </c>
      <c r="L35" s="214">
        <f>SUM(L4:L31)</f>
        <v>417000</v>
      </c>
      <c r="M35" s="214"/>
      <c r="N35" s="214"/>
      <c r="O35" s="33"/>
    </row>
    <row r="36" spans="1:15">
      <c r="A36" s="30"/>
      <c r="B36" s="30"/>
      <c r="C36" s="30"/>
      <c r="D36" s="30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28"/>
    </row>
    <row r="37" spans="1:15">
      <c r="A37" s="28"/>
      <c r="B37" s="28"/>
      <c r="C37" s="28"/>
      <c r="D37" s="28"/>
      <c r="E37" s="28"/>
      <c r="F37" s="28"/>
      <c r="G37" s="31"/>
      <c r="H37" s="28"/>
      <c r="I37" s="28"/>
      <c r="J37" s="28"/>
      <c r="K37" s="28"/>
      <c r="L37" s="28"/>
      <c r="M37" s="28"/>
      <c r="N37" s="28"/>
      <c r="O37" s="32"/>
    </row>
    <row r="38" spans="1:15">
      <c r="A38" s="28"/>
      <c r="B38" s="403"/>
      <c r="C38" s="403"/>
      <c r="D38" s="403"/>
      <c r="E38" s="403"/>
      <c r="F38" s="28"/>
      <c r="G38" s="28"/>
      <c r="H38" s="28"/>
      <c r="I38" s="403"/>
      <c r="J38" s="403"/>
      <c r="K38" s="403"/>
      <c r="L38" s="403"/>
      <c r="M38" s="403"/>
      <c r="N38" s="403"/>
      <c r="O38" s="32"/>
    </row>
    <row r="39" spans="1:1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32"/>
    </row>
  </sheetData>
  <mergeCells count="4">
    <mergeCell ref="A1:N1"/>
    <mergeCell ref="B38:E38"/>
    <mergeCell ref="I38:N38"/>
    <mergeCell ref="A3:J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79681-750A-402D-B1B7-693CAD315F78}">
  <dimension ref="A1:AH38"/>
  <sheetViews>
    <sheetView workbookViewId="0">
      <pane ySplit="2" topLeftCell="A21" activePane="bottomLeft" state="frozen"/>
      <selection pane="bottomLeft" activeCell="M35" sqref="M35"/>
    </sheetView>
  </sheetViews>
  <sheetFormatPr defaultRowHeight="15"/>
  <cols>
    <col min="1" max="1" width="4.7109375" style="47" bestFit="1" customWidth="1"/>
    <col min="2" max="2" width="10.42578125" style="47" bestFit="1" customWidth="1"/>
    <col min="3" max="3" width="7.140625" style="47" bestFit="1" customWidth="1"/>
    <col min="4" max="4" width="16" style="47" bestFit="1" customWidth="1"/>
    <col min="5" max="5" width="9.7109375" style="47" bestFit="1" customWidth="1"/>
    <col min="6" max="6" width="11.5703125" style="47" bestFit="1" customWidth="1"/>
    <col min="7" max="7" width="11.85546875" style="47" bestFit="1" customWidth="1"/>
    <col min="8" max="8" width="10.42578125" style="47" bestFit="1" customWidth="1"/>
    <col min="9" max="9" width="7.140625" style="47" bestFit="1" customWidth="1"/>
    <col min="10" max="10" width="10.85546875" style="53" bestFit="1" customWidth="1"/>
    <col min="11" max="11" width="11.85546875" style="47" bestFit="1" customWidth="1"/>
    <col min="12" max="12" width="12.42578125" style="53" bestFit="1" customWidth="1"/>
    <col min="13" max="13" width="12.42578125" style="53" customWidth="1"/>
    <col min="14" max="14" width="17.7109375" style="47" bestFit="1" customWidth="1"/>
    <col min="15" max="15" width="9.140625" style="47"/>
    <col min="16" max="16" width="11.85546875" style="47" bestFit="1" customWidth="1"/>
    <col min="17" max="16384" width="9.140625" style="47"/>
  </cols>
  <sheetData>
    <row r="1" spans="1:16">
      <c r="A1" s="405" t="s">
        <v>28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</row>
    <row r="2" spans="1:16">
      <c r="A2" s="91" t="s">
        <v>90</v>
      </c>
      <c r="B2" s="92" t="s">
        <v>91</v>
      </c>
      <c r="C2" s="92" t="s">
        <v>92</v>
      </c>
      <c r="D2" s="92" t="s">
        <v>93</v>
      </c>
      <c r="E2" s="92" t="s">
        <v>94</v>
      </c>
      <c r="F2" s="92" t="s">
        <v>95</v>
      </c>
      <c r="G2" s="92" t="s">
        <v>96</v>
      </c>
      <c r="H2" s="92" t="s">
        <v>97</v>
      </c>
      <c r="I2" s="92" t="s">
        <v>95</v>
      </c>
      <c r="J2" s="116" t="s">
        <v>96</v>
      </c>
      <c r="K2" s="92" t="s">
        <v>98</v>
      </c>
      <c r="L2" s="116" t="s">
        <v>99</v>
      </c>
      <c r="M2" s="115" t="s">
        <v>106</v>
      </c>
      <c r="N2" s="93" t="s">
        <v>101</v>
      </c>
      <c r="O2" s="33"/>
    </row>
    <row r="3" spans="1:16">
      <c r="A3" s="396" t="s">
        <v>102</v>
      </c>
      <c r="B3" s="400"/>
      <c r="C3" s="400"/>
      <c r="D3" s="400"/>
      <c r="E3" s="400"/>
      <c r="F3" s="400"/>
      <c r="G3" s="400"/>
      <c r="H3" s="400"/>
      <c r="I3" s="400"/>
      <c r="J3" s="406"/>
      <c r="K3" s="29">
        <v>284233.21451380022</v>
      </c>
      <c r="L3" s="48"/>
      <c r="M3" s="117">
        <f>+K3</f>
        <v>284233.21451380022</v>
      </c>
      <c r="N3" s="48"/>
      <c r="O3" s="33"/>
      <c r="P3" s="51"/>
    </row>
    <row r="4" spans="1:16">
      <c r="A4" s="26">
        <v>1</v>
      </c>
      <c r="B4" s="27">
        <v>45901</v>
      </c>
      <c r="C4" s="49" t="s">
        <v>111</v>
      </c>
      <c r="D4" s="50" t="s">
        <v>111</v>
      </c>
      <c r="E4" s="49">
        <v>1000</v>
      </c>
      <c r="F4" s="49">
        <v>91.3</v>
      </c>
      <c r="G4" s="48">
        <f t="shared" ref="G4" si="0">E4*F4</f>
        <v>91300</v>
      </c>
      <c r="H4" s="49">
        <v>105</v>
      </c>
      <c r="I4" s="49">
        <v>103.24</v>
      </c>
      <c r="J4" s="51">
        <f t="shared" ref="J4" si="1">H4*I4</f>
        <v>10840.199999999999</v>
      </c>
      <c r="K4" s="48">
        <f t="shared" ref="K4" si="2">G4+J4</f>
        <v>102140.2</v>
      </c>
      <c r="L4" s="112">
        <v>150000</v>
      </c>
      <c r="M4" s="51">
        <f>M3+K4-L4</f>
        <v>236373.41451380023</v>
      </c>
      <c r="N4" s="108"/>
    </row>
    <row r="5" spans="1:16">
      <c r="A5" s="26">
        <v>2</v>
      </c>
      <c r="B5" s="27">
        <v>45902</v>
      </c>
      <c r="C5" s="49" t="s">
        <v>111</v>
      </c>
      <c r="D5" s="50" t="s">
        <v>111</v>
      </c>
      <c r="E5" s="49">
        <v>0</v>
      </c>
      <c r="F5" s="49">
        <v>0</v>
      </c>
      <c r="G5" s="48">
        <f t="shared" ref="G5:G35" si="3">E5*F5</f>
        <v>0</v>
      </c>
      <c r="H5" s="49">
        <v>0</v>
      </c>
      <c r="I5" s="49">
        <v>0</v>
      </c>
      <c r="J5" s="51">
        <f t="shared" ref="J5:J35" si="4">H5*I5</f>
        <v>0</v>
      </c>
      <c r="K5" s="48">
        <f t="shared" ref="K5:K35" si="5">G5+J5</f>
        <v>0</v>
      </c>
      <c r="L5" s="112"/>
      <c r="M5" s="51">
        <f t="shared" ref="M5:M35" si="6">M4+K5-L5</f>
        <v>236373.41451380023</v>
      </c>
      <c r="N5" s="108"/>
    </row>
    <row r="6" spans="1:16">
      <c r="A6" s="26">
        <v>3</v>
      </c>
      <c r="B6" s="27">
        <v>45903</v>
      </c>
      <c r="C6" s="49" t="s">
        <v>111</v>
      </c>
      <c r="D6" s="50" t="s">
        <v>111</v>
      </c>
      <c r="E6" s="49">
        <v>0</v>
      </c>
      <c r="F6" s="49">
        <v>0</v>
      </c>
      <c r="G6" s="48">
        <f t="shared" si="3"/>
        <v>0</v>
      </c>
      <c r="H6" s="49">
        <v>0</v>
      </c>
      <c r="I6" s="49">
        <v>0</v>
      </c>
      <c r="J6" s="51">
        <f t="shared" si="4"/>
        <v>0</v>
      </c>
      <c r="K6" s="48">
        <f t="shared" si="5"/>
        <v>0</v>
      </c>
      <c r="L6" s="112"/>
      <c r="M6" s="51">
        <f t="shared" si="6"/>
        <v>236373.41451380023</v>
      </c>
      <c r="N6" s="114"/>
    </row>
    <row r="7" spans="1:16">
      <c r="A7" s="26">
        <v>4</v>
      </c>
      <c r="B7" s="27">
        <v>45904</v>
      </c>
      <c r="C7" s="49" t="s">
        <v>111</v>
      </c>
      <c r="D7" s="50" t="s">
        <v>111</v>
      </c>
      <c r="E7" s="49">
        <v>0</v>
      </c>
      <c r="F7" s="49">
        <v>0</v>
      </c>
      <c r="G7" s="48">
        <f t="shared" si="3"/>
        <v>0</v>
      </c>
      <c r="H7" s="49">
        <v>0</v>
      </c>
      <c r="I7" s="49">
        <v>0</v>
      </c>
      <c r="J7" s="51">
        <f t="shared" si="4"/>
        <v>0</v>
      </c>
      <c r="K7" s="48">
        <f t="shared" si="5"/>
        <v>0</v>
      </c>
      <c r="L7" s="112"/>
      <c r="M7" s="51">
        <f t="shared" si="6"/>
        <v>236373.41451380023</v>
      </c>
      <c r="N7" s="114"/>
    </row>
    <row r="8" spans="1:16">
      <c r="A8" s="26">
        <v>5</v>
      </c>
      <c r="B8" s="27">
        <v>45905</v>
      </c>
      <c r="C8" s="49" t="s">
        <v>111</v>
      </c>
      <c r="D8" s="50" t="s">
        <v>111</v>
      </c>
      <c r="E8" s="49">
        <v>0</v>
      </c>
      <c r="F8" s="49">
        <v>0</v>
      </c>
      <c r="G8" s="48">
        <f t="shared" si="3"/>
        <v>0</v>
      </c>
      <c r="H8" s="49">
        <v>0</v>
      </c>
      <c r="I8" s="49">
        <v>0</v>
      </c>
      <c r="J8" s="51">
        <f t="shared" si="4"/>
        <v>0</v>
      </c>
      <c r="K8" s="48">
        <f t="shared" si="5"/>
        <v>0</v>
      </c>
      <c r="L8" s="112"/>
      <c r="M8" s="51">
        <f t="shared" si="6"/>
        <v>236373.41451380023</v>
      </c>
      <c r="N8" s="108"/>
    </row>
    <row r="9" spans="1:16">
      <c r="A9" s="26">
        <v>6</v>
      </c>
      <c r="B9" s="27">
        <v>45906</v>
      </c>
      <c r="C9" s="49" t="s">
        <v>111</v>
      </c>
      <c r="D9" s="50" t="s">
        <v>111</v>
      </c>
      <c r="E9" s="49">
        <v>0</v>
      </c>
      <c r="F9" s="49">
        <v>0</v>
      </c>
      <c r="G9" s="48">
        <f t="shared" si="3"/>
        <v>0</v>
      </c>
      <c r="H9" s="49">
        <v>0</v>
      </c>
      <c r="I9" s="49">
        <v>0</v>
      </c>
      <c r="J9" s="51">
        <f t="shared" si="4"/>
        <v>0</v>
      </c>
      <c r="K9" s="48">
        <f t="shared" si="5"/>
        <v>0</v>
      </c>
      <c r="L9" s="112"/>
      <c r="M9" s="51">
        <f t="shared" si="6"/>
        <v>236373.41451380023</v>
      </c>
      <c r="N9" s="114"/>
    </row>
    <row r="10" spans="1:16">
      <c r="A10" s="26">
        <v>7</v>
      </c>
      <c r="B10" s="27">
        <v>45907</v>
      </c>
      <c r="C10" s="49" t="s">
        <v>111</v>
      </c>
      <c r="D10" s="50" t="s">
        <v>111</v>
      </c>
      <c r="E10" s="49">
        <v>0</v>
      </c>
      <c r="F10" s="49">
        <v>0</v>
      </c>
      <c r="G10" s="48">
        <f t="shared" si="3"/>
        <v>0</v>
      </c>
      <c r="H10" s="49">
        <v>0</v>
      </c>
      <c r="I10" s="49">
        <v>0</v>
      </c>
      <c r="J10" s="51">
        <f t="shared" si="4"/>
        <v>0</v>
      </c>
      <c r="K10" s="48">
        <f t="shared" si="5"/>
        <v>0</v>
      </c>
      <c r="L10" s="112"/>
      <c r="M10" s="51">
        <f t="shared" si="6"/>
        <v>236373.41451380023</v>
      </c>
      <c r="N10" s="108"/>
    </row>
    <row r="11" spans="1:16">
      <c r="A11" s="26">
        <v>8</v>
      </c>
      <c r="B11" s="27">
        <v>45908</v>
      </c>
      <c r="C11" s="49" t="s">
        <v>111</v>
      </c>
      <c r="D11" s="50" t="s">
        <v>111</v>
      </c>
      <c r="E11" s="49">
        <v>0</v>
      </c>
      <c r="F11" s="49">
        <v>0</v>
      </c>
      <c r="G11" s="48">
        <f t="shared" si="3"/>
        <v>0</v>
      </c>
      <c r="H11" s="49">
        <v>0</v>
      </c>
      <c r="I11" s="49">
        <v>0</v>
      </c>
      <c r="J11" s="51">
        <f t="shared" si="4"/>
        <v>0</v>
      </c>
      <c r="K11" s="48">
        <f t="shared" si="5"/>
        <v>0</v>
      </c>
      <c r="L11" s="112">
        <v>200000</v>
      </c>
      <c r="M11" s="51">
        <f t="shared" si="6"/>
        <v>36373.414513800235</v>
      </c>
      <c r="N11" s="113"/>
    </row>
    <row r="12" spans="1:16">
      <c r="A12" s="26">
        <v>9</v>
      </c>
      <c r="B12" s="27">
        <v>45909</v>
      </c>
      <c r="C12" s="49" t="s">
        <v>111</v>
      </c>
      <c r="D12" s="50" t="s">
        <v>111</v>
      </c>
      <c r="E12" s="49">
        <v>0</v>
      </c>
      <c r="F12" s="49">
        <v>0</v>
      </c>
      <c r="G12" s="48">
        <f t="shared" si="3"/>
        <v>0</v>
      </c>
      <c r="H12" s="49">
        <v>0</v>
      </c>
      <c r="I12" s="49">
        <v>0</v>
      </c>
      <c r="J12" s="51">
        <f t="shared" si="4"/>
        <v>0</v>
      </c>
      <c r="K12" s="48">
        <f t="shared" si="5"/>
        <v>0</v>
      </c>
      <c r="L12" s="112"/>
      <c r="M12" s="51">
        <f t="shared" si="6"/>
        <v>36373.414513800235</v>
      </c>
      <c r="N12" s="108"/>
    </row>
    <row r="13" spans="1:16">
      <c r="A13" s="26">
        <v>10</v>
      </c>
      <c r="B13" s="27">
        <v>45910</v>
      </c>
      <c r="C13" s="49" t="s">
        <v>111</v>
      </c>
      <c r="D13" s="50" t="s">
        <v>111</v>
      </c>
      <c r="E13" s="49">
        <v>0</v>
      </c>
      <c r="F13" s="49">
        <v>0</v>
      </c>
      <c r="G13" s="48">
        <f t="shared" si="3"/>
        <v>0</v>
      </c>
      <c r="H13" s="49">
        <v>0</v>
      </c>
      <c r="I13" s="49">
        <v>0</v>
      </c>
      <c r="J13" s="51">
        <f t="shared" si="4"/>
        <v>0</v>
      </c>
      <c r="K13" s="48">
        <f t="shared" si="5"/>
        <v>0</v>
      </c>
      <c r="L13" s="112"/>
      <c r="M13" s="51">
        <f t="shared" si="6"/>
        <v>36373.414513800235</v>
      </c>
      <c r="N13" s="108"/>
    </row>
    <row r="14" spans="1:16">
      <c r="A14" s="26">
        <v>11</v>
      </c>
      <c r="B14" s="27">
        <v>45911</v>
      </c>
      <c r="C14" s="49" t="s">
        <v>111</v>
      </c>
      <c r="D14" s="50" t="s">
        <v>111</v>
      </c>
      <c r="E14" s="49">
        <v>0</v>
      </c>
      <c r="F14" s="49">
        <v>0</v>
      </c>
      <c r="G14" s="48">
        <f t="shared" si="3"/>
        <v>0</v>
      </c>
      <c r="H14" s="49">
        <v>0</v>
      </c>
      <c r="I14" s="49">
        <v>0</v>
      </c>
      <c r="J14" s="51">
        <f t="shared" si="4"/>
        <v>0</v>
      </c>
      <c r="K14" s="48">
        <f t="shared" si="5"/>
        <v>0</v>
      </c>
      <c r="L14" s="112"/>
      <c r="M14" s="51">
        <f t="shared" si="6"/>
        <v>36373.414513800235</v>
      </c>
      <c r="N14" s="108"/>
    </row>
    <row r="15" spans="1:16">
      <c r="A15" s="26">
        <v>12</v>
      </c>
      <c r="B15" s="27">
        <v>45912</v>
      </c>
      <c r="C15" s="49" t="s">
        <v>111</v>
      </c>
      <c r="D15" s="50" t="s">
        <v>111</v>
      </c>
      <c r="E15" s="49">
        <v>0</v>
      </c>
      <c r="F15" s="49">
        <v>0</v>
      </c>
      <c r="G15" s="48">
        <f t="shared" si="3"/>
        <v>0</v>
      </c>
      <c r="H15" s="49">
        <v>0</v>
      </c>
      <c r="I15" s="49">
        <v>0</v>
      </c>
      <c r="J15" s="51">
        <f t="shared" si="4"/>
        <v>0</v>
      </c>
      <c r="K15" s="48">
        <f t="shared" si="5"/>
        <v>0</v>
      </c>
      <c r="L15" s="112"/>
      <c r="M15" s="51">
        <f t="shared" si="6"/>
        <v>36373.414513800235</v>
      </c>
      <c r="N15" s="108"/>
    </row>
    <row r="16" spans="1:16">
      <c r="A16" s="26">
        <v>13</v>
      </c>
      <c r="B16" s="27">
        <v>45913</v>
      </c>
      <c r="C16" s="49" t="s">
        <v>111</v>
      </c>
      <c r="D16" s="50" t="s">
        <v>111</v>
      </c>
      <c r="E16" s="49">
        <v>0</v>
      </c>
      <c r="F16" s="49">
        <v>0</v>
      </c>
      <c r="G16" s="48">
        <f t="shared" si="3"/>
        <v>0</v>
      </c>
      <c r="H16" s="49">
        <v>0</v>
      </c>
      <c r="I16" s="49">
        <v>0</v>
      </c>
      <c r="J16" s="51">
        <f t="shared" si="4"/>
        <v>0</v>
      </c>
      <c r="K16" s="48">
        <f t="shared" si="5"/>
        <v>0</v>
      </c>
      <c r="L16" s="112"/>
      <c r="M16" s="51">
        <f t="shared" si="6"/>
        <v>36373.414513800235</v>
      </c>
      <c r="N16" s="108"/>
    </row>
    <row r="17" spans="1:14">
      <c r="A17" s="26">
        <v>14</v>
      </c>
      <c r="B17" s="27">
        <v>45914</v>
      </c>
      <c r="C17" s="49" t="s">
        <v>111</v>
      </c>
      <c r="D17" s="50" t="s">
        <v>111</v>
      </c>
      <c r="E17" s="49">
        <v>0</v>
      </c>
      <c r="F17" s="49">
        <v>0</v>
      </c>
      <c r="G17" s="48">
        <f t="shared" si="3"/>
        <v>0</v>
      </c>
      <c r="H17" s="49">
        <v>0</v>
      </c>
      <c r="I17" s="49">
        <v>0</v>
      </c>
      <c r="J17" s="51">
        <f t="shared" si="4"/>
        <v>0</v>
      </c>
      <c r="K17" s="48">
        <f t="shared" si="5"/>
        <v>0</v>
      </c>
      <c r="L17" s="112"/>
      <c r="M17" s="51">
        <f t="shared" si="6"/>
        <v>36373.414513800235</v>
      </c>
      <c r="N17" s="108"/>
    </row>
    <row r="18" spans="1:14">
      <c r="A18" s="26">
        <v>15</v>
      </c>
      <c r="B18" s="27">
        <v>45915</v>
      </c>
      <c r="C18" s="49" t="s">
        <v>111</v>
      </c>
      <c r="D18" s="50" t="s">
        <v>111</v>
      </c>
      <c r="E18" s="49">
        <v>0</v>
      </c>
      <c r="F18" s="49">
        <v>0</v>
      </c>
      <c r="G18" s="48">
        <f t="shared" si="3"/>
        <v>0</v>
      </c>
      <c r="H18" s="49">
        <v>0</v>
      </c>
      <c r="I18" s="49">
        <v>0</v>
      </c>
      <c r="J18" s="51">
        <f t="shared" si="4"/>
        <v>0</v>
      </c>
      <c r="K18" s="48">
        <f t="shared" si="5"/>
        <v>0</v>
      </c>
      <c r="L18" s="112"/>
      <c r="M18" s="51">
        <f t="shared" si="6"/>
        <v>36373.414513800235</v>
      </c>
      <c r="N18" s="108"/>
    </row>
    <row r="19" spans="1:14">
      <c r="A19" s="26">
        <v>16</v>
      </c>
      <c r="B19" s="27">
        <v>45916</v>
      </c>
      <c r="C19" s="49" t="s">
        <v>111</v>
      </c>
      <c r="D19" s="50" t="s">
        <v>111</v>
      </c>
      <c r="E19" s="49">
        <v>2000</v>
      </c>
      <c r="F19" s="49">
        <v>91.3</v>
      </c>
      <c r="G19" s="48">
        <f t="shared" si="3"/>
        <v>182600</v>
      </c>
      <c r="H19" s="49">
        <v>105</v>
      </c>
      <c r="I19" s="49">
        <v>103.25</v>
      </c>
      <c r="J19" s="51">
        <f t="shared" si="4"/>
        <v>10841.25</v>
      </c>
      <c r="K19" s="48">
        <f t="shared" si="5"/>
        <v>193441.25</v>
      </c>
      <c r="L19" s="112"/>
      <c r="M19" s="51">
        <f t="shared" si="6"/>
        <v>229814.66451380023</v>
      </c>
      <c r="N19" s="108"/>
    </row>
    <row r="20" spans="1:14">
      <c r="A20" s="26">
        <v>17</v>
      </c>
      <c r="B20" s="27">
        <v>45917</v>
      </c>
      <c r="C20" s="49" t="s">
        <v>111</v>
      </c>
      <c r="D20" s="50" t="s">
        <v>111</v>
      </c>
      <c r="E20" s="49">
        <v>0</v>
      </c>
      <c r="F20" s="49">
        <v>0</v>
      </c>
      <c r="G20" s="48">
        <f t="shared" si="3"/>
        <v>0</v>
      </c>
      <c r="H20" s="49">
        <v>0</v>
      </c>
      <c r="I20" s="49">
        <v>0</v>
      </c>
      <c r="J20" s="51">
        <f t="shared" si="4"/>
        <v>0</v>
      </c>
      <c r="K20" s="48">
        <f t="shared" si="5"/>
        <v>0</v>
      </c>
      <c r="L20" s="112"/>
      <c r="M20" s="51">
        <f t="shared" si="6"/>
        <v>229814.66451380023</v>
      </c>
      <c r="N20" s="108"/>
    </row>
    <row r="21" spans="1:14">
      <c r="A21" s="26">
        <v>18</v>
      </c>
      <c r="B21" s="27">
        <v>45918</v>
      </c>
      <c r="C21" s="49" t="s">
        <v>111</v>
      </c>
      <c r="D21" s="50" t="s">
        <v>111</v>
      </c>
      <c r="E21" s="49">
        <v>0</v>
      </c>
      <c r="F21" s="49">
        <v>0</v>
      </c>
      <c r="G21" s="48">
        <f t="shared" si="3"/>
        <v>0</v>
      </c>
      <c r="H21" s="49">
        <v>0</v>
      </c>
      <c r="I21" s="49">
        <v>0</v>
      </c>
      <c r="J21" s="51">
        <f t="shared" si="4"/>
        <v>0</v>
      </c>
      <c r="K21" s="48">
        <f t="shared" si="5"/>
        <v>0</v>
      </c>
      <c r="L21" s="112"/>
      <c r="M21" s="51">
        <f t="shared" si="6"/>
        <v>229814.66451380023</v>
      </c>
      <c r="N21" s="108"/>
    </row>
    <row r="22" spans="1:14">
      <c r="A22" s="26">
        <v>19</v>
      </c>
      <c r="B22" s="27">
        <v>45919</v>
      </c>
      <c r="C22" s="49" t="s">
        <v>111</v>
      </c>
      <c r="D22" s="50" t="s">
        <v>111</v>
      </c>
      <c r="E22" s="49">
        <v>0</v>
      </c>
      <c r="F22" s="49">
        <v>0</v>
      </c>
      <c r="G22" s="48">
        <f t="shared" si="3"/>
        <v>0</v>
      </c>
      <c r="H22" s="49">
        <v>0</v>
      </c>
      <c r="I22" s="49">
        <v>0</v>
      </c>
      <c r="J22" s="51">
        <f t="shared" si="4"/>
        <v>0</v>
      </c>
      <c r="K22" s="48">
        <f t="shared" si="5"/>
        <v>0</v>
      </c>
      <c r="L22" s="112"/>
      <c r="M22" s="51">
        <f t="shared" si="6"/>
        <v>229814.66451380023</v>
      </c>
      <c r="N22" s="108"/>
    </row>
    <row r="23" spans="1:14">
      <c r="A23" s="26">
        <v>20</v>
      </c>
      <c r="B23" s="27">
        <v>45920</v>
      </c>
      <c r="C23" s="49" t="s">
        <v>111</v>
      </c>
      <c r="D23" s="50" t="s">
        <v>111</v>
      </c>
      <c r="E23" s="49">
        <v>0</v>
      </c>
      <c r="F23" s="49">
        <v>0</v>
      </c>
      <c r="G23" s="48">
        <f t="shared" si="3"/>
        <v>0</v>
      </c>
      <c r="H23" s="49">
        <v>0</v>
      </c>
      <c r="I23" s="49">
        <v>0</v>
      </c>
      <c r="J23" s="51">
        <f t="shared" si="4"/>
        <v>0</v>
      </c>
      <c r="K23" s="48">
        <f t="shared" si="5"/>
        <v>0</v>
      </c>
      <c r="L23" s="112"/>
      <c r="M23" s="51">
        <f t="shared" si="6"/>
        <v>229814.66451380023</v>
      </c>
      <c r="N23" s="108"/>
    </row>
    <row r="24" spans="1:14">
      <c r="A24" s="26">
        <v>21</v>
      </c>
      <c r="B24" s="27">
        <v>45921</v>
      </c>
      <c r="C24" s="49" t="s">
        <v>111</v>
      </c>
      <c r="D24" s="50" t="s">
        <v>111</v>
      </c>
      <c r="E24" s="49">
        <v>0</v>
      </c>
      <c r="F24" s="49">
        <v>0</v>
      </c>
      <c r="G24" s="48">
        <f t="shared" si="3"/>
        <v>0</v>
      </c>
      <c r="H24" s="49">
        <v>0</v>
      </c>
      <c r="I24" s="49">
        <v>0</v>
      </c>
      <c r="J24" s="51">
        <f t="shared" si="4"/>
        <v>0</v>
      </c>
      <c r="K24" s="48">
        <f t="shared" si="5"/>
        <v>0</v>
      </c>
      <c r="L24" s="112"/>
      <c r="M24" s="51">
        <f t="shared" si="6"/>
        <v>229814.66451380023</v>
      </c>
      <c r="N24" s="108"/>
    </row>
    <row r="25" spans="1:14">
      <c r="A25" s="26">
        <v>22</v>
      </c>
      <c r="B25" s="27">
        <v>45922</v>
      </c>
      <c r="C25" s="49" t="s">
        <v>111</v>
      </c>
      <c r="D25" s="50" t="s">
        <v>111</v>
      </c>
      <c r="E25" s="49">
        <v>0</v>
      </c>
      <c r="F25" s="49">
        <v>0</v>
      </c>
      <c r="G25" s="48">
        <f t="shared" si="3"/>
        <v>0</v>
      </c>
      <c r="H25" s="49">
        <v>0</v>
      </c>
      <c r="I25" s="49">
        <v>0</v>
      </c>
      <c r="J25" s="51">
        <f t="shared" si="4"/>
        <v>0</v>
      </c>
      <c r="K25" s="48">
        <f t="shared" si="5"/>
        <v>0</v>
      </c>
      <c r="L25" s="112"/>
      <c r="M25" s="51">
        <f t="shared" si="6"/>
        <v>229814.66451380023</v>
      </c>
      <c r="N25" s="108"/>
    </row>
    <row r="26" spans="1:14">
      <c r="A26" s="26">
        <v>23</v>
      </c>
      <c r="B26" s="27">
        <v>45923</v>
      </c>
      <c r="C26" s="49" t="s">
        <v>111</v>
      </c>
      <c r="D26" s="50" t="s">
        <v>111</v>
      </c>
      <c r="E26" s="49">
        <v>0</v>
      </c>
      <c r="F26" s="49">
        <v>0</v>
      </c>
      <c r="G26" s="48">
        <f t="shared" si="3"/>
        <v>0</v>
      </c>
      <c r="H26" s="49">
        <v>0</v>
      </c>
      <c r="I26" s="49">
        <v>0</v>
      </c>
      <c r="J26" s="51">
        <f t="shared" si="4"/>
        <v>0</v>
      </c>
      <c r="K26" s="48">
        <f t="shared" si="5"/>
        <v>0</v>
      </c>
      <c r="L26" s="112"/>
      <c r="M26" s="51">
        <f t="shared" si="6"/>
        <v>229814.66451380023</v>
      </c>
      <c r="N26" s="108"/>
    </row>
    <row r="27" spans="1:14">
      <c r="A27" s="26">
        <v>24</v>
      </c>
      <c r="B27" s="27">
        <v>45924</v>
      </c>
      <c r="C27" s="49" t="s">
        <v>111</v>
      </c>
      <c r="D27" s="50" t="s">
        <v>111</v>
      </c>
      <c r="E27" s="49">
        <v>0</v>
      </c>
      <c r="F27" s="49">
        <v>0</v>
      </c>
      <c r="G27" s="48">
        <f t="shared" si="3"/>
        <v>0</v>
      </c>
      <c r="H27" s="49">
        <v>0</v>
      </c>
      <c r="I27" s="49">
        <v>0</v>
      </c>
      <c r="J27" s="51">
        <f t="shared" si="4"/>
        <v>0</v>
      </c>
      <c r="K27" s="48">
        <f t="shared" si="5"/>
        <v>0</v>
      </c>
      <c r="L27" s="112"/>
      <c r="M27" s="51">
        <f t="shared" si="6"/>
        <v>229814.66451380023</v>
      </c>
      <c r="N27" s="108"/>
    </row>
    <row r="28" spans="1:14">
      <c r="A28" s="26">
        <v>25</v>
      </c>
      <c r="B28" s="27">
        <v>45925</v>
      </c>
      <c r="C28" s="49"/>
      <c r="D28" s="50"/>
      <c r="E28" s="49">
        <v>0</v>
      </c>
      <c r="F28" s="49">
        <v>0</v>
      </c>
      <c r="G28" s="48">
        <f t="shared" si="3"/>
        <v>0</v>
      </c>
      <c r="H28" s="49">
        <v>0</v>
      </c>
      <c r="I28" s="49">
        <v>0</v>
      </c>
      <c r="J28" s="51">
        <f t="shared" si="4"/>
        <v>0</v>
      </c>
      <c r="K28" s="48">
        <f t="shared" si="5"/>
        <v>0</v>
      </c>
      <c r="L28" s="112"/>
      <c r="M28" s="51">
        <f t="shared" si="6"/>
        <v>229814.66451380023</v>
      </c>
      <c r="N28" s="108"/>
    </row>
    <row r="29" spans="1:14">
      <c r="A29" s="26">
        <v>26</v>
      </c>
      <c r="B29" s="27">
        <v>45926</v>
      </c>
      <c r="C29" s="49" t="s">
        <v>111</v>
      </c>
      <c r="D29" s="50" t="s">
        <v>111</v>
      </c>
      <c r="E29" s="49">
        <v>0</v>
      </c>
      <c r="F29" s="49">
        <v>0</v>
      </c>
      <c r="G29" s="48">
        <f t="shared" si="3"/>
        <v>0</v>
      </c>
      <c r="H29" s="49">
        <v>0</v>
      </c>
      <c r="I29" s="49">
        <v>0</v>
      </c>
      <c r="J29" s="51">
        <f t="shared" si="4"/>
        <v>0</v>
      </c>
      <c r="K29" s="48">
        <f t="shared" si="5"/>
        <v>0</v>
      </c>
      <c r="L29" s="112"/>
      <c r="M29" s="51">
        <f t="shared" si="6"/>
        <v>229814.66451380023</v>
      </c>
      <c r="N29" s="108"/>
    </row>
    <row r="30" spans="1:14">
      <c r="A30" s="26">
        <v>27</v>
      </c>
      <c r="B30" s="27">
        <v>45927</v>
      </c>
      <c r="C30" s="49" t="s">
        <v>111</v>
      </c>
      <c r="D30" s="50" t="s">
        <v>111</v>
      </c>
      <c r="E30" s="49">
        <v>0</v>
      </c>
      <c r="F30" s="49">
        <v>0</v>
      </c>
      <c r="G30" s="48">
        <f t="shared" si="3"/>
        <v>0</v>
      </c>
      <c r="H30" s="49">
        <v>0</v>
      </c>
      <c r="I30" s="49">
        <v>0</v>
      </c>
      <c r="J30" s="51">
        <f t="shared" si="4"/>
        <v>0</v>
      </c>
      <c r="K30" s="48">
        <f t="shared" si="5"/>
        <v>0</v>
      </c>
      <c r="L30" s="112">
        <v>120000</v>
      </c>
      <c r="M30" s="51">
        <f t="shared" si="6"/>
        <v>109814.66451380023</v>
      </c>
      <c r="N30" s="108"/>
    </row>
    <row r="31" spans="1:14">
      <c r="A31" s="26">
        <v>28</v>
      </c>
      <c r="B31" s="27">
        <v>45928</v>
      </c>
      <c r="C31" s="49" t="s">
        <v>111</v>
      </c>
      <c r="D31" s="50" t="s">
        <v>111</v>
      </c>
      <c r="E31" s="49">
        <v>0</v>
      </c>
      <c r="F31" s="49">
        <v>0</v>
      </c>
      <c r="G31" s="48">
        <f t="shared" si="3"/>
        <v>0</v>
      </c>
      <c r="H31" s="49">
        <v>0</v>
      </c>
      <c r="I31" s="49">
        <v>0</v>
      </c>
      <c r="J31" s="51">
        <f t="shared" si="4"/>
        <v>0</v>
      </c>
      <c r="K31" s="48">
        <f t="shared" si="5"/>
        <v>0</v>
      </c>
      <c r="L31" s="112"/>
      <c r="M31" s="51">
        <f t="shared" si="6"/>
        <v>109814.66451380023</v>
      </c>
      <c r="N31" s="108"/>
    </row>
    <row r="32" spans="1:14">
      <c r="A32" s="26">
        <v>29</v>
      </c>
      <c r="B32" s="27">
        <v>45929</v>
      </c>
      <c r="C32" s="48"/>
      <c r="D32" s="50" t="s">
        <v>111</v>
      </c>
      <c r="E32" s="49">
        <v>0</v>
      </c>
      <c r="F32" s="49">
        <v>0</v>
      </c>
      <c r="G32" s="48">
        <f t="shared" si="3"/>
        <v>0</v>
      </c>
      <c r="H32" s="49">
        <v>0</v>
      </c>
      <c r="I32" s="49">
        <v>0</v>
      </c>
      <c r="J32" s="51">
        <f t="shared" si="4"/>
        <v>0</v>
      </c>
      <c r="K32" s="48">
        <f t="shared" si="5"/>
        <v>0</v>
      </c>
      <c r="L32" s="112"/>
      <c r="M32" s="51">
        <f t="shared" si="6"/>
        <v>109814.66451380023</v>
      </c>
      <c r="N32" s="108"/>
    </row>
    <row r="33" spans="1:34">
      <c r="A33" s="26">
        <v>30</v>
      </c>
      <c r="B33" s="27">
        <v>45930</v>
      </c>
      <c r="C33" s="48"/>
      <c r="D33" s="50" t="s">
        <v>111</v>
      </c>
      <c r="E33" s="49">
        <v>0</v>
      </c>
      <c r="F33" s="49">
        <v>0</v>
      </c>
      <c r="G33" s="48">
        <f t="shared" si="3"/>
        <v>0</v>
      </c>
      <c r="H33" s="49">
        <v>0</v>
      </c>
      <c r="I33" s="49">
        <v>0</v>
      </c>
      <c r="J33" s="51">
        <f t="shared" si="4"/>
        <v>0</v>
      </c>
      <c r="K33" s="48">
        <f t="shared" si="5"/>
        <v>0</v>
      </c>
      <c r="L33" s="112"/>
      <c r="M33" s="51">
        <f t="shared" si="6"/>
        <v>109814.66451380023</v>
      </c>
      <c r="N33" s="108"/>
    </row>
    <row r="34" spans="1:34">
      <c r="A34" s="26">
        <v>31</v>
      </c>
      <c r="B34" s="27">
        <v>45931</v>
      </c>
      <c r="C34" s="48"/>
      <c r="D34" s="50" t="s">
        <v>111</v>
      </c>
      <c r="E34" s="49">
        <v>0</v>
      </c>
      <c r="F34" s="49">
        <v>0</v>
      </c>
      <c r="G34" s="48">
        <f t="shared" si="3"/>
        <v>0</v>
      </c>
      <c r="H34" s="49">
        <v>0</v>
      </c>
      <c r="I34" s="49">
        <v>0</v>
      </c>
      <c r="J34" s="51">
        <f t="shared" si="4"/>
        <v>0</v>
      </c>
      <c r="K34" s="48">
        <f t="shared" si="5"/>
        <v>0</v>
      </c>
      <c r="L34" s="112"/>
      <c r="M34" s="51">
        <f t="shared" si="6"/>
        <v>109814.66451380023</v>
      </c>
      <c r="N34" s="108"/>
    </row>
    <row r="35" spans="1:34">
      <c r="A35" s="26">
        <v>32</v>
      </c>
      <c r="B35" s="27"/>
      <c r="C35" s="48"/>
      <c r="D35" s="50" t="s">
        <v>111</v>
      </c>
      <c r="E35" s="49">
        <v>0</v>
      </c>
      <c r="F35" s="49">
        <v>0</v>
      </c>
      <c r="G35" s="48">
        <f t="shared" si="3"/>
        <v>0</v>
      </c>
      <c r="H35" s="49">
        <v>0</v>
      </c>
      <c r="I35" s="49">
        <v>0</v>
      </c>
      <c r="J35" s="51">
        <f t="shared" si="4"/>
        <v>0</v>
      </c>
      <c r="K35" s="48">
        <f t="shared" si="5"/>
        <v>0</v>
      </c>
      <c r="L35" s="112"/>
      <c r="M35" s="51">
        <f t="shared" si="6"/>
        <v>109814.66451380023</v>
      </c>
      <c r="N35" s="108"/>
    </row>
    <row r="36" spans="1:34">
      <c r="A36" s="44"/>
      <c r="B36" s="44"/>
      <c r="C36" s="44"/>
      <c r="D36" s="44"/>
      <c r="E36" s="45">
        <f>SUM(E4:E35)</f>
        <v>3000</v>
      </c>
      <c r="F36" s="45"/>
      <c r="G36" s="45">
        <f>SUM(G4:G35)</f>
        <v>273900</v>
      </c>
      <c r="H36" s="45">
        <f>SUM(H4:H35)</f>
        <v>210</v>
      </c>
      <c r="I36" s="45"/>
      <c r="J36" s="45">
        <f>SUM(J4:J35)</f>
        <v>21681.449999999997</v>
      </c>
      <c r="K36" s="45">
        <f>SUM(K4:K35)</f>
        <v>295581.45</v>
      </c>
      <c r="L36" s="45">
        <f>SUM(L4:L35)</f>
        <v>470000</v>
      </c>
      <c r="M36" s="45"/>
      <c r="N36" s="45"/>
      <c r="O36" s="33"/>
    </row>
    <row r="37" spans="1:34" s="52" customFormat="1" ht="20.2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</row>
    <row r="38" spans="1:34">
      <c r="J38" s="47"/>
      <c r="L38" s="47"/>
      <c r="M38" s="47"/>
    </row>
  </sheetData>
  <mergeCells count="2">
    <mergeCell ref="A1:N1"/>
    <mergeCell ref="A3:J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7DD82-0665-4E64-9AE5-BFA2942961A0}">
  <dimension ref="A1:AH37"/>
  <sheetViews>
    <sheetView workbookViewId="0">
      <selection activeCell="K3" sqref="K3"/>
    </sheetView>
  </sheetViews>
  <sheetFormatPr defaultRowHeight="15"/>
  <cols>
    <col min="2" max="2" width="11.42578125" customWidth="1"/>
    <col min="7" max="7" width="12.42578125" customWidth="1"/>
    <col min="10" max="10" width="10.85546875" bestFit="1" customWidth="1"/>
    <col min="11" max="11" width="10.42578125" bestFit="1" customWidth="1"/>
    <col min="12" max="13" width="11.85546875" bestFit="1" customWidth="1"/>
  </cols>
  <sheetData>
    <row r="1" spans="1:34">
      <c r="A1" s="405" t="s">
        <v>30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</row>
    <row r="2" spans="1:34" ht="27">
      <c r="A2" s="91" t="s">
        <v>90</v>
      </c>
      <c r="B2" s="92" t="s">
        <v>91</v>
      </c>
      <c r="C2" s="92" t="s">
        <v>92</v>
      </c>
      <c r="D2" s="92" t="s">
        <v>93</v>
      </c>
      <c r="E2" s="92" t="s">
        <v>94</v>
      </c>
      <c r="F2" s="92" t="s">
        <v>95</v>
      </c>
      <c r="G2" s="92" t="s">
        <v>96</v>
      </c>
      <c r="H2" s="92" t="s">
        <v>97</v>
      </c>
      <c r="I2" s="92" t="s">
        <v>95</v>
      </c>
      <c r="J2" s="116" t="s">
        <v>96</v>
      </c>
      <c r="K2" s="92" t="s">
        <v>98</v>
      </c>
      <c r="L2" s="116" t="s">
        <v>99</v>
      </c>
      <c r="M2" s="115" t="s">
        <v>106</v>
      </c>
      <c r="N2" s="93" t="s">
        <v>101</v>
      </c>
      <c r="O2" s="33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</row>
    <row r="3" spans="1:34">
      <c r="A3" s="396" t="s">
        <v>102</v>
      </c>
      <c r="B3" s="400"/>
      <c r="C3" s="400"/>
      <c r="D3" s="400"/>
      <c r="E3" s="400"/>
      <c r="F3" s="400"/>
      <c r="G3" s="400"/>
      <c r="H3" s="400"/>
      <c r="I3" s="400"/>
      <c r="J3" s="406"/>
      <c r="K3" s="29">
        <v>230070.7</v>
      </c>
      <c r="L3" s="48"/>
      <c r="M3" s="117">
        <f>+K3</f>
        <v>230070.7</v>
      </c>
      <c r="N3" s="48"/>
      <c r="O3" s="33">
        <v>99992.614513800188</v>
      </c>
      <c r="P3" s="51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</row>
    <row r="4" spans="1:34">
      <c r="A4" s="26">
        <v>1</v>
      </c>
      <c r="B4" s="27">
        <v>45901</v>
      </c>
      <c r="C4" s="49" t="s">
        <v>111</v>
      </c>
      <c r="D4" s="50" t="s">
        <v>111</v>
      </c>
      <c r="E4" s="49">
        <v>0</v>
      </c>
      <c r="F4" s="49">
        <v>0</v>
      </c>
      <c r="G4" s="48">
        <f t="shared" ref="G4" si="0">E4*F4</f>
        <v>0</v>
      </c>
      <c r="H4" s="49">
        <v>0</v>
      </c>
      <c r="I4" s="49">
        <v>0</v>
      </c>
      <c r="J4" s="51">
        <f t="shared" ref="J4" si="1">H4*I4</f>
        <v>0</v>
      </c>
      <c r="K4" s="48">
        <f t="shared" ref="K4" si="2">G4+J4</f>
        <v>0</v>
      </c>
      <c r="L4" s="112">
        <v>230000</v>
      </c>
      <c r="M4" s="51">
        <f>M3+K4-L4</f>
        <v>70.700000000011642</v>
      </c>
      <c r="N4" s="108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</row>
    <row r="5" spans="1:34">
      <c r="A5" s="26">
        <v>2</v>
      </c>
      <c r="B5" s="27">
        <v>45902</v>
      </c>
      <c r="C5" s="49" t="s">
        <v>111</v>
      </c>
      <c r="D5" s="50" t="s">
        <v>111</v>
      </c>
      <c r="E5" s="49">
        <v>0</v>
      </c>
      <c r="F5" s="49">
        <v>0</v>
      </c>
      <c r="G5" s="48">
        <f t="shared" ref="G5:G34" si="3">E5*F5</f>
        <v>0</v>
      </c>
      <c r="H5" s="49">
        <v>0</v>
      </c>
      <c r="I5" s="49">
        <v>0</v>
      </c>
      <c r="J5" s="51">
        <f t="shared" ref="J5:J34" si="4">H5*I5</f>
        <v>0</v>
      </c>
      <c r="K5" s="48">
        <f t="shared" ref="K5:K34" si="5">G5+J5</f>
        <v>0</v>
      </c>
      <c r="L5" s="112"/>
      <c r="M5" s="51">
        <f t="shared" ref="M5:M33" si="6">M4+K5-L5</f>
        <v>70.700000000011642</v>
      </c>
      <c r="N5" s="108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</row>
    <row r="6" spans="1:34">
      <c r="A6" s="26">
        <v>3</v>
      </c>
      <c r="B6" s="27">
        <v>45903</v>
      </c>
      <c r="C6" s="49" t="s">
        <v>111</v>
      </c>
      <c r="D6" s="50" t="s">
        <v>111</v>
      </c>
      <c r="E6" s="49">
        <v>2400</v>
      </c>
      <c r="F6" s="49">
        <v>91.33</v>
      </c>
      <c r="G6" s="48">
        <f t="shared" si="3"/>
        <v>219192</v>
      </c>
      <c r="H6" s="49">
        <v>0</v>
      </c>
      <c r="I6" s="49">
        <v>0</v>
      </c>
      <c r="J6" s="51">
        <f t="shared" si="4"/>
        <v>0</v>
      </c>
      <c r="K6" s="48">
        <f t="shared" si="5"/>
        <v>219192</v>
      </c>
      <c r="L6" s="112"/>
      <c r="M6" s="51">
        <f t="shared" si="6"/>
        <v>219262.7</v>
      </c>
      <c r="N6" s="114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</row>
    <row r="7" spans="1:34">
      <c r="A7" s="26">
        <v>4</v>
      </c>
      <c r="B7" s="27">
        <v>45904</v>
      </c>
      <c r="C7" s="49" t="s">
        <v>111</v>
      </c>
      <c r="D7" s="50" t="s">
        <v>111</v>
      </c>
      <c r="E7" s="49">
        <v>0</v>
      </c>
      <c r="F7" s="49">
        <v>0</v>
      </c>
      <c r="G7" s="48">
        <f t="shared" si="3"/>
        <v>0</v>
      </c>
      <c r="H7" s="49">
        <v>0</v>
      </c>
      <c r="I7" s="49">
        <v>0</v>
      </c>
      <c r="J7" s="51">
        <f t="shared" si="4"/>
        <v>0</v>
      </c>
      <c r="K7" s="48">
        <f t="shared" si="5"/>
        <v>0</v>
      </c>
      <c r="L7" s="112"/>
      <c r="M7" s="51">
        <f t="shared" si="6"/>
        <v>219262.7</v>
      </c>
      <c r="N7" s="114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</row>
    <row r="8" spans="1:34">
      <c r="A8" s="26">
        <v>5</v>
      </c>
      <c r="B8" s="27">
        <v>45905</v>
      </c>
      <c r="C8" s="49" t="s">
        <v>111</v>
      </c>
      <c r="D8" s="50" t="s">
        <v>111</v>
      </c>
      <c r="E8" s="49">
        <v>0</v>
      </c>
      <c r="F8" s="49">
        <v>0</v>
      </c>
      <c r="G8" s="48">
        <f t="shared" si="3"/>
        <v>0</v>
      </c>
      <c r="H8" s="49">
        <v>0</v>
      </c>
      <c r="I8" s="49">
        <v>0</v>
      </c>
      <c r="J8" s="51">
        <f t="shared" si="4"/>
        <v>0</v>
      </c>
      <c r="K8" s="48">
        <f t="shared" si="5"/>
        <v>0</v>
      </c>
      <c r="L8" s="112"/>
      <c r="M8" s="51">
        <f t="shared" si="6"/>
        <v>219262.7</v>
      </c>
      <c r="N8" s="108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</row>
    <row r="9" spans="1:34">
      <c r="A9" s="26">
        <v>6</v>
      </c>
      <c r="B9" s="27">
        <v>45906</v>
      </c>
      <c r="C9" s="49" t="s">
        <v>111</v>
      </c>
      <c r="D9" s="50" t="s">
        <v>111</v>
      </c>
      <c r="E9" s="49">
        <v>0</v>
      </c>
      <c r="F9" s="49">
        <v>0</v>
      </c>
      <c r="G9" s="48">
        <f t="shared" si="3"/>
        <v>0</v>
      </c>
      <c r="H9" s="49">
        <v>0</v>
      </c>
      <c r="I9" s="49">
        <v>0</v>
      </c>
      <c r="J9" s="51">
        <f t="shared" si="4"/>
        <v>0</v>
      </c>
      <c r="K9" s="48">
        <f t="shared" si="5"/>
        <v>0</v>
      </c>
      <c r="L9" s="112"/>
      <c r="M9" s="51">
        <f t="shared" si="6"/>
        <v>219262.7</v>
      </c>
      <c r="N9" s="114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</row>
    <row r="10" spans="1:34">
      <c r="A10" s="26">
        <v>7</v>
      </c>
      <c r="B10" s="27">
        <v>45907</v>
      </c>
      <c r="C10" s="49" t="s">
        <v>111</v>
      </c>
      <c r="D10" s="50" t="s">
        <v>111</v>
      </c>
      <c r="E10" s="49">
        <v>0</v>
      </c>
      <c r="F10" s="49">
        <v>0</v>
      </c>
      <c r="G10" s="48">
        <f t="shared" si="3"/>
        <v>0</v>
      </c>
      <c r="H10" s="49">
        <v>105</v>
      </c>
      <c r="I10" s="49">
        <v>103.27</v>
      </c>
      <c r="J10" s="51">
        <f t="shared" si="4"/>
        <v>10843.35</v>
      </c>
      <c r="K10" s="48">
        <f t="shared" si="5"/>
        <v>10843.35</v>
      </c>
      <c r="L10" s="112"/>
      <c r="M10" s="51">
        <f t="shared" si="6"/>
        <v>230106.05000000002</v>
      </c>
      <c r="N10" s="108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</row>
    <row r="11" spans="1:34">
      <c r="A11" s="26">
        <v>8</v>
      </c>
      <c r="B11" s="27">
        <v>45908</v>
      </c>
      <c r="C11" s="49" t="s">
        <v>111</v>
      </c>
      <c r="D11" s="50" t="s">
        <v>111</v>
      </c>
      <c r="E11" s="49">
        <v>0</v>
      </c>
      <c r="F11" s="49">
        <v>0</v>
      </c>
      <c r="G11" s="48">
        <f t="shared" si="3"/>
        <v>0</v>
      </c>
      <c r="H11" s="49">
        <v>0</v>
      </c>
      <c r="I11" s="49">
        <v>0</v>
      </c>
      <c r="J11" s="51">
        <f t="shared" si="4"/>
        <v>0</v>
      </c>
      <c r="K11" s="48">
        <f t="shared" si="5"/>
        <v>0</v>
      </c>
      <c r="L11" s="112">
        <v>230000</v>
      </c>
      <c r="M11" s="51">
        <f t="shared" si="6"/>
        <v>106.05000000001746</v>
      </c>
      <c r="N11" s="113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</row>
    <row r="12" spans="1:34">
      <c r="A12" s="26">
        <v>9</v>
      </c>
      <c r="B12" s="27">
        <v>45909</v>
      </c>
      <c r="C12" s="49" t="s">
        <v>111</v>
      </c>
      <c r="D12" s="50" t="s">
        <v>111</v>
      </c>
      <c r="E12" s="49">
        <v>1200</v>
      </c>
      <c r="F12" s="49">
        <v>91.33</v>
      </c>
      <c r="G12" s="48">
        <f t="shared" si="3"/>
        <v>109596</v>
      </c>
      <c r="H12" s="49">
        <v>70</v>
      </c>
      <c r="I12" s="49">
        <v>103.27</v>
      </c>
      <c r="J12" s="51">
        <f t="shared" si="4"/>
        <v>7228.9</v>
      </c>
      <c r="K12" s="48">
        <f t="shared" si="5"/>
        <v>116824.9</v>
      </c>
      <c r="L12" s="112"/>
      <c r="M12" s="51">
        <f t="shared" si="6"/>
        <v>116930.95000000001</v>
      </c>
      <c r="N12" s="108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</row>
    <row r="13" spans="1:34">
      <c r="A13" s="26">
        <v>10</v>
      </c>
      <c r="B13" s="27">
        <v>45910</v>
      </c>
      <c r="C13" s="49" t="s">
        <v>111</v>
      </c>
      <c r="D13" s="50" t="s">
        <v>111</v>
      </c>
      <c r="E13" s="49">
        <v>0</v>
      </c>
      <c r="F13" s="49">
        <v>0</v>
      </c>
      <c r="G13" s="48">
        <f t="shared" si="3"/>
        <v>0</v>
      </c>
      <c r="H13" s="49">
        <v>0</v>
      </c>
      <c r="I13" s="49">
        <v>0</v>
      </c>
      <c r="J13" s="51">
        <f t="shared" si="4"/>
        <v>0</v>
      </c>
      <c r="K13" s="48">
        <f t="shared" si="5"/>
        <v>0</v>
      </c>
      <c r="L13" s="112"/>
      <c r="M13" s="51">
        <f t="shared" si="6"/>
        <v>116930.95000000001</v>
      </c>
      <c r="N13" s="108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</row>
    <row r="14" spans="1:34">
      <c r="A14" s="26">
        <v>11</v>
      </c>
      <c r="B14" s="27">
        <v>45911</v>
      </c>
      <c r="C14" s="49" t="s">
        <v>111</v>
      </c>
      <c r="D14" s="50" t="s">
        <v>111</v>
      </c>
      <c r="E14" s="49">
        <v>0</v>
      </c>
      <c r="F14" s="49">
        <v>0</v>
      </c>
      <c r="G14" s="48">
        <f t="shared" si="3"/>
        <v>0</v>
      </c>
      <c r="H14" s="49">
        <v>0</v>
      </c>
      <c r="I14" s="49">
        <v>0</v>
      </c>
      <c r="J14" s="51">
        <f t="shared" si="4"/>
        <v>0</v>
      </c>
      <c r="K14" s="48">
        <f t="shared" si="5"/>
        <v>0</v>
      </c>
      <c r="L14" s="112"/>
      <c r="M14" s="51">
        <f t="shared" si="6"/>
        <v>116930.95000000001</v>
      </c>
      <c r="N14" s="108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</row>
    <row r="15" spans="1:34">
      <c r="A15" s="26">
        <v>12</v>
      </c>
      <c r="B15" s="27">
        <v>45912</v>
      </c>
      <c r="C15" s="49" t="s">
        <v>111</v>
      </c>
      <c r="D15" s="50" t="s">
        <v>111</v>
      </c>
      <c r="E15" s="49">
        <v>1500</v>
      </c>
      <c r="F15" s="49">
        <v>91.33</v>
      </c>
      <c r="G15" s="48">
        <f t="shared" si="3"/>
        <v>136995</v>
      </c>
      <c r="H15" s="49">
        <v>70</v>
      </c>
      <c r="I15" s="49">
        <v>103.27</v>
      </c>
      <c r="J15" s="51">
        <f t="shared" si="4"/>
        <v>7228.9</v>
      </c>
      <c r="K15" s="48">
        <f t="shared" si="5"/>
        <v>144223.9</v>
      </c>
      <c r="L15" s="112"/>
      <c r="M15" s="51">
        <f t="shared" si="6"/>
        <v>261154.85</v>
      </c>
      <c r="N15" s="108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</row>
    <row r="16" spans="1:34">
      <c r="A16" s="26">
        <v>13</v>
      </c>
      <c r="B16" s="27">
        <v>45913</v>
      </c>
      <c r="C16" s="49" t="s">
        <v>111</v>
      </c>
      <c r="D16" s="50" t="s">
        <v>111</v>
      </c>
      <c r="E16" s="49">
        <v>0</v>
      </c>
      <c r="F16" s="49">
        <v>0</v>
      </c>
      <c r="G16" s="48">
        <f t="shared" si="3"/>
        <v>0</v>
      </c>
      <c r="H16" s="49">
        <v>0</v>
      </c>
      <c r="I16" s="49">
        <v>0</v>
      </c>
      <c r="J16" s="51">
        <f t="shared" si="4"/>
        <v>0</v>
      </c>
      <c r="K16" s="48">
        <f t="shared" si="5"/>
        <v>0</v>
      </c>
      <c r="L16" s="112"/>
      <c r="M16" s="51">
        <f t="shared" si="6"/>
        <v>261154.85</v>
      </c>
      <c r="N16" s="108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</row>
    <row r="17" spans="1:34">
      <c r="A17" s="26">
        <v>14</v>
      </c>
      <c r="B17" s="27">
        <v>45914</v>
      </c>
      <c r="C17" s="49" t="s">
        <v>111</v>
      </c>
      <c r="D17" s="50" t="s">
        <v>111</v>
      </c>
      <c r="E17" s="49">
        <v>0</v>
      </c>
      <c r="F17" s="49">
        <v>0</v>
      </c>
      <c r="G17" s="48">
        <f t="shared" si="3"/>
        <v>0</v>
      </c>
      <c r="H17" s="49">
        <v>0</v>
      </c>
      <c r="I17" s="49">
        <v>0</v>
      </c>
      <c r="J17" s="51">
        <f t="shared" si="4"/>
        <v>0</v>
      </c>
      <c r="K17" s="48">
        <f t="shared" si="5"/>
        <v>0</v>
      </c>
      <c r="L17" s="112"/>
      <c r="M17" s="51">
        <f t="shared" si="6"/>
        <v>261154.85</v>
      </c>
      <c r="N17" s="108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</row>
    <row r="18" spans="1:34">
      <c r="A18" s="26">
        <v>15</v>
      </c>
      <c r="B18" s="27">
        <v>45915</v>
      </c>
      <c r="C18" s="49" t="s">
        <v>111</v>
      </c>
      <c r="D18" s="50" t="s">
        <v>111</v>
      </c>
      <c r="E18" s="49">
        <v>0</v>
      </c>
      <c r="F18" s="49">
        <v>0</v>
      </c>
      <c r="G18" s="48">
        <f t="shared" si="3"/>
        <v>0</v>
      </c>
      <c r="H18" s="49">
        <v>0</v>
      </c>
      <c r="I18" s="49">
        <v>0</v>
      </c>
      <c r="J18" s="51">
        <f t="shared" si="4"/>
        <v>0</v>
      </c>
      <c r="K18" s="48">
        <f t="shared" si="5"/>
        <v>0</v>
      </c>
      <c r="L18" s="112"/>
      <c r="M18" s="51">
        <f t="shared" si="6"/>
        <v>261154.85</v>
      </c>
      <c r="N18" s="108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</row>
    <row r="19" spans="1:34">
      <c r="A19" s="26">
        <v>16</v>
      </c>
      <c r="B19" s="27">
        <v>45916</v>
      </c>
      <c r="C19" s="49" t="s">
        <v>111</v>
      </c>
      <c r="D19" s="50" t="s">
        <v>111</v>
      </c>
      <c r="E19" s="49">
        <v>0</v>
      </c>
      <c r="F19" s="49">
        <v>0</v>
      </c>
      <c r="G19" s="48">
        <f t="shared" si="3"/>
        <v>0</v>
      </c>
      <c r="H19" s="49">
        <v>0</v>
      </c>
      <c r="I19" s="49">
        <v>0</v>
      </c>
      <c r="J19" s="51">
        <f t="shared" si="4"/>
        <v>0</v>
      </c>
      <c r="K19" s="48">
        <f t="shared" si="5"/>
        <v>0</v>
      </c>
      <c r="L19" s="112"/>
      <c r="M19" s="51">
        <f t="shared" si="6"/>
        <v>261154.85</v>
      </c>
      <c r="N19" s="108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</row>
    <row r="20" spans="1:34">
      <c r="A20" s="26">
        <v>17</v>
      </c>
      <c r="B20" s="27">
        <v>45917</v>
      </c>
      <c r="C20" s="49" t="s">
        <v>111</v>
      </c>
      <c r="D20" s="50" t="s">
        <v>111</v>
      </c>
      <c r="E20" s="49">
        <v>0</v>
      </c>
      <c r="F20" s="49">
        <v>0</v>
      </c>
      <c r="G20" s="48">
        <f t="shared" si="3"/>
        <v>0</v>
      </c>
      <c r="H20" s="49">
        <v>0</v>
      </c>
      <c r="I20" s="49">
        <v>0</v>
      </c>
      <c r="J20" s="51">
        <f t="shared" si="4"/>
        <v>0</v>
      </c>
      <c r="K20" s="48">
        <f t="shared" si="5"/>
        <v>0</v>
      </c>
      <c r="L20" s="112"/>
      <c r="M20" s="51">
        <f t="shared" si="6"/>
        <v>261154.85</v>
      </c>
      <c r="N20" s="108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</row>
    <row r="21" spans="1:34">
      <c r="A21" s="26">
        <v>18</v>
      </c>
      <c r="B21" s="27">
        <v>45918</v>
      </c>
      <c r="C21" s="49" t="s">
        <v>111</v>
      </c>
      <c r="D21" s="50" t="s">
        <v>111</v>
      </c>
      <c r="E21" s="49">
        <v>0</v>
      </c>
      <c r="F21" s="49">
        <v>0</v>
      </c>
      <c r="G21" s="48">
        <f t="shared" si="3"/>
        <v>0</v>
      </c>
      <c r="H21" s="49">
        <v>0</v>
      </c>
      <c r="I21" s="49">
        <v>0</v>
      </c>
      <c r="J21" s="51">
        <f t="shared" si="4"/>
        <v>0</v>
      </c>
      <c r="K21" s="48">
        <f t="shared" si="5"/>
        <v>0</v>
      </c>
      <c r="L21" s="112"/>
      <c r="M21" s="51">
        <f t="shared" si="6"/>
        <v>261154.85</v>
      </c>
      <c r="N21" s="108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</row>
    <row r="22" spans="1:34">
      <c r="A22" s="26">
        <v>19</v>
      </c>
      <c r="B22" s="27">
        <v>45919</v>
      </c>
      <c r="C22" s="49" t="s">
        <v>111</v>
      </c>
      <c r="D22" s="50" t="s">
        <v>111</v>
      </c>
      <c r="E22" s="49">
        <v>0</v>
      </c>
      <c r="F22" s="49">
        <v>0</v>
      </c>
      <c r="G22" s="48">
        <f t="shared" si="3"/>
        <v>0</v>
      </c>
      <c r="H22" s="49">
        <v>0</v>
      </c>
      <c r="I22" s="49">
        <v>0</v>
      </c>
      <c r="J22" s="51">
        <f t="shared" si="4"/>
        <v>0</v>
      </c>
      <c r="K22" s="48">
        <f t="shared" si="5"/>
        <v>0</v>
      </c>
      <c r="L22" s="112"/>
      <c r="M22" s="51">
        <f t="shared" si="6"/>
        <v>261154.85</v>
      </c>
      <c r="N22" s="108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</row>
    <row r="23" spans="1:34">
      <c r="A23" s="26">
        <v>20</v>
      </c>
      <c r="B23" s="27">
        <v>45920</v>
      </c>
      <c r="C23" s="49" t="s">
        <v>111</v>
      </c>
      <c r="D23" s="50" t="s">
        <v>111</v>
      </c>
      <c r="E23" s="49">
        <v>0</v>
      </c>
      <c r="F23" s="49">
        <v>0</v>
      </c>
      <c r="G23" s="48">
        <f t="shared" si="3"/>
        <v>0</v>
      </c>
      <c r="H23" s="49">
        <v>0</v>
      </c>
      <c r="I23" s="49">
        <v>0</v>
      </c>
      <c r="J23" s="51">
        <f t="shared" si="4"/>
        <v>0</v>
      </c>
      <c r="K23" s="48">
        <f t="shared" si="5"/>
        <v>0</v>
      </c>
      <c r="L23" s="112"/>
      <c r="M23" s="51">
        <f t="shared" si="6"/>
        <v>261154.85</v>
      </c>
      <c r="N23" s="108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</row>
    <row r="24" spans="1:34">
      <c r="A24" s="26">
        <v>21</v>
      </c>
      <c r="B24" s="27">
        <v>45921</v>
      </c>
      <c r="C24" s="49" t="s">
        <v>111</v>
      </c>
      <c r="D24" s="50" t="s">
        <v>111</v>
      </c>
      <c r="E24" s="49">
        <v>0</v>
      </c>
      <c r="F24" s="49">
        <v>0</v>
      </c>
      <c r="G24" s="48">
        <f t="shared" si="3"/>
        <v>0</v>
      </c>
      <c r="H24" s="49">
        <v>0</v>
      </c>
      <c r="I24" s="49">
        <v>0</v>
      </c>
      <c r="J24" s="51">
        <f t="shared" si="4"/>
        <v>0</v>
      </c>
      <c r="K24" s="48">
        <f t="shared" si="5"/>
        <v>0</v>
      </c>
      <c r="L24" s="112"/>
      <c r="M24" s="51">
        <f t="shared" si="6"/>
        <v>261154.85</v>
      </c>
      <c r="N24" s="108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</row>
    <row r="25" spans="1:34">
      <c r="A25" s="26">
        <v>22</v>
      </c>
      <c r="B25" s="27">
        <v>45922</v>
      </c>
      <c r="C25" s="49" t="s">
        <v>111</v>
      </c>
      <c r="D25" s="50" t="s">
        <v>111</v>
      </c>
      <c r="E25" s="49">
        <v>1000</v>
      </c>
      <c r="F25" s="49">
        <v>91.33</v>
      </c>
      <c r="G25" s="48">
        <f t="shared" si="3"/>
        <v>91330</v>
      </c>
      <c r="H25" s="49">
        <v>105</v>
      </c>
      <c r="I25" s="49">
        <v>103.27</v>
      </c>
      <c r="J25" s="51">
        <f t="shared" si="4"/>
        <v>10843.35</v>
      </c>
      <c r="K25" s="48">
        <f t="shared" si="5"/>
        <v>102173.35</v>
      </c>
      <c r="L25" s="112"/>
      <c r="M25" s="51">
        <f t="shared" si="6"/>
        <v>363328.2</v>
      </c>
      <c r="N25" s="108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</row>
    <row r="26" spans="1:34">
      <c r="A26" s="26">
        <v>23</v>
      </c>
      <c r="B26" s="27">
        <v>45923</v>
      </c>
      <c r="C26" s="49" t="s">
        <v>111</v>
      </c>
      <c r="D26" s="50" t="s">
        <v>111</v>
      </c>
      <c r="E26" s="49">
        <v>0</v>
      </c>
      <c r="F26" s="49">
        <v>0</v>
      </c>
      <c r="G26" s="48">
        <f t="shared" si="3"/>
        <v>0</v>
      </c>
      <c r="H26" s="49">
        <v>0</v>
      </c>
      <c r="I26" s="49">
        <v>0</v>
      </c>
      <c r="J26" s="51">
        <f t="shared" si="4"/>
        <v>0</v>
      </c>
      <c r="K26" s="48">
        <f t="shared" si="5"/>
        <v>0</v>
      </c>
      <c r="L26" s="112"/>
      <c r="M26" s="51">
        <f t="shared" si="6"/>
        <v>363328.2</v>
      </c>
      <c r="N26" s="108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</row>
    <row r="27" spans="1:34">
      <c r="A27" s="26">
        <v>24</v>
      </c>
      <c r="B27" s="27">
        <v>45924</v>
      </c>
      <c r="C27" s="49" t="s">
        <v>111</v>
      </c>
      <c r="D27" s="50" t="s">
        <v>111</v>
      </c>
      <c r="E27" s="49">
        <v>0</v>
      </c>
      <c r="F27" s="49">
        <v>0</v>
      </c>
      <c r="G27" s="48">
        <f t="shared" si="3"/>
        <v>0</v>
      </c>
      <c r="H27" s="49">
        <v>0</v>
      </c>
      <c r="I27" s="49">
        <v>0</v>
      </c>
      <c r="J27" s="51">
        <f t="shared" si="4"/>
        <v>0</v>
      </c>
      <c r="K27" s="48">
        <f t="shared" si="5"/>
        <v>0</v>
      </c>
      <c r="L27" s="112"/>
      <c r="M27" s="51">
        <f t="shared" si="6"/>
        <v>363328.2</v>
      </c>
      <c r="N27" s="108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</row>
    <row r="28" spans="1:34">
      <c r="A28" s="26">
        <v>25</v>
      </c>
      <c r="B28" s="27">
        <v>45925</v>
      </c>
      <c r="C28" s="49"/>
      <c r="D28" s="50"/>
      <c r="E28" s="49">
        <v>1000</v>
      </c>
      <c r="F28" s="49">
        <v>91.33</v>
      </c>
      <c r="G28" s="48">
        <f t="shared" si="3"/>
        <v>91330</v>
      </c>
      <c r="H28" s="49">
        <v>70</v>
      </c>
      <c r="I28" s="49">
        <v>103.27</v>
      </c>
      <c r="J28" s="51">
        <f t="shared" si="4"/>
        <v>7228.9</v>
      </c>
      <c r="K28" s="48">
        <f t="shared" si="5"/>
        <v>98558.9</v>
      </c>
      <c r="L28" s="112"/>
      <c r="M28" s="51">
        <f t="shared" si="6"/>
        <v>461887.1</v>
      </c>
      <c r="N28" s="108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</row>
    <row r="29" spans="1:34">
      <c r="A29" s="26">
        <v>26</v>
      </c>
      <c r="B29" s="27">
        <v>45926</v>
      </c>
      <c r="C29" s="49" t="s">
        <v>111</v>
      </c>
      <c r="D29" s="50" t="s">
        <v>111</v>
      </c>
      <c r="E29" s="49">
        <v>0</v>
      </c>
      <c r="F29" s="49">
        <v>0</v>
      </c>
      <c r="G29" s="48">
        <f t="shared" si="3"/>
        <v>0</v>
      </c>
      <c r="H29" s="49">
        <v>0</v>
      </c>
      <c r="I29" s="49">
        <v>0</v>
      </c>
      <c r="J29" s="51">
        <f t="shared" si="4"/>
        <v>0</v>
      </c>
      <c r="K29" s="48">
        <f t="shared" si="5"/>
        <v>0</v>
      </c>
      <c r="L29" s="112"/>
      <c r="M29" s="51">
        <f t="shared" si="6"/>
        <v>461887.1</v>
      </c>
      <c r="N29" s="108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</row>
    <row r="30" spans="1:34">
      <c r="A30" s="26">
        <v>27</v>
      </c>
      <c r="B30" s="27">
        <v>45927</v>
      </c>
      <c r="C30" s="49" t="s">
        <v>111</v>
      </c>
      <c r="D30" s="50" t="s">
        <v>111</v>
      </c>
      <c r="E30" s="49">
        <v>0</v>
      </c>
      <c r="F30" s="49">
        <v>0</v>
      </c>
      <c r="G30" s="48">
        <f t="shared" si="3"/>
        <v>0</v>
      </c>
      <c r="H30" s="49">
        <v>0</v>
      </c>
      <c r="I30" s="49">
        <v>0</v>
      </c>
      <c r="J30" s="51">
        <f t="shared" si="4"/>
        <v>0</v>
      </c>
      <c r="K30" s="48">
        <f t="shared" si="5"/>
        <v>0</v>
      </c>
      <c r="L30" s="112">
        <v>300000</v>
      </c>
      <c r="M30" s="51">
        <f t="shared" si="6"/>
        <v>161887.09999999998</v>
      </c>
      <c r="N30" s="108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</row>
    <row r="31" spans="1:34">
      <c r="A31" s="26">
        <v>28</v>
      </c>
      <c r="B31" s="27">
        <v>45928</v>
      </c>
      <c r="C31" s="49" t="s">
        <v>111</v>
      </c>
      <c r="D31" s="50" t="s">
        <v>111</v>
      </c>
      <c r="E31" s="49">
        <v>0</v>
      </c>
      <c r="F31" s="49">
        <v>0</v>
      </c>
      <c r="G31" s="48">
        <f t="shared" si="3"/>
        <v>0</v>
      </c>
      <c r="H31" s="49">
        <v>0</v>
      </c>
      <c r="I31" s="49">
        <v>0</v>
      </c>
      <c r="J31" s="51">
        <f t="shared" si="4"/>
        <v>0</v>
      </c>
      <c r="K31" s="48">
        <f t="shared" si="5"/>
        <v>0</v>
      </c>
      <c r="L31" s="112"/>
      <c r="M31" s="51">
        <f t="shared" si="6"/>
        <v>161887.09999999998</v>
      </c>
      <c r="N31" s="108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</row>
    <row r="32" spans="1:34">
      <c r="A32" s="26">
        <v>29</v>
      </c>
      <c r="B32" s="27">
        <v>45929</v>
      </c>
      <c r="C32" s="48"/>
      <c r="D32" s="50" t="s">
        <v>111</v>
      </c>
      <c r="E32" s="49">
        <v>1500</v>
      </c>
      <c r="F32" s="49">
        <v>91.33</v>
      </c>
      <c r="G32" s="48">
        <f t="shared" si="3"/>
        <v>136995</v>
      </c>
      <c r="H32" s="49">
        <v>70</v>
      </c>
      <c r="I32" s="49">
        <v>103.27</v>
      </c>
      <c r="J32" s="51">
        <f t="shared" si="4"/>
        <v>7228.9</v>
      </c>
      <c r="K32" s="48">
        <f t="shared" si="5"/>
        <v>144223.9</v>
      </c>
      <c r="L32" s="112"/>
      <c r="M32" s="51">
        <f t="shared" si="6"/>
        <v>306111</v>
      </c>
      <c r="N32" s="108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</row>
    <row r="33" spans="1:34">
      <c r="A33" s="26">
        <v>30</v>
      </c>
      <c r="B33" s="27">
        <v>45930</v>
      </c>
      <c r="C33" s="48"/>
      <c r="D33" s="50" t="s">
        <v>111</v>
      </c>
      <c r="E33" s="49">
        <v>0</v>
      </c>
      <c r="F33" s="49">
        <v>0</v>
      </c>
      <c r="G33" s="48">
        <f t="shared" si="3"/>
        <v>0</v>
      </c>
      <c r="H33" s="49">
        <v>0</v>
      </c>
      <c r="I33" s="49">
        <v>0</v>
      </c>
      <c r="J33" s="51">
        <f t="shared" si="4"/>
        <v>0</v>
      </c>
      <c r="K33" s="48">
        <f t="shared" si="5"/>
        <v>0</v>
      </c>
      <c r="L33" s="112"/>
      <c r="M33" s="51">
        <f t="shared" si="6"/>
        <v>306111</v>
      </c>
      <c r="N33" s="108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</row>
    <row r="34" spans="1:34">
      <c r="A34" s="26">
        <v>32</v>
      </c>
      <c r="B34" s="27"/>
      <c r="C34" s="48"/>
      <c r="D34" s="50" t="s">
        <v>111</v>
      </c>
      <c r="E34" s="49">
        <v>0</v>
      </c>
      <c r="F34" s="49">
        <v>0</v>
      </c>
      <c r="G34" s="48">
        <f t="shared" si="3"/>
        <v>0</v>
      </c>
      <c r="H34" s="49">
        <v>0</v>
      </c>
      <c r="I34" s="49">
        <v>0</v>
      </c>
      <c r="J34" s="51">
        <f t="shared" si="4"/>
        <v>0</v>
      </c>
      <c r="K34" s="48">
        <f t="shared" si="5"/>
        <v>0</v>
      </c>
      <c r="L34" s="112"/>
      <c r="M34" s="51"/>
      <c r="N34" s="108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</row>
    <row r="35" spans="1:34">
      <c r="A35" s="44"/>
      <c r="B35" s="44"/>
      <c r="C35" s="44"/>
      <c r="D35" s="44"/>
      <c r="E35" s="45">
        <f>SUM(E4:E34)</f>
        <v>8600</v>
      </c>
      <c r="F35" s="45"/>
      <c r="G35" s="45">
        <f>SUM(G4:G34)</f>
        <v>785438</v>
      </c>
      <c r="H35" s="45">
        <f>SUM(H4:H34)</f>
        <v>490</v>
      </c>
      <c r="I35" s="45"/>
      <c r="J35" s="45">
        <f>SUM(J4:J34)</f>
        <v>50602.3</v>
      </c>
      <c r="K35" s="45">
        <f>SUM(K4:K34)</f>
        <v>836040.3</v>
      </c>
      <c r="L35" s="45">
        <f>SUM(L4:L34)</f>
        <v>760000</v>
      </c>
      <c r="M35" s="45"/>
      <c r="N35" s="45"/>
      <c r="O35" s="33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</row>
    <row r="36" spans="1:34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</row>
    <row r="37" spans="1:34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</row>
  </sheetData>
  <mergeCells count="2">
    <mergeCell ref="A1:N1"/>
    <mergeCell ref="A3:J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8"/>
  <sheetViews>
    <sheetView view="pageBreakPreview" zoomScale="60" zoomScaleNormal="90" workbookViewId="0">
      <pane ySplit="2" topLeftCell="A19" activePane="bottomLeft" state="frozen"/>
      <selection pane="bottomLeft" activeCell="L30" sqref="L30"/>
    </sheetView>
  </sheetViews>
  <sheetFormatPr defaultColWidth="9.140625" defaultRowHeight="12.75"/>
  <cols>
    <col min="1" max="1" width="5.28515625" style="33" bestFit="1" customWidth="1"/>
    <col min="2" max="2" width="11.85546875" style="33" bestFit="1" customWidth="1"/>
    <col min="3" max="3" width="10.7109375" style="33" bestFit="1" customWidth="1"/>
    <col min="4" max="4" width="21.5703125" style="33" customWidth="1"/>
    <col min="5" max="5" width="10.85546875" style="33" bestFit="1" customWidth="1"/>
    <col min="6" max="6" width="13.7109375" style="33" bestFit="1" customWidth="1"/>
    <col min="7" max="7" width="15.28515625" style="33" customWidth="1"/>
    <col min="8" max="8" width="10.85546875" style="33" bestFit="1" customWidth="1"/>
    <col min="9" max="9" width="8.140625" style="33" bestFit="1" customWidth="1"/>
    <col min="10" max="10" width="10.85546875" style="33" bestFit="1" customWidth="1"/>
    <col min="11" max="11" width="13.85546875" style="33" bestFit="1" customWidth="1"/>
    <col min="12" max="12" width="12.7109375" style="33" bestFit="1" customWidth="1"/>
    <col min="13" max="13" width="12.7109375" style="33" customWidth="1"/>
    <col min="14" max="14" width="17.7109375" style="33" bestFit="1" customWidth="1"/>
    <col min="15" max="15" width="13.7109375" style="33" customWidth="1"/>
    <col min="16" max="16384" width="9.140625" style="33"/>
  </cols>
  <sheetData>
    <row r="1" spans="1:24" ht="12.75" customHeight="1">
      <c r="A1" s="397" t="s">
        <v>32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97"/>
      <c r="M1" s="397"/>
      <c r="N1" s="397"/>
    </row>
    <row r="2" spans="1:24" ht="13.5">
      <c r="A2" s="107" t="s">
        <v>90</v>
      </c>
      <c r="B2" s="110" t="s">
        <v>91</v>
      </c>
      <c r="C2" s="110" t="s">
        <v>92</v>
      </c>
      <c r="D2" s="110" t="s">
        <v>93</v>
      </c>
      <c r="E2" s="110" t="s">
        <v>94</v>
      </c>
      <c r="F2" s="110" t="s">
        <v>95</v>
      </c>
      <c r="G2" s="110" t="s">
        <v>96</v>
      </c>
      <c r="H2" s="110" t="s">
        <v>97</v>
      </c>
      <c r="I2" s="110" t="s">
        <v>95</v>
      </c>
      <c r="J2" s="110" t="s">
        <v>96</v>
      </c>
      <c r="K2" s="110" t="s">
        <v>98</v>
      </c>
      <c r="L2" s="110" t="s">
        <v>99</v>
      </c>
      <c r="M2" s="110" t="s">
        <v>106</v>
      </c>
      <c r="N2" s="110" t="s">
        <v>101</v>
      </c>
    </row>
    <row r="3" spans="1:24" ht="15">
      <c r="A3" s="396" t="s">
        <v>102</v>
      </c>
      <c r="B3" s="400"/>
      <c r="C3" s="400"/>
      <c r="D3" s="400"/>
      <c r="E3" s="400"/>
      <c r="F3" s="400"/>
      <c r="G3" s="400"/>
      <c r="H3" s="400"/>
      <c r="I3" s="400"/>
      <c r="J3" s="401"/>
      <c r="K3" s="155">
        <v>7279.2999999999993</v>
      </c>
      <c r="L3" s="154"/>
      <c r="M3" s="154">
        <f>+K3</f>
        <v>7279.2999999999993</v>
      </c>
      <c r="N3" s="111"/>
    </row>
    <row r="4" spans="1:24" ht="15">
      <c r="A4" s="26">
        <v>1</v>
      </c>
      <c r="B4" s="27">
        <v>45901</v>
      </c>
      <c r="C4" s="277"/>
      <c r="D4" s="278"/>
      <c r="E4" s="36"/>
      <c r="F4" s="36"/>
      <c r="G4" s="36">
        <f>E4*F4</f>
        <v>0</v>
      </c>
      <c r="H4" s="126">
        <v>0</v>
      </c>
      <c r="I4" s="126"/>
      <c r="J4" s="36">
        <f>H4*I4</f>
        <v>0</v>
      </c>
      <c r="K4" s="37">
        <f>G4+J4</f>
        <v>0</v>
      </c>
      <c r="L4" s="37">
        <v>0</v>
      </c>
      <c r="M4" s="37">
        <f>M3+K4-L4</f>
        <v>7279.2999999999993</v>
      </c>
      <c r="N4" s="46"/>
    </row>
    <row r="5" spans="1:24" ht="15">
      <c r="A5" s="26">
        <v>2</v>
      </c>
      <c r="B5" s="27">
        <v>45902</v>
      </c>
      <c r="C5" s="277"/>
      <c r="D5" s="278"/>
      <c r="E5" s="36"/>
      <c r="F5" s="36"/>
      <c r="G5" s="36">
        <f t="shared" ref="G5:G34" si="0">E5*F5</f>
        <v>0</v>
      </c>
      <c r="H5" s="126">
        <v>0</v>
      </c>
      <c r="I5" s="126">
        <v>0</v>
      </c>
      <c r="J5" s="36">
        <f t="shared" ref="J5:J34" si="1">H5*I5</f>
        <v>0</v>
      </c>
      <c r="K5" s="37">
        <f t="shared" ref="K5:K34" si="2">G5+J5</f>
        <v>0</v>
      </c>
      <c r="L5" s="37">
        <v>0</v>
      </c>
      <c r="M5" s="37">
        <f t="shared" ref="M5:M34" si="3">M4+K5-L5</f>
        <v>7279.2999999999993</v>
      </c>
      <c r="N5" s="46"/>
    </row>
    <row r="6" spans="1:24" ht="15">
      <c r="A6" s="26">
        <v>3</v>
      </c>
      <c r="B6" s="27">
        <v>45903</v>
      </c>
      <c r="C6" s="277"/>
      <c r="D6" s="278"/>
      <c r="E6" s="36"/>
      <c r="F6" s="36"/>
      <c r="G6" s="36">
        <f t="shared" si="0"/>
        <v>0</v>
      </c>
      <c r="H6" s="126">
        <v>0</v>
      </c>
      <c r="I6" s="126">
        <v>0</v>
      </c>
      <c r="J6" s="36">
        <f t="shared" si="1"/>
        <v>0</v>
      </c>
      <c r="K6" s="37">
        <f t="shared" si="2"/>
        <v>0</v>
      </c>
      <c r="L6" s="37">
        <v>0</v>
      </c>
      <c r="M6" s="37">
        <f t="shared" si="3"/>
        <v>7279.2999999999993</v>
      </c>
      <c r="N6" s="46"/>
    </row>
    <row r="7" spans="1:24" ht="15">
      <c r="A7" s="26">
        <v>4</v>
      </c>
      <c r="B7" s="27">
        <v>45904</v>
      </c>
      <c r="C7" s="277"/>
      <c r="D7" s="278"/>
      <c r="E7" s="36"/>
      <c r="F7" s="36"/>
      <c r="G7" s="36">
        <f t="shared" si="0"/>
        <v>0</v>
      </c>
      <c r="H7" s="126">
        <v>0</v>
      </c>
      <c r="I7" s="126">
        <v>0</v>
      </c>
      <c r="J7" s="36">
        <f t="shared" si="1"/>
        <v>0</v>
      </c>
      <c r="K7" s="37">
        <f t="shared" si="2"/>
        <v>0</v>
      </c>
      <c r="L7" s="37">
        <v>0</v>
      </c>
      <c r="M7" s="37">
        <f t="shared" si="3"/>
        <v>7279.2999999999993</v>
      </c>
      <c r="N7" s="46"/>
    </row>
    <row r="8" spans="1:24" ht="15">
      <c r="A8" s="26">
        <v>5</v>
      </c>
      <c r="B8" s="27">
        <v>45905</v>
      </c>
      <c r="C8" s="277"/>
      <c r="D8" s="278"/>
      <c r="E8" s="36"/>
      <c r="F8" s="36"/>
      <c r="G8" s="36">
        <f t="shared" ref="G8:G34" si="4">E8*F8</f>
        <v>0</v>
      </c>
      <c r="H8" s="126">
        <v>0</v>
      </c>
      <c r="I8" s="126">
        <v>0</v>
      </c>
      <c r="J8" s="36">
        <f t="shared" ref="J8:J34" si="5">H8*I8</f>
        <v>0</v>
      </c>
      <c r="K8" s="37">
        <f t="shared" ref="K8:K34" si="6">G8+J8</f>
        <v>0</v>
      </c>
      <c r="L8" s="37">
        <v>0</v>
      </c>
      <c r="M8" s="37">
        <f t="shared" si="3"/>
        <v>7279.2999999999993</v>
      </c>
      <c r="N8" s="46"/>
    </row>
    <row r="9" spans="1:24" ht="15">
      <c r="A9" s="26">
        <v>6</v>
      </c>
      <c r="B9" s="27">
        <v>45906</v>
      </c>
      <c r="C9" s="277"/>
      <c r="D9" s="278"/>
      <c r="E9" s="36"/>
      <c r="F9" s="36"/>
      <c r="G9" s="36">
        <f t="shared" si="4"/>
        <v>0</v>
      </c>
      <c r="H9" s="126">
        <v>0</v>
      </c>
      <c r="I9" s="126">
        <v>0</v>
      </c>
      <c r="J9" s="36">
        <f t="shared" si="5"/>
        <v>0</v>
      </c>
      <c r="K9" s="37">
        <f t="shared" si="6"/>
        <v>0</v>
      </c>
      <c r="L9" s="37">
        <v>0</v>
      </c>
      <c r="M9" s="37">
        <f t="shared" si="3"/>
        <v>7279.2999999999993</v>
      </c>
      <c r="N9" s="46"/>
    </row>
    <row r="10" spans="1:24" ht="15">
      <c r="A10" s="26">
        <v>7</v>
      </c>
      <c r="B10" s="27">
        <v>45907</v>
      </c>
      <c r="C10" s="277"/>
      <c r="D10" s="278"/>
      <c r="E10" s="36">
        <v>1500</v>
      </c>
      <c r="F10" s="36">
        <v>91.8</v>
      </c>
      <c r="G10" s="36">
        <f t="shared" si="4"/>
        <v>137700</v>
      </c>
      <c r="H10" s="126">
        <v>70</v>
      </c>
      <c r="I10" s="126">
        <v>103.99</v>
      </c>
      <c r="J10" s="36">
        <f t="shared" si="5"/>
        <v>7279.2999999999993</v>
      </c>
      <c r="K10" s="37">
        <f t="shared" si="6"/>
        <v>144979.29999999999</v>
      </c>
      <c r="L10" s="37">
        <v>0</v>
      </c>
      <c r="M10" s="37">
        <f t="shared" si="3"/>
        <v>152258.59999999998</v>
      </c>
      <c r="N10" s="46"/>
    </row>
    <row r="11" spans="1:24" ht="15">
      <c r="A11" s="26">
        <v>8</v>
      </c>
      <c r="B11" s="27">
        <v>45908</v>
      </c>
      <c r="C11" s="277"/>
      <c r="D11" s="278"/>
      <c r="E11" s="36"/>
      <c r="F11" s="36"/>
      <c r="G11" s="36">
        <f t="shared" si="4"/>
        <v>0</v>
      </c>
      <c r="H11" s="126">
        <v>0</v>
      </c>
      <c r="I11" s="126">
        <v>0</v>
      </c>
      <c r="J11" s="36">
        <f t="shared" si="5"/>
        <v>0</v>
      </c>
      <c r="K11" s="37">
        <f t="shared" si="6"/>
        <v>0</v>
      </c>
      <c r="L11" s="37">
        <v>0</v>
      </c>
      <c r="M11" s="37">
        <f t="shared" si="3"/>
        <v>152258.59999999998</v>
      </c>
      <c r="N11" s="46"/>
    </row>
    <row r="12" spans="1:24" ht="15">
      <c r="A12" s="26">
        <v>9</v>
      </c>
      <c r="B12" s="27">
        <v>45909</v>
      </c>
      <c r="C12" s="277"/>
      <c r="D12" s="278"/>
      <c r="E12" s="36"/>
      <c r="F12" s="36"/>
      <c r="G12" s="36">
        <f t="shared" si="4"/>
        <v>0</v>
      </c>
      <c r="H12" s="126">
        <v>0</v>
      </c>
      <c r="I12" s="126">
        <v>0</v>
      </c>
      <c r="J12" s="36">
        <f t="shared" si="5"/>
        <v>0</v>
      </c>
      <c r="K12" s="37">
        <f t="shared" si="6"/>
        <v>0</v>
      </c>
      <c r="L12" s="37">
        <v>0</v>
      </c>
      <c r="M12" s="37">
        <f t="shared" si="3"/>
        <v>152258.59999999998</v>
      </c>
      <c r="N12" s="46"/>
    </row>
    <row r="13" spans="1:24" ht="15">
      <c r="A13" s="26">
        <v>10</v>
      </c>
      <c r="B13" s="27">
        <v>45910</v>
      </c>
      <c r="C13" s="277"/>
      <c r="D13" s="278"/>
      <c r="E13" s="36"/>
      <c r="F13" s="36"/>
      <c r="G13" s="36">
        <f t="shared" si="4"/>
        <v>0</v>
      </c>
      <c r="H13" s="126">
        <v>0</v>
      </c>
      <c r="I13" s="126">
        <v>0</v>
      </c>
      <c r="J13" s="36">
        <f t="shared" si="5"/>
        <v>0</v>
      </c>
      <c r="K13" s="37">
        <f t="shared" si="6"/>
        <v>0</v>
      </c>
      <c r="L13" s="37">
        <v>0</v>
      </c>
      <c r="M13" s="37">
        <f t="shared" si="3"/>
        <v>152258.59999999998</v>
      </c>
      <c r="N13" s="46"/>
    </row>
    <row r="14" spans="1:24" ht="15">
      <c r="A14" s="26">
        <v>11</v>
      </c>
      <c r="B14" s="27">
        <v>45911</v>
      </c>
      <c r="C14" s="277"/>
      <c r="D14" s="278"/>
      <c r="E14" s="36"/>
      <c r="F14" s="36"/>
      <c r="G14" s="36">
        <f t="shared" si="4"/>
        <v>0</v>
      </c>
      <c r="H14" s="126">
        <v>0</v>
      </c>
      <c r="I14" s="126">
        <v>0</v>
      </c>
      <c r="J14" s="36">
        <f t="shared" si="5"/>
        <v>0</v>
      </c>
      <c r="K14" s="37">
        <f t="shared" si="6"/>
        <v>0</v>
      </c>
      <c r="L14" s="37">
        <v>0</v>
      </c>
      <c r="M14" s="37">
        <f t="shared" si="3"/>
        <v>152258.59999999998</v>
      </c>
      <c r="N14" s="46"/>
    </row>
    <row r="15" spans="1:24" ht="15">
      <c r="A15" s="26">
        <v>12</v>
      </c>
      <c r="B15" s="27">
        <v>45912</v>
      </c>
      <c r="C15" s="277"/>
      <c r="D15" s="278"/>
      <c r="E15" s="36"/>
      <c r="F15" s="36"/>
      <c r="G15" s="36">
        <f t="shared" si="4"/>
        <v>0</v>
      </c>
      <c r="H15" s="126">
        <v>0</v>
      </c>
      <c r="I15" s="126">
        <v>0</v>
      </c>
      <c r="J15" s="36">
        <f t="shared" si="5"/>
        <v>0</v>
      </c>
      <c r="K15" s="37">
        <f t="shared" si="6"/>
        <v>0</v>
      </c>
      <c r="L15" s="37">
        <v>0</v>
      </c>
      <c r="M15" s="37">
        <f t="shared" si="3"/>
        <v>152258.59999999998</v>
      </c>
      <c r="N15" s="46"/>
    </row>
    <row r="16" spans="1:24" ht="15">
      <c r="A16" s="26">
        <v>13</v>
      </c>
      <c r="B16" s="27">
        <v>45913</v>
      </c>
      <c r="C16" s="277"/>
      <c r="D16" s="278"/>
      <c r="E16" s="36"/>
      <c r="F16" s="36"/>
      <c r="G16" s="36">
        <f t="shared" si="4"/>
        <v>0</v>
      </c>
      <c r="H16" s="126">
        <v>0</v>
      </c>
      <c r="I16" s="126">
        <v>0</v>
      </c>
      <c r="J16" s="36">
        <f t="shared" si="5"/>
        <v>0</v>
      </c>
      <c r="K16" s="37">
        <f t="shared" si="6"/>
        <v>0</v>
      </c>
      <c r="L16" s="37">
        <v>0</v>
      </c>
      <c r="M16" s="37">
        <f t="shared" si="3"/>
        <v>152258.59999999998</v>
      </c>
      <c r="N16" s="46"/>
      <c r="X16" s="33">
        <f>100*104</f>
        <v>10400</v>
      </c>
    </row>
    <row r="17" spans="1:14" ht="15">
      <c r="A17" s="26">
        <v>14</v>
      </c>
      <c r="B17" s="27">
        <v>45914</v>
      </c>
      <c r="C17" s="277"/>
      <c r="D17" s="278"/>
      <c r="E17" s="36"/>
      <c r="F17" s="36"/>
      <c r="G17" s="36">
        <f t="shared" si="4"/>
        <v>0</v>
      </c>
      <c r="H17" s="126">
        <v>0</v>
      </c>
      <c r="I17" s="126">
        <v>0</v>
      </c>
      <c r="J17" s="36">
        <f t="shared" si="5"/>
        <v>0</v>
      </c>
      <c r="K17" s="37">
        <f t="shared" si="6"/>
        <v>0</v>
      </c>
      <c r="L17" s="37">
        <v>0</v>
      </c>
      <c r="M17" s="37">
        <f t="shared" si="3"/>
        <v>152258.59999999998</v>
      </c>
      <c r="N17" s="46"/>
    </row>
    <row r="18" spans="1:14" ht="15">
      <c r="A18" s="26">
        <v>15</v>
      </c>
      <c r="B18" s="27">
        <v>45915</v>
      </c>
      <c r="C18" s="277"/>
      <c r="D18" s="278"/>
      <c r="E18" s="36"/>
      <c r="F18" s="36"/>
      <c r="G18" s="36">
        <f t="shared" si="4"/>
        <v>0</v>
      </c>
      <c r="H18" s="126">
        <v>0</v>
      </c>
      <c r="I18" s="126">
        <v>0</v>
      </c>
      <c r="J18" s="36">
        <f t="shared" si="5"/>
        <v>0</v>
      </c>
      <c r="K18" s="37">
        <f t="shared" si="6"/>
        <v>0</v>
      </c>
      <c r="L18" s="37">
        <v>0</v>
      </c>
      <c r="M18" s="37">
        <f t="shared" si="3"/>
        <v>152258.59999999998</v>
      </c>
      <c r="N18" s="46"/>
    </row>
    <row r="19" spans="1:14" ht="15">
      <c r="A19" s="26">
        <v>16</v>
      </c>
      <c r="B19" s="27">
        <v>45916</v>
      </c>
      <c r="C19" s="277"/>
      <c r="D19" s="278"/>
      <c r="E19" s="36"/>
      <c r="F19" s="36"/>
      <c r="G19" s="36">
        <f t="shared" si="4"/>
        <v>0</v>
      </c>
      <c r="H19" s="126">
        <v>0</v>
      </c>
      <c r="I19" s="126">
        <v>0</v>
      </c>
      <c r="J19" s="36">
        <f t="shared" si="5"/>
        <v>0</v>
      </c>
      <c r="K19" s="37">
        <f t="shared" si="6"/>
        <v>0</v>
      </c>
      <c r="L19" s="37">
        <v>0</v>
      </c>
      <c r="M19" s="37">
        <f t="shared" si="3"/>
        <v>152258.59999999998</v>
      </c>
      <c r="N19" s="46"/>
    </row>
    <row r="20" spans="1:14" ht="15">
      <c r="A20" s="26">
        <v>17</v>
      </c>
      <c r="B20" s="27">
        <v>45917</v>
      </c>
      <c r="C20" s="277"/>
      <c r="D20" s="278"/>
      <c r="E20" s="36"/>
      <c r="F20" s="36"/>
      <c r="G20" s="36">
        <f t="shared" si="4"/>
        <v>0</v>
      </c>
      <c r="H20" s="126">
        <v>0</v>
      </c>
      <c r="I20" s="126">
        <v>0</v>
      </c>
      <c r="J20" s="36">
        <f t="shared" si="5"/>
        <v>0</v>
      </c>
      <c r="K20" s="37">
        <f t="shared" si="6"/>
        <v>0</v>
      </c>
      <c r="L20" s="37">
        <v>0</v>
      </c>
      <c r="M20" s="37">
        <f t="shared" si="3"/>
        <v>152258.59999999998</v>
      </c>
      <c r="N20" s="46"/>
    </row>
    <row r="21" spans="1:14" ht="15">
      <c r="A21" s="26">
        <v>18</v>
      </c>
      <c r="B21" s="27">
        <v>45918</v>
      </c>
      <c r="C21" s="277"/>
      <c r="D21" s="278"/>
      <c r="E21" s="36"/>
      <c r="F21" s="36"/>
      <c r="G21" s="36">
        <f t="shared" si="4"/>
        <v>0</v>
      </c>
      <c r="H21" s="126">
        <v>0</v>
      </c>
      <c r="I21" s="126">
        <v>0</v>
      </c>
      <c r="J21" s="36">
        <f t="shared" si="5"/>
        <v>0</v>
      </c>
      <c r="K21" s="37">
        <f t="shared" si="6"/>
        <v>0</v>
      </c>
      <c r="L21" s="37">
        <v>100000</v>
      </c>
      <c r="M21" s="37">
        <f t="shared" si="3"/>
        <v>52258.599999999977</v>
      </c>
      <c r="N21" s="46"/>
    </row>
    <row r="22" spans="1:14" ht="15">
      <c r="A22" s="26">
        <v>19</v>
      </c>
      <c r="B22" s="27">
        <v>45919</v>
      </c>
      <c r="C22" s="277"/>
      <c r="D22" s="278"/>
      <c r="E22" s="36"/>
      <c r="F22" s="36"/>
      <c r="G22" s="36">
        <f t="shared" si="4"/>
        <v>0</v>
      </c>
      <c r="H22" s="126">
        <v>0</v>
      </c>
      <c r="I22" s="126">
        <v>0</v>
      </c>
      <c r="J22" s="36">
        <f t="shared" si="5"/>
        <v>0</v>
      </c>
      <c r="K22" s="37">
        <f t="shared" si="6"/>
        <v>0</v>
      </c>
      <c r="L22" s="37">
        <v>0</v>
      </c>
      <c r="M22" s="37">
        <f t="shared" si="3"/>
        <v>52258.599999999977</v>
      </c>
      <c r="N22" s="46"/>
    </row>
    <row r="23" spans="1:14" ht="15">
      <c r="A23" s="26">
        <v>20</v>
      </c>
      <c r="B23" s="27">
        <v>45920</v>
      </c>
      <c r="C23" s="277"/>
      <c r="D23" s="278"/>
      <c r="E23" s="36"/>
      <c r="F23" s="36"/>
      <c r="G23" s="36">
        <f t="shared" si="4"/>
        <v>0</v>
      </c>
      <c r="H23" s="126">
        <v>0</v>
      </c>
      <c r="I23" s="126">
        <v>0</v>
      </c>
      <c r="J23" s="36">
        <f t="shared" si="5"/>
        <v>0</v>
      </c>
      <c r="K23" s="37">
        <f t="shared" si="6"/>
        <v>0</v>
      </c>
      <c r="L23" s="37">
        <v>0</v>
      </c>
      <c r="M23" s="37">
        <f t="shared" si="3"/>
        <v>52258.599999999977</v>
      </c>
      <c r="N23" s="46"/>
    </row>
    <row r="24" spans="1:14" ht="15">
      <c r="A24" s="26">
        <v>21</v>
      </c>
      <c r="B24" s="27">
        <v>45921</v>
      </c>
      <c r="C24" s="277"/>
      <c r="D24" s="278"/>
      <c r="E24" s="36"/>
      <c r="F24" s="36"/>
      <c r="G24" s="36">
        <f t="shared" si="4"/>
        <v>0</v>
      </c>
      <c r="H24" s="126">
        <v>0</v>
      </c>
      <c r="I24" s="126">
        <v>0</v>
      </c>
      <c r="J24" s="36">
        <f t="shared" si="5"/>
        <v>0</v>
      </c>
      <c r="K24" s="37">
        <f t="shared" si="6"/>
        <v>0</v>
      </c>
      <c r="L24" s="37">
        <v>0</v>
      </c>
      <c r="M24" s="37">
        <f t="shared" si="3"/>
        <v>52258.599999999977</v>
      </c>
      <c r="N24" s="46"/>
    </row>
    <row r="25" spans="1:14" ht="15">
      <c r="A25" s="26">
        <v>22</v>
      </c>
      <c r="B25" s="27">
        <v>45922</v>
      </c>
      <c r="C25" s="277"/>
      <c r="D25" s="278"/>
      <c r="E25" s="36"/>
      <c r="F25" s="36"/>
      <c r="G25" s="36">
        <f t="shared" si="4"/>
        <v>0</v>
      </c>
      <c r="H25" s="126">
        <v>0</v>
      </c>
      <c r="I25" s="126">
        <v>0</v>
      </c>
      <c r="J25" s="36">
        <f t="shared" si="5"/>
        <v>0</v>
      </c>
      <c r="K25" s="37">
        <f t="shared" si="6"/>
        <v>0</v>
      </c>
      <c r="L25" s="37">
        <v>0</v>
      </c>
      <c r="M25" s="37">
        <f t="shared" si="3"/>
        <v>52258.599999999977</v>
      </c>
      <c r="N25" s="46"/>
    </row>
    <row r="26" spans="1:14" ht="15">
      <c r="A26" s="26">
        <v>23</v>
      </c>
      <c r="B26" s="27">
        <v>45923</v>
      </c>
      <c r="C26" s="277"/>
      <c r="D26" s="278"/>
      <c r="E26" s="36"/>
      <c r="F26" s="36"/>
      <c r="G26" s="36">
        <f t="shared" si="4"/>
        <v>0</v>
      </c>
      <c r="H26" s="126">
        <v>0</v>
      </c>
      <c r="I26" s="126">
        <v>0</v>
      </c>
      <c r="J26" s="36">
        <f t="shared" ref="J26:J31" si="7">H26*I26</f>
        <v>0</v>
      </c>
      <c r="K26" s="37">
        <f t="shared" ref="K26:K31" si="8">G26+J26</f>
        <v>0</v>
      </c>
      <c r="L26" s="37">
        <v>0</v>
      </c>
      <c r="M26" s="37">
        <f t="shared" si="3"/>
        <v>52258.599999999977</v>
      </c>
      <c r="N26" s="46"/>
    </row>
    <row r="27" spans="1:14" ht="15">
      <c r="A27" s="26">
        <v>24</v>
      </c>
      <c r="B27" s="27">
        <v>45924</v>
      </c>
      <c r="C27" s="277"/>
      <c r="D27" s="278"/>
      <c r="E27" s="36"/>
      <c r="F27" s="36"/>
      <c r="G27" s="36">
        <f t="shared" si="4"/>
        <v>0</v>
      </c>
      <c r="H27" s="126">
        <v>0</v>
      </c>
      <c r="I27" s="126">
        <v>0</v>
      </c>
      <c r="J27" s="36">
        <f t="shared" si="7"/>
        <v>0</v>
      </c>
      <c r="K27" s="37">
        <f t="shared" si="8"/>
        <v>0</v>
      </c>
      <c r="L27" s="37">
        <v>0</v>
      </c>
      <c r="M27" s="37">
        <f t="shared" si="3"/>
        <v>52258.599999999977</v>
      </c>
      <c r="N27" s="46"/>
    </row>
    <row r="28" spans="1:14" ht="15">
      <c r="A28" s="26">
        <v>25</v>
      </c>
      <c r="B28" s="27">
        <v>45925</v>
      </c>
      <c r="C28" s="277"/>
      <c r="D28" s="278"/>
      <c r="E28" s="36"/>
      <c r="F28" s="36"/>
      <c r="G28" s="36">
        <f t="shared" si="4"/>
        <v>0</v>
      </c>
      <c r="H28" s="126">
        <v>0</v>
      </c>
      <c r="I28" s="126">
        <v>0</v>
      </c>
      <c r="J28" s="36">
        <f t="shared" si="7"/>
        <v>0</v>
      </c>
      <c r="K28" s="37">
        <f t="shared" si="8"/>
        <v>0</v>
      </c>
      <c r="L28" s="37">
        <v>0</v>
      </c>
      <c r="M28" s="37">
        <f t="shared" si="3"/>
        <v>52258.599999999977</v>
      </c>
      <c r="N28" s="46"/>
    </row>
    <row r="29" spans="1:14" ht="15">
      <c r="A29" s="26">
        <v>26</v>
      </c>
      <c r="B29" s="27">
        <v>45926</v>
      </c>
      <c r="C29" s="277"/>
      <c r="D29" s="278"/>
      <c r="E29" s="36"/>
      <c r="F29" s="36"/>
      <c r="G29" s="36">
        <f t="shared" si="4"/>
        <v>0</v>
      </c>
      <c r="H29" s="126">
        <v>0</v>
      </c>
      <c r="I29" s="126">
        <v>0</v>
      </c>
      <c r="J29" s="36">
        <f t="shared" si="7"/>
        <v>0</v>
      </c>
      <c r="K29" s="37">
        <f t="shared" si="8"/>
        <v>0</v>
      </c>
      <c r="L29" s="37">
        <v>0</v>
      </c>
      <c r="M29" s="37">
        <f t="shared" si="3"/>
        <v>52258.599999999977</v>
      </c>
      <c r="N29" s="46"/>
    </row>
    <row r="30" spans="1:14" ht="15">
      <c r="A30" s="26">
        <v>27</v>
      </c>
      <c r="B30" s="27">
        <v>45927</v>
      </c>
      <c r="C30" s="277"/>
      <c r="D30" s="278"/>
      <c r="E30" s="36"/>
      <c r="F30" s="36"/>
      <c r="G30" s="36">
        <f t="shared" si="4"/>
        <v>0</v>
      </c>
      <c r="H30" s="126">
        <v>0</v>
      </c>
      <c r="I30" s="126">
        <v>0</v>
      </c>
      <c r="J30" s="36">
        <f t="shared" si="7"/>
        <v>0</v>
      </c>
      <c r="K30" s="37">
        <f t="shared" si="8"/>
        <v>0</v>
      </c>
      <c r="L30" s="37">
        <v>50000</v>
      </c>
      <c r="M30" s="37">
        <f t="shared" si="3"/>
        <v>2258.5999999999767</v>
      </c>
      <c r="N30" s="46"/>
    </row>
    <row r="31" spans="1:14" ht="15">
      <c r="A31" s="26">
        <v>28</v>
      </c>
      <c r="B31" s="27">
        <v>45928</v>
      </c>
      <c r="C31" s="277"/>
      <c r="D31" s="278"/>
      <c r="E31" s="36"/>
      <c r="F31" s="36"/>
      <c r="G31" s="36">
        <f t="shared" si="4"/>
        <v>0</v>
      </c>
      <c r="H31" s="126">
        <v>0</v>
      </c>
      <c r="I31" s="126">
        <v>0</v>
      </c>
      <c r="J31" s="36">
        <f t="shared" si="7"/>
        <v>0</v>
      </c>
      <c r="K31" s="37">
        <f t="shared" si="8"/>
        <v>0</v>
      </c>
      <c r="L31" s="37">
        <v>0</v>
      </c>
      <c r="M31" s="37">
        <f t="shared" si="3"/>
        <v>2258.5999999999767</v>
      </c>
      <c r="N31" s="46"/>
    </row>
    <row r="32" spans="1:14" ht="15">
      <c r="A32" s="26">
        <v>29</v>
      </c>
      <c r="B32" s="27">
        <v>45929</v>
      </c>
      <c r="C32" s="277"/>
      <c r="D32" s="278"/>
      <c r="E32" s="36"/>
      <c r="F32" s="36"/>
      <c r="G32" s="36">
        <f t="shared" si="4"/>
        <v>0</v>
      </c>
      <c r="H32" s="126">
        <v>0</v>
      </c>
      <c r="I32" s="126">
        <v>0</v>
      </c>
      <c r="J32" s="36">
        <f t="shared" si="5"/>
        <v>0</v>
      </c>
      <c r="K32" s="37">
        <f t="shared" si="6"/>
        <v>0</v>
      </c>
      <c r="L32" s="37">
        <v>0</v>
      </c>
      <c r="M32" s="37">
        <f t="shared" si="3"/>
        <v>2258.5999999999767</v>
      </c>
      <c r="N32" s="46"/>
    </row>
    <row r="33" spans="1:14" ht="15">
      <c r="A33" s="26">
        <v>30</v>
      </c>
      <c r="B33" s="27">
        <v>45930</v>
      </c>
      <c r="C33" s="277"/>
      <c r="D33" s="278"/>
      <c r="E33" s="36"/>
      <c r="F33" s="36"/>
      <c r="G33" s="36">
        <f t="shared" si="4"/>
        <v>0</v>
      </c>
      <c r="H33" s="126">
        <v>0</v>
      </c>
      <c r="I33" s="126">
        <v>0</v>
      </c>
      <c r="J33" s="36">
        <f t="shared" si="5"/>
        <v>0</v>
      </c>
      <c r="K33" s="37">
        <f t="shared" si="6"/>
        <v>0</v>
      </c>
      <c r="L33" s="37">
        <v>0</v>
      </c>
      <c r="M33" s="37">
        <f t="shared" si="3"/>
        <v>2258.5999999999767</v>
      </c>
      <c r="N33" s="46"/>
    </row>
    <row r="34" spans="1:14" ht="15">
      <c r="A34" s="26">
        <v>31</v>
      </c>
      <c r="B34" s="27"/>
      <c r="C34" s="111"/>
      <c r="D34" s="125"/>
      <c r="E34" s="36"/>
      <c r="F34" s="36"/>
      <c r="G34" s="36">
        <f t="shared" si="4"/>
        <v>0</v>
      </c>
      <c r="H34" s="126">
        <v>0</v>
      </c>
      <c r="I34" s="126">
        <v>0</v>
      </c>
      <c r="J34" s="36">
        <f t="shared" si="5"/>
        <v>0</v>
      </c>
      <c r="K34" s="37">
        <f t="shared" si="6"/>
        <v>0</v>
      </c>
      <c r="L34" s="37">
        <v>0</v>
      </c>
      <c r="M34" s="37">
        <f t="shared" si="3"/>
        <v>2258.5999999999767</v>
      </c>
      <c r="N34" s="46"/>
    </row>
    <row r="35" spans="1:14">
      <c r="A35" s="44"/>
      <c r="B35" s="44"/>
      <c r="C35" s="44"/>
      <c r="D35" s="44"/>
      <c r="E35" s="45">
        <f>SUM(E4:E34)</f>
        <v>1500</v>
      </c>
      <c r="F35" s="45"/>
      <c r="G35" s="45">
        <f>SUM(G4:G34)</f>
        <v>137700</v>
      </c>
      <c r="H35" s="45">
        <f>SUM(H4:H34)</f>
        <v>70</v>
      </c>
      <c r="I35" s="45"/>
      <c r="J35" s="45">
        <f>SUM(J4:J34)</f>
        <v>7279.2999999999993</v>
      </c>
      <c r="K35" s="45">
        <f>SUM(K4:K34)</f>
        <v>144979.29999999999</v>
      </c>
      <c r="L35" s="45">
        <f>SUM(L4:L34)</f>
        <v>150000</v>
      </c>
      <c r="M35" s="45"/>
      <c r="N35" s="45"/>
    </row>
    <row r="36" spans="1:14">
      <c r="A36" s="38"/>
      <c r="B36" s="38"/>
      <c r="C36" s="38"/>
      <c r="D36" s="38"/>
      <c r="E36" s="39"/>
      <c r="F36" s="39"/>
      <c r="G36" s="39"/>
      <c r="H36" s="39"/>
      <c r="I36" s="39"/>
      <c r="J36" s="39"/>
      <c r="K36" s="39"/>
      <c r="L36" s="39"/>
      <c r="M36" s="39"/>
      <c r="N36" s="39"/>
    </row>
    <row r="37" spans="1:14">
      <c r="G37" s="40"/>
    </row>
    <row r="38" spans="1:14">
      <c r="B38" s="407"/>
      <c r="C38" s="407"/>
      <c r="D38" s="407"/>
      <c r="E38" s="407"/>
      <c r="I38" s="407"/>
      <c r="J38" s="407"/>
      <c r="K38" s="407"/>
      <c r="L38" s="407"/>
      <c r="M38" s="407"/>
      <c r="N38" s="407"/>
    </row>
  </sheetData>
  <mergeCells count="4">
    <mergeCell ref="A1:N1"/>
    <mergeCell ref="I38:N38"/>
    <mergeCell ref="B38:E38"/>
    <mergeCell ref="A3:J3"/>
  </mergeCells>
  <printOptions horizontalCentered="1"/>
  <pageMargins left="3.937007874015748E-2" right="3.937007874015748E-2" top="3.937007874015748E-2" bottom="3.937007874015748E-2" header="0.31496062992125984" footer="0.31496062992125984"/>
  <pageSetup scale="39" fitToHeight="10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E987-7A95-4F93-8189-F0484DA603E1}">
  <dimension ref="A1:O35"/>
  <sheetViews>
    <sheetView topLeftCell="A22" workbookViewId="0">
      <selection activeCell="P38" sqref="P38"/>
    </sheetView>
  </sheetViews>
  <sheetFormatPr defaultRowHeight="15"/>
  <cols>
    <col min="2" max="2" width="9.5703125" bestFit="1" customWidth="1"/>
    <col min="3" max="3" width="11.7109375" customWidth="1"/>
    <col min="7" max="7" width="10.140625" bestFit="1" customWidth="1"/>
    <col min="11" max="11" width="10.140625" bestFit="1" customWidth="1"/>
    <col min="12" max="12" width="14.42578125" customWidth="1"/>
    <col min="13" max="13" width="10.7109375" bestFit="1" customWidth="1"/>
    <col min="16" max="16" width="10" customWidth="1"/>
  </cols>
  <sheetData>
    <row r="1" spans="1:15" ht="15.75" customHeight="1">
      <c r="A1" s="397" t="s">
        <v>34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97"/>
      <c r="M1" s="397"/>
      <c r="N1" s="397"/>
    </row>
    <row r="2" spans="1:15" ht="27">
      <c r="A2" s="107" t="s">
        <v>90</v>
      </c>
      <c r="B2" s="110" t="s">
        <v>91</v>
      </c>
      <c r="C2" s="110" t="s">
        <v>92</v>
      </c>
      <c r="D2" s="110" t="s">
        <v>93</v>
      </c>
      <c r="E2" s="110" t="s">
        <v>94</v>
      </c>
      <c r="F2" s="110" t="s">
        <v>95</v>
      </c>
      <c r="G2" s="110" t="s">
        <v>96</v>
      </c>
      <c r="H2" s="110" t="s">
        <v>97</v>
      </c>
      <c r="I2" s="110" t="s">
        <v>95</v>
      </c>
      <c r="J2" s="110" t="s">
        <v>96</v>
      </c>
      <c r="K2" s="110" t="s">
        <v>98</v>
      </c>
      <c r="L2" s="110" t="s">
        <v>99</v>
      </c>
      <c r="M2" s="110" t="s">
        <v>106</v>
      </c>
      <c r="N2" s="110" t="s">
        <v>101</v>
      </c>
    </row>
    <row r="3" spans="1:15">
      <c r="A3" s="396" t="s">
        <v>102</v>
      </c>
      <c r="B3" s="400"/>
      <c r="C3" s="400"/>
      <c r="D3" s="400"/>
      <c r="E3" s="400"/>
      <c r="F3" s="400"/>
      <c r="G3" s="400"/>
      <c r="H3" s="400"/>
      <c r="I3" s="400"/>
      <c r="J3" s="401"/>
      <c r="K3">
        <v>439314.55189999996</v>
      </c>
      <c r="L3" s="154"/>
      <c r="M3" s="154">
        <f>+K3</f>
        <v>439314.55189999996</v>
      </c>
      <c r="N3" s="111"/>
      <c r="O3">
        <v>618231.25190000003</v>
      </c>
    </row>
    <row r="4" spans="1:15">
      <c r="A4" s="26">
        <v>1</v>
      </c>
      <c r="B4" s="27">
        <v>45901</v>
      </c>
      <c r="C4" s="111">
        <v>0</v>
      </c>
      <c r="D4" s="125"/>
      <c r="E4" s="37">
        <v>0</v>
      </c>
      <c r="F4" s="37">
        <v>0</v>
      </c>
      <c r="G4" s="37">
        <f>E4*F4</f>
        <v>0</v>
      </c>
      <c r="H4" s="126">
        <v>100</v>
      </c>
      <c r="I4" s="126">
        <v>103.73</v>
      </c>
      <c r="J4" s="37">
        <f>H4*I4</f>
        <v>10373</v>
      </c>
      <c r="K4" s="37">
        <f>G4+J4</f>
        <v>10373</v>
      </c>
      <c r="L4" s="37">
        <v>0</v>
      </c>
      <c r="M4" s="37">
        <f>M3+K4-L4</f>
        <v>449687.55189999996</v>
      </c>
      <c r="N4" s="46"/>
    </row>
    <row r="5" spans="1:15">
      <c r="A5" s="26">
        <v>2</v>
      </c>
      <c r="B5" s="27">
        <v>45902</v>
      </c>
      <c r="C5" s="111">
        <v>0</v>
      </c>
      <c r="D5" s="125"/>
      <c r="E5" s="37">
        <v>0</v>
      </c>
      <c r="F5" s="37">
        <v>0</v>
      </c>
      <c r="G5" s="37">
        <f t="shared" ref="G5:G33" si="0">E5*F5</f>
        <v>0</v>
      </c>
      <c r="H5" s="126">
        <v>0</v>
      </c>
      <c r="I5" s="126">
        <v>0</v>
      </c>
      <c r="J5" s="37">
        <f t="shared" ref="J5:J33" si="1">H5*I5</f>
        <v>0</v>
      </c>
      <c r="K5" s="37">
        <f t="shared" ref="K5:K33" si="2">G5+J5</f>
        <v>0</v>
      </c>
      <c r="L5" s="37">
        <v>0</v>
      </c>
      <c r="M5" s="37">
        <f>M4+K5-L5</f>
        <v>449687.55189999996</v>
      </c>
      <c r="N5" s="46"/>
    </row>
    <row r="6" spans="1:15">
      <c r="A6" s="26">
        <v>3</v>
      </c>
      <c r="B6" s="27">
        <v>45903</v>
      </c>
      <c r="C6" s="111">
        <v>0</v>
      </c>
      <c r="D6" s="125"/>
      <c r="E6" s="37">
        <v>0</v>
      </c>
      <c r="F6" s="37">
        <v>0</v>
      </c>
      <c r="G6" s="37">
        <f t="shared" si="0"/>
        <v>0</v>
      </c>
      <c r="H6" s="126">
        <v>0</v>
      </c>
      <c r="I6" s="126">
        <v>0</v>
      </c>
      <c r="J6" s="37">
        <f t="shared" si="1"/>
        <v>0</v>
      </c>
      <c r="K6" s="37">
        <f t="shared" si="2"/>
        <v>0</v>
      </c>
      <c r="L6" s="37">
        <v>0</v>
      </c>
      <c r="M6" s="37">
        <f>M5+K6-L6</f>
        <v>449687.55189999996</v>
      </c>
      <c r="N6" s="46"/>
    </row>
    <row r="7" spans="1:15">
      <c r="A7" s="26">
        <v>4</v>
      </c>
      <c r="B7" s="27">
        <v>45904</v>
      </c>
      <c r="C7" s="111">
        <v>0</v>
      </c>
      <c r="D7" s="125"/>
      <c r="E7" s="37">
        <v>0</v>
      </c>
      <c r="F7" s="37">
        <v>0</v>
      </c>
      <c r="G7" s="37">
        <f t="shared" si="0"/>
        <v>0</v>
      </c>
      <c r="H7" s="126">
        <v>0</v>
      </c>
      <c r="I7" s="126">
        <v>0</v>
      </c>
      <c r="J7" s="37">
        <f t="shared" si="1"/>
        <v>0</v>
      </c>
      <c r="K7" s="37">
        <f t="shared" si="2"/>
        <v>0</v>
      </c>
      <c r="L7" s="37">
        <v>0</v>
      </c>
      <c r="M7" s="37">
        <f>M6+K7-L7</f>
        <v>449687.55189999996</v>
      </c>
      <c r="N7" s="46"/>
    </row>
    <row r="8" spans="1:15">
      <c r="A8" s="26">
        <v>5</v>
      </c>
      <c r="B8" s="27">
        <v>45905</v>
      </c>
      <c r="C8" s="111">
        <v>0</v>
      </c>
      <c r="D8" s="125"/>
      <c r="E8" s="37">
        <v>0</v>
      </c>
      <c r="F8" s="37">
        <v>0</v>
      </c>
      <c r="G8" s="37">
        <f t="shared" si="0"/>
        <v>0</v>
      </c>
      <c r="H8" s="126">
        <v>0</v>
      </c>
      <c r="I8" s="126">
        <v>0</v>
      </c>
      <c r="J8" s="37">
        <f t="shared" si="1"/>
        <v>0</v>
      </c>
      <c r="K8" s="37">
        <f t="shared" si="2"/>
        <v>0</v>
      </c>
      <c r="L8" s="37">
        <v>0</v>
      </c>
      <c r="M8" s="37">
        <f>M7+K8-L8</f>
        <v>449687.55189999996</v>
      </c>
      <c r="N8" s="46"/>
    </row>
    <row r="9" spans="1:15">
      <c r="A9" s="26">
        <v>6</v>
      </c>
      <c r="B9" s="27">
        <v>45906</v>
      </c>
      <c r="C9" s="111">
        <v>0</v>
      </c>
      <c r="D9" s="125"/>
      <c r="E9" s="37">
        <v>0</v>
      </c>
      <c r="F9" s="37">
        <v>0</v>
      </c>
      <c r="G9" s="37">
        <f t="shared" si="0"/>
        <v>0</v>
      </c>
      <c r="H9" s="126">
        <v>0</v>
      </c>
      <c r="I9" s="126">
        <v>0</v>
      </c>
      <c r="J9" s="37">
        <f t="shared" si="1"/>
        <v>0</v>
      </c>
      <c r="K9" s="37">
        <f t="shared" si="2"/>
        <v>0</v>
      </c>
      <c r="L9" s="37">
        <v>0</v>
      </c>
      <c r="M9" s="37">
        <f>M8+K9-L9</f>
        <v>449687.55189999996</v>
      </c>
      <c r="N9" s="46"/>
    </row>
    <row r="10" spans="1:15">
      <c r="A10" s="26">
        <v>7</v>
      </c>
      <c r="B10" s="27">
        <v>45907</v>
      </c>
      <c r="C10" s="111">
        <v>0</v>
      </c>
      <c r="D10" s="125"/>
      <c r="E10" s="37">
        <v>0</v>
      </c>
      <c r="F10" s="37">
        <v>0</v>
      </c>
      <c r="G10" s="37">
        <f t="shared" si="0"/>
        <v>0</v>
      </c>
      <c r="H10" s="126">
        <v>0</v>
      </c>
      <c r="I10" s="126">
        <v>0</v>
      </c>
      <c r="J10" s="37">
        <f t="shared" si="1"/>
        <v>0</v>
      </c>
      <c r="K10" s="37">
        <f t="shared" si="2"/>
        <v>0</v>
      </c>
      <c r="L10" s="37">
        <v>0</v>
      </c>
      <c r="M10" s="37">
        <f>M9+K10-L10</f>
        <v>449687.55189999996</v>
      </c>
      <c r="N10" s="46"/>
    </row>
    <row r="11" spans="1:15">
      <c r="A11" s="26">
        <v>8</v>
      </c>
      <c r="B11" s="27">
        <v>45908</v>
      </c>
      <c r="C11" s="111">
        <v>0</v>
      </c>
      <c r="D11" s="125"/>
      <c r="E11" s="37">
        <v>0</v>
      </c>
      <c r="F11" s="37">
        <v>0</v>
      </c>
      <c r="G11" s="37">
        <f t="shared" si="0"/>
        <v>0</v>
      </c>
      <c r="H11" s="126">
        <v>0</v>
      </c>
      <c r="I11" s="126">
        <v>0</v>
      </c>
      <c r="J11" s="37">
        <f t="shared" si="1"/>
        <v>0</v>
      </c>
      <c r="K11" s="37">
        <f t="shared" si="2"/>
        <v>0</v>
      </c>
      <c r="L11" s="37">
        <v>0</v>
      </c>
      <c r="M11" s="37">
        <f>M10+K11-L11</f>
        <v>449687.55189999996</v>
      </c>
      <c r="N11" s="46"/>
    </row>
    <row r="12" spans="1:15">
      <c r="A12" s="26">
        <v>9</v>
      </c>
      <c r="B12" s="27">
        <v>45909</v>
      </c>
      <c r="C12" s="111">
        <v>0</v>
      </c>
      <c r="D12" s="125"/>
      <c r="E12" s="37">
        <v>0</v>
      </c>
      <c r="F12" s="37">
        <v>0</v>
      </c>
      <c r="G12" s="37">
        <f t="shared" si="0"/>
        <v>0</v>
      </c>
      <c r="H12" s="126">
        <v>0</v>
      </c>
      <c r="I12" s="126">
        <v>0</v>
      </c>
      <c r="J12" s="37">
        <f t="shared" si="1"/>
        <v>0</v>
      </c>
      <c r="K12" s="37">
        <f t="shared" si="2"/>
        <v>0</v>
      </c>
      <c r="L12" s="37">
        <v>0</v>
      </c>
      <c r="M12" s="37">
        <f>M11+K12-L12</f>
        <v>449687.55189999996</v>
      </c>
      <c r="N12" s="46"/>
    </row>
    <row r="13" spans="1:15">
      <c r="A13" s="26">
        <v>10</v>
      </c>
      <c r="B13" s="27">
        <v>45910</v>
      </c>
      <c r="C13" s="111">
        <v>0</v>
      </c>
      <c r="D13" s="125"/>
      <c r="E13" s="37">
        <v>0</v>
      </c>
      <c r="F13" s="37">
        <v>0</v>
      </c>
      <c r="G13" s="37">
        <f t="shared" si="0"/>
        <v>0</v>
      </c>
      <c r="H13" s="126">
        <v>0</v>
      </c>
      <c r="I13" s="126">
        <v>0</v>
      </c>
      <c r="J13" s="37">
        <f t="shared" si="1"/>
        <v>0</v>
      </c>
      <c r="K13" s="37">
        <f t="shared" si="2"/>
        <v>0</v>
      </c>
      <c r="L13" s="37">
        <v>439000</v>
      </c>
      <c r="M13" s="37">
        <f>M12+K13-L13</f>
        <v>10687.551899999962</v>
      </c>
      <c r="N13" s="46"/>
    </row>
    <row r="14" spans="1:15">
      <c r="A14" s="26">
        <v>11</v>
      </c>
      <c r="B14" s="27">
        <v>45911</v>
      </c>
      <c r="C14" s="111">
        <v>0</v>
      </c>
      <c r="D14" s="125"/>
      <c r="E14" s="37">
        <v>0</v>
      </c>
      <c r="F14" s="37">
        <v>0</v>
      </c>
      <c r="G14" s="37">
        <f t="shared" si="0"/>
        <v>0</v>
      </c>
      <c r="H14" s="126">
        <v>0</v>
      </c>
      <c r="I14" s="126">
        <v>0</v>
      </c>
      <c r="J14" s="37">
        <f t="shared" si="1"/>
        <v>0</v>
      </c>
      <c r="K14" s="37">
        <f t="shared" si="2"/>
        <v>0</v>
      </c>
      <c r="L14" s="37">
        <v>0</v>
      </c>
      <c r="M14" s="37">
        <f>M13+K14-L14</f>
        <v>10687.551899999962</v>
      </c>
      <c r="N14" s="46"/>
    </row>
    <row r="15" spans="1:15">
      <c r="A15" s="26">
        <v>12</v>
      </c>
      <c r="B15" s="27">
        <v>45912</v>
      </c>
      <c r="C15" s="111">
        <v>0</v>
      </c>
      <c r="D15" s="125"/>
      <c r="E15" s="37">
        <v>0</v>
      </c>
      <c r="F15" s="37">
        <v>0</v>
      </c>
      <c r="G15" s="37">
        <f t="shared" si="0"/>
        <v>0</v>
      </c>
      <c r="H15" s="126">
        <v>0</v>
      </c>
      <c r="I15" s="126">
        <v>0</v>
      </c>
      <c r="J15" s="37">
        <f t="shared" si="1"/>
        <v>0</v>
      </c>
      <c r="K15" s="37">
        <f t="shared" si="2"/>
        <v>0</v>
      </c>
      <c r="L15" s="37">
        <v>0</v>
      </c>
      <c r="M15" s="37">
        <f>M14+K15-L15</f>
        <v>10687.551899999962</v>
      </c>
      <c r="N15" s="46"/>
    </row>
    <row r="16" spans="1:15">
      <c r="A16" s="26">
        <v>13</v>
      </c>
      <c r="B16" s="27">
        <v>45913</v>
      </c>
      <c r="C16" s="111">
        <v>0</v>
      </c>
      <c r="D16" s="125"/>
      <c r="E16" s="37">
        <v>2000</v>
      </c>
      <c r="F16" s="37">
        <v>91.55</v>
      </c>
      <c r="G16" s="37">
        <f t="shared" si="0"/>
        <v>183100</v>
      </c>
      <c r="H16" s="126">
        <v>70</v>
      </c>
      <c r="I16" s="126">
        <v>103.73</v>
      </c>
      <c r="J16" s="37">
        <f t="shared" si="1"/>
        <v>7261.1</v>
      </c>
      <c r="K16" s="37">
        <f t="shared" si="2"/>
        <v>190361.1</v>
      </c>
      <c r="L16" s="37">
        <v>0</v>
      </c>
      <c r="M16" s="37">
        <f>M15+K16-L16</f>
        <v>201048.65189999997</v>
      </c>
      <c r="N16" s="46"/>
    </row>
    <row r="17" spans="1:14">
      <c r="A17" s="26">
        <v>14</v>
      </c>
      <c r="B17" s="27">
        <v>45914</v>
      </c>
      <c r="C17" s="111">
        <v>0</v>
      </c>
      <c r="D17" s="125"/>
      <c r="E17" s="37">
        <v>0</v>
      </c>
      <c r="F17" s="37">
        <v>0</v>
      </c>
      <c r="G17" s="37">
        <f t="shared" si="0"/>
        <v>0</v>
      </c>
      <c r="H17" s="126">
        <v>0</v>
      </c>
      <c r="I17" s="126">
        <v>0</v>
      </c>
      <c r="J17" s="37">
        <f t="shared" si="1"/>
        <v>0</v>
      </c>
      <c r="K17" s="37">
        <f t="shared" si="2"/>
        <v>0</v>
      </c>
      <c r="L17" s="37">
        <v>0</v>
      </c>
      <c r="M17" s="37">
        <f>M16+K17-L17</f>
        <v>201048.65189999997</v>
      </c>
      <c r="N17" s="46"/>
    </row>
    <row r="18" spans="1:14">
      <c r="A18" s="26">
        <v>15</v>
      </c>
      <c r="B18" s="27">
        <v>45915</v>
      </c>
      <c r="C18" s="111">
        <v>0</v>
      </c>
      <c r="D18" s="125"/>
      <c r="E18" s="37">
        <v>0</v>
      </c>
      <c r="F18" s="37">
        <v>0</v>
      </c>
      <c r="G18" s="37">
        <f t="shared" si="0"/>
        <v>0</v>
      </c>
      <c r="H18" s="126">
        <v>0</v>
      </c>
      <c r="I18" s="126">
        <v>0</v>
      </c>
      <c r="J18" s="37">
        <f t="shared" si="1"/>
        <v>0</v>
      </c>
      <c r="K18" s="37">
        <f t="shared" si="2"/>
        <v>0</v>
      </c>
      <c r="L18" s="37">
        <v>0</v>
      </c>
      <c r="M18" s="37">
        <f>M17+K18-L18</f>
        <v>201048.65189999997</v>
      </c>
      <c r="N18" s="46"/>
    </row>
    <row r="19" spans="1:14">
      <c r="A19" s="26">
        <v>16</v>
      </c>
      <c r="B19" s="27">
        <v>45916</v>
      </c>
      <c r="C19" s="111">
        <v>0</v>
      </c>
      <c r="D19" s="125"/>
      <c r="E19" s="37">
        <v>0</v>
      </c>
      <c r="F19" s="37">
        <v>0</v>
      </c>
      <c r="G19" s="37">
        <f t="shared" si="0"/>
        <v>0</v>
      </c>
      <c r="H19" s="126">
        <v>0</v>
      </c>
      <c r="I19" s="126">
        <v>0</v>
      </c>
      <c r="J19" s="37">
        <f t="shared" si="1"/>
        <v>0</v>
      </c>
      <c r="K19" s="37">
        <f t="shared" si="2"/>
        <v>0</v>
      </c>
      <c r="L19" s="37">
        <v>0</v>
      </c>
      <c r="M19" s="37">
        <f>M18+K19-L19</f>
        <v>201048.65189999997</v>
      </c>
      <c r="N19" s="46"/>
    </row>
    <row r="20" spans="1:14">
      <c r="A20" s="26">
        <v>17</v>
      </c>
      <c r="B20" s="27">
        <v>45917</v>
      </c>
      <c r="C20" s="111">
        <v>0</v>
      </c>
      <c r="D20" s="125"/>
      <c r="E20" s="37">
        <v>0</v>
      </c>
      <c r="F20" s="37">
        <v>0</v>
      </c>
      <c r="G20" s="37">
        <f t="shared" si="0"/>
        <v>0</v>
      </c>
      <c r="H20" s="126">
        <v>0</v>
      </c>
      <c r="I20" s="126">
        <v>0</v>
      </c>
      <c r="J20" s="37">
        <f t="shared" si="1"/>
        <v>0</v>
      </c>
      <c r="K20" s="37">
        <f t="shared" si="2"/>
        <v>0</v>
      </c>
      <c r="L20" s="37">
        <v>0</v>
      </c>
      <c r="M20" s="37">
        <f>M19+K20-L20</f>
        <v>201048.65189999997</v>
      </c>
      <c r="N20" s="46"/>
    </row>
    <row r="21" spans="1:14">
      <c r="A21" s="26">
        <v>18</v>
      </c>
      <c r="B21" s="27">
        <v>45918</v>
      </c>
      <c r="C21" s="111">
        <v>0</v>
      </c>
      <c r="D21" s="125"/>
      <c r="E21" s="37">
        <v>0</v>
      </c>
      <c r="F21" s="37">
        <v>0</v>
      </c>
      <c r="G21" s="37">
        <f t="shared" si="0"/>
        <v>0</v>
      </c>
      <c r="H21" s="126">
        <v>0</v>
      </c>
      <c r="I21" s="126">
        <v>0</v>
      </c>
      <c r="J21" s="37">
        <f t="shared" si="1"/>
        <v>0</v>
      </c>
      <c r="K21" s="37">
        <f t="shared" si="2"/>
        <v>0</v>
      </c>
      <c r="L21" s="37">
        <v>0</v>
      </c>
      <c r="M21" s="37">
        <f>M20+K21-L21</f>
        <v>201048.65189999997</v>
      </c>
      <c r="N21" s="46"/>
    </row>
    <row r="22" spans="1:14">
      <c r="A22" s="26">
        <v>19</v>
      </c>
      <c r="B22" s="27">
        <v>45919</v>
      </c>
      <c r="C22" s="111">
        <v>0</v>
      </c>
      <c r="D22" s="125"/>
      <c r="E22" s="37">
        <v>0</v>
      </c>
      <c r="F22" s="37">
        <v>0</v>
      </c>
      <c r="G22" s="37">
        <f t="shared" si="0"/>
        <v>0</v>
      </c>
      <c r="H22" s="126">
        <v>100</v>
      </c>
      <c r="I22" s="126">
        <v>103.73</v>
      </c>
      <c r="J22" s="37">
        <f t="shared" si="1"/>
        <v>10373</v>
      </c>
      <c r="K22" s="37">
        <f t="shared" si="2"/>
        <v>10373</v>
      </c>
      <c r="L22" s="37">
        <v>0</v>
      </c>
      <c r="M22" s="37">
        <f>M21+K22-L22</f>
        <v>211421.65189999997</v>
      </c>
      <c r="N22" s="46"/>
    </row>
    <row r="23" spans="1:14">
      <c r="A23" s="26">
        <v>20</v>
      </c>
      <c r="B23" s="27">
        <v>45920</v>
      </c>
      <c r="C23" s="111">
        <v>0</v>
      </c>
      <c r="D23" s="125"/>
      <c r="E23" s="37">
        <v>0</v>
      </c>
      <c r="F23" s="37">
        <v>0</v>
      </c>
      <c r="G23" s="37">
        <f t="shared" si="0"/>
        <v>0</v>
      </c>
      <c r="H23" s="126">
        <v>0</v>
      </c>
      <c r="I23" s="126">
        <v>0</v>
      </c>
      <c r="J23" s="37">
        <f t="shared" si="1"/>
        <v>0</v>
      </c>
      <c r="K23" s="37">
        <f t="shared" si="2"/>
        <v>0</v>
      </c>
      <c r="L23" s="37">
        <v>0</v>
      </c>
      <c r="M23" s="37">
        <f>M22+K23-L23</f>
        <v>211421.65189999997</v>
      </c>
      <c r="N23" s="46"/>
    </row>
    <row r="24" spans="1:14">
      <c r="A24" s="26">
        <v>21</v>
      </c>
      <c r="B24" s="27">
        <v>45921</v>
      </c>
      <c r="C24" s="111">
        <v>0</v>
      </c>
      <c r="D24" s="125"/>
      <c r="E24" s="37">
        <v>0</v>
      </c>
      <c r="F24" s="37">
        <v>0</v>
      </c>
      <c r="G24" s="37">
        <f t="shared" si="0"/>
        <v>0</v>
      </c>
      <c r="H24" s="126">
        <v>0</v>
      </c>
      <c r="I24" s="126">
        <v>0</v>
      </c>
      <c r="J24" s="37">
        <f t="shared" si="1"/>
        <v>0</v>
      </c>
      <c r="K24" s="37">
        <f t="shared" si="2"/>
        <v>0</v>
      </c>
      <c r="L24" s="37">
        <v>0</v>
      </c>
      <c r="M24" s="37">
        <f>M23+K24-L24</f>
        <v>211421.65189999997</v>
      </c>
      <c r="N24" s="46"/>
    </row>
    <row r="25" spans="1:14">
      <c r="A25" s="26">
        <v>22</v>
      </c>
      <c r="B25" s="27">
        <v>45922</v>
      </c>
      <c r="C25" s="111">
        <v>0</v>
      </c>
      <c r="D25" s="125"/>
      <c r="E25" s="37">
        <v>0</v>
      </c>
      <c r="F25" s="37">
        <v>0</v>
      </c>
      <c r="G25" s="37">
        <f t="shared" si="0"/>
        <v>0</v>
      </c>
      <c r="H25" s="126">
        <v>0</v>
      </c>
      <c r="I25" s="126">
        <v>0</v>
      </c>
      <c r="J25" s="37">
        <f t="shared" si="1"/>
        <v>0</v>
      </c>
      <c r="K25" s="37">
        <f t="shared" si="2"/>
        <v>0</v>
      </c>
      <c r="L25" s="37">
        <v>0</v>
      </c>
      <c r="M25" s="37">
        <f>M24+K25-L25</f>
        <v>211421.65189999997</v>
      </c>
      <c r="N25" s="46"/>
    </row>
    <row r="26" spans="1:14">
      <c r="A26" s="26">
        <v>23</v>
      </c>
      <c r="B26" s="27">
        <v>45923</v>
      </c>
      <c r="C26" s="111">
        <v>0</v>
      </c>
      <c r="D26" s="125"/>
      <c r="E26" s="37">
        <v>0</v>
      </c>
      <c r="F26" s="37">
        <v>0</v>
      </c>
      <c r="G26" s="37">
        <f t="shared" si="0"/>
        <v>0</v>
      </c>
      <c r="H26" s="126">
        <v>0</v>
      </c>
      <c r="I26" s="126">
        <v>0</v>
      </c>
      <c r="J26" s="37">
        <f t="shared" si="1"/>
        <v>0</v>
      </c>
      <c r="K26" s="37">
        <f t="shared" si="2"/>
        <v>0</v>
      </c>
      <c r="L26" s="37">
        <v>0</v>
      </c>
      <c r="M26" s="37">
        <f>M25+K26-L26</f>
        <v>211421.65189999997</v>
      </c>
      <c r="N26" s="46"/>
    </row>
    <row r="27" spans="1:14">
      <c r="A27" s="26">
        <v>24</v>
      </c>
      <c r="B27" s="27">
        <v>45924</v>
      </c>
      <c r="C27" s="111">
        <v>0</v>
      </c>
      <c r="D27" s="125"/>
      <c r="E27" s="37">
        <v>1776.7</v>
      </c>
      <c r="F27" s="37">
        <v>91.55</v>
      </c>
      <c r="G27" s="37">
        <f t="shared" si="0"/>
        <v>162656.88500000001</v>
      </c>
      <c r="H27" s="126">
        <v>35</v>
      </c>
      <c r="I27" s="126">
        <v>103.73</v>
      </c>
      <c r="J27" s="37">
        <f t="shared" si="1"/>
        <v>3630.55</v>
      </c>
      <c r="K27" s="37">
        <f t="shared" si="2"/>
        <v>166287.435</v>
      </c>
      <c r="L27" s="37">
        <v>0</v>
      </c>
      <c r="M27" s="37">
        <f>M26+K27-L27</f>
        <v>377709.08689999999</v>
      </c>
      <c r="N27" s="46"/>
    </row>
    <row r="28" spans="1:14">
      <c r="A28" s="26">
        <v>25</v>
      </c>
      <c r="B28" s="27">
        <v>45925</v>
      </c>
      <c r="C28" s="111">
        <v>0</v>
      </c>
      <c r="D28" s="125"/>
      <c r="E28" s="37">
        <v>0</v>
      </c>
      <c r="F28" s="37">
        <v>0</v>
      </c>
      <c r="G28" s="37">
        <f t="shared" si="0"/>
        <v>0</v>
      </c>
      <c r="H28" s="126">
        <v>0</v>
      </c>
      <c r="I28" s="126">
        <v>0</v>
      </c>
      <c r="J28" s="37">
        <f t="shared" si="1"/>
        <v>0</v>
      </c>
      <c r="K28" s="37">
        <f t="shared" si="2"/>
        <v>0</v>
      </c>
      <c r="L28" s="37">
        <v>0</v>
      </c>
      <c r="M28" s="37">
        <f>M27+K28-L28</f>
        <v>377709.08689999999</v>
      </c>
      <c r="N28" s="46"/>
    </row>
    <row r="29" spans="1:14">
      <c r="A29" s="26">
        <v>26</v>
      </c>
      <c r="B29" s="27">
        <v>45926</v>
      </c>
      <c r="C29" s="111">
        <v>0</v>
      </c>
      <c r="D29" s="125"/>
      <c r="E29" s="37">
        <v>0</v>
      </c>
      <c r="F29" s="37">
        <v>0</v>
      </c>
      <c r="G29" s="37">
        <f t="shared" si="0"/>
        <v>0</v>
      </c>
      <c r="H29" s="126">
        <v>0</v>
      </c>
      <c r="I29" s="126">
        <v>0</v>
      </c>
      <c r="J29" s="37">
        <f t="shared" si="1"/>
        <v>0</v>
      </c>
      <c r="K29" s="37">
        <f t="shared" si="2"/>
        <v>0</v>
      </c>
      <c r="L29" s="37">
        <v>0</v>
      </c>
      <c r="M29" s="37">
        <f>M28+K29-L29</f>
        <v>377709.08689999999</v>
      </c>
      <c r="N29" s="46"/>
    </row>
    <row r="30" spans="1:14">
      <c r="A30" s="26">
        <v>27</v>
      </c>
      <c r="B30" s="27">
        <v>45927</v>
      </c>
      <c r="C30" s="111">
        <v>0</v>
      </c>
      <c r="D30" s="125"/>
      <c r="E30" s="37">
        <v>0</v>
      </c>
      <c r="F30" s="37">
        <v>0</v>
      </c>
      <c r="G30" s="37">
        <f t="shared" si="0"/>
        <v>0</v>
      </c>
      <c r="H30" s="126">
        <v>0</v>
      </c>
      <c r="I30" s="126">
        <v>0</v>
      </c>
      <c r="J30" s="37">
        <f t="shared" si="1"/>
        <v>0</v>
      </c>
      <c r="K30" s="37">
        <f t="shared" si="2"/>
        <v>0</v>
      </c>
      <c r="L30" s="37">
        <v>100000</v>
      </c>
      <c r="M30" s="37">
        <f>M29+K30-L30</f>
        <v>277709.08689999999</v>
      </c>
      <c r="N30" s="46"/>
    </row>
    <row r="31" spans="1:14">
      <c r="A31" s="26">
        <v>28</v>
      </c>
      <c r="B31" s="27">
        <v>45928</v>
      </c>
      <c r="C31" s="111">
        <v>0</v>
      </c>
      <c r="D31" s="125"/>
      <c r="E31" s="37">
        <v>0</v>
      </c>
      <c r="F31" s="37">
        <v>0</v>
      </c>
      <c r="G31" s="37">
        <f t="shared" si="0"/>
        <v>0</v>
      </c>
      <c r="H31" s="126">
        <v>0</v>
      </c>
      <c r="I31" s="126">
        <v>0</v>
      </c>
      <c r="J31" s="37">
        <f t="shared" si="1"/>
        <v>0</v>
      </c>
      <c r="K31" s="37">
        <f t="shared" si="2"/>
        <v>0</v>
      </c>
      <c r="L31" s="37">
        <v>0</v>
      </c>
      <c r="M31" s="37">
        <f>M30+K31-L31</f>
        <v>277709.08689999999</v>
      </c>
      <c r="N31" s="46"/>
    </row>
    <row r="32" spans="1:14">
      <c r="A32" s="26">
        <v>29</v>
      </c>
      <c r="B32" s="27">
        <v>45929</v>
      </c>
      <c r="C32" s="111">
        <v>0</v>
      </c>
      <c r="D32" s="125"/>
      <c r="E32" s="37">
        <v>0</v>
      </c>
      <c r="F32" s="37">
        <v>0</v>
      </c>
      <c r="G32" s="37">
        <f t="shared" si="0"/>
        <v>0</v>
      </c>
      <c r="H32" s="126">
        <v>0</v>
      </c>
      <c r="I32" s="126">
        <v>0</v>
      </c>
      <c r="J32" s="37">
        <f t="shared" si="1"/>
        <v>0</v>
      </c>
      <c r="K32" s="37">
        <f t="shared" si="2"/>
        <v>0</v>
      </c>
      <c r="L32" s="37">
        <v>0</v>
      </c>
      <c r="M32" s="37"/>
      <c r="N32" s="46"/>
    </row>
    <row r="33" spans="1:14">
      <c r="A33" s="26">
        <v>30</v>
      </c>
      <c r="B33" s="27">
        <v>45930</v>
      </c>
      <c r="C33" s="111">
        <v>0</v>
      </c>
      <c r="D33" s="125"/>
      <c r="E33" s="37">
        <v>0</v>
      </c>
      <c r="F33" s="37">
        <v>0</v>
      </c>
      <c r="G33" s="37">
        <f t="shared" si="0"/>
        <v>0</v>
      </c>
      <c r="H33" s="126">
        <v>0</v>
      </c>
      <c r="I33" s="126">
        <v>0</v>
      </c>
      <c r="J33" s="37">
        <f t="shared" si="1"/>
        <v>0</v>
      </c>
      <c r="K33" s="37">
        <f t="shared" si="2"/>
        <v>0</v>
      </c>
      <c r="L33" s="37">
        <v>0</v>
      </c>
      <c r="M33" s="37"/>
      <c r="N33" s="46"/>
    </row>
    <row r="34" spans="1:14">
      <c r="A34" s="26">
        <v>31</v>
      </c>
      <c r="B34" s="27"/>
      <c r="C34" s="111"/>
      <c r="D34" s="125"/>
      <c r="E34" s="37"/>
      <c r="F34" s="37"/>
      <c r="G34" s="37"/>
      <c r="H34" s="126"/>
      <c r="I34" s="126"/>
      <c r="J34" s="37"/>
      <c r="K34" s="37"/>
      <c r="L34" s="37"/>
      <c r="M34" s="37"/>
      <c r="N34" s="46"/>
    </row>
    <row r="35" spans="1:14">
      <c r="A35" s="44"/>
      <c r="B35" s="44"/>
      <c r="C35" s="44"/>
      <c r="D35" s="44"/>
      <c r="E35" s="45">
        <f>SUM(E4:E34)</f>
        <v>3776.7</v>
      </c>
      <c r="F35" s="45"/>
      <c r="G35" s="45">
        <f>SUM(G4:G34)</f>
        <v>345756.88500000001</v>
      </c>
      <c r="H35" s="45">
        <f>SUM(H4:H34)</f>
        <v>305</v>
      </c>
      <c r="I35" s="45"/>
      <c r="J35" s="45">
        <f>SUM(J4:J34)</f>
        <v>31637.649999999998</v>
      </c>
      <c r="K35" s="45">
        <f>SUM(K4:K34)</f>
        <v>377394.53500000003</v>
      </c>
      <c r="L35" s="45">
        <f>SUM(L4:L34)</f>
        <v>539000</v>
      </c>
      <c r="M35" s="45"/>
      <c r="N35" s="45"/>
    </row>
  </sheetData>
  <mergeCells count="2">
    <mergeCell ref="A1:N1"/>
    <mergeCell ref="A3:J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73574-123A-4F92-95B2-0919D70B5B11}">
  <dimension ref="A1:O37"/>
  <sheetViews>
    <sheetView workbookViewId="0">
      <pane ySplit="2" topLeftCell="A23" activePane="bottomLeft" state="frozen"/>
      <selection pane="bottomLeft" activeCell="K40" sqref="K40"/>
    </sheetView>
  </sheetViews>
  <sheetFormatPr defaultColWidth="9.28515625" defaultRowHeight="15"/>
  <cols>
    <col min="1" max="1" width="5.42578125" style="55" bestFit="1" customWidth="1"/>
    <col min="2" max="2" width="11" style="55" bestFit="1" customWidth="1"/>
    <col min="3" max="3" width="7.140625" style="55" bestFit="1" customWidth="1"/>
    <col min="4" max="4" width="15.140625" style="55" bestFit="1" customWidth="1"/>
    <col min="5" max="5" width="9.28515625" style="55"/>
    <col min="6" max="6" width="9.85546875" style="55" bestFit="1" customWidth="1"/>
    <col min="7" max="7" width="10.42578125" style="55" bestFit="1" customWidth="1"/>
    <col min="8" max="8" width="9.28515625" style="55"/>
    <col min="9" max="9" width="7.140625" style="55" bestFit="1" customWidth="1"/>
    <col min="10" max="10" width="9.5703125" style="55" bestFit="1" customWidth="1"/>
    <col min="11" max="11" width="12.28515625" style="55" customWidth="1"/>
    <col min="12" max="12" width="11.7109375" style="55" bestFit="1" customWidth="1"/>
    <col min="13" max="13" width="11.7109375" style="55" customWidth="1"/>
    <col min="14" max="14" width="17.7109375" style="55" bestFit="1" customWidth="1"/>
    <col min="15" max="16384" width="9.28515625" style="55"/>
  </cols>
  <sheetData>
    <row r="1" spans="1:15" ht="15.75">
      <c r="A1" s="408" t="s">
        <v>40</v>
      </c>
      <c r="B1" s="408"/>
      <c r="C1" s="408"/>
      <c r="D1" s="408"/>
      <c r="E1" s="408"/>
      <c r="F1" s="408"/>
      <c r="G1" s="408"/>
      <c r="H1" s="408"/>
      <c r="I1" s="408"/>
      <c r="J1" s="408"/>
      <c r="K1" s="408"/>
      <c r="L1" s="408"/>
      <c r="M1" s="408"/>
      <c r="N1" s="408"/>
    </row>
    <row r="2" spans="1:15">
      <c r="A2" s="91" t="s">
        <v>90</v>
      </c>
      <c r="B2" s="92" t="s">
        <v>91</v>
      </c>
      <c r="C2" s="92" t="s">
        <v>92</v>
      </c>
      <c r="D2" s="92" t="s">
        <v>93</v>
      </c>
      <c r="E2" s="92" t="s">
        <v>94</v>
      </c>
      <c r="F2" s="92" t="s">
        <v>95</v>
      </c>
      <c r="G2" s="92" t="s">
        <v>96</v>
      </c>
      <c r="H2" s="92" t="s">
        <v>97</v>
      </c>
      <c r="I2" s="92" t="s">
        <v>95</v>
      </c>
      <c r="J2" s="116" t="s">
        <v>96</v>
      </c>
      <c r="K2" s="118" t="s">
        <v>98</v>
      </c>
      <c r="L2" s="119" t="s">
        <v>99</v>
      </c>
      <c r="M2" s="120" t="s">
        <v>106</v>
      </c>
      <c r="N2" s="93" t="s">
        <v>101</v>
      </c>
      <c r="O2" s="33"/>
    </row>
    <row r="3" spans="1:15" ht="15.75">
      <c r="A3" s="396" t="s">
        <v>102</v>
      </c>
      <c r="B3" s="400"/>
      <c r="C3" s="400"/>
      <c r="D3" s="400"/>
      <c r="E3" s="400"/>
      <c r="F3" s="400"/>
      <c r="G3" s="400"/>
      <c r="H3" s="400"/>
      <c r="I3" s="400"/>
      <c r="J3" s="401"/>
      <c r="K3" s="56">
        <v>191992.3</v>
      </c>
      <c r="L3" s="54"/>
      <c r="M3" s="124">
        <f>+K3</f>
        <v>191992.3</v>
      </c>
      <c r="N3" s="54"/>
      <c r="O3" s="55">
        <v>26749.799999999988</v>
      </c>
    </row>
    <row r="4" spans="1:15" ht="15.75">
      <c r="A4" s="26">
        <v>1</v>
      </c>
      <c r="B4" s="27">
        <v>45901</v>
      </c>
      <c r="C4" s="122"/>
      <c r="D4" s="123"/>
      <c r="E4" s="83">
        <v>0</v>
      </c>
      <c r="F4" s="121"/>
      <c r="G4" s="121">
        <f>E4*F4</f>
        <v>0</v>
      </c>
      <c r="H4" s="121">
        <v>70</v>
      </c>
      <c r="I4" s="121">
        <v>104.14</v>
      </c>
      <c r="J4" s="121">
        <f>H4*I4</f>
        <v>7289.8</v>
      </c>
      <c r="K4" s="121">
        <f>G4+J4</f>
        <v>7289.8</v>
      </c>
      <c r="L4" s="121"/>
      <c r="M4" s="127">
        <f>M3+K4-L4</f>
        <v>199282.09999999998</v>
      </c>
      <c r="N4" s="121"/>
    </row>
    <row r="5" spans="1:15" ht="15.75">
      <c r="A5" s="26">
        <v>2</v>
      </c>
      <c r="B5" s="27">
        <v>45902</v>
      </c>
      <c r="C5" s="23"/>
      <c r="D5" s="24"/>
      <c r="E5" s="83">
        <v>0</v>
      </c>
      <c r="F5" s="121"/>
      <c r="G5" s="121">
        <f t="shared" ref="G5:G33" si="0">E5*F5</f>
        <v>0</v>
      </c>
      <c r="H5" s="121">
        <v>0</v>
      </c>
      <c r="I5" s="121">
        <v>0</v>
      </c>
      <c r="J5" s="121">
        <f t="shared" ref="J5:J33" si="1">H5*I5</f>
        <v>0</v>
      </c>
      <c r="K5" s="121">
        <f t="shared" ref="K5:K33" si="2">G5+J5</f>
        <v>0</v>
      </c>
      <c r="L5" s="121"/>
      <c r="M5" s="127">
        <f>M4+K5-L5</f>
        <v>199282.09999999998</v>
      </c>
      <c r="N5" s="46"/>
    </row>
    <row r="6" spans="1:15" ht="18.75" customHeight="1">
      <c r="A6" s="26">
        <v>3</v>
      </c>
      <c r="B6" s="27">
        <v>45903</v>
      </c>
      <c r="C6" s="217"/>
      <c r="D6" s="195"/>
      <c r="E6" s="83">
        <v>0</v>
      </c>
      <c r="F6" s="121"/>
      <c r="G6" s="121">
        <f t="shared" si="0"/>
        <v>0</v>
      </c>
      <c r="H6" s="121">
        <v>0</v>
      </c>
      <c r="I6" s="121">
        <v>0</v>
      </c>
      <c r="J6" s="121">
        <f t="shared" si="1"/>
        <v>0</v>
      </c>
      <c r="K6" s="121">
        <f t="shared" si="2"/>
        <v>0</v>
      </c>
      <c r="L6" s="121"/>
      <c r="M6" s="127">
        <f>M5+K6-L6</f>
        <v>199282.09999999998</v>
      </c>
      <c r="N6" s="54"/>
    </row>
    <row r="7" spans="1:15" ht="15.75">
      <c r="A7" s="26">
        <v>4</v>
      </c>
      <c r="B7" s="27">
        <v>45904</v>
      </c>
      <c r="C7" s="215"/>
      <c r="D7" s="216"/>
      <c r="E7" s="83">
        <v>0</v>
      </c>
      <c r="F7" s="121"/>
      <c r="G7" s="121">
        <f t="shared" si="0"/>
        <v>0</v>
      </c>
      <c r="H7" s="121">
        <v>0</v>
      </c>
      <c r="I7" s="121">
        <v>0</v>
      </c>
      <c r="J7" s="121">
        <f t="shared" si="1"/>
        <v>0</v>
      </c>
      <c r="K7" s="121">
        <f t="shared" si="2"/>
        <v>0</v>
      </c>
      <c r="L7" s="121"/>
      <c r="M7" s="127">
        <f>M6+K7-L7</f>
        <v>199282.09999999998</v>
      </c>
      <c r="N7" s="46"/>
    </row>
    <row r="8" spans="1:15" ht="15.75" customHeight="1">
      <c r="A8" s="26">
        <v>5</v>
      </c>
      <c r="B8" s="27">
        <v>45905</v>
      </c>
      <c r="C8" s="121"/>
      <c r="D8" s="121"/>
      <c r="E8" s="83">
        <v>0</v>
      </c>
      <c r="F8" s="121"/>
      <c r="G8" s="121">
        <f t="shared" si="0"/>
        <v>0</v>
      </c>
      <c r="H8" s="121">
        <v>0</v>
      </c>
      <c r="I8" s="121">
        <v>0</v>
      </c>
      <c r="J8" s="121">
        <f t="shared" si="1"/>
        <v>0</v>
      </c>
      <c r="K8" s="121">
        <f t="shared" si="2"/>
        <v>0</v>
      </c>
      <c r="L8" s="121"/>
      <c r="M8" s="127">
        <f t="shared" ref="M8:M34" si="3">M7+K8-L8</f>
        <v>199282.09999999998</v>
      </c>
      <c r="N8" s="54"/>
    </row>
    <row r="9" spans="1:15" ht="15.75" customHeight="1">
      <c r="A9" s="26">
        <v>6</v>
      </c>
      <c r="B9" s="27">
        <v>45906</v>
      </c>
      <c r="C9" s="54"/>
      <c r="D9" s="121"/>
      <c r="E9" s="83">
        <v>0</v>
      </c>
      <c r="F9" s="121"/>
      <c r="G9" s="121">
        <f t="shared" si="0"/>
        <v>0</v>
      </c>
      <c r="H9" s="121">
        <v>0</v>
      </c>
      <c r="I9" s="121">
        <v>0</v>
      </c>
      <c r="J9" s="121">
        <f t="shared" si="1"/>
        <v>0</v>
      </c>
      <c r="K9" s="121">
        <f t="shared" si="2"/>
        <v>0</v>
      </c>
      <c r="L9" s="121"/>
      <c r="M9" s="127">
        <f t="shared" si="3"/>
        <v>199282.09999999998</v>
      </c>
      <c r="N9" s="54"/>
    </row>
    <row r="10" spans="1:15" ht="15.75" customHeight="1">
      <c r="A10" s="26">
        <v>7</v>
      </c>
      <c r="B10" s="27">
        <v>45907</v>
      </c>
      <c r="C10" s="54"/>
      <c r="D10" s="121"/>
      <c r="E10" s="83">
        <v>0</v>
      </c>
      <c r="F10" s="121"/>
      <c r="G10" s="121">
        <f t="shared" si="0"/>
        <v>0</v>
      </c>
      <c r="H10" s="121">
        <v>0</v>
      </c>
      <c r="I10" s="121">
        <v>0</v>
      </c>
      <c r="J10" s="121">
        <f t="shared" si="1"/>
        <v>0</v>
      </c>
      <c r="K10" s="121">
        <f t="shared" si="2"/>
        <v>0</v>
      </c>
      <c r="L10" s="121"/>
      <c r="M10" s="127">
        <f t="shared" si="3"/>
        <v>199282.09999999998</v>
      </c>
      <c r="N10" s="54"/>
    </row>
    <row r="11" spans="1:15" ht="15.75" customHeight="1">
      <c r="A11" s="26">
        <v>8</v>
      </c>
      <c r="B11" s="27">
        <v>45908</v>
      </c>
      <c r="C11" s="54"/>
      <c r="D11" s="121"/>
      <c r="E11" s="83">
        <v>0</v>
      </c>
      <c r="F11" s="121"/>
      <c r="G11" s="121">
        <f t="shared" si="0"/>
        <v>0</v>
      </c>
      <c r="H11" s="121">
        <v>0</v>
      </c>
      <c r="I11" s="121">
        <v>0</v>
      </c>
      <c r="J11" s="121">
        <f t="shared" si="1"/>
        <v>0</v>
      </c>
      <c r="K11" s="121">
        <f t="shared" si="2"/>
        <v>0</v>
      </c>
      <c r="L11" s="121">
        <v>199282.1</v>
      </c>
      <c r="M11" s="127">
        <f t="shared" si="3"/>
        <v>0</v>
      </c>
      <c r="N11" s="54"/>
    </row>
    <row r="12" spans="1:15" ht="15.75" customHeight="1">
      <c r="A12" s="26">
        <v>9</v>
      </c>
      <c r="B12" s="27">
        <v>45909</v>
      </c>
      <c r="C12" s="54"/>
      <c r="D12" s="121"/>
      <c r="E12" s="83">
        <v>0</v>
      </c>
      <c r="F12" s="121"/>
      <c r="G12" s="121">
        <f t="shared" si="0"/>
        <v>0</v>
      </c>
      <c r="H12" s="121">
        <v>70</v>
      </c>
      <c r="I12" s="121">
        <v>104.14</v>
      </c>
      <c r="J12" s="121">
        <f t="shared" si="1"/>
        <v>7289.8</v>
      </c>
      <c r="K12" s="121">
        <f t="shared" si="2"/>
        <v>7289.8</v>
      </c>
      <c r="L12" s="121"/>
      <c r="M12" s="127">
        <f t="shared" si="3"/>
        <v>7289.8</v>
      </c>
      <c r="N12" s="54"/>
    </row>
    <row r="13" spans="1:15" ht="15.75" customHeight="1">
      <c r="A13" s="26">
        <v>10</v>
      </c>
      <c r="B13" s="27">
        <v>45910</v>
      </c>
      <c r="C13" s="54"/>
      <c r="D13" s="121"/>
      <c r="E13" s="83">
        <v>0</v>
      </c>
      <c r="F13" s="121"/>
      <c r="G13" s="121">
        <f t="shared" si="0"/>
        <v>0</v>
      </c>
      <c r="H13" s="121">
        <v>0</v>
      </c>
      <c r="I13" s="121">
        <v>0</v>
      </c>
      <c r="J13" s="121">
        <f t="shared" si="1"/>
        <v>0</v>
      </c>
      <c r="K13" s="121">
        <f t="shared" si="2"/>
        <v>0</v>
      </c>
      <c r="L13" s="121"/>
      <c r="M13" s="127">
        <f t="shared" si="3"/>
        <v>7289.8</v>
      </c>
      <c r="N13" s="54"/>
    </row>
    <row r="14" spans="1:15" ht="15.75" customHeight="1">
      <c r="A14" s="26">
        <v>11</v>
      </c>
      <c r="B14" s="27">
        <v>45911</v>
      </c>
      <c r="C14" s="54"/>
      <c r="D14" s="121"/>
      <c r="E14" s="83">
        <v>0</v>
      </c>
      <c r="F14" s="121"/>
      <c r="G14" s="121">
        <f t="shared" si="0"/>
        <v>0</v>
      </c>
      <c r="H14" s="121">
        <v>0</v>
      </c>
      <c r="I14" s="121">
        <v>0</v>
      </c>
      <c r="J14" s="121">
        <f t="shared" si="1"/>
        <v>0</v>
      </c>
      <c r="K14" s="121">
        <f t="shared" si="2"/>
        <v>0</v>
      </c>
      <c r="L14" s="121"/>
      <c r="M14" s="127">
        <f t="shared" si="3"/>
        <v>7289.8</v>
      </c>
      <c r="N14" s="54"/>
    </row>
    <row r="15" spans="1:15" ht="15.75" customHeight="1">
      <c r="A15" s="26">
        <v>12</v>
      </c>
      <c r="B15" s="27">
        <v>45912</v>
      </c>
      <c r="C15" s="54"/>
      <c r="D15" s="121"/>
      <c r="E15" s="83">
        <v>0</v>
      </c>
      <c r="F15" s="121"/>
      <c r="G15" s="121">
        <f t="shared" si="0"/>
        <v>0</v>
      </c>
      <c r="H15" s="121">
        <v>0</v>
      </c>
      <c r="I15" s="121">
        <v>0</v>
      </c>
      <c r="J15" s="121">
        <f t="shared" si="1"/>
        <v>0</v>
      </c>
      <c r="K15" s="121">
        <f t="shared" si="2"/>
        <v>0</v>
      </c>
      <c r="L15" s="121"/>
      <c r="M15" s="127">
        <f t="shared" si="3"/>
        <v>7289.8</v>
      </c>
      <c r="N15" s="54"/>
    </row>
    <row r="16" spans="1:15" ht="15.75" customHeight="1">
      <c r="A16" s="26">
        <v>13</v>
      </c>
      <c r="B16" s="27">
        <v>45913</v>
      </c>
      <c r="C16" s="54"/>
      <c r="D16" s="121"/>
      <c r="E16" s="83">
        <v>0</v>
      </c>
      <c r="F16" s="121"/>
      <c r="G16" s="121">
        <f t="shared" si="0"/>
        <v>0</v>
      </c>
      <c r="H16" s="121">
        <v>0</v>
      </c>
      <c r="I16" s="121">
        <v>0</v>
      </c>
      <c r="J16" s="121">
        <f t="shared" si="1"/>
        <v>0</v>
      </c>
      <c r="K16" s="121">
        <f t="shared" si="2"/>
        <v>0</v>
      </c>
      <c r="L16" s="121"/>
      <c r="M16" s="127">
        <f t="shared" si="3"/>
        <v>7289.8</v>
      </c>
      <c r="N16" s="54"/>
    </row>
    <row r="17" spans="1:14" ht="15.75" customHeight="1">
      <c r="A17" s="26">
        <v>14</v>
      </c>
      <c r="B17" s="27">
        <v>45914</v>
      </c>
      <c r="C17" s="54"/>
      <c r="D17" s="121"/>
      <c r="E17" s="83">
        <v>0</v>
      </c>
      <c r="F17" s="121"/>
      <c r="G17" s="121">
        <f t="shared" si="0"/>
        <v>0</v>
      </c>
      <c r="H17" s="121">
        <v>0</v>
      </c>
      <c r="I17" s="121">
        <v>0</v>
      </c>
      <c r="J17" s="121">
        <f t="shared" si="1"/>
        <v>0</v>
      </c>
      <c r="K17" s="121">
        <f t="shared" si="2"/>
        <v>0</v>
      </c>
      <c r="L17" s="121"/>
      <c r="M17" s="127">
        <f t="shared" si="3"/>
        <v>7289.8</v>
      </c>
      <c r="N17" s="54"/>
    </row>
    <row r="18" spans="1:14" ht="15.75" customHeight="1">
      <c r="A18" s="26">
        <v>15</v>
      </c>
      <c r="B18" s="27">
        <v>45915</v>
      </c>
      <c r="C18" s="54"/>
      <c r="D18" s="121"/>
      <c r="E18" s="83">
        <v>0</v>
      </c>
      <c r="F18" s="121"/>
      <c r="G18" s="121">
        <f t="shared" si="0"/>
        <v>0</v>
      </c>
      <c r="H18" s="121">
        <v>0</v>
      </c>
      <c r="I18" s="121">
        <v>0</v>
      </c>
      <c r="J18" s="121">
        <f t="shared" si="1"/>
        <v>0</v>
      </c>
      <c r="K18" s="121">
        <f t="shared" si="2"/>
        <v>0</v>
      </c>
      <c r="L18" s="121"/>
      <c r="M18" s="127">
        <f t="shared" si="3"/>
        <v>7289.8</v>
      </c>
      <c r="N18" s="54"/>
    </row>
    <row r="19" spans="1:14" ht="15.75" customHeight="1">
      <c r="A19" s="26">
        <v>16</v>
      </c>
      <c r="B19" s="27">
        <v>45916</v>
      </c>
      <c r="C19" s="54"/>
      <c r="D19" s="121"/>
      <c r="E19" s="83">
        <v>2200</v>
      </c>
      <c r="F19" s="121">
        <v>92.26</v>
      </c>
      <c r="G19" s="121">
        <f t="shared" si="0"/>
        <v>202972</v>
      </c>
      <c r="H19" s="121">
        <v>70</v>
      </c>
      <c r="I19" s="121">
        <v>104.14</v>
      </c>
      <c r="J19" s="121">
        <f t="shared" si="1"/>
        <v>7289.8</v>
      </c>
      <c r="K19" s="121">
        <f t="shared" si="2"/>
        <v>210261.8</v>
      </c>
      <c r="L19" s="121"/>
      <c r="M19" s="127">
        <f t="shared" si="3"/>
        <v>217551.59999999998</v>
      </c>
      <c r="N19" s="54"/>
    </row>
    <row r="20" spans="1:14" ht="15.75" customHeight="1">
      <c r="A20" s="26">
        <v>17</v>
      </c>
      <c r="B20" s="27">
        <v>45917</v>
      </c>
      <c r="C20" s="54"/>
      <c r="D20" s="121"/>
      <c r="E20" s="83">
        <v>0</v>
      </c>
      <c r="F20" s="121"/>
      <c r="G20" s="121">
        <f t="shared" si="0"/>
        <v>0</v>
      </c>
      <c r="H20" s="121">
        <v>0</v>
      </c>
      <c r="I20" s="121">
        <v>0</v>
      </c>
      <c r="J20" s="121">
        <f t="shared" si="1"/>
        <v>0</v>
      </c>
      <c r="K20" s="121">
        <f t="shared" si="2"/>
        <v>0</v>
      </c>
      <c r="L20" s="121"/>
      <c r="M20" s="127">
        <f t="shared" si="3"/>
        <v>217551.59999999998</v>
      </c>
      <c r="N20" s="54"/>
    </row>
    <row r="21" spans="1:14" ht="15.75" customHeight="1">
      <c r="A21" s="26">
        <v>18</v>
      </c>
      <c r="B21" s="27">
        <v>45918</v>
      </c>
      <c r="C21" s="54"/>
      <c r="D21" s="121"/>
      <c r="E21" s="83">
        <v>0</v>
      </c>
      <c r="F21" s="121"/>
      <c r="G21" s="121">
        <f t="shared" si="0"/>
        <v>0</v>
      </c>
      <c r="H21" s="121">
        <v>0</v>
      </c>
      <c r="I21" s="121">
        <v>0</v>
      </c>
      <c r="J21" s="121">
        <f t="shared" si="1"/>
        <v>0</v>
      </c>
      <c r="K21" s="121">
        <f t="shared" si="2"/>
        <v>0</v>
      </c>
      <c r="L21" s="121"/>
      <c r="M21" s="127">
        <f t="shared" si="3"/>
        <v>217551.59999999998</v>
      </c>
      <c r="N21" s="54"/>
    </row>
    <row r="22" spans="1:14" ht="15.75" customHeight="1">
      <c r="A22" s="26">
        <v>19</v>
      </c>
      <c r="B22" s="27">
        <v>45919</v>
      </c>
      <c r="C22" s="54"/>
      <c r="D22" s="121"/>
      <c r="E22" s="83">
        <v>0</v>
      </c>
      <c r="F22" s="121"/>
      <c r="G22" s="121">
        <f t="shared" si="0"/>
        <v>0</v>
      </c>
      <c r="H22" s="121">
        <v>0</v>
      </c>
      <c r="I22" s="121">
        <v>0</v>
      </c>
      <c r="J22" s="121">
        <f t="shared" si="1"/>
        <v>0</v>
      </c>
      <c r="K22" s="121">
        <f t="shared" si="2"/>
        <v>0</v>
      </c>
      <c r="L22" s="121"/>
      <c r="M22" s="127">
        <f t="shared" si="3"/>
        <v>217551.59999999998</v>
      </c>
      <c r="N22" s="54"/>
    </row>
    <row r="23" spans="1:14" ht="15.75" customHeight="1">
      <c r="A23" s="26">
        <v>20</v>
      </c>
      <c r="B23" s="27">
        <v>45920</v>
      </c>
      <c r="C23" s="54"/>
      <c r="D23" s="121"/>
      <c r="E23" s="83">
        <v>0</v>
      </c>
      <c r="F23" s="121"/>
      <c r="G23" s="121">
        <f t="shared" si="0"/>
        <v>0</v>
      </c>
      <c r="H23" s="121">
        <v>0</v>
      </c>
      <c r="I23" s="121">
        <v>0</v>
      </c>
      <c r="J23" s="121">
        <f t="shared" si="1"/>
        <v>0</v>
      </c>
      <c r="K23" s="121">
        <f t="shared" si="2"/>
        <v>0</v>
      </c>
      <c r="L23" s="121"/>
      <c r="M23" s="127">
        <f t="shared" si="3"/>
        <v>217551.59999999998</v>
      </c>
      <c r="N23" s="54"/>
    </row>
    <row r="24" spans="1:14" ht="15.75" customHeight="1">
      <c r="A24" s="26">
        <v>21</v>
      </c>
      <c r="B24" s="27">
        <v>45921</v>
      </c>
      <c r="C24" s="54"/>
      <c r="D24" s="121"/>
      <c r="E24" s="83">
        <v>0</v>
      </c>
      <c r="F24" s="121"/>
      <c r="G24" s="121">
        <f t="shared" si="0"/>
        <v>0</v>
      </c>
      <c r="H24" s="121">
        <v>0</v>
      </c>
      <c r="I24" s="121">
        <v>0</v>
      </c>
      <c r="J24" s="121">
        <f t="shared" si="1"/>
        <v>0</v>
      </c>
      <c r="K24" s="121">
        <f t="shared" si="2"/>
        <v>0</v>
      </c>
      <c r="L24" s="121"/>
      <c r="M24" s="127">
        <f t="shared" si="3"/>
        <v>217551.59999999998</v>
      </c>
      <c r="N24" s="54"/>
    </row>
    <row r="25" spans="1:14" ht="15.75" customHeight="1">
      <c r="A25" s="26">
        <v>22</v>
      </c>
      <c r="B25" s="27">
        <v>45922</v>
      </c>
      <c r="C25" s="54"/>
      <c r="D25" s="121"/>
      <c r="E25" s="83">
        <v>0</v>
      </c>
      <c r="F25" s="121"/>
      <c r="G25" s="121">
        <f t="shared" si="0"/>
        <v>0</v>
      </c>
      <c r="H25" s="121">
        <v>0</v>
      </c>
      <c r="I25" s="121">
        <v>0</v>
      </c>
      <c r="J25" s="121">
        <f t="shared" si="1"/>
        <v>0</v>
      </c>
      <c r="K25" s="121">
        <f t="shared" si="2"/>
        <v>0</v>
      </c>
      <c r="L25" s="121"/>
      <c r="M25" s="127">
        <f t="shared" si="3"/>
        <v>217551.59999999998</v>
      </c>
      <c r="N25" s="54"/>
    </row>
    <row r="26" spans="1:14" ht="15.75" customHeight="1">
      <c r="A26" s="26">
        <v>23</v>
      </c>
      <c r="B26" s="27">
        <v>45923</v>
      </c>
      <c r="C26" s="54"/>
      <c r="D26" s="121"/>
      <c r="E26" s="83">
        <v>0</v>
      </c>
      <c r="F26" s="121"/>
      <c r="G26" s="121">
        <f t="shared" si="0"/>
        <v>0</v>
      </c>
      <c r="H26" s="121">
        <v>0</v>
      </c>
      <c r="I26" s="121">
        <v>0</v>
      </c>
      <c r="J26" s="121">
        <f t="shared" si="1"/>
        <v>0</v>
      </c>
      <c r="K26" s="121">
        <f t="shared" si="2"/>
        <v>0</v>
      </c>
      <c r="L26" s="121"/>
      <c r="M26" s="127">
        <f t="shared" si="3"/>
        <v>217551.59999999998</v>
      </c>
      <c r="N26" s="54"/>
    </row>
    <row r="27" spans="1:14" ht="15.75" customHeight="1">
      <c r="A27" s="26">
        <v>24</v>
      </c>
      <c r="B27" s="27">
        <v>45924</v>
      </c>
      <c r="C27" s="54"/>
      <c r="D27" s="121"/>
      <c r="E27" s="83">
        <v>0</v>
      </c>
      <c r="F27" s="121"/>
      <c r="G27" s="121">
        <f t="shared" si="0"/>
        <v>0</v>
      </c>
      <c r="H27" s="121">
        <v>0</v>
      </c>
      <c r="I27" s="121">
        <v>0</v>
      </c>
      <c r="J27" s="121">
        <f t="shared" si="1"/>
        <v>0</v>
      </c>
      <c r="K27" s="121">
        <f t="shared" si="2"/>
        <v>0</v>
      </c>
      <c r="L27" s="121"/>
      <c r="M27" s="127">
        <f t="shared" si="3"/>
        <v>217551.59999999998</v>
      </c>
      <c r="N27" s="54"/>
    </row>
    <row r="28" spans="1:14" ht="15.75" customHeight="1">
      <c r="A28" s="26">
        <v>25</v>
      </c>
      <c r="B28" s="27">
        <v>45925</v>
      </c>
      <c r="C28" s="54"/>
      <c r="D28" s="121"/>
      <c r="E28" s="83">
        <v>0</v>
      </c>
      <c r="F28" s="121"/>
      <c r="G28" s="121">
        <f t="shared" si="0"/>
        <v>0</v>
      </c>
      <c r="H28" s="121">
        <v>70</v>
      </c>
      <c r="I28" s="121">
        <v>104.14</v>
      </c>
      <c r="J28" s="121">
        <f t="shared" si="1"/>
        <v>7289.8</v>
      </c>
      <c r="K28" s="121">
        <f t="shared" si="2"/>
        <v>7289.8</v>
      </c>
      <c r="L28" s="121"/>
      <c r="M28" s="127">
        <f t="shared" si="3"/>
        <v>224841.39999999997</v>
      </c>
      <c r="N28" s="54"/>
    </row>
    <row r="29" spans="1:14" ht="15.75" customHeight="1">
      <c r="A29" s="26">
        <v>26</v>
      </c>
      <c r="B29" s="27">
        <v>45926</v>
      </c>
      <c r="C29" s="54"/>
      <c r="D29" s="121"/>
      <c r="E29" s="83">
        <v>0</v>
      </c>
      <c r="F29" s="121"/>
      <c r="G29" s="121">
        <f t="shared" si="0"/>
        <v>0</v>
      </c>
      <c r="H29" s="121">
        <v>0</v>
      </c>
      <c r="I29" s="121">
        <v>0</v>
      </c>
      <c r="J29" s="121">
        <f t="shared" si="1"/>
        <v>0</v>
      </c>
      <c r="K29" s="121">
        <f t="shared" si="2"/>
        <v>0</v>
      </c>
      <c r="L29" s="121"/>
      <c r="M29" s="127">
        <f t="shared" si="3"/>
        <v>224841.39999999997</v>
      </c>
      <c r="N29" s="54"/>
    </row>
    <row r="30" spans="1:14" ht="15.75" customHeight="1">
      <c r="A30" s="26">
        <v>27</v>
      </c>
      <c r="B30" s="27">
        <v>45927</v>
      </c>
      <c r="C30" s="54"/>
      <c r="D30" s="121"/>
      <c r="E30" s="83">
        <v>0</v>
      </c>
      <c r="F30" s="121"/>
      <c r="G30" s="121">
        <f t="shared" si="0"/>
        <v>0</v>
      </c>
      <c r="H30" s="121">
        <v>0</v>
      </c>
      <c r="I30" s="121">
        <v>0</v>
      </c>
      <c r="J30" s="121">
        <f t="shared" si="1"/>
        <v>0</v>
      </c>
      <c r="K30" s="121">
        <f t="shared" si="2"/>
        <v>0</v>
      </c>
      <c r="L30" s="121">
        <v>150000</v>
      </c>
      <c r="M30" s="127">
        <f t="shared" si="3"/>
        <v>74841.399999999965</v>
      </c>
      <c r="N30" s="54"/>
    </row>
    <row r="31" spans="1:14" ht="15.75" customHeight="1">
      <c r="A31" s="26">
        <v>28</v>
      </c>
      <c r="B31" s="27">
        <v>45928</v>
      </c>
      <c r="C31" s="54"/>
      <c r="D31" s="121"/>
      <c r="E31" s="83">
        <v>0</v>
      </c>
      <c r="F31" s="121"/>
      <c r="G31" s="121">
        <f t="shared" si="0"/>
        <v>0</v>
      </c>
      <c r="H31" s="121">
        <v>0</v>
      </c>
      <c r="I31" s="121">
        <v>0</v>
      </c>
      <c r="J31" s="121">
        <f t="shared" si="1"/>
        <v>0</v>
      </c>
      <c r="K31" s="121">
        <f t="shared" si="2"/>
        <v>0</v>
      </c>
      <c r="L31" s="121"/>
      <c r="M31" s="127">
        <f t="shared" si="3"/>
        <v>74841.399999999965</v>
      </c>
      <c r="N31" s="54"/>
    </row>
    <row r="32" spans="1:14" ht="15.75" customHeight="1">
      <c r="A32" s="26">
        <v>29</v>
      </c>
      <c r="B32" s="27">
        <v>45929</v>
      </c>
      <c r="C32" s="54"/>
      <c r="D32" s="121"/>
      <c r="E32" s="83">
        <v>0</v>
      </c>
      <c r="F32" s="121"/>
      <c r="G32" s="121">
        <f t="shared" si="0"/>
        <v>0</v>
      </c>
      <c r="H32" s="121">
        <v>0</v>
      </c>
      <c r="I32" s="121">
        <v>0</v>
      </c>
      <c r="J32" s="121">
        <f t="shared" si="1"/>
        <v>0</v>
      </c>
      <c r="K32" s="121">
        <f t="shared" si="2"/>
        <v>0</v>
      </c>
      <c r="L32" s="121"/>
      <c r="M32" s="127">
        <f t="shared" si="3"/>
        <v>74841.399999999965</v>
      </c>
      <c r="N32" s="54"/>
    </row>
    <row r="33" spans="1:15" ht="15.75" customHeight="1">
      <c r="A33" s="26">
        <v>30</v>
      </c>
      <c r="B33" s="27">
        <v>45930</v>
      </c>
      <c r="C33" s="54"/>
      <c r="D33" s="121"/>
      <c r="E33" s="83">
        <v>0</v>
      </c>
      <c r="F33" s="121"/>
      <c r="G33" s="121">
        <f t="shared" si="0"/>
        <v>0</v>
      </c>
      <c r="H33" s="121">
        <v>0</v>
      </c>
      <c r="I33" s="121">
        <v>0</v>
      </c>
      <c r="J33" s="121">
        <f t="shared" si="1"/>
        <v>0</v>
      </c>
      <c r="K33" s="121">
        <f t="shared" si="2"/>
        <v>0</v>
      </c>
      <c r="L33" s="121"/>
      <c r="M33" s="127">
        <f t="shared" si="3"/>
        <v>74841.399999999965</v>
      </c>
      <c r="N33" s="54"/>
    </row>
    <row r="34" spans="1:15" ht="15.75" customHeight="1">
      <c r="A34" s="26">
        <v>31</v>
      </c>
      <c r="B34" s="27">
        <v>45931</v>
      </c>
      <c r="C34" s="54"/>
      <c r="D34" s="121"/>
      <c r="E34" s="83">
        <v>0</v>
      </c>
      <c r="F34" s="121"/>
      <c r="G34" s="121">
        <f t="shared" ref="G5:G34" si="4">E34*F34</f>
        <v>0</v>
      </c>
      <c r="H34" s="121">
        <v>0</v>
      </c>
      <c r="I34" s="121">
        <v>0</v>
      </c>
      <c r="J34" s="121">
        <f t="shared" ref="J5:J34" si="5">H34*I34</f>
        <v>0</v>
      </c>
      <c r="K34" s="121">
        <f t="shared" ref="K5:K34" si="6">G34+J34</f>
        <v>0</v>
      </c>
      <c r="L34" s="121"/>
      <c r="M34" s="127">
        <f t="shared" si="3"/>
        <v>74841.399999999965</v>
      </c>
      <c r="N34" s="54"/>
    </row>
    <row r="35" spans="1:15">
      <c r="A35" s="44"/>
      <c r="B35" s="44"/>
      <c r="C35" s="44"/>
      <c r="D35" s="44"/>
      <c r="E35" s="45">
        <f>SUM(E4:E34)</f>
        <v>2200</v>
      </c>
      <c r="F35" s="45"/>
      <c r="G35" s="45">
        <f>SUM(G4:G34)</f>
        <v>202972</v>
      </c>
      <c r="H35" s="45">
        <f>SUM(H4:H34)</f>
        <v>280</v>
      </c>
      <c r="I35" s="45"/>
      <c r="J35" s="45">
        <f>SUM(J4:J34)</f>
        <v>29159.200000000001</v>
      </c>
      <c r="K35" s="45">
        <f>SUM(K4:K34)</f>
        <v>232131.19999999998</v>
      </c>
      <c r="L35" s="45">
        <f>SUM(L4:L34)</f>
        <v>349282.1</v>
      </c>
      <c r="M35" s="45"/>
      <c r="N35" s="45"/>
      <c r="O35" s="33"/>
    </row>
    <row r="37" spans="1:15">
      <c r="D37" s="47"/>
      <c r="E37" s="47"/>
    </row>
  </sheetData>
  <mergeCells count="2">
    <mergeCell ref="A1:N1"/>
    <mergeCell ref="A3:J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60AF3-FEE5-4489-B644-338CB0A1459A}">
  <dimension ref="A1:N35"/>
  <sheetViews>
    <sheetView workbookViewId="0">
      <selection activeCell="M39" sqref="M39"/>
    </sheetView>
  </sheetViews>
  <sheetFormatPr defaultRowHeight="15"/>
  <cols>
    <col min="2" max="2" width="10.42578125" bestFit="1" customWidth="1"/>
    <col min="4" max="4" width="16" bestFit="1" customWidth="1"/>
    <col min="5" max="5" width="11.140625" customWidth="1"/>
    <col min="11" max="11" width="12.5703125" customWidth="1"/>
    <col min="12" max="12" width="12.140625" customWidth="1"/>
    <col min="14" max="14" width="17.7109375" bestFit="1" customWidth="1"/>
    <col min="15" max="15" width="12" customWidth="1"/>
  </cols>
  <sheetData>
    <row r="1" spans="1:14" ht="15.75">
      <c r="A1" s="397" t="s">
        <v>42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97"/>
      <c r="M1" s="397"/>
      <c r="N1" s="397"/>
    </row>
    <row r="2" spans="1:14">
      <c r="A2" s="107" t="s">
        <v>90</v>
      </c>
      <c r="B2" s="110" t="s">
        <v>91</v>
      </c>
      <c r="C2" s="110" t="s">
        <v>92</v>
      </c>
      <c r="D2" s="110" t="s">
        <v>93</v>
      </c>
      <c r="E2" s="110" t="s">
        <v>94</v>
      </c>
      <c r="F2" s="110" t="s">
        <v>95</v>
      </c>
      <c r="G2" s="110" t="s">
        <v>96</v>
      </c>
      <c r="H2" s="110" t="s">
        <v>97</v>
      </c>
      <c r="I2" s="110" t="s">
        <v>95</v>
      </c>
      <c r="J2" s="110" t="s">
        <v>96</v>
      </c>
      <c r="K2" s="110" t="s">
        <v>98</v>
      </c>
      <c r="L2" s="110" t="s">
        <v>99</v>
      </c>
      <c r="M2" s="110" t="s">
        <v>106</v>
      </c>
      <c r="N2" s="110" t="s">
        <v>101</v>
      </c>
    </row>
    <row r="3" spans="1:14">
      <c r="A3" s="409" t="s">
        <v>102</v>
      </c>
      <c r="B3" s="409"/>
      <c r="C3" s="409"/>
      <c r="D3" s="409"/>
      <c r="E3" s="409"/>
      <c r="F3" s="409"/>
      <c r="G3" s="409"/>
      <c r="H3" s="409"/>
      <c r="I3" s="409"/>
      <c r="J3" s="409"/>
      <c r="K3" s="99">
        <v>0</v>
      </c>
      <c r="L3" s="99">
        <v>0</v>
      </c>
      <c r="M3" s="99">
        <f>+K3</f>
        <v>0</v>
      </c>
      <c r="N3" s="17"/>
    </row>
    <row r="4" spans="1:14">
      <c r="A4" s="26">
        <v>1</v>
      </c>
      <c r="B4" s="27">
        <v>45901</v>
      </c>
      <c r="C4" s="17"/>
      <c r="D4" s="17"/>
      <c r="E4" s="90">
        <v>231</v>
      </c>
      <c r="F4" s="90">
        <v>92.25</v>
      </c>
      <c r="G4" s="17">
        <f>E4*F4</f>
        <v>21309.75</v>
      </c>
      <c r="H4" s="90">
        <v>35</v>
      </c>
      <c r="I4" s="90">
        <v>104.13</v>
      </c>
      <c r="J4" s="17">
        <f>H4*I4</f>
        <v>3644.5499999999997</v>
      </c>
      <c r="K4" s="17">
        <f>G4+J4</f>
        <v>24954.3</v>
      </c>
      <c r="L4" s="17">
        <f>K4</f>
        <v>24954.3</v>
      </c>
      <c r="M4" s="17">
        <f>M3+K4-L4</f>
        <v>0</v>
      </c>
      <c r="N4" s="46"/>
    </row>
    <row r="5" spans="1:14">
      <c r="A5" s="26">
        <v>2</v>
      </c>
      <c r="B5" s="27">
        <v>45902</v>
      </c>
      <c r="C5" s="17"/>
      <c r="D5" s="17"/>
      <c r="E5" s="90">
        <v>108</v>
      </c>
      <c r="F5" s="90">
        <v>92.25</v>
      </c>
      <c r="G5" s="17">
        <f t="shared" ref="G5:G33" si="0">E5*F5</f>
        <v>9963</v>
      </c>
      <c r="H5" s="90">
        <v>0</v>
      </c>
      <c r="I5" s="90">
        <v>0</v>
      </c>
      <c r="J5" s="17">
        <f t="shared" ref="J5:J33" si="1">H5*I5</f>
        <v>0</v>
      </c>
      <c r="K5" s="17">
        <f t="shared" ref="K5:K33" si="2">G5+J5</f>
        <v>9963</v>
      </c>
      <c r="L5" s="17">
        <f t="shared" ref="L5:L33" si="3">K5</f>
        <v>9963</v>
      </c>
      <c r="M5" s="17">
        <f t="shared" ref="M5:M27" si="4">M4+K5-L5</f>
        <v>0</v>
      </c>
      <c r="N5" s="46"/>
    </row>
    <row r="6" spans="1:14">
      <c r="A6" s="26">
        <v>3</v>
      </c>
      <c r="B6" s="27">
        <v>45903</v>
      </c>
      <c r="C6" s="17"/>
      <c r="D6" s="17"/>
      <c r="E6" s="90">
        <v>302</v>
      </c>
      <c r="F6" s="90">
        <v>92.25</v>
      </c>
      <c r="G6" s="17">
        <f t="shared" si="0"/>
        <v>27859.5</v>
      </c>
      <c r="H6" s="90">
        <v>20</v>
      </c>
      <c r="I6" s="90">
        <v>104.13</v>
      </c>
      <c r="J6" s="17">
        <f t="shared" si="1"/>
        <v>2082.6</v>
      </c>
      <c r="K6" s="17">
        <f t="shared" si="2"/>
        <v>29942.1</v>
      </c>
      <c r="L6" s="17">
        <f t="shared" si="3"/>
        <v>29942.1</v>
      </c>
      <c r="M6" s="17">
        <f t="shared" si="4"/>
        <v>0</v>
      </c>
      <c r="N6" s="46"/>
    </row>
    <row r="7" spans="1:14">
      <c r="A7" s="26">
        <v>4</v>
      </c>
      <c r="B7" s="27">
        <v>45904</v>
      </c>
      <c r="C7" s="17"/>
      <c r="D7" s="17"/>
      <c r="E7" s="90">
        <v>108.42</v>
      </c>
      <c r="F7" s="90">
        <v>92.23</v>
      </c>
      <c r="G7" s="17">
        <f t="shared" si="0"/>
        <v>9999.5766000000003</v>
      </c>
      <c r="H7" s="90">
        <v>0</v>
      </c>
      <c r="I7" s="90">
        <v>0</v>
      </c>
      <c r="J7" s="17">
        <f t="shared" si="1"/>
        <v>0</v>
      </c>
      <c r="K7" s="17">
        <f t="shared" si="2"/>
        <v>9999.5766000000003</v>
      </c>
      <c r="L7" s="17">
        <f t="shared" si="3"/>
        <v>9999.5766000000003</v>
      </c>
      <c r="M7" s="17">
        <f t="shared" si="4"/>
        <v>0</v>
      </c>
      <c r="N7" s="46"/>
    </row>
    <row r="8" spans="1:14">
      <c r="A8" s="26">
        <v>5</v>
      </c>
      <c r="B8" s="27">
        <v>45905</v>
      </c>
      <c r="C8" s="17"/>
      <c r="D8" s="17"/>
      <c r="E8" s="90">
        <v>271.06</v>
      </c>
      <c r="F8" s="90">
        <v>92.23</v>
      </c>
      <c r="G8" s="17">
        <f t="shared" si="0"/>
        <v>24999.863800000003</v>
      </c>
      <c r="H8" s="90">
        <v>0</v>
      </c>
      <c r="I8" s="90">
        <v>0</v>
      </c>
      <c r="J8" s="17">
        <f t="shared" si="1"/>
        <v>0</v>
      </c>
      <c r="K8" s="17">
        <f t="shared" si="2"/>
        <v>24999.863800000003</v>
      </c>
      <c r="L8" s="17">
        <f t="shared" si="3"/>
        <v>24999.863800000003</v>
      </c>
      <c r="M8" s="17">
        <f t="shared" si="4"/>
        <v>0</v>
      </c>
      <c r="N8" s="46"/>
    </row>
    <row r="9" spans="1:14">
      <c r="A9" s="26">
        <v>6</v>
      </c>
      <c r="B9" s="27">
        <v>45906</v>
      </c>
      <c r="C9" s="17"/>
      <c r="D9" s="17"/>
      <c r="E9" s="90">
        <v>216.8</v>
      </c>
      <c r="F9" s="90">
        <v>92.25</v>
      </c>
      <c r="G9" s="17">
        <f t="shared" si="0"/>
        <v>19999.8</v>
      </c>
      <c r="H9" s="90">
        <v>0</v>
      </c>
      <c r="I9" s="90">
        <v>0</v>
      </c>
      <c r="J9" s="17">
        <f t="shared" si="1"/>
        <v>0</v>
      </c>
      <c r="K9" s="17">
        <f t="shared" si="2"/>
        <v>19999.8</v>
      </c>
      <c r="L9" s="17">
        <f t="shared" si="3"/>
        <v>19999.8</v>
      </c>
      <c r="M9" s="17">
        <f t="shared" si="4"/>
        <v>0</v>
      </c>
      <c r="N9" s="46"/>
    </row>
    <row r="10" spans="1:14">
      <c r="A10" s="26">
        <v>7</v>
      </c>
      <c r="B10" s="27">
        <v>45907</v>
      </c>
      <c r="C10" s="17"/>
      <c r="D10" s="17"/>
      <c r="E10" s="90">
        <v>0</v>
      </c>
      <c r="F10" s="90">
        <v>0</v>
      </c>
      <c r="G10" s="17">
        <f t="shared" si="0"/>
        <v>0</v>
      </c>
      <c r="H10" s="90">
        <v>0</v>
      </c>
      <c r="I10" s="90">
        <v>0</v>
      </c>
      <c r="J10" s="17">
        <f t="shared" si="1"/>
        <v>0</v>
      </c>
      <c r="K10" s="17">
        <f t="shared" si="2"/>
        <v>0</v>
      </c>
      <c r="L10" s="17">
        <f t="shared" si="3"/>
        <v>0</v>
      </c>
      <c r="M10" s="17">
        <f t="shared" si="4"/>
        <v>0</v>
      </c>
      <c r="N10" s="46"/>
    </row>
    <row r="11" spans="1:14">
      <c r="A11" s="26">
        <v>8</v>
      </c>
      <c r="B11" s="27">
        <v>45908</v>
      </c>
      <c r="C11" s="17"/>
      <c r="D11" s="17"/>
      <c r="E11" s="90">
        <v>0</v>
      </c>
      <c r="F11" s="90">
        <v>0</v>
      </c>
      <c r="G11" s="17">
        <f t="shared" si="0"/>
        <v>0</v>
      </c>
      <c r="H11" s="90">
        <v>0</v>
      </c>
      <c r="I11" s="90">
        <v>0</v>
      </c>
      <c r="J11" s="17">
        <f t="shared" si="1"/>
        <v>0</v>
      </c>
      <c r="K11" s="17">
        <f t="shared" si="2"/>
        <v>0</v>
      </c>
      <c r="L11" s="17">
        <f t="shared" si="3"/>
        <v>0</v>
      </c>
      <c r="M11" s="17">
        <f t="shared" si="4"/>
        <v>0</v>
      </c>
      <c r="N11" s="46"/>
    </row>
    <row r="12" spans="1:14">
      <c r="A12" s="26">
        <v>9</v>
      </c>
      <c r="B12" s="27">
        <v>45909</v>
      </c>
      <c r="C12" s="17"/>
      <c r="D12" s="17"/>
      <c r="E12" s="90">
        <v>230</v>
      </c>
      <c r="F12" s="90">
        <v>92.25</v>
      </c>
      <c r="G12" s="17">
        <f t="shared" si="0"/>
        <v>21217.5</v>
      </c>
      <c r="H12" s="90">
        <v>35</v>
      </c>
      <c r="I12" s="90">
        <v>104.13</v>
      </c>
      <c r="J12" s="17">
        <f t="shared" si="1"/>
        <v>3644.5499999999997</v>
      </c>
      <c r="K12" s="17">
        <f t="shared" si="2"/>
        <v>24862.05</v>
      </c>
      <c r="L12" s="17">
        <v>24862.05</v>
      </c>
      <c r="M12" s="17">
        <f t="shared" si="4"/>
        <v>0</v>
      </c>
      <c r="N12" s="46"/>
    </row>
    <row r="13" spans="1:14">
      <c r="A13" s="26">
        <v>10</v>
      </c>
      <c r="B13" s="27">
        <v>45910</v>
      </c>
      <c r="C13" s="17"/>
      <c r="D13" s="17"/>
      <c r="E13" s="90">
        <v>0</v>
      </c>
      <c r="F13" s="90">
        <v>0</v>
      </c>
      <c r="G13" s="17">
        <f t="shared" si="0"/>
        <v>0</v>
      </c>
      <c r="H13" s="90">
        <v>0</v>
      </c>
      <c r="I13" s="90">
        <v>0</v>
      </c>
      <c r="J13" s="17">
        <f t="shared" si="1"/>
        <v>0</v>
      </c>
      <c r="K13" s="17">
        <f t="shared" si="2"/>
        <v>0</v>
      </c>
      <c r="L13" s="17">
        <f t="shared" si="3"/>
        <v>0</v>
      </c>
      <c r="M13" s="17">
        <f t="shared" si="4"/>
        <v>0</v>
      </c>
      <c r="N13" s="46"/>
    </row>
    <row r="14" spans="1:14">
      <c r="A14" s="26">
        <v>11</v>
      </c>
      <c r="B14" s="27">
        <v>45911</v>
      </c>
      <c r="C14" s="17"/>
      <c r="D14" s="17"/>
      <c r="E14" s="90">
        <v>200</v>
      </c>
      <c r="F14" s="90">
        <v>92.25</v>
      </c>
      <c r="G14" s="17">
        <f t="shared" si="0"/>
        <v>18450</v>
      </c>
      <c r="H14" s="90">
        <v>0</v>
      </c>
      <c r="I14" s="90">
        <v>0</v>
      </c>
      <c r="J14" s="17">
        <f t="shared" si="1"/>
        <v>0</v>
      </c>
      <c r="K14" s="17">
        <f t="shared" si="2"/>
        <v>18450</v>
      </c>
      <c r="L14" s="17">
        <v>18450</v>
      </c>
      <c r="M14" s="17">
        <f t="shared" si="4"/>
        <v>0</v>
      </c>
      <c r="N14" s="46"/>
    </row>
    <row r="15" spans="1:14">
      <c r="A15" s="26">
        <v>12</v>
      </c>
      <c r="B15" s="27">
        <v>45912</v>
      </c>
      <c r="C15" s="17"/>
      <c r="D15" s="17"/>
      <c r="E15" s="90">
        <v>300</v>
      </c>
      <c r="F15" s="90">
        <v>92.25</v>
      </c>
      <c r="G15" s="17">
        <f t="shared" si="0"/>
        <v>27675</v>
      </c>
      <c r="H15" s="90">
        <v>20</v>
      </c>
      <c r="I15" s="90">
        <v>0</v>
      </c>
      <c r="J15" s="17">
        <f t="shared" si="1"/>
        <v>0</v>
      </c>
      <c r="K15" s="17">
        <f t="shared" si="2"/>
        <v>27675</v>
      </c>
      <c r="L15" s="17">
        <f t="shared" si="3"/>
        <v>27675</v>
      </c>
      <c r="M15" s="17">
        <f t="shared" si="4"/>
        <v>0</v>
      </c>
      <c r="N15" s="46"/>
    </row>
    <row r="16" spans="1:14">
      <c r="A16" s="26">
        <v>13</v>
      </c>
      <c r="B16" s="27">
        <v>45913</v>
      </c>
      <c r="C16" s="17"/>
      <c r="D16" s="17"/>
      <c r="E16" s="90">
        <v>0</v>
      </c>
      <c r="F16" s="90">
        <v>0</v>
      </c>
      <c r="G16" s="17">
        <f t="shared" si="0"/>
        <v>0</v>
      </c>
      <c r="H16" s="90">
        <v>0</v>
      </c>
      <c r="I16" s="90">
        <v>0</v>
      </c>
      <c r="J16" s="17">
        <f t="shared" si="1"/>
        <v>0</v>
      </c>
      <c r="K16" s="17">
        <f t="shared" si="2"/>
        <v>0</v>
      </c>
      <c r="L16" s="17">
        <f t="shared" si="3"/>
        <v>0</v>
      </c>
      <c r="M16" s="17">
        <f t="shared" si="4"/>
        <v>0</v>
      </c>
      <c r="N16" s="46"/>
    </row>
    <row r="17" spans="1:14">
      <c r="A17" s="26">
        <v>14</v>
      </c>
      <c r="B17" s="27">
        <v>45914</v>
      </c>
      <c r="C17" s="17"/>
      <c r="D17" s="17"/>
      <c r="E17" s="90">
        <v>0</v>
      </c>
      <c r="F17" s="90">
        <v>0</v>
      </c>
      <c r="G17" s="17">
        <f t="shared" si="0"/>
        <v>0</v>
      </c>
      <c r="H17" s="90">
        <v>0</v>
      </c>
      <c r="I17" s="90">
        <v>0</v>
      </c>
      <c r="J17" s="17">
        <f t="shared" si="1"/>
        <v>0</v>
      </c>
      <c r="K17" s="17">
        <f t="shared" si="2"/>
        <v>0</v>
      </c>
      <c r="L17" s="17">
        <f t="shared" si="3"/>
        <v>0</v>
      </c>
      <c r="M17" s="17">
        <f t="shared" si="4"/>
        <v>0</v>
      </c>
      <c r="N17" s="46"/>
    </row>
    <row r="18" spans="1:14">
      <c r="A18" s="26">
        <v>15</v>
      </c>
      <c r="B18" s="27">
        <v>45915</v>
      </c>
      <c r="C18" s="17"/>
      <c r="D18" s="17"/>
      <c r="E18" s="90">
        <v>240</v>
      </c>
      <c r="F18" s="90">
        <v>92.25</v>
      </c>
      <c r="G18" s="17">
        <f t="shared" si="0"/>
        <v>22140</v>
      </c>
      <c r="H18" s="90">
        <v>25</v>
      </c>
      <c r="I18" s="90">
        <v>104.13</v>
      </c>
      <c r="J18" s="17">
        <f t="shared" si="1"/>
        <v>2603.25</v>
      </c>
      <c r="K18" s="17">
        <f t="shared" si="2"/>
        <v>24743.25</v>
      </c>
      <c r="L18" s="17">
        <f t="shared" si="3"/>
        <v>24743.25</v>
      </c>
      <c r="M18" s="17">
        <f t="shared" si="4"/>
        <v>0</v>
      </c>
      <c r="N18" s="46"/>
    </row>
    <row r="19" spans="1:14">
      <c r="A19" s="26">
        <v>16</v>
      </c>
      <c r="B19" s="27">
        <v>45916</v>
      </c>
      <c r="C19" s="17"/>
      <c r="D19" s="17"/>
      <c r="E19" s="90">
        <v>305</v>
      </c>
      <c r="F19" s="90">
        <v>92.25</v>
      </c>
      <c r="G19" s="17">
        <f t="shared" si="0"/>
        <v>28136.25</v>
      </c>
      <c r="H19" s="90">
        <v>15</v>
      </c>
      <c r="I19" s="90">
        <v>104.13</v>
      </c>
      <c r="J19" s="17">
        <f t="shared" si="1"/>
        <v>1561.9499999999998</v>
      </c>
      <c r="K19" s="17">
        <f t="shared" si="2"/>
        <v>29698.2</v>
      </c>
      <c r="L19" s="17">
        <f t="shared" si="3"/>
        <v>29698.2</v>
      </c>
      <c r="M19" s="17">
        <f t="shared" si="4"/>
        <v>0</v>
      </c>
      <c r="N19" s="46"/>
    </row>
    <row r="20" spans="1:14">
      <c r="A20" s="26">
        <v>17</v>
      </c>
      <c r="B20" s="27">
        <v>45917</v>
      </c>
      <c r="C20" s="17"/>
      <c r="D20" s="17"/>
      <c r="E20" s="90">
        <v>0</v>
      </c>
      <c r="F20" s="90">
        <v>0</v>
      </c>
      <c r="G20" s="17">
        <f t="shared" si="0"/>
        <v>0</v>
      </c>
      <c r="H20" s="90">
        <v>0</v>
      </c>
      <c r="I20" s="90">
        <v>0</v>
      </c>
      <c r="J20" s="17">
        <f t="shared" si="1"/>
        <v>0</v>
      </c>
      <c r="K20" s="17">
        <f t="shared" si="2"/>
        <v>0</v>
      </c>
      <c r="L20" s="17">
        <f t="shared" si="3"/>
        <v>0</v>
      </c>
      <c r="M20" s="17">
        <f t="shared" si="4"/>
        <v>0</v>
      </c>
      <c r="N20" s="46"/>
    </row>
    <row r="21" spans="1:14">
      <c r="A21" s="26">
        <v>18</v>
      </c>
      <c r="B21" s="27">
        <v>45918</v>
      </c>
      <c r="C21" s="17"/>
      <c r="D21" s="17"/>
      <c r="E21" s="90">
        <v>0</v>
      </c>
      <c r="F21" s="90">
        <v>0</v>
      </c>
      <c r="G21" s="17">
        <f t="shared" si="0"/>
        <v>0</v>
      </c>
      <c r="H21" s="90">
        <v>0</v>
      </c>
      <c r="I21" s="90">
        <v>0</v>
      </c>
      <c r="J21" s="17">
        <f t="shared" si="1"/>
        <v>0</v>
      </c>
      <c r="K21" s="17">
        <f t="shared" si="2"/>
        <v>0</v>
      </c>
      <c r="L21" s="17">
        <f t="shared" si="3"/>
        <v>0</v>
      </c>
      <c r="M21" s="17">
        <f t="shared" si="4"/>
        <v>0</v>
      </c>
      <c r="N21" s="46"/>
    </row>
    <row r="22" spans="1:14">
      <c r="A22" s="26">
        <v>19</v>
      </c>
      <c r="B22" s="27">
        <v>45919</v>
      </c>
      <c r="C22" s="17"/>
      <c r="D22" s="17"/>
      <c r="E22" s="90">
        <v>290</v>
      </c>
      <c r="F22" s="90">
        <v>92.25</v>
      </c>
      <c r="G22" s="17">
        <f t="shared" si="0"/>
        <v>26752.5</v>
      </c>
      <c r="H22" s="90">
        <v>30</v>
      </c>
      <c r="I22" s="90">
        <v>104.13</v>
      </c>
      <c r="J22" s="17">
        <f t="shared" si="1"/>
        <v>3123.8999999999996</v>
      </c>
      <c r="K22" s="17">
        <f t="shared" si="2"/>
        <v>29876.400000000001</v>
      </c>
      <c r="L22" s="17">
        <f t="shared" si="3"/>
        <v>29876.400000000001</v>
      </c>
      <c r="M22" s="17">
        <f t="shared" si="4"/>
        <v>0</v>
      </c>
      <c r="N22" s="46"/>
    </row>
    <row r="23" spans="1:14">
      <c r="A23" s="26">
        <v>20</v>
      </c>
      <c r="B23" s="27">
        <v>45920</v>
      </c>
      <c r="C23" s="17"/>
      <c r="D23" s="17"/>
      <c r="E23" s="90">
        <v>200</v>
      </c>
      <c r="F23" s="90">
        <v>92.25</v>
      </c>
      <c r="G23" s="17">
        <f t="shared" si="0"/>
        <v>18450</v>
      </c>
      <c r="H23" s="90">
        <v>0</v>
      </c>
      <c r="I23" s="90">
        <v>0</v>
      </c>
      <c r="J23" s="17">
        <f t="shared" si="1"/>
        <v>0</v>
      </c>
      <c r="K23" s="17">
        <f t="shared" si="2"/>
        <v>18450</v>
      </c>
      <c r="L23" s="17">
        <f t="shared" si="3"/>
        <v>18450</v>
      </c>
      <c r="M23" s="17">
        <f t="shared" si="4"/>
        <v>0</v>
      </c>
      <c r="N23" s="46"/>
    </row>
    <row r="24" spans="1:14">
      <c r="A24" s="26">
        <v>21</v>
      </c>
      <c r="B24" s="27">
        <v>45921</v>
      </c>
      <c r="C24" s="17"/>
      <c r="D24" s="17"/>
      <c r="E24" s="90">
        <v>0</v>
      </c>
      <c r="F24" s="90">
        <v>0</v>
      </c>
      <c r="G24" s="17">
        <f t="shared" si="0"/>
        <v>0</v>
      </c>
      <c r="H24" s="90">
        <v>0</v>
      </c>
      <c r="I24" s="90">
        <v>0</v>
      </c>
      <c r="J24" s="17">
        <f t="shared" si="1"/>
        <v>0</v>
      </c>
      <c r="K24" s="17">
        <f t="shared" si="2"/>
        <v>0</v>
      </c>
      <c r="L24" s="17">
        <f t="shared" si="3"/>
        <v>0</v>
      </c>
      <c r="M24" s="17">
        <f t="shared" si="4"/>
        <v>0</v>
      </c>
      <c r="N24" s="46"/>
    </row>
    <row r="25" spans="1:14">
      <c r="A25" s="26">
        <v>22</v>
      </c>
      <c r="B25" s="27">
        <v>45922</v>
      </c>
      <c r="C25" s="17"/>
      <c r="D25" s="17"/>
      <c r="E25" s="90">
        <v>0</v>
      </c>
      <c r="F25" s="90">
        <v>0</v>
      </c>
      <c r="G25" s="17">
        <f t="shared" si="0"/>
        <v>0</v>
      </c>
      <c r="H25" s="90">
        <v>0</v>
      </c>
      <c r="I25" s="90">
        <v>0</v>
      </c>
      <c r="J25" s="17">
        <f t="shared" si="1"/>
        <v>0</v>
      </c>
      <c r="K25" s="17">
        <f t="shared" si="2"/>
        <v>0</v>
      </c>
      <c r="L25" s="17">
        <f t="shared" si="3"/>
        <v>0</v>
      </c>
      <c r="M25" s="17">
        <f t="shared" si="4"/>
        <v>0</v>
      </c>
      <c r="N25" s="46"/>
    </row>
    <row r="26" spans="1:14">
      <c r="A26" s="26">
        <v>23</v>
      </c>
      <c r="B26" s="27">
        <v>45923</v>
      </c>
      <c r="C26" s="17"/>
      <c r="D26" s="17"/>
      <c r="E26" s="90">
        <v>0</v>
      </c>
      <c r="F26" s="90">
        <v>0</v>
      </c>
      <c r="G26" s="17">
        <f t="shared" si="0"/>
        <v>0</v>
      </c>
      <c r="H26" s="90">
        <v>0</v>
      </c>
      <c r="I26" s="90">
        <v>0</v>
      </c>
      <c r="J26" s="17">
        <f t="shared" si="1"/>
        <v>0</v>
      </c>
      <c r="K26" s="17">
        <f t="shared" si="2"/>
        <v>0</v>
      </c>
      <c r="L26" s="17">
        <f t="shared" si="3"/>
        <v>0</v>
      </c>
      <c r="M26" s="17">
        <f t="shared" si="4"/>
        <v>0</v>
      </c>
      <c r="N26" s="46"/>
    </row>
    <row r="27" spans="1:14">
      <c r="A27" s="26">
        <v>24</v>
      </c>
      <c r="B27" s="27">
        <v>45924</v>
      </c>
      <c r="C27" s="17"/>
      <c r="D27" s="17"/>
      <c r="E27" s="90">
        <v>290</v>
      </c>
      <c r="F27" s="90">
        <v>92.25</v>
      </c>
      <c r="G27" s="17">
        <f t="shared" si="0"/>
        <v>26752.5</v>
      </c>
      <c r="H27" s="90">
        <v>30</v>
      </c>
      <c r="I27" s="90">
        <v>104.13</v>
      </c>
      <c r="J27" s="17">
        <f t="shared" si="1"/>
        <v>3123.8999999999996</v>
      </c>
      <c r="K27" s="17">
        <f t="shared" si="2"/>
        <v>29876.400000000001</v>
      </c>
      <c r="L27" s="17">
        <f t="shared" si="3"/>
        <v>29876.400000000001</v>
      </c>
      <c r="M27" s="17">
        <f t="shared" si="4"/>
        <v>0</v>
      </c>
      <c r="N27" s="46"/>
    </row>
    <row r="28" spans="1:14">
      <c r="A28" s="26">
        <v>25</v>
      </c>
      <c r="B28" s="27">
        <v>45925</v>
      </c>
      <c r="C28" s="17"/>
      <c r="D28" s="17"/>
      <c r="E28" s="90">
        <v>270</v>
      </c>
      <c r="F28" s="90">
        <v>92.25</v>
      </c>
      <c r="G28" s="17">
        <f t="shared" si="0"/>
        <v>24907.5</v>
      </c>
      <c r="H28" s="90">
        <v>0</v>
      </c>
      <c r="I28" s="90">
        <v>0</v>
      </c>
      <c r="J28" s="17">
        <f t="shared" si="1"/>
        <v>0</v>
      </c>
      <c r="K28" s="17">
        <f t="shared" si="2"/>
        <v>24907.5</v>
      </c>
      <c r="L28" s="17">
        <f t="shared" si="3"/>
        <v>24907.5</v>
      </c>
      <c r="M28" s="17">
        <v>0</v>
      </c>
      <c r="N28" s="46"/>
    </row>
    <row r="29" spans="1:14">
      <c r="A29" s="26">
        <v>26</v>
      </c>
      <c r="B29" s="27">
        <v>45926</v>
      </c>
      <c r="C29" s="17"/>
      <c r="D29" s="17"/>
      <c r="E29" s="90">
        <v>180</v>
      </c>
      <c r="F29" s="90">
        <v>92.25</v>
      </c>
      <c r="G29" s="17">
        <f t="shared" si="0"/>
        <v>16605</v>
      </c>
      <c r="H29" s="90">
        <v>30</v>
      </c>
      <c r="I29" s="90">
        <v>104.13</v>
      </c>
      <c r="J29" s="17">
        <f t="shared" si="1"/>
        <v>3123.8999999999996</v>
      </c>
      <c r="K29" s="17">
        <f t="shared" si="2"/>
        <v>19728.900000000001</v>
      </c>
      <c r="L29" s="17">
        <f t="shared" si="3"/>
        <v>19728.900000000001</v>
      </c>
      <c r="M29" s="17">
        <v>0</v>
      </c>
      <c r="N29" s="46"/>
    </row>
    <row r="30" spans="1:14">
      <c r="A30" s="26">
        <v>27</v>
      </c>
      <c r="B30" s="27">
        <v>45927</v>
      </c>
      <c r="C30" s="17"/>
      <c r="D30" s="17"/>
      <c r="E30" s="90">
        <v>400</v>
      </c>
      <c r="F30" s="90">
        <v>92.25</v>
      </c>
      <c r="G30" s="17">
        <f t="shared" si="0"/>
        <v>36900</v>
      </c>
      <c r="H30" s="90">
        <v>0</v>
      </c>
      <c r="I30" s="90">
        <v>0</v>
      </c>
      <c r="J30" s="17">
        <f t="shared" si="1"/>
        <v>0</v>
      </c>
      <c r="K30" s="17">
        <f t="shared" si="2"/>
        <v>36900</v>
      </c>
      <c r="L30" s="17">
        <f t="shared" si="3"/>
        <v>36900</v>
      </c>
      <c r="M30" s="17">
        <v>0</v>
      </c>
      <c r="N30" s="46"/>
    </row>
    <row r="31" spans="1:14">
      <c r="A31" s="26">
        <v>28</v>
      </c>
      <c r="B31" s="27">
        <v>45928</v>
      </c>
      <c r="C31" s="17"/>
      <c r="D31" s="17"/>
      <c r="E31" s="90">
        <v>0</v>
      </c>
      <c r="F31" s="90">
        <v>0</v>
      </c>
      <c r="G31" s="17">
        <f t="shared" si="0"/>
        <v>0</v>
      </c>
      <c r="H31" s="90">
        <v>0</v>
      </c>
      <c r="I31" s="90">
        <v>0</v>
      </c>
      <c r="J31" s="17">
        <f t="shared" si="1"/>
        <v>0</v>
      </c>
      <c r="K31" s="17">
        <f t="shared" si="2"/>
        <v>0</v>
      </c>
      <c r="L31" s="17">
        <f t="shared" si="3"/>
        <v>0</v>
      </c>
      <c r="M31" s="17">
        <v>0</v>
      </c>
      <c r="N31" s="46"/>
    </row>
    <row r="32" spans="1:14">
      <c r="A32" s="26">
        <v>29</v>
      </c>
      <c r="B32" s="27">
        <v>45929</v>
      </c>
      <c r="C32" s="17"/>
      <c r="D32" s="17"/>
      <c r="E32" s="90">
        <v>0</v>
      </c>
      <c r="F32" s="90">
        <v>0</v>
      </c>
      <c r="G32" s="17">
        <f t="shared" si="0"/>
        <v>0</v>
      </c>
      <c r="H32" s="90">
        <v>0</v>
      </c>
      <c r="I32" s="90">
        <v>0</v>
      </c>
      <c r="J32" s="17">
        <f t="shared" si="1"/>
        <v>0</v>
      </c>
      <c r="K32" s="17">
        <f t="shared" si="2"/>
        <v>0</v>
      </c>
      <c r="L32" s="17">
        <f t="shared" si="3"/>
        <v>0</v>
      </c>
      <c r="M32" s="17"/>
      <c r="N32" s="46"/>
    </row>
    <row r="33" spans="1:14">
      <c r="A33" s="26">
        <v>30</v>
      </c>
      <c r="B33" s="27">
        <v>45930</v>
      </c>
      <c r="C33" s="17"/>
      <c r="D33" s="17"/>
      <c r="E33" s="90">
        <v>190</v>
      </c>
      <c r="F33" s="90">
        <v>92.23</v>
      </c>
      <c r="G33" s="17">
        <f t="shared" si="0"/>
        <v>17523.7</v>
      </c>
      <c r="H33" s="90">
        <v>20</v>
      </c>
      <c r="I33" s="90">
        <v>104.13</v>
      </c>
      <c r="J33" s="17">
        <f t="shared" si="1"/>
        <v>2082.6</v>
      </c>
      <c r="K33" s="17">
        <f t="shared" si="2"/>
        <v>19606.3</v>
      </c>
      <c r="L33" s="17">
        <f t="shared" si="3"/>
        <v>19606.3</v>
      </c>
      <c r="M33" s="17"/>
      <c r="N33" s="46"/>
    </row>
    <row r="34" spans="1:14">
      <c r="A34" s="26">
        <v>31</v>
      </c>
      <c r="B34" s="27"/>
      <c r="C34" s="17"/>
      <c r="D34" s="17"/>
      <c r="E34" s="90"/>
      <c r="F34" s="90"/>
      <c r="G34" s="17"/>
      <c r="H34" s="90"/>
      <c r="I34" s="90"/>
      <c r="J34" s="17"/>
      <c r="K34" s="17"/>
      <c r="L34" s="17"/>
      <c r="M34" s="17"/>
      <c r="N34" s="46"/>
    </row>
    <row r="35" spans="1:14">
      <c r="A35" s="44"/>
      <c r="B35" s="44"/>
      <c r="C35" s="44"/>
      <c r="D35" s="44"/>
      <c r="E35" s="44">
        <f>SUM(E4:E34)</f>
        <v>4332.28</v>
      </c>
      <c r="F35" s="44"/>
      <c r="G35" s="44">
        <f>SUM(G4:G34)</f>
        <v>399641.44040000002</v>
      </c>
      <c r="H35" s="44">
        <f>SUM(H4:H34)</f>
        <v>260</v>
      </c>
      <c r="I35" s="44"/>
      <c r="J35" s="44">
        <f>SUM(J4:J34)</f>
        <v>24991.199999999997</v>
      </c>
      <c r="K35" s="44">
        <f>SUM(K4:K34)</f>
        <v>424632.64040000003</v>
      </c>
      <c r="L35" s="44">
        <f>SUM(L4:L34)</f>
        <v>424632.64040000003</v>
      </c>
      <c r="M35" s="44"/>
      <c r="N35" s="44"/>
    </row>
  </sheetData>
  <mergeCells count="2">
    <mergeCell ref="A1:N1"/>
    <mergeCell ref="A3:J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777E2-69A2-4E6F-A5F1-5787B5613988}">
  <sheetPr>
    <tabColor rgb="FF00B050"/>
  </sheetPr>
  <dimension ref="A1:N35"/>
  <sheetViews>
    <sheetView topLeftCell="A14" workbookViewId="0">
      <selection activeCell="T31" sqref="T31"/>
    </sheetView>
  </sheetViews>
  <sheetFormatPr defaultRowHeight="15"/>
  <cols>
    <col min="2" max="2" width="11.5703125" customWidth="1"/>
  </cols>
  <sheetData>
    <row r="1" spans="1:14" ht="15.75">
      <c r="A1" s="397" t="s">
        <v>112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97"/>
      <c r="M1" s="397"/>
      <c r="N1" s="397"/>
    </row>
    <row r="2" spans="1:14" ht="27">
      <c r="A2" s="107" t="s">
        <v>90</v>
      </c>
      <c r="B2" s="110" t="s">
        <v>91</v>
      </c>
      <c r="C2" s="110" t="s">
        <v>92</v>
      </c>
      <c r="D2" s="110" t="s">
        <v>93</v>
      </c>
      <c r="E2" s="110" t="s">
        <v>94</v>
      </c>
      <c r="F2" s="110" t="s">
        <v>95</v>
      </c>
      <c r="G2" s="110" t="s">
        <v>96</v>
      </c>
      <c r="H2" s="110" t="s">
        <v>97</v>
      </c>
      <c r="I2" s="110" t="s">
        <v>95</v>
      </c>
      <c r="J2" s="110" t="s">
        <v>96</v>
      </c>
      <c r="K2" s="110" t="s">
        <v>98</v>
      </c>
      <c r="L2" s="110" t="s">
        <v>99</v>
      </c>
      <c r="M2" s="110" t="s">
        <v>106</v>
      </c>
      <c r="N2" s="110" t="s">
        <v>101</v>
      </c>
    </row>
    <row r="3" spans="1:14">
      <c r="A3" s="409" t="s">
        <v>102</v>
      </c>
      <c r="B3" s="409"/>
      <c r="C3" s="409"/>
      <c r="D3" s="409"/>
      <c r="E3" s="409"/>
      <c r="F3" s="409"/>
      <c r="G3" s="409"/>
      <c r="H3" s="409"/>
      <c r="I3" s="409"/>
      <c r="J3" s="409"/>
      <c r="K3" s="99">
        <v>0</v>
      </c>
      <c r="L3" s="99">
        <v>0</v>
      </c>
      <c r="M3" s="99">
        <f>+K3</f>
        <v>0</v>
      </c>
      <c r="N3" s="17"/>
    </row>
    <row r="4" spans="1:14">
      <c r="A4" s="26">
        <v>1</v>
      </c>
      <c r="B4" s="27">
        <v>45901</v>
      </c>
      <c r="C4" s="17"/>
      <c r="D4" s="17"/>
      <c r="E4" s="90">
        <v>0</v>
      </c>
      <c r="F4" s="90">
        <v>0</v>
      </c>
      <c r="G4" s="17">
        <f>E4*F4</f>
        <v>0</v>
      </c>
      <c r="H4" s="90">
        <v>0</v>
      </c>
      <c r="I4" s="90">
        <v>0</v>
      </c>
      <c r="J4" s="17">
        <f>H4*I4</f>
        <v>0</v>
      </c>
      <c r="K4" s="17">
        <f>G4+J4</f>
        <v>0</v>
      </c>
      <c r="L4" s="17">
        <f>K4</f>
        <v>0</v>
      </c>
      <c r="M4" s="17">
        <f>M3+K4-L4</f>
        <v>0</v>
      </c>
      <c r="N4" s="46"/>
    </row>
    <row r="5" spans="1:14">
      <c r="A5" s="26">
        <v>2</v>
      </c>
      <c r="B5" s="27">
        <v>45902</v>
      </c>
      <c r="C5" s="17"/>
      <c r="D5" s="17"/>
      <c r="E5" s="90">
        <v>200</v>
      </c>
      <c r="F5" s="90">
        <v>92.26</v>
      </c>
      <c r="G5" s="17">
        <f t="shared" ref="G5:G33" si="0">E5*F5</f>
        <v>18452</v>
      </c>
      <c r="H5" s="90">
        <v>0</v>
      </c>
      <c r="I5" s="90">
        <v>0</v>
      </c>
      <c r="J5" s="17">
        <f t="shared" ref="J5:J33" si="1">H5*I5</f>
        <v>0</v>
      </c>
      <c r="K5" s="17">
        <f t="shared" ref="K5:K33" si="2">G5+J5</f>
        <v>18452</v>
      </c>
      <c r="L5" s="17">
        <f t="shared" ref="L5:L33" si="3">K5</f>
        <v>18452</v>
      </c>
      <c r="M5" s="17">
        <f t="shared" ref="M5:M27" si="4">M4+K5-L5</f>
        <v>0</v>
      </c>
      <c r="N5" s="46"/>
    </row>
    <row r="6" spans="1:14">
      <c r="A6" s="26">
        <v>3</v>
      </c>
      <c r="B6" s="27">
        <v>45903</v>
      </c>
      <c r="C6" s="17"/>
      <c r="D6" s="17"/>
      <c r="E6" s="90">
        <v>0</v>
      </c>
      <c r="F6" s="90">
        <v>0</v>
      </c>
      <c r="G6" s="17">
        <f t="shared" si="0"/>
        <v>0</v>
      </c>
      <c r="H6" s="90">
        <v>0</v>
      </c>
      <c r="I6" s="90">
        <v>0</v>
      </c>
      <c r="J6" s="17">
        <f t="shared" si="1"/>
        <v>0</v>
      </c>
      <c r="K6" s="17">
        <f t="shared" si="2"/>
        <v>0</v>
      </c>
      <c r="L6" s="17">
        <f t="shared" si="3"/>
        <v>0</v>
      </c>
      <c r="M6" s="17">
        <f t="shared" si="4"/>
        <v>0</v>
      </c>
      <c r="N6" s="46"/>
    </row>
    <row r="7" spans="1:14">
      <c r="A7" s="26">
        <v>4</v>
      </c>
      <c r="B7" s="27">
        <v>45904</v>
      </c>
      <c r="C7" s="17"/>
      <c r="D7" s="17"/>
      <c r="E7" s="90">
        <v>200</v>
      </c>
      <c r="F7" s="90">
        <v>92.26</v>
      </c>
      <c r="G7" s="17">
        <f t="shared" si="0"/>
        <v>18452</v>
      </c>
      <c r="H7" s="90">
        <v>10</v>
      </c>
      <c r="I7" s="90">
        <v>104.13</v>
      </c>
      <c r="J7" s="17">
        <f t="shared" si="1"/>
        <v>1041.3</v>
      </c>
      <c r="K7" s="17">
        <f t="shared" si="2"/>
        <v>19493.3</v>
      </c>
      <c r="L7" s="17">
        <f t="shared" si="3"/>
        <v>19493.3</v>
      </c>
      <c r="M7" s="17">
        <f t="shared" si="4"/>
        <v>0</v>
      </c>
      <c r="N7" s="46"/>
    </row>
    <row r="8" spans="1:14">
      <c r="A8" s="26">
        <v>5</v>
      </c>
      <c r="B8" s="27">
        <v>45905</v>
      </c>
      <c r="C8" s="17"/>
      <c r="D8" s="17"/>
      <c r="E8" s="90">
        <v>0</v>
      </c>
      <c r="F8" s="90">
        <v>0</v>
      </c>
      <c r="G8" s="17">
        <f t="shared" si="0"/>
        <v>0</v>
      </c>
      <c r="H8" s="90">
        <v>0</v>
      </c>
      <c r="I8" s="90">
        <v>0</v>
      </c>
      <c r="J8" s="17">
        <f t="shared" si="1"/>
        <v>0</v>
      </c>
      <c r="K8" s="17">
        <f t="shared" si="2"/>
        <v>0</v>
      </c>
      <c r="L8" s="17">
        <f t="shared" si="3"/>
        <v>0</v>
      </c>
      <c r="M8" s="17">
        <f t="shared" si="4"/>
        <v>0</v>
      </c>
      <c r="N8" s="46"/>
    </row>
    <row r="9" spans="1:14">
      <c r="A9" s="26">
        <v>6</v>
      </c>
      <c r="B9" s="27">
        <v>45906</v>
      </c>
      <c r="C9" s="17"/>
      <c r="D9" s="17"/>
      <c r="E9" s="90">
        <v>200</v>
      </c>
      <c r="F9" s="90">
        <v>92.26</v>
      </c>
      <c r="G9" s="17">
        <f t="shared" si="0"/>
        <v>18452</v>
      </c>
      <c r="H9" s="90">
        <v>0</v>
      </c>
      <c r="I9" s="90">
        <v>0</v>
      </c>
      <c r="J9" s="17">
        <f t="shared" si="1"/>
        <v>0</v>
      </c>
      <c r="K9" s="17">
        <f t="shared" si="2"/>
        <v>18452</v>
      </c>
      <c r="L9" s="17">
        <f t="shared" si="3"/>
        <v>18452</v>
      </c>
      <c r="M9" s="17">
        <f t="shared" si="4"/>
        <v>0</v>
      </c>
      <c r="N9" s="46"/>
    </row>
    <row r="10" spans="1:14">
      <c r="A10" s="26">
        <v>7</v>
      </c>
      <c r="B10" s="27">
        <v>45907</v>
      </c>
      <c r="C10" s="17"/>
      <c r="D10" s="17"/>
      <c r="E10" s="90">
        <v>0</v>
      </c>
      <c r="F10" s="90">
        <v>0</v>
      </c>
      <c r="G10" s="17">
        <f t="shared" si="0"/>
        <v>0</v>
      </c>
      <c r="H10" s="90">
        <v>0</v>
      </c>
      <c r="I10" s="90">
        <v>0</v>
      </c>
      <c r="J10" s="17">
        <f t="shared" si="1"/>
        <v>0</v>
      </c>
      <c r="K10" s="17">
        <f t="shared" si="2"/>
        <v>0</v>
      </c>
      <c r="L10" s="17">
        <f t="shared" si="3"/>
        <v>0</v>
      </c>
      <c r="M10" s="17">
        <f t="shared" si="4"/>
        <v>0</v>
      </c>
      <c r="N10" s="46"/>
    </row>
    <row r="11" spans="1:14">
      <c r="A11" s="26">
        <v>8</v>
      </c>
      <c r="B11" s="27">
        <v>45908</v>
      </c>
      <c r="C11" s="17"/>
      <c r="D11" s="17"/>
      <c r="E11" s="90">
        <v>0</v>
      </c>
      <c r="F11" s="90">
        <v>0</v>
      </c>
      <c r="G11" s="17">
        <f t="shared" si="0"/>
        <v>0</v>
      </c>
      <c r="H11" s="90">
        <v>0</v>
      </c>
      <c r="I11" s="90">
        <v>0</v>
      </c>
      <c r="J11" s="17">
        <f t="shared" si="1"/>
        <v>0</v>
      </c>
      <c r="K11" s="17">
        <f t="shared" si="2"/>
        <v>0</v>
      </c>
      <c r="L11" s="17">
        <f t="shared" si="3"/>
        <v>0</v>
      </c>
      <c r="M11" s="17">
        <f t="shared" si="4"/>
        <v>0</v>
      </c>
      <c r="N11" s="46"/>
    </row>
    <row r="12" spans="1:14">
      <c r="A12" s="26">
        <v>9</v>
      </c>
      <c r="B12" s="27">
        <v>45909</v>
      </c>
      <c r="C12" s="17"/>
      <c r="D12" s="17"/>
      <c r="E12" s="90">
        <v>0</v>
      </c>
      <c r="F12" s="90">
        <v>0</v>
      </c>
      <c r="G12" s="17">
        <f t="shared" si="0"/>
        <v>0</v>
      </c>
      <c r="H12" s="90">
        <v>0</v>
      </c>
      <c r="I12" s="90">
        <v>0</v>
      </c>
      <c r="J12" s="17">
        <f t="shared" si="1"/>
        <v>0</v>
      </c>
      <c r="K12" s="17">
        <f t="shared" si="2"/>
        <v>0</v>
      </c>
      <c r="L12" s="17">
        <f t="shared" si="3"/>
        <v>0</v>
      </c>
      <c r="M12" s="17">
        <f t="shared" si="4"/>
        <v>0</v>
      </c>
      <c r="N12" s="46"/>
    </row>
    <row r="13" spans="1:14">
      <c r="A13" s="26">
        <v>10</v>
      </c>
      <c r="B13" s="27">
        <v>45910</v>
      </c>
      <c r="C13" s="17"/>
      <c r="D13" s="17"/>
      <c r="E13" s="90">
        <v>0</v>
      </c>
      <c r="F13" s="90">
        <v>0</v>
      </c>
      <c r="G13" s="17">
        <f t="shared" si="0"/>
        <v>0</v>
      </c>
      <c r="H13" s="90">
        <v>0</v>
      </c>
      <c r="I13" s="90">
        <v>0</v>
      </c>
      <c r="J13" s="17">
        <f t="shared" si="1"/>
        <v>0</v>
      </c>
      <c r="K13" s="17">
        <f t="shared" si="2"/>
        <v>0</v>
      </c>
      <c r="L13" s="17">
        <f t="shared" si="3"/>
        <v>0</v>
      </c>
      <c r="M13" s="17">
        <f t="shared" si="4"/>
        <v>0</v>
      </c>
      <c r="N13" s="46"/>
    </row>
    <row r="14" spans="1:14">
      <c r="A14" s="26">
        <v>11</v>
      </c>
      <c r="B14" s="27">
        <v>45911</v>
      </c>
      <c r="C14" s="17"/>
      <c r="D14" s="17"/>
      <c r="E14" s="90">
        <v>220</v>
      </c>
      <c r="F14" s="90">
        <v>92.26</v>
      </c>
      <c r="G14" s="17">
        <f t="shared" si="0"/>
        <v>20297.2</v>
      </c>
      <c r="H14" s="90">
        <v>10</v>
      </c>
      <c r="I14" s="90">
        <v>104.13</v>
      </c>
      <c r="J14" s="17">
        <f t="shared" si="1"/>
        <v>1041.3</v>
      </c>
      <c r="K14" s="17">
        <f t="shared" si="2"/>
        <v>21338.5</v>
      </c>
      <c r="L14" s="17">
        <f t="shared" si="3"/>
        <v>21338.5</v>
      </c>
      <c r="M14" s="17">
        <f t="shared" si="4"/>
        <v>0</v>
      </c>
      <c r="N14" s="46"/>
    </row>
    <row r="15" spans="1:14">
      <c r="A15" s="26">
        <v>12</v>
      </c>
      <c r="B15" s="27">
        <v>45912</v>
      </c>
      <c r="C15" s="17"/>
      <c r="D15" s="17"/>
      <c r="E15" s="90">
        <v>0</v>
      </c>
      <c r="F15" s="90">
        <v>0</v>
      </c>
      <c r="G15" s="17">
        <f t="shared" si="0"/>
        <v>0</v>
      </c>
      <c r="H15" s="90">
        <v>0</v>
      </c>
      <c r="I15" s="90">
        <v>0</v>
      </c>
      <c r="J15" s="17">
        <f t="shared" si="1"/>
        <v>0</v>
      </c>
      <c r="K15" s="17">
        <f t="shared" si="2"/>
        <v>0</v>
      </c>
      <c r="L15" s="17">
        <f t="shared" si="3"/>
        <v>0</v>
      </c>
      <c r="M15" s="17">
        <f t="shared" si="4"/>
        <v>0</v>
      </c>
      <c r="N15" s="46"/>
    </row>
    <row r="16" spans="1:14">
      <c r="A16" s="26">
        <v>13</v>
      </c>
      <c r="B16" s="27">
        <v>45913</v>
      </c>
      <c r="C16" s="17"/>
      <c r="D16" s="17"/>
      <c r="E16" s="90">
        <v>245</v>
      </c>
      <c r="F16" s="90">
        <v>92.26</v>
      </c>
      <c r="G16" s="17">
        <f t="shared" si="0"/>
        <v>22603.7</v>
      </c>
      <c r="H16" s="90">
        <v>0</v>
      </c>
      <c r="I16" s="90">
        <v>0</v>
      </c>
      <c r="J16" s="17">
        <f t="shared" si="1"/>
        <v>0</v>
      </c>
      <c r="K16" s="17">
        <f t="shared" si="2"/>
        <v>22603.7</v>
      </c>
      <c r="L16" s="17">
        <f t="shared" si="3"/>
        <v>22603.7</v>
      </c>
      <c r="M16" s="17">
        <f t="shared" si="4"/>
        <v>0</v>
      </c>
      <c r="N16" s="46"/>
    </row>
    <row r="17" spans="1:14">
      <c r="A17" s="26">
        <v>14</v>
      </c>
      <c r="B17" s="27">
        <v>45914</v>
      </c>
      <c r="C17" s="17"/>
      <c r="D17" s="17"/>
      <c r="E17" s="90">
        <v>0</v>
      </c>
      <c r="F17" s="90">
        <v>0</v>
      </c>
      <c r="G17" s="17">
        <f t="shared" si="0"/>
        <v>0</v>
      </c>
      <c r="H17" s="90">
        <v>0</v>
      </c>
      <c r="I17" s="90">
        <v>0</v>
      </c>
      <c r="J17" s="17">
        <f t="shared" si="1"/>
        <v>0</v>
      </c>
      <c r="K17" s="17">
        <f t="shared" si="2"/>
        <v>0</v>
      </c>
      <c r="L17" s="17">
        <f t="shared" si="3"/>
        <v>0</v>
      </c>
      <c r="M17" s="17">
        <f t="shared" si="4"/>
        <v>0</v>
      </c>
      <c r="N17" s="46"/>
    </row>
    <row r="18" spans="1:14">
      <c r="A18" s="26">
        <v>15</v>
      </c>
      <c r="B18" s="27">
        <v>45915</v>
      </c>
      <c r="C18" s="17"/>
      <c r="D18" s="17"/>
      <c r="E18" s="90">
        <v>0</v>
      </c>
      <c r="F18" s="90">
        <v>0</v>
      </c>
      <c r="G18" s="17">
        <f t="shared" si="0"/>
        <v>0</v>
      </c>
      <c r="H18" s="90">
        <v>0</v>
      </c>
      <c r="I18" s="90">
        <v>0</v>
      </c>
      <c r="J18" s="17">
        <f t="shared" si="1"/>
        <v>0</v>
      </c>
      <c r="K18" s="17">
        <f t="shared" si="2"/>
        <v>0</v>
      </c>
      <c r="L18" s="17">
        <f t="shared" si="3"/>
        <v>0</v>
      </c>
      <c r="M18" s="17">
        <f t="shared" si="4"/>
        <v>0</v>
      </c>
      <c r="N18" s="46"/>
    </row>
    <row r="19" spans="1:14">
      <c r="A19" s="26">
        <v>16</v>
      </c>
      <c r="B19" s="27">
        <v>45916</v>
      </c>
      <c r="C19" s="17"/>
      <c r="D19" s="17"/>
      <c r="E19" s="90">
        <v>0</v>
      </c>
      <c r="F19" s="90">
        <v>0</v>
      </c>
      <c r="G19" s="17">
        <f t="shared" si="0"/>
        <v>0</v>
      </c>
      <c r="H19" s="90">
        <v>0</v>
      </c>
      <c r="I19" s="90">
        <v>0</v>
      </c>
      <c r="J19" s="17">
        <f t="shared" si="1"/>
        <v>0</v>
      </c>
      <c r="K19" s="17">
        <f t="shared" si="2"/>
        <v>0</v>
      </c>
      <c r="L19" s="17">
        <f t="shared" si="3"/>
        <v>0</v>
      </c>
      <c r="M19" s="17">
        <f t="shared" si="4"/>
        <v>0</v>
      </c>
      <c r="N19" s="46"/>
    </row>
    <row r="20" spans="1:14">
      <c r="A20" s="26">
        <v>17</v>
      </c>
      <c r="B20" s="27">
        <v>45917</v>
      </c>
      <c r="C20" s="17"/>
      <c r="D20" s="17"/>
      <c r="E20" s="90">
        <v>200</v>
      </c>
      <c r="F20" s="90">
        <v>92.26</v>
      </c>
      <c r="G20" s="17">
        <f t="shared" si="0"/>
        <v>18452</v>
      </c>
      <c r="H20" s="90">
        <v>0</v>
      </c>
      <c r="I20" s="90">
        <v>0</v>
      </c>
      <c r="J20" s="17">
        <f t="shared" si="1"/>
        <v>0</v>
      </c>
      <c r="K20" s="17">
        <f t="shared" si="2"/>
        <v>18452</v>
      </c>
      <c r="L20" s="17">
        <f t="shared" si="3"/>
        <v>18452</v>
      </c>
      <c r="M20" s="17">
        <f t="shared" si="4"/>
        <v>0</v>
      </c>
      <c r="N20" s="46"/>
    </row>
    <row r="21" spans="1:14">
      <c r="A21" s="26">
        <v>18</v>
      </c>
      <c r="B21" s="27">
        <v>45918</v>
      </c>
      <c r="C21" s="17"/>
      <c r="D21" s="17"/>
      <c r="E21" s="90">
        <v>0</v>
      </c>
      <c r="F21" s="90">
        <v>0</v>
      </c>
      <c r="G21" s="17">
        <f t="shared" si="0"/>
        <v>0</v>
      </c>
      <c r="H21" s="90">
        <v>0</v>
      </c>
      <c r="I21" s="90">
        <v>0</v>
      </c>
      <c r="J21" s="17">
        <f t="shared" si="1"/>
        <v>0</v>
      </c>
      <c r="K21" s="17">
        <f t="shared" si="2"/>
        <v>0</v>
      </c>
      <c r="L21" s="17">
        <f t="shared" si="3"/>
        <v>0</v>
      </c>
      <c r="M21" s="17">
        <f t="shared" si="4"/>
        <v>0</v>
      </c>
      <c r="N21" s="46"/>
    </row>
    <row r="22" spans="1:14">
      <c r="A22" s="26">
        <v>19</v>
      </c>
      <c r="B22" s="27">
        <v>45919</v>
      </c>
      <c r="C22" s="17"/>
      <c r="D22" s="17"/>
      <c r="E22" s="90">
        <v>400</v>
      </c>
      <c r="F22" s="90">
        <v>92.26</v>
      </c>
      <c r="G22" s="17">
        <f t="shared" si="0"/>
        <v>36904</v>
      </c>
      <c r="H22" s="90">
        <v>0</v>
      </c>
      <c r="I22" s="90">
        <v>0</v>
      </c>
      <c r="J22" s="17">
        <f t="shared" si="1"/>
        <v>0</v>
      </c>
      <c r="K22" s="17">
        <f t="shared" si="2"/>
        <v>36904</v>
      </c>
      <c r="L22" s="17">
        <f t="shared" si="3"/>
        <v>36904</v>
      </c>
      <c r="M22" s="17">
        <f t="shared" si="4"/>
        <v>0</v>
      </c>
      <c r="N22" s="46"/>
    </row>
    <row r="23" spans="1:14">
      <c r="A23" s="26">
        <v>20</v>
      </c>
      <c r="B23" s="27">
        <v>45920</v>
      </c>
      <c r="C23" s="17"/>
      <c r="D23" s="17"/>
      <c r="E23" s="90">
        <v>0</v>
      </c>
      <c r="F23" s="90">
        <v>0</v>
      </c>
      <c r="G23" s="17">
        <f t="shared" si="0"/>
        <v>0</v>
      </c>
      <c r="H23" s="90">
        <v>0</v>
      </c>
      <c r="I23" s="90">
        <v>0</v>
      </c>
      <c r="J23" s="17">
        <f t="shared" si="1"/>
        <v>0</v>
      </c>
      <c r="K23" s="17">
        <f t="shared" si="2"/>
        <v>0</v>
      </c>
      <c r="L23" s="17">
        <f t="shared" si="3"/>
        <v>0</v>
      </c>
      <c r="M23" s="17">
        <f t="shared" si="4"/>
        <v>0</v>
      </c>
      <c r="N23" s="46"/>
    </row>
    <row r="24" spans="1:14">
      <c r="A24" s="26">
        <v>21</v>
      </c>
      <c r="B24" s="27">
        <v>45921</v>
      </c>
      <c r="C24" s="17"/>
      <c r="D24" s="17"/>
      <c r="E24" s="90">
        <v>215</v>
      </c>
      <c r="F24" s="90">
        <v>92.26</v>
      </c>
      <c r="G24" s="17">
        <f t="shared" si="0"/>
        <v>19835.900000000001</v>
      </c>
      <c r="H24" s="90">
        <v>0</v>
      </c>
      <c r="I24" s="90">
        <v>0</v>
      </c>
      <c r="J24" s="17">
        <f t="shared" si="1"/>
        <v>0</v>
      </c>
      <c r="K24" s="17">
        <f t="shared" si="2"/>
        <v>19835.900000000001</v>
      </c>
      <c r="L24" s="17">
        <f t="shared" si="3"/>
        <v>19835.900000000001</v>
      </c>
      <c r="M24" s="17">
        <f t="shared" si="4"/>
        <v>0</v>
      </c>
      <c r="N24" s="46"/>
    </row>
    <row r="25" spans="1:14">
      <c r="A25" s="26">
        <v>22</v>
      </c>
      <c r="B25" s="27">
        <v>45922</v>
      </c>
      <c r="C25" s="17"/>
      <c r="D25" s="17"/>
      <c r="E25" s="90">
        <v>0</v>
      </c>
      <c r="F25" s="90">
        <v>0</v>
      </c>
      <c r="G25" s="17">
        <f t="shared" si="0"/>
        <v>0</v>
      </c>
      <c r="H25" s="90">
        <v>0</v>
      </c>
      <c r="I25" s="90">
        <v>0</v>
      </c>
      <c r="J25" s="17">
        <f t="shared" si="1"/>
        <v>0</v>
      </c>
      <c r="K25" s="17">
        <f t="shared" si="2"/>
        <v>0</v>
      </c>
      <c r="L25" s="17">
        <f t="shared" si="3"/>
        <v>0</v>
      </c>
      <c r="M25" s="17">
        <f t="shared" si="4"/>
        <v>0</v>
      </c>
      <c r="N25" s="46"/>
    </row>
    <row r="26" spans="1:14">
      <c r="A26" s="26">
        <v>23</v>
      </c>
      <c r="B26" s="27">
        <v>45923</v>
      </c>
      <c r="C26" s="17"/>
      <c r="D26" s="17"/>
      <c r="E26" s="90">
        <v>310</v>
      </c>
      <c r="F26" s="90">
        <v>92.26</v>
      </c>
      <c r="G26" s="17">
        <f t="shared" si="0"/>
        <v>28600.600000000002</v>
      </c>
      <c r="H26" s="90">
        <v>10</v>
      </c>
      <c r="I26" s="90">
        <v>104.13</v>
      </c>
      <c r="J26" s="17">
        <f t="shared" si="1"/>
        <v>1041.3</v>
      </c>
      <c r="K26" s="17">
        <f t="shared" si="2"/>
        <v>29641.9</v>
      </c>
      <c r="L26" s="17">
        <f t="shared" si="3"/>
        <v>29641.9</v>
      </c>
      <c r="M26" s="17">
        <f t="shared" si="4"/>
        <v>0</v>
      </c>
      <c r="N26" s="46"/>
    </row>
    <row r="27" spans="1:14">
      <c r="A27" s="26">
        <v>24</v>
      </c>
      <c r="B27" s="27">
        <v>45924</v>
      </c>
      <c r="C27" s="17"/>
      <c r="D27" s="17"/>
      <c r="E27" s="90">
        <v>0</v>
      </c>
      <c r="F27" s="90">
        <v>0</v>
      </c>
      <c r="G27" s="17">
        <f t="shared" si="0"/>
        <v>0</v>
      </c>
      <c r="H27" s="90">
        <v>0</v>
      </c>
      <c r="I27" s="90">
        <v>0</v>
      </c>
      <c r="J27" s="17">
        <f t="shared" si="1"/>
        <v>0</v>
      </c>
      <c r="K27" s="17">
        <f t="shared" si="2"/>
        <v>0</v>
      </c>
      <c r="L27" s="17">
        <f t="shared" si="3"/>
        <v>0</v>
      </c>
      <c r="M27" s="17">
        <f t="shared" si="4"/>
        <v>0</v>
      </c>
      <c r="N27" s="46"/>
    </row>
    <row r="28" spans="1:14">
      <c r="A28" s="26">
        <v>25</v>
      </c>
      <c r="B28" s="27">
        <v>45925</v>
      </c>
      <c r="C28" s="17"/>
      <c r="D28" s="17"/>
      <c r="E28" s="90">
        <v>215</v>
      </c>
      <c r="F28" s="90">
        <v>92.26</v>
      </c>
      <c r="G28" s="17">
        <f t="shared" si="0"/>
        <v>19835.900000000001</v>
      </c>
      <c r="H28" s="90">
        <v>0</v>
      </c>
      <c r="I28" s="90">
        <v>0</v>
      </c>
      <c r="J28" s="17">
        <f t="shared" si="1"/>
        <v>0</v>
      </c>
      <c r="K28" s="17">
        <f>G28+J28</f>
        <v>19835.900000000001</v>
      </c>
      <c r="L28" s="17">
        <f t="shared" si="3"/>
        <v>19835.900000000001</v>
      </c>
      <c r="M28" s="17">
        <v>0</v>
      </c>
      <c r="N28" s="46"/>
    </row>
    <row r="29" spans="1:14">
      <c r="A29" s="26">
        <v>26</v>
      </c>
      <c r="B29" s="27">
        <v>45926</v>
      </c>
      <c r="C29" s="17"/>
      <c r="D29" s="17"/>
      <c r="E29" s="90">
        <v>0</v>
      </c>
      <c r="F29" s="90">
        <v>0</v>
      </c>
      <c r="G29" s="17">
        <f t="shared" si="0"/>
        <v>0</v>
      </c>
      <c r="H29" s="90">
        <v>0</v>
      </c>
      <c r="I29" s="90">
        <v>0</v>
      </c>
      <c r="J29" s="17">
        <f t="shared" si="1"/>
        <v>0</v>
      </c>
      <c r="K29" s="17">
        <f t="shared" si="2"/>
        <v>0</v>
      </c>
      <c r="L29" s="17">
        <f t="shared" si="3"/>
        <v>0</v>
      </c>
      <c r="M29" s="17">
        <v>0</v>
      </c>
      <c r="N29" s="46"/>
    </row>
    <row r="30" spans="1:14">
      <c r="A30" s="26">
        <v>27</v>
      </c>
      <c r="B30" s="27">
        <v>45927</v>
      </c>
      <c r="C30" s="17"/>
      <c r="D30" s="17"/>
      <c r="E30" s="90">
        <v>0</v>
      </c>
      <c r="F30" s="90">
        <v>0</v>
      </c>
      <c r="G30" s="17">
        <f t="shared" si="0"/>
        <v>0</v>
      </c>
      <c r="H30" s="90">
        <v>0</v>
      </c>
      <c r="I30" s="90">
        <v>0</v>
      </c>
      <c r="J30" s="17">
        <f t="shared" si="1"/>
        <v>0</v>
      </c>
      <c r="K30" s="17">
        <f t="shared" si="2"/>
        <v>0</v>
      </c>
      <c r="L30" s="17">
        <f t="shared" si="3"/>
        <v>0</v>
      </c>
      <c r="M30" s="17">
        <v>0</v>
      </c>
      <c r="N30" s="46"/>
    </row>
    <row r="31" spans="1:14">
      <c r="A31" s="26">
        <v>28</v>
      </c>
      <c r="B31" s="27">
        <v>45928</v>
      </c>
      <c r="C31" s="17"/>
      <c r="D31" s="17"/>
      <c r="E31" s="90">
        <v>0</v>
      </c>
      <c r="F31" s="90">
        <v>0</v>
      </c>
      <c r="G31" s="17">
        <f t="shared" si="0"/>
        <v>0</v>
      </c>
      <c r="H31" s="90">
        <v>0</v>
      </c>
      <c r="I31" s="90">
        <v>0</v>
      </c>
      <c r="J31" s="17">
        <f t="shared" si="1"/>
        <v>0</v>
      </c>
      <c r="K31" s="17">
        <f t="shared" si="2"/>
        <v>0</v>
      </c>
      <c r="L31" s="17">
        <f t="shared" si="3"/>
        <v>0</v>
      </c>
      <c r="M31" s="17">
        <v>0</v>
      </c>
      <c r="N31" s="46"/>
    </row>
    <row r="32" spans="1:14">
      <c r="A32" s="26">
        <v>29</v>
      </c>
      <c r="B32" s="27">
        <v>45929</v>
      </c>
      <c r="C32" s="17"/>
      <c r="D32" s="17"/>
      <c r="E32" s="90">
        <v>0</v>
      </c>
      <c r="F32" s="90">
        <v>0</v>
      </c>
      <c r="G32" s="17">
        <f t="shared" si="0"/>
        <v>0</v>
      </c>
      <c r="H32" s="90">
        <v>0</v>
      </c>
      <c r="I32" s="90">
        <v>0</v>
      </c>
      <c r="J32" s="17">
        <f t="shared" si="1"/>
        <v>0</v>
      </c>
      <c r="K32" s="17">
        <f t="shared" si="2"/>
        <v>0</v>
      </c>
      <c r="L32" s="17">
        <f t="shared" si="3"/>
        <v>0</v>
      </c>
      <c r="M32" s="17"/>
      <c r="N32" s="46"/>
    </row>
    <row r="33" spans="1:14">
      <c r="A33" s="26">
        <v>30</v>
      </c>
      <c r="B33" s="27">
        <v>45930</v>
      </c>
      <c r="C33" s="17"/>
      <c r="D33" s="17"/>
      <c r="E33" s="90">
        <v>245</v>
      </c>
      <c r="F33" s="90">
        <v>92.26</v>
      </c>
      <c r="G33" s="17">
        <f t="shared" si="0"/>
        <v>22603.7</v>
      </c>
      <c r="H33" s="90">
        <v>20</v>
      </c>
      <c r="I33" s="90">
        <v>104.13</v>
      </c>
      <c r="J33" s="17">
        <f t="shared" si="1"/>
        <v>2082.6</v>
      </c>
      <c r="K33" s="17">
        <f t="shared" si="2"/>
        <v>24686.3</v>
      </c>
      <c r="L33" s="17">
        <f t="shared" si="3"/>
        <v>24686.3</v>
      </c>
      <c r="M33" s="17"/>
      <c r="N33" s="46"/>
    </row>
    <row r="34" spans="1:14">
      <c r="A34" s="26">
        <v>31</v>
      </c>
      <c r="B34" s="27"/>
      <c r="C34" s="17"/>
      <c r="D34" s="17"/>
      <c r="E34" s="90"/>
      <c r="F34" s="90"/>
      <c r="G34" s="17"/>
      <c r="H34" s="90"/>
      <c r="I34" s="90"/>
      <c r="J34" s="17"/>
      <c r="K34" s="17"/>
      <c r="L34" s="17"/>
      <c r="M34" s="17"/>
      <c r="N34" s="46"/>
    </row>
    <row r="35" spans="1:14">
      <c r="A35" s="44"/>
      <c r="B35" s="44"/>
      <c r="C35" s="44"/>
      <c r="D35" s="44"/>
      <c r="E35" s="44">
        <f>SUM(E4:E34)</f>
        <v>2650</v>
      </c>
      <c r="F35" s="44"/>
      <c r="G35" s="44">
        <f>SUM(G4:G34)</f>
        <v>244489</v>
      </c>
      <c r="H35" s="44">
        <f>SUM(H4:H34)</f>
        <v>50</v>
      </c>
      <c r="I35" s="44"/>
      <c r="J35" s="44">
        <f>SUM(J4:J34)</f>
        <v>5206.5</v>
      </c>
      <c r="K35" s="44">
        <f>SUM(K4:K34)</f>
        <v>249695.49999999997</v>
      </c>
      <c r="L35" s="44">
        <f>SUM(L4:L34)</f>
        <v>249695.49999999997</v>
      </c>
      <c r="M35" s="44"/>
      <c r="N35" s="44"/>
    </row>
  </sheetData>
  <mergeCells count="2">
    <mergeCell ref="A1:N1"/>
    <mergeCell ref="A3:J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D1FCD-21AA-40DD-BCCB-514D4CD38E73}">
  <sheetPr>
    <tabColor rgb="FF7030A0"/>
  </sheetPr>
  <dimension ref="A1:O49"/>
  <sheetViews>
    <sheetView workbookViewId="0">
      <pane ySplit="2" topLeftCell="A19" activePane="bottomLeft" state="frozen"/>
      <selection pane="bottomLeft" activeCell="R18" sqref="R18"/>
    </sheetView>
  </sheetViews>
  <sheetFormatPr defaultColWidth="9.140625" defaultRowHeight="15"/>
  <cols>
    <col min="1" max="1" width="6.140625" bestFit="1" customWidth="1"/>
    <col min="2" max="2" width="11.5703125" customWidth="1"/>
    <col min="3" max="3" width="8" bestFit="1" customWidth="1"/>
    <col min="4" max="4" width="15.5703125" customWidth="1"/>
    <col min="5" max="5" width="10.85546875" bestFit="1" customWidth="1"/>
    <col min="6" max="7" width="11.85546875" bestFit="1" customWidth="1"/>
    <col min="8" max="8" width="10.7109375" bestFit="1" customWidth="1"/>
    <col min="9" max="9" width="8.140625" bestFit="1" customWidth="1"/>
    <col min="10" max="10" width="10.85546875" bestFit="1" customWidth="1"/>
    <col min="11" max="12" width="13.5703125" bestFit="1" customWidth="1"/>
    <col min="13" max="13" width="13.5703125" customWidth="1"/>
    <col min="14" max="14" width="17.7109375" bestFit="1" customWidth="1"/>
    <col min="15" max="15" width="7.140625" customWidth="1"/>
    <col min="16" max="16" width="9.7109375" customWidth="1"/>
    <col min="17" max="17" width="11.28515625" bestFit="1" customWidth="1"/>
  </cols>
  <sheetData>
    <row r="1" spans="1:15" ht="15.75">
      <c r="A1" s="391" t="s">
        <v>62</v>
      </c>
      <c r="B1" s="391"/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57"/>
    </row>
    <row r="2" spans="1:15" ht="18" customHeight="1">
      <c r="A2" s="68" t="s">
        <v>90</v>
      </c>
      <c r="B2" s="87" t="s">
        <v>91</v>
      </c>
      <c r="C2" s="87" t="s">
        <v>92</v>
      </c>
      <c r="D2" s="87" t="s">
        <v>93</v>
      </c>
      <c r="E2" s="87" t="s">
        <v>94</v>
      </c>
      <c r="F2" s="87" t="s">
        <v>95</v>
      </c>
      <c r="G2" s="87" t="s">
        <v>96</v>
      </c>
      <c r="H2" s="87" t="s">
        <v>97</v>
      </c>
      <c r="I2" s="87" t="s">
        <v>95</v>
      </c>
      <c r="J2" s="88" t="s">
        <v>96</v>
      </c>
      <c r="K2" s="68" t="s">
        <v>98</v>
      </c>
      <c r="L2" s="89" t="s">
        <v>99</v>
      </c>
      <c r="M2" s="171" t="s">
        <v>106</v>
      </c>
      <c r="N2" s="87" t="s">
        <v>101</v>
      </c>
      <c r="O2" s="63"/>
    </row>
    <row r="3" spans="1:15" ht="18" customHeight="1">
      <c r="A3" s="149"/>
      <c r="B3" s="150"/>
      <c r="C3" s="150"/>
      <c r="D3" s="136" t="s">
        <v>102</v>
      </c>
      <c r="E3" s="150"/>
      <c r="F3" s="150"/>
      <c r="G3" s="150"/>
      <c r="H3" s="150"/>
      <c r="I3" s="150"/>
      <c r="J3" s="151"/>
      <c r="K3" s="281"/>
      <c r="L3" s="281">
        <v>166543.85650000002</v>
      </c>
      <c r="M3" s="152">
        <v>166543.85650000002</v>
      </c>
      <c r="N3" s="150">
        <v>35526.317599999995</v>
      </c>
      <c r="O3" s="63"/>
    </row>
    <row r="4" spans="1:15">
      <c r="A4" s="48">
        <v>1</v>
      </c>
      <c r="B4" s="209">
        <v>45901</v>
      </c>
      <c r="C4" s="25"/>
      <c r="D4" s="25"/>
      <c r="E4" s="8">
        <v>162.07</v>
      </c>
      <c r="F4" s="8">
        <v>91.47</v>
      </c>
      <c r="G4" s="8">
        <f>E4*F4</f>
        <v>14824.542899999999</v>
      </c>
      <c r="H4" s="9">
        <v>7.76</v>
      </c>
      <c r="I4" s="9">
        <v>103.4</v>
      </c>
      <c r="J4" s="8">
        <f>H4*I4</f>
        <v>802.38400000000001</v>
      </c>
      <c r="K4" s="8">
        <f>G4+J4</f>
        <v>15626.926899999999</v>
      </c>
      <c r="L4" s="152">
        <v>150000</v>
      </c>
      <c r="M4" s="8">
        <f>M3+K4-L4</f>
        <v>32170.783400000015</v>
      </c>
      <c r="N4" s="46"/>
      <c r="O4" s="1"/>
    </row>
    <row r="5" spans="1:15">
      <c r="A5" s="48">
        <v>2</v>
      </c>
      <c r="B5" s="209">
        <v>45902</v>
      </c>
      <c r="C5" s="25"/>
      <c r="D5" s="25"/>
      <c r="E5" s="8">
        <v>240</v>
      </c>
      <c r="F5" s="8">
        <v>91.47</v>
      </c>
      <c r="G5" s="8">
        <f t="shared" ref="G5:G32" si="0">E5*F5</f>
        <v>21952.799999999999</v>
      </c>
      <c r="H5" s="9">
        <v>0</v>
      </c>
      <c r="I5" s="9">
        <v>0</v>
      </c>
      <c r="J5" s="8">
        <f t="shared" ref="J5:J32" si="1">H5*I5</f>
        <v>0</v>
      </c>
      <c r="K5" s="8">
        <f t="shared" ref="K5:K32" si="2">G5+J5</f>
        <v>21952.799999999999</v>
      </c>
      <c r="L5" s="152">
        <v>0</v>
      </c>
      <c r="M5" s="8">
        <f t="shared" ref="M5:M34" si="3">M4+K5-L5</f>
        <v>54123.583400000018</v>
      </c>
      <c r="N5" s="46"/>
      <c r="O5" s="1"/>
    </row>
    <row r="6" spans="1:15">
      <c r="A6" s="48">
        <v>3</v>
      </c>
      <c r="B6" s="209">
        <v>45903</v>
      </c>
      <c r="C6" s="25"/>
      <c r="D6" s="25"/>
      <c r="E6" s="8">
        <v>92</v>
      </c>
      <c r="F6" s="8">
        <v>91.47</v>
      </c>
      <c r="G6" s="8">
        <f t="shared" si="0"/>
        <v>8415.24</v>
      </c>
      <c r="H6" s="9">
        <v>8.18</v>
      </c>
      <c r="I6" s="9">
        <v>103.4</v>
      </c>
      <c r="J6" s="8">
        <f t="shared" si="1"/>
        <v>845.81200000000001</v>
      </c>
      <c r="K6" s="8">
        <f t="shared" si="2"/>
        <v>9261.0519999999997</v>
      </c>
      <c r="L6" s="152">
        <v>0</v>
      </c>
      <c r="M6" s="8">
        <f t="shared" si="3"/>
        <v>63384.635400000014</v>
      </c>
      <c r="N6" s="46"/>
      <c r="O6" s="1"/>
    </row>
    <row r="7" spans="1:15">
      <c r="A7" s="48">
        <v>4</v>
      </c>
      <c r="B7" s="209">
        <v>45904</v>
      </c>
      <c r="C7" s="25"/>
      <c r="D7" s="25"/>
      <c r="E7" s="8">
        <v>87</v>
      </c>
      <c r="F7" s="8">
        <v>91.47</v>
      </c>
      <c r="G7" s="8">
        <f t="shared" si="0"/>
        <v>7957.89</v>
      </c>
      <c r="H7" s="9">
        <v>0</v>
      </c>
      <c r="I7" s="9">
        <v>0</v>
      </c>
      <c r="J7" s="8">
        <f t="shared" si="1"/>
        <v>0</v>
      </c>
      <c r="K7" s="8">
        <f t="shared" si="2"/>
        <v>7957.89</v>
      </c>
      <c r="L7" s="152">
        <v>0</v>
      </c>
      <c r="M7" s="8">
        <f t="shared" si="3"/>
        <v>71342.525400000013</v>
      </c>
      <c r="N7" s="46"/>
      <c r="O7" s="1"/>
    </row>
    <row r="8" spans="1:15">
      <c r="A8" s="48">
        <v>5</v>
      </c>
      <c r="B8" s="209">
        <v>45905</v>
      </c>
      <c r="C8" s="25"/>
      <c r="D8" s="25"/>
      <c r="E8" s="8">
        <v>40</v>
      </c>
      <c r="F8" s="8">
        <v>91.47</v>
      </c>
      <c r="G8" s="8">
        <f t="shared" si="0"/>
        <v>3658.8</v>
      </c>
      <c r="H8" s="9">
        <v>17</v>
      </c>
      <c r="I8" s="9">
        <v>103.4</v>
      </c>
      <c r="J8" s="8">
        <f t="shared" si="1"/>
        <v>1757.8000000000002</v>
      </c>
      <c r="K8" s="8">
        <f t="shared" si="2"/>
        <v>5416.6</v>
      </c>
      <c r="L8" s="152">
        <v>0</v>
      </c>
      <c r="M8" s="8">
        <f t="shared" si="3"/>
        <v>76759.125400000019</v>
      </c>
      <c r="N8" s="46"/>
      <c r="O8" s="1"/>
    </row>
    <row r="9" spans="1:15">
      <c r="A9" s="48">
        <v>6</v>
      </c>
      <c r="B9" s="209">
        <v>45906</v>
      </c>
      <c r="C9" s="25"/>
      <c r="D9" s="25"/>
      <c r="E9" s="8">
        <v>220</v>
      </c>
      <c r="F9" s="8">
        <v>91.47</v>
      </c>
      <c r="G9" s="8">
        <f t="shared" si="0"/>
        <v>20123.400000000001</v>
      </c>
      <c r="H9" s="9">
        <v>0</v>
      </c>
      <c r="I9" s="9">
        <v>0</v>
      </c>
      <c r="J9" s="8">
        <f t="shared" si="1"/>
        <v>0</v>
      </c>
      <c r="K9" s="8">
        <f t="shared" si="2"/>
        <v>20123.400000000001</v>
      </c>
      <c r="L9" s="152">
        <v>0</v>
      </c>
      <c r="M9" s="8">
        <f t="shared" si="3"/>
        <v>96882.525400000013</v>
      </c>
      <c r="N9" s="46"/>
      <c r="O9" s="1"/>
    </row>
    <row r="10" spans="1:15">
      <c r="A10" s="48">
        <v>7</v>
      </c>
      <c r="B10" s="209">
        <v>45907</v>
      </c>
      <c r="C10" s="25"/>
      <c r="D10" s="25"/>
      <c r="E10" s="8">
        <v>0</v>
      </c>
      <c r="F10" s="8">
        <v>0</v>
      </c>
      <c r="G10" s="8">
        <f t="shared" si="0"/>
        <v>0</v>
      </c>
      <c r="H10" s="9">
        <v>0</v>
      </c>
      <c r="I10" s="9">
        <v>0</v>
      </c>
      <c r="J10" s="8">
        <f t="shared" si="1"/>
        <v>0</v>
      </c>
      <c r="K10" s="8">
        <f t="shared" si="2"/>
        <v>0</v>
      </c>
      <c r="L10" s="152">
        <v>0</v>
      </c>
      <c r="M10" s="8">
        <f t="shared" si="3"/>
        <v>96882.525400000013</v>
      </c>
      <c r="N10" s="46"/>
      <c r="O10" s="1"/>
    </row>
    <row r="11" spans="1:15">
      <c r="A11" s="48">
        <v>8</v>
      </c>
      <c r="B11" s="209">
        <v>45908</v>
      </c>
      <c r="C11" s="25"/>
      <c r="D11" s="25"/>
      <c r="E11" s="8">
        <v>45</v>
      </c>
      <c r="F11" s="8">
        <v>91.47</v>
      </c>
      <c r="G11" s="8">
        <f t="shared" si="0"/>
        <v>4116.1499999999996</v>
      </c>
      <c r="H11" s="9">
        <v>6</v>
      </c>
      <c r="I11" s="9">
        <v>103.4</v>
      </c>
      <c r="J11" s="8">
        <f t="shared" si="1"/>
        <v>620.40000000000009</v>
      </c>
      <c r="K11" s="8">
        <f t="shared" si="2"/>
        <v>4736.5499999999993</v>
      </c>
      <c r="L11" s="152">
        <v>90559</v>
      </c>
      <c r="M11" s="8">
        <f t="shared" si="3"/>
        <v>11060.075400000016</v>
      </c>
      <c r="N11" s="46"/>
      <c r="O11" s="1"/>
    </row>
    <row r="12" spans="1:15">
      <c r="A12" s="48">
        <v>9</v>
      </c>
      <c r="B12" s="209">
        <v>45909</v>
      </c>
      <c r="C12" s="25"/>
      <c r="D12" s="25"/>
      <c r="E12" s="8">
        <v>99.5</v>
      </c>
      <c r="F12" s="8">
        <v>91.47</v>
      </c>
      <c r="G12" s="8">
        <f t="shared" si="0"/>
        <v>9101.2649999999994</v>
      </c>
      <c r="H12" s="9">
        <v>0</v>
      </c>
      <c r="I12" s="9">
        <v>0</v>
      </c>
      <c r="J12" s="8">
        <f t="shared" si="1"/>
        <v>0</v>
      </c>
      <c r="K12" s="8">
        <f t="shared" si="2"/>
        <v>9101.2649999999994</v>
      </c>
      <c r="L12" s="152">
        <v>0</v>
      </c>
      <c r="M12" s="8">
        <f t="shared" si="3"/>
        <v>20161.340400000016</v>
      </c>
      <c r="N12" s="46"/>
      <c r="O12" s="1"/>
    </row>
    <row r="13" spans="1:15">
      <c r="A13" s="48">
        <v>10</v>
      </c>
      <c r="B13" s="209">
        <v>45910</v>
      </c>
      <c r="C13" s="25"/>
      <c r="D13" s="25"/>
      <c r="E13" s="8">
        <v>152.01</v>
      </c>
      <c r="F13" s="8">
        <v>91.47</v>
      </c>
      <c r="G13" s="8">
        <f t="shared" si="0"/>
        <v>13904.3547</v>
      </c>
      <c r="H13" s="9">
        <v>12.51</v>
      </c>
      <c r="I13" s="9">
        <v>103.4</v>
      </c>
      <c r="J13" s="8">
        <f t="shared" si="1"/>
        <v>1293.5340000000001</v>
      </c>
      <c r="K13" s="8">
        <f t="shared" si="2"/>
        <v>15197.8887</v>
      </c>
      <c r="L13" s="152">
        <v>0</v>
      </c>
      <c r="M13" s="8">
        <f t="shared" si="3"/>
        <v>35359.229100000011</v>
      </c>
      <c r="N13" s="46"/>
      <c r="O13" s="1"/>
    </row>
    <row r="14" spans="1:15">
      <c r="A14" s="48">
        <v>11</v>
      </c>
      <c r="B14" s="209">
        <v>45911</v>
      </c>
      <c r="C14" s="25"/>
      <c r="D14" s="25"/>
      <c r="E14" s="8">
        <v>392.3</v>
      </c>
      <c r="F14" s="8">
        <v>91.47</v>
      </c>
      <c r="G14" s="8">
        <f t="shared" si="0"/>
        <v>35883.681000000004</v>
      </c>
      <c r="H14" s="9">
        <v>5</v>
      </c>
      <c r="I14" s="9">
        <v>103.4</v>
      </c>
      <c r="J14" s="8">
        <f t="shared" si="1"/>
        <v>517</v>
      </c>
      <c r="K14" s="8">
        <f t="shared" si="2"/>
        <v>36400.681000000004</v>
      </c>
      <c r="L14" s="152">
        <v>0</v>
      </c>
      <c r="M14" s="8">
        <f t="shared" si="3"/>
        <v>71759.910100000008</v>
      </c>
      <c r="N14" s="46"/>
      <c r="O14" s="1"/>
    </row>
    <row r="15" spans="1:15">
      <c r="A15" s="48">
        <v>12</v>
      </c>
      <c r="B15" s="209">
        <v>45912</v>
      </c>
      <c r="C15" s="25"/>
      <c r="D15" s="25"/>
      <c r="E15" s="8">
        <v>255.44</v>
      </c>
      <c r="F15" s="8">
        <v>91.47</v>
      </c>
      <c r="G15" s="8">
        <f t="shared" si="0"/>
        <v>23365.096799999999</v>
      </c>
      <c r="H15" s="9">
        <v>6.77</v>
      </c>
      <c r="I15" s="9">
        <v>103.4</v>
      </c>
      <c r="J15" s="8">
        <f t="shared" si="1"/>
        <v>700.01800000000003</v>
      </c>
      <c r="K15" s="8">
        <f t="shared" si="2"/>
        <v>24065.114799999999</v>
      </c>
      <c r="L15" s="152">
        <v>9207</v>
      </c>
      <c r="M15" s="8">
        <f t="shared" si="3"/>
        <v>86618.024900000004</v>
      </c>
      <c r="N15" s="46"/>
      <c r="O15" s="1"/>
    </row>
    <row r="16" spans="1:15">
      <c r="A16" s="48">
        <v>13</v>
      </c>
      <c r="B16" s="209">
        <v>45913</v>
      </c>
      <c r="C16" s="25"/>
      <c r="D16" s="25"/>
      <c r="E16" s="8">
        <v>61</v>
      </c>
      <c r="F16" s="8">
        <v>91.47</v>
      </c>
      <c r="G16" s="8">
        <f t="shared" si="0"/>
        <v>5579.67</v>
      </c>
      <c r="H16" s="9">
        <v>0</v>
      </c>
      <c r="I16" s="9">
        <v>0</v>
      </c>
      <c r="J16" s="8">
        <f t="shared" si="1"/>
        <v>0</v>
      </c>
      <c r="K16" s="8">
        <f t="shared" si="2"/>
        <v>5579.67</v>
      </c>
      <c r="L16" s="152">
        <v>0</v>
      </c>
      <c r="M16" s="8">
        <f>M15+K16-L16</f>
        <v>92197.694900000002</v>
      </c>
      <c r="N16" s="46"/>
      <c r="O16" s="1"/>
    </row>
    <row r="17" spans="1:15">
      <c r="A17" s="48">
        <v>14</v>
      </c>
      <c r="B17" s="209">
        <v>45914</v>
      </c>
      <c r="C17" s="25"/>
      <c r="D17" s="25"/>
      <c r="E17" s="8">
        <v>160</v>
      </c>
      <c r="F17" s="8">
        <v>91.47</v>
      </c>
      <c r="G17" s="8">
        <f t="shared" si="0"/>
        <v>14635.2</v>
      </c>
      <c r="H17" s="9">
        <v>0</v>
      </c>
      <c r="I17" s="9">
        <v>0</v>
      </c>
      <c r="J17" s="8">
        <f t="shared" si="1"/>
        <v>0</v>
      </c>
      <c r="K17" s="8">
        <f t="shared" si="2"/>
        <v>14635.2</v>
      </c>
      <c r="L17" s="152">
        <v>0</v>
      </c>
      <c r="M17" s="8">
        <f>M16+K17-L17</f>
        <v>106832.8949</v>
      </c>
      <c r="N17" s="46"/>
      <c r="O17" s="1"/>
    </row>
    <row r="18" spans="1:15">
      <c r="A18" s="48">
        <v>15</v>
      </c>
      <c r="B18" s="209">
        <v>45915</v>
      </c>
      <c r="C18" s="25"/>
      <c r="D18" s="25"/>
      <c r="E18" s="8">
        <v>291.39</v>
      </c>
      <c r="F18" s="8">
        <v>91.47</v>
      </c>
      <c r="G18" s="8">
        <f t="shared" si="0"/>
        <v>26653.443299999999</v>
      </c>
      <c r="H18" s="9">
        <v>7.17</v>
      </c>
      <c r="I18" s="9">
        <v>103.4</v>
      </c>
      <c r="J18" s="8">
        <f t="shared" si="1"/>
        <v>741.37800000000004</v>
      </c>
      <c r="K18" s="8">
        <f t="shared" si="2"/>
        <v>27394.8213</v>
      </c>
      <c r="L18" s="152">
        <v>0</v>
      </c>
      <c r="M18" s="8">
        <f t="shared" si="3"/>
        <v>134227.7162</v>
      </c>
      <c r="N18" s="46"/>
      <c r="O18" s="1"/>
    </row>
    <row r="19" spans="1:15">
      <c r="A19" s="48">
        <v>16</v>
      </c>
      <c r="B19" s="209">
        <v>45916</v>
      </c>
      <c r="C19" s="25"/>
      <c r="D19" s="25"/>
      <c r="E19" s="8">
        <v>33</v>
      </c>
      <c r="F19" s="8">
        <v>91.47</v>
      </c>
      <c r="G19" s="8">
        <f t="shared" si="0"/>
        <v>3018.5099999999998</v>
      </c>
      <c r="H19" s="9">
        <v>0</v>
      </c>
      <c r="I19" s="9">
        <v>0</v>
      </c>
      <c r="J19" s="8">
        <f t="shared" si="1"/>
        <v>0</v>
      </c>
      <c r="K19" s="8">
        <f t="shared" si="2"/>
        <v>3018.5099999999998</v>
      </c>
      <c r="L19" s="152">
        <v>0</v>
      </c>
      <c r="M19" s="8">
        <f t="shared" si="3"/>
        <v>137246.2262</v>
      </c>
      <c r="N19" s="46"/>
      <c r="O19" s="1"/>
    </row>
    <row r="20" spans="1:15">
      <c r="A20" s="48">
        <v>17</v>
      </c>
      <c r="B20" s="209">
        <v>45917</v>
      </c>
      <c r="C20" s="25"/>
      <c r="D20" s="25"/>
      <c r="E20" s="8">
        <v>44.99</v>
      </c>
      <c r="F20" s="8">
        <v>90.84</v>
      </c>
      <c r="G20" s="8">
        <f t="shared" si="0"/>
        <v>4086.8916000000004</v>
      </c>
      <c r="H20" s="9">
        <v>0</v>
      </c>
      <c r="I20" s="9">
        <v>0</v>
      </c>
      <c r="J20" s="8">
        <f t="shared" si="1"/>
        <v>0</v>
      </c>
      <c r="K20" s="8">
        <f t="shared" si="2"/>
        <v>4086.8916000000004</v>
      </c>
      <c r="L20" s="152">
        <v>0</v>
      </c>
      <c r="M20" s="8">
        <f t="shared" si="3"/>
        <v>141333.11780000001</v>
      </c>
      <c r="N20" s="46"/>
      <c r="O20" s="1"/>
    </row>
    <row r="21" spans="1:15">
      <c r="A21" s="48">
        <v>18</v>
      </c>
      <c r="B21" s="209">
        <v>45918</v>
      </c>
      <c r="C21" s="25"/>
      <c r="D21" s="25"/>
      <c r="E21" s="8">
        <v>75.010000000000005</v>
      </c>
      <c r="F21" s="8">
        <v>90.6</v>
      </c>
      <c r="G21" s="8">
        <f t="shared" si="0"/>
        <v>6795.9059999999999</v>
      </c>
      <c r="H21" s="9">
        <v>11.93</v>
      </c>
      <c r="I21" s="9">
        <v>103.4</v>
      </c>
      <c r="J21" s="8">
        <f t="shared" si="1"/>
        <v>1233.5620000000001</v>
      </c>
      <c r="K21" s="8">
        <f t="shared" si="2"/>
        <v>8029.4679999999998</v>
      </c>
      <c r="L21" s="152">
        <v>80000</v>
      </c>
      <c r="M21" s="8">
        <f>M20+K21-L21</f>
        <v>69362.585800000001</v>
      </c>
      <c r="N21" s="46"/>
      <c r="O21" s="1"/>
    </row>
    <row r="22" spans="1:15">
      <c r="A22" s="48">
        <v>19</v>
      </c>
      <c r="B22" s="209">
        <v>45919</v>
      </c>
      <c r="C22" s="25"/>
      <c r="D22" s="25"/>
      <c r="E22" s="8">
        <v>106.02</v>
      </c>
      <c r="F22" s="8">
        <v>91.47</v>
      </c>
      <c r="G22" s="8">
        <f t="shared" si="0"/>
        <v>9697.6494000000002</v>
      </c>
      <c r="H22" s="9">
        <v>6.53</v>
      </c>
      <c r="I22" s="9">
        <v>103.4</v>
      </c>
      <c r="J22" s="8">
        <f t="shared" si="1"/>
        <v>675.20200000000011</v>
      </c>
      <c r="K22" s="8">
        <f t="shared" si="2"/>
        <v>10372.8514</v>
      </c>
      <c r="L22" s="152">
        <v>0</v>
      </c>
      <c r="M22" s="8">
        <f t="shared" si="3"/>
        <v>79735.4372</v>
      </c>
      <c r="N22" s="46"/>
      <c r="O22" s="1"/>
    </row>
    <row r="23" spans="1:15">
      <c r="A23" s="48">
        <v>20</v>
      </c>
      <c r="B23" s="209">
        <v>45920</v>
      </c>
      <c r="C23" s="25"/>
      <c r="D23" s="25"/>
      <c r="E23" s="8">
        <v>20.190000000000001</v>
      </c>
      <c r="F23" s="8">
        <v>91.47</v>
      </c>
      <c r="G23" s="8">
        <f t="shared" si="0"/>
        <v>1846.7793000000001</v>
      </c>
      <c r="H23" s="9">
        <v>0</v>
      </c>
      <c r="I23" s="9">
        <v>0</v>
      </c>
      <c r="J23" s="8">
        <f t="shared" si="1"/>
        <v>0</v>
      </c>
      <c r="K23" s="8">
        <f t="shared" si="2"/>
        <v>1846.7793000000001</v>
      </c>
      <c r="L23" s="152">
        <v>0</v>
      </c>
      <c r="M23" s="8">
        <f t="shared" si="3"/>
        <v>81582.216499999995</v>
      </c>
      <c r="N23" s="46"/>
      <c r="O23" s="1"/>
    </row>
    <row r="24" spans="1:15">
      <c r="A24" s="48">
        <v>21</v>
      </c>
      <c r="B24" s="209">
        <v>45921</v>
      </c>
      <c r="C24" s="25"/>
      <c r="D24" s="25"/>
      <c r="E24" s="8">
        <v>117.02</v>
      </c>
      <c r="F24" s="8">
        <v>91.47</v>
      </c>
      <c r="G24" s="8">
        <f t="shared" si="0"/>
        <v>10703.8194</v>
      </c>
      <c r="H24" s="9">
        <v>0</v>
      </c>
      <c r="I24" s="9">
        <v>0</v>
      </c>
      <c r="J24" s="8">
        <f t="shared" si="1"/>
        <v>0</v>
      </c>
      <c r="K24" s="8">
        <f t="shared" si="2"/>
        <v>10703.8194</v>
      </c>
      <c r="L24" s="152">
        <v>0</v>
      </c>
      <c r="M24" s="8">
        <f t="shared" si="3"/>
        <v>92286.035899999988</v>
      </c>
      <c r="N24" s="46"/>
      <c r="O24" s="1"/>
    </row>
    <row r="25" spans="1:15">
      <c r="A25" s="48">
        <v>22</v>
      </c>
      <c r="B25" s="209">
        <v>45922</v>
      </c>
      <c r="C25" s="25"/>
      <c r="D25" s="25"/>
      <c r="E25" s="8">
        <v>108</v>
      </c>
      <c r="F25" s="8">
        <v>91.47</v>
      </c>
      <c r="G25" s="8">
        <f t="shared" si="0"/>
        <v>9878.76</v>
      </c>
      <c r="H25" s="9">
        <v>0</v>
      </c>
      <c r="I25" s="9">
        <v>0</v>
      </c>
      <c r="J25" s="8">
        <f t="shared" si="1"/>
        <v>0</v>
      </c>
      <c r="K25" s="8">
        <f t="shared" si="2"/>
        <v>9878.76</v>
      </c>
      <c r="L25" s="152">
        <v>0</v>
      </c>
      <c r="M25" s="8">
        <f t="shared" si="3"/>
        <v>102164.79589999998</v>
      </c>
      <c r="N25" s="46"/>
      <c r="O25" s="1"/>
    </row>
    <row r="26" spans="1:15">
      <c r="A26" s="48">
        <v>23</v>
      </c>
      <c r="B26" s="209">
        <v>45923</v>
      </c>
      <c r="C26" s="25"/>
      <c r="D26" s="25"/>
      <c r="E26" s="8">
        <v>147.08000000000001</v>
      </c>
      <c r="F26" s="8">
        <v>91.47</v>
      </c>
      <c r="G26" s="8">
        <f t="shared" si="0"/>
        <v>13453.4076</v>
      </c>
      <c r="H26" s="9">
        <v>0</v>
      </c>
      <c r="I26" s="9">
        <v>0</v>
      </c>
      <c r="J26" s="8">
        <f t="shared" si="1"/>
        <v>0</v>
      </c>
      <c r="K26" s="8">
        <f t="shared" si="2"/>
        <v>13453.4076</v>
      </c>
      <c r="L26" s="152">
        <v>0</v>
      </c>
      <c r="M26" s="8">
        <f t="shared" si="3"/>
        <v>115618.20349999999</v>
      </c>
      <c r="N26" s="46"/>
      <c r="O26" s="1"/>
    </row>
    <row r="27" spans="1:15">
      <c r="A27" s="48">
        <v>24</v>
      </c>
      <c r="B27" s="209">
        <v>45924</v>
      </c>
      <c r="C27" s="25"/>
      <c r="D27" s="25"/>
      <c r="E27" s="8">
        <v>70</v>
      </c>
      <c r="F27" s="8">
        <v>91.47</v>
      </c>
      <c r="G27" s="8">
        <f t="shared" si="0"/>
        <v>6402.9</v>
      </c>
      <c r="H27" s="9">
        <v>0</v>
      </c>
      <c r="I27" s="9">
        <v>0</v>
      </c>
      <c r="J27" s="8">
        <f t="shared" si="1"/>
        <v>0</v>
      </c>
      <c r="K27" s="8">
        <f t="shared" si="2"/>
        <v>6402.9</v>
      </c>
      <c r="L27" s="152">
        <v>0</v>
      </c>
      <c r="M27" s="8">
        <f t="shared" si="3"/>
        <v>122021.10349999998</v>
      </c>
      <c r="N27" s="46"/>
      <c r="O27" s="1"/>
    </row>
    <row r="28" spans="1:15">
      <c r="A28" s="48">
        <v>25</v>
      </c>
      <c r="B28" s="209">
        <v>45925</v>
      </c>
      <c r="C28" s="25"/>
      <c r="D28" s="25"/>
      <c r="E28" s="8">
        <v>243.97</v>
      </c>
      <c r="F28" s="8">
        <v>91.47</v>
      </c>
      <c r="G28" s="8">
        <f t="shared" si="0"/>
        <v>22315.9359</v>
      </c>
      <c r="H28" s="9">
        <v>12.77</v>
      </c>
      <c r="I28" s="9">
        <v>103.4</v>
      </c>
      <c r="J28" s="8">
        <f t="shared" si="1"/>
        <v>1320.4180000000001</v>
      </c>
      <c r="K28" s="8">
        <f t="shared" si="2"/>
        <v>23636.353900000002</v>
      </c>
      <c r="L28" s="152">
        <v>0</v>
      </c>
      <c r="M28" s="8">
        <f t="shared" si="3"/>
        <v>145657.45739999998</v>
      </c>
      <c r="N28" s="46"/>
      <c r="O28" s="1"/>
    </row>
    <row r="29" spans="1:15">
      <c r="A29" s="48">
        <v>26</v>
      </c>
      <c r="B29" s="209">
        <v>45926</v>
      </c>
      <c r="C29" s="25"/>
      <c r="D29" s="25"/>
      <c r="E29" s="8">
        <v>200.01</v>
      </c>
      <c r="F29" s="8">
        <v>91.47</v>
      </c>
      <c r="G29" s="8">
        <f t="shared" si="0"/>
        <v>18294.914699999998</v>
      </c>
      <c r="H29" s="9">
        <v>0</v>
      </c>
      <c r="I29" s="9">
        <v>0</v>
      </c>
      <c r="J29" s="8">
        <f t="shared" si="1"/>
        <v>0</v>
      </c>
      <c r="K29" s="8">
        <f t="shared" si="2"/>
        <v>18294.914699999998</v>
      </c>
      <c r="L29" s="152">
        <v>0</v>
      </c>
      <c r="M29" s="8">
        <f t="shared" si="3"/>
        <v>163952.37209999998</v>
      </c>
      <c r="N29" s="46"/>
      <c r="O29" s="1"/>
    </row>
    <row r="30" spans="1:15">
      <c r="A30" s="48">
        <v>27</v>
      </c>
      <c r="B30" s="209">
        <v>45927</v>
      </c>
      <c r="C30" s="25"/>
      <c r="D30" s="25"/>
      <c r="E30" s="8">
        <v>290.10000000000002</v>
      </c>
      <c r="F30" s="8">
        <v>91.47</v>
      </c>
      <c r="G30" s="8">
        <f t="shared" si="0"/>
        <v>26535.447</v>
      </c>
      <c r="H30" s="9">
        <v>0</v>
      </c>
      <c r="I30" s="9">
        <v>0</v>
      </c>
      <c r="J30" s="8">
        <f t="shared" si="1"/>
        <v>0</v>
      </c>
      <c r="K30" s="8">
        <f t="shared" si="2"/>
        <v>26535.447</v>
      </c>
      <c r="L30" s="152">
        <v>100000</v>
      </c>
      <c r="M30" s="8">
        <f t="shared" si="3"/>
        <v>90487.819099999964</v>
      </c>
      <c r="N30" s="46"/>
      <c r="O30" s="1"/>
    </row>
    <row r="31" spans="1:15">
      <c r="A31" s="48">
        <v>28</v>
      </c>
      <c r="B31" s="209">
        <v>45928</v>
      </c>
      <c r="C31" s="25"/>
      <c r="D31" s="25"/>
      <c r="E31" s="8">
        <v>0</v>
      </c>
      <c r="F31" s="8">
        <v>0</v>
      </c>
      <c r="G31" s="8">
        <f t="shared" si="0"/>
        <v>0</v>
      </c>
      <c r="H31" s="9">
        <v>0</v>
      </c>
      <c r="I31" s="9">
        <v>0</v>
      </c>
      <c r="J31" s="8">
        <f t="shared" si="1"/>
        <v>0</v>
      </c>
      <c r="K31" s="8">
        <f t="shared" si="2"/>
        <v>0</v>
      </c>
      <c r="L31" s="152">
        <v>0</v>
      </c>
      <c r="M31" s="245">
        <f t="shared" si="3"/>
        <v>90487.819099999964</v>
      </c>
      <c r="N31" s="46"/>
      <c r="O31" s="1"/>
    </row>
    <row r="32" spans="1:15">
      <c r="A32" s="204">
        <v>29</v>
      </c>
      <c r="B32" s="209">
        <v>45929</v>
      </c>
      <c r="C32" s="25"/>
      <c r="D32" s="25"/>
      <c r="E32" s="8">
        <v>70</v>
      </c>
      <c r="F32" s="8">
        <v>91.47</v>
      </c>
      <c r="G32" s="8">
        <f t="shared" si="0"/>
        <v>6402.9</v>
      </c>
      <c r="H32" s="9">
        <v>0</v>
      </c>
      <c r="I32" s="9">
        <v>0</v>
      </c>
      <c r="J32" s="8">
        <f t="shared" si="1"/>
        <v>0</v>
      </c>
      <c r="K32" s="8">
        <f t="shared" si="2"/>
        <v>6402.9</v>
      </c>
      <c r="L32" s="152">
        <v>0</v>
      </c>
      <c r="M32" s="245">
        <f t="shared" si="3"/>
        <v>96890.719099999958</v>
      </c>
      <c r="N32" s="46"/>
      <c r="O32" s="1"/>
    </row>
    <row r="33" spans="1:15">
      <c r="A33" s="204">
        <v>30</v>
      </c>
      <c r="B33" s="209">
        <v>45930</v>
      </c>
      <c r="C33" s="25"/>
      <c r="D33" s="25"/>
      <c r="E33" s="8">
        <v>30</v>
      </c>
      <c r="F33" s="8">
        <v>91.47</v>
      </c>
      <c r="G33" s="8">
        <f t="shared" ref="G5:G33" si="4">E33*F33</f>
        <v>2744.1</v>
      </c>
      <c r="H33" s="9">
        <v>7.29</v>
      </c>
      <c r="I33" s="9">
        <v>103.4</v>
      </c>
      <c r="J33" s="8">
        <f t="shared" ref="J5:J33" si="5">H33*I33</f>
        <v>753.78600000000006</v>
      </c>
      <c r="K33" s="8">
        <f t="shared" ref="K5:L33" si="6">G33+J33</f>
        <v>3497.886</v>
      </c>
      <c r="L33" s="152">
        <v>0</v>
      </c>
      <c r="M33" s="245">
        <f t="shared" si="3"/>
        <v>100388.60509999996</v>
      </c>
      <c r="N33" s="46"/>
      <c r="O33" s="1"/>
    </row>
    <row r="34" spans="1:15">
      <c r="A34" s="204">
        <v>31</v>
      </c>
      <c r="B34" s="209"/>
      <c r="C34" s="25"/>
      <c r="D34" s="25"/>
      <c r="E34" s="8">
        <v>0</v>
      </c>
      <c r="F34" s="8">
        <v>0</v>
      </c>
      <c r="G34" s="8">
        <f t="shared" ref="G5:G34" si="7">E34*F34</f>
        <v>0</v>
      </c>
      <c r="H34" s="9">
        <v>0</v>
      </c>
      <c r="I34" s="9">
        <v>0</v>
      </c>
      <c r="J34" s="8">
        <f t="shared" ref="J5:J34" si="8">H34*I34</f>
        <v>0</v>
      </c>
      <c r="K34" s="8">
        <f t="shared" ref="K5:K34" si="9">G34+J34</f>
        <v>0</v>
      </c>
      <c r="L34" s="152">
        <v>0</v>
      </c>
      <c r="M34" s="245">
        <f t="shared" si="3"/>
        <v>100388.60509999996</v>
      </c>
      <c r="N34" s="46"/>
      <c r="O34" s="1"/>
    </row>
    <row r="35" spans="1:15">
      <c r="A35" s="66"/>
      <c r="B35" s="66"/>
      <c r="C35" s="66"/>
      <c r="D35" s="66"/>
      <c r="E35" s="67">
        <f>SUM(E4:E34)</f>
        <v>3853.1</v>
      </c>
      <c r="F35" s="67"/>
      <c r="G35" s="67">
        <f>SUM(G4:G34)</f>
        <v>352349.45460000006</v>
      </c>
      <c r="H35" s="67">
        <f>SUM(H4:H34)</f>
        <v>108.91</v>
      </c>
      <c r="I35" s="67"/>
      <c r="J35" s="67">
        <f>SUM(J4:J34)</f>
        <v>11261.294</v>
      </c>
      <c r="K35" s="67">
        <f>SUM(K4:K34)</f>
        <v>363610.74860000005</v>
      </c>
      <c r="L35" s="67">
        <f>SUM(L4:L34)</f>
        <v>429766</v>
      </c>
      <c r="M35" s="67"/>
      <c r="N35" s="67"/>
      <c r="O35" s="63"/>
    </row>
    <row r="36" spans="1:15">
      <c r="A36" s="2"/>
      <c r="B36" s="2"/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</row>
    <row r="37" spans="1:15">
      <c r="A37" s="1"/>
      <c r="B37" s="1"/>
      <c r="C37" s="1"/>
      <c r="D37" s="1"/>
      <c r="E37" s="1"/>
      <c r="F37" s="1"/>
      <c r="G37" s="3"/>
      <c r="H37" s="1"/>
      <c r="I37" s="1"/>
      <c r="J37" s="1"/>
      <c r="K37" s="1"/>
      <c r="L37" s="8"/>
      <c r="M37" s="1"/>
      <c r="N37" s="1"/>
      <c r="O37" s="4"/>
    </row>
    <row r="38" spans="1:15">
      <c r="A38" s="1"/>
      <c r="B38" s="388"/>
      <c r="C38" s="388"/>
      <c r="D38" s="388"/>
      <c r="E38" s="388"/>
      <c r="F38" s="1"/>
      <c r="G38" s="1"/>
      <c r="H38" s="1"/>
      <c r="I38" s="410">
        <f>K24+L24</f>
        <v>10703.8194</v>
      </c>
      <c r="J38" s="388"/>
      <c r="K38" s="388"/>
      <c r="L38" s="388"/>
      <c r="M38" s="388"/>
      <c r="N38" s="388"/>
      <c r="O38" s="4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</row>
    <row r="40" spans="1: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</sheetData>
  <mergeCells count="3">
    <mergeCell ref="B38:E38"/>
    <mergeCell ref="I38:N38"/>
    <mergeCell ref="A1:N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B0BCA-CEB5-4CC4-B7FA-CDD92ABE66F3}">
  <sheetPr>
    <tabColor rgb="FF7030A0"/>
  </sheetPr>
  <dimension ref="A1:O49"/>
  <sheetViews>
    <sheetView topLeftCell="A19" workbookViewId="0">
      <selection activeCell="K40" sqref="K40"/>
    </sheetView>
  </sheetViews>
  <sheetFormatPr defaultRowHeight="15"/>
  <cols>
    <col min="1" max="1" width="5.140625" bestFit="1" customWidth="1"/>
    <col min="2" max="2" width="10" bestFit="1" customWidth="1"/>
    <col min="3" max="3" width="8" bestFit="1" customWidth="1"/>
    <col min="4" max="4" width="15.28515625" customWidth="1"/>
    <col min="5" max="5" width="9.7109375" bestFit="1" customWidth="1"/>
    <col min="6" max="6" width="7" bestFit="1" customWidth="1"/>
    <col min="7" max="7" width="11.5703125" bestFit="1" customWidth="1"/>
    <col min="9" max="10" width="10.85546875" bestFit="1" customWidth="1"/>
    <col min="11" max="12" width="13.5703125" bestFit="1" customWidth="1"/>
    <col min="13" max="13" width="10.140625" bestFit="1" customWidth="1"/>
    <col min="14" max="14" width="10.42578125" bestFit="1" customWidth="1"/>
    <col min="15" max="15" width="9.42578125" customWidth="1"/>
  </cols>
  <sheetData>
    <row r="1" spans="1:15" ht="15.75">
      <c r="A1" s="391" t="s">
        <v>64</v>
      </c>
      <c r="B1" s="391"/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57"/>
    </row>
    <row r="2" spans="1:15" ht="30.75">
      <c r="A2" s="68" t="s">
        <v>90</v>
      </c>
      <c r="B2" s="87" t="s">
        <v>91</v>
      </c>
      <c r="C2" s="87" t="s">
        <v>92</v>
      </c>
      <c r="D2" s="87" t="s">
        <v>93</v>
      </c>
      <c r="E2" s="87" t="s">
        <v>94</v>
      </c>
      <c r="F2" s="87" t="s">
        <v>95</v>
      </c>
      <c r="G2" s="87" t="s">
        <v>96</v>
      </c>
      <c r="H2" s="87" t="s">
        <v>97</v>
      </c>
      <c r="I2" s="87" t="s">
        <v>95</v>
      </c>
      <c r="J2" s="88" t="s">
        <v>96</v>
      </c>
      <c r="K2" s="68" t="s">
        <v>98</v>
      </c>
      <c r="L2" s="89" t="s">
        <v>99</v>
      </c>
      <c r="M2" s="171" t="s">
        <v>106</v>
      </c>
      <c r="N2" s="87" t="s">
        <v>101</v>
      </c>
      <c r="O2" s="63"/>
    </row>
    <row r="3" spans="1:15">
      <c r="A3" s="149"/>
      <c r="B3" s="150"/>
      <c r="C3" s="150"/>
      <c r="D3" s="136" t="s">
        <v>102</v>
      </c>
      <c r="E3" s="150"/>
      <c r="F3" s="150"/>
      <c r="G3" s="150"/>
      <c r="H3" s="150"/>
      <c r="I3" s="150"/>
      <c r="J3" s="151"/>
      <c r="K3" s="149">
        <v>0</v>
      </c>
      <c r="L3" s="152">
        <v>0</v>
      </c>
      <c r="M3" s="152">
        <f>+K3</f>
        <v>0</v>
      </c>
      <c r="N3" s="150"/>
      <c r="O3" s="63"/>
    </row>
    <row r="4" spans="1:15">
      <c r="A4" s="48">
        <v>1</v>
      </c>
      <c r="B4" s="209">
        <v>45901</v>
      </c>
      <c r="C4" s="25"/>
      <c r="D4" s="25"/>
      <c r="E4" s="284">
        <v>15</v>
      </c>
      <c r="F4" s="284">
        <v>91.8</v>
      </c>
      <c r="G4" s="8">
        <f>E4*F4</f>
        <v>1377</v>
      </c>
      <c r="H4" s="9">
        <v>11</v>
      </c>
      <c r="I4" s="9">
        <v>103.76</v>
      </c>
      <c r="J4" s="8">
        <f>H4*I4</f>
        <v>1141.3600000000001</v>
      </c>
      <c r="K4" s="8">
        <f>G4+J4</f>
        <v>2518.36</v>
      </c>
      <c r="L4" s="152">
        <v>2518.36</v>
      </c>
      <c r="M4" s="8">
        <f>M3+K4-L4</f>
        <v>0</v>
      </c>
      <c r="N4" s="46"/>
      <c r="O4" s="1"/>
    </row>
    <row r="5" spans="1:15">
      <c r="A5" s="48">
        <v>2</v>
      </c>
      <c r="B5" s="209">
        <v>45902</v>
      </c>
      <c r="C5" s="25"/>
      <c r="D5" s="25"/>
      <c r="E5" s="284">
        <v>185</v>
      </c>
      <c r="F5" s="284">
        <v>91.8</v>
      </c>
      <c r="G5" s="8">
        <f t="shared" ref="G5:G33" si="0">E5*F5</f>
        <v>16983</v>
      </c>
      <c r="H5" s="9">
        <v>5</v>
      </c>
      <c r="I5" s="9">
        <v>103.76</v>
      </c>
      <c r="J5" s="8">
        <f t="shared" ref="J5:J33" si="1">H5*I5</f>
        <v>518.80000000000007</v>
      </c>
      <c r="K5" s="8">
        <f t="shared" ref="K5:K33" si="2">G5+J5</f>
        <v>17501.8</v>
      </c>
      <c r="L5" s="152">
        <v>17501.8</v>
      </c>
      <c r="M5" s="8">
        <f t="shared" ref="M5:M8" si="3">M4+K5-L5</f>
        <v>0</v>
      </c>
      <c r="N5" s="46"/>
      <c r="O5" s="1"/>
    </row>
    <row r="6" spans="1:15">
      <c r="A6" s="48">
        <v>3</v>
      </c>
      <c r="B6" s="209">
        <v>45903</v>
      </c>
      <c r="C6" s="25"/>
      <c r="D6" s="25"/>
      <c r="E6" s="284">
        <v>50</v>
      </c>
      <c r="F6" s="284">
        <v>91.8</v>
      </c>
      <c r="G6" s="8">
        <f t="shared" si="0"/>
        <v>4590</v>
      </c>
      <c r="H6" s="9">
        <v>0</v>
      </c>
      <c r="I6" s="9">
        <v>0</v>
      </c>
      <c r="J6" s="8">
        <f t="shared" si="1"/>
        <v>0</v>
      </c>
      <c r="K6" s="8">
        <f t="shared" si="2"/>
        <v>4590</v>
      </c>
      <c r="L6" s="152">
        <v>4590</v>
      </c>
      <c r="M6" s="8">
        <f t="shared" si="3"/>
        <v>0</v>
      </c>
      <c r="N6" s="46"/>
      <c r="O6" s="1"/>
    </row>
    <row r="7" spans="1:15">
      <c r="A7" s="48">
        <v>4</v>
      </c>
      <c r="B7" s="209">
        <v>45904</v>
      </c>
      <c r="C7" s="25"/>
      <c r="D7" s="25"/>
      <c r="E7" s="284">
        <v>100</v>
      </c>
      <c r="F7" s="284">
        <v>91.8</v>
      </c>
      <c r="G7" s="8">
        <f t="shared" si="0"/>
        <v>9180</v>
      </c>
      <c r="H7" s="9">
        <v>11</v>
      </c>
      <c r="I7" s="9">
        <v>103.76</v>
      </c>
      <c r="J7" s="8">
        <f t="shared" si="1"/>
        <v>1141.3600000000001</v>
      </c>
      <c r="K7" s="8">
        <f t="shared" si="2"/>
        <v>10321.36</v>
      </c>
      <c r="L7" s="152">
        <v>10321.36</v>
      </c>
      <c r="M7" s="8">
        <f t="shared" si="3"/>
        <v>0</v>
      </c>
      <c r="N7" s="46"/>
      <c r="O7" s="1"/>
    </row>
    <row r="8" spans="1:15">
      <c r="A8" s="48">
        <v>5</v>
      </c>
      <c r="B8" s="209">
        <v>45905</v>
      </c>
      <c r="C8" s="25"/>
      <c r="D8" s="25"/>
      <c r="E8" s="284">
        <v>170</v>
      </c>
      <c r="F8" s="284">
        <v>91.8</v>
      </c>
      <c r="G8" s="8">
        <f t="shared" si="0"/>
        <v>15606</v>
      </c>
      <c r="H8" s="9">
        <v>0</v>
      </c>
      <c r="I8" s="9">
        <v>103.76</v>
      </c>
      <c r="J8" s="8">
        <f t="shared" si="1"/>
        <v>0</v>
      </c>
      <c r="K8" s="8">
        <f t="shared" si="2"/>
        <v>15606</v>
      </c>
      <c r="L8" s="152">
        <v>15606</v>
      </c>
      <c r="M8" s="8">
        <f t="shared" si="3"/>
        <v>0</v>
      </c>
      <c r="N8" s="46"/>
      <c r="O8" s="1"/>
    </row>
    <row r="9" spans="1:15">
      <c r="A9" s="48">
        <v>6</v>
      </c>
      <c r="B9" s="209">
        <v>45906</v>
      </c>
      <c r="C9" s="25"/>
      <c r="D9" s="25"/>
      <c r="E9" s="284">
        <v>0</v>
      </c>
      <c r="F9" s="284">
        <v>0</v>
      </c>
      <c r="G9" s="8">
        <f t="shared" si="0"/>
        <v>0</v>
      </c>
      <c r="H9" s="9">
        <v>15</v>
      </c>
      <c r="I9" s="9">
        <v>103.76</v>
      </c>
      <c r="J9" s="8">
        <f t="shared" si="1"/>
        <v>1556.4</v>
      </c>
      <c r="K9" s="8">
        <f t="shared" si="2"/>
        <v>1556.4</v>
      </c>
      <c r="L9" s="152">
        <v>1556.4</v>
      </c>
      <c r="M9" s="8">
        <f t="shared" ref="M9:M33" si="4">M8+K9-L9</f>
        <v>0</v>
      </c>
      <c r="N9" s="46"/>
      <c r="O9" s="1"/>
    </row>
    <row r="10" spans="1:15">
      <c r="A10" s="48">
        <v>7</v>
      </c>
      <c r="B10" s="209">
        <v>45907</v>
      </c>
      <c r="C10" s="25"/>
      <c r="D10" s="25"/>
      <c r="E10" s="284">
        <v>0</v>
      </c>
      <c r="F10" s="284">
        <v>0</v>
      </c>
      <c r="G10" s="8">
        <f t="shared" si="0"/>
        <v>0</v>
      </c>
      <c r="H10" s="9">
        <v>0</v>
      </c>
      <c r="I10" s="9">
        <v>0</v>
      </c>
      <c r="J10" s="8">
        <f t="shared" si="1"/>
        <v>0</v>
      </c>
      <c r="K10" s="8">
        <f t="shared" si="2"/>
        <v>0</v>
      </c>
      <c r="L10" s="152">
        <v>0</v>
      </c>
      <c r="M10" s="8">
        <f t="shared" si="4"/>
        <v>0</v>
      </c>
      <c r="N10" s="46"/>
      <c r="O10" s="1"/>
    </row>
    <row r="11" spans="1:15">
      <c r="A11" s="48">
        <v>8</v>
      </c>
      <c r="B11" s="209">
        <v>45908</v>
      </c>
      <c r="C11" s="25"/>
      <c r="D11" s="25"/>
      <c r="E11" s="284">
        <v>130</v>
      </c>
      <c r="F11" s="284">
        <v>91.8</v>
      </c>
      <c r="G11" s="8">
        <f t="shared" si="0"/>
        <v>11934</v>
      </c>
      <c r="H11" s="9">
        <v>0</v>
      </c>
      <c r="I11" s="9">
        <v>0</v>
      </c>
      <c r="J11" s="8">
        <f t="shared" si="1"/>
        <v>0</v>
      </c>
      <c r="K11" s="8">
        <f t="shared" si="2"/>
        <v>11934</v>
      </c>
      <c r="L11" s="152">
        <v>11934</v>
      </c>
      <c r="M11" s="8">
        <f t="shared" si="4"/>
        <v>0</v>
      </c>
      <c r="N11" s="46"/>
      <c r="O11" s="1"/>
    </row>
    <row r="12" spans="1:15">
      <c r="A12" s="48">
        <v>9</v>
      </c>
      <c r="B12" s="209">
        <v>45909</v>
      </c>
      <c r="C12" s="25"/>
      <c r="D12" s="25"/>
      <c r="E12" s="284">
        <v>130</v>
      </c>
      <c r="F12" s="284">
        <v>91.8</v>
      </c>
      <c r="G12" s="8">
        <f t="shared" si="0"/>
        <v>11934</v>
      </c>
      <c r="H12" s="9">
        <v>0</v>
      </c>
      <c r="I12" s="9">
        <v>0</v>
      </c>
      <c r="J12" s="8">
        <f t="shared" si="1"/>
        <v>0</v>
      </c>
      <c r="K12" s="8">
        <f t="shared" si="2"/>
        <v>11934</v>
      </c>
      <c r="L12" s="152">
        <v>11934</v>
      </c>
      <c r="M12" s="8">
        <f t="shared" si="4"/>
        <v>0</v>
      </c>
      <c r="N12" s="46"/>
      <c r="O12" s="1"/>
    </row>
    <row r="13" spans="1:15">
      <c r="A13" s="48">
        <v>10</v>
      </c>
      <c r="B13" s="209">
        <v>45910</v>
      </c>
      <c r="C13" s="25"/>
      <c r="D13" s="25"/>
      <c r="E13" s="284">
        <v>240</v>
      </c>
      <c r="F13" s="284">
        <v>91.8</v>
      </c>
      <c r="G13" s="8">
        <f t="shared" si="0"/>
        <v>22032</v>
      </c>
      <c r="H13" s="9">
        <v>5</v>
      </c>
      <c r="I13" s="9">
        <v>103.76</v>
      </c>
      <c r="J13" s="8">
        <f t="shared" si="1"/>
        <v>518.80000000000007</v>
      </c>
      <c r="K13" s="8">
        <f t="shared" si="2"/>
        <v>22550.799999999999</v>
      </c>
      <c r="L13" s="152">
        <v>22550.799999999999</v>
      </c>
      <c r="M13" s="8">
        <f t="shared" si="4"/>
        <v>0</v>
      </c>
      <c r="N13" s="46"/>
      <c r="O13" s="1"/>
    </row>
    <row r="14" spans="1:15">
      <c r="A14" s="48">
        <v>11</v>
      </c>
      <c r="B14" s="209">
        <v>45911</v>
      </c>
      <c r="C14" s="25"/>
      <c r="D14" s="25"/>
      <c r="E14" s="284">
        <v>30</v>
      </c>
      <c r="F14" s="284">
        <v>91.8</v>
      </c>
      <c r="G14" s="8">
        <f t="shared" si="0"/>
        <v>2754</v>
      </c>
      <c r="H14" s="9">
        <v>5</v>
      </c>
      <c r="I14" s="9">
        <v>103.76</v>
      </c>
      <c r="J14" s="8">
        <f t="shared" si="1"/>
        <v>518.80000000000007</v>
      </c>
      <c r="K14" s="8">
        <f t="shared" si="2"/>
        <v>3272.8</v>
      </c>
      <c r="L14" s="152">
        <v>3272.8</v>
      </c>
      <c r="M14" s="8">
        <f t="shared" si="4"/>
        <v>0</v>
      </c>
      <c r="N14" s="46"/>
      <c r="O14" s="1"/>
    </row>
    <row r="15" spans="1:15">
      <c r="A15" s="48">
        <v>12</v>
      </c>
      <c r="B15" s="209">
        <v>45912</v>
      </c>
      <c r="C15" s="25"/>
      <c r="D15" s="25"/>
      <c r="E15" s="284">
        <v>50</v>
      </c>
      <c r="F15" s="284">
        <v>91.8</v>
      </c>
      <c r="G15" s="8">
        <f t="shared" si="0"/>
        <v>4590</v>
      </c>
      <c r="H15" s="9">
        <v>0</v>
      </c>
      <c r="I15" s="9">
        <v>0</v>
      </c>
      <c r="J15" s="8">
        <f t="shared" si="1"/>
        <v>0</v>
      </c>
      <c r="K15" s="8">
        <f t="shared" si="2"/>
        <v>4590</v>
      </c>
      <c r="L15" s="152">
        <v>4590</v>
      </c>
      <c r="M15" s="8">
        <f t="shared" si="4"/>
        <v>0</v>
      </c>
      <c r="N15" s="46"/>
      <c r="O15" s="1"/>
    </row>
    <row r="16" spans="1:15">
      <c r="A16" s="48">
        <v>13</v>
      </c>
      <c r="B16" s="209">
        <v>45913</v>
      </c>
      <c r="C16" s="25"/>
      <c r="D16" s="25"/>
      <c r="E16" s="284">
        <v>75</v>
      </c>
      <c r="F16" s="284">
        <v>91.8</v>
      </c>
      <c r="G16" s="8">
        <f t="shared" si="0"/>
        <v>6885</v>
      </c>
      <c r="H16" s="9">
        <v>4</v>
      </c>
      <c r="I16" s="9">
        <v>103.76</v>
      </c>
      <c r="J16" s="8">
        <f t="shared" si="1"/>
        <v>415.04</v>
      </c>
      <c r="K16" s="8">
        <f t="shared" si="2"/>
        <v>7300.04</v>
      </c>
      <c r="L16" s="152">
        <v>7300.04</v>
      </c>
      <c r="M16" s="8">
        <f t="shared" si="4"/>
        <v>0</v>
      </c>
      <c r="N16" s="46"/>
      <c r="O16" s="1"/>
    </row>
    <row r="17" spans="1:15">
      <c r="A17" s="48">
        <v>14</v>
      </c>
      <c r="B17" s="209">
        <v>45914</v>
      </c>
      <c r="C17" s="25"/>
      <c r="D17" s="25"/>
      <c r="E17" s="284">
        <v>0</v>
      </c>
      <c r="F17" s="284">
        <v>91.8</v>
      </c>
      <c r="G17" s="8">
        <f t="shared" si="0"/>
        <v>0</v>
      </c>
      <c r="H17" s="9">
        <v>0</v>
      </c>
      <c r="I17" s="9">
        <v>103.76</v>
      </c>
      <c r="J17" s="8">
        <f t="shared" si="1"/>
        <v>0</v>
      </c>
      <c r="K17" s="8">
        <f t="shared" si="2"/>
        <v>0</v>
      </c>
      <c r="L17" s="152">
        <v>0</v>
      </c>
      <c r="M17" s="8">
        <f t="shared" si="4"/>
        <v>0</v>
      </c>
      <c r="N17" s="46"/>
      <c r="O17" s="1"/>
    </row>
    <row r="18" spans="1:15">
      <c r="A18" s="48">
        <v>15</v>
      </c>
      <c r="B18" s="209">
        <v>45915</v>
      </c>
      <c r="C18" s="25"/>
      <c r="D18" s="25"/>
      <c r="E18" s="284">
        <v>45</v>
      </c>
      <c r="F18" s="284">
        <v>91.8</v>
      </c>
      <c r="G18" s="8">
        <f t="shared" si="0"/>
        <v>4131</v>
      </c>
      <c r="H18" s="9">
        <v>5</v>
      </c>
      <c r="I18" s="9">
        <v>103.76</v>
      </c>
      <c r="J18" s="8">
        <f t="shared" si="1"/>
        <v>518.80000000000007</v>
      </c>
      <c r="K18" s="8">
        <f t="shared" si="2"/>
        <v>4649.8</v>
      </c>
      <c r="L18" s="152">
        <v>4649.8</v>
      </c>
      <c r="M18" s="8">
        <f t="shared" si="4"/>
        <v>0</v>
      </c>
      <c r="N18" s="46"/>
      <c r="O18" s="1"/>
    </row>
    <row r="19" spans="1:15">
      <c r="A19" s="48">
        <v>16</v>
      </c>
      <c r="B19" s="209">
        <v>45916</v>
      </c>
      <c r="C19" s="25"/>
      <c r="D19" s="25"/>
      <c r="E19" s="284">
        <v>40</v>
      </c>
      <c r="F19" s="284">
        <v>91.8</v>
      </c>
      <c r="G19" s="8">
        <f t="shared" si="0"/>
        <v>3672</v>
      </c>
      <c r="H19" s="9">
        <v>5</v>
      </c>
      <c r="I19" s="9">
        <v>103.76</v>
      </c>
      <c r="J19" s="8">
        <f t="shared" si="1"/>
        <v>518.80000000000007</v>
      </c>
      <c r="K19" s="8">
        <f t="shared" si="2"/>
        <v>4190.8</v>
      </c>
      <c r="L19" s="152">
        <v>4190.8</v>
      </c>
      <c r="M19" s="8">
        <f t="shared" si="4"/>
        <v>0</v>
      </c>
      <c r="N19" s="46"/>
      <c r="O19" s="1"/>
    </row>
    <row r="20" spans="1:15">
      <c r="A20" s="48">
        <v>17</v>
      </c>
      <c r="B20" s="209">
        <v>45917</v>
      </c>
      <c r="C20" s="25"/>
      <c r="D20" s="25"/>
      <c r="E20" s="284">
        <v>55</v>
      </c>
      <c r="F20" s="284">
        <v>91.8</v>
      </c>
      <c r="G20" s="8">
        <f t="shared" si="0"/>
        <v>5049</v>
      </c>
      <c r="H20" s="9">
        <v>10</v>
      </c>
      <c r="I20" s="9">
        <v>103.76</v>
      </c>
      <c r="J20" s="8">
        <f t="shared" si="1"/>
        <v>1037.6000000000001</v>
      </c>
      <c r="K20" s="8">
        <f t="shared" si="2"/>
        <v>6086.6</v>
      </c>
      <c r="L20" s="152">
        <v>6086.6</v>
      </c>
      <c r="M20" s="8">
        <f t="shared" si="4"/>
        <v>0</v>
      </c>
      <c r="N20" s="46"/>
      <c r="O20" s="1"/>
    </row>
    <row r="21" spans="1:15">
      <c r="A21" s="48">
        <v>18</v>
      </c>
      <c r="B21" s="209">
        <v>45918</v>
      </c>
      <c r="C21" s="25"/>
      <c r="D21" s="25"/>
      <c r="E21" s="284">
        <v>0</v>
      </c>
      <c r="F21" s="284">
        <v>0</v>
      </c>
      <c r="G21" s="8">
        <f t="shared" si="0"/>
        <v>0</v>
      </c>
      <c r="H21" s="9">
        <v>0</v>
      </c>
      <c r="I21" s="9">
        <v>0</v>
      </c>
      <c r="J21" s="8">
        <f t="shared" si="1"/>
        <v>0</v>
      </c>
      <c r="K21" s="8">
        <f t="shared" si="2"/>
        <v>0</v>
      </c>
      <c r="L21" s="152">
        <v>0</v>
      </c>
      <c r="M21" s="8">
        <f t="shared" si="4"/>
        <v>0</v>
      </c>
      <c r="N21" s="46"/>
      <c r="O21" s="1"/>
    </row>
    <row r="22" spans="1:15">
      <c r="A22" s="48">
        <v>19</v>
      </c>
      <c r="B22" s="209">
        <v>45919</v>
      </c>
      <c r="C22" s="25"/>
      <c r="D22" s="25"/>
      <c r="E22" s="284">
        <v>50</v>
      </c>
      <c r="F22" s="284">
        <v>91.8</v>
      </c>
      <c r="G22" s="8">
        <f t="shared" si="0"/>
        <v>4590</v>
      </c>
      <c r="H22" s="9">
        <v>0</v>
      </c>
      <c r="I22" s="9">
        <v>0</v>
      </c>
      <c r="J22" s="8">
        <f t="shared" si="1"/>
        <v>0</v>
      </c>
      <c r="K22" s="8">
        <f t="shared" si="2"/>
        <v>4590</v>
      </c>
      <c r="L22" s="152">
        <v>4590</v>
      </c>
      <c r="M22" s="8">
        <f t="shared" si="4"/>
        <v>0</v>
      </c>
      <c r="N22" s="46"/>
      <c r="O22" s="1"/>
    </row>
    <row r="23" spans="1:15">
      <c r="A23" s="48">
        <v>20</v>
      </c>
      <c r="B23" s="209">
        <v>45920</v>
      </c>
      <c r="C23" s="25"/>
      <c r="D23" s="25"/>
      <c r="E23" s="284">
        <v>40</v>
      </c>
      <c r="F23" s="284">
        <v>91.8</v>
      </c>
      <c r="G23" s="8">
        <f t="shared" si="0"/>
        <v>3672</v>
      </c>
      <c r="H23" s="9">
        <v>5</v>
      </c>
      <c r="I23" s="9">
        <v>103.76</v>
      </c>
      <c r="J23" s="8">
        <f t="shared" si="1"/>
        <v>518.80000000000007</v>
      </c>
      <c r="K23" s="8">
        <f t="shared" si="2"/>
        <v>4190.8</v>
      </c>
      <c r="L23" s="152">
        <v>4190.8</v>
      </c>
      <c r="M23" s="8">
        <f t="shared" si="4"/>
        <v>0</v>
      </c>
      <c r="N23" s="46"/>
      <c r="O23" s="1"/>
    </row>
    <row r="24" spans="1:15">
      <c r="A24" s="48">
        <v>21</v>
      </c>
      <c r="B24" s="209">
        <v>45921</v>
      </c>
      <c r="C24" s="25"/>
      <c r="D24" s="25"/>
      <c r="E24" s="284">
        <v>0</v>
      </c>
      <c r="F24" s="284">
        <v>0</v>
      </c>
      <c r="G24" s="8">
        <f t="shared" si="0"/>
        <v>0</v>
      </c>
      <c r="H24" s="9">
        <v>5</v>
      </c>
      <c r="I24" s="9">
        <v>103.76</v>
      </c>
      <c r="J24" s="8">
        <f t="shared" si="1"/>
        <v>518.80000000000007</v>
      </c>
      <c r="K24" s="8">
        <f t="shared" si="2"/>
        <v>518.80000000000007</v>
      </c>
      <c r="L24" s="152">
        <v>518.79999999999995</v>
      </c>
      <c r="M24" s="8">
        <f t="shared" si="4"/>
        <v>0</v>
      </c>
      <c r="N24" s="46"/>
      <c r="O24" s="1"/>
    </row>
    <row r="25" spans="1:15">
      <c r="A25" s="48">
        <v>22</v>
      </c>
      <c r="B25" s="209">
        <v>45922</v>
      </c>
      <c r="C25" s="25"/>
      <c r="D25" s="25"/>
      <c r="E25" s="284">
        <v>70</v>
      </c>
      <c r="F25" s="284">
        <v>91.8</v>
      </c>
      <c r="G25" s="8">
        <f t="shared" si="0"/>
        <v>6426</v>
      </c>
      <c r="H25" s="9">
        <v>5</v>
      </c>
      <c r="I25" s="9">
        <v>103.76</v>
      </c>
      <c r="J25" s="8">
        <f t="shared" si="1"/>
        <v>518.80000000000007</v>
      </c>
      <c r="K25" s="8">
        <f t="shared" si="2"/>
        <v>6944.8</v>
      </c>
      <c r="L25" s="152">
        <v>6944.8</v>
      </c>
      <c r="M25" s="8">
        <f t="shared" si="4"/>
        <v>0</v>
      </c>
      <c r="N25" s="46"/>
      <c r="O25" s="1"/>
    </row>
    <row r="26" spans="1:15">
      <c r="A26" s="48">
        <v>23</v>
      </c>
      <c r="B26" s="209">
        <v>45923</v>
      </c>
      <c r="C26" s="25"/>
      <c r="D26" s="25"/>
      <c r="E26" s="284">
        <v>68.510000000000005</v>
      </c>
      <c r="F26" s="284">
        <v>91.8</v>
      </c>
      <c r="G26" s="8">
        <f t="shared" si="0"/>
        <v>6289.2179999999998</v>
      </c>
      <c r="H26" s="9">
        <v>0</v>
      </c>
      <c r="I26" s="9">
        <v>0</v>
      </c>
      <c r="J26" s="8">
        <f t="shared" si="1"/>
        <v>0</v>
      </c>
      <c r="K26" s="8">
        <f t="shared" si="2"/>
        <v>6289.2179999999998</v>
      </c>
      <c r="L26" s="152">
        <v>6289.22</v>
      </c>
      <c r="M26" s="8">
        <f t="shared" si="4"/>
        <v>-2.0000000004074536E-3</v>
      </c>
      <c r="N26" s="46"/>
      <c r="O26" s="1"/>
    </row>
    <row r="27" spans="1:15">
      <c r="A27" s="48">
        <v>24</v>
      </c>
      <c r="B27" s="209">
        <v>45924</v>
      </c>
      <c r="C27" s="25"/>
      <c r="D27" s="25"/>
      <c r="E27" s="284">
        <v>55</v>
      </c>
      <c r="F27" s="284">
        <v>91.8</v>
      </c>
      <c r="G27" s="8">
        <f t="shared" si="0"/>
        <v>5049</v>
      </c>
      <c r="H27" s="9">
        <v>0</v>
      </c>
      <c r="I27" s="9">
        <v>0</v>
      </c>
      <c r="J27" s="8">
        <f t="shared" si="1"/>
        <v>0</v>
      </c>
      <c r="K27" s="8">
        <f t="shared" si="2"/>
        <v>5049</v>
      </c>
      <c r="L27" s="152">
        <v>5049</v>
      </c>
      <c r="M27" s="8">
        <f t="shared" si="4"/>
        <v>-2.0000000004074536E-3</v>
      </c>
      <c r="N27" s="46"/>
      <c r="O27" s="1"/>
    </row>
    <row r="28" spans="1:15">
      <c r="A28" s="48">
        <v>25</v>
      </c>
      <c r="B28" s="209">
        <v>45925</v>
      </c>
      <c r="C28" s="25"/>
      <c r="D28" s="25"/>
      <c r="E28" s="284">
        <v>75</v>
      </c>
      <c r="F28" s="284">
        <v>91.8</v>
      </c>
      <c r="G28" s="8">
        <f t="shared" si="0"/>
        <v>6885</v>
      </c>
      <c r="H28" s="9">
        <v>0</v>
      </c>
      <c r="I28" s="9">
        <v>0</v>
      </c>
      <c r="J28" s="8">
        <f t="shared" si="1"/>
        <v>0</v>
      </c>
      <c r="K28" s="8">
        <f t="shared" si="2"/>
        <v>6885</v>
      </c>
      <c r="L28" s="152">
        <v>6885</v>
      </c>
      <c r="M28" s="8">
        <f t="shared" si="4"/>
        <v>-2.0000000004074536E-3</v>
      </c>
      <c r="N28" s="46"/>
      <c r="O28" s="1"/>
    </row>
    <row r="29" spans="1:15">
      <c r="A29" s="48">
        <v>26</v>
      </c>
      <c r="B29" s="209">
        <v>45926</v>
      </c>
      <c r="C29" s="25"/>
      <c r="D29" s="25"/>
      <c r="E29" s="284">
        <v>100</v>
      </c>
      <c r="F29" s="284">
        <v>91.8</v>
      </c>
      <c r="G29" s="8">
        <f t="shared" si="0"/>
        <v>9180</v>
      </c>
      <c r="H29" s="9">
        <v>6</v>
      </c>
      <c r="I29" s="9">
        <v>103.76</v>
      </c>
      <c r="J29" s="8">
        <f t="shared" si="1"/>
        <v>622.56000000000006</v>
      </c>
      <c r="K29" s="8">
        <f t="shared" si="2"/>
        <v>9802.56</v>
      </c>
      <c r="L29" s="152">
        <v>9802.56</v>
      </c>
      <c r="M29" s="8">
        <f t="shared" si="4"/>
        <v>-2.0000000004074536E-3</v>
      </c>
      <c r="N29" s="46"/>
      <c r="O29" s="1"/>
    </row>
    <row r="30" spans="1:15">
      <c r="A30" s="48">
        <v>27</v>
      </c>
      <c r="B30" s="209">
        <v>45927</v>
      </c>
      <c r="C30" s="25"/>
      <c r="D30" s="25"/>
      <c r="E30" s="284">
        <v>192</v>
      </c>
      <c r="F30" s="284">
        <v>91.8</v>
      </c>
      <c r="G30" s="8">
        <f t="shared" si="0"/>
        <v>17625.599999999999</v>
      </c>
      <c r="H30" s="9">
        <v>15</v>
      </c>
      <c r="I30" s="9">
        <v>103.76</v>
      </c>
      <c r="J30" s="8">
        <f t="shared" si="1"/>
        <v>1556.4</v>
      </c>
      <c r="K30" s="8">
        <f t="shared" si="2"/>
        <v>19182</v>
      </c>
      <c r="L30" s="152">
        <v>19182</v>
      </c>
      <c r="M30" s="8">
        <f t="shared" si="4"/>
        <v>-2.0000000004074536E-3</v>
      </c>
      <c r="N30" s="46"/>
      <c r="O30" s="1"/>
    </row>
    <row r="31" spans="1:15">
      <c r="A31" s="48">
        <v>28</v>
      </c>
      <c r="B31" s="209">
        <v>45928</v>
      </c>
      <c r="C31" s="25"/>
      <c r="D31" s="25"/>
      <c r="E31" s="284">
        <v>0</v>
      </c>
      <c r="F31" s="284">
        <v>0</v>
      </c>
      <c r="G31" s="8">
        <f t="shared" si="0"/>
        <v>0</v>
      </c>
      <c r="H31" s="9">
        <v>0</v>
      </c>
      <c r="I31" s="9">
        <v>0</v>
      </c>
      <c r="J31" s="8">
        <f t="shared" si="1"/>
        <v>0</v>
      </c>
      <c r="K31" s="8">
        <f t="shared" si="2"/>
        <v>0</v>
      </c>
      <c r="L31" s="152">
        <v>0</v>
      </c>
      <c r="M31" s="8">
        <f t="shared" si="4"/>
        <v>-2.0000000004074536E-3</v>
      </c>
      <c r="N31" s="46"/>
      <c r="O31" s="1"/>
    </row>
    <row r="32" spans="1:15">
      <c r="A32" s="204">
        <v>29</v>
      </c>
      <c r="B32" s="209">
        <v>45929</v>
      </c>
      <c r="C32" s="25"/>
      <c r="D32" s="25"/>
      <c r="E32" s="284">
        <v>0</v>
      </c>
      <c r="F32" s="284">
        <v>0</v>
      </c>
      <c r="G32" s="8">
        <f t="shared" si="0"/>
        <v>0</v>
      </c>
      <c r="H32" s="9">
        <v>15</v>
      </c>
      <c r="I32" s="9">
        <v>103.76</v>
      </c>
      <c r="J32" s="8">
        <f t="shared" si="1"/>
        <v>1556.4</v>
      </c>
      <c r="K32" s="8">
        <f t="shared" si="2"/>
        <v>1556.4</v>
      </c>
      <c r="L32" s="152">
        <v>1556.4</v>
      </c>
      <c r="M32" s="8">
        <f t="shared" si="4"/>
        <v>-2.0000000004074536E-3</v>
      </c>
      <c r="N32" s="46"/>
      <c r="O32" s="1"/>
    </row>
    <row r="33" spans="1:15">
      <c r="A33" s="204">
        <v>30</v>
      </c>
      <c r="B33" s="209">
        <v>45930</v>
      </c>
      <c r="C33" s="25"/>
      <c r="D33" s="25"/>
      <c r="E33" s="284">
        <v>10</v>
      </c>
      <c r="F33" s="284">
        <v>91.8</v>
      </c>
      <c r="G33" s="8">
        <f t="shared" si="0"/>
        <v>918</v>
      </c>
      <c r="H33" s="9">
        <v>5</v>
      </c>
      <c r="I33" s="9">
        <v>103.76</v>
      </c>
      <c r="J33" s="8">
        <f t="shared" si="1"/>
        <v>518.80000000000007</v>
      </c>
      <c r="K33" s="8">
        <f t="shared" si="2"/>
        <v>1436.8000000000002</v>
      </c>
      <c r="L33" s="152">
        <v>1436.8</v>
      </c>
      <c r="M33" s="8">
        <f t="shared" si="4"/>
        <v>-2.00000000018008E-3</v>
      </c>
      <c r="N33" s="46"/>
      <c r="O33" s="1"/>
    </row>
    <row r="34" spans="1:15">
      <c r="A34" s="204">
        <v>31</v>
      </c>
      <c r="B34" s="209"/>
      <c r="C34" s="25"/>
      <c r="D34" s="25"/>
      <c r="E34" s="8">
        <v>0</v>
      </c>
      <c r="F34" s="8">
        <v>0</v>
      </c>
      <c r="G34" s="8">
        <f t="shared" ref="G5:G34" si="5">E34*F34</f>
        <v>0</v>
      </c>
      <c r="H34" s="9">
        <v>0</v>
      </c>
      <c r="I34" s="9">
        <v>0</v>
      </c>
      <c r="J34" s="8">
        <f t="shared" ref="J5:J34" si="6">H34*I34</f>
        <v>0</v>
      </c>
      <c r="K34" s="8">
        <f t="shared" ref="K5:L34" si="7">G34+J34</f>
        <v>0</v>
      </c>
      <c r="L34" s="152">
        <v>0</v>
      </c>
      <c r="M34" s="8"/>
      <c r="N34" s="46"/>
      <c r="O34" s="1"/>
    </row>
    <row r="35" spans="1:15">
      <c r="A35" s="66"/>
      <c r="B35" s="66"/>
      <c r="C35" s="66"/>
      <c r="D35" s="66"/>
      <c r="E35" s="67">
        <f>SUM(E4:E34)</f>
        <v>1975.51</v>
      </c>
      <c r="F35" s="67"/>
      <c r="G35" s="67">
        <f>SUM(G4:G34)</f>
        <v>181351.818</v>
      </c>
      <c r="H35" s="67">
        <f>SUM(H4:H34)</f>
        <v>132</v>
      </c>
      <c r="I35" s="67"/>
      <c r="J35" s="67">
        <f>SUM(J4:J34)</f>
        <v>13696.319999999998</v>
      </c>
      <c r="K35" s="67">
        <f>SUM(K4:K34)</f>
        <v>195048.13799999995</v>
      </c>
      <c r="L35" s="67">
        <f>SUM(L4:L34)</f>
        <v>195048.13999999996</v>
      </c>
      <c r="M35" s="67"/>
      <c r="N35" s="67"/>
      <c r="O35" s="63"/>
    </row>
    <row r="36" spans="1:15">
      <c r="A36" s="2"/>
      <c r="B36" s="2"/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</row>
    <row r="37" spans="1:15">
      <c r="A37" s="1"/>
      <c r="B37" s="1"/>
      <c r="C37" s="1"/>
      <c r="D37" s="1"/>
      <c r="E37" s="1"/>
      <c r="F37" s="1"/>
      <c r="G37" s="3"/>
      <c r="H37" s="1"/>
      <c r="I37" s="1"/>
      <c r="J37" s="1"/>
      <c r="K37" s="1"/>
      <c r="L37" s="8"/>
      <c r="M37" s="1"/>
      <c r="N37" s="1"/>
      <c r="O37" s="4"/>
    </row>
    <row r="38" spans="1:15">
      <c r="A38" s="1"/>
      <c r="B38" s="388"/>
      <c r="C38" s="388"/>
      <c r="D38" s="388"/>
      <c r="E38" s="388"/>
      <c r="F38" s="1"/>
      <c r="G38" s="1"/>
      <c r="H38" s="1"/>
      <c r="I38" s="410">
        <f>K24+L24</f>
        <v>1037.5999999999999</v>
      </c>
      <c r="J38" s="388"/>
      <c r="K38" s="388"/>
      <c r="L38" s="388"/>
      <c r="M38" s="388"/>
      <c r="N38" s="388"/>
      <c r="O38" s="4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</row>
    <row r="40" spans="1: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</sheetData>
  <mergeCells count="3">
    <mergeCell ref="A1:N1"/>
    <mergeCell ref="B38:E38"/>
    <mergeCell ref="I38:N3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99A38-9EED-4627-A7B0-503372172E75}">
  <sheetPr>
    <tabColor rgb="FF7030A0"/>
  </sheetPr>
  <dimension ref="A1:Q49"/>
  <sheetViews>
    <sheetView topLeftCell="A27" workbookViewId="0">
      <selection activeCell="U36" sqref="U36"/>
    </sheetView>
  </sheetViews>
  <sheetFormatPr defaultRowHeight="15"/>
  <cols>
    <col min="2" max="2" width="10.42578125" bestFit="1" customWidth="1"/>
    <col min="7" max="7" width="11.85546875" bestFit="1" customWidth="1"/>
    <col min="9" max="9" width="9.7109375" bestFit="1" customWidth="1"/>
    <col min="10" max="10" width="10.85546875" bestFit="1" customWidth="1"/>
    <col min="11" max="12" width="13.5703125" bestFit="1" customWidth="1"/>
    <col min="13" max="13" width="10.85546875" bestFit="1" customWidth="1"/>
    <col min="14" max="14" width="10.42578125" bestFit="1" customWidth="1"/>
  </cols>
  <sheetData>
    <row r="1" spans="1:17" ht="15.75">
      <c r="A1" s="391" t="s">
        <v>113</v>
      </c>
      <c r="B1" s="391"/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57"/>
    </row>
    <row r="2" spans="1:17" ht="30.75">
      <c r="A2" s="68" t="s">
        <v>90</v>
      </c>
      <c r="B2" s="87" t="s">
        <v>91</v>
      </c>
      <c r="C2" s="87" t="s">
        <v>92</v>
      </c>
      <c r="D2" s="87" t="s">
        <v>93</v>
      </c>
      <c r="E2" s="87" t="s">
        <v>94</v>
      </c>
      <c r="F2" s="87" t="s">
        <v>95</v>
      </c>
      <c r="G2" s="87" t="s">
        <v>96</v>
      </c>
      <c r="H2" s="87" t="s">
        <v>97</v>
      </c>
      <c r="I2" s="87" t="s">
        <v>95</v>
      </c>
      <c r="J2" s="88" t="s">
        <v>96</v>
      </c>
      <c r="K2" s="68" t="s">
        <v>98</v>
      </c>
      <c r="L2" s="89" t="s">
        <v>99</v>
      </c>
      <c r="M2" s="171" t="s">
        <v>106</v>
      </c>
      <c r="N2" s="87" t="s">
        <v>101</v>
      </c>
      <c r="O2" s="63"/>
    </row>
    <row r="3" spans="1:17">
      <c r="A3" s="149"/>
      <c r="B3" s="150"/>
      <c r="C3" s="150"/>
      <c r="D3" s="136" t="s">
        <v>102</v>
      </c>
      <c r="E3" s="150"/>
      <c r="F3" s="150"/>
      <c r="G3" s="150"/>
      <c r="H3" s="150"/>
      <c r="I3" s="150"/>
      <c r="J3" s="151"/>
      <c r="K3" s="149">
        <v>266689.15999999997</v>
      </c>
      <c r="L3" s="152"/>
      <c r="M3" s="152">
        <v>266689.15999999997</v>
      </c>
      <c r="N3" s="150"/>
      <c r="O3" s="63"/>
    </row>
    <row r="4" spans="1:17">
      <c r="A4" s="48">
        <v>1</v>
      </c>
      <c r="B4" s="209">
        <v>45901</v>
      </c>
      <c r="C4" s="25"/>
      <c r="D4" s="25"/>
      <c r="E4" s="8">
        <v>35</v>
      </c>
      <c r="F4" s="8">
        <v>92.04</v>
      </c>
      <c r="G4" s="8">
        <f>E4*F4</f>
        <v>3221.4</v>
      </c>
      <c r="H4" s="9">
        <v>0</v>
      </c>
      <c r="I4" s="9">
        <v>0</v>
      </c>
      <c r="J4" s="8">
        <f>H4*I4</f>
        <v>0</v>
      </c>
      <c r="K4" s="8">
        <f>G4+J4</f>
        <v>3221.4</v>
      </c>
      <c r="L4" s="152">
        <v>150000</v>
      </c>
      <c r="M4" s="8">
        <f>M3+K4-L4</f>
        <v>119910.56</v>
      </c>
      <c r="N4" s="46"/>
      <c r="O4" s="1"/>
    </row>
    <row r="5" spans="1:17">
      <c r="A5" s="48">
        <v>2</v>
      </c>
      <c r="B5" s="209">
        <v>45902</v>
      </c>
      <c r="C5" s="25"/>
      <c r="D5" s="25"/>
      <c r="E5" s="8">
        <v>55</v>
      </c>
      <c r="F5" s="8">
        <v>92.04</v>
      </c>
      <c r="G5" s="8">
        <f t="shared" ref="G5:G32" si="0">E5*F5</f>
        <v>5062.2000000000007</v>
      </c>
      <c r="H5" s="9">
        <v>0</v>
      </c>
      <c r="I5" s="9">
        <v>0</v>
      </c>
      <c r="J5" s="8">
        <f t="shared" ref="J5:J32" si="1">H5*I5</f>
        <v>0</v>
      </c>
      <c r="K5" s="8">
        <f t="shared" ref="K5:K32" si="2">G5+J5</f>
        <v>5062.2000000000007</v>
      </c>
      <c r="L5" s="152">
        <v>0</v>
      </c>
      <c r="M5" s="8">
        <f t="shared" ref="M5:M23" si="3">M4+K5-L5</f>
        <v>124972.76</v>
      </c>
      <c r="N5" s="46"/>
      <c r="O5" s="1"/>
    </row>
    <row r="6" spans="1:17">
      <c r="A6" s="48">
        <v>3</v>
      </c>
      <c r="B6" s="209">
        <v>45903</v>
      </c>
      <c r="C6" s="25"/>
      <c r="D6" s="25"/>
      <c r="E6" s="8">
        <v>0</v>
      </c>
      <c r="F6" s="8">
        <v>0</v>
      </c>
      <c r="G6" s="8">
        <f t="shared" si="0"/>
        <v>0</v>
      </c>
      <c r="H6" s="9">
        <v>0</v>
      </c>
      <c r="I6" s="9">
        <v>0</v>
      </c>
      <c r="J6" s="8">
        <f t="shared" si="1"/>
        <v>0</v>
      </c>
      <c r="K6" s="8">
        <f t="shared" si="2"/>
        <v>0</v>
      </c>
      <c r="L6" s="152">
        <v>0</v>
      </c>
      <c r="M6" s="8">
        <f t="shared" si="3"/>
        <v>124972.76</v>
      </c>
      <c r="N6" s="46"/>
      <c r="O6" s="1"/>
    </row>
    <row r="7" spans="1:17">
      <c r="A7" s="48">
        <v>4</v>
      </c>
      <c r="B7" s="209">
        <v>45904</v>
      </c>
      <c r="C7" s="25"/>
      <c r="D7" s="25"/>
      <c r="E7" s="8">
        <v>65</v>
      </c>
      <c r="F7" s="8">
        <v>92.04</v>
      </c>
      <c r="G7" s="8">
        <f t="shared" si="0"/>
        <v>5982.6</v>
      </c>
      <c r="H7" s="9">
        <v>0</v>
      </c>
      <c r="I7" s="9">
        <v>0</v>
      </c>
      <c r="J7" s="8">
        <f t="shared" si="1"/>
        <v>0</v>
      </c>
      <c r="K7" s="8">
        <f t="shared" si="2"/>
        <v>5982.6</v>
      </c>
      <c r="L7" s="152">
        <v>0</v>
      </c>
      <c r="M7" s="8">
        <f t="shared" si="3"/>
        <v>130955.36</v>
      </c>
      <c r="N7" s="46"/>
      <c r="O7" s="1"/>
    </row>
    <row r="8" spans="1:17">
      <c r="A8" s="48">
        <v>5</v>
      </c>
      <c r="B8" s="209">
        <v>45905</v>
      </c>
      <c r="C8" s="25"/>
      <c r="D8" s="25"/>
      <c r="E8" s="8">
        <v>290</v>
      </c>
      <c r="F8" s="8">
        <v>92.04</v>
      </c>
      <c r="G8" s="8">
        <f t="shared" si="0"/>
        <v>26691.600000000002</v>
      </c>
      <c r="H8" s="9">
        <v>10</v>
      </c>
      <c r="I8" s="9">
        <v>104.02</v>
      </c>
      <c r="J8" s="8">
        <f t="shared" si="1"/>
        <v>1040.2</v>
      </c>
      <c r="K8" s="8">
        <f t="shared" si="2"/>
        <v>27731.800000000003</v>
      </c>
      <c r="L8" s="152">
        <v>0</v>
      </c>
      <c r="M8" s="8">
        <f t="shared" si="3"/>
        <v>158687.16</v>
      </c>
      <c r="N8" s="46"/>
      <c r="O8" s="1"/>
    </row>
    <row r="9" spans="1:17">
      <c r="A9" s="48">
        <v>6</v>
      </c>
      <c r="B9" s="209">
        <v>45906</v>
      </c>
      <c r="C9" s="25"/>
      <c r="D9" s="25"/>
      <c r="E9" s="8">
        <v>460</v>
      </c>
      <c r="F9" s="8">
        <v>92.04</v>
      </c>
      <c r="G9" s="8">
        <f t="shared" si="0"/>
        <v>42338.400000000001</v>
      </c>
      <c r="H9" s="9">
        <v>0</v>
      </c>
      <c r="I9" s="9">
        <v>0</v>
      </c>
      <c r="J9" s="8">
        <f t="shared" si="1"/>
        <v>0</v>
      </c>
      <c r="K9" s="8">
        <f t="shared" si="2"/>
        <v>42338.400000000001</v>
      </c>
      <c r="L9" s="152">
        <v>0</v>
      </c>
      <c r="M9" s="8">
        <f t="shared" si="3"/>
        <v>201025.56</v>
      </c>
      <c r="N9" s="46"/>
      <c r="O9" s="1"/>
    </row>
    <row r="10" spans="1:17">
      <c r="A10" s="48">
        <v>7</v>
      </c>
      <c r="B10" s="209">
        <v>45907</v>
      </c>
      <c r="C10" s="25"/>
      <c r="D10" s="25"/>
      <c r="E10" s="8">
        <v>0</v>
      </c>
      <c r="F10" s="8">
        <v>0</v>
      </c>
      <c r="G10" s="8">
        <f t="shared" si="0"/>
        <v>0</v>
      </c>
      <c r="H10" s="9">
        <v>0</v>
      </c>
      <c r="I10" s="9">
        <v>0</v>
      </c>
      <c r="J10" s="8">
        <f t="shared" si="1"/>
        <v>0</v>
      </c>
      <c r="K10" s="8">
        <f t="shared" si="2"/>
        <v>0</v>
      </c>
      <c r="L10" s="152">
        <v>0</v>
      </c>
      <c r="M10" s="8">
        <f t="shared" si="3"/>
        <v>201025.56</v>
      </c>
      <c r="N10" s="46"/>
      <c r="O10" s="1"/>
    </row>
    <row r="11" spans="1:17">
      <c r="A11" s="48">
        <v>8</v>
      </c>
      <c r="B11" s="209">
        <v>45908</v>
      </c>
      <c r="C11" s="25"/>
      <c r="D11" s="25"/>
      <c r="E11" s="8">
        <v>144.5</v>
      </c>
      <c r="F11" s="8">
        <v>92.04</v>
      </c>
      <c r="G11" s="8">
        <f t="shared" si="0"/>
        <v>13299.78</v>
      </c>
      <c r="H11" s="9">
        <v>17</v>
      </c>
      <c r="I11" s="9">
        <v>104.02</v>
      </c>
      <c r="J11" s="8">
        <f t="shared" si="1"/>
        <v>1768.34</v>
      </c>
      <c r="K11" s="8">
        <f t="shared" si="2"/>
        <v>15068.12</v>
      </c>
      <c r="L11" s="152">
        <v>201026</v>
      </c>
      <c r="M11" s="8">
        <f t="shared" si="3"/>
        <v>15067.679999999993</v>
      </c>
      <c r="N11" s="46"/>
      <c r="O11" s="1"/>
    </row>
    <row r="12" spans="1:17">
      <c r="A12" s="48">
        <v>9</v>
      </c>
      <c r="B12" s="209">
        <v>45909</v>
      </c>
      <c r="C12" s="25"/>
      <c r="D12" s="25"/>
      <c r="E12" s="8">
        <v>0</v>
      </c>
      <c r="F12" s="8">
        <v>92.04</v>
      </c>
      <c r="G12" s="8">
        <f t="shared" si="0"/>
        <v>0</v>
      </c>
      <c r="H12" s="9">
        <v>0</v>
      </c>
      <c r="I12" s="9">
        <v>0</v>
      </c>
      <c r="J12" s="8">
        <f t="shared" si="1"/>
        <v>0</v>
      </c>
      <c r="K12" s="8">
        <f t="shared" si="2"/>
        <v>0</v>
      </c>
      <c r="L12" s="152">
        <v>0</v>
      </c>
      <c r="M12" s="8">
        <f t="shared" si="3"/>
        <v>15067.679999999993</v>
      </c>
      <c r="N12" s="46"/>
      <c r="O12" s="1"/>
    </row>
    <row r="13" spans="1:17">
      <c r="A13" s="48">
        <v>10</v>
      </c>
      <c r="B13" s="209">
        <v>45910</v>
      </c>
      <c r="C13" s="25"/>
      <c r="D13" s="25"/>
      <c r="E13" s="8">
        <v>0</v>
      </c>
      <c r="F13" s="8">
        <v>0</v>
      </c>
      <c r="G13" s="8">
        <f t="shared" si="0"/>
        <v>0</v>
      </c>
      <c r="H13" s="9">
        <v>0</v>
      </c>
      <c r="I13" s="9">
        <v>0</v>
      </c>
      <c r="J13" s="8">
        <f t="shared" si="1"/>
        <v>0</v>
      </c>
      <c r="K13" s="8">
        <f t="shared" si="2"/>
        <v>0</v>
      </c>
      <c r="L13" s="152">
        <v>0</v>
      </c>
      <c r="M13" s="8">
        <f t="shared" si="3"/>
        <v>15067.679999999993</v>
      </c>
      <c r="N13" s="46"/>
      <c r="O13" s="1"/>
      <c r="Q13" s="152"/>
    </row>
    <row r="14" spans="1:17">
      <c r="A14" s="48">
        <v>11</v>
      </c>
      <c r="B14" s="209">
        <v>45911</v>
      </c>
      <c r="C14" s="25"/>
      <c r="D14" s="25"/>
      <c r="E14" s="8">
        <v>90</v>
      </c>
      <c r="F14" s="8">
        <v>92.04</v>
      </c>
      <c r="G14" s="8">
        <f t="shared" si="0"/>
        <v>8283.6</v>
      </c>
      <c r="H14" s="9">
        <v>0</v>
      </c>
      <c r="I14" s="9">
        <v>0</v>
      </c>
      <c r="J14" s="8">
        <f t="shared" si="1"/>
        <v>0</v>
      </c>
      <c r="K14" s="8">
        <f t="shared" si="2"/>
        <v>8283.6</v>
      </c>
      <c r="L14" s="152">
        <v>0</v>
      </c>
      <c r="M14" s="8">
        <f t="shared" si="3"/>
        <v>23351.279999999992</v>
      </c>
      <c r="N14" s="46"/>
      <c r="O14" s="1"/>
    </row>
    <row r="15" spans="1:17">
      <c r="A15" s="48">
        <v>12</v>
      </c>
      <c r="B15" s="209">
        <v>45912</v>
      </c>
      <c r="C15" s="25"/>
      <c r="D15" s="25"/>
      <c r="E15" s="8">
        <v>200</v>
      </c>
      <c r="F15" s="8">
        <v>92.04</v>
      </c>
      <c r="G15" s="8">
        <f t="shared" si="0"/>
        <v>18408</v>
      </c>
      <c r="H15" s="9">
        <v>0</v>
      </c>
      <c r="I15" s="9">
        <v>0</v>
      </c>
      <c r="J15" s="8">
        <f t="shared" si="1"/>
        <v>0</v>
      </c>
      <c r="K15" s="8">
        <f t="shared" si="2"/>
        <v>18408</v>
      </c>
      <c r="L15" s="152">
        <v>0</v>
      </c>
      <c r="M15" s="8">
        <f t="shared" si="3"/>
        <v>41759.279999999992</v>
      </c>
      <c r="N15" s="46"/>
      <c r="O15" s="1"/>
    </row>
    <row r="16" spans="1:17">
      <c r="A16" s="48">
        <v>13</v>
      </c>
      <c r="B16" s="209">
        <v>45913</v>
      </c>
      <c r="C16" s="25"/>
      <c r="D16" s="25"/>
      <c r="E16" s="8">
        <v>0</v>
      </c>
      <c r="F16" s="8">
        <v>0</v>
      </c>
      <c r="G16" s="8">
        <f t="shared" si="0"/>
        <v>0</v>
      </c>
      <c r="H16" s="9">
        <v>18.940000000000001</v>
      </c>
      <c r="I16" s="9">
        <v>104.02</v>
      </c>
      <c r="J16" s="8">
        <f t="shared" si="1"/>
        <v>1970.1387999999999</v>
      </c>
      <c r="K16" s="8">
        <f t="shared" si="2"/>
        <v>1970.1387999999999</v>
      </c>
      <c r="L16" s="152">
        <v>0</v>
      </c>
      <c r="M16" s="8">
        <f t="shared" si="3"/>
        <v>43729.418799999992</v>
      </c>
      <c r="N16" s="46"/>
      <c r="O16" s="1"/>
    </row>
    <row r="17" spans="1:15">
      <c r="A17" s="48">
        <v>14</v>
      </c>
      <c r="B17" s="209">
        <v>45914</v>
      </c>
      <c r="C17" s="25"/>
      <c r="D17" s="25"/>
      <c r="E17" s="8">
        <v>0</v>
      </c>
      <c r="F17" s="8">
        <v>0</v>
      </c>
      <c r="G17" s="8">
        <f t="shared" si="0"/>
        <v>0</v>
      </c>
      <c r="H17" s="9">
        <v>0</v>
      </c>
      <c r="I17" s="9">
        <v>0</v>
      </c>
      <c r="J17" s="8">
        <f t="shared" si="1"/>
        <v>0</v>
      </c>
      <c r="K17" s="8">
        <f t="shared" si="2"/>
        <v>0</v>
      </c>
      <c r="L17" s="152">
        <v>0</v>
      </c>
      <c r="M17" s="8">
        <f t="shared" si="3"/>
        <v>43729.418799999992</v>
      </c>
      <c r="N17" s="46"/>
      <c r="O17" s="1"/>
    </row>
    <row r="18" spans="1:15">
      <c r="A18" s="48">
        <v>15</v>
      </c>
      <c r="B18" s="209">
        <v>45915</v>
      </c>
      <c r="C18" s="25"/>
      <c r="D18" s="25"/>
      <c r="E18" s="8">
        <v>0</v>
      </c>
      <c r="F18" s="8">
        <v>0</v>
      </c>
      <c r="G18" s="8">
        <f t="shared" si="0"/>
        <v>0</v>
      </c>
      <c r="H18" s="9">
        <v>0</v>
      </c>
      <c r="I18" s="9">
        <v>0</v>
      </c>
      <c r="J18" s="8">
        <f t="shared" si="1"/>
        <v>0</v>
      </c>
      <c r="K18" s="8">
        <f t="shared" si="2"/>
        <v>0</v>
      </c>
      <c r="L18" s="152">
        <v>0</v>
      </c>
      <c r="M18" s="8">
        <f t="shared" si="3"/>
        <v>43729.418799999992</v>
      </c>
      <c r="N18" s="46"/>
      <c r="O18" s="1"/>
    </row>
    <row r="19" spans="1:15">
      <c r="A19" s="48">
        <v>16</v>
      </c>
      <c r="B19" s="209">
        <v>45916</v>
      </c>
      <c r="C19" s="25"/>
      <c r="D19" s="25"/>
      <c r="E19" s="8">
        <v>216.34</v>
      </c>
      <c r="F19" s="8">
        <v>92.04</v>
      </c>
      <c r="G19" s="8">
        <f t="shared" si="0"/>
        <v>19911.9336</v>
      </c>
      <c r="H19" s="9">
        <v>0</v>
      </c>
      <c r="I19" s="9">
        <v>0</v>
      </c>
      <c r="J19" s="8">
        <f t="shared" si="1"/>
        <v>0</v>
      </c>
      <c r="K19" s="8">
        <f t="shared" si="2"/>
        <v>19911.9336</v>
      </c>
      <c r="L19" s="152">
        <v>0</v>
      </c>
      <c r="M19" s="8">
        <f t="shared" si="3"/>
        <v>63641.352399999989</v>
      </c>
      <c r="N19" s="46"/>
      <c r="O19" s="1"/>
    </row>
    <row r="20" spans="1:15">
      <c r="A20" s="48">
        <v>17</v>
      </c>
      <c r="B20" s="209">
        <v>45917</v>
      </c>
      <c r="C20" s="25"/>
      <c r="D20" s="25"/>
      <c r="E20" s="8">
        <v>0</v>
      </c>
      <c r="F20" s="8">
        <v>0</v>
      </c>
      <c r="G20" s="8">
        <f t="shared" si="0"/>
        <v>0</v>
      </c>
      <c r="H20" s="9">
        <v>0</v>
      </c>
      <c r="I20" s="9">
        <v>0</v>
      </c>
      <c r="J20" s="8">
        <f t="shared" si="1"/>
        <v>0</v>
      </c>
      <c r="K20" s="8">
        <f t="shared" si="2"/>
        <v>0</v>
      </c>
      <c r="L20" s="152">
        <v>0</v>
      </c>
      <c r="M20" s="8">
        <f t="shared" si="3"/>
        <v>63641.352399999989</v>
      </c>
      <c r="N20" s="46"/>
      <c r="O20" s="1"/>
    </row>
    <row r="21" spans="1:15">
      <c r="A21" s="48">
        <v>18</v>
      </c>
      <c r="B21" s="209">
        <v>45918</v>
      </c>
      <c r="C21" s="25"/>
      <c r="D21" s="25"/>
      <c r="E21" s="8">
        <v>195</v>
      </c>
      <c r="F21" s="8">
        <v>92.04</v>
      </c>
      <c r="G21" s="8">
        <f t="shared" si="0"/>
        <v>17947.800000000003</v>
      </c>
      <c r="H21" s="9">
        <v>0</v>
      </c>
      <c r="I21" s="9">
        <v>0</v>
      </c>
      <c r="J21" s="8">
        <f t="shared" si="1"/>
        <v>0</v>
      </c>
      <c r="K21" s="8">
        <f t="shared" si="2"/>
        <v>17947.800000000003</v>
      </c>
      <c r="L21" s="152">
        <v>0</v>
      </c>
      <c r="M21" s="8">
        <f t="shared" si="3"/>
        <v>81589.152399999992</v>
      </c>
      <c r="N21" s="46"/>
      <c r="O21" s="1"/>
    </row>
    <row r="22" spans="1:15">
      <c r="A22" s="48">
        <v>19</v>
      </c>
      <c r="B22" s="209">
        <v>45919</v>
      </c>
      <c r="C22" s="25"/>
      <c r="D22" s="25"/>
      <c r="E22" s="8">
        <v>97.69</v>
      </c>
      <c r="F22" s="8">
        <v>92.04</v>
      </c>
      <c r="G22" s="8">
        <f t="shared" si="0"/>
        <v>8991.3876</v>
      </c>
      <c r="H22" s="9">
        <v>0</v>
      </c>
      <c r="I22" s="9">
        <v>0</v>
      </c>
      <c r="J22" s="8">
        <f t="shared" si="1"/>
        <v>0</v>
      </c>
      <c r="K22" s="8">
        <f t="shared" si="2"/>
        <v>8991.3876</v>
      </c>
      <c r="L22" s="152">
        <v>0</v>
      </c>
      <c r="M22" s="8">
        <f t="shared" si="3"/>
        <v>90580.54</v>
      </c>
      <c r="N22" s="46"/>
      <c r="O22" s="1"/>
    </row>
    <row r="23" spans="1:15">
      <c r="A23" s="48">
        <v>20</v>
      </c>
      <c r="B23" s="209">
        <v>45920</v>
      </c>
      <c r="C23" s="25"/>
      <c r="D23" s="25"/>
      <c r="E23" s="8">
        <v>70</v>
      </c>
      <c r="F23" s="8">
        <v>92.04</v>
      </c>
      <c r="G23" s="8">
        <f t="shared" si="0"/>
        <v>6442.8</v>
      </c>
      <c r="H23" s="9">
        <v>0</v>
      </c>
      <c r="I23" s="9">
        <v>0</v>
      </c>
      <c r="J23" s="8">
        <f t="shared" si="1"/>
        <v>0</v>
      </c>
      <c r="K23" s="8">
        <f t="shared" si="2"/>
        <v>6442.8</v>
      </c>
      <c r="L23" s="152">
        <v>0</v>
      </c>
      <c r="M23" s="8">
        <f t="shared" si="3"/>
        <v>97023.34</v>
      </c>
      <c r="N23" s="46"/>
      <c r="O23" s="1"/>
    </row>
    <row r="24" spans="1:15">
      <c r="A24" s="48">
        <v>21</v>
      </c>
      <c r="B24" s="209">
        <v>45921</v>
      </c>
      <c r="C24" s="25"/>
      <c r="D24" s="25"/>
      <c r="E24" s="8">
        <v>40.4</v>
      </c>
      <c r="F24" s="8">
        <v>92.04</v>
      </c>
      <c r="G24" s="8">
        <f t="shared" si="0"/>
        <v>3718.4160000000002</v>
      </c>
      <c r="H24" s="9">
        <v>0</v>
      </c>
      <c r="I24" s="9">
        <v>0</v>
      </c>
      <c r="J24" s="8">
        <f t="shared" si="1"/>
        <v>0</v>
      </c>
      <c r="K24" s="8">
        <f t="shared" si="2"/>
        <v>3718.4160000000002</v>
      </c>
      <c r="L24" s="152">
        <v>0</v>
      </c>
      <c r="M24" s="8">
        <f t="shared" ref="L5:M34" si="4">M23+K24-L24</f>
        <v>100741.75599999999</v>
      </c>
      <c r="N24" s="46"/>
      <c r="O24" s="1"/>
    </row>
    <row r="25" spans="1:15">
      <c r="A25" s="48">
        <v>22</v>
      </c>
      <c r="B25" s="209">
        <v>45922</v>
      </c>
      <c r="C25" s="25"/>
      <c r="D25" s="25"/>
      <c r="E25" s="8">
        <v>110</v>
      </c>
      <c r="F25" s="8">
        <v>92.04</v>
      </c>
      <c r="G25" s="8">
        <f t="shared" si="0"/>
        <v>10124.400000000001</v>
      </c>
      <c r="H25" s="9">
        <v>18</v>
      </c>
      <c r="I25" s="9">
        <v>104.02</v>
      </c>
      <c r="J25" s="8">
        <f t="shared" si="1"/>
        <v>1872.36</v>
      </c>
      <c r="K25" s="8">
        <f t="shared" si="2"/>
        <v>11996.760000000002</v>
      </c>
      <c r="L25" s="152">
        <v>0</v>
      </c>
      <c r="M25" s="8">
        <f t="shared" si="4"/>
        <v>112738.516</v>
      </c>
      <c r="N25" s="46"/>
      <c r="O25" s="1"/>
    </row>
    <row r="26" spans="1:15">
      <c r="A26" s="48">
        <v>23</v>
      </c>
      <c r="B26" s="209">
        <v>45923</v>
      </c>
      <c r="C26" s="25"/>
      <c r="D26" s="25"/>
      <c r="E26" s="8">
        <v>29.7</v>
      </c>
      <c r="F26" s="8">
        <v>92.04</v>
      </c>
      <c r="G26" s="8">
        <f t="shared" si="0"/>
        <v>2733.5880000000002</v>
      </c>
      <c r="H26" s="9">
        <v>0</v>
      </c>
      <c r="I26" s="9">
        <v>0</v>
      </c>
      <c r="J26" s="8">
        <f t="shared" si="1"/>
        <v>0</v>
      </c>
      <c r="K26" s="8">
        <f t="shared" si="2"/>
        <v>2733.5880000000002</v>
      </c>
      <c r="L26" s="152">
        <v>0</v>
      </c>
      <c r="M26" s="8">
        <f t="shared" si="4"/>
        <v>115472.10400000001</v>
      </c>
      <c r="N26" s="46"/>
      <c r="O26" s="1"/>
    </row>
    <row r="27" spans="1:15">
      <c r="A27" s="48">
        <v>24</v>
      </c>
      <c r="B27" s="209">
        <v>45924</v>
      </c>
      <c r="C27" s="25"/>
      <c r="D27" s="25"/>
      <c r="E27" s="8">
        <v>175</v>
      </c>
      <c r="F27" s="8">
        <v>92.04</v>
      </c>
      <c r="G27" s="8">
        <f t="shared" si="0"/>
        <v>16107.000000000002</v>
      </c>
      <c r="H27" s="9">
        <v>0</v>
      </c>
      <c r="I27" s="9">
        <v>0</v>
      </c>
      <c r="J27" s="8">
        <f t="shared" si="1"/>
        <v>0</v>
      </c>
      <c r="K27" s="8">
        <f t="shared" si="2"/>
        <v>16107.000000000002</v>
      </c>
      <c r="L27" s="152">
        <v>0</v>
      </c>
      <c r="M27" s="8">
        <f t="shared" si="4"/>
        <v>131579.10400000002</v>
      </c>
      <c r="N27" s="46"/>
      <c r="O27" s="1"/>
    </row>
    <row r="28" spans="1:15">
      <c r="A28" s="48">
        <v>25</v>
      </c>
      <c r="B28" s="209">
        <v>45925</v>
      </c>
      <c r="C28" s="25"/>
      <c r="D28" s="25"/>
      <c r="E28" s="8">
        <v>215</v>
      </c>
      <c r="F28" s="8">
        <v>92.04</v>
      </c>
      <c r="G28" s="8">
        <f t="shared" si="0"/>
        <v>19788.600000000002</v>
      </c>
      <c r="H28" s="9">
        <v>0</v>
      </c>
      <c r="I28" s="9">
        <v>0</v>
      </c>
      <c r="J28" s="8">
        <f t="shared" si="1"/>
        <v>0</v>
      </c>
      <c r="K28" s="8">
        <f t="shared" si="2"/>
        <v>19788.600000000002</v>
      </c>
      <c r="L28" s="152">
        <v>0</v>
      </c>
      <c r="M28" s="8">
        <f t="shared" si="4"/>
        <v>151367.70400000003</v>
      </c>
      <c r="N28" s="46"/>
      <c r="O28" s="1"/>
    </row>
    <row r="29" spans="1:15">
      <c r="A29" s="48">
        <v>26</v>
      </c>
      <c r="B29" s="209">
        <v>45926</v>
      </c>
      <c r="C29" s="25"/>
      <c r="D29" s="25"/>
      <c r="E29" s="8">
        <v>93.25</v>
      </c>
      <c r="F29" s="8">
        <v>92.04</v>
      </c>
      <c r="G29" s="8">
        <f t="shared" si="0"/>
        <v>8582.7300000000014</v>
      </c>
      <c r="H29" s="9">
        <v>0</v>
      </c>
      <c r="I29" s="9">
        <v>0</v>
      </c>
      <c r="J29" s="8">
        <f t="shared" si="1"/>
        <v>0</v>
      </c>
      <c r="K29" s="8">
        <f t="shared" si="2"/>
        <v>8582.7300000000014</v>
      </c>
      <c r="L29" s="152">
        <v>0</v>
      </c>
      <c r="M29" s="8">
        <f t="shared" si="4"/>
        <v>159950.43400000004</v>
      </c>
      <c r="N29" s="46"/>
      <c r="O29" s="1"/>
    </row>
    <row r="30" spans="1:15">
      <c r="A30" s="48">
        <v>27</v>
      </c>
      <c r="B30" s="209">
        <v>45927</v>
      </c>
      <c r="C30" s="25"/>
      <c r="D30" s="25"/>
      <c r="E30" s="8">
        <v>0</v>
      </c>
      <c r="F30" s="8">
        <v>0</v>
      </c>
      <c r="G30" s="8">
        <f t="shared" si="0"/>
        <v>0</v>
      </c>
      <c r="H30" s="9">
        <v>0</v>
      </c>
      <c r="I30" s="9">
        <v>0</v>
      </c>
      <c r="J30" s="8">
        <f t="shared" si="1"/>
        <v>0</v>
      </c>
      <c r="K30" s="8">
        <f t="shared" si="2"/>
        <v>0</v>
      </c>
      <c r="L30" s="152">
        <v>0</v>
      </c>
      <c r="M30" s="8">
        <f t="shared" si="4"/>
        <v>159950.43400000004</v>
      </c>
      <c r="N30" s="46"/>
      <c r="O30" s="1"/>
    </row>
    <row r="31" spans="1:15">
      <c r="A31" s="48">
        <v>28</v>
      </c>
      <c r="B31" s="209">
        <v>45928</v>
      </c>
      <c r="C31" s="25"/>
      <c r="D31" s="25"/>
      <c r="E31" s="8">
        <v>0</v>
      </c>
      <c r="F31" s="8">
        <v>0</v>
      </c>
      <c r="G31" s="8">
        <f t="shared" si="0"/>
        <v>0</v>
      </c>
      <c r="H31" s="9">
        <v>0</v>
      </c>
      <c r="I31" s="9">
        <v>0</v>
      </c>
      <c r="J31" s="8">
        <f t="shared" si="1"/>
        <v>0</v>
      </c>
      <c r="K31" s="8">
        <f t="shared" si="2"/>
        <v>0</v>
      </c>
      <c r="L31" s="152">
        <v>0</v>
      </c>
      <c r="M31" s="8">
        <f t="shared" si="4"/>
        <v>159950.43400000004</v>
      </c>
      <c r="N31" s="46"/>
      <c r="O31" s="1"/>
    </row>
    <row r="32" spans="1:15">
      <c r="A32" s="204">
        <v>29</v>
      </c>
      <c r="B32" s="209">
        <v>45929</v>
      </c>
      <c r="C32" s="25"/>
      <c r="D32" s="25"/>
      <c r="E32" s="8">
        <v>140</v>
      </c>
      <c r="F32" s="8">
        <v>92.04</v>
      </c>
      <c r="G32" s="8">
        <f t="shared" si="0"/>
        <v>12885.6</v>
      </c>
      <c r="H32" s="9">
        <v>10</v>
      </c>
      <c r="I32" s="9">
        <v>104.02</v>
      </c>
      <c r="J32" s="8">
        <f t="shared" si="1"/>
        <v>1040.2</v>
      </c>
      <c r="K32" s="8">
        <f t="shared" si="2"/>
        <v>13925.800000000001</v>
      </c>
      <c r="L32" s="152">
        <v>0</v>
      </c>
      <c r="M32" s="8">
        <f t="shared" si="4"/>
        <v>173876.23400000003</v>
      </c>
      <c r="N32" s="46"/>
      <c r="O32" s="1"/>
    </row>
    <row r="33" spans="1:17">
      <c r="A33" s="204">
        <v>30</v>
      </c>
      <c r="B33" s="209">
        <v>45930</v>
      </c>
      <c r="C33" s="25"/>
      <c r="D33" s="25"/>
      <c r="E33" s="8">
        <v>0</v>
      </c>
      <c r="F33" s="8">
        <v>0</v>
      </c>
      <c r="G33" s="8">
        <f t="shared" ref="G5:G34" si="5">E33*F33</f>
        <v>0</v>
      </c>
      <c r="H33" s="9">
        <v>0</v>
      </c>
      <c r="I33" s="9">
        <v>0</v>
      </c>
      <c r="J33" s="8">
        <f t="shared" ref="J5:J34" si="6">H33*I33</f>
        <v>0</v>
      </c>
      <c r="K33" s="8">
        <f t="shared" ref="K5:K34" si="7">G33+J33</f>
        <v>0</v>
      </c>
      <c r="L33" s="152">
        <f t="shared" ref="L5:L34" si="8">+K33</f>
        <v>0</v>
      </c>
      <c r="M33" s="8">
        <f t="shared" si="4"/>
        <v>173876.23400000003</v>
      </c>
      <c r="N33" s="46"/>
      <c r="O33" s="1"/>
      <c r="Q33" s="180"/>
    </row>
    <row r="34" spans="1:17">
      <c r="A34" s="204">
        <v>31</v>
      </c>
      <c r="B34" s="209"/>
      <c r="C34" s="25"/>
      <c r="D34" s="25"/>
      <c r="E34" s="8">
        <v>0</v>
      </c>
      <c r="F34" s="8">
        <v>0</v>
      </c>
      <c r="G34" s="8">
        <f t="shared" si="5"/>
        <v>0</v>
      </c>
      <c r="H34" s="9">
        <v>0</v>
      </c>
      <c r="I34" s="9">
        <v>0</v>
      </c>
      <c r="J34" s="8">
        <f t="shared" si="6"/>
        <v>0</v>
      </c>
      <c r="K34" s="8">
        <f t="shared" si="7"/>
        <v>0</v>
      </c>
      <c r="L34" s="152">
        <f t="shared" si="8"/>
        <v>0</v>
      </c>
      <c r="M34" s="8">
        <f t="shared" si="4"/>
        <v>173876.23400000003</v>
      </c>
      <c r="N34" s="46"/>
      <c r="O34" s="1"/>
    </row>
    <row r="35" spans="1:17">
      <c r="A35" s="66"/>
      <c r="B35" s="66"/>
      <c r="C35" s="66"/>
      <c r="D35" s="66"/>
      <c r="E35" s="67">
        <f>SUM(E4:E34)</f>
        <v>2721.88</v>
      </c>
      <c r="F35" s="67"/>
      <c r="G35" s="67">
        <f>SUM(G4:G34)</f>
        <v>250521.83519999997</v>
      </c>
      <c r="H35" s="67">
        <f>SUM(H4:H34)</f>
        <v>73.94</v>
      </c>
      <c r="I35" s="67"/>
      <c r="J35" s="67">
        <f>SUM(J4:J34)</f>
        <v>7691.2387999999992</v>
      </c>
      <c r="K35" s="67">
        <f>SUM(K4:K34)</f>
        <v>258213.07399999996</v>
      </c>
      <c r="L35" s="67">
        <f>SUM(L4:L34)</f>
        <v>351026</v>
      </c>
      <c r="M35" s="67"/>
      <c r="N35" s="67"/>
      <c r="O35" s="63"/>
    </row>
    <row r="36" spans="1:17">
      <c r="A36" s="2"/>
      <c r="B36" s="2"/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</row>
    <row r="37" spans="1:17">
      <c r="A37" s="1"/>
      <c r="B37" s="1"/>
      <c r="C37" s="1"/>
      <c r="D37" s="1"/>
      <c r="E37" s="1"/>
      <c r="F37" s="1"/>
      <c r="G37" s="3"/>
      <c r="H37" s="1"/>
      <c r="I37" s="1"/>
      <c r="J37" s="1"/>
      <c r="K37" s="1"/>
      <c r="L37" s="8"/>
      <c r="M37" s="1"/>
      <c r="N37" s="1"/>
      <c r="O37" s="4"/>
    </row>
    <row r="38" spans="1:17">
      <c r="A38" s="1"/>
      <c r="B38" s="388"/>
      <c r="C38" s="388"/>
      <c r="D38" s="388"/>
      <c r="E38" s="388"/>
      <c r="F38" s="1"/>
      <c r="G38" s="1"/>
      <c r="H38" s="1"/>
      <c r="I38" s="410">
        <f>K24+L24</f>
        <v>3718.4160000000002</v>
      </c>
      <c r="J38" s="388"/>
      <c r="K38" s="388"/>
      <c r="L38" s="388"/>
      <c r="M38" s="388"/>
      <c r="N38" s="388"/>
      <c r="O38" s="4"/>
    </row>
    <row r="39" spans="1:1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</row>
    <row r="40" spans="1:17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7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7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7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7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7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7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7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</sheetData>
  <mergeCells count="3">
    <mergeCell ref="A1:N1"/>
    <mergeCell ref="B38:E38"/>
    <mergeCell ref="I38:N3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AC07-664F-47CB-AB94-1FA0A3439A5B}">
  <sheetPr>
    <tabColor rgb="FF7030A0"/>
  </sheetPr>
  <dimension ref="A1:R44"/>
  <sheetViews>
    <sheetView workbookViewId="0">
      <pane ySplit="2" topLeftCell="A19" activePane="bottomLeft" state="frozen"/>
      <selection pane="bottomLeft" activeCell="P38" sqref="P38"/>
    </sheetView>
  </sheetViews>
  <sheetFormatPr defaultRowHeight="15"/>
  <cols>
    <col min="2" max="2" width="11.5703125" bestFit="1" customWidth="1"/>
    <col min="4" max="4" width="16" bestFit="1" customWidth="1"/>
    <col min="5" max="5" width="11.85546875" customWidth="1"/>
    <col min="6" max="6" width="13.7109375" customWidth="1"/>
    <col min="7" max="7" width="12.28515625" customWidth="1"/>
    <col min="8" max="8" width="11.7109375" customWidth="1"/>
    <col min="10" max="10" width="12" customWidth="1"/>
    <col min="11" max="11" width="11.85546875" customWidth="1"/>
    <col min="12" max="13" width="14" customWidth="1"/>
    <col min="14" max="14" width="14.85546875" customWidth="1"/>
    <col min="15" max="15" width="18.5703125" customWidth="1"/>
    <col min="16" max="16" width="13" customWidth="1"/>
  </cols>
  <sheetData>
    <row r="1" spans="1:16" ht="15.75">
      <c r="A1" s="399" t="s">
        <v>68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399"/>
      <c r="N1" s="399"/>
      <c r="O1" s="86"/>
    </row>
    <row r="2" spans="1:16">
      <c r="A2" s="102" t="s">
        <v>90</v>
      </c>
      <c r="B2" s="103" t="s">
        <v>91</v>
      </c>
      <c r="C2" s="103" t="s">
        <v>92</v>
      </c>
      <c r="D2" s="103" t="s">
        <v>107</v>
      </c>
      <c r="E2" s="103" t="s">
        <v>94</v>
      </c>
      <c r="F2" s="103" t="s">
        <v>95</v>
      </c>
      <c r="G2" s="103" t="s">
        <v>96</v>
      </c>
      <c r="H2" s="103" t="s">
        <v>97</v>
      </c>
      <c r="I2" s="103" t="s">
        <v>95</v>
      </c>
      <c r="J2" s="142" t="s">
        <v>96</v>
      </c>
      <c r="K2" s="104" t="s">
        <v>98</v>
      </c>
      <c r="L2" s="143" t="s">
        <v>99</v>
      </c>
      <c r="M2" s="147" t="s">
        <v>106</v>
      </c>
      <c r="N2" s="105" t="s">
        <v>101</v>
      </c>
      <c r="O2" s="63"/>
    </row>
    <row r="3" spans="1:16">
      <c r="A3" s="396" t="s">
        <v>102</v>
      </c>
      <c r="B3" s="400"/>
      <c r="C3" s="400"/>
      <c r="D3" s="400"/>
      <c r="E3" s="400"/>
      <c r="F3" s="400"/>
      <c r="G3" s="400"/>
      <c r="H3" s="400"/>
      <c r="I3" s="400"/>
      <c r="J3" s="401"/>
      <c r="K3" s="168">
        <v>60128.511500000008</v>
      </c>
      <c r="L3" s="17"/>
      <c r="M3" s="109">
        <v>60128.511500000008</v>
      </c>
      <c r="N3" s="17"/>
      <c r="O3" s="63"/>
    </row>
    <row r="4" spans="1:16">
      <c r="A4" s="48">
        <v>1</v>
      </c>
      <c r="B4" s="209">
        <v>45901</v>
      </c>
      <c r="C4" s="156"/>
      <c r="D4" s="157"/>
      <c r="E4" s="158">
        <v>0</v>
      </c>
      <c r="F4" s="158">
        <v>0</v>
      </c>
      <c r="G4" s="144">
        <f>E4*F4</f>
        <v>0</v>
      </c>
      <c r="H4" s="158">
        <v>5</v>
      </c>
      <c r="I4" s="159">
        <v>103.8</v>
      </c>
      <c r="J4" s="20">
        <f>H4*I4</f>
        <v>519</v>
      </c>
      <c r="K4" s="20">
        <f>G4+J4</f>
        <v>519</v>
      </c>
      <c r="L4" s="145"/>
      <c r="M4" s="145">
        <f>M3+K4-L4</f>
        <v>60647.511500000008</v>
      </c>
      <c r="N4" s="146"/>
    </row>
    <row r="5" spans="1:16">
      <c r="A5" s="48">
        <v>2</v>
      </c>
      <c r="B5" s="209">
        <v>45902</v>
      </c>
      <c r="C5" s="11"/>
      <c r="D5" s="11"/>
      <c r="E5" s="158">
        <v>50</v>
      </c>
      <c r="F5" s="158">
        <v>91.83</v>
      </c>
      <c r="G5" s="144">
        <f t="shared" ref="G5:G34" si="0">E5*F5</f>
        <v>4591.5</v>
      </c>
      <c r="H5" s="158">
        <v>5</v>
      </c>
      <c r="I5" s="159">
        <v>103.8</v>
      </c>
      <c r="J5" s="20">
        <f t="shared" ref="J5:J34" si="1">H5*I5</f>
        <v>519</v>
      </c>
      <c r="K5" s="20">
        <f t="shared" ref="K5:K34" si="2">G5+J5</f>
        <v>5110.5</v>
      </c>
      <c r="L5" s="145"/>
      <c r="M5" s="14">
        <f>M4+K5-L5</f>
        <v>65758.011500000008</v>
      </c>
      <c r="N5" s="12"/>
    </row>
    <row r="6" spans="1:16">
      <c r="A6" s="48">
        <v>3</v>
      </c>
      <c r="B6" s="209">
        <v>45903</v>
      </c>
      <c r="C6" s="11"/>
      <c r="D6" s="11"/>
      <c r="E6" s="158">
        <v>50</v>
      </c>
      <c r="F6" s="158">
        <v>91.83</v>
      </c>
      <c r="G6" s="144">
        <f t="shared" si="0"/>
        <v>4591.5</v>
      </c>
      <c r="H6" s="158">
        <v>0</v>
      </c>
      <c r="I6" s="159">
        <v>0</v>
      </c>
      <c r="J6" s="20">
        <f t="shared" si="1"/>
        <v>0</v>
      </c>
      <c r="K6" s="20">
        <f t="shared" si="2"/>
        <v>4591.5</v>
      </c>
      <c r="L6" s="145"/>
      <c r="M6" s="14">
        <f>M5+K6-L6</f>
        <v>70349.511500000008</v>
      </c>
      <c r="N6" s="13"/>
    </row>
    <row r="7" spans="1:16">
      <c r="A7" s="48">
        <v>4</v>
      </c>
      <c r="B7" s="209">
        <v>45904</v>
      </c>
      <c r="C7" s="74"/>
      <c r="D7" s="75"/>
      <c r="E7" s="158">
        <v>0</v>
      </c>
      <c r="F7" s="158">
        <v>0</v>
      </c>
      <c r="G7" s="144">
        <f t="shared" si="0"/>
        <v>0</v>
      </c>
      <c r="H7" s="158">
        <v>5</v>
      </c>
      <c r="I7" s="159">
        <v>103.8</v>
      </c>
      <c r="J7" s="20">
        <f t="shared" si="1"/>
        <v>519</v>
      </c>
      <c r="K7" s="20">
        <f t="shared" si="2"/>
        <v>519</v>
      </c>
      <c r="L7" s="145"/>
      <c r="M7" s="14">
        <f>M6+K7-L7</f>
        <v>70868.511500000008</v>
      </c>
      <c r="N7" s="43"/>
    </row>
    <row r="8" spans="1:16">
      <c r="A8" s="48">
        <v>5</v>
      </c>
      <c r="B8" s="209">
        <v>45905</v>
      </c>
      <c r="C8" s="74"/>
      <c r="D8" s="75"/>
      <c r="E8" s="158">
        <v>280</v>
      </c>
      <c r="F8" s="158">
        <v>91.83</v>
      </c>
      <c r="G8" s="144">
        <f t="shared" si="0"/>
        <v>25712.399999999998</v>
      </c>
      <c r="H8" s="158">
        <v>0</v>
      </c>
      <c r="I8" s="159">
        <v>103.8</v>
      </c>
      <c r="J8" s="20">
        <f t="shared" si="1"/>
        <v>0</v>
      </c>
      <c r="K8" s="20">
        <f t="shared" si="2"/>
        <v>25712.399999999998</v>
      </c>
      <c r="L8" s="145"/>
      <c r="M8" s="14">
        <f>M7+K8-L8</f>
        <v>96580.911500000002</v>
      </c>
      <c r="N8" s="43"/>
      <c r="O8" s="257">
        <v>8497892194</v>
      </c>
      <c r="P8" s="258" t="s">
        <v>114</v>
      </c>
    </row>
    <row r="9" spans="1:16">
      <c r="A9" s="48">
        <v>6</v>
      </c>
      <c r="B9" s="209">
        <v>45906</v>
      </c>
      <c r="C9" s="74"/>
      <c r="D9" s="75"/>
      <c r="E9" s="158">
        <v>50</v>
      </c>
      <c r="F9" s="158">
        <v>91.83</v>
      </c>
      <c r="G9" s="144">
        <f t="shared" si="0"/>
        <v>4591.5</v>
      </c>
      <c r="H9" s="158">
        <v>5</v>
      </c>
      <c r="I9" s="159">
        <v>103.8</v>
      </c>
      <c r="J9" s="20">
        <f t="shared" si="1"/>
        <v>519</v>
      </c>
      <c r="K9" s="20">
        <f t="shared" si="2"/>
        <v>5110.5</v>
      </c>
      <c r="L9" s="145"/>
      <c r="M9" s="14">
        <f>M8+K9-L9</f>
        <v>101691.4115</v>
      </c>
      <c r="N9" s="43"/>
      <c r="O9" s="73"/>
    </row>
    <row r="10" spans="1:16">
      <c r="A10" s="48">
        <v>7</v>
      </c>
      <c r="B10" s="209">
        <v>45907</v>
      </c>
      <c r="C10" s="74"/>
      <c r="D10" s="75"/>
      <c r="E10" s="158">
        <v>0</v>
      </c>
      <c r="F10" s="158">
        <v>0</v>
      </c>
      <c r="G10" s="144">
        <f t="shared" si="0"/>
        <v>0</v>
      </c>
      <c r="H10" s="158">
        <v>0</v>
      </c>
      <c r="I10" s="159">
        <v>103.8</v>
      </c>
      <c r="J10" s="20">
        <f t="shared" si="1"/>
        <v>0</v>
      </c>
      <c r="K10" s="20">
        <f t="shared" si="2"/>
        <v>0</v>
      </c>
      <c r="L10" s="145"/>
      <c r="M10" s="14">
        <f>M9+K10-L10</f>
        <v>101691.4115</v>
      </c>
      <c r="N10" s="43"/>
      <c r="O10" s="73"/>
    </row>
    <row r="11" spans="1:16">
      <c r="A11" s="48">
        <v>8</v>
      </c>
      <c r="B11" s="209">
        <v>45908</v>
      </c>
      <c r="C11" s="74"/>
      <c r="D11" s="75"/>
      <c r="E11" s="158">
        <v>50</v>
      </c>
      <c r="F11" s="158">
        <v>91.83</v>
      </c>
      <c r="G11" s="144">
        <f t="shared" si="0"/>
        <v>4591.5</v>
      </c>
      <c r="H11" s="158">
        <v>15</v>
      </c>
      <c r="I11" s="159">
        <v>103.8</v>
      </c>
      <c r="J11" s="20">
        <f t="shared" si="1"/>
        <v>1557</v>
      </c>
      <c r="K11" s="20">
        <f t="shared" si="2"/>
        <v>6148.5</v>
      </c>
      <c r="L11" s="145">
        <v>101172</v>
      </c>
      <c r="M11" s="14">
        <f>M10+K11-L11</f>
        <v>6667.911500000002</v>
      </c>
      <c r="N11" s="43"/>
      <c r="O11" s="73"/>
    </row>
    <row r="12" spans="1:16">
      <c r="A12" s="48">
        <v>9</v>
      </c>
      <c r="B12" s="209">
        <v>45909</v>
      </c>
      <c r="C12" s="74"/>
      <c r="D12" s="75"/>
      <c r="E12" s="158">
        <v>150</v>
      </c>
      <c r="F12" s="158">
        <v>91.83</v>
      </c>
      <c r="G12" s="144">
        <f t="shared" si="0"/>
        <v>13774.5</v>
      </c>
      <c r="H12" s="158">
        <v>10</v>
      </c>
      <c r="I12" s="159">
        <v>103.8</v>
      </c>
      <c r="J12" s="20">
        <f t="shared" si="1"/>
        <v>1038</v>
      </c>
      <c r="K12" s="20">
        <f t="shared" si="2"/>
        <v>14812.5</v>
      </c>
      <c r="L12" s="145"/>
      <c r="M12" s="14">
        <f>M11+K12-L12</f>
        <v>21480.411500000002</v>
      </c>
      <c r="N12" s="43"/>
      <c r="O12" s="73"/>
    </row>
    <row r="13" spans="1:16">
      <c r="A13" s="48">
        <v>10</v>
      </c>
      <c r="B13" s="209">
        <v>45910</v>
      </c>
      <c r="C13" s="74"/>
      <c r="D13" s="75"/>
      <c r="E13" s="158">
        <v>100</v>
      </c>
      <c r="F13" s="158">
        <v>91.83</v>
      </c>
      <c r="G13" s="144">
        <f t="shared" si="0"/>
        <v>9183</v>
      </c>
      <c r="H13" s="158">
        <v>0</v>
      </c>
      <c r="I13" s="159">
        <v>0</v>
      </c>
      <c r="J13" s="20">
        <f t="shared" si="1"/>
        <v>0</v>
      </c>
      <c r="K13" s="20">
        <f t="shared" si="2"/>
        <v>9183</v>
      </c>
      <c r="L13" s="145"/>
      <c r="M13" s="14">
        <f>M12+K13-L13</f>
        <v>30663.411500000002</v>
      </c>
      <c r="N13" s="43"/>
      <c r="O13" s="73"/>
    </row>
    <row r="14" spans="1:16">
      <c r="A14" s="48">
        <v>11</v>
      </c>
      <c r="B14" s="209">
        <v>45911</v>
      </c>
      <c r="C14" s="74"/>
      <c r="D14" s="75"/>
      <c r="E14" s="158">
        <v>0</v>
      </c>
      <c r="F14" s="158">
        <v>0</v>
      </c>
      <c r="G14" s="144">
        <f t="shared" si="0"/>
        <v>0</v>
      </c>
      <c r="H14" s="158">
        <v>0</v>
      </c>
      <c r="I14" s="159">
        <v>0</v>
      </c>
      <c r="J14" s="20">
        <f t="shared" si="1"/>
        <v>0</v>
      </c>
      <c r="K14" s="20">
        <f t="shared" si="2"/>
        <v>0</v>
      </c>
      <c r="L14" s="145"/>
      <c r="M14" s="14">
        <f>M13+K14-L14</f>
        <v>30663.411500000002</v>
      </c>
      <c r="N14" s="43"/>
      <c r="O14" s="73"/>
    </row>
    <row r="15" spans="1:16">
      <c r="A15" s="48">
        <v>12</v>
      </c>
      <c r="B15" s="209">
        <v>45912</v>
      </c>
      <c r="C15" s="74"/>
      <c r="D15" s="75"/>
      <c r="E15" s="158">
        <v>105</v>
      </c>
      <c r="F15" s="158">
        <v>91.83</v>
      </c>
      <c r="G15" s="144">
        <f t="shared" si="0"/>
        <v>9642.15</v>
      </c>
      <c r="H15" s="158">
        <v>15</v>
      </c>
      <c r="I15" s="159">
        <v>103.8</v>
      </c>
      <c r="J15" s="20">
        <f t="shared" si="1"/>
        <v>1557</v>
      </c>
      <c r="K15" s="20">
        <f t="shared" si="2"/>
        <v>11199.15</v>
      </c>
      <c r="L15" s="145"/>
      <c r="M15" s="14">
        <f>M14+K15-L15</f>
        <v>41862.561500000003</v>
      </c>
      <c r="N15" s="43"/>
      <c r="O15" s="73"/>
    </row>
    <row r="16" spans="1:16">
      <c r="A16" s="48">
        <v>13</v>
      </c>
      <c r="B16" s="209">
        <v>45913</v>
      </c>
      <c r="C16" s="74"/>
      <c r="D16" s="75"/>
      <c r="E16" s="158">
        <v>50</v>
      </c>
      <c r="F16" s="158">
        <v>91.83</v>
      </c>
      <c r="G16" s="144">
        <f t="shared" si="0"/>
        <v>4591.5</v>
      </c>
      <c r="H16" s="158">
        <v>0</v>
      </c>
      <c r="I16" s="159">
        <v>0</v>
      </c>
      <c r="J16" s="20">
        <f t="shared" si="1"/>
        <v>0</v>
      </c>
      <c r="K16" s="20">
        <f t="shared" si="2"/>
        <v>4591.5</v>
      </c>
      <c r="L16" s="145"/>
      <c r="M16" s="256">
        <f>M15+K16-L16</f>
        <v>46454.061500000003</v>
      </c>
      <c r="N16" s="43"/>
      <c r="O16" s="73"/>
    </row>
    <row r="17" spans="1:18">
      <c r="A17" s="48">
        <v>14</v>
      </c>
      <c r="B17" s="209">
        <v>45914</v>
      </c>
      <c r="C17" s="74"/>
      <c r="D17" s="75"/>
      <c r="E17" s="158">
        <v>0</v>
      </c>
      <c r="F17" s="158">
        <v>0</v>
      </c>
      <c r="G17" s="144">
        <f t="shared" si="0"/>
        <v>0</v>
      </c>
      <c r="H17" s="158">
        <v>0</v>
      </c>
      <c r="I17" s="159">
        <v>0</v>
      </c>
      <c r="J17" s="20">
        <f t="shared" si="1"/>
        <v>0</v>
      </c>
      <c r="K17" s="20">
        <f t="shared" si="2"/>
        <v>0</v>
      </c>
      <c r="L17" s="145"/>
      <c r="M17" s="14">
        <f>M16+K17-L17</f>
        <v>46454.061500000003</v>
      </c>
      <c r="N17" s="43"/>
      <c r="O17" s="73"/>
    </row>
    <row r="18" spans="1:18">
      <c r="A18" s="48">
        <v>15</v>
      </c>
      <c r="B18" s="209">
        <v>45915</v>
      </c>
      <c r="C18" s="74"/>
      <c r="D18" s="75"/>
      <c r="E18" s="158">
        <v>200</v>
      </c>
      <c r="F18" s="158">
        <v>91.83</v>
      </c>
      <c r="G18" s="144">
        <f t="shared" si="0"/>
        <v>18366</v>
      </c>
      <c r="H18" s="158">
        <v>10</v>
      </c>
      <c r="I18" s="159">
        <v>103.8</v>
      </c>
      <c r="J18" s="20">
        <f t="shared" si="1"/>
        <v>1038</v>
      </c>
      <c r="K18" s="20">
        <f t="shared" si="2"/>
        <v>19404</v>
      </c>
      <c r="L18" s="145"/>
      <c r="M18" s="14">
        <f>M17+K18-L18</f>
        <v>65858.061500000011</v>
      </c>
      <c r="N18" s="43"/>
      <c r="O18" s="73"/>
    </row>
    <row r="19" spans="1:18">
      <c r="A19" s="48">
        <v>16</v>
      </c>
      <c r="B19" s="209">
        <v>45916</v>
      </c>
      <c r="C19" s="196"/>
      <c r="D19" s="197"/>
      <c r="E19" s="158">
        <v>10</v>
      </c>
      <c r="F19" s="158">
        <v>91.83</v>
      </c>
      <c r="G19" s="144">
        <f t="shared" si="0"/>
        <v>918.3</v>
      </c>
      <c r="H19" s="158">
        <v>10</v>
      </c>
      <c r="I19" s="159">
        <v>103.8</v>
      </c>
      <c r="J19" s="20">
        <f t="shared" si="1"/>
        <v>1038</v>
      </c>
      <c r="K19" s="20">
        <f t="shared" si="2"/>
        <v>1956.3</v>
      </c>
      <c r="L19" s="145"/>
      <c r="M19" s="15">
        <f>M18+K19-L19</f>
        <v>67814.361500000014</v>
      </c>
      <c r="N19" s="198"/>
      <c r="O19" s="73"/>
    </row>
    <row r="20" spans="1:18">
      <c r="A20" s="48">
        <v>17</v>
      </c>
      <c r="B20" s="209">
        <v>45917</v>
      </c>
      <c r="C20" s="71"/>
      <c r="D20" s="75"/>
      <c r="E20" s="158">
        <v>20</v>
      </c>
      <c r="F20" s="158">
        <v>91.83</v>
      </c>
      <c r="G20" s="144">
        <f t="shared" si="0"/>
        <v>1836.6</v>
      </c>
      <c r="H20" s="158">
        <v>10</v>
      </c>
      <c r="I20" s="159">
        <v>103.8</v>
      </c>
      <c r="J20" s="20">
        <f t="shared" si="1"/>
        <v>1038</v>
      </c>
      <c r="K20" s="20">
        <f t="shared" si="2"/>
        <v>2874.6</v>
      </c>
      <c r="L20" s="145"/>
      <c r="M20" s="15">
        <f>M19+K20-L20</f>
        <v>70688.961500000019</v>
      </c>
      <c r="N20" s="43"/>
      <c r="O20" s="73"/>
    </row>
    <row r="21" spans="1:18">
      <c r="A21" s="48">
        <v>18</v>
      </c>
      <c r="B21" s="209">
        <v>45918</v>
      </c>
      <c r="C21" s="71"/>
      <c r="D21" s="75"/>
      <c r="E21" s="158">
        <v>110</v>
      </c>
      <c r="F21" s="158">
        <v>91.83</v>
      </c>
      <c r="G21" s="144">
        <f t="shared" si="0"/>
        <v>10101.299999999999</v>
      </c>
      <c r="H21" s="158">
        <v>0</v>
      </c>
      <c r="I21" s="159">
        <v>0</v>
      </c>
      <c r="J21" s="20">
        <f t="shared" si="1"/>
        <v>0</v>
      </c>
      <c r="K21" s="20">
        <f t="shared" si="2"/>
        <v>10101.299999999999</v>
      </c>
      <c r="L21" s="145"/>
      <c r="M21" s="15">
        <f>M20+K21-L21</f>
        <v>80790.261500000022</v>
      </c>
      <c r="N21" s="43"/>
      <c r="O21" s="73"/>
    </row>
    <row r="22" spans="1:18">
      <c r="A22" s="48">
        <v>19</v>
      </c>
      <c r="B22" s="209">
        <v>45919</v>
      </c>
      <c r="C22" s="71"/>
      <c r="D22" s="75"/>
      <c r="E22" s="158">
        <v>15</v>
      </c>
      <c r="F22" s="158">
        <v>91.83</v>
      </c>
      <c r="G22" s="144">
        <f t="shared" si="0"/>
        <v>1377.45</v>
      </c>
      <c r="H22" s="158">
        <v>10</v>
      </c>
      <c r="I22" s="159">
        <v>103.8</v>
      </c>
      <c r="J22" s="20">
        <f t="shared" si="1"/>
        <v>1038</v>
      </c>
      <c r="K22" s="20">
        <f t="shared" si="2"/>
        <v>2415.4499999999998</v>
      </c>
      <c r="L22" s="145"/>
      <c r="M22" s="15">
        <f t="shared" ref="M22:M30" si="3">M21+K22-L22</f>
        <v>83205.711500000019</v>
      </c>
      <c r="N22" s="43"/>
      <c r="O22" s="73"/>
    </row>
    <row r="23" spans="1:18">
      <c r="A23" s="48">
        <v>20</v>
      </c>
      <c r="B23" s="209">
        <v>45920</v>
      </c>
      <c r="C23" s="71"/>
      <c r="D23" s="75"/>
      <c r="E23" s="158">
        <v>100</v>
      </c>
      <c r="F23" s="158">
        <v>91.83</v>
      </c>
      <c r="G23" s="144">
        <f t="shared" si="0"/>
        <v>9183</v>
      </c>
      <c r="H23" s="158">
        <v>5</v>
      </c>
      <c r="I23" s="159">
        <v>103.8</v>
      </c>
      <c r="J23" s="20">
        <f t="shared" si="1"/>
        <v>519</v>
      </c>
      <c r="K23" s="20">
        <f t="shared" si="2"/>
        <v>9702</v>
      </c>
      <c r="L23" s="145"/>
      <c r="M23" s="15">
        <f t="shared" si="3"/>
        <v>92907.711500000019</v>
      </c>
      <c r="N23" s="43"/>
      <c r="O23" s="73"/>
    </row>
    <row r="24" spans="1:18">
      <c r="A24" s="48">
        <v>21</v>
      </c>
      <c r="B24" s="209">
        <v>45921</v>
      </c>
      <c r="C24" s="71"/>
      <c r="D24" s="75"/>
      <c r="E24" s="158">
        <v>0</v>
      </c>
      <c r="F24" s="158">
        <v>0</v>
      </c>
      <c r="G24" s="144">
        <f t="shared" si="0"/>
        <v>0</v>
      </c>
      <c r="H24" s="158">
        <v>0</v>
      </c>
      <c r="I24" s="159">
        <v>0</v>
      </c>
      <c r="J24" s="20">
        <f t="shared" si="1"/>
        <v>0</v>
      </c>
      <c r="K24" s="20">
        <f t="shared" si="2"/>
        <v>0</v>
      </c>
      <c r="L24" s="145"/>
      <c r="M24" s="15">
        <f t="shared" si="3"/>
        <v>92907.711500000019</v>
      </c>
      <c r="N24" s="43"/>
      <c r="O24" s="73"/>
    </row>
    <row r="25" spans="1:18">
      <c r="A25" s="48">
        <v>22</v>
      </c>
      <c r="B25" s="209">
        <v>45922</v>
      </c>
      <c r="C25" s="71"/>
      <c r="D25" s="75"/>
      <c r="E25" s="158">
        <v>100</v>
      </c>
      <c r="F25" s="158">
        <v>91.83</v>
      </c>
      <c r="G25" s="144">
        <f t="shared" si="0"/>
        <v>9183</v>
      </c>
      <c r="H25" s="158">
        <v>15</v>
      </c>
      <c r="I25" s="159">
        <v>103.8</v>
      </c>
      <c r="J25" s="20">
        <f t="shared" si="1"/>
        <v>1557</v>
      </c>
      <c r="K25" s="20">
        <f t="shared" si="2"/>
        <v>10740</v>
      </c>
      <c r="L25" s="145"/>
      <c r="M25" s="15">
        <f t="shared" si="3"/>
        <v>103647.71150000002</v>
      </c>
      <c r="N25" s="43"/>
      <c r="O25" s="73"/>
    </row>
    <row r="26" spans="1:18">
      <c r="A26" s="48">
        <v>23</v>
      </c>
      <c r="B26" s="209">
        <v>45923</v>
      </c>
      <c r="C26" s="71"/>
      <c r="D26" s="75"/>
      <c r="E26" s="158">
        <v>0</v>
      </c>
      <c r="F26" s="158">
        <v>0</v>
      </c>
      <c r="G26" s="144">
        <f t="shared" si="0"/>
        <v>0</v>
      </c>
      <c r="H26" s="158">
        <v>5</v>
      </c>
      <c r="I26" s="159">
        <v>103.8</v>
      </c>
      <c r="J26" s="20">
        <f t="shared" si="1"/>
        <v>519</v>
      </c>
      <c r="K26" s="20">
        <f t="shared" si="2"/>
        <v>519</v>
      </c>
      <c r="L26" s="145"/>
      <c r="M26" s="15">
        <f t="shared" si="3"/>
        <v>104166.71150000002</v>
      </c>
      <c r="N26" s="43"/>
      <c r="O26" s="73"/>
    </row>
    <row r="27" spans="1:18">
      <c r="A27" s="48">
        <v>24</v>
      </c>
      <c r="B27" s="209">
        <v>45924</v>
      </c>
      <c r="C27" s="71"/>
      <c r="D27" s="75"/>
      <c r="E27" s="158">
        <v>50</v>
      </c>
      <c r="F27" s="158">
        <v>91.83</v>
      </c>
      <c r="G27" s="144">
        <f t="shared" si="0"/>
        <v>4591.5</v>
      </c>
      <c r="H27" s="158">
        <v>0</v>
      </c>
      <c r="I27" s="159">
        <v>0</v>
      </c>
      <c r="J27" s="20">
        <f t="shared" si="1"/>
        <v>0</v>
      </c>
      <c r="K27" s="20">
        <f t="shared" si="2"/>
        <v>4591.5</v>
      </c>
      <c r="L27" s="145"/>
      <c r="M27" s="15">
        <f t="shared" si="3"/>
        <v>108758.21150000002</v>
      </c>
      <c r="N27" s="43"/>
      <c r="O27" s="73"/>
      <c r="R27">
        <v>66742</v>
      </c>
    </row>
    <row r="28" spans="1:18">
      <c r="A28" s="229">
        <v>25</v>
      </c>
      <c r="B28" s="209">
        <v>45925</v>
      </c>
      <c r="C28" s="203"/>
      <c r="D28" s="197"/>
      <c r="E28" s="158">
        <v>0</v>
      </c>
      <c r="F28" s="158">
        <v>0</v>
      </c>
      <c r="G28" s="144">
        <f t="shared" si="0"/>
        <v>0</v>
      </c>
      <c r="H28" s="158">
        <v>10</v>
      </c>
      <c r="I28" s="159">
        <v>103.8</v>
      </c>
      <c r="J28" s="20">
        <f t="shared" si="1"/>
        <v>1038</v>
      </c>
      <c r="K28" s="20">
        <f t="shared" si="2"/>
        <v>1038</v>
      </c>
      <c r="L28" s="145"/>
      <c r="M28" s="15">
        <f t="shared" si="3"/>
        <v>109796.21150000002</v>
      </c>
      <c r="N28" s="198"/>
      <c r="O28" s="73"/>
    </row>
    <row r="29" spans="1:18">
      <c r="A29" s="48">
        <v>26</v>
      </c>
      <c r="B29" s="209">
        <v>45926</v>
      </c>
      <c r="C29" s="71"/>
      <c r="D29" s="75"/>
      <c r="E29" s="158">
        <v>0</v>
      </c>
      <c r="F29" s="158">
        <v>0</v>
      </c>
      <c r="G29" s="144">
        <f t="shared" si="0"/>
        <v>0</v>
      </c>
      <c r="H29" s="158">
        <v>0</v>
      </c>
      <c r="I29" s="159">
        <v>0</v>
      </c>
      <c r="J29" s="20">
        <f t="shared" si="1"/>
        <v>0</v>
      </c>
      <c r="K29" s="20">
        <f t="shared" si="2"/>
        <v>0</v>
      </c>
      <c r="L29" s="145"/>
      <c r="M29" s="15">
        <f t="shared" si="3"/>
        <v>109796.21150000002</v>
      </c>
      <c r="N29" s="43"/>
      <c r="O29" s="73"/>
    </row>
    <row r="30" spans="1:18">
      <c r="A30" s="48">
        <v>27</v>
      </c>
      <c r="B30" s="209">
        <v>45927</v>
      </c>
      <c r="C30" s="71"/>
      <c r="D30" s="75"/>
      <c r="E30" s="284">
        <v>30</v>
      </c>
      <c r="F30" s="284">
        <v>91.83</v>
      </c>
      <c r="G30" s="144">
        <f t="shared" si="0"/>
        <v>2754.9</v>
      </c>
      <c r="H30" s="158">
        <v>0</v>
      </c>
      <c r="I30" s="159">
        <v>0</v>
      </c>
      <c r="J30" s="20">
        <f t="shared" si="1"/>
        <v>0</v>
      </c>
      <c r="K30" s="20">
        <f t="shared" si="2"/>
        <v>2754.9</v>
      </c>
      <c r="L30" s="145"/>
      <c r="M30" s="15">
        <f t="shared" si="3"/>
        <v>112551.11150000001</v>
      </c>
      <c r="N30" s="43"/>
      <c r="O30" s="73"/>
    </row>
    <row r="31" spans="1:18">
      <c r="A31" s="48">
        <v>28</v>
      </c>
      <c r="B31" s="209">
        <v>45928</v>
      </c>
      <c r="C31" s="71"/>
      <c r="D31" s="75"/>
      <c r="E31" s="284">
        <v>150</v>
      </c>
      <c r="F31" s="284">
        <v>91.83</v>
      </c>
      <c r="G31" s="144">
        <f t="shared" si="0"/>
        <v>13774.5</v>
      </c>
      <c r="H31" s="158">
        <v>0</v>
      </c>
      <c r="I31" s="159">
        <v>0</v>
      </c>
      <c r="J31" s="20">
        <f t="shared" si="1"/>
        <v>0</v>
      </c>
      <c r="K31" s="20">
        <f t="shared" si="2"/>
        <v>13774.5</v>
      </c>
      <c r="L31" s="145"/>
      <c r="M31" s="15">
        <f>M30+K31-L31</f>
        <v>126325.61150000001</v>
      </c>
      <c r="N31" s="43"/>
      <c r="O31" s="73"/>
    </row>
    <row r="32" spans="1:18">
      <c r="A32" s="48">
        <v>29</v>
      </c>
      <c r="B32" s="209">
        <v>45929</v>
      </c>
      <c r="C32" s="71"/>
      <c r="D32" s="75"/>
      <c r="E32" s="158">
        <v>50</v>
      </c>
      <c r="F32" s="284">
        <v>91.83</v>
      </c>
      <c r="G32" s="144">
        <f t="shared" si="0"/>
        <v>4591.5</v>
      </c>
      <c r="H32" s="158">
        <v>0</v>
      </c>
      <c r="I32" s="159">
        <v>0</v>
      </c>
      <c r="J32" s="20">
        <f t="shared" si="1"/>
        <v>0</v>
      </c>
      <c r="K32" s="20">
        <f t="shared" si="2"/>
        <v>4591.5</v>
      </c>
      <c r="L32" s="145"/>
      <c r="M32" s="15">
        <f>M31+K32-L32</f>
        <v>130917.11150000001</v>
      </c>
      <c r="N32" s="43"/>
      <c r="O32" s="73"/>
    </row>
    <row r="33" spans="1:15">
      <c r="A33" s="48">
        <v>30</v>
      </c>
      <c r="B33" s="209">
        <v>45930</v>
      </c>
      <c r="C33" s="71"/>
      <c r="D33" s="75"/>
      <c r="E33" s="158">
        <v>30</v>
      </c>
      <c r="F33" s="284">
        <v>91.83</v>
      </c>
      <c r="G33" s="144">
        <f t="shared" si="0"/>
        <v>2754.9</v>
      </c>
      <c r="H33" s="158">
        <v>0</v>
      </c>
      <c r="I33" s="159">
        <v>0</v>
      </c>
      <c r="J33" s="20">
        <f t="shared" si="1"/>
        <v>0</v>
      </c>
      <c r="K33" s="20">
        <f t="shared" si="2"/>
        <v>2754.9</v>
      </c>
      <c r="L33" s="145"/>
      <c r="M33" s="15">
        <f>M32+K33-L33</f>
        <v>133672.01150000002</v>
      </c>
      <c r="N33" s="43"/>
      <c r="O33" s="73"/>
    </row>
    <row r="34" spans="1:15">
      <c r="A34" s="48">
        <v>31</v>
      </c>
      <c r="B34" s="209"/>
      <c r="C34" s="71"/>
      <c r="D34" s="75"/>
      <c r="E34" s="158">
        <v>0</v>
      </c>
      <c r="F34" s="158">
        <v>0</v>
      </c>
      <c r="G34" s="144">
        <f t="shared" si="0"/>
        <v>0</v>
      </c>
      <c r="H34" s="158">
        <v>0</v>
      </c>
      <c r="I34" s="159">
        <v>0</v>
      </c>
      <c r="J34" s="20">
        <f t="shared" si="1"/>
        <v>0</v>
      </c>
      <c r="K34" s="20">
        <f t="shared" si="2"/>
        <v>0</v>
      </c>
      <c r="L34" s="145"/>
      <c r="M34" s="15">
        <f>M33+K34-L34</f>
        <v>133672.01150000002</v>
      </c>
      <c r="N34" s="43"/>
      <c r="O34" s="73"/>
    </row>
    <row r="35" spans="1:15">
      <c r="A35" s="165"/>
      <c r="B35" s="165"/>
      <c r="C35" s="165"/>
      <c r="D35" s="165"/>
      <c r="E35" s="166">
        <f>SUM(E4:E34)</f>
        <v>1750</v>
      </c>
      <c r="F35" s="166"/>
      <c r="G35" s="166">
        <f>SUM(G4:G34)</f>
        <v>160702.5</v>
      </c>
      <c r="H35" s="166">
        <f>SUM(H4:H34)</f>
        <v>135</v>
      </c>
      <c r="I35" s="166"/>
      <c r="J35" s="166">
        <f>SUM(J4:J34)</f>
        <v>14013</v>
      </c>
      <c r="K35" s="166">
        <f>SUM(K4:K34)</f>
        <v>174715.5</v>
      </c>
      <c r="L35" s="166">
        <f>SUM(L4:L34)</f>
        <v>101172</v>
      </c>
      <c r="M35" s="166"/>
      <c r="N35" s="166"/>
      <c r="O35" s="63"/>
    </row>
    <row r="36" spans="1:15">
      <c r="A36" s="76"/>
      <c r="B36" s="77"/>
      <c r="C36" s="76"/>
      <c r="D36" s="76"/>
      <c r="E36" s="78"/>
      <c r="F36" s="78"/>
      <c r="G36" s="78"/>
      <c r="H36" s="78"/>
      <c r="I36" s="78"/>
      <c r="J36" s="79"/>
      <c r="K36" s="79"/>
      <c r="L36" s="79"/>
      <c r="M36" s="79"/>
      <c r="N36" s="78"/>
      <c r="O36" s="73"/>
    </row>
    <row r="37" spans="1:15">
      <c r="O37" s="73"/>
    </row>
    <row r="38" spans="1:15">
      <c r="O38" s="73"/>
    </row>
    <row r="39" spans="1:15">
      <c r="O39" s="73"/>
    </row>
    <row r="40" spans="1:15">
      <c r="O40" s="73"/>
    </row>
    <row r="41" spans="1:15">
      <c r="O41" s="73"/>
    </row>
    <row r="42" spans="1:15">
      <c r="A42" s="73"/>
      <c r="B42" s="63"/>
      <c r="C42" s="73"/>
      <c r="D42" s="73"/>
      <c r="E42" s="73"/>
      <c r="F42" s="73"/>
      <c r="G42" s="80"/>
      <c r="H42" s="73"/>
      <c r="I42" s="73"/>
      <c r="J42" s="63"/>
      <c r="K42" s="63"/>
      <c r="L42" s="63"/>
      <c r="M42" s="63"/>
      <c r="N42" s="73"/>
      <c r="O42" s="78"/>
    </row>
    <row r="43" spans="1:15">
      <c r="A43" s="73"/>
      <c r="B43" s="402"/>
      <c r="C43" s="402"/>
      <c r="D43" s="402"/>
      <c r="E43" s="402"/>
      <c r="F43" s="73"/>
      <c r="G43" s="73"/>
      <c r="H43" s="73"/>
      <c r="I43" s="402"/>
      <c r="J43" s="402"/>
      <c r="K43" s="402"/>
      <c r="L43" s="402"/>
      <c r="M43" s="402"/>
      <c r="N43" s="402"/>
      <c r="O43" s="78"/>
    </row>
    <row r="44" spans="1:15">
      <c r="A44" s="73"/>
      <c r="B44" s="63"/>
      <c r="C44" s="73"/>
      <c r="D44" s="73"/>
      <c r="E44" s="73"/>
      <c r="F44" s="73"/>
      <c r="G44" s="73"/>
      <c r="H44" s="73"/>
      <c r="I44" s="73"/>
      <c r="J44" s="63"/>
      <c r="K44" s="63"/>
      <c r="L44" s="63"/>
      <c r="M44" s="63"/>
      <c r="N44" s="73"/>
      <c r="O44" s="78"/>
    </row>
  </sheetData>
  <protectedRanges>
    <protectedRange sqref="E30:F31 F32:F33" name="Range1"/>
  </protectedRanges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786B-C2B4-4667-9DF4-66A04CD3EC97}">
  <sheetPr>
    <tabColor rgb="FF92D050"/>
  </sheetPr>
  <dimension ref="A1:P46"/>
  <sheetViews>
    <sheetView workbookViewId="0">
      <pane ySplit="2" topLeftCell="A30" activePane="bottomLeft" state="frozen"/>
      <selection pane="bottomLeft" activeCell="F49" sqref="F49"/>
    </sheetView>
  </sheetViews>
  <sheetFormatPr defaultRowHeight="15"/>
  <cols>
    <col min="1" max="1" width="9.140625" style="5"/>
    <col min="2" max="2" width="11.5703125" style="5" bestFit="1" customWidth="1"/>
    <col min="3" max="3" width="9.140625" style="5"/>
    <col min="4" max="4" width="13.140625" style="5" customWidth="1"/>
    <col min="5" max="5" width="10.140625" style="5" customWidth="1"/>
    <col min="6" max="6" width="9.140625" style="5"/>
    <col min="7" max="7" width="10.85546875" style="106" bestFit="1" customWidth="1"/>
    <col min="8" max="8" width="11.140625" style="5" customWidth="1"/>
    <col min="9" max="9" width="9.140625" style="5"/>
    <col min="10" max="10" width="10.85546875" style="106" bestFit="1" customWidth="1"/>
    <col min="11" max="11" width="12.85546875" style="5" customWidth="1"/>
    <col min="12" max="12" width="13.5703125" style="106" bestFit="1" customWidth="1"/>
    <col min="13" max="13" width="13.5703125" style="106" customWidth="1"/>
    <col min="14" max="14" width="13.5703125" style="5" bestFit="1" customWidth="1"/>
    <col min="15" max="16" width="9.140625" style="5"/>
    <col min="17" max="17" width="12.5703125" style="5" customWidth="1"/>
    <col min="18" max="18" width="11.85546875" style="5" customWidth="1"/>
    <col min="19" max="16384" width="9.140625" style="5"/>
  </cols>
  <sheetData>
    <row r="1" spans="1:16" ht="15.75">
      <c r="A1" s="397" t="s">
        <v>115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97"/>
      <c r="M1" s="397"/>
      <c r="N1" s="397"/>
    </row>
    <row r="2" spans="1:16" ht="18" customHeight="1">
      <c r="A2" s="68" t="s">
        <v>90</v>
      </c>
      <c r="B2" s="87" t="s">
        <v>91</v>
      </c>
      <c r="C2" s="87" t="s">
        <v>92</v>
      </c>
      <c r="D2" s="87" t="s">
        <v>107</v>
      </c>
      <c r="E2" s="87" t="s">
        <v>94</v>
      </c>
      <c r="F2" s="87" t="s">
        <v>95</v>
      </c>
      <c r="G2" s="94" t="s">
        <v>96</v>
      </c>
      <c r="H2" s="87" t="s">
        <v>97</v>
      </c>
      <c r="I2" s="87" t="s">
        <v>95</v>
      </c>
      <c r="J2" s="94" t="s">
        <v>96</v>
      </c>
      <c r="K2" s="68" t="s">
        <v>98</v>
      </c>
      <c r="L2" s="95" t="s">
        <v>99</v>
      </c>
      <c r="M2" s="131" t="s">
        <v>106</v>
      </c>
      <c r="N2" s="87" t="s">
        <v>101</v>
      </c>
    </row>
    <row r="3" spans="1:16" ht="18" customHeight="1">
      <c r="A3" s="411" t="s">
        <v>102</v>
      </c>
      <c r="B3" s="412"/>
      <c r="C3" s="412"/>
      <c r="D3" s="412"/>
      <c r="E3" s="412"/>
      <c r="F3" s="412"/>
      <c r="G3" s="412"/>
      <c r="H3" s="412"/>
      <c r="I3" s="412"/>
      <c r="J3" s="412"/>
      <c r="K3" s="412"/>
      <c r="L3" s="412"/>
      <c r="M3" s="320"/>
      <c r="N3" s="319">
        <v>40815.883999999998</v>
      </c>
    </row>
    <row r="4" spans="1:16">
      <c r="A4" s="6">
        <v>1</v>
      </c>
      <c r="B4" s="82" t="s">
        <v>116</v>
      </c>
      <c r="C4" s="6"/>
      <c r="D4" s="6"/>
      <c r="E4" s="69">
        <v>65.5</v>
      </c>
      <c r="F4" s="6">
        <v>91.5</v>
      </c>
      <c r="G4" s="70">
        <f>E4*F4</f>
        <v>5993.25</v>
      </c>
      <c r="H4" s="69">
        <v>0</v>
      </c>
      <c r="I4" s="6">
        <v>0</v>
      </c>
      <c r="J4" s="70">
        <f>H4*I4</f>
        <v>0</v>
      </c>
      <c r="K4" s="70">
        <f>G4+J4</f>
        <v>5993.25</v>
      </c>
      <c r="L4" s="70">
        <v>0</v>
      </c>
      <c r="M4" s="321">
        <f>+N3+K4-L4</f>
        <v>46809.133999999998</v>
      </c>
      <c r="N4" s="48" t="s">
        <v>117</v>
      </c>
    </row>
    <row r="5" spans="1:16">
      <c r="A5" s="6">
        <v>2</v>
      </c>
      <c r="B5" s="82" t="s">
        <v>118</v>
      </c>
      <c r="C5" s="6"/>
      <c r="D5" s="6"/>
      <c r="E5" s="69">
        <v>82.78</v>
      </c>
      <c r="F5" s="6">
        <v>91.5</v>
      </c>
      <c r="G5" s="70">
        <f t="shared" ref="G5:G44" si="0">E5*F5</f>
        <v>7574.37</v>
      </c>
      <c r="H5" s="69">
        <v>14.4</v>
      </c>
      <c r="I5" s="6">
        <v>103.4</v>
      </c>
      <c r="J5" s="70">
        <f t="shared" ref="J5:J44" si="1">H5*I5</f>
        <v>1488.96</v>
      </c>
      <c r="K5" s="70">
        <f t="shared" ref="K5:K44" si="2">G5+J5</f>
        <v>9063.33</v>
      </c>
      <c r="L5" s="70">
        <v>30000</v>
      </c>
      <c r="M5" s="153">
        <f t="shared" ref="M5:M45" si="3">M4+K5-L5</f>
        <v>25872.464</v>
      </c>
      <c r="N5" s="48" t="s">
        <v>117</v>
      </c>
    </row>
    <row r="6" spans="1:16">
      <c r="A6" s="6">
        <v>3</v>
      </c>
      <c r="B6" s="82" t="s">
        <v>119</v>
      </c>
      <c r="C6" s="6"/>
      <c r="D6" s="6"/>
      <c r="E6" s="69">
        <v>0</v>
      </c>
      <c r="F6" s="6">
        <v>0</v>
      </c>
      <c r="G6" s="70">
        <f t="shared" si="0"/>
        <v>0</v>
      </c>
      <c r="H6" s="69">
        <v>11.28</v>
      </c>
      <c r="I6" s="6">
        <v>103.4</v>
      </c>
      <c r="J6" s="70">
        <f t="shared" si="1"/>
        <v>1166.3520000000001</v>
      </c>
      <c r="K6" s="70">
        <f t="shared" si="2"/>
        <v>1166.3520000000001</v>
      </c>
      <c r="L6" s="70">
        <v>0</v>
      </c>
      <c r="M6" s="153">
        <f t="shared" si="3"/>
        <v>27038.815999999999</v>
      </c>
      <c r="N6" s="48" t="s">
        <v>117</v>
      </c>
      <c r="P6" s="106">
        <f>N3+K4</f>
        <v>46809.133999999998</v>
      </c>
    </row>
    <row r="7" spans="1:16">
      <c r="A7" s="6"/>
      <c r="B7" s="82" t="s">
        <v>120</v>
      </c>
      <c r="C7" s="6"/>
      <c r="D7" s="6"/>
      <c r="E7" s="69">
        <v>83</v>
      </c>
      <c r="F7" s="6">
        <v>91.5</v>
      </c>
      <c r="G7" s="70">
        <f t="shared" si="0"/>
        <v>7594.5</v>
      </c>
      <c r="H7" s="69">
        <v>0</v>
      </c>
      <c r="I7" s="6">
        <v>0</v>
      </c>
      <c r="J7" s="70">
        <f t="shared" si="1"/>
        <v>0</v>
      </c>
      <c r="K7" s="70">
        <f t="shared" si="2"/>
        <v>7594.5</v>
      </c>
      <c r="L7" s="70">
        <v>0</v>
      </c>
      <c r="M7" s="153">
        <f t="shared" si="3"/>
        <v>34633.315999999999</v>
      </c>
      <c r="N7" s="48" t="s">
        <v>117</v>
      </c>
    </row>
    <row r="8" spans="1:16">
      <c r="A8" s="6">
        <v>4</v>
      </c>
      <c r="B8" s="82" t="s">
        <v>121</v>
      </c>
      <c r="C8" s="6"/>
      <c r="D8" s="6"/>
      <c r="E8" s="69">
        <v>79.05</v>
      </c>
      <c r="F8" s="6">
        <v>91.5</v>
      </c>
      <c r="G8" s="70">
        <f t="shared" si="0"/>
        <v>7233.0749999999998</v>
      </c>
      <c r="H8" s="69">
        <v>0</v>
      </c>
      <c r="I8" s="6">
        <v>0</v>
      </c>
      <c r="J8" s="70">
        <f t="shared" si="1"/>
        <v>0</v>
      </c>
      <c r="K8" s="70">
        <f t="shared" si="2"/>
        <v>7233.0749999999998</v>
      </c>
      <c r="L8" s="70">
        <v>0</v>
      </c>
      <c r="M8" s="153">
        <f t="shared" si="3"/>
        <v>41866.390999999996</v>
      </c>
      <c r="N8" s="48" t="s">
        <v>117</v>
      </c>
    </row>
    <row r="9" spans="1:16">
      <c r="A9" s="6">
        <v>5</v>
      </c>
      <c r="B9" s="82" t="s">
        <v>122</v>
      </c>
      <c r="C9" s="6"/>
      <c r="D9" s="6"/>
      <c r="E9" s="69">
        <v>50</v>
      </c>
      <c r="F9" s="6">
        <v>91.5</v>
      </c>
      <c r="G9" s="70">
        <f t="shared" si="0"/>
        <v>4575</v>
      </c>
      <c r="H9" s="69">
        <v>3</v>
      </c>
      <c r="I9" s="6">
        <v>103.4</v>
      </c>
      <c r="J9" s="70">
        <f t="shared" si="1"/>
        <v>310.20000000000005</v>
      </c>
      <c r="K9" s="70">
        <f t="shared" si="2"/>
        <v>4885.2</v>
      </c>
      <c r="L9" s="70">
        <v>40000</v>
      </c>
      <c r="M9" s="153">
        <f t="shared" si="3"/>
        <v>6751.5909999999931</v>
      </c>
      <c r="N9" s="48" t="s">
        <v>117</v>
      </c>
    </row>
    <row r="10" spans="1:16">
      <c r="A10" s="6">
        <v>6</v>
      </c>
      <c r="B10" s="82" t="s">
        <v>123</v>
      </c>
      <c r="C10" s="6"/>
      <c r="D10" s="6"/>
      <c r="E10" s="69">
        <v>56.15</v>
      </c>
      <c r="F10" s="6">
        <v>91.5</v>
      </c>
      <c r="G10" s="70">
        <f t="shared" si="0"/>
        <v>5137.7249999999995</v>
      </c>
      <c r="H10" s="69">
        <v>18.170000000000002</v>
      </c>
      <c r="I10" s="6">
        <v>103.4</v>
      </c>
      <c r="J10" s="70">
        <f t="shared" si="1"/>
        <v>1878.7780000000002</v>
      </c>
      <c r="K10" s="70">
        <f t="shared" si="2"/>
        <v>7016.5029999999997</v>
      </c>
      <c r="L10" s="70">
        <v>0</v>
      </c>
      <c r="M10" s="153">
        <f t="shared" si="3"/>
        <v>13768.093999999994</v>
      </c>
      <c r="N10" s="48" t="s">
        <v>117</v>
      </c>
    </row>
    <row r="11" spans="1:16">
      <c r="A11" s="6">
        <v>7</v>
      </c>
      <c r="B11" s="82" t="s">
        <v>124</v>
      </c>
      <c r="C11" s="6"/>
      <c r="D11" s="6"/>
      <c r="E11" s="69">
        <v>36</v>
      </c>
      <c r="F11" s="6">
        <v>91.5</v>
      </c>
      <c r="G11" s="70">
        <f t="shared" si="0"/>
        <v>3294</v>
      </c>
      <c r="H11" s="69">
        <v>3</v>
      </c>
      <c r="I11" s="6">
        <v>103.4</v>
      </c>
      <c r="J11" s="70">
        <f t="shared" si="1"/>
        <v>310.20000000000005</v>
      </c>
      <c r="K11" s="70">
        <f t="shared" si="2"/>
        <v>3604.2</v>
      </c>
      <c r="L11" s="70">
        <v>0</v>
      </c>
      <c r="M11" s="153">
        <f t="shared" si="3"/>
        <v>17372.293999999994</v>
      </c>
      <c r="N11" s="48" t="s">
        <v>117</v>
      </c>
    </row>
    <row r="12" spans="1:16">
      <c r="A12" s="6">
        <v>8</v>
      </c>
      <c r="B12" s="82" t="s">
        <v>125</v>
      </c>
      <c r="C12" s="6"/>
      <c r="D12" s="6"/>
      <c r="E12" s="69">
        <v>89.56</v>
      </c>
      <c r="F12" s="6">
        <v>91.5</v>
      </c>
      <c r="G12" s="70">
        <f t="shared" si="0"/>
        <v>8194.74</v>
      </c>
      <c r="H12" s="69">
        <v>5</v>
      </c>
      <c r="I12" s="6">
        <v>103.4</v>
      </c>
      <c r="J12" s="70">
        <f t="shared" si="1"/>
        <v>517</v>
      </c>
      <c r="K12" s="70">
        <f t="shared" si="2"/>
        <v>8711.74</v>
      </c>
      <c r="L12" s="70">
        <v>0</v>
      </c>
      <c r="M12" s="153">
        <f t="shared" si="3"/>
        <v>26084.033999999992</v>
      </c>
      <c r="N12" s="48" t="s">
        <v>117</v>
      </c>
    </row>
    <row r="13" spans="1:16">
      <c r="A13" s="6">
        <v>9</v>
      </c>
      <c r="B13" s="82" t="s">
        <v>126</v>
      </c>
      <c r="C13" s="6"/>
      <c r="D13" s="6"/>
      <c r="E13" s="69">
        <v>0</v>
      </c>
      <c r="F13" s="6">
        <v>0</v>
      </c>
      <c r="G13" s="70">
        <f t="shared" si="0"/>
        <v>0</v>
      </c>
      <c r="H13" s="69">
        <v>0</v>
      </c>
      <c r="I13" s="6">
        <v>0</v>
      </c>
      <c r="J13" s="70">
        <f t="shared" si="1"/>
        <v>0</v>
      </c>
      <c r="K13" s="70">
        <f t="shared" si="2"/>
        <v>0</v>
      </c>
      <c r="L13" s="70">
        <v>6652</v>
      </c>
      <c r="M13" s="153">
        <f t="shared" si="3"/>
        <v>19432.033999999992</v>
      </c>
      <c r="N13" s="48" t="s">
        <v>117</v>
      </c>
    </row>
    <row r="14" spans="1:16">
      <c r="A14" s="6">
        <v>10</v>
      </c>
      <c r="B14" s="82" t="s">
        <v>127</v>
      </c>
      <c r="C14" s="6"/>
      <c r="D14" s="6"/>
      <c r="E14" s="69">
        <v>25.88</v>
      </c>
      <c r="F14" s="6">
        <v>91.5</v>
      </c>
      <c r="G14" s="70">
        <f t="shared" si="0"/>
        <v>2368.02</v>
      </c>
      <c r="H14" s="69">
        <v>0</v>
      </c>
      <c r="I14" s="6">
        <v>0</v>
      </c>
      <c r="J14" s="70">
        <f t="shared" si="1"/>
        <v>0</v>
      </c>
      <c r="K14" s="70">
        <f t="shared" si="2"/>
        <v>2368.02</v>
      </c>
      <c r="L14" s="70">
        <v>0</v>
      </c>
      <c r="M14" s="153">
        <f t="shared" si="3"/>
        <v>21800.053999999993</v>
      </c>
      <c r="N14" s="48" t="s">
        <v>117</v>
      </c>
    </row>
    <row r="15" spans="1:16">
      <c r="A15" s="6">
        <v>11</v>
      </c>
      <c r="B15" s="82" t="s">
        <v>128</v>
      </c>
      <c r="C15" s="6"/>
      <c r="D15" s="6"/>
      <c r="E15" s="69">
        <v>38.47</v>
      </c>
      <c r="F15" s="6">
        <v>91.5</v>
      </c>
      <c r="G15" s="70">
        <f t="shared" si="0"/>
        <v>3520.0050000000001</v>
      </c>
      <c r="H15" s="69">
        <v>5</v>
      </c>
      <c r="I15" s="6">
        <v>103.44</v>
      </c>
      <c r="J15" s="70">
        <f t="shared" si="1"/>
        <v>517.20000000000005</v>
      </c>
      <c r="K15" s="70">
        <f t="shared" si="2"/>
        <v>4037.2049999999999</v>
      </c>
      <c r="L15" s="70">
        <v>0</v>
      </c>
      <c r="M15" s="153">
        <f t="shared" si="3"/>
        <v>25837.258999999991</v>
      </c>
      <c r="N15" s="48" t="s">
        <v>117</v>
      </c>
    </row>
    <row r="16" spans="1:16">
      <c r="A16" s="6">
        <v>12</v>
      </c>
      <c r="B16" s="82" t="s">
        <v>129</v>
      </c>
      <c r="C16" s="6"/>
      <c r="D16" s="6"/>
      <c r="E16" s="69">
        <v>74</v>
      </c>
      <c r="F16" s="6">
        <v>91.5</v>
      </c>
      <c r="G16" s="70">
        <f t="shared" si="0"/>
        <v>6771</v>
      </c>
      <c r="H16" s="69">
        <v>0</v>
      </c>
      <c r="I16" s="6">
        <v>0</v>
      </c>
      <c r="J16" s="70">
        <f t="shared" si="1"/>
        <v>0</v>
      </c>
      <c r="K16" s="70">
        <f t="shared" si="2"/>
        <v>6771</v>
      </c>
      <c r="L16" s="70">
        <v>0</v>
      </c>
      <c r="M16" s="153">
        <f t="shared" si="3"/>
        <v>32608.258999999991</v>
      </c>
      <c r="N16" s="48" t="s">
        <v>117</v>
      </c>
    </row>
    <row r="17" spans="1:14">
      <c r="A17" s="6">
        <v>13</v>
      </c>
      <c r="B17" s="82" t="s">
        <v>130</v>
      </c>
      <c r="C17" s="6"/>
      <c r="D17" s="6"/>
      <c r="E17" s="69">
        <v>78.569999999999993</v>
      </c>
      <c r="F17" s="6">
        <v>91.5</v>
      </c>
      <c r="G17" s="70">
        <f t="shared" si="0"/>
        <v>7189.1549999999997</v>
      </c>
      <c r="H17" s="69">
        <v>9.66</v>
      </c>
      <c r="I17" s="6">
        <v>103.44</v>
      </c>
      <c r="J17" s="70">
        <f t="shared" si="1"/>
        <v>999.23040000000003</v>
      </c>
      <c r="K17" s="70">
        <f t="shared" si="2"/>
        <v>8188.3854000000001</v>
      </c>
      <c r="L17" s="70">
        <v>0</v>
      </c>
      <c r="M17" s="153">
        <f t="shared" si="3"/>
        <v>40796.64439999999</v>
      </c>
      <c r="N17" s="48" t="s">
        <v>117</v>
      </c>
    </row>
    <row r="18" spans="1:14">
      <c r="A18" s="6">
        <v>14</v>
      </c>
      <c r="B18" s="82" t="s">
        <v>131</v>
      </c>
      <c r="C18" s="6"/>
      <c r="D18" s="6"/>
      <c r="E18" s="69">
        <v>10</v>
      </c>
      <c r="F18" s="6">
        <v>91.5</v>
      </c>
      <c r="G18" s="70">
        <f t="shared" si="0"/>
        <v>915</v>
      </c>
      <c r="H18" s="69">
        <v>0</v>
      </c>
      <c r="I18" s="6">
        <v>0</v>
      </c>
      <c r="J18" s="70">
        <f t="shared" si="1"/>
        <v>0</v>
      </c>
      <c r="K18" s="70">
        <f t="shared" si="2"/>
        <v>915</v>
      </c>
      <c r="L18" s="70">
        <v>0</v>
      </c>
      <c r="M18" s="153">
        <f t="shared" si="3"/>
        <v>41711.64439999999</v>
      </c>
      <c r="N18" s="48" t="s">
        <v>117</v>
      </c>
    </row>
    <row r="19" spans="1:14">
      <c r="A19" s="6">
        <v>15</v>
      </c>
      <c r="B19" s="82" t="s">
        <v>132</v>
      </c>
      <c r="C19" s="6"/>
      <c r="D19" s="6"/>
      <c r="E19" s="69">
        <v>0</v>
      </c>
      <c r="F19" s="6">
        <v>0</v>
      </c>
      <c r="G19" s="70">
        <f t="shared" si="0"/>
        <v>0</v>
      </c>
      <c r="H19" s="69">
        <v>0</v>
      </c>
      <c r="I19" s="6">
        <v>0</v>
      </c>
      <c r="J19" s="70">
        <f t="shared" si="1"/>
        <v>0</v>
      </c>
      <c r="K19" s="70">
        <f t="shared" si="2"/>
        <v>0</v>
      </c>
      <c r="L19" s="70">
        <v>20000</v>
      </c>
      <c r="M19" s="153">
        <f t="shared" si="3"/>
        <v>21711.64439999999</v>
      </c>
      <c r="N19" s="48" t="s">
        <v>117</v>
      </c>
    </row>
    <row r="20" spans="1:14">
      <c r="A20" s="6">
        <v>16</v>
      </c>
      <c r="B20" s="82" t="s">
        <v>133</v>
      </c>
      <c r="C20" s="6"/>
      <c r="D20" s="6"/>
      <c r="E20" s="69">
        <v>32.97</v>
      </c>
      <c r="F20" s="6">
        <v>91.5</v>
      </c>
      <c r="G20" s="70">
        <f t="shared" si="0"/>
        <v>3016.7550000000001</v>
      </c>
      <c r="H20" s="69">
        <v>7.66</v>
      </c>
      <c r="I20" s="6">
        <v>103.44</v>
      </c>
      <c r="J20" s="70">
        <f t="shared" si="1"/>
        <v>792.35040000000004</v>
      </c>
      <c r="K20" s="70">
        <f t="shared" si="2"/>
        <v>3809.1054000000004</v>
      </c>
      <c r="L20" s="70">
        <v>20000</v>
      </c>
      <c r="M20" s="153">
        <f t="shared" si="3"/>
        <v>5520.7497999999905</v>
      </c>
      <c r="N20" s="48" t="s">
        <v>117</v>
      </c>
    </row>
    <row r="21" spans="1:14">
      <c r="A21" s="6">
        <v>17</v>
      </c>
      <c r="B21" s="82" t="s">
        <v>105</v>
      </c>
      <c r="C21" s="6"/>
      <c r="D21" s="6"/>
      <c r="E21" s="69">
        <v>31.4</v>
      </c>
      <c r="F21" s="6">
        <v>91.5</v>
      </c>
      <c r="G21" s="70">
        <f t="shared" si="0"/>
        <v>2873.1</v>
      </c>
      <c r="H21" s="69">
        <v>6.38</v>
      </c>
      <c r="I21" s="6">
        <v>103.44</v>
      </c>
      <c r="J21" s="70">
        <f t="shared" si="1"/>
        <v>659.94719999999995</v>
      </c>
      <c r="K21" s="70">
        <f t="shared" si="2"/>
        <v>3533.0472</v>
      </c>
      <c r="L21" s="70">
        <v>0</v>
      </c>
      <c r="M21" s="153">
        <f t="shared" si="3"/>
        <v>9053.7969999999914</v>
      </c>
      <c r="N21" s="48" t="s">
        <v>117</v>
      </c>
    </row>
    <row r="22" spans="1:14">
      <c r="A22" s="6">
        <v>18</v>
      </c>
      <c r="B22" s="82" t="s">
        <v>134</v>
      </c>
      <c r="C22" s="6"/>
      <c r="D22" s="6"/>
      <c r="E22" s="69">
        <v>10</v>
      </c>
      <c r="F22" s="6">
        <v>91.5</v>
      </c>
      <c r="G22" s="70">
        <f t="shared" si="0"/>
        <v>915</v>
      </c>
      <c r="H22" s="69">
        <v>0</v>
      </c>
      <c r="I22" s="6">
        <v>0</v>
      </c>
      <c r="J22" s="70">
        <f t="shared" si="1"/>
        <v>0</v>
      </c>
      <c r="K22" s="70">
        <f t="shared" si="2"/>
        <v>915</v>
      </c>
      <c r="L22" s="70">
        <v>0</v>
      </c>
      <c r="M22" s="153">
        <f t="shared" si="3"/>
        <v>9968.7969999999914</v>
      </c>
      <c r="N22" s="48" t="s">
        <v>117</v>
      </c>
    </row>
    <row r="23" spans="1:14">
      <c r="A23" s="6">
        <v>19</v>
      </c>
      <c r="B23" s="82" t="s">
        <v>135</v>
      </c>
      <c r="C23" s="6"/>
      <c r="D23" s="6"/>
      <c r="E23" s="69">
        <v>41.48</v>
      </c>
      <c r="F23" s="6">
        <v>91.5</v>
      </c>
      <c r="G23" s="70">
        <f t="shared" si="0"/>
        <v>3795.4199999999996</v>
      </c>
      <c r="H23" s="69">
        <v>0</v>
      </c>
      <c r="I23" s="6">
        <v>0</v>
      </c>
      <c r="J23" s="70">
        <f t="shared" si="1"/>
        <v>0</v>
      </c>
      <c r="K23" s="70">
        <f t="shared" si="2"/>
        <v>3795.4199999999996</v>
      </c>
      <c r="L23" s="70">
        <v>0</v>
      </c>
      <c r="M23" s="153">
        <f t="shared" si="3"/>
        <v>13764.216999999991</v>
      </c>
      <c r="N23" s="48" t="s">
        <v>117</v>
      </c>
    </row>
    <row r="24" spans="1:14">
      <c r="A24" s="6">
        <v>21</v>
      </c>
      <c r="B24" s="82" t="s">
        <v>136</v>
      </c>
      <c r="C24" s="6"/>
      <c r="D24" s="6"/>
      <c r="E24" s="69">
        <v>33.770000000000003</v>
      </c>
      <c r="F24" s="6">
        <v>91.5</v>
      </c>
      <c r="G24" s="70">
        <f t="shared" si="0"/>
        <v>3089.9550000000004</v>
      </c>
      <c r="H24" s="69">
        <v>0</v>
      </c>
      <c r="I24" s="6">
        <v>0</v>
      </c>
      <c r="J24" s="70">
        <f t="shared" si="1"/>
        <v>0</v>
      </c>
      <c r="K24" s="70">
        <f t="shared" si="2"/>
        <v>3089.9550000000004</v>
      </c>
      <c r="L24" s="70">
        <v>0</v>
      </c>
      <c r="M24" s="153">
        <f t="shared" si="3"/>
        <v>16854.171999999991</v>
      </c>
      <c r="N24" s="48" t="s">
        <v>117</v>
      </c>
    </row>
    <row r="25" spans="1:14">
      <c r="A25" s="6">
        <v>22</v>
      </c>
      <c r="B25" s="82" t="s">
        <v>137</v>
      </c>
      <c r="C25" s="6"/>
      <c r="D25" s="6"/>
      <c r="E25" s="69">
        <v>0</v>
      </c>
      <c r="F25" s="6">
        <v>0</v>
      </c>
      <c r="G25" s="70">
        <f t="shared" si="0"/>
        <v>0</v>
      </c>
      <c r="H25" s="69">
        <v>6</v>
      </c>
      <c r="I25" s="6">
        <v>103.44</v>
      </c>
      <c r="J25" s="70">
        <f t="shared" si="1"/>
        <v>620.64</v>
      </c>
      <c r="K25" s="70">
        <f t="shared" si="2"/>
        <v>620.64</v>
      </c>
      <c r="L25" s="70">
        <v>0</v>
      </c>
      <c r="M25" s="153">
        <f t="shared" si="3"/>
        <v>17474.811999999991</v>
      </c>
      <c r="N25" s="48" t="s">
        <v>117</v>
      </c>
    </row>
    <row r="26" spans="1:14">
      <c r="A26" s="6">
        <v>23</v>
      </c>
      <c r="B26" s="82" t="s">
        <v>138</v>
      </c>
      <c r="C26" s="6"/>
      <c r="D26" s="6"/>
      <c r="E26" s="69">
        <v>32.47</v>
      </c>
      <c r="F26" s="6">
        <v>91.5</v>
      </c>
      <c r="G26" s="70">
        <f t="shared" si="0"/>
        <v>2971.0050000000001</v>
      </c>
      <c r="H26" s="69">
        <v>8.83</v>
      </c>
      <c r="I26" s="6">
        <v>103.44</v>
      </c>
      <c r="J26" s="70">
        <f t="shared" si="1"/>
        <v>913.37519999999995</v>
      </c>
      <c r="K26" s="70">
        <f t="shared" si="2"/>
        <v>3884.3802000000001</v>
      </c>
      <c r="L26" s="70">
        <v>0</v>
      </c>
      <c r="M26" s="153">
        <f t="shared" si="3"/>
        <v>21359.19219999999</v>
      </c>
      <c r="N26" s="48" t="s">
        <v>117</v>
      </c>
    </row>
    <row r="27" spans="1:14">
      <c r="A27" s="6">
        <v>24</v>
      </c>
      <c r="B27" s="82" t="s">
        <v>139</v>
      </c>
      <c r="C27" s="6"/>
      <c r="D27" s="6"/>
      <c r="E27" s="69">
        <v>38.6</v>
      </c>
      <c r="F27" s="6">
        <v>91.5</v>
      </c>
      <c r="G27" s="70">
        <f t="shared" si="0"/>
        <v>3531.9</v>
      </c>
      <c r="H27" s="69">
        <v>0</v>
      </c>
      <c r="I27" s="6">
        <v>0</v>
      </c>
      <c r="J27" s="70">
        <f t="shared" si="1"/>
        <v>0</v>
      </c>
      <c r="K27" s="70">
        <f t="shared" si="2"/>
        <v>3531.9</v>
      </c>
      <c r="L27" s="70">
        <v>0</v>
      </c>
      <c r="M27" s="153">
        <f t="shared" si="3"/>
        <v>24891.092199999992</v>
      </c>
      <c r="N27" s="48" t="s">
        <v>117</v>
      </c>
    </row>
    <row r="28" spans="1:14">
      <c r="A28" s="6">
        <v>25</v>
      </c>
      <c r="B28" s="82" t="s">
        <v>140</v>
      </c>
      <c r="C28" s="6"/>
      <c r="D28" s="6"/>
      <c r="E28" s="69">
        <v>61.239999999999995</v>
      </c>
      <c r="F28" s="6">
        <v>91.5</v>
      </c>
      <c r="G28" s="70">
        <f t="shared" si="0"/>
        <v>5603.4599999999991</v>
      </c>
      <c r="H28" s="69">
        <v>4.83</v>
      </c>
      <c r="I28" s="6">
        <v>103.44</v>
      </c>
      <c r="J28" s="70">
        <f t="shared" si="1"/>
        <v>499.61520000000002</v>
      </c>
      <c r="K28" s="70">
        <f t="shared" si="2"/>
        <v>6103.0751999999993</v>
      </c>
      <c r="L28" s="70">
        <v>24000</v>
      </c>
      <c r="M28" s="153">
        <f t="shared" si="3"/>
        <v>6994.1673999999912</v>
      </c>
      <c r="N28" s="48" t="s">
        <v>117</v>
      </c>
    </row>
    <row r="29" spans="1:14">
      <c r="A29" s="6">
        <v>26</v>
      </c>
      <c r="B29" s="82" t="s">
        <v>141</v>
      </c>
      <c r="C29" s="6"/>
      <c r="D29" s="6"/>
      <c r="E29" s="69">
        <v>72.64</v>
      </c>
      <c r="F29" s="6">
        <v>91.5</v>
      </c>
      <c r="G29" s="70">
        <f t="shared" si="0"/>
        <v>6646.56</v>
      </c>
      <c r="H29" s="69">
        <v>0</v>
      </c>
      <c r="I29" s="6">
        <v>0</v>
      </c>
      <c r="J29" s="70">
        <f t="shared" si="1"/>
        <v>0</v>
      </c>
      <c r="K29" s="70">
        <f t="shared" si="2"/>
        <v>6646.56</v>
      </c>
      <c r="L29" s="70">
        <v>0</v>
      </c>
      <c r="M29" s="153">
        <f t="shared" si="3"/>
        <v>13640.727399999992</v>
      </c>
      <c r="N29" s="48" t="s">
        <v>117</v>
      </c>
    </row>
    <row r="30" spans="1:14">
      <c r="A30" s="6">
        <v>27</v>
      </c>
      <c r="B30" s="82" t="s">
        <v>142</v>
      </c>
      <c r="C30" s="6"/>
      <c r="D30" s="6"/>
      <c r="E30" s="348">
        <f>33.95+42.26</f>
        <v>76.210000000000008</v>
      </c>
      <c r="F30" s="6">
        <v>91.5</v>
      </c>
      <c r="G30" s="70">
        <f t="shared" si="0"/>
        <v>6973.2150000000011</v>
      </c>
      <c r="H30" s="69">
        <v>0</v>
      </c>
      <c r="I30" s="6">
        <v>0</v>
      </c>
      <c r="J30" s="70">
        <f t="shared" si="1"/>
        <v>0</v>
      </c>
      <c r="K30" s="70">
        <f t="shared" si="2"/>
        <v>6973.2150000000011</v>
      </c>
      <c r="L30" s="70">
        <v>0</v>
      </c>
      <c r="M30" s="153">
        <f t="shared" si="3"/>
        <v>20613.942399999993</v>
      </c>
      <c r="N30" s="48" t="s">
        <v>117</v>
      </c>
    </row>
    <row r="31" spans="1:14">
      <c r="A31" s="6">
        <v>28</v>
      </c>
      <c r="B31" s="82"/>
      <c r="C31" s="6"/>
      <c r="D31" s="6"/>
      <c r="E31" s="69">
        <v>0</v>
      </c>
      <c r="F31" s="6">
        <v>0</v>
      </c>
      <c r="G31" s="70">
        <f t="shared" si="0"/>
        <v>0</v>
      </c>
      <c r="H31" s="69">
        <v>0</v>
      </c>
      <c r="I31" s="6">
        <v>0</v>
      </c>
      <c r="J31" s="70">
        <f t="shared" si="1"/>
        <v>0</v>
      </c>
      <c r="K31" s="70">
        <f t="shared" si="2"/>
        <v>0</v>
      </c>
      <c r="L31" s="70">
        <v>0</v>
      </c>
      <c r="M31" s="153">
        <f t="shared" si="3"/>
        <v>20613.942399999993</v>
      </c>
      <c r="N31" s="48" t="s">
        <v>117</v>
      </c>
    </row>
    <row r="32" spans="1:14">
      <c r="A32" s="6">
        <v>29</v>
      </c>
      <c r="B32" s="82"/>
      <c r="C32" s="6"/>
      <c r="D32" s="6"/>
      <c r="E32" s="69">
        <v>0</v>
      </c>
      <c r="F32" s="6">
        <v>0</v>
      </c>
      <c r="G32" s="70">
        <f t="shared" si="0"/>
        <v>0</v>
      </c>
      <c r="H32" s="69">
        <v>0</v>
      </c>
      <c r="I32" s="6">
        <v>0</v>
      </c>
      <c r="J32" s="70">
        <f t="shared" si="1"/>
        <v>0</v>
      </c>
      <c r="K32" s="70">
        <f t="shared" si="2"/>
        <v>0</v>
      </c>
      <c r="L32" s="70">
        <v>0</v>
      </c>
      <c r="M32" s="153">
        <f t="shared" si="3"/>
        <v>20613.942399999993</v>
      </c>
      <c r="N32" s="48" t="s">
        <v>117</v>
      </c>
    </row>
    <row r="33" spans="1:15">
      <c r="A33" s="6">
        <v>30</v>
      </c>
      <c r="B33" s="82"/>
      <c r="C33" s="6"/>
      <c r="D33" s="6"/>
      <c r="E33" s="69">
        <v>0</v>
      </c>
      <c r="F33" s="6">
        <v>0</v>
      </c>
      <c r="G33" s="70">
        <f t="shared" si="0"/>
        <v>0</v>
      </c>
      <c r="H33" s="69">
        <v>0</v>
      </c>
      <c r="I33" s="6">
        <v>0</v>
      </c>
      <c r="J33" s="70">
        <f t="shared" si="1"/>
        <v>0</v>
      </c>
      <c r="K33" s="70">
        <f t="shared" si="2"/>
        <v>0</v>
      </c>
      <c r="L33" s="70">
        <v>0</v>
      </c>
      <c r="M33" s="153">
        <f t="shared" si="3"/>
        <v>20613.942399999993</v>
      </c>
      <c r="N33" s="48" t="s">
        <v>117</v>
      </c>
    </row>
    <row r="34" spans="1:15">
      <c r="A34" s="6">
        <v>31</v>
      </c>
      <c r="B34" s="82"/>
      <c r="C34" s="6"/>
      <c r="D34" s="6"/>
      <c r="E34" s="69">
        <v>0</v>
      </c>
      <c r="F34" s="6">
        <v>0</v>
      </c>
      <c r="G34" s="70">
        <f t="shared" si="0"/>
        <v>0</v>
      </c>
      <c r="H34" s="69">
        <v>0</v>
      </c>
      <c r="I34" s="6">
        <v>0</v>
      </c>
      <c r="J34" s="70">
        <f t="shared" si="1"/>
        <v>0</v>
      </c>
      <c r="K34" s="70">
        <f t="shared" si="2"/>
        <v>0</v>
      </c>
      <c r="L34" s="70">
        <v>0</v>
      </c>
      <c r="M34" s="153">
        <f t="shared" si="3"/>
        <v>20613.942399999993</v>
      </c>
      <c r="N34" s="48" t="s">
        <v>117</v>
      </c>
    </row>
    <row r="35" spans="1:15">
      <c r="A35" s="6">
        <v>32</v>
      </c>
      <c r="B35" s="82"/>
      <c r="C35" s="6"/>
      <c r="D35" s="6"/>
      <c r="E35" s="69">
        <v>0</v>
      </c>
      <c r="F35" s="6">
        <v>0</v>
      </c>
      <c r="G35" s="70">
        <f t="shared" si="0"/>
        <v>0</v>
      </c>
      <c r="H35" s="69">
        <v>0</v>
      </c>
      <c r="I35" s="6">
        <v>0</v>
      </c>
      <c r="J35" s="70">
        <f t="shared" si="1"/>
        <v>0</v>
      </c>
      <c r="K35" s="70">
        <f t="shared" si="2"/>
        <v>0</v>
      </c>
      <c r="L35" s="70">
        <v>0</v>
      </c>
      <c r="M35" s="153">
        <f t="shared" si="3"/>
        <v>20613.942399999993</v>
      </c>
      <c r="N35" s="48" t="s">
        <v>117</v>
      </c>
    </row>
    <row r="36" spans="1:15">
      <c r="A36" s="6">
        <v>33</v>
      </c>
      <c r="B36" s="82"/>
      <c r="C36" s="6"/>
      <c r="D36" s="6"/>
      <c r="E36" s="69">
        <v>0</v>
      </c>
      <c r="F36" s="6">
        <v>0</v>
      </c>
      <c r="G36" s="70">
        <f t="shared" si="0"/>
        <v>0</v>
      </c>
      <c r="H36" s="69">
        <v>0</v>
      </c>
      <c r="I36" s="6">
        <v>0</v>
      </c>
      <c r="J36" s="70">
        <f t="shared" si="1"/>
        <v>0</v>
      </c>
      <c r="K36" s="70">
        <f t="shared" si="2"/>
        <v>0</v>
      </c>
      <c r="L36" s="70">
        <v>0</v>
      </c>
      <c r="M36" s="153">
        <f t="shared" si="3"/>
        <v>20613.942399999993</v>
      </c>
      <c r="N36" s="48" t="s">
        <v>117</v>
      </c>
    </row>
    <row r="37" spans="1:15">
      <c r="A37" s="6">
        <v>34</v>
      </c>
      <c r="B37" s="82"/>
      <c r="C37" s="6"/>
      <c r="D37" s="6"/>
      <c r="E37" s="69">
        <v>0</v>
      </c>
      <c r="F37" s="6">
        <v>0</v>
      </c>
      <c r="G37" s="70">
        <f t="shared" si="0"/>
        <v>0</v>
      </c>
      <c r="H37" s="69">
        <v>0</v>
      </c>
      <c r="I37" s="6">
        <v>0</v>
      </c>
      <c r="J37" s="70">
        <f t="shared" si="1"/>
        <v>0</v>
      </c>
      <c r="K37" s="70">
        <f t="shared" si="2"/>
        <v>0</v>
      </c>
      <c r="L37" s="70">
        <v>0</v>
      </c>
      <c r="M37" s="153">
        <f t="shared" si="3"/>
        <v>20613.942399999993</v>
      </c>
      <c r="N37" s="48" t="s">
        <v>117</v>
      </c>
    </row>
    <row r="38" spans="1:15">
      <c r="A38" s="6">
        <v>35</v>
      </c>
      <c r="B38" s="82"/>
      <c r="C38" s="6"/>
      <c r="D38" s="6"/>
      <c r="E38" s="69">
        <v>0</v>
      </c>
      <c r="F38" s="6">
        <v>0</v>
      </c>
      <c r="G38" s="70">
        <f t="shared" si="0"/>
        <v>0</v>
      </c>
      <c r="H38" s="69">
        <v>0</v>
      </c>
      <c r="I38" s="6">
        <v>0</v>
      </c>
      <c r="J38" s="70">
        <f t="shared" si="1"/>
        <v>0</v>
      </c>
      <c r="K38" s="70">
        <f t="shared" si="2"/>
        <v>0</v>
      </c>
      <c r="L38" s="70">
        <v>0</v>
      </c>
      <c r="M38" s="153">
        <f t="shared" si="3"/>
        <v>20613.942399999993</v>
      </c>
      <c r="N38" s="48" t="s">
        <v>117</v>
      </c>
    </row>
    <row r="39" spans="1:15">
      <c r="A39" s="6">
        <v>36</v>
      </c>
      <c r="B39" s="82"/>
      <c r="C39" s="6"/>
      <c r="D39" s="6"/>
      <c r="E39" s="69">
        <v>0</v>
      </c>
      <c r="F39" s="6">
        <v>0</v>
      </c>
      <c r="G39" s="70">
        <f t="shared" si="0"/>
        <v>0</v>
      </c>
      <c r="H39" s="69">
        <v>0</v>
      </c>
      <c r="I39" s="6">
        <v>0</v>
      </c>
      <c r="J39" s="70">
        <f t="shared" si="1"/>
        <v>0</v>
      </c>
      <c r="K39" s="70">
        <f t="shared" si="2"/>
        <v>0</v>
      </c>
      <c r="L39" s="70">
        <v>0</v>
      </c>
      <c r="M39" s="153">
        <f t="shared" si="3"/>
        <v>20613.942399999993</v>
      </c>
      <c r="N39" s="48" t="s">
        <v>117</v>
      </c>
    </row>
    <row r="40" spans="1:15">
      <c r="A40" s="6">
        <v>37</v>
      </c>
      <c r="B40" s="82"/>
      <c r="C40" s="6"/>
      <c r="D40" s="6"/>
      <c r="E40" s="69">
        <v>0</v>
      </c>
      <c r="F40" s="6">
        <v>0</v>
      </c>
      <c r="G40" s="70">
        <f t="shared" si="0"/>
        <v>0</v>
      </c>
      <c r="H40" s="69">
        <v>0</v>
      </c>
      <c r="I40" s="6">
        <v>0</v>
      </c>
      <c r="J40" s="70">
        <f t="shared" si="1"/>
        <v>0</v>
      </c>
      <c r="K40" s="70">
        <f t="shared" si="2"/>
        <v>0</v>
      </c>
      <c r="L40" s="70">
        <v>0</v>
      </c>
      <c r="M40" s="153">
        <f t="shared" si="3"/>
        <v>20613.942399999993</v>
      </c>
      <c r="N40" s="48" t="s">
        <v>117</v>
      </c>
    </row>
    <row r="41" spans="1:15">
      <c r="A41" s="6">
        <v>38</v>
      </c>
      <c r="B41" s="82"/>
      <c r="C41" s="6"/>
      <c r="D41" s="6"/>
      <c r="E41" s="69">
        <v>0</v>
      </c>
      <c r="F41" s="6">
        <v>0</v>
      </c>
      <c r="G41" s="70">
        <f t="shared" si="0"/>
        <v>0</v>
      </c>
      <c r="H41" s="69">
        <v>0</v>
      </c>
      <c r="I41" s="6">
        <v>0</v>
      </c>
      <c r="J41" s="70">
        <f t="shared" si="1"/>
        <v>0</v>
      </c>
      <c r="K41" s="70">
        <f t="shared" si="2"/>
        <v>0</v>
      </c>
      <c r="L41" s="70">
        <v>0</v>
      </c>
      <c r="M41" s="153">
        <f t="shared" si="3"/>
        <v>20613.942399999993</v>
      </c>
      <c r="N41" s="48" t="s">
        <v>117</v>
      </c>
    </row>
    <row r="42" spans="1:15">
      <c r="A42" s="175">
        <v>39</v>
      </c>
      <c r="B42" s="176"/>
      <c r="C42" s="175"/>
      <c r="D42" s="6"/>
      <c r="E42" s="69">
        <v>0</v>
      </c>
      <c r="F42" s="6">
        <v>0</v>
      </c>
      <c r="G42" s="70">
        <f t="shared" si="0"/>
        <v>0</v>
      </c>
      <c r="H42" s="69">
        <v>0</v>
      </c>
      <c r="I42" s="6">
        <v>0</v>
      </c>
      <c r="J42" s="70">
        <f t="shared" si="1"/>
        <v>0</v>
      </c>
      <c r="K42" s="70">
        <f t="shared" si="2"/>
        <v>0</v>
      </c>
      <c r="L42" s="70">
        <v>0</v>
      </c>
      <c r="M42" s="153">
        <f t="shared" si="3"/>
        <v>20613.942399999993</v>
      </c>
      <c r="N42" s="48" t="s">
        <v>117</v>
      </c>
    </row>
    <row r="43" spans="1:15">
      <c r="A43" s="6">
        <v>40</v>
      </c>
      <c r="B43" s="6"/>
      <c r="C43" s="6"/>
      <c r="D43" s="6"/>
      <c r="E43" s="69">
        <v>0</v>
      </c>
      <c r="F43" s="6">
        <v>0</v>
      </c>
      <c r="G43" s="70">
        <f t="shared" si="0"/>
        <v>0</v>
      </c>
      <c r="H43" s="69">
        <v>0</v>
      </c>
      <c r="I43" s="6">
        <v>0</v>
      </c>
      <c r="J43" s="70">
        <f t="shared" si="1"/>
        <v>0</v>
      </c>
      <c r="K43" s="70">
        <f t="shared" si="2"/>
        <v>0</v>
      </c>
      <c r="L43" s="70">
        <v>0</v>
      </c>
      <c r="M43" s="153">
        <f t="shared" si="3"/>
        <v>20613.942399999993</v>
      </c>
      <c r="N43" s="48" t="s">
        <v>117</v>
      </c>
    </row>
    <row r="44" spans="1:15">
      <c r="A44" s="175">
        <v>41</v>
      </c>
      <c r="B44" s="175"/>
      <c r="C44" s="175"/>
      <c r="D44" s="6"/>
      <c r="E44" s="69">
        <v>0</v>
      </c>
      <c r="F44" s="6">
        <v>0</v>
      </c>
      <c r="G44" s="70">
        <f t="shared" si="0"/>
        <v>0</v>
      </c>
      <c r="H44" s="69">
        <v>0</v>
      </c>
      <c r="I44" s="6">
        <v>0</v>
      </c>
      <c r="J44" s="70">
        <f t="shared" si="1"/>
        <v>0</v>
      </c>
      <c r="K44" s="70">
        <f t="shared" si="2"/>
        <v>0</v>
      </c>
      <c r="L44" s="70">
        <v>0</v>
      </c>
      <c r="M44" s="153">
        <f t="shared" si="3"/>
        <v>20613.942399999993</v>
      </c>
      <c r="N44" s="48" t="s">
        <v>117</v>
      </c>
    </row>
    <row r="45" spans="1:15">
      <c r="A45" s="175">
        <v>42</v>
      </c>
      <c r="B45" s="175"/>
      <c r="C45" s="175"/>
      <c r="D45" s="6"/>
      <c r="E45" s="69">
        <v>0</v>
      </c>
      <c r="F45" s="6">
        <v>0</v>
      </c>
      <c r="G45" s="70">
        <f t="shared" ref="G39:G45" si="4">E45*F45</f>
        <v>0</v>
      </c>
      <c r="H45" s="69">
        <v>0</v>
      </c>
      <c r="I45" s="6">
        <v>0</v>
      </c>
      <c r="J45" s="70">
        <f>H45*I45</f>
        <v>0</v>
      </c>
      <c r="K45" s="70">
        <f t="shared" ref="K39:K45" si="5">G45+J45</f>
        <v>0</v>
      </c>
      <c r="L45" s="167">
        <f t="shared" ref="L41:L45" si="6">+K45</f>
        <v>0</v>
      </c>
      <c r="M45" s="153">
        <f t="shared" si="3"/>
        <v>20613.942399999993</v>
      </c>
      <c r="N45" s="48" t="s">
        <v>117</v>
      </c>
    </row>
    <row r="46" spans="1:15">
      <c r="A46" s="66"/>
      <c r="B46" s="66"/>
      <c r="C46" s="66"/>
      <c r="D46" s="66"/>
      <c r="E46" s="67">
        <f>SUM(E4:E45)</f>
        <v>1199.7400000000002</v>
      </c>
      <c r="F46" s="67"/>
      <c r="G46" s="67">
        <f>SUM(G4:G45)</f>
        <v>109776.20999999999</v>
      </c>
      <c r="H46" s="67">
        <f>SUM(H4:H45)</f>
        <v>103.21</v>
      </c>
      <c r="I46" s="67"/>
      <c r="J46" s="67">
        <f>SUM(J4:J45)</f>
        <v>10673.848400000001</v>
      </c>
      <c r="K46" s="67">
        <f>SUM(K4:K45)</f>
        <v>120450.05839999998</v>
      </c>
      <c r="L46" s="67">
        <f>SUM(L4:L45)</f>
        <v>140652</v>
      </c>
      <c r="M46" s="67"/>
      <c r="N46" s="67"/>
      <c r="O46" s="63"/>
    </row>
  </sheetData>
  <mergeCells count="2">
    <mergeCell ref="A1:N1"/>
    <mergeCell ref="A3:L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1640F-B265-4AE1-820B-14F38CA64D84}">
  <sheetPr>
    <tabColor rgb="FF92D050"/>
  </sheetPr>
  <dimension ref="A1:O36"/>
  <sheetViews>
    <sheetView workbookViewId="0">
      <pane ySplit="2" topLeftCell="A19" activePane="bottomLeft" state="frozen"/>
      <selection pane="bottomLeft" activeCell="P33" sqref="P33"/>
    </sheetView>
  </sheetViews>
  <sheetFormatPr defaultRowHeight="15"/>
  <cols>
    <col min="1" max="1" width="5.28515625" style="5" bestFit="1" customWidth="1"/>
    <col min="2" max="2" width="16" style="5" bestFit="1" customWidth="1"/>
    <col min="3" max="3" width="8.140625" style="5" bestFit="1" customWidth="1"/>
    <col min="4" max="4" width="13.7109375" style="5" bestFit="1" customWidth="1"/>
    <col min="5" max="5" width="10.85546875" style="5" bestFit="1" customWidth="1"/>
    <col min="6" max="6" width="12.28515625" style="5" bestFit="1" customWidth="1"/>
    <col min="7" max="7" width="14.42578125" style="5" customWidth="1"/>
    <col min="8" max="8" width="10.85546875" style="5" bestFit="1" customWidth="1"/>
    <col min="9" max="9" width="8" style="5" bestFit="1" customWidth="1"/>
    <col min="10" max="10" width="11.7109375" style="5" customWidth="1"/>
    <col min="11" max="11" width="13.5703125" style="5" bestFit="1" customWidth="1"/>
    <col min="12" max="12" width="12.7109375" style="5" bestFit="1" customWidth="1"/>
    <col min="13" max="13" width="14.42578125" style="5" customWidth="1"/>
    <col min="14" max="14" width="17.28515625" style="5" customWidth="1"/>
    <col min="15" max="16384" width="9.140625" style="5"/>
  </cols>
  <sheetData>
    <row r="1" spans="1:15" ht="15.75">
      <c r="A1" s="389" t="s">
        <v>78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57"/>
    </row>
    <row r="2" spans="1:15">
      <c r="A2" s="102" t="s">
        <v>90</v>
      </c>
      <c r="B2" s="103" t="s">
        <v>91</v>
      </c>
      <c r="C2" s="103" t="s">
        <v>92</v>
      </c>
      <c r="D2" s="103" t="s">
        <v>107</v>
      </c>
      <c r="E2" s="103" t="s">
        <v>94</v>
      </c>
      <c r="F2" s="103" t="s">
        <v>95</v>
      </c>
      <c r="G2" s="103" t="s">
        <v>96</v>
      </c>
      <c r="H2" s="103" t="s">
        <v>97</v>
      </c>
      <c r="I2" s="103" t="s">
        <v>95</v>
      </c>
      <c r="J2" s="142" t="s">
        <v>96</v>
      </c>
      <c r="K2" s="104" t="s">
        <v>98</v>
      </c>
      <c r="L2" s="143" t="s">
        <v>99</v>
      </c>
      <c r="M2" s="147" t="s">
        <v>106</v>
      </c>
      <c r="N2" s="105" t="s">
        <v>101</v>
      </c>
      <c r="O2" s="63"/>
    </row>
    <row r="3" spans="1:15">
      <c r="A3" s="160"/>
      <c r="B3" s="17" t="s">
        <v>102</v>
      </c>
      <c r="C3" s="161"/>
      <c r="D3" s="161"/>
      <c r="E3" s="161"/>
      <c r="F3" s="161"/>
      <c r="G3" s="161"/>
      <c r="H3" s="161"/>
      <c r="I3" s="161"/>
      <c r="J3" s="162"/>
      <c r="K3" s="72">
        <v>188963.51950000002</v>
      </c>
      <c r="L3" s="163"/>
      <c r="M3" s="84">
        <f>+K3</f>
        <v>188963.51950000002</v>
      </c>
      <c r="N3" s="161"/>
      <c r="O3" s="63">
        <v>86559.56660000002</v>
      </c>
    </row>
    <row r="4" spans="1:15">
      <c r="A4" s="204">
        <v>1</v>
      </c>
      <c r="B4" s="230">
        <v>45901</v>
      </c>
      <c r="C4" s="71"/>
      <c r="D4" s="164"/>
      <c r="E4" s="69">
        <v>270</v>
      </c>
      <c r="F4" s="6">
        <v>91.23</v>
      </c>
      <c r="G4" s="8">
        <f>E4*F4</f>
        <v>24632.100000000002</v>
      </c>
      <c r="H4" s="69">
        <v>0</v>
      </c>
      <c r="I4" s="6">
        <v>0</v>
      </c>
      <c r="J4" s="8">
        <f>H4*I4</f>
        <v>0</v>
      </c>
      <c r="K4" s="8">
        <f>G4+J4</f>
        <v>24632.100000000002</v>
      </c>
      <c r="L4" s="72"/>
      <c r="M4" s="72">
        <f>M3+K4-L4</f>
        <v>213595.61950000003</v>
      </c>
      <c r="N4" s="43"/>
      <c r="O4" s="73"/>
    </row>
    <row r="5" spans="1:15">
      <c r="A5" s="48">
        <v>2</v>
      </c>
      <c r="B5" s="230">
        <v>45902</v>
      </c>
      <c r="C5" s="71"/>
      <c r="D5" s="75"/>
      <c r="E5" s="69">
        <v>39.15</v>
      </c>
      <c r="F5" s="6">
        <v>91.23</v>
      </c>
      <c r="G5" s="8">
        <f t="shared" ref="G5:G33" si="0">E5*F5</f>
        <v>3571.6545000000001</v>
      </c>
      <c r="H5" s="69">
        <v>14.29</v>
      </c>
      <c r="I5" s="6">
        <v>103.16</v>
      </c>
      <c r="J5" s="8">
        <f t="shared" ref="J5:J33" si="1">H5*I5</f>
        <v>1474.1563999999998</v>
      </c>
      <c r="K5" s="8">
        <f t="shared" ref="K5:K33" si="2">G5+J5</f>
        <v>5045.8109000000004</v>
      </c>
      <c r="L5" s="72"/>
      <c r="M5" s="72">
        <f t="shared" ref="M5:M19" si="3">M4+K5-L5</f>
        <v>218641.43040000004</v>
      </c>
      <c r="N5" s="43"/>
      <c r="O5" s="73"/>
    </row>
    <row r="6" spans="1:15">
      <c r="A6" s="48">
        <v>3</v>
      </c>
      <c r="B6" s="230">
        <v>45903</v>
      </c>
      <c r="C6" s="71"/>
      <c r="D6" s="75"/>
      <c r="E6" s="69">
        <v>0</v>
      </c>
      <c r="F6" s="6">
        <v>0</v>
      </c>
      <c r="G6" s="8">
        <f t="shared" si="0"/>
        <v>0</v>
      </c>
      <c r="H6" s="69">
        <v>0</v>
      </c>
      <c r="I6" s="6">
        <v>0</v>
      </c>
      <c r="J6" s="8">
        <f t="shared" si="1"/>
        <v>0</v>
      </c>
      <c r="K6" s="8">
        <f t="shared" si="2"/>
        <v>0</v>
      </c>
      <c r="L6" s="72"/>
      <c r="M6" s="72">
        <f t="shared" si="3"/>
        <v>218641.43040000004</v>
      </c>
      <c r="N6" s="43"/>
      <c r="O6" s="73"/>
    </row>
    <row r="7" spans="1:15">
      <c r="A7" s="48">
        <v>4</v>
      </c>
      <c r="B7" s="230">
        <v>45904</v>
      </c>
      <c r="C7" s="71"/>
      <c r="D7" s="75"/>
      <c r="E7" s="69">
        <v>0</v>
      </c>
      <c r="F7" s="6">
        <v>0</v>
      </c>
      <c r="G7" s="8">
        <f t="shared" si="0"/>
        <v>0</v>
      </c>
      <c r="H7" s="69">
        <v>0</v>
      </c>
      <c r="I7" s="6">
        <v>0</v>
      </c>
      <c r="J7" s="8">
        <f t="shared" si="1"/>
        <v>0</v>
      </c>
      <c r="K7" s="8">
        <f t="shared" si="2"/>
        <v>0</v>
      </c>
      <c r="L7" s="72"/>
      <c r="M7" s="72">
        <f t="shared" si="3"/>
        <v>218641.43040000004</v>
      </c>
      <c r="N7" s="43"/>
      <c r="O7" s="73"/>
    </row>
    <row r="8" spans="1:15">
      <c r="A8" s="48">
        <v>5</v>
      </c>
      <c r="B8" s="230">
        <v>45905</v>
      </c>
      <c r="C8" s="71"/>
      <c r="D8" s="75"/>
      <c r="E8" s="69">
        <v>0</v>
      </c>
      <c r="F8" s="6">
        <v>0</v>
      </c>
      <c r="G8" s="8">
        <f t="shared" si="0"/>
        <v>0</v>
      </c>
      <c r="H8" s="69">
        <v>0</v>
      </c>
      <c r="I8" s="6">
        <v>0</v>
      </c>
      <c r="J8" s="8">
        <f t="shared" si="1"/>
        <v>0</v>
      </c>
      <c r="K8" s="8">
        <f t="shared" si="2"/>
        <v>0</v>
      </c>
      <c r="L8" s="72"/>
      <c r="M8" s="72">
        <f t="shared" si="3"/>
        <v>218641.43040000004</v>
      </c>
      <c r="N8" s="43"/>
      <c r="O8" s="73"/>
    </row>
    <row r="9" spans="1:15">
      <c r="A9" s="48">
        <v>6</v>
      </c>
      <c r="B9" s="230">
        <v>45906</v>
      </c>
      <c r="C9" s="71"/>
      <c r="D9" s="75"/>
      <c r="E9" s="69">
        <v>0</v>
      </c>
      <c r="F9" s="6">
        <v>0</v>
      </c>
      <c r="G9" s="8">
        <f t="shared" si="0"/>
        <v>0</v>
      </c>
      <c r="H9" s="69">
        <v>0</v>
      </c>
      <c r="I9" s="6">
        <v>0</v>
      </c>
      <c r="J9" s="8">
        <f t="shared" si="1"/>
        <v>0</v>
      </c>
      <c r="K9" s="8">
        <f t="shared" si="2"/>
        <v>0</v>
      </c>
      <c r="L9" s="72"/>
      <c r="M9" s="72">
        <f t="shared" si="3"/>
        <v>218641.43040000004</v>
      </c>
      <c r="N9" s="43"/>
      <c r="O9" s="73"/>
    </row>
    <row r="10" spans="1:15">
      <c r="A10" s="48">
        <v>7</v>
      </c>
      <c r="B10" s="230">
        <v>45907</v>
      </c>
      <c r="C10" s="71"/>
      <c r="D10" s="75"/>
      <c r="E10" s="69">
        <v>178.23</v>
      </c>
      <c r="F10" s="6">
        <v>91.23</v>
      </c>
      <c r="G10" s="8">
        <f t="shared" si="0"/>
        <v>16259.9229</v>
      </c>
      <c r="H10" s="69">
        <v>10</v>
      </c>
      <c r="I10" s="6">
        <v>103.16</v>
      </c>
      <c r="J10" s="8">
        <f t="shared" si="1"/>
        <v>1031.5999999999999</v>
      </c>
      <c r="K10" s="8">
        <f t="shared" si="2"/>
        <v>17291.5229</v>
      </c>
      <c r="L10" s="72"/>
      <c r="M10" s="72">
        <f t="shared" si="3"/>
        <v>235932.95330000005</v>
      </c>
      <c r="N10" s="43"/>
      <c r="O10" s="73"/>
    </row>
    <row r="11" spans="1:15">
      <c r="A11" s="48">
        <v>8</v>
      </c>
      <c r="B11" s="230">
        <v>45908</v>
      </c>
      <c r="C11" s="71"/>
      <c r="D11" s="75"/>
      <c r="E11" s="69">
        <v>0</v>
      </c>
      <c r="F11" s="6">
        <v>0</v>
      </c>
      <c r="G11" s="8">
        <f t="shared" si="0"/>
        <v>0</v>
      </c>
      <c r="H11" s="69">
        <v>0</v>
      </c>
      <c r="I11" s="6">
        <v>0</v>
      </c>
      <c r="J11" s="8">
        <f t="shared" si="1"/>
        <v>0</v>
      </c>
      <c r="K11" s="8">
        <f t="shared" si="2"/>
        <v>0</v>
      </c>
      <c r="L11" s="72">
        <v>235933.5</v>
      </c>
      <c r="M11" s="72">
        <f t="shared" si="3"/>
        <v>-0.5466999999480322</v>
      </c>
      <c r="N11" s="43"/>
      <c r="O11" s="73"/>
    </row>
    <row r="12" spans="1:15">
      <c r="A12" s="48">
        <v>9</v>
      </c>
      <c r="B12" s="230">
        <v>45909</v>
      </c>
      <c r="C12" s="71"/>
      <c r="D12" s="75"/>
      <c r="E12" s="69">
        <v>0</v>
      </c>
      <c r="F12" s="6">
        <v>0</v>
      </c>
      <c r="G12" s="8">
        <f t="shared" si="0"/>
        <v>0</v>
      </c>
      <c r="H12" s="69">
        <v>0</v>
      </c>
      <c r="I12" s="6">
        <v>0</v>
      </c>
      <c r="J12" s="8">
        <f t="shared" si="1"/>
        <v>0</v>
      </c>
      <c r="K12" s="8">
        <f t="shared" si="2"/>
        <v>0</v>
      </c>
      <c r="L12" s="72"/>
      <c r="M12" s="72">
        <f t="shared" si="3"/>
        <v>-0.5466999999480322</v>
      </c>
      <c r="N12" s="43"/>
      <c r="O12" s="73"/>
    </row>
    <row r="13" spans="1:15">
      <c r="A13" s="48">
        <v>10</v>
      </c>
      <c r="B13" s="230">
        <v>45910</v>
      </c>
      <c r="C13" s="193"/>
      <c r="D13" s="194"/>
      <c r="E13" s="69">
        <v>41.69</v>
      </c>
      <c r="F13" s="6">
        <v>91.23</v>
      </c>
      <c r="G13" s="8">
        <f t="shared" si="0"/>
        <v>3803.3786999999998</v>
      </c>
      <c r="H13" s="69">
        <v>0</v>
      </c>
      <c r="I13" s="6">
        <v>0</v>
      </c>
      <c r="J13" s="8">
        <f t="shared" si="1"/>
        <v>0</v>
      </c>
      <c r="K13" s="8">
        <f t="shared" si="2"/>
        <v>3803.3786999999998</v>
      </c>
      <c r="L13" s="72"/>
      <c r="M13" s="72">
        <f>M12+K13-L13</f>
        <v>3802.8320000000517</v>
      </c>
      <c r="N13" s="43"/>
      <c r="O13" s="73"/>
    </row>
    <row r="14" spans="1:15">
      <c r="A14" s="48">
        <v>11</v>
      </c>
      <c r="B14" s="230">
        <v>45911</v>
      </c>
      <c r="C14" s="182"/>
      <c r="D14" s="182"/>
      <c r="E14" s="69">
        <v>0</v>
      </c>
      <c r="F14" s="6">
        <v>0</v>
      </c>
      <c r="G14" s="8">
        <f t="shared" si="0"/>
        <v>0</v>
      </c>
      <c r="H14" s="69">
        <v>8</v>
      </c>
      <c r="I14" s="6">
        <v>103.16</v>
      </c>
      <c r="J14" s="8">
        <f t="shared" si="1"/>
        <v>825.28</v>
      </c>
      <c r="K14" s="8">
        <f t="shared" si="2"/>
        <v>825.28</v>
      </c>
      <c r="L14" s="72"/>
      <c r="M14" s="72">
        <f t="shared" si="3"/>
        <v>4628.1120000000519</v>
      </c>
      <c r="N14" s="43"/>
      <c r="O14" s="73"/>
    </row>
    <row r="15" spans="1:15">
      <c r="A15" s="48">
        <v>12</v>
      </c>
      <c r="B15" s="230">
        <v>45912</v>
      </c>
      <c r="C15" s="182"/>
      <c r="D15" s="182"/>
      <c r="E15" s="69">
        <v>0</v>
      </c>
      <c r="F15" s="6">
        <v>0</v>
      </c>
      <c r="G15" s="8">
        <f t="shared" si="0"/>
        <v>0</v>
      </c>
      <c r="H15" s="69">
        <v>53.94</v>
      </c>
      <c r="I15" s="6">
        <v>103.16</v>
      </c>
      <c r="J15" s="8">
        <f t="shared" si="1"/>
        <v>5564.4503999999997</v>
      </c>
      <c r="K15" s="8">
        <f t="shared" si="2"/>
        <v>5564.4503999999997</v>
      </c>
      <c r="L15" s="72"/>
      <c r="M15" s="72">
        <f t="shared" si="3"/>
        <v>10192.562400000052</v>
      </c>
      <c r="N15" s="43"/>
      <c r="O15" s="73"/>
    </row>
    <row r="16" spans="1:15">
      <c r="A16" s="48">
        <v>13</v>
      </c>
      <c r="B16" s="230">
        <v>45913</v>
      </c>
      <c r="C16" s="182"/>
      <c r="D16" s="182"/>
      <c r="E16" s="69">
        <v>0</v>
      </c>
      <c r="F16" s="6">
        <v>0</v>
      </c>
      <c r="G16" s="8">
        <f t="shared" si="0"/>
        <v>0</v>
      </c>
      <c r="H16" s="69">
        <v>0</v>
      </c>
      <c r="I16" s="6">
        <v>0</v>
      </c>
      <c r="J16" s="8">
        <f t="shared" si="1"/>
        <v>0</v>
      </c>
      <c r="K16" s="8">
        <f t="shared" si="2"/>
        <v>0</v>
      </c>
      <c r="L16" s="72"/>
      <c r="M16" s="72">
        <f t="shared" si="3"/>
        <v>10192.562400000052</v>
      </c>
      <c r="N16" s="43"/>
      <c r="O16" s="73"/>
    </row>
    <row r="17" spans="1:15">
      <c r="A17" s="48">
        <v>14</v>
      </c>
      <c r="B17" s="230">
        <v>45914</v>
      </c>
      <c r="C17" s="182"/>
      <c r="D17" s="182"/>
      <c r="E17" s="69">
        <v>27.24</v>
      </c>
      <c r="F17" s="6">
        <v>91.23</v>
      </c>
      <c r="G17" s="8">
        <f t="shared" si="0"/>
        <v>2485.1052</v>
      </c>
      <c r="H17" s="69">
        <v>2</v>
      </c>
      <c r="I17" s="6">
        <v>103.16</v>
      </c>
      <c r="J17" s="8">
        <f t="shared" si="1"/>
        <v>206.32</v>
      </c>
      <c r="K17" s="8">
        <f t="shared" si="2"/>
        <v>2691.4252000000001</v>
      </c>
      <c r="L17" s="72"/>
      <c r="M17" s="72">
        <f t="shared" si="3"/>
        <v>12883.987600000051</v>
      </c>
      <c r="N17" s="43"/>
      <c r="O17" s="73"/>
    </row>
    <row r="18" spans="1:15">
      <c r="A18" s="48">
        <v>15</v>
      </c>
      <c r="B18" s="230">
        <v>45915</v>
      </c>
      <c r="C18" s="182"/>
      <c r="D18" s="182"/>
      <c r="E18" s="69">
        <v>0</v>
      </c>
      <c r="F18" s="6">
        <v>0</v>
      </c>
      <c r="G18" s="8">
        <f t="shared" si="0"/>
        <v>0</v>
      </c>
      <c r="H18" s="69">
        <v>0</v>
      </c>
      <c r="I18" s="6">
        <v>0</v>
      </c>
      <c r="J18" s="8">
        <f t="shared" si="1"/>
        <v>0</v>
      </c>
      <c r="K18" s="8">
        <f t="shared" si="2"/>
        <v>0</v>
      </c>
      <c r="L18" s="72"/>
      <c r="M18" s="72">
        <f t="shared" si="3"/>
        <v>12883.987600000051</v>
      </c>
      <c r="N18" s="43"/>
      <c r="O18" s="73"/>
    </row>
    <row r="19" spans="1:15">
      <c r="A19" s="48">
        <v>16</v>
      </c>
      <c r="B19" s="230">
        <v>45916</v>
      </c>
      <c r="C19" s="182"/>
      <c r="D19" s="182"/>
      <c r="E19" s="69">
        <v>43.05</v>
      </c>
      <c r="F19" s="6">
        <v>91.23</v>
      </c>
      <c r="G19" s="8">
        <f t="shared" si="0"/>
        <v>3927.4515000000001</v>
      </c>
      <c r="H19" s="69">
        <v>0</v>
      </c>
      <c r="I19" s="6">
        <v>0</v>
      </c>
      <c r="J19" s="8">
        <f t="shared" si="1"/>
        <v>0</v>
      </c>
      <c r="K19" s="8">
        <f t="shared" si="2"/>
        <v>3927.4515000000001</v>
      </c>
      <c r="L19" s="72"/>
      <c r="M19" s="72">
        <f t="shared" si="3"/>
        <v>16811.439100000051</v>
      </c>
      <c r="N19" s="43"/>
      <c r="O19" s="73"/>
    </row>
    <row r="20" spans="1:15">
      <c r="A20" s="48">
        <v>17</v>
      </c>
      <c r="B20" s="230">
        <v>45917</v>
      </c>
      <c r="C20" s="182"/>
      <c r="D20" s="182"/>
      <c r="E20" s="69">
        <v>154.21</v>
      </c>
      <c r="F20" s="6">
        <v>91.23</v>
      </c>
      <c r="G20" s="8">
        <f t="shared" si="0"/>
        <v>14068.578300000001</v>
      </c>
      <c r="H20" s="69">
        <v>5</v>
      </c>
      <c r="I20" s="6">
        <v>103.16</v>
      </c>
      <c r="J20" s="8">
        <f t="shared" si="1"/>
        <v>515.79999999999995</v>
      </c>
      <c r="K20" s="8">
        <f t="shared" si="2"/>
        <v>14584.3783</v>
      </c>
      <c r="L20" s="72"/>
      <c r="M20" s="72">
        <f t="shared" ref="M20:M34" si="4">M19+K20-L20</f>
        <v>31395.817400000051</v>
      </c>
      <c r="N20" s="43"/>
      <c r="O20" s="73"/>
    </row>
    <row r="21" spans="1:15">
      <c r="A21" s="48">
        <v>18</v>
      </c>
      <c r="B21" s="230">
        <v>45918</v>
      </c>
      <c r="C21" s="182"/>
      <c r="D21" s="182"/>
      <c r="E21" s="69">
        <v>35</v>
      </c>
      <c r="F21" s="6">
        <v>91.23</v>
      </c>
      <c r="G21" s="8">
        <f t="shared" si="0"/>
        <v>3193.05</v>
      </c>
      <c r="H21" s="69">
        <v>0</v>
      </c>
      <c r="I21" s="6">
        <v>0</v>
      </c>
      <c r="J21" s="8">
        <f t="shared" si="1"/>
        <v>0</v>
      </c>
      <c r="K21" s="8">
        <f t="shared" si="2"/>
        <v>3193.05</v>
      </c>
      <c r="L21" s="72"/>
      <c r="M21" s="72">
        <f t="shared" si="4"/>
        <v>34588.867400000054</v>
      </c>
      <c r="N21" s="43"/>
      <c r="O21" s="73"/>
    </row>
    <row r="22" spans="1:15">
      <c r="A22" s="48">
        <v>19</v>
      </c>
      <c r="B22" s="230">
        <v>45919</v>
      </c>
      <c r="C22" s="182"/>
      <c r="D22" s="182"/>
      <c r="E22" s="69">
        <v>39.43</v>
      </c>
      <c r="F22" s="6">
        <v>91.23</v>
      </c>
      <c r="G22" s="8">
        <f t="shared" si="0"/>
        <v>3597.1989000000003</v>
      </c>
      <c r="H22" s="69">
        <v>8</v>
      </c>
      <c r="I22" s="6">
        <v>103.16</v>
      </c>
      <c r="J22" s="8">
        <f t="shared" si="1"/>
        <v>825.28</v>
      </c>
      <c r="K22" s="8">
        <f t="shared" si="2"/>
        <v>4422.4789000000001</v>
      </c>
      <c r="L22" s="72"/>
      <c r="M22" s="72">
        <f t="shared" si="4"/>
        <v>39011.346300000056</v>
      </c>
      <c r="N22" s="43"/>
      <c r="O22" s="73"/>
    </row>
    <row r="23" spans="1:15">
      <c r="A23" s="48">
        <v>20</v>
      </c>
      <c r="B23" s="230">
        <v>45920</v>
      </c>
      <c r="C23" s="182"/>
      <c r="D23" s="182"/>
      <c r="E23" s="69">
        <v>0</v>
      </c>
      <c r="F23" s="6">
        <v>0</v>
      </c>
      <c r="G23" s="8">
        <f t="shared" si="0"/>
        <v>0</v>
      </c>
      <c r="H23" s="69">
        <v>0</v>
      </c>
      <c r="I23" s="6">
        <v>0</v>
      </c>
      <c r="J23" s="8">
        <f t="shared" si="1"/>
        <v>0</v>
      </c>
      <c r="K23" s="8">
        <f t="shared" si="2"/>
        <v>0</v>
      </c>
      <c r="L23" s="72"/>
      <c r="M23" s="72">
        <f t="shared" si="4"/>
        <v>39011.346300000056</v>
      </c>
      <c r="N23" s="43"/>
      <c r="O23" s="73"/>
    </row>
    <row r="24" spans="1:15">
      <c r="A24" s="48">
        <v>21</v>
      </c>
      <c r="B24" s="230">
        <v>45921</v>
      </c>
      <c r="C24" s="182"/>
      <c r="D24" s="182"/>
      <c r="E24" s="69">
        <v>0</v>
      </c>
      <c r="F24" s="6">
        <v>0</v>
      </c>
      <c r="G24" s="8">
        <f t="shared" si="0"/>
        <v>0</v>
      </c>
      <c r="H24" s="69">
        <v>0</v>
      </c>
      <c r="I24" s="6">
        <v>0</v>
      </c>
      <c r="J24" s="8">
        <f t="shared" si="1"/>
        <v>0</v>
      </c>
      <c r="K24" s="8">
        <f t="shared" si="2"/>
        <v>0</v>
      </c>
      <c r="L24" s="72"/>
      <c r="M24" s="72">
        <f t="shared" si="4"/>
        <v>39011.346300000056</v>
      </c>
      <c r="N24" s="43"/>
      <c r="O24" s="73"/>
    </row>
    <row r="25" spans="1:15">
      <c r="A25" s="48">
        <v>22</v>
      </c>
      <c r="B25" s="230">
        <v>45922</v>
      </c>
      <c r="C25" s="182"/>
      <c r="D25" s="182"/>
      <c r="E25" s="69">
        <v>44.29</v>
      </c>
      <c r="F25" s="6">
        <v>91.23</v>
      </c>
      <c r="G25" s="8">
        <f t="shared" si="0"/>
        <v>4040.5767000000001</v>
      </c>
      <c r="H25" s="69">
        <v>1.96</v>
      </c>
      <c r="I25" s="6">
        <v>103.16</v>
      </c>
      <c r="J25" s="8">
        <f t="shared" si="1"/>
        <v>202.1936</v>
      </c>
      <c r="K25" s="8">
        <f t="shared" si="2"/>
        <v>4242.7703000000001</v>
      </c>
      <c r="L25" s="72"/>
      <c r="M25" s="72">
        <f t="shared" si="4"/>
        <v>43254.116600000052</v>
      </c>
      <c r="N25" s="43"/>
      <c r="O25" s="73"/>
    </row>
    <row r="26" spans="1:15">
      <c r="A26" s="48">
        <v>23</v>
      </c>
      <c r="B26" s="230">
        <v>45923</v>
      </c>
      <c r="C26" s="219"/>
      <c r="D26" s="219"/>
      <c r="E26" s="69">
        <v>166.11</v>
      </c>
      <c r="F26" s="6">
        <v>91.23</v>
      </c>
      <c r="G26" s="8">
        <f t="shared" si="0"/>
        <v>15154.215300000002</v>
      </c>
      <c r="H26" s="69">
        <v>5</v>
      </c>
      <c r="I26" s="6">
        <v>103.16</v>
      </c>
      <c r="J26" s="8">
        <f t="shared" si="1"/>
        <v>515.79999999999995</v>
      </c>
      <c r="K26" s="8">
        <f t="shared" si="2"/>
        <v>15670.015300000001</v>
      </c>
      <c r="L26" s="72"/>
      <c r="M26" s="72">
        <f t="shared" si="4"/>
        <v>58924.131900000051</v>
      </c>
      <c r="N26" s="220"/>
      <c r="O26" s="73">
        <v>51702</v>
      </c>
    </row>
    <row r="27" spans="1:15">
      <c r="A27" s="48">
        <v>24</v>
      </c>
      <c r="B27" s="230">
        <v>45924</v>
      </c>
      <c r="C27" s="219"/>
      <c r="D27" s="219"/>
      <c r="E27" s="69">
        <v>39.04</v>
      </c>
      <c r="F27" s="6">
        <v>91.23</v>
      </c>
      <c r="G27" s="8">
        <f t="shared" si="0"/>
        <v>3561.6192000000001</v>
      </c>
      <c r="H27" s="69">
        <v>0</v>
      </c>
      <c r="I27" s="6">
        <v>0</v>
      </c>
      <c r="J27" s="8">
        <f t="shared" si="1"/>
        <v>0</v>
      </c>
      <c r="K27" s="8">
        <f t="shared" si="2"/>
        <v>3561.6192000000001</v>
      </c>
      <c r="L27" s="72"/>
      <c r="M27" s="72">
        <f t="shared" si="4"/>
        <v>62485.751100000052</v>
      </c>
      <c r="N27" s="220"/>
      <c r="O27" s="73"/>
    </row>
    <row r="28" spans="1:15">
      <c r="A28" s="232">
        <v>25</v>
      </c>
      <c r="B28" s="230">
        <v>45925</v>
      </c>
      <c r="C28" s="219"/>
      <c r="D28" s="219"/>
      <c r="E28" s="69">
        <v>0</v>
      </c>
      <c r="F28" s="6">
        <v>0</v>
      </c>
      <c r="G28" s="8">
        <f t="shared" si="0"/>
        <v>0</v>
      </c>
      <c r="H28" s="69">
        <v>0</v>
      </c>
      <c r="I28" s="6">
        <v>0</v>
      </c>
      <c r="J28" s="8">
        <f t="shared" si="1"/>
        <v>0</v>
      </c>
      <c r="K28" s="8">
        <f t="shared" si="2"/>
        <v>0</v>
      </c>
      <c r="L28" s="72"/>
      <c r="M28" s="72">
        <f>M27+K28-L28</f>
        <v>62485.751100000052</v>
      </c>
      <c r="N28" s="220"/>
      <c r="O28" s="73"/>
    </row>
    <row r="29" spans="1:15">
      <c r="A29" s="232">
        <v>26</v>
      </c>
      <c r="B29" s="230">
        <v>45926</v>
      </c>
      <c r="C29" s="219"/>
      <c r="D29" s="219"/>
      <c r="E29" s="69">
        <v>139.61000000000001</v>
      </c>
      <c r="F29" s="6">
        <v>91.23</v>
      </c>
      <c r="G29" s="8">
        <f t="shared" si="0"/>
        <v>12736.620300000002</v>
      </c>
      <c r="H29" s="69">
        <v>5</v>
      </c>
      <c r="I29" s="6">
        <v>103.16</v>
      </c>
      <c r="J29" s="8">
        <f t="shared" si="1"/>
        <v>515.79999999999995</v>
      </c>
      <c r="K29" s="8">
        <f t="shared" si="2"/>
        <v>13252.420300000002</v>
      </c>
      <c r="L29" s="72"/>
      <c r="M29" s="72">
        <f t="shared" si="4"/>
        <v>75738.17140000005</v>
      </c>
      <c r="N29" s="220"/>
      <c r="O29" s="73"/>
    </row>
    <row r="30" spans="1:15">
      <c r="A30" s="232">
        <v>27</v>
      </c>
      <c r="B30" s="230">
        <v>45927</v>
      </c>
      <c r="C30" s="219"/>
      <c r="D30" s="219"/>
      <c r="E30" s="69">
        <v>0</v>
      </c>
      <c r="F30" s="6">
        <v>0</v>
      </c>
      <c r="G30" s="8">
        <f t="shared" si="0"/>
        <v>0</v>
      </c>
      <c r="H30" s="69">
        <v>0</v>
      </c>
      <c r="I30" s="6">
        <v>0</v>
      </c>
      <c r="J30" s="8">
        <f t="shared" si="1"/>
        <v>0</v>
      </c>
      <c r="K30" s="8">
        <f t="shared" si="2"/>
        <v>0</v>
      </c>
      <c r="L30" s="72"/>
      <c r="M30" s="72">
        <f t="shared" si="4"/>
        <v>75738.17140000005</v>
      </c>
      <c r="N30" s="220"/>
      <c r="O30" s="73"/>
    </row>
    <row r="31" spans="1:15">
      <c r="A31" s="232">
        <v>28</v>
      </c>
      <c r="B31" s="230">
        <v>45928</v>
      </c>
      <c r="C31" s="219"/>
      <c r="D31" s="219"/>
      <c r="E31" s="69">
        <v>144.16</v>
      </c>
      <c r="F31" s="6">
        <v>91.23</v>
      </c>
      <c r="G31" s="8">
        <f t="shared" si="0"/>
        <v>13151.7168</v>
      </c>
      <c r="H31" s="69">
        <v>0</v>
      </c>
      <c r="I31" s="6">
        <v>0</v>
      </c>
      <c r="J31" s="8">
        <f t="shared" si="1"/>
        <v>0</v>
      </c>
      <c r="K31" s="8">
        <f t="shared" si="2"/>
        <v>13151.7168</v>
      </c>
      <c r="L31" s="72"/>
      <c r="M31" s="72">
        <f t="shared" si="4"/>
        <v>88889.888200000045</v>
      </c>
      <c r="N31" s="220"/>
      <c r="O31" s="73"/>
    </row>
    <row r="32" spans="1:15">
      <c r="A32" s="233">
        <v>29</v>
      </c>
      <c r="B32" s="230">
        <v>45929</v>
      </c>
      <c r="C32" s="219"/>
      <c r="D32" s="219"/>
      <c r="E32" s="69">
        <v>35</v>
      </c>
      <c r="F32" s="6">
        <v>91.23</v>
      </c>
      <c r="G32" s="8">
        <f t="shared" si="0"/>
        <v>3193.05</v>
      </c>
      <c r="H32" s="69">
        <v>7.75</v>
      </c>
      <c r="I32" s="6">
        <v>103.16</v>
      </c>
      <c r="J32" s="8">
        <f t="shared" si="1"/>
        <v>799.49</v>
      </c>
      <c r="K32" s="8">
        <f t="shared" si="2"/>
        <v>3992.54</v>
      </c>
      <c r="L32" s="72"/>
      <c r="M32" s="72">
        <f t="shared" si="4"/>
        <v>92882.428200000038</v>
      </c>
      <c r="N32" s="220"/>
      <c r="O32" s="73"/>
    </row>
    <row r="33" spans="1:15">
      <c r="A33" s="233">
        <v>30</v>
      </c>
      <c r="B33" s="230">
        <v>45930</v>
      </c>
      <c r="C33" s="219"/>
      <c r="D33" s="219"/>
      <c r="E33" s="69">
        <v>0</v>
      </c>
      <c r="F33" s="6">
        <v>0</v>
      </c>
      <c r="G33" s="8">
        <f t="shared" si="0"/>
        <v>0</v>
      </c>
      <c r="H33" s="69">
        <v>0</v>
      </c>
      <c r="I33" s="6">
        <v>0</v>
      </c>
      <c r="J33" s="8">
        <f t="shared" si="1"/>
        <v>0</v>
      </c>
      <c r="K33" s="8">
        <f t="shared" si="2"/>
        <v>0</v>
      </c>
      <c r="L33" s="72"/>
      <c r="M33" s="72">
        <f t="shared" si="4"/>
        <v>92882.428200000038</v>
      </c>
      <c r="N33" s="220"/>
      <c r="O33" s="73"/>
    </row>
    <row r="34" spans="1:15">
      <c r="A34" s="233">
        <v>31</v>
      </c>
      <c r="B34" s="230">
        <v>45931</v>
      </c>
      <c r="C34" s="219"/>
      <c r="D34" s="219"/>
      <c r="E34" s="69">
        <v>0</v>
      </c>
      <c r="F34" s="6">
        <v>0</v>
      </c>
      <c r="G34" s="8">
        <f t="shared" ref="G5:G34" si="5">E34*F34</f>
        <v>0</v>
      </c>
      <c r="H34" s="69">
        <v>0</v>
      </c>
      <c r="I34" s="6">
        <v>0</v>
      </c>
      <c r="J34" s="8">
        <f t="shared" ref="J5:J34" si="6">H34*I34</f>
        <v>0</v>
      </c>
      <c r="K34" s="8">
        <f t="shared" ref="K5:K34" si="7">G34+J34</f>
        <v>0</v>
      </c>
      <c r="L34" s="72"/>
      <c r="M34" s="72">
        <f t="shared" si="4"/>
        <v>92882.428200000038</v>
      </c>
      <c r="N34" s="220"/>
      <c r="O34" s="73"/>
    </row>
    <row r="35" spans="1:15">
      <c r="A35" s="165"/>
      <c r="B35" s="165"/>
      <c r="C35" s="165"/>
      <c r="D35" s="165"/>
      <c r="E35" s="166">
        <f>SUM(E4:E34)</f>
        <v>1396.2099999999998</v>
      </c>
      <c r="F35" s="166"/>
      <c r="G35" s="166">
        <f>SUM(G4:G34)</f>
        <v>127376.23830000001</v>
      </c>
      <c r="H35" s="166">
        <f>SUM(H4:H34)</f>
        <v>120.93999999999998</v>
      </c>
      <c r="I35" s="166"/>
      <c r="J35" s="166">
        <f>SUM(J4:J34)</f>
        <v>12476.170399999997</v>
      </c>
      <c r="K35" s="166">
        <f>SUM(K4:K34)</f>
        <v>139852.40870000003</v>
      </c>
      <c r="L35" s="166">
        <f>SUM(L4:L31)</f>
        <v>235933.5</v>
      </c>
      <c r="M35" s="166"/>
      <c r="N35" s="166"/>
      <c r="O35" s="63"/>
    </row>
    <row r="36" spans="1:15">
      <c r="A36" s="76"/>
      <c r="B36" s="77"/>
      <c r="C36" s="76"/>
      <c r="D36" s="76"/>
      <c r="E36" s="78"/>
      <c r="F36" s="78"/>
      <c r="G36" s="78"/>
      <c r="H36" s="78"/>
      <c r="I36" s="78"/>
      <c r="J36" s="79"/>
      <c r="K36" s="79"/>
      <c r="L36" s="79"/>
      <c r="M36" s="79"/>
      <c r="N36" s="78"/>
      <c r="O36" s="73"/>
    </row>
  </sheetData>
  <mergeCells count="1">
    <mergeCell ref="A1:N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5CC4A-1C0D-4BA5-8193-DD34ED85649F}">
  <sheetPr>
    <tabColor rgb="FF92D050"/>
  </sheetPr>
  <dimension ref="A1:P46"/>
  <sheetViews>
    <sheetView workbookViewId="0">
      <selection activeCell="R17" sqref="R17"/>
    </sheetView>
  </sheetViews>
  <sheetFormatPr defaultRowHeight="15"/>
  <cols>
    <col min="2" max="2" width="10.85546875" bestFit="1" customWidth="1"/>
    <col min="4" max="4" width="11.5703125" customWidth="1"/>
    <col min="7" max="7" width="13.5703125" customWidth="1"/>
    <col min="9" max="9" width="9.28515625" bestFit="1" customWidth="1"/>
    <col min="11" max="11" width="14.85546875" customWidth="1"/>
    <col min="12" max="12" width="15.5703125" customWidth="1"/>
    <col min="13" max="13" width="13.7109375" bestFit="1" customWidth="1"/>
    <col min="14" max="14" width="14.7109375" bestFit="1" customWidth="1"/>
  </cols>
  <sheetData>
    <row r="1" spans="1:16" ht="15.75">
      <c r="A1" s="397" t="s">
        <v>80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97"/>
      <c r="M1" s="397"/>
      <c r="N1" s="397"/>
      <c r="O1" s="5"/>
    </row>
    <row r="2" spans="1:16" ht="30.75">
      <c r="A2" s="68" t="s">
        <v>90</v>
      </c>
      <c r="B2" s="87" t="s">
        <v>91</v>
      </c>
      <c r="C2" s="87" t="s">
        <v>92</v>
      </c>
      <c r="D2" s="87" t="s">
        <v>107</v>
      </c>
      <c r="E2" s="87" t="s">
        <v>94</v>
      </c>
      <c r="F2" s="87" t="s">
        <v>95</v>
      </c>
      <c r="G2" s="94" t="s">
        <v>96</v>
      </c>
      <c r="H2" s="87" t="s">
        <v>97</v>
      </c>
      <c r="I2" s="87" t="s">
        <v>95</v>
      </c>
      <c r="J2" s="94" t="s">
        <v>96</v>
      </c>
      <c r="K2" s="68" t="s">
        <v>98</v>
      </c>
      <c r="L2" s="95" t="s">
        <v>99</v>
      </c>
      <c r="M2" s="89" t="s">
        <v>106</v>
      </c>
      <c r="N2" s="87" t="s">
        <v>101</v>
      </c>
      <c r="O2" s="5"/>
    </row>
    <row r="3" spans="1:16">
      <c r="A3" s="411" t="s">
        <v>102</v>
      </c>
      <c r="B3" s="412"/>
      <c r="C3" s="412"/>
      <c r="D3" s="412"/>
      <c r="E3" s="412"/>
      <c r="F3" s="412"/>
      <c r="G3" s="412"/>
      <c r="H3" s="412"/>
      <c r="I3" s="412"/>
      <c r="J3" s="412"/>
      <c r="K3" s="412"/>
      <c r="L3" s="413"/>
      <c r="M3" s="414">
        <v>31876.861399999994</v>
      </c>
      <c r="N3" s="415"/>
      <c r="O3" s="5"/>
    </row>
    <row r="4" spans="1:16">
      <c r="A4" s="204">
        <v>1</v>
      </c>
      <c r="B4" s="230"/>
      <c r="C4" s="6"/>
      <c r="D4" s="6"/>
      <c r="E4" s="69">
        <v>0</v>
      </c>
      <c r="F4" s="6">
        <v>0</v>
      </c>
      <c r="G4" s="70">
        <f>E4*F4</f>
        <v>0</v>
      </c>
      <c r="H4" s="69">
        <v>0</v>
      </c>
      <c r="I4" s="6">
        <v>0</v>
      </c>
      <c r="J4" s="70">
        <f>H4*I4</f>
        <v>0</v>
      </c>
      <c r="K4" s="70">
        <f>G4+J4</f>
        <v>0</v>
      </c>
      <c r="L4" s="167">
        <v>0</v>
      </c>
      <c r="M4" s="153">
        <f>M3+K4-L4</f>
        <v>31876.861399999994</v>
      </c>
      <c r="N4" s="48"/>
      <c r="O4" s="5">
        <v>908.20409999999981</v>
      </c>
    </row>
    <row r="5" spans="1:16">
      <c r="A5" s="48">
        <v>2</v>
      </c>
      <c r="B5" s="230"/>
      <c r="C5" s="6"/>
      <c r="D5" s="6"/>
      <c r="E5" s="69">
        <v>0</v>
      </c>
      <c r="F5" s="6">
        <v>0</v>
      </c>
      <c r="G5" s="70">
        <f t="shared" ref="G5:G42" si="0">E5*F5</f>
        <v>0</v>
      </c>
      <c r="H5" s="69">
        <v>0</v>
      </c>
      <c r="I5" s="6">
        <v>0</v>
      </c>
      <c r="J5" s="70">
        <f t="shared" ref="J5:J42" si="1">H5*I5</f>
        <v>0</v>
      </c>
      <c r="K5" s="70">
        <f t="shared" ref="K5:K42" si="2">G5+J5</f>
        <v>0</v>
      </c>
      <c r="L5" s="167">
        <v>0</v>
      </c>
      <c r="M5" s="153">
        <f t="shared" ref="M5:M43" si="3">M4+K5-L5</f>
        <v>31876.861399999994</v>
      </c>
      <c r="N5" s="48"/>
      <c r="O5" s="5"/>
    </row>
    <row r="6" spans="1:16">
      <c r="A6" s="48">
        <v>3</v>
      </c>
      <c r="B6" s="230"/>
      <c r="C6" s="6"/>
      <c r="D6" s="6"/>
      <c r="E6" s="69">
        <v>0</v>
      </c>
      <c r="F6" s="6">
        <v>0</v>
      </c>
      <c r="G6" s="70">
        <f t="shared" si="0"/>
        <v>0</v>
      </c>
      <c r="H6" s="69">
        <v>0</v>
      </c>
      <c r="I6" s="6">
        <v>0</v>
      </c>
      <c r="J6" s="70">
        <f t="shared" si="1"/>
        <v>0</v>
      </c>
      <c r="K6" s="70">
        <f t="shared" si="2"/>
        <v>0</v>
      </c>
      <c r="L6" s="167">
        <v>0</v>
      </c>
      <c r="M6" s="153">
        <f t="shared" si="3"/>
        <v>31876.861399999994</v>
      </c>
      <c r="N6" s="48"/>
      <c r="O6" s="5"/>
    </row>
    <row r="7" spans="1:16">
      <c r="A7" s="48">
        <v>4</v>
      </c>
      <c r="B7" s="230"/>
      <c r="C7" s="6"/>
      <c r="D7" s="6"/>
      <c r="E7" s="69">
        <v>0</v>
      </c>
      <c r="F7" s="6">
        <v>0</v>
      </c>
      <c r="G7" s="70">
        <f t="shared" si="0"/>
        <v>0</v>
      </c>
      <c r="H7" s="69">
        <v>0</v>
      </c>
      <c r="I7" s="6">
        <v>0</v>
      </c>
      <c r="J7" s="70">
        <f t="shared" si="1"/>
        <v>0</v>
      </c>
      <c r="K7" s="70">
        <f t="shared" si="2"/>
        <v>0</v>
      </c>
      <c r="L7" s="167">
        <v>0</v>
      </c>
      <c r="M7" s="153">
        <f t="shared" si="3"/>
        <v>31876.861399999994</v>
      </c>
      <c r="N7" s="48"/>
      <c r="O7" s="5"/>
    </row>
    <row r="8" spans="1:16">
      <c r="A8" s="48">
        <v>5</v>
      </c>
      <c r="B8" s="230"/>
      <c r="C8" s="6"/>
      <c r="D8" s="6"/>
      <c r="E8" s="69">
        <v>0</v>
      </c>
      <c r="F8" s="6">
        <v>0</v>
      </c>
      <c r="G8" s="70">
        <f t="shared" si="0"/>
        <v>0</v>
      </c>
      <c r="H8" s="69">
        <v>0</v>
      </c>
      <c r="I8" s="6">
        <v>0</v>
      </c>
      <c r="J8" s="70">
        <f t="shared" si="1"/>
        <v>0</v>
      </c>
      <c r="K8" s="70">
        <f t="shared" si="2"/>
        <v>0</v>
      </c>
      <c r="L8" s="167">
        <v>0</v>
      </c>
      <c r="M8" s="153">
        <f t="shared" si="3"/>
        <v>31876.861399999994</v>
      </c>
      <c r="N8" s="48"/>
      <c r="O8" s="5"/>
    </row>
    <row r="9" spans="1:16">
      <c r="A9" s="48">
        <v>6</v>
      </c>
      <c r="B9" s="230"/>
      <c r="C9" s="6"/>
      <c r="D9" s="6"/>
      <c r="E9" s="69">
        <v>0</v>
      </c>
      <c r="F9" s="6">
        <v>0</v>
      </c>
      <c r="G9" s="70">
        <f t="shared" si="0"/>
        <v>0</v>
      </c>
      <c r="H9" s="69">
        <v>0</v>
      </c>
      <c r="I9" s="6">
        <v>0</v>
      </c>
      <c r="J9" s="70">
        <f t="shared" si="1"/>
        <v>0</v>
      </c>
      <c r="K9" s="70">
        <f t="shared" si="2"/>
        <v>0</v>
      </c>
      <c r="L9" s="167">
        <v>0</v>
      </c>
      <c r="M9" s="153">
        <f t="shared" si="3"/>
        <v>31876.861399999994</v>
      </c>
      <c r="N9" s="48"/>
      <c r="O9" s="5"/>
    </row>
    <row r="10" spans="1:16">
      <c r="A10" s="48">
        <v>7</v>
      </c>
      <c r="B10" s="230"/>
      <c r="C10" s="6"/>
      <c r="D10" s="6"/>
      <c r="E10" s="69">
        <v>0</v>
      </c>
      <c r="F10" s="6">
        <v>0</v>
      </c>
      <c r="G10" s="70">
        <f t="shared" si="0"/>
        <v>0</v>
      </c>
      <c r="H10" s="69">
        <v>0</v>
      </c>
      <c r="I10" s="6">
        <v>0</v>
      </c>
      <c r="J10" s="70">
        <f t="shared" si="1"/>
        <v>0</v>
      </c>
      <c r="K10" s="70">
        <f t="shared" si="2"/>
        <v>0</v>
      </c>
      <c r="L10" s="167">
        <v>0</v>
      </c>
      <c r="M10" s="153">
        <f t="shared" si="3"/>
        <v>31876.861399999994</v>
      </c>
      <c r="N10" s="48"/>
      <c r="O10" s="5"/>
    </row>
    <row r="11" spans="1:16">
      <c r="A11" s="48">
        <v>8</v>
      </c>
      <c r="B11" s="230"/>
      <c r="C11" s="6"/>
      <c r="D11" s="6"/>
      <c r="E11" s="69">
        <v>0</v>
      </c>
      <c r="F11" s="6">
        <v>0</v>
      </c>
      <c r="G11" s="70">
        <f t="shared" si="0"/>
        <v>0</v>
      </c>
      <c r="H11" s="69">
        <v>0</v>
      </c>
      <c r="I11" s="6">
        <v>0</v>
      </c>
      <c r="J11" s="70">
        <f t="shared" si="1"/>
        <v>0</v>
      </c>
      <c r="K11" s="70">
        <f t="shared" si="2"/>
        <v>0</v>
      </c>
      <c r="L11" s="167">
        <v>0</v>
      </c>
      <c r="M11" s="153">
        <f t="shared" si="3"/>
        <v>31876.861399999994</v>
      </c>
      <c r="N11" s="48"/>
      <c r="O11" s="5"/>
      <c r="P11" s="72">
        <f>P10+N11-O11</f>
        <v>0</v>
      </c>
    </row>
    <row r="12" spans="1:16">
      <c r="A12" s="48">
        <v>9</v>
      </c>
      <c r="B12" s="230"/>
      <c r="C12" s="6"/>
      <c r="D12" s="6"/>
      <c r="E12" s="69">
        <v>0</v>
      </c>
      <c r="F12" s="6">
        <v>0</v>
      </c>
      <c r="G12" s="70">
        <f t="shared" si="0"/>
        <v>0</v>
      </c>
      <c r="H12" s="69">
        <v>0</v>
      </c>
      <c r="I12" s="6">
        <v>0</v>
      </c>
      <c r="J12" s="70">
        <f t="shared" si="1"/>
        <v>0</v>
      </c>
      <c r="K12" s="70">
        <f t="shared" si="2"/>
        <v>0</v>
      </c>
      <c r="L12" s="167">
        <v>0</v>
      </c>
      <c r="M12" s="153">
        <f t="shared" si="3"/>
        <v>31876.861399999994</v>
      </c>
      <c r="N12" s="48"/>
      <c r="O12" s="5"/>
    </row>
    <row r="13" spans="1:16">
      <c r="A13" s="48">
        <v>10</v>
      </c>
      <c r="B13" s="230"/>
      <c r="C13" s="6"/>
      <c r="D13" s="6"/>
      <c r="E13" s="69">
        <v>0</v>
      </c>
      <c r="F13" s="6">
        <v>0</v>
      </c>
      <c r="G13" s="70">
        <f t="shared" si="0"/>
        <v>0</v>
      </c>
      <c r="H13" s="69">
        <v>0</v>
      </c>
      <c r="I13" s="6">
        <v>0</v>
      </c>
      <c r="J13" s="70">
        <f t="shared" si="1"/>
        <v>0</v>
      </c>
      <c r="K13" s="70">
        <f t="shared" si="2"/>
        <v>0</v>
      </c>
      <c r="L13" s="167">
        <v>31876.861399999994</v>
      </c>
      <c r="M13" s="153">
        <f t="shared" si="3"/>
        <v>0</v>
      </c>
      <c r="N13" s="48"/>
      <c r="O13" s="5"/>
    </row>
    <row r="14" spans="1:16">
      <c r="A14" s="48">
        <v>11</v>
      </c>
      <c r="B14" s="230"/>
      <c r="C14" s="6"/>
      <c r="D14" s="6"/>
      <c r="E14" s="69">
        <v>0</v>
      </c>
      <c r="F14" s="6">
        <v>0</v>
      </c>
      <c r="G14" s="70">
        <f t="shared" si="0"/>
        <v>0</v>
      </c>
      <c r="H14" s="69">
        <v>0</v>
      </c>
      <c r="I14" s="6">
        <v>0</v>
      </c>
      <c r="J14" s="70">
        <f t="shared" si="1"/>
        <v>0</v>
      </c>
      <c r="K14" s="70">
        <f t="shared" si="2"/>
        <v>0</v>
      </c>
      <c r="L14" s="167">
        <v>0</v>
      </c>
      <c r="M14" s="153">
        <f t="shared" si="3"/>
        <v>0</v>
      </c>
      <c r="N14" s="48"/>
      <c r="O14" s="5"/>
    </row>
    <row r="15" spans="1:16">
      <c r="A15" s="48">
        <v>12</v>
      </c>
      <c r="B15" s="230"/>
      <c r="C15" s="6"/>
      <c r="D15" s="6"/>
      <c r="E15" s="69">
        <v>0</v>
      </c>
      <c r="F15" s="6">
        <v>0</v>
      </c>
      <c r="G15" s="70">
        <f t="shared" si="0"/>
        <v>0</v>
      </c>
      <c r="H15" s="69">
        <v>0</v>
      </c>
      <c r="I15" s="6">
        <v>0</v>
      </c>
      <c r="J15" s="70">
        <f t="shared" si="1"/>
        <v>0</v>
      </c>
      <c r="K15" s="70">
        <f t="shared" si="2"/>
        <v>0</v>
      </c>
      <c r="L15" s="167">
        <v>0</v>
      </c>
      <c r="M15" s="153">
        <f t="shared" si="3"/>
        <v>0</v>
      </c>
      <c r="N15" s="48"/>
      <c r="O15" s="5"/>
    </row>
    <row r="16" spans="1:16">
      <c r="A16" s="48">
        <v>13</v>
      </c>
      <c r="B16" s="230"/>
      <c r="C16" s="6"/>
      <c r="D16" s="6"/>
      <c r="E16" s="69">
        <v>0</v>
      </c>
      <c r="F16" s="6">
        <v>0</v>
      </c>
      <c r="G16" s="70">
        <f t="shared" si="0"/>
        <v>0</v>
      </c>
      <c r="H16" s="69">
        <v>0</v>
      </c>
      <c r="I16" s="6">
        <v>0</v>
      </c>
      <c r="J16" s="70">
        <f t="shared" si="1"/>
        <v>0</v>
      </c>
      <c r="K16" s="70">
        <f t="shared" si="2"/>
        <v>0</v>
      </c>
      <c r="L16" s="167">
        <v>0</v>
      </c>
      <c r="M16" s="153">
        <f t="shared" si="3"/>
        <v>0</v>
      </c>
      <c r="N16" s="48"/>
      <c r="O16" s="5"/>
    </row>
    <row r="17" spans="1:15">
      <c r="A17" s="48">
        <v>14</v>
      </c>
      <c r="B17" s="230"/>
      <c r="C17" s="6"/>
      <c r="D17" s="6"/>
      <c r="E17" s="69">
        <v>0</v>
      </c>
      <c r="F17" s="6">
        <v>0</v>
      </c>
      <c r="G17" s="70">
        <f t="shared" si="0"/>
        <v>0</v>
      </c>
      <c r="H17" s="69">
        <v>0</v>
      </c>
      <c r="I17" s="6">
        <v>0</v>
      </c>
      <c r="J17" s="70">
        <f t="shared" si="1"/>
        <v>0</v>
      </c>
      <c r="K17" s="70">
        <f t="shared" si="2"/>
        <v>0</v>
      </c>
      <c r="L17" s="167">
        <v>0</v>
      </c>
      <c r="M17" s="153">
        <f t="shared" si="3"/>
        <v>0</v>
      </c>
      <c r="N17" s="48"/>
      <c r="O17" s="5"/>
    </row>
    <row r="18" spans="1:15">
      <c r="A18" s="48">
        <v>15</v>
      </c>
      <c r="B18" s="230"/>
      <c r="C18" s="6"/>
      <c r="D18" s="6"/>
      <c r="E18" s="69">
        <v>0</v>
      </c>
      <c r="F18" s="6">
        <v>0</v>
      </c>
      <c r="G18" s="70">
        <f t="shared" si="0"/>
        <v>0</v>
      </c>
      <c r="H18" s="69">
        <v>0</v>
      </c>
      <c r="I18" s="6">
        <v>0</v>
      </c>
      <c r="J18" s="70">
        <f t="shared" si="1"/>
        <v>0</v>
      </c>
      <c r="K18" s="70">
        <f t="shared" si="2"/>
        <v>0</v>
      </c>
      <c r="L18" s="167">
        <v>0</v>
      </c>
      <c r="M18" s="153">
        <f>M17+K18-L18</f>
        <v>0</v>
      </c>
      <c r="N18" s="48"/>
      <c r="O18" s="5"/>
    </row>
    <row r="19" spans="1:15">
      <c r="A19" s="48">
        <v>16</v>
      </c>
      <c r="B19" s="230"/>
      <c r="C19" s="6"/>
      <c r="D19" s="6"/>
      <c r="E19" s="69">
        <v>0</v>
      </c>
      <c r="F19" s="6">
        <v>0</v>
      </c>
      <c r="G19" s="70">
        <f t="shared" si="0"/>
        <v>0</v>
      </c>
      <c r="H19" s="69">
        <v>0</v>
      </c>
      <c r="I19" s="6">
        <v>0</v>
      </c>
      <c r="J19" s="70">
        <f t="shared" si="1"/>
        <v>0</v>
      </c>
      <c r="K19" s="70">
        <f t="shared" si="2"/>
        <v>0</v>
      </c>
      <c r="L19" s="167">
        <v>0</v>
      </c>
      <c r="M19" s="153">
        <f t="shared" si="3"/>
        <v>0</v>
      </c>
      <c r="N19" s="48"/>
      <c r="O19" s="5"/>
    </row>
    <row r="20" spans="1:15">
      <c r="A20" s="48">
        <v>17</v>
      </c>
      <c r="B20" s="230"/>
      <c r="C20" s="6"/>
      <c r="D20" s="6"/>
      <c r="E20" s="69">
        <v>0</v>
      </c>
      <c r="F20" s="6">
        <v>0</v>
      </c>
      <c r="G20" s="70">
        <f t="shared" si="0"/>
        <v>0</v>
      </c>
      <c r="H20" s="69">
        <v>0</v>
      </c>
      <c r="I20" s="6">
        <v>0</v>
      </c>
      <c r="J20" s="70">
        <f t="shared" si="1"/>
        <v>0</v>
      </c>
      <c r="K20" s="70">
        <f t="shared" si="2"/>
        <v>0</v>
      </c>
      <c r="L20" s="167">
        <v>0</v>
      </c>
      <c r="M20" s="153">
        <f t="shared" si="3"/>
        <v>0</v>
      </c>
      <c r="N20" s="48"/>
      <c r="O20" s="5"/>
    </row>
    <row r="21" spans="1:15">
      <c r="A21" s="48">
        <v>18</v>
      </c>
      <c r="B21" s="230"/>
      <c r="C21" s="6"/>
      <c r="D21" s="6"/>
      <c r="E21" s="69">
        <v>0</v>
      </c>
      <c r="F21" s="6">
        <v>0</v>
      </c>
      <c r="G21" s="70">
        <f t="shared" si="0"/>
        <v>0</v>
      </c>
      <c r="H21" s="69">
        <v>0</v>
      </c>
      <c r="I21" s="6">
        <v>0</v>
      </c>
      <c r="J21" s="70">
        <f t="shared" si="1"/>
        <v>0</v>
      </c>
      <c r="K21" s="70">
        <f t="shared" si="2"/>
        <v>0</v>
      </c>
      <c r="L21" s="167">
        <v>0</v>
      </c>
      <c r="M21" s="153">
        <f t="shared" si="3"/>
        <v>0</v>
      </c>
      <c r="N21" s="48"/>
      <c r="O21" s="5"/>
    </row>
    <row r="22" spans="1:15">
      <c r="A22" s="48">
        <v>19</v>
      </c>
      <c r="B22" s="230"/>
      <c r="C22" s="6"/>
      <c r="D22" s="6"/>
      <c r="E22" s="69">
        <v>0</v>
      </c>
      <c r="F22" s="6">
        <v>0</v>
      </c>
      <c r="G22" s="70">
        <f t="shared" si="0"/>
        <v>0</v>
      </c>
      <c r="H22" s="69">
        <v>0</v>
      </c>
      <c r="I22" s="6">
        <v>0</v>
      </c>
      <c r="J22" s="70">
        <f t="shared" si="1"/>
        <v>0</v>
      </c>
      <c r="K22" s="70">
        <f t="shared" si="2"/>
        <v>0</v>
      </c>
      <c r="L22" s="167">
        <v>0</v>
      </c>
      <c r="M22" s="153">
        <f t="shared" si="3"/>
        <v>0</v>
      </c>
      <c r="N22" s="48"/>
      <c r="O22" s="5"/>
    </row>
    <row r="23" spans="1:15">
      <c r="A23" s="48">
        <v>20</v>
      </c>
      <c r="B23" s="230"/>
      <c r="C23" s="6"/>
      <c r="D23" s="6"/>
      <c r="E23" s="69">
        <v>0</v>
      </c>
      <c r="F23" s="6">
        <v>0</v>
      </c>
      <c r="G23" s="70">
        <f t="shared" si="0"/>
        <v>0</v>
      </c>
      <c r="H23" s="69">
        <v>0</v>
      </c>
      <c r="I23" s="6">
        <v>0</v>
      </c>
      <c r="J23" s="70">
        <f t="shared" si="1"/>
        <v>0</v>
      </c>
      <c r="K23" s="70">
        <f t="shared" si="2"/>
        <v>0</v>
      </c>
      <c r="L23" s="167">
        <v>0</v>
      </c>
      <c r="M23" s="153">
        <f t="shared" si="3"/>
        <v>0</v>
      </c>
      <c r="N23" s="48"/>
      <c r="O23" s="5"/>
    </row>
    <row r="24" spans="1:15">
      <c r="A24" s="48">
        <v>21</v>
      </c>
      <c r="B24" s="230"/>
      <c r="C24" s="6"/>
      <c r="D24" s="6"/>
      <c r="E24" s="69">
        <v>0</v>
      </c>
      <c r="F24" s="6">
        <v>0</v>
      </c>
      <c r="G24" s="70">
        <f t="shared" si="0"/>
        <v>0</v>
      </c>
      <c r="H24" s="69">
        <v>0</v>
      </c>
      <c r="I24" s="6">
        <v>0</v>
      </c>
      <c r="J24" s="70">
        <f t="shared" si="1"/>
        <v>0</v>
      </c>
      <c r="K24" s="70">
        <f t="shared" si="2"/>
        <v>0</v>
      </c>
      <c r="L24" s="167">
        <v>0</v>
      </c>
      <c r="M24" s="153">
        <f t="shared" si="3"/>
        <v>0</v>
      </c>
      <c r="N24" s="48"/>
      <c r="O24" s="5"/>
    </row>
    <row r="25" spans="1:15">
      <c r="A25" s="48">
        <v>22</v>
      </c>
      <c r="B25" s="230"/>
      <c r="C25" s="6"/>
      <c r="D25" s="6"/>
      <c r="E25" s="69">
        <v>0</v>
      </c>
      <c r="F25" s="6">
        <v>0</v>
      </c>
      <c r="G25" s="70">
        <f t="shared" si="0"/>
        <v>0</v>
      </c>
      <c r="H25" s="69">
        <v>0</v>
      </c>
      <c r="I25" s="6">
        <v>0</v>
      </c>
      <c r="J25" s="70">
        <f t="shared" si="1"/>
        <v>0</v>
      </c>
      <c r="K25" s="70">
        <f t="shared" si="2"/>
        <v>0</v>
      </c>
      <c r="L25" s="167">
        <v>0</v>
      </c>
      <c r="M25" s="153">
        <f t="shared" si="3"/>
        <v>0</v>
      </c>
      <c r="N25" s="48"/>
      <c r="O25" s="5"/>
    </row>
    <row r="26" spans="1:15">
      <c r="A26" s="48">
        <v>23</v>
      </c>
      <c r="B26" s="230"/>
      <c r="C26" s="6"/>
      <c r="D26" s="6"/>
      <c r="E26" s="69">
        <v>0</v>
      </c>
      <c r="F26" s="6">
        <v>0</v>
      </c>
      <c r="G26" s="70">
        <f t="shared" si="0"/>
        <v>0</v>
      </c>
      <c r="H26" s="69">
        <v>0</v>
      </c>
      <c r="I26" s="6">
        <v>0</v>
      </c>
      <c r="J26" s="70">
        <f t="shared" si="1"/>
        <v>0</v>
      </c>
      <c r="K26" s="70">
        <f t="shared" si="2"/>
        <v>0</v>
      </c>
      <c r="L26" s="167">
        <v>0</v>
      </c>
      <c r="M26" s="153">
        <f t="shared" si="3"/>
        <v>0</v>
      </c>
      <c r="N26" s="48"/>
      <c r="O26" s="5"/>
    </row>
    <row r="27" spans="1:15">
      <c r="A27" s="48">
        <v>24</v>
      </c>
      <c r="B27" s="230"/>
      <c r="C27" s="6"/>
      <c r="D27" s="6"/>
      <c r="E27" s="69">
        <v>0</v>
      </c>
      <c r="F27" s="6">
        <v>0</v>
      </c>
      <c r="G27" s="70">
        <f t="shared" si="0"/>
        <v>0</v>
      </c>
      <c r="H27" s="69">
        <v>0</v>
      </c>
      <c r="I27" s="6">
        <v>0</v>
      </c>
      <c r="J27" s="70">
        <f t="shared" si="1"/>
        <v>0</v>
      </c>
      <c r="K27" s="70">
        <f t="shared" si="2"/>
        <v>0</v>
      </c>
      <c r="L27" s="167">
        <v>0</v>
      </c>
      <c r="M27" s="153">
        <f t="shared" si="3"/>
        <v>0</v>
      </c>
      <c r="N27" s="6"/>
      <c r="O27" s="5"/>
    </row>
    <row r="28" spans="1:15">
      <c r="A28" s="232">
        <v>25</v>
      </c>
      <c r="B28" s="230"/>
      <c r="C28" s="6"/>
      <c r="D28" s="6"/>
      <c r="E28" s="69">
        <v>0</v>
      </c>
      <c r="F28" s="6">
        <v>0</v>
      </c>
      <c r="G28" s="70">
        <f t="shared" si="0"/>
        <v>0</v>
      </c>
      <c r="H28" s="69">
        <v>0</v>
      </c>
      <c r="I28" s="6">
        <v>0</v>
      </c>
      <c r="J28" s="70">
        <f t="shared" si="1"/>
        <v>0</v>
      </c>
      <c r="K28" s="70">
        <f t="shared" si="2"/>
        <v>0</v>
      </c>
      <c r="L28" s="167">
        <v>0</v>
      </c>
      <c r="M28" s="153">
        <f t="shared" si="3"/>
        <v>0</v>
      </c>
      <c r="N28" s="6"/>
      <c r="O28" s="5"/>
    </row>
    <row r="29" spans="1:15">
      <c r="A29" s="232">
        <v>26</v>
      </c>
      <c r="B29" s="230"/>
      <c r="C29" s="6"/>
      <c r="D29" s="6"/>
      <c r="E29" s="69">
        <v>0</v>
      </c>
      <c r="F29" s="6">
        <v>0</v>
      </c>
      <c r="G29" s="70">
        <f t="shared" si="0"/>
        <v>0</v>
      </c>
      <c r="H29" s="69">
        <v>0</v>
      </c>
      <c r="I29" s="6">
        <v>0</v>
      </c>
      <c r="J29" s="70">
        <f t="shared" si="1"/>
        <v>0</v>
      </c>
      <c r="K29" s="70">
        <f t="shared" si="2"/>
        <v>0</v>
      </c>
      <c r="L29" s="167">
        <v>0</v>
      </c>
      <c r="M29" s="153">
        <f t="shared" si="3"/>
        <v>0</v>
      </c>
      <c r="N29" s="6"/>
      <c r="O29" s="5"/>
    </row>
    <row r="30" spans="1:15">
      <c r="A30" s="232">
        <v>27</v>
      </c>
      <c r="B30" s="230"/>
      <c r="C30" s="6"/>
      <c r="D30" s="6"/>
      <c r="E30" s="69">
        <v>0</v>
      </c>
      <c r="F30" s="6">
        <v>0</v>
      </c>
      <c r="G30" s="70">
        <f t="shared" si="0"/>
        <v>0</v>
      </c>
      <c r="H30" s="69">
        <v>0</v>
      </c>
      <c r="I30" s="6">
        <v>0</v>
      </c>
      <c r="J30" s="70">
        <f t="shared" si="1"/>
        <v>0</v>
      </c>
      <c r="K30" s="70">
        <f t="shared" si="2"/>
        <v>0</v>
      </c>
      <c r="L30" s="167">
        <v>0</v>
      </c>
      <c r="M30" s="153">
        <f t="shared" si="3"/>
        <v>0</v>
      </c>
      <c r="N30" s="6"/>
      <c r="O30" s="5"/>
    </row>
    <row r="31" spans="1:15">
      <c r="A31" s="232">
        <v>28</v>
      </c>
      <c r="B31" s="230"/>
      <c r="C31" s="6"/>
      <c r="D31" s="6"/>
      <c r="E31" s="69">
        <v>0</v>
      </c>
      <c r="F31" s="6">
        <v>0</v>
      </c>
      <c r="G31" s="70">
        <f t="shared" si="0"/>
        <v>0</v>
      </c>
      <c r="H31" s="69">
        <v>0</v>
      </c>
      <c r="I31" s="6">
        <v>0</v>
      </c>
      <c r="J31" s="70">
        <f t="shared" si="1"/>
        <v>0</v>
      </c>
      <c r="K31" s="70">
        <f t="shared" si="2"/>
        <v>0</v>
      </c>
      <c r="L31" s="167">
        <v>0</v>
      </c>
      <c r="M31" s="153">
        <f t="shared" si="3"/>
        <v>0</v>
      </c>
      <c r="N31" s="6"/>
      <c r="O31" s="5"/>
    </row>
    <row r="32" spans="1:15">
      <c r="A32" s="233">
        <v>29</v>
      </c>
      <c r="B32" s="230"/>
      <c r="C32" s="6"/>
      <c r="D32" s="6"/>
      <c r="E32" s="69">
        <v>0</v>
      </c>
      <c r="F32" s="6">
        <v>0</v>
      </c>
      <c r="G32" s="70">
        <f t="shared" si="0"/>
        <v>0</v>
      </c>
      <c r="H32" s="69">
        <v>0</v>
      </c>
      <c r="I32" s="6">
        <v>0</v>
      </c>
      <c r="J32" s="70">
        <f t="shared" si="1"/>
        <v>0</v>
      </c>
      <c r="K32" s="70">
        <f t="shared" si="2"/>
        <v>0</v>
      </c>
      <c r="L32" s="167">
        <v>0</v>
      </c>
      <c r="M32" s="153">
        <f t="shared" si="3"/>
        <v>0</v>
      </c>
      <c r="N32" s="6"/>
      <c r="O32" s="5"/>
    </row>
    <row r="33" spans="1:15">
      <c r="A33" s="233">
        <v>30</v>
      </c>
      <c r="B33" s="230"/>
      <c r="C33" s="6"/>
      <c r="D33" s="6"/>
      <c r="E33" s="69">
        <v>0</v>
      </c>
      <c r="F33" s="6">
        <v>0</v>
      </c>
      <c r="G33" s="70">
        <f t="shared" si="0"/>
        <v>0</v>
      </c>
      <c r="H33" s="69">
        <v>0</v>
      </c>
      <c r="I33" s="6">
        <v>0</v>
      </c>
      <c r="J33" s="70">
        <f t="shared" si="1"/>
        <v>0</v>
      </c>
      <c r="K33" s="70">
        <f t="shared" si="2"/>
        <v>0</v>
      </c>
      <c r="L33" s="167">
        <v>0</v>
      </c>
      <c r="M33" s="153">
        <f t="shared" si="3"/>
        <v>0</v>
      </c>
      <c r="N33" s="6"/>
      <c r="O33" s="5"/>
    </row>
    <row r="34" spans="1:15">
      <c r="A34" s="233">
        <v>31</v>
      </c>
      <c r="B34" s="230"/>
      <c r="C34" s="6"/>
      <c r="D34" s="6"/>
      <c r="E34" s="69">
        <v>0</v>
      </c>
      <c r="F34" s="6">
        <v>0</v>
      </c>
      <c r="G34" s="70">
        <f t="shared" si="0"/>
        <v>0</v>
      </c>
      <c r="H34" s="69">
        <v>0</v>
      </c>
      <c r="I34" s="6">
        <v>0</v>
      </c>
      <c r="J34" s="70">
        <f t="shared" si="1"/>
        <v>0</v>
      </c>
      <c r="K34" s="70">
        <f t="shared" si="2"/>
        <v>0</v>
      </c>
      <c r="L34" s="167">
        <v>0</v>
      </c>
      <c r="M34" s="153">
        <f t="shared" si="3"/>
        <v>0</v>
      </c>
      <c r="N34" s="6"/>
      <c r="O34" s="5"/>
    </row>
    <row r="35" spans="1:15">
      <c r="A35" s="6">
        <v>34</v>
      </c>
      <c r="B35" s="82"/>
      <c r="C35" s="6"/>
      <c r="D35" s="6"/>
      <c r="E35" s="69">
        <v>0</v>
      </c>
      <c r="F35" s="6">
        <v>0</v>
      </c>
      <c r="G35" s="70">
        <f t="shared" si="0"/>
        <v>0</v>
      </c>
      <c r="H35" s="69">
        <v>0</v>
      </c>
      <c r="I35" s="6">
        <v>0</v>
      </c>
      <c r="J35" s="70">
        <f t="shared" si="1"/>
        <v>0</v>
      </c>
      <c r="K35" s="70">
        <f t="shared" si="2"/>
        <v>0</v>
      </c>
      <c r="L35" s="167">
        <v>0</v>
      </c>
      <c r="M35" s="153">
        <f t="shared" si="3"/>
        <v>0</v>
      </c>
      <c r="N35" s="6"/>
      <c r="O35" s="5"/>
    </row>
    <row r="36" spans="1:15">
      <c r="A36" s="6">
        <v>35</v>
      </c>
      <c r="B36" s="82"/>
      <c r="C36" s="6"/>
      <c r="D36" s="6"/>
      <c r="E36" s="69">
        <v>0</v>
      </c>
      <c r="F36" s="6">
        <v>0</v>
      </c>
      <c r="G36" s="70">
        <f t="shared" si="0"/>
        <v>0</v>
      </c>
      <c r="H36" s="69">
        <v>0</v>
      </c>
      <c r="I36" s="6">
        <v>0</v>
      </c>
      <c r="J36" s="70">
        <f t="shared" si="1"/>
        <v>0</v>
      </c>
      <c r="K36" s="70">
        <f t="shared" si="2"/>
        <v>0</v>
      </c>
      <c r="L36" s="167">
        <v>0</v>
      </c>
      <c r="M36" s="153">
        <f t="shared" si="3"/>
        <v>0</v>
      </c>
      <c r="N36" s="6"/>
      <c r="O36" s="5"/>
    </row>
    <row r="37" spans="1:15">
      <c r="A37" s="6">
        <v>36</v>
      </c>
      <c r="B37" s="82"/>
      <c r="C37" s="6"/>
      <c r="D37" s="6"/>
      <c r="E37" s="69">
        <v>0</v>
      </c>
      <c r="F37" s="6">
        <v>0</v>
      </c>
      <c r="G37" s="70">
        <f t="shared" si="0"/>
        <v>0</v>
      </c>
      <c r="H37" s="69">
        <v>0</v>
      </c>
      <c r="I37" s="6">
        <v>0</v>
      </c>
      <c r="J37" s="70">
        <f t="shared" si="1"/>
        <v>0</v>
      </c>
      <c r="K37" s="70">
        <f t="shared" si="2"/>
        <v>0</v>
      </c>
      <c r="L37" s="167">
        <v>0</v>
      </c>
      <c r="M37" s="153">
        <f t="shared" si="3"/>
        <v>0</v>
      </c>
      <c r="N37" s="6"/>
      <c r="O37" s="5"/>
    </row>
    <row r="38" spans="1:15">
      <c r="A38" s="6">
        <v>37</v>
      </c>
      <c r="B38" s="82"/>
      <c r="C38" s="6"/>
      <c r="D38" s="6"/>
      <c r="E38" s="69">
        <v>0</v>
      </c>
      <c r="F38" s="6">
        <v>0</v>
      </c>
      <c r="G38" s="70">
        <f t="shared" si="0"/>
        <v>0</v>
      </c>
      <c r="H38" s="69">
        <v>0</v>
      </c>
      <c r="I38" s="6">
        <v>0</v>
      </c>
      <c r="J38" s="70">
        <f t="shared" si="1"/>
        <v>0</v>
      </c>
      <c r="K38" s="70">
        <f t="shared" si="2"/>
        <v>0</v>
      </c>
      <c r="L38" s="167">
        <v>0</v>
      </c>
      <c r="M38" s="153">
        <f t="shared" si="3"/>
        <v>0</v>
      </c>
      <c r="N38" s="6"/>
      <c r="O38" s="5"/>
    </row>
    <row r="39" spans="1:15">
      <c r="A39" s="6">
        <v>38</v>
      </c>
      <c r="B39" s="82"/>
      <c r="C39" s="6"/>
      <c r="D39" s="6"/>
      <c r="E39" s="69">
        <v>0</v>
      </c>
      <c r="F39" s="6">
        <v>0</v>
      </c>
      <c r="G39" s="70">
        <f t="shared" si="0"/>
        <v>0</v>
      </c>
      <c r="H39" s="69">
        <v>0</v>
      </c>
      <c r="I39" s="6">
        <v>0</v>
      </c>
      <c r="J39" s="70">
        <f t="shared" si="1"/>
        <v>0</v>
      </c>
      <c r="K39" s="70">
        <f t="shared" si="2"/>
        <v>0</v>
      </c>
      <c r="L39" s="167">
        <v>0</v>
      </c>
      <c r="M39" s="153">
        <f t="shared" si="3"/>
        <v>0</v>
      </c>
      <c r="N39" s="6"/>
      <c r="O39" s="5"/>
    </row>
    <row r="40" spans="1:15">
      <c r="A40" s="175">
        <v>39</v>
      </c>
      <c r="B40" s="176"/>
      <c r="C40" s="175"/>
      <c r="D40" s="6"/>
      <c r="E40" s="69">
        <v>0</v>
      </c>
      <c r="F40" s="6">
        <v>0</v>
      </c>
      <c r="G40" s="70">
        <f t="shared" si="0"/>
        <v>0</v>
      </c>
      <c r="H40" s="69">
        <v>0</v>
      </c>
      <c r="I40" s="6">
        <v>0</v>
      </c>
      <c r="J40" s="70">
        <f t="shared" si="1"/>
        <v>0</v>
      </c>
      <c r="K40" s="70">
        <f t="shared" si="2"/>
        <v>0</v>
      </c>
      <c r="L40" s="167">
        <v>0</v>
      </c>
      <c r="M40" s="153">
        <f t="shared" si="3"/>
        <v>0</v>
      </c>
      <c r="N40" s="175"/>
      <c r="O40" s="5"/>
    </row>
    <row r="41" spans="1:15">
      <c r="A41" s="6">
        <v>40</v>
      </c>
      <c r="B41" s="6"/>
      <c r="C41" s="6"/>
      <c r="D41" s="6"/>
      <c r="E41" s="69">
        <v>0</v>
      </c>
      <c r="F41" s="6">
        <v>0</v>
      </c>
      <c r="G41" s="70">
        <f t="shared" si="0"/>
        <v>0</v>
      </c>
      <c r="H41" s="69">
        <v>0</v>
      </c>
      <c r="I41" s="6">
        <v>0</v>
      </c>
      <c r="J41" s="70">
        <f t="shared" si="1"/>
        <v>0</v>
      </c>
      <c r="K41" s="70">
        <f t="shared" si="2"/>
        <v>0</v>
      </c>
      <c r="L41" s="167">
        <v>0</v>
      </c>
      <c r="M41" s="153">
        <f t="shared" si="3"/>
        <v>0</v>
      </c>
      <c r="N41" s="6"/>
      <c r="O41" s="5"/>
    </row>
    <row r="42" spans="1:15">
      <c r="A42" s="175">
        <v>41</v>
      </c>
      <c r="B42" s="175"/>
      <c r="C42" s="175"/>
      <c r="D42" s="6"/>
      <c r="E42" s="69">
        <v>0</v>
      </c>
      <c r="F42" s="6">
        <v>0</v>
      </c>
      <c r="G42" s="70">
        <f t="shared" si="0"/>
        <v>0</v>
      </c>
      <c r="H42" s="69">
        <v>0</v>
      </c>
      <c r="I42" s="6">
        <v>0</v>
      </c>
      <c r="J42" s="70">
        <f t="shared" si="1"/>
        <v>0</v>
      </c>
      <c r="K42" s="70">
        <f t="shared" si="2"/>
        <v>0</v>
      </c>
      <c r="L42" s="167">
        <v>0</v>
      </c>
      <c r="M42" s="153">
        <f t="shared" si="3"/>
        <v>0</v>
      </c>
      <c r="N42" s="175"/>
      <c r="O42" s="5"/>
    </row>
    <row r="43" spans="1:15">
      <c r="A43" s="175">
        <v>42</v>
      </c>
      <c r="B43" s="175"/>
      <c r="C43" s="175"/>
      <c r="D43" s="6"/>
      <c r="E43" s="69">
        <v>0</v>
      </c>
      <c r="F43" s="6">
        <v>0</v>
      </c>
      <c r="G43" s="70">
        <f t="shared" ref="G5:G43" si="4">E43*F43</f>
        <v>0</v>
      </c>
      <c r="H43" s="69">
        <v>0</v>
      </c>
      <c r="I43" s="6">
        <v>0</v>
      </c>
      <c r="J43" s="70">
        <f t="shared" ref="J5:J43" si="5">H43*I43</f>
        <v>0</v>
      </c>
      <c r="K43" s="70">
        <f t="shared" ref="K5:K43" si="6">G43+J43</f>
        <v>0</v>
      </c>
      <c r="L43" s="167">
        <v>0</v>
      </c>
      <c r="M43" s="153">
        <f t="shared" si="3"/>
        <v>0</v>
      </c>
      <c r="N43" s="175"/>
      <c r="O43" s="5"/>
    </row>
    <row r="44" spans="1:15">
      <c r="A44" s="66"/>
      <c r="B44" s="66"/>
      <c r="C44" s="66"/>
      <c r="D44" s="66"/>
      <c r="E44" s="67">
        <f>SUM(E4:E43)</f>
        <v>0</v>
      </c>
      <c r="F44" s="67"/>
      <c r="G44" s="67">
        <f>SUM(G4:G43)</f>
        <v>0</v>
      </c>
      <c r="H44" s="67">
        <f>SUM(H4:H43)</f>
        <v>0</v>
      </c>
      <c r="I44" s="67"/>
      <c r="J44" s="67">
        <f>SUM(J4:J43)</f>
        <v>0</v>
      </c>
      <c r="K44" s="67">
        <f>SUM(K4:K43)</f>
        <v>0</v>
      </c>
      <c r="L44" s="67">
        <f>SUM(L4:L43)</f>
        <v>31876.861399999994</v>
      </c>
      <c r="M44" s="67">
        <f>SUM(M4:M43)</f>
        <v>286891.75259999995</v>
      </c>
      <c r="N44" s="67"/>
      <c r="O44" s="63"/>
    </row>
    <row r="45" spans="1:15">
      <c r="A45" s="5"/>
      <c r="B45" s="5"/>
      <c r="C45" s="5"/>
      <c r="D45" s="5"/>
      <c r="E45" s="5"/>
      <c r="F45" s="5"/>
      <c r="G45" s="106"/>
      <c r="H45" s="5"/>
      <c r="I45" s="5"/>
      <c r="J45" s="106"/>
      <c r="K45" s="5"/>
      <c r="L45" s="106"/>
      <c r="M45" s="106"/>
      <c r="N45" s="5"/>
      <c r="O45" s="5"/>
    </row>
    <row r="46" spans="1:15">
      <c r="A46" s="5"/>
      <c r="B46" s="5"/>
      <c r="C46" s="5"/>
      <c r="D46" s="5"/>
      <c r="E46" s="5"/>
      <c r="F46" s="5"/>
      <c r="G46" s="106"/>
      <c r="H46" s="5"/>
      <c r="I46" s="5"/>
      <c r="J46" s="106"/>
      <c r="K46" s="5"/>
      <c r="L46" s="106"/>
      <c r="M46" s="106"/>
      <c r="N46" s="5"/>
      <c r="O46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2EB7-2102-4FD0-A2B9-519DAB511885}">
  <sheetPr>
    <tabColor rgb="FF92D050"/>
  </sheetPr>
  <dimension ref="A1:O47"/>
  <sheetViews>
    <sheetView topLeftCell="A5" workbookViewId="0">
      <selection activeCell="J49" sqref="J49"/>
    </sheetView>
  </sheetViews>
  <sheetFormatPr defaultRowHeight="15"/>
  <cols>
    <col min="1" max="1" width="6.140625" customWidth="1"/>
    <col min="2" max="2" width="10.85546875" bestFit="1" customWidth="1"/>
    <col min="7" max="7" width="11.85546875" bestFit="1" customWidth="1"/>
    <col min="10" max="10" width="11.7109375" customWidth="1"/>
    <col min="11" max="11" width="16.7109375" customWidth="1"/>
    <col min="12" max="12" width="16.5703125" customWidth="1"/>
    <col min="13" max="13" width="16.140625" customWidth="1"/>
    <col min="14" max="14" width="15.140625" customWidth="1"/>
  </cols>
  <sheetData>
    <row r="1" spans="1:15" ht="15.75">
      <c r="A1" s="397" t="s">
        <v>84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97"/>
      <c r="M1" s="397"/>
      <c r="N1" s="397"/>
      <c r="O1" s="5"/>
    </row>
    <row r="2" spans="1:15" ht="30.75">
      <c r="A2" s="68" t="s">
        <v>90</v>
      </c>
      <c r="B2" s="87" t="s">
        <v>91</v>
      </c>
      <c r="C2" s="87" t="s">
        <v>92</v>
      </c>
      <c r="D2" s="87" t="s">
        <v>107</v>
      </c>
      <c r="E2" s="87" t="s">
        <v>94</v>
      </c>
      <c r="F2" s="87" t="s">
        <v>95</v>
      </c>
      <c r="G2" s="94" t="s">
        <v>96</v>
      </c>
      <c r="H2" s="87" t="s">
        <v>97</v>
      </c>
      <c r="I2" s="87" t="s">
        <v>95</v>
      </c>
      <c r="J2" s="94" t="s">
        <v>96</v>
      </c>
      <c r="K2" s="68" t="s">
        <v>98</v>
      </c>
      <c r="L2" s="95" t="s">
        <v>99</v>
      </c>
      <c r="M2" s="89" t="s">
        <v>106</v>
      </c>
      <c r="N2" s="87" t="s">
        <v>101</v>
      </c>
      <c r="O2" s="5"/>
    </row>
    <row r="3" spans="1:15">
      <c r="A3" s="411" t="s">
        <v>102</v>
      </c>
      <c r="B3" s="412"/>
      <c r="C3" s="412"/>
      <c r="D3" s="412"/>
      <c r="E3" s="412"/>
      <c r="F3" s="412"/>
      <c r="G3" s="412"/>
      <c r="H3" s="412"/>
      <c r="I3" s="412"/>
      <c r="J3" s="412"/>
      <c r="K3" s="412"/>
      <c r="L3" s="413"/>
      <c r="M3" s="414">
        <v>37173.47389999999</v>
      </c>
      <c r="N3" s="415"/>
      <c r="O3" s="5"/>
    </row>
    <row r="4" spans="1:15">
      <c r="A4" s="204">
        <v>1</v>
      </c>
      <c r="B4" s="230"/>
      <c r="C4" s="6"/>
      <c r="D4" s="6"/>
      <c r="E4" s="69">
        <v>0</v>
      </c>
      <c r="F4" s="6">
        <v>0</v>
      </c>
      <c r="G4" s="70">
        <v>0</v>
      </c>
      <c r="H4" s="69">
        <v>0</v>
      </c>
      <c r="I4" s="6">
        <v>0</v>
      </c>
      <c r="J4" s="70">
        <f>H4*I4</f>
        <v>0</v>
      </c>
      <c r="K4" s="70">
        <f>G4+J4</f>
        <v>0</v>
      </c>
      <c r="L4" s="167">
        <v>0</v>
      </c>
      <c r="M4" s="325">
        <f>M3+K4-L4</f>
        <v>37173.47389999999</v>
      </c>
      <c r="N4" s="48" t="s">
        <v>117</v>
      </c>
      <c r="O4" s="5"/>
    </row>
    <row r="5" spans="1:15">
      <c r="A5" s="48">
        <v>2</v>
      </c>
      <c r="B5" s="230"/>
      <c r="C5" s="6"/>
      <c r="D5" s="6"/>
      <c r="E5" s="69">
        <v>0</v>
      </c>
      <c r="F5" s="6">
        <v>0</v>
      </c>
      <c r="G5" s="70">
        <v>0</v>
      </c>
      <c r="H5" s="69">
        <v>0</v>
      </c>
      <c r="I5" s="6">
        <v>0</v>
      </c>
      <c r="J5" s="70">
        <f t="shared" ref="J5:J29" si="0">H5*I5</f>
        <v>0</v>
      </c>
      <c r="K5" s="70">
        <f t="shared" ref="K5:K29" si="1">G5+J5</f>
        <v>0</v>
      </c>
      <c r="L5" s="167">
        <v>0</v>
      </c>
      <c r="M5" s="325">
        <f t="shared" ref="M5:M14" si="2">M4+K5-L5</f>
        <v>37173.47389999999</v>
      </c>
      <c r="N5" s="48" t="s">
        <v>117</v>
      </c>
      <c r="O5" s="5"/>
    </row>
    <row r="6" spans="1:15">
      <c r="A6" s="48">
        <v>3</v>
      </c>
      <c r="B6" s="230" t="s">
        <v>119</v>
      </c>
      <c r="C6" s="6"/>
      <c r="D6" s="6"/>
      <c r="E6" s="69">
        <v>0</v>
      </c>
      <c r="F6" s="6">
        <v>0</v>
      </c>
      <c r="G6" s="70">
        <v>0</v>
      </c>
      <c r="H6" s="69">
        <v>23</v>
      </c>
      <c r="I6" s="6">
        <v>103.26</v>
      </c>
      <c r="J6" s="70">
        <f t="shared" si="0"/>
        <v>2374.98</v>
      </c>
      <c r="K6" s="70">
        <f t="shared" si="1"/>
        <v>2374.98</v>
      </c>
      <c r="L6" s="167">
        <v>0</v>
      </c>
      <c r="M6" s="325">
        <f t="shared" si="2"/>
        <v>39548.453899999993</v>
      </c>
      <c r="N6" s="48" t="s">
        <v>117</v>
      </c>
      <c r="O6" s="5"/>
    </row>
    <row r="7" spans="1:15">
      <c r="A7" s="48">
        <v>4</v>
      </c>
      <c r="B7" s="230" t="s">
        <v>120</v>
      </c>
      <c r="C7" s="6"/>
      <c r="D7" s="6"/>
      <c r="E7" s="69">
        <v>0</v>
      </c>
      <c r="F7" s="6">
        <v>0</v>
      </c>
      <c r="G7" s="70">
        <v>0</v>
      </c>
      <c r="H7" s="69">
        <v>6</v>
      </c>
      <c r="I7" s="6">
        <v>103.26</v>
      </c>
      <c r="J7" s="70">
        <f t="shared" si="0"/>
        <v>619.56000000000006</v>
      </c>
      <c r="K7" s="70">
        <f t="shared" si="1"/>
        <v>619.56000000000006</v>
      </c>
      <c r="L7" s="167">
        <v>0</v>
      </c>
      <c r="M7" s="325">
        <f t="shared" si="2"/>
        <v>40168.013899999991</v>
      </c>
      <c r="N7" s="48" t="s">
        <v>117</v>
      </c>
      <c r="O7" s="5"/>
    </row>
    <row r="8" spans="1:15">
      <c r="A8" s="48">
        <v>5</v>
      </c>
      <c r="B8" s="355" t="s">
        <v>121</v>
      </c>
      <c r="C8" s="6"/>
      <c r="D8" s="6"/>
      <c r="E8" s="69">
        <v>130</v>
      </c>
      <c r="F8" s="6">
        <v>91.33</v>
      </c>
      <c r="G8" s="70">
        <f>E8*F8</f>
        <v>11872.9</v>
      </c>
      <c r="H8" s="69">
        <v>0</v>
      </c>
      <c r="I8" s="6">
        <v>103.26</v>
      </c>
      <c r="J8" s="70">
        <f t="shared" si="0"/>
        <v>0</v>
      </c>
      <c r="K8" s="70">
        <f t="shared" si="1"/>
        <v>11872.9</v>
      </c>
      <c r="L8" s="167">
        <v>0</v>
      </c>
      <c r="M8" s="325">
        <f t="shared" si="2"/>
        <v>52040.913899999992</v>
      </c>
      <c r="N8" s="48" t="s">
        <v>117</v>
      </c>
      <c r="O8" s="5"/>
    </row>
    <row r="9" spans="1:15">
      <c r="A9" s="232">
        <v>6</v>
      </c>
      <c r="B9" s="386" t="s">
        <v>122</v>
      </c>
      <c r="C9" s="183"/>
      <c r="D9" s="6"/>
      <c r="E9" s="69">
        <v>30</v>
      </c>
      <c r="F9" s="6">
        <v>91.33</v>
      </c>
      <c r="G9" s="70">
        <f>E9*F9</f>
        <v>2739.9</v>
      </c>
      <c r="H9" s="69">
        <v>5</v>
      </c>
      <c r="I9" s="6">
        <v>103.26</v>
      </c>
      <c r="J9" s="70">
        <f t="shared" si="0"/>
        <v>516.30000000000007</v>
      </c>
      <c r="K9" s="70">
        <f t="shared" si="1"/>
        <v>3256.2000000000003</v>
      </c>
      <c r="L9" s="167">
        <v>0</v>
      </c>
      <c r="M9" s="325">
        <f>M8+K9-L9</f>
        <v>55297.113899999989</v>
      </c>
      <c r="N9" s="48" t="s">
        <v>117</v>
      </c>
      <c r="O9" s="5"/>
    </row>
    <row r="10" spans="1:15">
      <c r="A10" s="232">
        <v>7</v>
      </c>
      <c r="B10" s="386" t="s">
        <v>143</v>
      </c>
      <c r="C10" s="183"/>
      <c r="D10" s="6"/>
      <c r="E10" s="69">
        <v>0</v>
      </c>
      <c r="F10" s="6">
        <v>0</v>
      </c>
      <c r="G10" s="70">
        <f t="shared" ref="G10:G25" si="3">E10*F10</f>
        <v>0</v>
      </c>
      <c r="H10" s="69">
        <v>0</v>
      </c>
      <c r="I10" s="6">
        <v>0</v>
      </c>
      <c r="J10" s="70">
        <f t="shared" si="0"/>
        <v>0</v>
      </c>
      <c r="K10" s="70">
        <f t="shared" si="1"/>
        <v>0</v>
      </c>
      <c r="L10" s="167">
        <v>0</v>
      </c>
      <c r="M10" s="325">
        <f t="shared" si="2"/>
        <v>55297.113899999989</v>
      </c>
      <c r="N10" s="48" t="s">
        <v>117</v>
      </c>
      <c r="O10" s="5"/>
    </row>
    <row r="11" spans="1:15">
      <c r="A11" s="232">
        <v>8</v>
      </c>
      <c r="B11" s="386" t="s">
        <v>123</v>
      </c>
      <c r="C11" s="183"/>
      <c r="D11" s="6"/>
      <c r="E11" s="69">
        <v>200</v>
      </c>
      <c r="F11" s="6">
        <v>91.33</v>
      </c>
      <c r="G11" s="70">
        <f t="shared" si="3"/>
        <v>18266</v>
      </c>
      <c r="H11" s="69">
        <v>0</v>
      </c>
      <c r="I11" s="6">
        <v>0</v>
      </c>
      <c r="J11" s="70">
        <f t="shared" si="0"/>
        <v>0</v>
      </c>
      <c r="K11" s="70">
        <f t="shared" si="1"/>
        <v>18266</v>
      </c>
      <c r="L11" s="167">
        <v>40000</v>
      </c>
      <c r="M11" s="325">
        <f t="shared" si="2"/>
        <v>33563.113899999997</v>
      </c>
      <c r="N11" s="48" t="s">
        <v>117</v>
      </c>
      <c r="O11" s="5"/>
    </row>
    <row r="12" spans="1:15">
      <c r="A12" s="232">
        <v>9</v>
      </c>
      <c r="B12" s="386" t="s">
        <v>124</v>
      </c>
      <c r="C12" s="183"/>
      <c r="D12" s="6"/>
      <c r="E12" s="69">
        <v>0</v>
      </c>
      <c r="F12" s="6">
        <v>0</v>
      </c>
      <c r="G12" s="70">
        <f t="shared" si="3"/>
        <v>0</v>
      </c>
      <c r="H12" s="69">
        <v>4.84</v>
      </c>
      <c r="I12" s="6">
        <v>103.26</v>
      </c>
      <c r="J12" s="70">
        <f t="shared" si="0"/>
        <v>499.77840000000003</v>
      </c>
      <c r="K12" s="70">
        <f t="shared" si="1"/>
        <v>499.77840000000003</v>
      </c>
      <c r="L12" s="167">
        <v>0</v>
      </c>
      <c r="M12" s="325">
        <f t="shared" si="2"/>
        <v>34062.8923</v>
      </c>
      <c r="N12" s="48" t="s">
        <v>117</v>
      </c>
      <c r="O12" s="5"/>
    </row>
    <row r="13" spans="1:15">
      <c r="A13" s="232">
        <v>10</v>
      </c>
      <c r="B13" s="386" t="s">
        <v>126</v>
      </c>
      <c r="C13" s="183"/>
      <c r="D13" s="6"/>
      <c r="E13" s="69">
        <v>230</v>
      </c>
      <c r="F13" s="6">
        <v>91.33</v>
      </c>
      <c r="G13" s="70">
        <f t="shared" si="3"/>
        <v>21005.899999999998</v>
      </c>
      <c r="H13" s="69">
        <v>0</v>
      </c>
      <c r="I13" s="6">
        <v>0</v>
      </c>
      <c r="J13" s="70">
        <f t="shared" si="0"/>
        <v>0</v>
      </c>
      <c r="K13" s="70">
        <f t="shared" si="1"/>
        <v>21005.899999999998</v>
      </c>
      <c r="L13" s="167">
        <v>15000</v>
      </c>
      <c r="M13" s="325">
        <f t="shared" si="2"/>
        <v>40068.792300000001</v>
      </c>
      <c r="N13" s="48" t="s">
        <v>117</v>
      </c>
      <c r="O13" s="5"/>
    </row>
    <row r="14" spans="1:15">
      <c r="A14" s="232">
        <v>11</v>
      </c>
      <c r="B14" s="386" t="s">
        <v>127</v>
      </c>
      <c r="C14" s="183"/>
      <c r="D14" s="6"/>
      <c r="E14" s="69">
        <v>150</v>
      </c>
      <c r="F14" s="6">
        <v>91.33</v>
      </c>
      <c r="G14" s="70">
        <f t="shared" si="3"/>
        <v>13699.5</v>
      </c>
      <c r="H14" s="69">
        <v>4.84</v>
      </c>
      <c r="I14" s="6">
        <v>103.26</v>
      </c>
      <c r="J14" s="70">
        <f t="shared" si="0"/>
        <v>499.77840000000003</v>
      </c>
      <c r="K14" s="70">
        <f t="shared" si="1"/>
        <v>14199.278399999999</v>
      </c>
      <c r="L14" s="167">
        <v>0</v>
      </c>
      <c r="M14" s="325">
        <f t="shared" si="2"/>
        <v>54268.070699999997</v>
      </c>
      <c r="N14" s="48" t="s">
        <v>117</v>
      </c>
      <c r="O14" s="5"/>
    </row>
    <row r="15" spans="1:15">
      <c r="A15" s="232">
        <v>12</v>
      </c>
      <c r="B15" s="386" t="s">
        <v>128</v>
      </c>
      <c r="C15" s="183"/>
      <c r="D15" s="6"/>
      <c r="E15" s="69">
        <v>0</v>
      </c>
      <c r="F15" s="6">
        <v>0</v>
      </c>
      <c r="G15" s="70">
        <f t="shared" si="3"/>
        <v>0</v>
      </c>
      <c r="H15" s="69">
        <v>3</v>
      </c>
      <c r="I15" s="6">
        <v>103.26</v>
      </c>
      <c r="J15" s="70">
        <f t="shared" si="0"/>
        <v>309.78000000000003</v>
      </c>
      <c r="K15" s="70">
        <f t="shared" si="1"/>
        <v>309.78000000000003</v>
      </c>
      <c r="L15" s="167">
        <v>0</v>
      </c>
      <c r="M15" s="326">
        <f t="shared" ref="M5:M42" si="4">M14+K15-L15</f>
        <v>54577.850699999995</v>
      </c>
      <c r="N15" s="48" t="s">
        <v>117</v>
      </c>
      <c r="O15" s="5"/>
    </row>
    <row r="16" spans="1:15">
      <c r="A16" s="232">
        <v>13</v>
      </c>
      <c r="B16" s="386" t="s">
        <v>130</v>
      </c>
      <c r="C16" s="183"/>
      <c r="D16" s="6"/>
      <c r="E16" s="69">
        <v>42</v>
      </c>
      <c r="F16" s="6">
        <v>91.33</v>
      </c>
      <c r="G16" s="70">
        <f t="shared" si="3"/>
        <v>3835.86</v>
      </c>
      <c r="H16" s="69">
        <v>6</v>
      </c>
      <c r="I16" s="6">
        <v>103.26</v>
      </c>
      <c r="J16" s="70">
        <f t="shared" si="0"/>
        <v>619.56000000000006</v>
      </c>
      <c r="K16" s="70">
        <f t="shared" si="1"/>
        <v>4455.42</v>
      </c>
      <c r="L16" s="167">
        <v>0</v>
      </c>
      <c r="M16" s="326">
        <f t="shared" si="4"/>
        <v>59033.270699999994</v>
      </c>
      <c r="N16" s="48" t="s">
        <v>117</v>
      </c>
      <c r="O16" s="5"/>
    </row>
    <row r="17" spans="1:15">
      <c r="A17" s="232">
        <v>14</v>
      </c>
      <c r="B17" s="386" t="s">
        <v>132</v>
      </c>
      <c r="C17" s="183"/>
      <c r="D17" s="6"/>
      <c r="E17" s="69">
        <v>30</v>
      </c>
      <c r="F17" s="6">
        <v>91.33</v>
      </c>
      <c r="G17" s="70">
        <f t="shared" si="3"/>
        <v>2739.9</v>
      </c>
      <c r="H17" s="69">
        <v>5</v>
      </c>
      <c r="I17" s="6">
        <v>103.26</v>
      </c>
      <c r="J17" s="70">
        <f t="shared" si="0"/>
        <v>516.30000000000007</v>
      </c>
      <c r="K17" s="70">
        <f t="shared" si="1"/>
        <v>3256.2000000000003</v>
      </c>
      <c r="L17" s="167">
        <v>0</v>
      </c>
      <c r="M17" s="326">
        <f>M16+K17-L17</f>
        <v>62289.470699999991</v>
      </c>
      <c r="N17" s="48" t="s">
        <v>117</v>
      </c>
      <c r="O17" s="5"/>
    </row>
    <row r="18" spans="1:15">
      <c r="A18" s="232">
        <v>15</v>
      </c>
      <c r="B18" s="386" t="s">
        <v>133</v>
      </c>
      <c r="C18" s="183"/>
      <c r="D18" s="6"/>
      <c r="E18" s="69">
        <v>200</v>
      </c>
      <c r="F18" s="6">
        <v>91.33</v>
      </c>
      <c r="G18" s="70">
        <f t="shared" si="3"/>
        <v>18266</v>
      </c>
      <c r="H18" s="69">
        <v>5</v>
      </c>
      <c r="I18" s="6">
        <v>103.26</v>
      </c>
      <c r="J18" s="70">
        <f t="shared" si="0"/>
        <v>516.30000000000007</v>
      </c>
      <c r="K18" s="70">
        <f t="shared" si="1"/>
        <v>18782.3</v>
      </c>
      <c r="L18" s="167">
        <v>0</v>
      </c>
      <c r="M18" s="326">
        <f t="shared" si="4"/>
        <v>81071.770699999994</v>
      </c>
      <c r="N18" s="48" t="s">
        <v>117</v>
      </c>
      <c r="O18" s="5"/>
    </row>
    <row r="19" spans="1:15">
      <c r="A19" s="232">
        <v>16</v>
      </c>
      <c r="B19" s="386" t="s">
        <v>105</v>
      </c>
      <c r="C19" s="183"/>
      <c r="D19" s="6"/>
      <c r="E19" s="69">
        <v>43</v>
      </c>
      <c r="F19" s="6">
        <v>91.33</v>
      </c>
      <c r="G19" s="70">
        <f t="shared" si="3"/>
        <v>3927.19</v>
      </c>
      <c r="H19" s="69">
        <v>3</v>
      </c>
      <c r="I19" s="6">
        <v>103.26</v>
      </c>
      <c r="J19" s="70">
        <f t="shared" si="0"/>
        <v>309.78000000000003</v>
      </c>
      <c r="K19" s="70">
        <f t="shared" si="1"/>
        <v>4236.97</v>
      </c>
      <c r="L19" s="167">
        <v>62000</v>
      </c>
      <c r="M19" s="326">
        <f t="shared" si="4"/>
        <v>23308.740699999995</v>
      </c>
      <c r="N19" s="48" t="s">
        <v>117</v>
      </c>
      <c r="O19" s="5"/>
    </row>
    <row r="20" spans="1:15">
      <c r="A20" s="48">
        <v>17</v>
      </c>
      <c r="B20" s="230" t="s">
        <v>137</v>
      </c>
      <c r="C20" s="6"/>
      <c r="D20" s="6"/>
      <c r="E20" s="69">
        <v>0</v>
      </c>
      <c r="F20" s="6">
        <v>0</v>
      </c>
      <c r="G20" s="70">
        <f t="shared" si="3"/>
        <v>0</v>
      </c>
      <c r="H20" s="69">
        <v>8</v>
      </c>
      <c r="I20" s="6">
        <v>103.26</v>
      </c>
      <c r="J20" s="70">
        <f t="shared" si="0"/>
        <v>826.08</v>
      </c>
      <c r="K20" s="70">
        <f t="shared" si="1"/>
        <v>826.08</v>
      </c>
      <c r="L20" s="167">
        <v>0</v>
      </c>
      <c r="M20" s="326">
        <f t="shared" si="4"/>
        <v>24134.820699999997</v>
      </c>
      <c r="N20" s="48" t="s">
        <v>117</v>
      </c>
      <c r="O20" s="5"/>
    </row>
    <row r="21" spans="1:15">
      <c r="A21" s="48">
        <v>18</v>
      </c>
      <c r="B21" s="230" t="s">
        <v>138</v>
      </c>
      <c r="C21" s="6"/>
      <c r="D21" s="6"/>
      <c r="E21" s="69">
        <v>0</v>
      </c>
      <c r="F21" s="6">
        <v>0</v>
      </c>
      <c r="G21" s="70">
        <f t="shared" si="3"/>
        <v>0</v>
      </c>
      <c r="H21" s="69">
        <v>17</v>
      </c>
      <c r="I21" s="6">
        <v>103.26</v>
      </c>
      <c r="J21" s="70">
        <f t="shared" si="0"/>
        <v>1755.42</v>
      </c>
      <c r="K21" s="70">
        <f t="shared" si="1"/>
        <v>1755.42</v>
      </c>
      <c r="L21" s="167">
        <v>0</v>
      </c>
      <c r="M21" s="326">
        <f t="shared" si="4"/>
        <v>25890.240699999995</v>
      </c>
      <c r="N21" s="48" t="s">
        <v>117</v>
      </c>
      <c r="O21" s="5"/>
    </row>
    <row r="22" spans="1:15">
      <c r="A22" s="48">
        <v>19</v>
      </c>
      <c r="B22" s="230" t="s">
        <v>139</v>
      </c>
      <c r="C22" s="6"/>
      <c r="D22" s="6"/>
      <c r="E22" s="69">
        <v>280</v>
      </c>
      <c r="F22" s="6">
        <v>91.23</v>
      </c>
      <c r="G22" s="70">
        <f t="shared" si="3"/>
        <v>25544.400000000001</v>
      </c>
      <c r="H22" s="69">
        <v>0</v>
      </c>
      <c r="I22" s="6">
        <v>0</v>
      </c>
      <c r="J22" s="70">
        <f t="shared" si="0"/>
        <v>0</v>
      </c>
      <c r="K22" s="70">
        <f t="shared" si="1"/>
        <v>25544.400000000001</v>
      </c>
      <c r="L22" s="167">
        <v>0</v>
      </c>
      <c r="M22" s="326">
        <f t="shared" si="4"/>
        <v>51434.640699999996</v>
      </c>
      <c r="N22" s="48" t="s">
        <v>117</v>
      </c>
      <c r="O22" s="5"/>
    </row>
    <row r="23" spans="1:15">
      <c r="A23" s="48">
        <v>20</v>
      </c>
      <c r="B23" s="230" t="s">
        <v>144</v>
      </c>
      <c r="C23" s="6"/>
      <c r="D23" s="6"/>
      <c r="E23" s="69">
        <v>0</v>
      </c>
      <c r="F23" s="6">
        <v>0</v>
      </c>
      <c r="G23" s="70">
        <f t="shared" si="3"/>
        <v>0</v>
      </c>
      <c r="H23" s="69">
        <v>0</v>
      </c>
      <c r="I23" s="6">
        <v>103.26</v>
      </c>
      <c r="J23" s="70">
        <f t="shared" si="0"/>
        <v>0</v>
      </c>
      <c r="K23" s="70">
        <f t="shared" si="1"/>
        <v>0</v>
      </c>
      <c r="L23" s="167">
        <v>50807.32</v>
      </c>
      <c r="M23" s="326">
        <f t="shared" si="4"/>
        <v>627.32069999999658</v>
      </c>
      <c r="N23" s="48"/>
      <c r="O23" s="5"/>
    </row>
    <row r="24" spans="1:15">
      <c r="A24" s="48">
        <v>21</v>
      </c>
      <c r="B24" s="230" t="s">
        <v>141</v>
      </c>
      <c r="C24" s="6"/>
      <c r="D24" s="6"/>
      <c r="E24" s="69">
        <v>0</v>
      </c>
      <c r="F24" s="6">
        <v>0</v>
      </c>
      <c r="G24" s="70">
        <f t="shared" si="3"/>
        <v>0</v>
      </c>
      <c r="H24" s="69">
        <v>5</v>
      </c>
      <c r="I24" s="6">
        <v>103.26</v>
      </c>
      <c r="J24" s="70">
        <f t="shared" si="0"/>
        <v>516.30000000000007</v>
      </c>
      <c r="K24" s="70">
        <f t="shared" si="1"/>
        <v>516.30000000000007</v>
      </c>
      <c r="L24" s="167">
        <v>0</v>
      </c>
      <c r="M24" s="326">
        <f t="shared" si="4"/>
        <v>1143.6206999999968</v>
      </c>
      <c r="N24" s="48"/>
      <c r="O24" s="5"/>
    </row>
    <row r="25" spans="1:15">
      <c r="A25" s="48">
        <v>22</v>
      </c>
      <c r="B25" s="230" t="s">
        <v>142</v>
      </c>
      <c r="C25" s="6"/>
      <c r="D25" s="6"/>
      <c r="E25" s="69">
        <v>30</v>
      </c>
      <c r="F25" s="6">
        <v>91.23</v>
      </c>
      <c r="G25" s="70">
        <f t="shared" si="3"/>
        <v>2736.9</v>
      </c>
      <c r="H25" s="69">
        <v>5</v>
      </c>
      <c r="I25" s="6">
        <v>103.26</v>
      </c>
      <c r="J25" s="70">
        <f t="shared" si="0"/>
        <v>516.30000000000007</v>
      </c>
      <c r="K25" s="70">
        <f t="shared" si="1"/>
        <v>3253.2000000000003</v>
      </c>
      <c r="L25" s="167">
        <v>0</v>
      </c>
      <c r="M25" s="275">
        <f t="shared" si="4"/>
        <v>4396.8206999999966</v>
      </c>
      <c r="N25" s="48"/>
      <c r="O25" s="5"/>
    </row>
    <row r="26" spans="1:15">
      <c r="A26" s="48">
        <v>23</v>
      </c>
      <c r="B26" s="230"/>
      <c r="C26" s="6"/>
      <c r="D26" s="6"/>
      <c r="E26" s="69">
        <v>0</v>
      </c>
      <c r="F26" s="6">
        <v>0</v>
      </c>
      <c r="G26" s="70">
        <v>0</v>
      </c>
      <c r="H26" s="69">
        <v>0</v>
      </c>
      <c r="I26" s="6">
        <v>0</v>
      </c>
      <c r="J26" s="70">
        <f t="shared" si="0"/>
        <v>0</v>
      </c>
      <c r="K26" s="70">
        <f t="shared" si="1"/>
        <v>0</v>
      </c>
      <c r="L26" s="167">
        <v>0</v>
      </c>
      <c r="M26" s="275">
        <f t="shared" si="4"/>
        <v>4396.8206999999966</v>
      </c>
      <c r="N26" s="6"/>
      <c r="O26" s="5"/>
    </row>
    <row r="27" spans="1:15">
      <c r="A27" s="48">
        <v>24</v>
      </c>
      <c r="B27" s="230"/>
      <c r="C27" s="6"/>
      <c r="D27" s="6"/>
      <c r="E27" s="69">
        <v>0</v>
      </c>
      <c r="F27" s="6">
        <v>0</v>
      </c>
      <c r="G27" s="70">
        <v>0</v>
      </c>
      <c r="H27" s="69">
        <v>0</v>
      </c>
      <c r="I27" s="6">
        <v>0</v>
      </c>
      <c r="J27" s="70">
        <f t="shared" si="0"/>
        <v>0</v>
      </c>
      <c r="K27" s="70">
        <f t="shared" si="1"/>
        <v>0</v>
      </c>
      <c r="L27" s="167">
        <v>0</v>
      </c>
      <c r="M27" s="275">
        <f t="shared" si="4"/>
        <v>4396.8206999999966</v>
      </c>
      <c r="N27" s="6"/>
      <c r="O27" s="5"/>
    </row>
    <row r="28" spans="1:15">
      <c r="A28" s="232">
        <v>25</v>
      </c>
      <c r="B28" s="230"/>
      <c r="C28" s="6"/>
      <c r="D28" s="6"/>
      <c r="E28" s="69">
        <v>0</v>
      </c>
      <c r="F28" s="6">
        <v>0</v>
      </c>
      <c r="G28" s="70">
        <v>0</v>
      </c>
      <c r="H28" s="69">
        <v>0</v>
      </c>
      <c r="I28" s="6">
        <v>0</v>
      </c>
      <c r="J28" s="70">
        <f t="shared" si="0"/>
        <v>0</v>
      </c>
      <c r="K28" s="70">
        <f t="shared" si="1"/>
        <v>0</v>
      </c>
      <c r="L28" s="167">
        <v>0</v>
      </c>
      <c r="M28" s="275">
        <f t="shared" si="4"/>
        <v>4396.8206999999966</v>
      </c>
      <c r="N28" s="6"/>
      <c r="O28" s="5"/>
    </row>
    <row r="29" spans="1:15">
      <c r="A29" s="232">
        <v>26</v>
      </c>
      <c r="B29" s="230"/>
      <c r="C29" s="6"/>
      <c r="D29" s="6"/>
      <c r="E29" s="69">
        <v>0</v>
      </c>
      <c r="F29" s="6">
        <v>0</v>
      </c>
      <c r="G29" s="70">
        <v>0</v>
      </c>
      <c r="H29" s="69">
        <v>0</v>
      </c>
      <c r="I29" s="6">
        <v>0</v>
      </c>
      <c r="J29" s="70">
        <f t="shared" si="0"/>
        <v>0</v>
      </c>
      <c r="K29" s="70">
        <f t="shared" si="1"/>
        <v>0</v>
      </c>
      <c r="L29" s="167">
        <v>0</v>
      </c>
      <c r="M29" s="275">
        <f t="shared" si="4"/>
        <v>4396.8206999999966</v>
      </c>
      <c r="N29" s="6"/>
      <c r="O29" s="5"/>
    </row>
    <row r="30" spans="1:15">
      <c r="A30" s="232">
        <v>27</v>
      </c>
      <c r="B30" s="230"/>
      <c r="C30" s="6"/>
      <c r="D30" s="6"/>
      <c r="E30" s="69">
        <v>0</v>
      </c>
      <c r="F30" s="6">
        <v>0</v>
      </c>
      <c r="G30" s="70">
        <f t="shared" ref="G5:G35" si="5">E30*F30</f>
        <v>0</v>
      </c>
      <c r="H30" s="69">
        <v>0</v>
      </c>
      <c r="I30" s="6">
        <v>0</v>
      </c>
      <c r="J30" s="70">
        <f t="shared" ref="J5:J35" si="6">H30*I30</f>
        <v>0</v>
      </c>
      <c r="K30" s="70">
        <f t="shared" ref="K5:K35" si="7">G30+J30</f>
        <v>0</v>
      </c>
      <c r="L30" s="167">
        <v>0</v>
      </c>
      <c r="M30" s="275">
        <f t="shared" si="4"/>
        <v>4396.8206999999966</v>
      </c>
      <c r="N30" s="6"/>
      <c r="O30" s="5"/>
    </row>
    <row r="31" spans="1:15">
      <c r="A31" s="232">
        <v>28</v>
      </c>
      <c r="B31" s="230"/>
      <c r="C31" s="6"/>
      <c r="D31" s="6"/>
      <c r="E31" s="69">
        <v>0</v>
      </c>
      <c r="F31" s="6">
        <v>0</v>
      </c>
      <c r="G31" s="70">
        <f t="shared" si="5"/>
        <v>0</v>
      </c>
      <c r="H31" s="69">
        <v>0</v>
      </c>
      <c r="I31" s="6">
        <v>0</v>
      </c>
      <c r="J31" s="70">
        <f t="shared" si="6"/>
        <v>0</v>
      </c>
      <c r="K31" s="70">
        <f t="shared" si="7"/>
        <v>0</v>
      </c>
      <c r="L31" s="167">
        <v>0</v>
      </c>
      <c r="M31" s="275">
        <f t="shared" si="4"/>
        <v>4396.8206999999966</v>
      </c>
      <c r="N31" s="6"/>
      <c r="O31" s="5"/>
    </row>
    <row r="32" spans="1:15">
      <c r="A32" s="233">
        <v>29</v>
      </c>
      <c r="B32" s="230"/>
      <c r="C32" s="6"/>
      <c r="D32" s="6"/>
      <c r="E32" s="69">
        <v>0</v>
      </c>
      <c r="F32" s="6">
        <v>0</v>
      </c>
      <c r="G32" s="70">
        <f t="shared" si="5"/>
        <v>0</v>
      </c>
      <c r="H32" s="69">
        <v>0</v>
      </c>
      <c r="I32" s="6">
        <v>0</v>
      </c>
      <c r="J32" s="70">
        <f t="shared" si="6"/>
        <v>0</v>
      </c>
      <c r="K32" s="70">
        <f t="shared" si="7"/>
        <v>0</v>
      </c>
      <c r="L32" s="167">
        <v>0</v>
      </c>
      <c r="M32" s="275">
        <f t="shared" si="4"/>
        <v>4396.8206999999966</v>
      </c>
      <c r="N32" s="6"/>
      <c r="O32" s="5"/>
    </row>
    <row r="33" spans="1:15">
      <c r="A33" s="233">
        <v>30</v>
      </c>
      <c r="B33" s="230"/>
      <c r="C33" s="6"/>
      <c r="D33" s="6"/>
      <c r="E33" s="69">
        <v>0</v>
      </c>
      <c r="F33" s="6">
        <v>0</v>
      </c>
      <c r="G33" s="70">
        <f t="shared" si="5"/>
        <v>0</v>
      </c>
      <c r="H33" s="69">
        <v>0</v>
      </c>
      <c r="I33" s="6">
        <v>0</v>
      </c>
      <c r="J33" s="70">
        <f t="shared" si="6"/>
        <v>0</v>
      </c>
      <c r="K33" s="70">
        <f t="shared" si="7"/>
        <v>0</v>
      </c>
      <c r="L33" s="167">
        <v>0</v>
      </c>
      <c r="M33" s="275">
        <f t="shared" si="4"/>
        <v>4396.8206999999966</v>
      </c>
      <c r="N33" s="6"/>
      <c r="O33" s="5"/>
    </row>
    <row r="34" spans="1:15">
      <c r="A34" s="233">
        <v>31</v>
      </c>
      <c r="B34" s="230"/>
      <c r="C34" s="6"/>
      <c r="D34" s="6"/>
      <c r="E34" s="69">
        <v>0</v>
      </c>
      <c r="F34" s="6">
        <v>0</v>
      </c>
      <c r="G34" s="70">
        <f t="shared" si="5"/>
        <v>0</v>
      </c>
      <c r="H34" s="69">
        <v>0</v>
      </c>
      <c r="I34" s="6">
        <v>0</v>
      </c>
      <c r="J34" s="70">
        <f t="shared" si="6"/>
        <v>0</v>
      </c>
      <c r="K34" s="70">
        <f t="shared" si="7"/>
        <v>0</v>
      </c>
      <c r="L34" s="167">
        <v>0</v>
      </c>
      <c r="M34" s="275">
        <f t="shared" si="4"/>
        <v>4396.8206999999966</v>
      </c>
      <c r="N34" s="6"/>
      <c r="O34" s="5"/>
    </row>
    <row r="35" spans="1:15">
      <c r="A35" s="6">
        <v>35</v>
      </c>
      <c r="B35" s="82"/>
      <c r="C35" s="6"/>
      <c r="D35" s="6"/>
      <c r="E35" s="69">
        <v>0</v>
      </c>
      <c r="F35" s="6">
        <v>0</v>
      </c>
      <c r="G35" s="70">
        <f t="shared" si="5"/>
        <v>0</v>
      </c>
      <c r="H35" s="69">
        <v>0</v>
      </c>
      <c r="I35" s="6">
        <v>0</v>
      </c>
      <c r="J35" s="70">
        <f t="shared" si="6"/>
        <v>0</v>
      </c>
      <c r="K35" s="70">
        <f t="shared" si="7"/>
        <v>0</v>
      </c>
      <c r="L35" s="167">
        <v>0</v>
      </c>
      <c r="M35" s="275">
        <f t="shared" si="4"/>
        <v>4396.8206999999966</v>
      </c>
      <c r="N35" s="6"/>
      <c r="O35" s="5"/>
    </row>
    <row r="36" spans="1:15">
      <c r="A36" s="6">
        <v>36</v>
      </c>
      <c r="B36" s="82"/>
      <c r="C36" s="6"/>
      <c r="D36" s="6"/>
      <c r="E36" s="69">
        <v>0</v>
      </c>
      <c r="F36" s="6">
        <v>0</v>
      </c>
      <c r="G36" s="70">
        <f t="shared" ref="G5:G38" si="8">E36*F36</f>
        <v>0</v>
      </c>
      <c r="H36" s="69">
        <v>0</v>
      </c>
      <c r="I36" s="6">
        <v>0</v>
      </c>
      <c r="J36" s="70">
        <f t="shared" ref="J5:J38" si="9">H36*I36</f>
        <v>0</v>
      </c>
      <c r="K36" s="70">
        <f t="shared" ref="K5:M38" si="10">G36+J36</f>
        <v>0</v>
      </c>
      <c r="L36" s="167">
        <f t="shared" ref="L5:M38" si="11">+K36</f>
        <v>0</v>
      </c>
      <c r="M36" s="275">
        <f t="shared" si="4"/>
        <v>4396.8206999999966</v>
      </c>
      <c r="N36" s="6"/>
      <c r="O36" s="5"/>
    </row>
    <row r="37" spans="1:15">
      <c r="A37" s="6">
        <v>37</v>
      </c>
      <c r="B37" s="82"/>
      <c r="C37" s="6"/>
      <c r="D37" s="6"/>
      <c r="E37" s="69">
        <v>0</v>
      </c>
      <c r="F37" s="6">
        <v>0</v>
      </c>
      <c r="G37" s="70">
        <f t="shared" si="8"/>
        <v>0</v>
      </c>
      <c r="H37" s="69">
        <v>0</v>
      </c>
      <c r="I37" s="6">
        <v>0</v>
      </c>
      <c r="J37" s="70">
        <f t="shared" si="9"/>
        <v>0</v>
      </c>
      <c r="K37" s="70">
        <f t="shared" si="10"/>
        <v>0</v>
      </c>
      <c r="L37" s="167">
        <f t="shared" si="11"/>
        <v>0</v>
      </c>
      <c r="M37" s="275">
        <f t="shared" si="4"/>
        <v>4396.8206999999966</v>
      </c>
      <c r="N37" s="6"/>
      <c r="O37" s="5"/>
    </row>
    <row r="38" spans="1:15">
      <c r="A38" s="6">
        <v>38</v>
      </c>
      <c r="B38" s="82"/>
      <c r="C38" s="6"/>
      <c r="D38" s="6"/>
      <c r="E38" s="69">
        <v>0</v>
      </c>
      <c r="F38" s="6">
        <v>0</v>
      </c>
      <c r="G38" s="70">
        <f t="shared" si="8"/>
        <v>0</v>
      </c>
      <c r="H38" s="69">
        <v>0</v>
      </c>
      <c r="I38" s="6">
        <v>0</v>
      </c>
      <c r="J38" s="70">
        <f t="shared" si="9"/>
        <v>0</v>
      </c>
      <c r="K38" s="70">
        <f t="shared" si="10"/>
        <v>0</v>
      </c>
      <c r="L38" s="167">
        <f t="shared" si="11"/>
        <v>0</v>
      </c>
      <c r="M38" s="275">
        <f t="shared" si="4"/>
        <v>4396.8206999999966</v>
      </c>
      <c r="N38" s="6"/>
      <c r="O38" s="5"/>
    </row>
    <row r="39" spans="1:15">
      <c r="A39" s="175">
        <v>39</v>
      </c>
      <c r="B39" s="176"/>
      <c r="C39" s="175"/>
      <c r="D39" s="6"/>
      <c r="E39" s="69">
        <v>0</v>
      </c>
      <c r="F39" s="6">
        <v>0</v>
      </c>
      <c r="G39" s="70">
        <f t="shared" ref="G5:G41" si="12">E39*F39</f>
        <v>0</v>
      </c>
      <c r="H39" s="69">
        <v>0</v>
      </c>
      <c r="I39" s="6">
        <v>0</v>
      </c>
      <c r="J39" s="70">
        <f t="shared" ref="J5:J41" si="13">H39*I39</f>
        <v>0</v>
      </c>
      <c r="K39" s="70">
        <f t="shared" ref="K5:K41" si="14">G39+J39</f>
        <v>0</v>
      </c>
      <c r="L39" s="167">
        <f t="shared" ref="L5:L41" si="15">+K39</f>
        <v>0</v>
      </c>
      <c r="M39" s="275">
        <f t="shared" si="4"/>
        <v>4396.8206999999966</v>
      </c>
      <c r="N39" s="175"/>
      <c r="O39" s="5"/>
    </row>
    <row r="40" spans="1:15">
      <c r="A40" s="6">
        <v>40</v>
      </c>
      <c r="B40" s="6"/>
      <c r="C40" s="6"/>
      <c r="D40" s="6"/>
      <c r="E40" s="69">
        <v>0</v>
      </c>
      <c r="F40" s="6">
        <v>0</v>
      </c>
      <c r="G40" s="70">
        <f t="shared" si="12"/>
        <v>0</v>
      </c>
      <c r="H40" s="69">
        <v>0</v>
      </c>
      <c r="I40" s="6">
        <v>0</v>
      </c>
      <c r="J40" s="70">
        <f t="shared" si="13"/>
        <v>0</v>
      </c>
      <c r="K40" s="70">
        <f t="shared" si="14"/>
        <v>0</v>
      </c>
      <c r="L40" s="167">
        <f t="shared" si="15"/>
        <v>0</v>
      </c>
      <c r="M40" s="275">
        <f t="shared" si="4"/>
        <v>4396.8206999999966</v>
      </c>
      <c r="N40" s="6"/>
      <c r="O40" s="5"/>
    </row>
    <row r="41" spans="1:15">
      <c r="A41" s="175">
        <v>41</v>
      </c>
      <c r="B41" s="175"/>
      <c r="C41" s="175"/>
      <c r="D41" s="6"/>
      <c r="E41" s="69">
        <v>0</v>
      </c>
      <c r="F41" s="6">
        <v>0</v>
      </c>
      <c r="G41" s="70">
        <f t="shared" si="12"/>
        <v>0</v>
      </c>
      <c r="H41" s="69">
        <v>0</v>
      </c>
      <c r="I41" s="6">
        <v>0</v>
      </c>
      <c r="J41" s="70">
        <f t="shared" si="13"/>
        <v>0</v>
      </c>
      <c r="K41" s="70">
        <f t="shared" si="14"/>
        <v>0</v>
      </c>
      <c r="L41" s="167">
        <f t="shared" si="15"/>
        <v>0</v>
      </c>
      <c r="M41" s="275">
        <f t="shared" si="4"/>
        <v>4396.8206999999966</v>
      </c>
      <c r="N41" s="175"/>
      <c r="O41" s="5"/>
    </row>
    <row r="42" spans="1:15">
      <c r="A42" s="175">
        <v>42</v>
      </c>
      <c r="B42" s="175"/>
      <c r="C42" s="175"/>
      <c r="D42" s="6"/>
      <c r="E42" s="69">
        <v>0</v>
      </c>
      <c r="F42" s="6">
        <v>0</v>
      </c>
      <c r="G42" s="70">
        <f t="shared" ref="G5:G42" si="16">E42*F42</f>
        <v>0</v>
      </c>
      <c r="H42" s="69"/>
      <c r="I42" s="6"/>
      <c r="J42" s="70">
        <f t="shared" ref="J5:J42" si="17">H42*I42</f>
        <v>0</v>
      </c>
      <c r="K42" s="177">
        <f t="shared" ref="K5:K42" si="18">G42+J42</f>
        <v>0</v>
      </c>
      <c r="L42" s="178">
        <f t="shared" ref="L5:L42" si="19">+K42</f>
        <v>0</v>
      </c>
      <c r="M42" s="275">
        <f t="shared" si="4"/>
        <v>4396.8206999999966</v>
      </c>
      <c r="N42" s="175"/>
      <c r="O42" s="5"/>
    </row>
    <row r="43" spans="1:15">
      <c r="A43" s="66"/>
      <c r="B43" s="66"/>
      <c r="C43" s="66"/>
      <c r="D43" s="66"/>
      <c r="E43" s="67">
        <f>SUM(E4:E42)</f>
        <v>1365</v>
      </c>
      <c r="F43" s="67"/>
      <c r="G43" s="67">
        <f>SUM(G4:G42)</f>
        <v>124634.44999999998</v>
      </c>
      <c r="H43" s="67">
        <f>SUM(H4:H42)</f>
        <v>100.68</v>
      </c>
      <c r="I43" s="67"/>
      <c r="J43" s="67">
        <f>SUM(J4:J42)</f>
        <v>10396.216799999998</v>
      </c>
      <c r="K43" s="67">
        <f>SUM(K4:K42)</f>
        <v>135030.66680000001</v>
      </c>
      <c r="L43" s="67">
        <f>SUM(L4:L42)</f>
        <v>167807.32</v>
      </c>
      <c r="M43" s="67"/>
      <c r="N43" s="67"/>
      <c r="O43" s="63"/>
    </row>
    <row r="44" spans="1:15">
      <c r="A44" s="5"/>
      <c r="B44" s="5"/>
      <c r="C44" s="5"/>
      <c r="D44" s="5"/>
      <c r="E44" s="5"/>
      <c r="F44" s="5"/>
      <c r="G44" s="106"/>
      <c r="H44" s="5"/>
      <c r="I44" s="5"/>
      <c r="J44" s="106"/>
      <c r="K44" s="5"/>
      <c r="L44" s="106"/>
      <c r="M44" s="106"/>
      <c r="N44" s="5"/>
      <c r="O44" s="5"/>
    </row>
    <row r="45" spans="1:15">
      <c r="A45" s="5"/>
      <c r="B45" s="5"/>
      <c r="C45" s="5"/>
      <c r="D45" s="5"/>
      <c r="E45" s="5"/>
      <c r="F45" s="5"/>
      <c r="G45" s="106"/>
      <c r="H45" s="5"/>
      <c r="I45" s="5"/>
      <c r="J45" s="106"/>
      <c r="K45" s="5"/>
      <c r="L45" s="106"/>
      <c r="M45" s="106"/>
      <c r="N45" s="5"/>
      <c r="O45" s="5"/>
    </row>
    <row r="46" spans="1:15">
      <c r="L46">
        <v>41648.541499999999</v>
      </c>
    </row>
    <row r="47" spans="1:15">
      <c r="L47" s="180">
        <f>L43+L46</f>
        <v>209455.8615</v>
      </c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44E54-D29F-438F-9AA9-C122252DB046}">
  <sheetPr>
    <tabColor rgb="FF92D050"/>
  </sheetPr>
  <dimension ref="A1:R43"/>
  <sheetViews>
    <sheetView workbookViewId="0">
      <selection activeCell="K51" sqref="K51"/>
    </sheetView>
  </sheetViews>
  <sheetFormatPr defaultRowHeight="15"/>
  <cols>
    <col min="2" max="2" width="10.5703125" bestFit="1" customWidth="1"/>
    <col min="7" max="7" width="11.85546875" bestFit="1" customWidth="1"/>
    <col min="10" max="10" width="10.85546875" bestFit="1" customWidth="1"/>
    <col min="11" max="11" width="13.140625" bestFit="1" customWidth="1"/>
    <col min="12" max="12" width="12.140625" bestFit="1" customWidth="1"/>
    <col min="13" max="13" width="17.42578125" customWidth="1"/>
    <col min="14" max="14" width="11.85546875" customWidth="1"/>
    <col min="17" max="18" width="12" bestFit="1" customWidth="1"/>
  </cols>
  <sheetData>
    <row r="1" spans="1:18" ht="15.75">
      <c r="A1" s="397" t="s">
        <v>86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97"/>
      <c r="M1" s="397"/>
      <c r="N1" s="397"/>
    </row>
    <row r="2" spans="1:18" ht="30.75">
      <c r="A2" s="68" t="s">
        <v>90</v>
      </c>
      <c r="B2" s="87" t="s">
        <v>91</v>
      </c>
      <c r="C2" s="87" t="s">
        <v>92</v>
      </c>
      <c r="D2" s="87" t="s">
        <v>107</v>
      </c>
      <c r="E2" s="87" t="s">
        <v>94</v>
      </c>
      <c r="F2" s="87" t="s">
        <v>95</v>
      </c>
      <c r="G2" s="94" t="s">
        <v>96</v>
      </c>
      <c r="H2" s="87" t="s">
        <v>97</v>
      </c>
      <c r="I2" s="87" t="s">
        <v>95</v>
      </c>
      <c r="J2" s="94" t="s">
        <v>96</v>
      </c>
      <c r="K2" s="68" t="s">
        <v>98</v>
      </c>
      <c r="L2" s="95" t="s">
        <v>99</v>
      </c>
      <c r="M2" s="89" t="s">
        <v>106</v>
      </c>
      <c r="N2" s="87" t="s">
        <v>101</v>
      </c>
    </row>
    <row r="3" spans="1:18">
      <c r="A3" s="411" t="s">
        <v>102</v>
      </c>
      <c r="B3" s="412"/>
      <c r="C3" s="412"/>
      <c r="D3" s="412"/>
      <c r="E3" s="412"/>
      <c r="F3" s="412"/>
      <c r="G3" s="412"/>
      <c r="H3" s="412"/>
      <c r="I3" s="412"/>
      <c r="J3" s="412"/>
      <c r="K3" s="412"/>
      <c r="L3" s="413"/>
      <c r="M3" s="414">
        <v>119940.00260000002</v>
      </c>
      <c r="N3" s="415"/>
    </row>
    <row r="4" spans="1:18">
      <c r="A4" s="204">
        <v>1</v>
      </c>
      <c r="B4" s="230">
        <v>45901</v>
      </c>
      <c r="C4" s="6"/>
      <c r="D4" s="6"/>
      <c r="E4" s="69">
        <v>32.74</v>
      </c>
      <c r="F4" s="348">
        <v>91.74</v>
      </c>
      <c r="G4" s="70">
        <f>E4*F4</f>
        <v>3003.5675999999999</v>
      </c>
      <c r="H4" s="69">
        <v>0</v>
      </c>
      <c r="I4" s="6">
        <v>0</v>
      </c>
      <c r="J4" s="70">
        <f>H4*I4</f>
        <v>0</v>
      </c>
      <c r="K4" s="70">
        <f>G4+J4</f>
        <v>3003.5675999999999</v>
      </c>
      <c r="L4" s="167">
        <v>0</v>
      </c>
      <c r="M4" s="153">
        <f>M3+K4-L4</f>
        <v>122943.57020000002</v>
      </c>
      <c r="N4" s="48" t="s">
        <v>117</v>
      </c>
    </row>
    <row r="5" spans="1:18">
      <c r="A5" s="48">
        <v>2</v>
      </c>
      <c r="B5" s="230">
        <v>45902</v>
      </c>
      <c r="C5" s="6"/>
      <c r="D5" s="6"/>
      <c r="E5" s="69">
        <v>0</v>
      </c>
      <c r="F5" s="348">
        <v>0</v>
      </c>
      <c r="G5" s="70">
        <f t="shared" ref="G5:G34" si="0">E5*F5</f>
        <v>0</v>
      </c>
      <c r="H5" s="69">
        <v>0</v>
      </c>
      <c r="I5" s="6">
        <v>0</v>
      </c>
      <c r="J5" s="70">
        <f t="shared" ref="J5:J34" si="1">H5*I5</f>
        <v>0</v>
      </c>
      <c r="K5" s="70">
        <f t="shared" ref="K5:K34" si="2">G5+J5</f>
        <v>0</v>
      </c>
      <c r="L5" s="167">
        <v>0</v>
      </c>
      <c r="M5" s="153">
        <f t="shared" ref="M5:M33" si="3">M4+K5-L5</f>
        <v>122943.57020000002</v>
      </c>
      <c r="N5" s="48" t="s">
        <v>117</v>
      </c>
    </row>
    <row r="6" spans="1:18">
      <c r="A6" s="48">
        <v>3</v>
      </c>
      <c r="B6" s="230">
        <v>45903</v>
      </c>
      <c r="C6" s="6"/>
      <c r="D6" s="6"/>
      <c r="E6" s="69">
        <v>0</v>
      </c>
      <c r="F6" s="348">
        <v>0</v>
      </c>
      <c r="G6" s="70">
        <f t="shared" si="0"/>
        <v>0</v>
      </c>
      <c r="H6" s="69">
        <v>0</v>
      </c>
      <c r="I6" s="6">
        <v>0</v>
      </c>
      <c r="J6" s="70">
        <f t="shared" si="1"/>
        <v>0</v>
      </c>
      <c r="K6" s="70">
        <f t="shared" si="2"/>
        <v>0</v>
      </c>
      <c r="L6" s="167">
        <v>0</v>
      </c>
      <c r="M6" s="153">
        <f t="shared" si="3"/>
        <v>122943.57020000002</v>
      </c>
      <c r="N6" s="48" t="s">
        <v>117</v>
      </c>
    </row>
    <row r="7" spans="1:18">
      <c r="A7" s="48">
        <v>4</v>
      </c>
      <c r="B7" s="230">
        <v>45904</v>
      </c>
      <c r="C7" s="6"/>
      <c r="D7" s="6"/>
      <c r="E7" s="69">
        <v>0</v>
      </c>
      <c r="F7" s="348">
        <v>0</v>
      </c>
      <c r="G7" s="70">
        <f t="shared" si="0"/>
        <v>0</v>
      </c>
      <c r="H7" s="69">
        <v>12.28</v>
      </c>
      <c r="I7" s="6">
        <v>103.57</v>
      </c>
      <c r="J7" s="70">
        <f t="shared" si="1"/>
        <v>1271.8395999999998</v>
      </c>
      <c r="K7" s="70">
        <f t="shared" si="2"/>
        <v>1271.8395999999998</v>
      </c>
      <c r="L7" s="167">
        <v>0</v>
      </c>
      <c r="M7" s="153">
        <f t="shared" si="3"/>
        <v>124215.40980000002</v>
      </c>
      <c r="N7" s="48" t="s">
        <v>117</v>
      </c>
    </row>
    <row r="8" spans="1:18">
      <c r="A8" s="48">
        <v>5</v>
      </c>
      <c r="B8" s="230">
        <v>45905</v>
      </c>
      <c r="C8" s="6"/>
      <c r="D8" s="6"/>
      <c r="E8" s="69">
        <v>0</v>
      </c>
      <c r="F8" s="348">
        <v>0</v>
      </c>
      <c r="G8" s="70">
        <f t="shared" si="0"/>
        <v>0</v>
      </c>
      <c r="H8" s="69">
        <v>0</v>
      </c>
      <c r="I8" s="6">
        <v>0</v>
      </c>
      <c r="J8" s="70">
        <f t="shared" si="1"/>
        <v>0</v>
      </c>
      <c r="K8" s="70">
        <f t="shared" si="2"/>
        <v>0</v>
      </c>
      <c r="L8" s="167">
        <v>0</v>
      </c>
      <c r="M8" s="153">
        <f t="shared" si="3"/>
        <v>124215.40980000002</v>
      </c>
      <c r="N8" s="48" t="s">
        <v>117</v>
      </c>
    </row>
    <row r="9" spans="1:18">
      <c r="A9" s="48">
        <v>6</v>
      </c>
      <c r="B9" s="230">
        <v>45906</v>
      </c>
      <c r="C9" s="6"/>
      <c r="D9" s="6"/>
      <c r="E9" s="69">
        <v>0</v>
      </c>
      <c r="F9" s="348">
        <v>0</v>
      </c>
      <c r="G9" s="70">
        <f t="shared" si="0"/>
        <v>0</v>
      </c>
      <c r="H9" s="69">
        <v>0</v>
      </c>
      <c r="I9" s="6">
        <v>0</v>
      </c>
      <c r="J9" s="70">
        <f t="shared" si="1"/>
        <v>0</v>
      </c>
      <c r="K9" s="70">
        <f t="shared" si="2"/>
        <v>0</v>
      </c>
      <c r="L9" s="167">
        <v>0</v>
      </c>
      <c r="M9" s="153">
        <f t="shared" si="3"/>
        <v>124215.40980000002</v>
      </c>
      <c r="N9" s="48" t="s">
        <v>117</v>
      </c>
    </row>
    <row r="10" spans="1:18">
      <c r="A10" s="48">
        <v>7</v>
      </c>
      <c r="B10" s="230">
        <v>45907</v>
      </c>
      <c r="C10" s="6"/>
      <c r="D10" s="6"/>
      <c r="E10" s="69">
        <v>0</v>
      </c>
      <c r="F10" s="348">
        <v>0</v>
      </c>
      <c r="G10" s="70">
        <f t="shared" si="0"/>
        <v>0</v>
      </c>
      <c r="H10" s="69">
        <v>0</v>
      </c>
      <c r="I10" s="6">
        <v>0</v>
      </c>
      <c r="J10" s="70">
        <f t="shared" si="1"/>
        <v>0</v>
      </c>
      <c r="K10" s="70">
        <f t="shared" si="2"/>
        <v>0</v>
      </c>
      <c r="L10" s="167">
        <v>0</v>
      </c>
      <c r="M10" s="153">
        <f t="shared" si="3"/>
        <v>124215.40980000002</v>
      </c>
      <c r="N10" s="48" t="s">
        <v>117</v>
      </c>
    </row>
    <row r="11" spans="1:18">
      <c r="A11" s="48">
        <v>8</v>
      </c>
      <c r="B11" s="230">
        <v>45908</v>
      </c>
      <c r="C11" s="6"/>
      <c r="D11" s="6"/>
      <c r="E11" s="69">
        <v>0</v>
      </c>
      <c r="F11" s="348">
        <v>0</v>
      </c>
      <c r="G11" s="70">
        <f t="shared" si="0"/>
        <v>0</v>
      </c>
      <c r="H11" s="69">
        <v>0</v>
      </c>
      <c r="I11" s="6">
        <v>0</v>
      </c>
      <c r="J11" s="70">
        <f t="shared" si="1"/>
        <v>0</v>
      </c>
      <c r="K11" s="70">
        <f t="shared" si="2"/>
        <v>0</v>
      </c>
      <c r="L11" s="167">
        <v>100000</v>
      </c>
      <c r="M11" s="153">
        <f t="shared" si="3"/>
        <v>24215.409800000023</v>
      </c>
      <c r="N11" s="48" t="s">
        <v>117</v>
      </c>
    </row>
    <row r="12" spans="1:18">
      <c r="A12" s="48">
        <v>9</v>
      </c>
      <c r="B12" s="230">
        <v>45909</v>
      </c>
      <c r="C12" s="6"/>
      <c r="D12" s="6"/>
      <c r="E12" s="69">
        <v>65.489999999999995</v>
      </c>
      <c r="F12" s="348">
        <v>91.74</v>
      </c>
      <c r="G12" s="70">
        <f t="shared" si="0"/>
        <v>6008.0525999999991</v>
      </c>
      <c r="H12" s="69">
        <v>0</v>
      </c>
      <c r="I12" s="6">
        <v>0</v>
      </c>
      <c r="J12" s="70">
        <f t="shared" si="1"/>
        <v>0</v>
      </c>
      <c r="K12" s="70">
        <f t="shared" si="2"/>
        <v>6008.0525999999991</v>
      </c>
      <c r="L12" s="167">
        <v>0</v>
      </c>
      <c r="M12" s="153">
        <f t="shared" si="3"/>
        <v>30223.462400000022</v>
      </c>
      <c r="N12" s="48" t="s">
        <v>117</v>
      </c>
      <c r="R12" s="252"/>
    </row>
    <row r="13" spans="1:18">
      <c r="A13" s="48">
        <v>10</v>
      </c>
      <c r="B13" s="230">
        <v>45910</v>
      </c>
      <c r="C13" s="6"/>
      <c r="D13" s="6"/>
      <c r="E13" s="69">
        <v>32.74</v>
      </c>
      <c r="F13" s="348">
        <v>91.74</v>
      </c>
      <c r="G13" s="70">
        <f t="shared" si="0"/>
        <v>3003.5675999999999</v>
      </c>
      <c r="H13" s="69">
        <v>0</v>
      </c>
      <c r="I13" s="6">
        <v>0</v>
      </c>
      <c r="J13" s="70">
        <f t="shared" si="1"/>
        <v>0</v>
      </c>
      <c r="K13" s="70">
        <f t="shared" si="2"/>
        <v>3003.5675999999999</v>
      </c>
      <c r="L13" s="167">
        <v>0</v>
      </c>
      <c r="M13" s="153">
        <f t="shared" si="3"/>
        <v>33227.030000000021</v>
      </c>
      <c r="N13" s="48" t="s">
        <v>117</v>
      </c>
    </row>
    <row r="14" spans="1:18">
      <c r="A14" s="48">
        <v>11</v>
      </c>
      <c r="B14" s="230">
        <v>45911</v>
      </c>
      <c r="C14" s="6"/>
      <c r="D14" s="6"/>
      <c r="E14" s="69">
        <v>0</v>
      </c>
      <c r="F14" s="348">
        <v>0</v>
      </c>
      <c r="G14" s="70">
        <f t="shared" si="0"/>
        <v>0</v>
      </c>
      <c r="H14" s="69">
        <v>0</v>
      </c>
      <c r="I14" s="6">
        <v>0</v>
      </c>
      <c r="J14" s="70">
        <f t="shared" si="1"/>
        <v>0</v>
      </c>
      <c r="K14" s="70">
        <f t="shared" si="2"/>
        <v>0</v>
      </c>
      <c r="L14" s="167">
        <v>0</v>
      </c>
      <c r="M14" s="153">
        <f t="shared" si="3"/>
        <v>33227.030000000021</v>
      </c>
      <c r="N14" s="48" t="s">
        <v>117</v>
      </c>
    </row>
    <row r="15" spans="1:18">
      <c r="A15" s="48">
        <v>12</v>
      </c>
      <c r="B15" s="230">
        <v>45912</v>
      </c>
      <c r="C15" s="6"/>
      <c r="D15" s="6"/>
      <c r="E15" s="69">
        <v>0</v>
      </c>
      <c r="F15" s="348">
        <v>0</v>
      </c>
      <c r="G15" s="70">
        <f t="shared" si="0"/>
        <v>0</v>
      </c>
      <c r="H15" s="69">
        <v>0</v>
      </c>
      <c r="I15" s="6">
        <v>0</v>
      </c>
      <c r="J15" s="70">
        <f t="shared" si="1"/>
        <v>0</v>
      </c>
      <c r="K15" s="70">
        <f t="shared" si="2"/>
        <v>0</v>
      </c>
      <c r="L15" s="167">
        <v>0</v>
      </c>
      <c r="M15" s="153">
        <f t="shared" si="3"/>
        <v>33227.030000000021</v>
      </c>
      <c r="N15" s="48" t="s">
        <v>117</v>
      </c>
    </row>
    <row r="16" spans="1:18">
      <c r="A16" s="48">
        <v>13</v>
      </c>
      <c r="B16" s="230">
        <v>45913</v>
      </c>
      <c r="C16" s="6"/>
      <c r="D16" s="6"/>
      <c r="E16" s="69">
        <v>0</v>
      </c>
      <c r="F16" s="348">
        <v>0</v>
      </c>
      <c r="G16" s="70">
        <f t="shared" si="0"/>
        <v>0</v>
      </c>
      <c r="H16" s="69">
        <v>5.19</v>
      </c>
      <c r="I16" s="6">
        <v>103.57</v>
      </c>
      <c r="J16" s="70">
        <f t="shared" si="1"/>
        <v>537.52830000000006</v>
      </c>
      <c r="K16" s="70">
        <f t="shared" si="2"/>
        <v>537.52830000000006</v>
      </c>
      <c r="L16" s="167">
        <v>0</v>
      </c>
      <c r="M16" s="153">
        <f t="shared" si="3"/>
        <v>33764.558300000019</v>
      </c>
      <c r="N16" s="48" t="s">
        <v>117</v>
      </c>
    </row>
    <row r="17" spans="1:14">
      <c r="A17" s="48">
        <v>14</v>
      </c>
      <c r="B17" s="230">
        <v>45914</v>
      </c>
      <c r="C17" s="6"/>
      <c r="D17" s="6"/>
      <c r="E17" s="69">
        <v>0</v>
      </c>
      <c r="F17" s="348">
        <v>0</v>
      </c>
      <c r="G17" s="70">
        <f t="shared" si="0"/>
        <v>0</v>
      </c>
      <c r="H17" s="69">
        <v>0</v>
      </c>
      <c r="I17" s="6">
        <v>0</v>
      </c>
      <c r="J17" s="70">
        <f t="shared" si="1"/>
        <v>0</v>
      </c>
      <c r="K17" s="70">
        <f t="shared" si="2"/>
        <v>0</v>
      </c>
      <c r="L17" s="167">
        <v>0</v>
      </c>
      <c r="M17" s="153">
        <f t="shared" si="3"/>
        <v>33764.558300000019</v>
      </c>
      <c r="N17" s="48" t="s">
        <v>117</v>
      </c>
    </row>
    <row r="18" spans="1:14">
      <c r="A18" s="48">
        <v>15</v>
      </c>
      <c r="B18" s="230">
        <v>45915</v>
      </c>
      <c r="C18" s="6"/>
      <c r="D18" s="6"/>
      <c r="E18" s="69">
        <v>43.65</v>
      </c>
      <c r="F18" s="348">
        <v>91.74</v>
      </c>
      <c r="G18" s="70">
        <f t="shared" si="0"/>
        <v>4004.4509999999996</v>
      </c>
      <c r="H18" s="69">
        <v>5.79</v>
      </c>
      <c r="I18" s="6">
        <v>103.57</v>
      </c>
      <c r="J18" s="70">
        <f t="shared" si="1"/>
        <v>599.6703</v>
      </c>
      <c r="K18" s="70">
        <f t="shared" si="2"/>
        <v>4604.1212999999998</v>
      </c>
      <c r="L18" s="167">
        <v>0</v>
      </c>
      <c r="M18" s="153">
        <f t="shared" si="3"/>
        <v>38368.679600000018</v>
      </c>
      <c r="N18" s="48" t="s">
        <v>117</v>
      </c>
    </row>
    <row r="19" spans="1:14">
      <c r="A19" s="48">
        <v>16</v>
      </c>
      <c r="B19" s="230">
        <v>45916</v>
      </c>
      <c r="C19" s="6"/>
      <c r="D19" s="6"/>
      <c r="E19" s="69">
        <v>0</v>
      </c>
      <c r="F19" s="348">
        <v>0</v>
      </c>
      <c r="G19" s="70">
        <f t="shared" si="0"/>
        <v>0</v>
      </c>
      <c r="H19" s="69">
        <v>4.82</v>
      </c>
      <c r="I19" s="6">
        <v>103.57</v>
      </c>
      <c r="J19" s="70">
        <f t="shared" si="1"/>
        <v>499.20740000000001</v>
      </c>
      <c r="K19" s="70">
        <f t="shared" si="2"/>
        <v>499.20740000000001</v>
      </c>
      <c r="L19" s="167">
        <v>0</v>
      </c>
      <c r="M19" s="153">
        <f t="shared" si="3"/>
        <v>38867.887000000017</v>
      </c>
      <c r="N19" s="48" t="s">
        <v>117</v>
      </c>
    </row>
    <row r="20" spans="1:14">
      <c r="A20" s="48">
        <v>17</v>
      </c>
      <c r="B20" s="230">
        <v>45917</v>
      </c>
      <c r="C20" s="6"/>
      <c r="D20" s="6"/>
      <c r="E20" s="69">
        <v>0</v>
      </c>
      <c r="F20" s="348">
        <v>0</v>
      </c>
      <c r="G20" s="70">
        <f t="shared" si="0"/>
        <v>0</v>
      </c>
      <c r="H20" s="69">
        <v>4.83</v>
      </c>
      <c r="I20" s="6">
        <v>103.57</v>
      </c>
      <c r="J20" s="70">
        <f t="shared" si="1"/>
        <v>500.24309999999997</v>
      </c>
      <c r="K20" s="70">
        <f t="shared" si="2"/>
        <v>500.24309999999997</v>
      </c>
      <c r="L20" s="167">
        <v>0</v>
      </c>
      <c r="M20" s="153">
        <f t="shared" si="3"/>
        <v>39368.130100000017</v>
      </c>
      <c r="N20" s="48" t="s">
        <v>117</v>
      </c>
    </row>
    <row r="21" spans="1:14">
      <c r="A21" s="48">
        <v>18</v>
      </c>
      <c r="B21" s="230">
        <v>45918</v>
      </c>
      <c r="C21" s="6"/>
      <c r="D21" s="6"/>
      <c r="E21" s="69">
        <v>0</v>
      </c>
      <c r="F21" s="348">
        <v>0</v>
      </c>
      <c r="G21" s="70">
        <f t="shared" si="0"/>
        <v>0</v>
      </c>
      <c r="H21" s="69">
        <v>7.4</v>
      </c>
      <c r="I21" s="6">
        <v>103.57</v>
      </c>
      <c r="J21" s="70">
        <f t="shared" si="1"/>
        <v>766.41800000000001</v>
      </c>
      <c r="K21" s="70">
        <f t="shared" si="2"/>
        <v>766.41800000000001</v>
      </c>
      <c r="L21" s="167">
        <v>0</v>
      </c>
      <c r="M21" s="153">
        <f t="shared" si="3"/>
        <v>40134.548100000015</v>
      </c>
      <c r="N21" s="48" t="s">
        <v>117</v>
      </c>
    </row>
    <row r="22" spans="1:14">
      <c r="A22" s="48">
        <v>19</v>
      </c>
      <c r="B22" s="230">
        <v>45919</v>
      </c>
      <c r="C22" s="6"/>
      <c r="D22" s="6"/>
      <c r="E22" s="69">
        <v>39.43</v>
      </c>
      <c r="F22" s="348">
        <v>91.62</v>
      </c>
      <c r="G22" s="70">
        <f t="shared" si="0"/>
        <v>3612.5766000000003</v>
      </c>
      <c r="H22" s="69">
        <v>0</v>
      </c>
      <c r="I22" s="6">
        <v>0</v>
      </c>
      <c r="J22" s="70">
        <f t="shared" si="1"/>
        <v>0</v>
      </c>
      <c r="K22" s="70">
        <f t="shared" si="2"/>
        <v>3612.5766000000003</v>
      </c>
      <c r="L22" s="167">
        <v>0</v>
      </c>
      <c r="M22" s="153">
        <f t="shared" si="3"/>
        <v>43747.124700000015</v>
      </c>
      <c r="N22" s="48" t="s">
        <v>117</v>
      </c>
    </row>
    <row r="23" spans="1:14">
      <c r="A23" s="48">
        <v>20</v>
      </c>
      <c r="B23" s="230">
        <v>45920</v>
      </c>
      <c r="C23" s="6"/>
      <c r="D23" s="6"/>
      <c r="E23" s="69">
        <v>16.37</v>
      </c>
      <c r="F23" s="348">
        <v>91.62</v>
      </c>
      <c r="G23" s="70">
        <f t="shared" si="0"/>
        <v>1499.8194000000001</v>
      </c>
      <c r="H23" s="348">
        <v>9.02</v>
      </c>
      <c r="I23" s="6">
        <v>103.57</v>
      </c>
      <c r="J23" s="70">
        <f t="shared" si="1"/>
        <v>934.20139999999992</v>
      </c>
      <c r="K23" s="70">
        <f t="shared" si="2"/>
        <v>2434.0208000000002</v>
      </c>
      <c r="L23" s="167">
        <v>0</v>
      </c>
      <c r="M23" s="153">
        <f t="shared" si="3"/>
        <v>46181.145500000013</v>
      </c>
      <c r="N23" s="48"/>
    </row>
    <row r="24" spans="1:14">
      <c r="A24" s="48">
        <v>21</v>
      </c>
      <c r="B24" s="230">
        <v>45921</v>
      </c>
      <c r="C24" s="6"/>
      <c r="D24" s="6"/>
      <c r="E24" s="69">
        <v>32.74</v>
      </c>
      <c r="F24" s="348">
        <v>91.62</v>
      </c>
      <c r="G24" s="70">
        <f t="shared" si="0"/>
        <v>2999.6388000000002</v>
      </c>
      <c r="H24" s="348">
        <v>4.83</v>
      </c>
      <c r="I24" s="6">
        <v>103.57</v>
      </c>
      <c r="J24" s="70">
        <f t="shared" si="1"/>
        <v>500.24309999999997</v>
      </c>
      <c r="K24" s="70">
        <f t="shared" si="2"/>
        <v>3499.8819000000003</v>
      </c>
      <c r="L24" s="167">
        <v>0</v>
      </c>
      <c r="M24" s="153">
        <f>M23+K24-L24</f>
        <v>49681.027400000014</v>
      </c>
      <c r="N24" s="48"/>
    </row>
    <row r="25" spans="1:14">
      <c r="A25" s="48">
        <v>22</v>
      </c>
      <c r="B25" s="230">
        <v>45922</v>
      </c>
      <c r="C25" s="6"/>
      <c r="D25" s="6"/>
      <c r="E25" s="69">
        <v>0</v>
      </c>
      <c r="F25" s="348">
        <v>0</v>
      </c>
      <c r="G25" s="70">
        <f t="shared" si="0"/>
        <v>0</v>
      </c>
      <c r="H25" s="69">
        <v>0</v>
      </c>
      <c r="I25" s="6">
        <v>0</v>
      </c>
      <c r="J25" s="70">
        <f t="shared" si="1"/>
        <v>0</v>
      </c>
      <c r="K25" s="70">
        <f t="shared" si="2"/>
        <v>0</v>
      </c>
      <c r="L25" s="167">
        <v>0</v>
      </c>
      <c r="M25" s="153">
        <f t="shared" si="3"/>
        <v>49681.027400000014</v>
      </c>
      <c r="N25" s="48"/>
    </row>
    <row r="26" spans="1:14">
      <c r="A26" s="48">
        <v>23</v>
      </c>
      <c r="B26" s="230">
        <v>45923</v>
      </c>
      <c r="C26" s="6"/>
      <c r="D26" s="6"/>
      <c r="E26" s="69">
        <v>43.66</v>
      </c>
      <c r="F26" s="348">
        <v>91.62</v>
      </c>
      <c r="G26" s="70">
        <f t="shared" si="0"/>
        <v>4000.1291999999999</v>
      </c>
      <c r="H26" s="69">
        <v>0</v>
      </c>
      <c r="I26" s="6">
        <v>0</v>
      </c>
      <c r="J26" s="70">
        <f t="shared" si="1"/>
        <v>0</v>
      </c>
      <c r="K26" s="70">
        <f t="shared" si="2"/>
        <v>4000.1291999999999</v>
      </c>
      <c r="L26" s="167">
        <v>0</v>
      </c>
      <c r="M26" s="153">
        <f t="shared" si="3"/>
        <v>53681.156600000017</v>
      </c>
      <c r="N26" s="6"/>
    </row>
    <row r="27" spans="1:14">
      <c r="A27" s="48">
        <v>24</v>
      </c>
      <c r="B27" s="230">
        <v>45924</v>
      </c>
      <c r="C27" s="6"/>
      <c r="D27" s="6"/>
      <c r="E27" s="69">
        <v>73.19</v>
      </c>
      <c r="F27" s="348">
        <v>91.62</v>
      </c>
      <c r="G27" s="70">
        <f t="shared" si="0"/>
        <v>6705.6678000000002</v>
      </c>
      <c r="H27" s="69">
        <v>10</v>
      </c>
      <c r="I27" s="6">
        <v>103.57</v>
      </c>
      <c r="J27" s="70">
        <f t="shared" si="1"/>
        <v>1035.6999999999998</v>
      </c>
      <c r="K27" s="70">
        <f t="shared" si="2"/>
        <v>7741.3678</v>
      </c>
      <c r="L27" s="167">
        <v>0</v>
      </c>
      <c r="M27" s="153">
        <f t="shared" si="3"/>
        <v>61422.524400000017</v>
      </c>
      <c r="N27" s="6"/>
    </row>
    <row r="28" spans="1:14">
      <c r="A28" s="232">
        <v>25</v>
      </c>
      <c r="B28" s="230">
        <v>45925</v>
      </c>
      <c r="C28" s="6"/>
      <c r="D28" s="6"/>
      <c r="E28" s="69">
        <v>43.650000000000006</v>
      </c>
      <c r="F28" s="348">
        <v>91.62</v>
      </c>
      <c r="G28" s="70">
        <f t="shared" si="0"/>
        <v>3999.2130000000006</v>
      </c>
      <c r="H28" s="69">
        <v>0</v>
      </c>
      <c r="I28" s="6">
        <v>0</v>
      </c>
      <c r="J28" s="70">
        <f t="shared" si="1"/>
        <v>0</v>
      </c>
      <c r="K28" s="70">
        <f t="shared" si="2"/>
        <v>3999.2130000000006</v>
      </c>
      <c r="L28" s="167">
        <v>0</v>
      </c>
      <c r="M28" s="153">
        <f t="shared" si="3"/>
        <v>65421.73740000002</v>
      </c>
      <c r="N28" s="6"/>
    </row>
    <row r="29" spans="1:14">
      <c r="A29" s="232">
        <v>26</v>
      </c>
      <c r="B29" s="230">
        <v>45926</v>
      </c>
      <c r="C29" s="6"/>
      <c r="D29" s="6"/>
      <c r="E29" s="69">
        <v>0</v>
      </c>
      <c r="F29" s="348">
        <v>0</v>
      </c>
      <c r="G29" s="70">
        <f t="shared" si="0"/>
        <v>0</v>
      </c>
      <c r="H29" s="69">
        <v>0</v>
      </c>
      <c r="I29" s="6">
        <v>0</v>
      </c>
      <c r="J29" s="70">
        <f t="shared" si="1"/>
        <v>0</v>
      </c>
      <c r="K29" s="70">
        <f t="shared" si="2"/>
        <v>0</v>
      </c>
      <c r="L29" s="167">
        <v>0</v>
      </c>
      <c r="M29" s="153">
        <f t="shared" si="3"/>
        <v>65421.73740000002</v>
      </c>
      <c r="N29" s="6"/>
    </row>
    <row r="30" spans="1:14">
      <c r="A30" s="232">
        <v>27</v>
      </c>
      <c r="B30" s="230">
        <v>45927</v>
      </c>
      <c r="C30" s="6"/>
      <c r="D30" s="6"/>
      <c r="E30" s="69">
        <v>0</v>
      </c>
      <c r="F30" s="348">
        <v>0</v>
      </c>
      <c r="G30" s="70">
        <f t="shared" si="0"/>
        <v>0</v>
      </c>
      <c r="H30" s="69">
        <v>0</v>
      </c>
      <c r="I30" s="6">
        <v>0</v>
      </c>
      <c r="J30" s="70">
        <f t="shared" si="1"/>
        <v>0</v>
      </c>
      <c r="K30" s="70">
        <f t="shared" si="2"/>
        <v>0</v>
      </c>
      <c r="L30" s="167">
        <v>50000</v>
      </c>
      <c r="M30" s="153">
        <f t="shared" si="3"/>
        <v>15421.73740000002</v>
      </c>
      <c r="N30" s="6"/>
    </row>
    <row r="31" spans="1:14">
      <c r="A31" s="232">
        <v>28</v>
      </c>
      <c r="B31" s="230">
        <v>45928</v>
      </c>
      <c r="C31" s="6"/>
      <c r="D31" s="6"/>
      <c r="E31" s="69">
        <v>0</v>
      </c>
      <c r="F31" s="348">
        <v>0</v>
      </c>
      <c r="G31" s="70">
        <f t="shared" si="0"/>
        <v>0</v>
      </c>
      <c r="H31" s="69">
        <v>0</v>
      </c>
      <c r="I31" s="6">
        <v>0</v>
      </c>
      <c r="J31" s="70">
        <f t="shared" si="1"/>
        <v>0</v>
      </c>
      <c r="K31" s="70">
        <f t="shared" si="2"/>
        <v>0</v>
      </c>
      <c r="L31" s="167">
        <v>0</v>
      </c>
      <c r="M31" s="153">
        <f t="shared" si="3"/>
        <v>15421.73740000002</v>
      </c>
      <c r="N31" s="6"/>
    </row>
    <row r="32" spans="1:14">
      <c r="A32" s="233">
        <v>29</v>
      </c>
      <c r="B32" s="230">
        <v>45929</v>
      </c>
      <c r="C32" s="6"/>
      <c r="D32" s="6"/>
      <c r="E32" s="69">
        <v>0</v>
      </c>
      <c r="F32" s="348">
        <v>0</v>
      </c>
      <c r="G32" s="70">
        <f t="shared" si="0"/>
        <v>0</v>
      </c>
      <c r="H32" s="69">
        <v>0</v>
      </c>
      <c r="I32" s="6">
        <v>0</v>
      </c>
      <c r="J32" s="70">
        <f t="shared" si="1"/>
        <v>0</v>
      </c>
      <c r="K32" s="70">
        <f t="shared" si="2"/>
        <v>0</v>
      </c>
      <c r="L32" s="167">
        <v>0</v>
      </c>
      <c r="M32" s="153">
        <f t="shared" si="3"/>
        <v>15421.73740000002</v>
      </c>
      <c r="N32" s="6"/>
    </row>
    <row r="33" spans="1:14">
      <c r="A33" s="233">
        <v>30</v>
      </c>
      <c r="B33" s="230">
        <v>45930</v>
      </c>
      <c r="C33" s="6"/>
      <c r="D33" s="6"/>
      <c r="E33" s="69">
        <v>45</v>
      </c>
      <c r="F33" s="348">
        <v>91.62</v>
      </c>
      <c r="G33" s="70">
        <f t="shared" si="0"/>
        <v>4122.9000000000005</v>
      </c>
      <c r="H33" s="69">
        <v>0</v>
      </c>
      <c r="I33" s="6">
        <v>0</v>
      </c>
      <c r="J33" s="70">
        <f t="shared" si="1"/>
        <v>0</v>
      </c>
      <c r="K33" s="70">
        <f t="shared" si="2"/>
        <v>4122.9000000000005</v>
      </c>
      <c r="L33" s="167">
        <v>0</v>
      </c>
      <c r="M33" s="153">
        <f t="shared" si="3"/>
        <v>19544.637400000021</v>
      </c>
      <c r="N33" s="6"/>
    </row>
    <row r="34" spans="1:14">
      <c r="A34" s="233">
        <v>31</v>
      </c>
      <c r="B34" s="230"/>
      <c r="C34" s="6"/>
      <c r="D34" s="6"/>
      <c r="E34" s="69">
        <v>0</v>
      </c>
      <c r="F34" s="348">
        <v>0</v>
      </c>
      <c r="G34" s="70">
        <f t="shared" si="0"/>
        <v>0</v>
      </c>
      <c r="H34" s="69">
        <v>0</v>
      </c>
      <c r="I34" s="6">
        <v>0</v>
      </c>
      <c r="J34" s="70">
        <f t="shared" si="1"/>
        <v>0</v>
      </c>
      <c r="K34" s="70">
        <f t="shared" si="2"/>
        <v>0</v>
      </c>
      <c r="L34" s="167">
        <v>0</v>
      </c>
      <c r="M34" s="153">
        <f t="shared" ref="M34:M39" si="4">M33+K34-L34</f>
        <v>19544.637400000021</v>
      </c>
      <c r="N34" s="6"/>
    </row>
    <row r="35" spans="1:14">
      <c r="A35" s="6">
        <v>35</v>
      </c>
      <c r="B35" s="82"/>
      <c r="C35" s="6"/>
      <c r="D35" s="6"/>
      <c r="E35" s="69">
        <v>0</v>
      </c>
      <c r="F35" s="6">
        <v>0</v>
      </c>
      <c r="G35" s="70">
        <f t="shared" ref="G35:G37" si="5">E35*F35</f>
        <v>0</v>
      </c>
      <c r="H35" s="69">
        <v>0</v>
      </c>
      <c r="I35" s="6">
        <v>0</v>
      </c>
      <c r="J35" s="70">
        <f t="shared" ref="J35:J37" si="6">H35*I35</f>
        <v>0</v>
      </c>
      <c r="K35" s="70">
        <f t="shared" ref="K35:K37" si="7">G35+J35</f>
        <v>0</v>
      </c>
      <c r="L35" s="167">
        <f t="shared" ref="L35:L37" si="8">+K35</f>
        <v>0</v>
      </c>
      <c r="M35" s="153">
        <f t="shared" si="4"/>
        <v>19544.637400000021</v>
      </c>
      <c r="N35" s="6"/>
    </row>
    <row r="36" spans="1:14">
      <c r="A36" s="6">
        <v>36</v>
      </c>
      <c r="B36" s="82"/>
      <c r="C36" s="6"/>
      <c r="D36" s="6"/>
      <c r="E36" s="69">
        <v>0</v>
      </c>
      <c r="F36" s="6">
        <v>0</v>
      </c>
      <c r="G36" s="70">
        <f t="shared" si="5"/>
        <v>0</v>
      </c>
      <c r="H36" s="69">
        <v>0</v>
      </c>
      <c r="I36" s="6">
        <v>0</v>
      </c>
      <c r="J36" s="70">
        <f t="shared" si="6"/>
        <v>0</v>
      </c>
      <c r="K36" s="70">
        <f t="shared" si="7"/>
        <v>0</v>
      </c>
      <c r="L36" s="167">
        <f t="shared" si="8"/>
        <v>0</v>
      </c>
      <c r="M36" s="153">
        <f t="shared" si="4"/>
        <v>19544.637400000021</v>
      </c>
      <c r="N36" s="6"/>
    </row>
    <row r="37" spans="1:14">
      <c r="A37" s="6">
        <v>37</v>
      </c>
      <c r="B37" s="82"/>
      <c r="C37" s="6"/>
      <c r="D37" s="6"/>
      <c r="E37" s="69">
        <v>0</v>
      </c>
      <c r="F37" s="6">
        <v>0</v>
      </c>
      <c r="G37" s="70">
        <f t="shared" si="5"/>
        <v>0</v>
      </c>
      <c r="H37" s="69">
        <v>0</v>
      </c>
      <c r="I37" s="6">
        <v>0</v>
      </c>
      <c r="J37" s="70">
        <f t="shared" si="6"/>
        <v>0</v>
      </c>
      <c r="K37" s="70">
        <f t="shared" si="7"/>
        <v>0</v>
      </c>
      <c r="L37" s="167">
        <f t="shared" si="8"/>
        <v>0</v>
      </c>
      <c r="M37" s="153">
        <f t="shared" si="4"/>
        <v>19544.637400000021</v>
      </c>
      <c r="N37" s="6"/>
    </row>
    <row r="38" spans="1:14">
      <c r="A38" s="6">
        <v>38</v>
      </c>
      <c r="B38" s="82"/>
      <c r="C38" s="6"/>
      <c r="D38" s="6"/>
      <c r="E38" s="69">
        <v>0</v>
      </c>
      <c r="F38" s="6">
        <v>0</v>
      </c>
      <c r="G38" s="70">
        <f t="shared" ref="G38:G40" si="9">E38*F38</f>
        <v>0</v>
      </c>
      <c r="H38" s="69">
        <v>0</v>
      </c>
      <c r="I38" s="6">
        <v>0</v>
      </c>
      <c r="J38" s="70">
        <f t="shared" ref="J38:J40" si="10">H38*I38</f>
        <v>0</v>
      </c>
      <c r="K38" s="70">
        <f t="shared" ref="K38:K40" si="11">G38+J38</f>
        <v>0</v>
      </c>
      <c r="L38" s="167">
        <f t="shared" ref="L38:L40" si="12">+K38</f>
        <v>0</v>
      </c>
      <c r="M38" s="153">
        <f t="shared" si="4"/>
        <v>19544.637400000021</v>
      </c>
      <c r="N38" s="6"/>
    </row>
    <row r="39" spans="1:14">
      <c r="A39" s="175">
        <v>39</v>
      </c>
      <c r="B39" s="176"/>
      <c r="C39" s="175"/>
      <c r="D39" s="6"/>
      <c r="E39" s="69">
        <v>0</v>
      </c>
      <c r="F39" s="6">
        <v>0</v>
      </c>
      <c r="G39" s="70">
        <f t="shared" si="9"/>
        <v>0</v>
      </c>
      <c r="H39" s="69">
        <v>0</v>
      </c>
      <c r="I39" s="6">
        <v>0</v>
      </c>
      <c r="J39" s="70">
        <f t="shared" si="10"/>
        <v>0</v>
      </c>
      <c r="K39" s="70">
        <f t="shared" si="11"/>
        <v>0</v>
      </c>
      <c r="L39" s="167">
        <f t="shared" si="12"/>
        <v>0</v>
      </c>
      <c r="M39" s="153">
        <f t="shared" si="4"/>
        <v>19544.637400000021</v>
      </c>
      <c r="N39" s="175"/>
    </row>
    <row r="40" spans="1:14">
      <c r="A40" s="6">
        <v>40</v>
      </c>
      <c r="B40" s="6"/>
      <c r="C40" s="6"/>
      <c r="D40" s="6"/>
      <c r="E40" s="69">
        <v>0</v>
      </c>
      <c r="F40" s="6">
        <v>0</v>
      </c>
      <c r="G40" s="70">
        <f t="shared" si="9"/>
        <v>0</v>
      </c>
      <c r="H40" s="69">
        <v>0</v>
      </c>
      <c r="I40" s="6">
        <v>0</v>
      </c>
      <c r="J40" s="70">
        <f t="shared" si="10"/>
        <v>0</v>
      </c>
      <c r="K40" s="70">
        <f t="shared" si="11"/>
        <v>0</v>
      </c>
      <c r="L40" s="167">
        <f t="shared" si="12"/>
        <v>0</v>
      </c>
      <c r="M40" s="153">
        <v>0</v>
      </c>
      <c r="N40" s="6"/>
    </row>
    <row r="41" spans="1:14">
      <c r="A41" s="175">
        <v>41</v>
      </c>
      <c r="B41" s="175"/>
      <c r="C41" s="175"/>
      <c r="D41" s="6"/>
      <c r="E41" s="69">
        <v>0</v>
      </c>
      <c r="F41" s="6">
        <v>0</v>
      </c>
      <c r="G41" s="70">
        <f t="shared" ref="G41:G42" si="13">E41*F41</f>
        <v>0</v>
      </c>
      <c r="H41" s="69">
        <v>0</v>
      </c>
      <c r="I41" s="6">
        <v>0</v>
      </c>
      <c r="J41" s="70">
        <f t="shared" ref="J41:J42" si="14">H41*I41</f>
        <v>0</v>
      </c>
      <c r="K41" s="70">
        <f t="shared" ref="K41:K42" si="15">G41+J41</f>
        <v>0</v>
      </c>
      <c r="L41" s="167">
        <f t="shared" ref="L41:L42" si="16">+K41</f>
        <v>0</v>
      </c>
      <c r="M41" s="179">
        <v>0</v>
      </c>
      <c r="N41" s="175"/>
    </row>
    <row r="42" spans="1:14">
      <c r="A42" s="175">
        <v>42</v>
      </c>
      <c r="B42" s="175"/>
      <c r="C42" s="175"/>
      <c r="D42" s="6"/>
      <c r="E42" s="69">
        <v>0</v>
      </c>
      <c r="F42" s="6">
        <v>0</v>
      </c>
      <c r="G42" s="70">
        <f t="shared" si="13"/>
        <v>0</v>
      </c>
      <c r="H42" s="69"/>
      <c r="I42" s="6"/>
      <c r="J42" s="70">
        <f t="shared" si="14"/>
        <v>0</v>
      </c>
      <c r="K42" s="177">
        <f t="shared" si="15"/>
        <v>0</v>
      </c>
      <c r="L42" s="178">
        <f t="shared" si="16"/>
        <v>0</v>
      </c>
      <c r="M42" s="179">
        <v>0</v>
      </c>
      <c r="N42" s="175"/>
    </row>
    <row r="43" spans="1:14">
      <c r="A43" s="66"/>
      <c r="B43" s="66"/>
      <c r="C43" s="66"/>
      <c r="D43" s="66"/>
      <c r="E43" s="67">
        <f>SUM(E4:E42)</f>
        <v>468.66000000000008</v>
      </c>
      <c r="F43" s="67"/>
      <c r="G43" s="67">
        <f>SUM(G4:G42)</f>
        <v>42959.583600000005</v>
      </c>
      <c r="H43" s="67">
        <f>SUM(H4:H42)</f>
        <v>64.16</v>
      </c>
      <c r="I43" s="67"/>
      <c r="J43" s="67">
        <f>SUM(J4:J42)</f>
        <v>6645.0511999999999</v>
      </c>
      <c r="K43" s="67">
        <f>SUM(K4:K42)</f>
        <v>49604.634800000007</v>
      </c>
      <c r="L43" s="67">
        <f>SUM(L4:L42)</f>
        <v>150000</v>
      </c>
      <c r="M43" s="67"/>
      <c r="N43" s="67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20EFF-7FC6-455A-AFB9-5E2CE46C92B6}">
  <sheetPr>
    <tabColor rgb="FF92D050"/>
  </sheetPr>
  <dimension ref="A1:Q49"/>
  <sheetViews>
    <sheetView topLeftCell="A22" workbookViewId="0">
      <selection activeCell="S40" sqref="S40"/>
    </sheetView>
  </sheetViews>
  <sheetFormatPr defaultRowHeight="15"/>
  <cols>
    <col min="2" max="2" width="10.85546875" bestFit="1" customWidth="1"/>
    <col min="4" max="4" width="16.140625" customWidth="1"/>
    <col min="7" max="7" width="11.85546875" bestFit="1" customWidth="1"/>
    <col min="11" max="12" width="16" customWidth="1"/>
    <col min="13" max="13" width="14.42578125" bestFit="1" customWidth="1"/>
    <col min="14" max="14" width="14.7109375" bestFit="1" customWidth="1"/>
  </cols>
  <sheetData>
    <row r="1" spans="1:15" ht="15.75">
      <c r="A1" s="397" t="s">
        <v>82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97"/>
      <c r="M1" s="397"/>
      <c r="N1" s="397"/>
      <c r="O1" s="5"/>
    </row>
    <row r="2" spans="1:15" ht="30.75">
      <c r="A2" s="68" t="s">
        <v>90</v>
      </c>
      <c r="B2" s="87" t="s">
        <v>91</v>
      </c>
      <c r="C2" s="87" t="s">
        <v>92</v>
      </c>
      <c r="D2" s="87" t="s">
        <v>107</v>
      </c>
      <c r="E2" s="87" t="s">
        <v>94</v>
      </c>
      <c r="F2" s="87" t="s">
        <v>95</v>
      </c>
      <c r="G2" s="94" t="s">
        <v>96</v>
      </c>
      <c r="H2" s="87" t="s">
        <v>97</v>
      </c>
      <c r="I2" s="87" t="s">
        <v>95</v>
      </c>
      <c r="J2" s="94" t="s">
        <v>96</v>
      </c>
      <c r="K2" s="68" t="s">
        <v>98</v>
      </c>
      <c r="L2" s="95" t="s">
        <v>99</v>
      </c>
      <c r="M2" s="89" t="s">
        <v>106</v>
      </c>
      <c r="N2" s="87" t="s">
        <v>101</v>
      </c>
      <c r="O2" s="5"/>
    </row>
    <row r="3" spans="1:15">
      <c r="A3" s="411" t="s">
        <v>102</v>
      </c>
      <c r="B3" s="412"/>
      <c r="C3" s="412"/>
      <c r="D3" s="412"/>
      <c r="E3" s="412"/>
      <c r="F3" s="412"/>
      <c r="G3" s="412"/>
      <c r="H3" s="412"/>
      <c r="I3" s="412"/>
      <c r="J3" s="412"/>
      <c r="K3" s="412"/>
      <c r="L3" s="413"/>
      <c r="M3" s="414">
        <v>45514.196000000004</v>
      </c>
      <c r="N3" s="415"/>
      <c r="O3" s="5"/>
    </row>
    <row r="4" spans="1:15">
      <c r="A4" s="204">
        <v>1</v>
      </c>
      <c r="B4" s="230" t="s">
        <v>145</v>
      </c>
      <c r="C4" s="6"/>
      <c r="D4" s="6"/>
      <c r="E4" s="69">
        <v>43.73</v>
      </c>
      <c r="F4" s="6">
        <v>91.45</v>
      </c>
      <c r="G4" s="70">
        <f>E4*F4</f>
        <v>3999.1084999999998</v>
      </c>
      <c r="H4" s="69">
        <v>4.83</v>
      </c>
      <c r="I4" s="6">
        <v>103.39</v>
      </c>
      <c r="J4" s="70">
        <f>H4*I4</f>
        <v>499.37369999999999</v>
      </c>
      <c r="K4" s="70">
        <f>G4+J4</f>
        <v>4498.4821999999995</v>
      </c>
      <c r="L4" s="322">
        <v>30000</v>
      </c>
      <c r="M4" s="153">
        <f>M3+K4-L4</f>
        <v>20012.678200000002</v>
      </c>
      <c r="N4" s="48" t="s">
        <v>117</v>
      </c>
      <c r="O4" s="5"/>
    </row>
    <row r="5" spans="1:15">
      <c r="A5" s="48">
        <v>2</v>
      </c>
      <c r="B5" s="230" t="s">
        <v>146</v>
      </c>
      <c r="C5" s="6"/>
      <c r="D5" s="6"/>
      <c r="E5" s="69">
        <v>54.67</v>
      </c>
      <c r="F5" s="6">
        <v>91.45</v>
      </c>
      <c r="G5" s="70">
        <f t="shared" ref="G5:G31" si="0">E5*F5</f>
        <v>4999.5715</v>
      </c>
      <c r="H5" s="69">
        <v>0</v>
      </c>
      <c r="I5" s="6">
        <v>0</v>
      </c>
      <c r="J5" s="70">
        <f t="shared" ref="J5:J31" si="1">H5*I5</f>
        <v>0</v>
      </c>
      <c r="K5" s="70">
        <f t="shared" ref="K5:K31" si="2">G5+J5</f>
        <v>4999.5715</v>
      </c>
      <c r="L5" s="322">
        <v>0</v>
      </c>
      <c r="M5" s="153">
        <f t="shared" ref="M5:M46" si="3">M4+K5-L5</f>
        <v>25012.2497</v>
      </c>
      <c r="N5" s="48" t="s">
        <v>117</v>
      </c>
      <c r="O5" s="5"/>
    </row>
    <row r="6" spans="1:15">
      <c r="A6" s="48">
        <v>3</v>
      </c>
      <c r="B6" s="230" t="s">
        <v>147</v>
      </c>
      <c r="C6" s="6"/>
      <c r="D6" s="6"/>
      <c r="E6" s="69">
        <v>76.540000000000006</v>
      </c>
      <c r="F6" s="6">
        <v>91.45</v>
      </c>
      <c r="G6" s="70">
        <f t="shared" si="0"/>
        <v>6999.5830000000005</v>
      </c>
      <c r="H6" s="69">
        <v>0</v>
      </c>
      <c r="I6" s="6">
        <v>0</v>
      </c>
      <c r="J6" s="70">
        <f t="shared" si="1"/>
        <v>0</v>
      </c>
      <c r="K6" s="70">
        <f t="shared" si="2"/>
        <v>6999.5830000000005</v>
      </c>
      <c r="L6" s="322">
        <v>0</v>
      </c>
      <c r="M6" s="153">
        <f t="shared" si="3"/>
        <v>32011.832699999999</v>
      </c>
      <c r="N6" s="48" t="s">
        <v>117</v>
      </c>
      <c r="O6" s="5"/>
    </row>
    <row r="7" spans="1:15">
      <c r="A7" s="204">
        <v>4</v>
      </c>
      <c r="B7" s="230" t="s">
        <v>148</v>
      </c>
      <c r="C7" s="6"/>
      <c r="D7" s="6"/>
      <c r="E7" s="69">
        <v>114.82</v>
      </c>
      <c r="F7" s="6">
        <v>91.45</v>
      </c>
      <c r="G7" s="70">
        <f t="shared" si="0"/>
        <v>10500.288999999999</v>
      </c>
      <c r="H7" s="69">
        <v>0</v>
      </c>
      <c r="I7" s="6">
        <v>0</v>
      </c>
      <c r="J7" s="70">
        <f t="shared" si="1"/>
        <v>0</v>
      </c>
      <c r="K7" s="70">
        <f t="shared" si="2"/>
        <v>10500.288999999999</v>
      </c>
      <c r="L7" s="322">
        <v>0</v>
      </c>
      <c r="M7" s="153">
        <f t="shared" si="3"/>
        <v>42512.121699999996</v>
      </c>
      <c r="N7" s="48" t="s">
        <v>117</v>
      </c>
      <c r="O7" s="5"/>
    </row>
    <row r="8" spans="1:15">
      <c r="A8" s="48">
        <v>5</v>
      </c>
      <c r="B8" s="230" t="s">
        <v>149</v>
      </c>
      <c r="C8" s="6"/>
      <c r="D8" s="6"/>
      <c r="E8" s="69">
        <v>49.21</v>
      </c>
      <c r="F8" s="6">
        <v>91.45</v>
      </c>
      <c r="G8" s="70">
        <f t="shared" si="0"/>
        <v>4500.2545</v>
      </c>
      <c r="H8" s="69">
        <v>4.83</v>
      </c>
      <c r="I8" s="6">
        <v>103.3</v>
      </c>
      <c r="J8" s="70">
        <f t="shared" si="1"/>
        <v>498.93900000000002</v>
      </c>
      <c r="K8" s="70">
        <f t="shared" si="2"/>
        <v>4999.1935000000003</v>
      </c>
      <c r="L8" s="322">
        <v>0</v>
      </c>
      <c r="M8" s="153">
        <f t="shared" si="3"/>
        <v>47511.315199999997</v>
      </c>
      <c r="N8" s="48" t="s">
        <v>117</v>
      </c>
      <c r="O8" s="5"/>
    </row>
    <row r="9" spans="1:15">
      <c r="A9" s="48">
        <v>6</v>
      </c>
      <c r="B9" s="230" t="s">
        <v>150</v>
      </c>
      <c r="C9" s="6"/>
      <c r="D9" s="6"/>
      <c r="E9" s="69">
        <v>109.34</v>
      </c>
      <c r="F9" s="6">
        <v>91.45</v>
      </c>
      <c r="G9" s="70">
        <f t="shared" si="0"/>
        <v>9999.143</v>
      </c>
      <c r="H9" s="69">
        <v>5</v>
      </c>
      <c r="I9" s="6">
        <v>103.3</v>
      </c>
      <c r="J9" s="70">
        <f t="shared" si="1"/>
        <v>516.5</v>
      </c>
      <c r="K9" s="70">
        <f t="shared" si="2"/>
        <v>10515.643</v>
      </c>
      <c r="L9" s="322">
        <v>40000</v>
      </c>
      <c r="M9" s="153">
        <f t="shared" si="3"/>
        <v>18026.958199999994</v>
      </c>
      <c r="N9" s="48" t="s">
        <v>117</v>
      </c>
      <c r="O9" s="5"/>
    </row>
    <row r="10" spans="1:15">
      <c r="A10" s="204">
        <v>7</v>
      </c>
      <c r="B10" s="230" t="s">
        <v>151</v>
      </c>
      <c r="C10" s="6"/>
      <c r="D10" s="6"/>
      <c r="E10" s="69">
        <v>54.67</v>
      </c>
      <c r="F10" s="6">
        <v>91.45</v>
      </c>
      <c r="G10" s="70">
        <f t="shared" si="0"/>
        <v>4999.5715</v>
      </c>
      <c r="H10" s="69">
        <v>0</v>
      </c>
      <c r="I10" s="6">
        <v>0</v>
      </c>
      <c r="J10" s="70">
        <f t="shared" si="1"/>
        <v>0</v>
      </c>
      <c r="K10" s="70">
        <f t="shared" si="2"/>
        <v>4999.5715</v>
      </c>
      <c r="L10" s="322">
        <v>7000</v>
      </c>
      <c r="M10" s="153">
        <f t="shared" si="3"/>
        <v>16026.529699999992</v>
      </c>
      <c r="N10" s="48" t="s">
        <v>117</v>
      </c>
      <c r="O10" s="5"/>
    </row>
    <row r="11" spans="1:15">
      <c r="A11" s="48">
        <v>8</v>
      </c>
      <c r="B11" s="230" t="s">
        <v>123</v>
      </c>
      <c r="C11" s="6"/>
      <c r="D11" s="6"/>
      <c r="E11" s="69">
        <v>100</v>
      </c>
      <c r="F11" s="6">
        <v>91.45</v>
      </c>
      <c r="G11" s="70">
        <f t="shared" si="0"/>
        <v>9145</v>
      </c>
      <c r="H11" s="69">
        <v>0</v>
      </c>
      <c r="I11" s="6">
        <v>0</v>
      </c>
      <c r="J11" s="70">
        <f t="shared" si="1"/>
        <v>0</v>
      </c>
      <c r="K11" s="70">
        <f t="shared" si="2"/>
        <v>9145</v>
      </c>
      <c r="L11" s="322">
        <v>0</v>
      </c>
      <c r="M11" s="153">
        <f t="shared" si="3"/>
        <v>25171.529699999992</v>
      </c>
      <c r="N11" s="48" t="s">
        <v>117</v>
      </c>
      <c r="O11" s="5"/>
    </row>
    <row r="12" spans="1:15">
      <c r="A12" s="48">
        <v>9</v>
      </c>
      <c r="B12" s="230" t="s">
        <v>152</v>
      </c>
      <c r="C12" s="6"/>
      <c r="D12" s="6"/>
      <c r="E12" s="69">
        <v>120.27</v>
      </c>
      <c r="F12" s="6">
        <v>91.45</v>
      </c>
      <c r="G12" s="70">
        <f t="shared" si="0"/>
        <v>10998.691500000001</v>
      </c>
      <c r="H12" s="69">
        <v>0</v>
      </c>
      <c r="I12" s="6">
        <v>0</v>
      </c>
      <c r="J12" s="70">
        <f t="shared" si="1"/>
        <v>0</v>
      </c>
      <c r="K12" s="70">
        <f t="shared" si="2"/>
        <v>10998.691500000001</v>
      </c>
      <c r="L12" s="322">
        <v>16027</v>
      </c>
      <c r="M12" s="153">
        <f t="shared" si="3"/>
        <v>20143.221199999993</v>
      </c>
      <c r="N12" s="48" t="s">
        <v>117</v>
      </c>
      <c r="O12" s="5"/>
    </row>
    <row r="13" spans="1:15">
      <c r="A13" s="204">
        <v>10</v>
      </c>
      <c r="B13" s="230" t="s">
        <v>125</v>
      </c>
      <c r="C13" s="6"/>
      <c r="D13" s="6"/>
      <c r="E13" s="69">
        <v>0</v>
      </c>
      <c r="F13" s="6">
        <v>0</v>
      </c>
      <c r="G13" s="70">
        <f t="shared" si="0"/>
        <v>0</v>
      </c>
      <c r="H13" s="69">
        <v>4.83</v>
      </c>
      <c r="I13" s="6">
        <v>103.39</v>
      </c>
      <c r="J13" s="70">
        <f t="shared" si="1"/>
        <v>499.37369999999999</v>
      </c>
      <c r="K13" s="70">
        <f t="shared" si="2"/>
        <v>499.37369999999999</v>
      </c>
      <c r="L13" s="322">
        <v>0</v>
      </c>
      <c r="M13" s="153">
        <f t="shared" si="3"/>
        <v>20642.594899999993</v>
      </c>
      <c r="N13" s="48" t="s">
        <v>117</v>
      </c>
      <c r="O13" s="5"/>
    </row>
    <row r="14" spans="1:15">
      <c r="A14" s="48">
        <v>11</v>
      </c>
      <c r="B14" s="230" t="s">
        <v>126</v>
      </c>
      <c r="C14" s="6"/>
      <c r="D14" s="6"/>
      <c r="E14" s="69">
        <v>65.599999999999994</v>
      </c>
      <c r="F14" s="6">
        <v>91.45</v>
      </c>
      <c r="G14" s="70">
        <f t="shared" si="0"/>
        <v>5999.12</v>
      </c>
      <c r="H14" s="69">
        <v>0</v>
      </c>
      <c r="I14" s="6">
        <v>0</v>
      </c>
      <c r="J14" s="70">
        <f t="shared" si="1"/>
        <v>0</v>
      </c>
      <c r="K14" s="70">
        <f t="shared" si="2"/>
        <v>5999.12</v>
      </c>
      <c r="L14" s="322">
        <v>0</v>
      </c>
      <c r="M14" s="153">
        <f t="shared" si="3"/>
        <v>26641.714899999992</v>
      </c>
      <c r="N14" s="48" t="s">
        <v>117</v>
      </c>
      <c r="O14" s="5"/>
    </row>
    <row r="15" spans="1:15">
      <c r="A15" s="48">
        <v>12</v>
      </c>
      <c r="B15" s="230" t="s">
        <v>127</v>
      </c>
      <c r="C15" s="6"/>
      <c r="D15" s="6"/>
      <c r="E15" s="69">
        <v>120.11</v>
      </c>
      <c r="F15" s="6">
        <v>91.45</v>
      </c>
      <c r="G15" s="70">
        <f t="shared" si="0"/>
        <v>10984.059499999999</v>
      </c>
      <c r="H15" s="69">
        <v>0</v>
      </c>
      <c r="I15" s="6">
        <v>0</v>
      </c>
      <c r="J15" s="70">
        <f t="shared" si="1"/>
        <v>0</v>
      </c>
      <c r="K15" s="70">
        <f t="shared" si="2"/>
        <v>10984.059499999999</v>
      </c>
      <c r="L15" s="322">
        <v>0</v>
      </c>
      <c r="M15" s="153">
        <f t="shared" si="3"/>
        <v>37625.774399999995</v>
      </c>
      <c r="N15" s="48" t="s">
        <v>117</v>
      </c>
      <c r="O15" s="5"/>
    </row>
    <row r="16" spans="1:15">
      <c r="A16" s="204">
        <v>13</v>
      </c>
      <c r="B16" s="230" t="s">
        <v>128</v>
      </c>
      <c r="C16" s="6"/>
      <c r="D16" s="6"/>
      <c r="E16" s="69">
        <v>21.87</v>
      </c>
      <c r="F16" s="6">
        <v>91.45</v>
      </c>
      <c r="G16" s="70">
        <f t="shared" si="0"/>
        <v>2000.0115000000001</v>
      </c>
      <c r="H16" s="69">
        <v>3.43</v>
      </c>
      <c r="I16" s="6">
        <v>103.39</v>
      </c>
      <c r="J16" s="70">
        <f t="shared" si="1"/>
        <v>354.6277</v>
      </c>
      <c r="K16" s="70">
        <f t="shared" si="2"/>
        <v>2354.6392000000001</v>
      </c>
      <c r="L16" s="322">
        <v>30000</v>
      </c>
      <c r="M16" s="153">
        <f t="shared" si="3"/>
        <v>9980.4135999999926</v>
      </c>
      <c r="N16" s="48" t="s">
        <v>117</v>
      </c>
      <c r="O16" s="5"/>
    </row>
    <row r="17" spans="1:17">
      <c r="A17" s="48">
        <v>14</v>
      </c>
      <c r="B17" s="230" t="s">
        <v>129</v>
      </c>
      <c r="C17" s="6"/>
      <c r="D17" s="6"/>
      <c r="E17" s="69">
        <v>156.52999999999997</v>
      </c>
      <c r="F17" s="6">
        <v>91.45</v>
      </c>
      <c r="G17" s="70">
        <f t="shared" si="0"/>
        <v>14314.668499999998</v>
      </c>
      <c r="H17" s="69">
        <v>0</v>
      </c>
      <c r="I17" s="6">
        <v>0</v>
      </c>
      <c r="J17" s="70">
        <f t="shared" si="1"/>
        <v>0</v>
      </c>
      <c r="K17" s="70">
        <f t="shared" si="2"/>
        <v>14314.668499999998</v>
      </c>
      <c r="L17" s="322">
        <v>0</v>
      </c>
      <c r="M17" s="153">
        <f t="shared" si="3"/>
        <v>24295.082099999992</v>
      </c>
      <c r="N17" s="48" t="s">
        <v>117</v>
      </c>
      <c r="O17" s="5"/>
    </row>
    <row r="18" spans="1:17">
      <c r="A18" s="48">
        <v>15</v>
      </c>
      <c r="B18" s="230" t="s">
        <v>130</v>
      </c>
      <c r="C18" s="6"/>
      <c r="D18" s="6"/>
      <c r="E18" s="69">
        <v>112.8</v>
      </c>
      <c r="F18" s="6">
        <v>91.45</v>
      </c>
      <c r="G18" s="70">
        <f t="shared" si="0"/>
        <v>10315.56</v>
      </c>
      <c r="H18" s="69">
        <v>5</v>
      </c>
      <c r="I18" s="6">
        <v>103.39</v>
      </c>
      <c r="J18" s="70">
        <f t="shared" si="1"/>
        <v>516.95000000000005</v>
      </c>
      <c r="K18" s="70">
        <f t="shared" si="2"/>
        <v>10832.51</v>
      </c>
      <c r="L18" s="322">
        <v>24000</v>
      </c>
      <c r="M18" s="153">
        <f t="shared" si="3"/>
        <v>11127.592099999994</v>
      </c>
      <c r="N18" s="48" t="s">
        <v>117</v>
      </c>
      <c r="O18" s="5"/>
    </row>
    <row r="19" spans="1:17">
      <c r="A19" s="204">
        <v>16</v>
      </c>
      <c r="B19" s="230" t="s">
        <v>131</v>
      </c>
      <c r="C19" s="6"/>
      <c r="D19" s="6"/>
      <c r="E19" s="69">
        <v>32.799999999999997</v>
      </c>
      <c r="F19" s="6">
        <v>91.45</v>
      </c>
      <c r="G19" s="70">
        <f t="shared" si="0"/>
        <v>2999.56</v>
      </c>
      <c r="H19" s="69">
        <v>4.83</v>
      </c>
      <c r="I19" s="6">
        <v>103.39</v>
      </c>
      <c r="J19" s="70">
        <f t="shared" si="1"/>
        <v>499.37369999999999</v>
      </c>
      <c r="K19" s="70">
        <f t="shared" si="2"/>
        <v>3498.9337</v>
      </c>
      <c r="L19" s="322">
        <v>0</v>
      </c>
      <c r="M19" s="153">
        <f t="shared" si="3"/>
        <v>14626.525799999994</v>
      </c>
      <c r="N19" s="48" t="s">
        <v>117</v>
      </c>
      <c r="O19" s="5"/>
    </row>
    <row r="20" spans="1:17">
      <c r="A20" s="48">
        <v>17</v>
      </c>
      <c r="B20" s="230" t="s">
        <v>132</v>
      </c>
      <c r="C20" s="6"/>
      <c r="D20" s="6"/>
      <c r="E20" s="69">
        <v>213.60000000000002</v>
      </c>
      <c r="F20" s="6">
        <v>91.45</v>
      </c>
      <c r="G20" s="70">
        <f t="shared" si="0"/>
        <v>19533.72</v>
      </c>
      <c r="H20" s="69">
        <v>5</v>
      </c>
      <c r="I20" s="6">
        <v>103.39</v>
      </c>
      <c r="J20" s="70">
        <f t="shared" si="1"/>
        <v>516.95000000000005</v>
      </c>
      <c r="K20" s="70">
        <f t="shared" si="2"/>
        <v>20050.670000000002</v>
      </c>
      <c r="L20" s="322">
        <v>0</v>
      </c>
      <c r="M20" s="153">
        <f t="shared" si="3"/>
        <v>34677.195799999994</v>
      </c>
      <c r="N20" s="48" t="s">
        <v>117</v>
      </c>
      <c r="O20" s="5"/>
    </row>
    <row r="21" spans="1:17">
      <c r="A21" s="48">
        <v>18</v>
      </c>
      <c r="B21" s="230" t="s">
        <v>133</v>
      </c>
      <c r="C21" s="6"/>
      <c r="D21" s="6"/>
      <c r="E21" s="69">
        <v>120.27</v>
      </c>
      <c r="F21" s="6">
        <v>91.45</v>
      </c>
      <c r="G21" s="70">
        <f t="shared" si="0"/>
        <v>10998.691500000001</v>
      </c>
      <c r="H21" s="69">
        <v>4.83</v>
      </c>
      <c r="I21" s="6">
        <v>103.39</v>
      </c>
      <c r="J21" s="70">
        <f t="shared" si="1"/>
        <v>499.37369999999999</v>
      </c>
      <c r="K21" s="70">
        <f t="shared" si="2"/>
        <v>11498.065200000001</v>
      </c>
      <c r="L21" s="322">
        <v>35000</v>
      </c>
      <c r="M21" s="153">
        <f t="shared" si="3"/>
        <v>11175.260999999999</v>
      </c>
      <c r="N21" s="48" t="s">
        <v>117</v>
      </c>
      <c r="O21" s="5"/>
      <c r="Q21">
        <f>76.54*91.45</f>
        <v>6999.5830000000005</v>
      </c>
    </row>
    <row r="22" spans="1:17">
      <c r="A22" s="204">
        <v>19</v>
      </c>
      <c r="B22" s="230" t="s">
        <v>105</v>
      </c>
      <c r="C22" s="6"/>
      <c r="D22" s="6"/>
      <c r="E22" s="69">
        <v>58</v>
      </c>
      <c r="F22" s="6">
        <v>91.45</v>
      </c>
      <c r="G22" s="70">
        <f t="shared" si="0"/>
        <v>5304.1</v>
      </c>
      <c r="H22" s="69">
        <v>3.03</v>
      </c>
      <c r="I22" s="6">
        <v>103.39</v>
      </c>
      <c r="J22" s="70">
        <f t="shared" si="1"/>
        <v>313.27170000000001</v>
      </c>
      <c r="K22" s="70">
        <f t="shared" si="2"/>
        <v>5617.3717000000006</v>
      </c>
      <c r="L22" s="322">
        <v>0</v>
      </c>
      <c r="M22" s="153">
        <f t="shared" si="3"/>
        <v>16792.632699999998</v>
      </c>
      <c r="N22" s="48" t="s">
        <v>117</v>
      </c>
      <c r="O22" s="5"/>
    </row>
    <row r="23" spans="1:17">
      <c r="A23" s="48">
        <v>20</v>
      </c>
      <c r="B23" s="230" t="s">
        <v>134</v>
      </c>
      <c r="C23" s="6"/>
      <c r="D23" s="6"/>
      <c r="E23" s="69">
        <v>54.67</v>
      </c>
      <c r="F23" s="6">
        <v>91.45</v>
      </c>
      <c r="G23" s="70">
        <f t="shared" si="0"/>
        <v>4999.5715</v>
      </c>
      <c r="H23" s="69">
        <v>0</v>
      </c>
      <c r="I23" s="6">
        <v>0</v>
      </c>
      <c r="J23" s="70">
        <f t="shared" si="1"/>
        <v>0</v>
      </c>
      <c r="K23" s="70">
        <f t="shared" si="2"/>
        <v>4999.5715</v>
      </c>
      <c r="L23" s="322">
        <v>0</v>
      </c>
      <c r="M23" s="153">
        <f t="shared" si="3"/>
        <v>21792.2042</v>
      </c>
      <c r="N23" s="48" t="s">
        <v>117</v>
      </c>
      <c r="O23" s="5"/>
    </row>
    <row r="24" spans="1:17">
      <c r="A24" s="48">
        <v>21</v>
      </c>
      <c r="B24" s="230" t="s">
        <v>137</v>
      </c>
      <c r="C24" s="6"/>
      <c r="D24" s="6"/>
      <c r="E24" s="69">
        <v>122.8</v>
      </c>
      <c r="F24" s="6">
        <v>91.45</v>
      </c>
      <c r="G24" s="70">
        <f t="shared" si="0"/>
        <v>11230.06</v>
      </c>
      <c r="H24" s="69">
        <v>0</v>
      </c>
      <c r="I24" s="6">
        <v>0</v>
      </c>
      <c r="J24" s="70">
        <f t="shared" si="1"/>
        <v>0</v>
      </c>
      <c r="K24" s="70">
        <f t="shared" si="2"/>
        <v>11230.06</v>
      </c>
      <c r="L24" s="322">
        <v>0</v>
      </c>
      <c r="M24" s="153">
        <f t="shared" si="3"/>
        <v>33022.264199999998</v>
      </c>
      <c r="N24" s="48" t="s">
        <v>117</v>
      </c>
      <c r="O24" s="5"/>
    </row>
    <row r="25" spans="1:17">
      <c r="A25" s="204">
        <v>22</v>
      </c>
      <c r="B25" s="230" t="s">
        <v>138</v>
      </c>
      <c r="C25" s="6"/>
      <c r="D25" s="6"/>
      <c r="E25" s="69">
        <v>209.8</v>
      </c>
      <c r="F25" s="6">
        <v>91.45</v>
      </c>
      <c r="G25" s="70">
        <f t="shared" si="0"/>
        <v>19186.210000000003</v>
      </c>
      <c r="H25" s="69">
        <v>0</v>
      </c>
      <c r="I25" s="6">
        <v>0</v>
      </c>
      <c r="J25" s="70">
        <f t="shared" si="1"/>
        <v>0</v>
      </c>
      <c r="K25" s="70">
        <f t="shared" si="2"/>
        <v>19186.210000000003</v>
      </c>
      <c r="L25" s="322">
        <v>0</v>
      </c>
      <c r="M25" s="153">
        <f t="shared" si="3"/>
        <v>52208.474199999997</v>
      </c>
      <c r="N25" s="48" t="s">
        <v>117</v>
      </c>
      <c r="O25" s="5"/>
    </row>
    <row r="26" spans="1:17">
      <c r="A26" s="48">
        <v>23</v>
      </c>
      <c r="B26" s="230" t="s">
        <v>139</v>
      </c>
      <c r="C26" s="6"/>
      <c r="D26" s="6"/>
      <c r="E26" s="6">
        <v>91.87</v>
      </c>
      <c r="F26" s="6">
        <v>91.45</v>
      </c>
      <c r="G26" s="70">
        <f t="shared" si="0"/>
        <v>8401.5115000000005</v>
      </c>
      <c r="H26" s="69">
        <v>10</v>
      </c>
      <c r="I26" s="6">
        <v>103.39</v>
      </c>
      <c r="J26" s="70">
        <f t="shared" si="1"/>
        <v>1033.9000000000001</v>
      </c>
      <c r="K26" s="70">
        <f t="shared" si="2"/>
        <v>9435.4115000000002</v>
      </c>
      <c r="L26" s="322">
        <v>0</v>
      </c>
      <c r="M26" s="153">
        <f t="shared" si="3"/>
        <v>61643.885699999999</v>
      </c>
      <c r="N26" s="48" t="s">
        <v>117</v>
      </c>
      <c r="O26" s="5">
        <v>14616</v>
      </c>
    </row>
    <row r="27" spans="1:17">
      <c r="A27" s="48">
        <v>24</v>
      </c>
      <c r="B27" s="230"/>
      <c r="C27" s="6"/>
      <c r="D27" s="6"/>
      <c r="E27" s="69">
        <v>0</v>
      </c>
      <c r="F27" s="6">
        <v>0</v>
      </c>
      <c r="G27" s="70">
        <f t="shared" si="0"/>
        <v>0</v>
      </c>
      <c r="H27" s="69">
        <v>0</v>
      </c>
      <c r="J27" s="70">
        <f>H27*E26</f>
        <v>0</v>
      </c>
      <c r="K27" s="70">
        <f t="shared" si="2"/>
        <v>0</v>
      </c>
      <c r="L27" s="322">
        <v>0</v>
      </c>
      <c r="M27" s="153">
        <f t="shared" si="3"/>
        <v>61643.885699999999</v>
      </c>
      <c r="N27" s="48" t="s">
        <v>117</v>
      </c>
      <c r="O27" s="5"/>
    </row>
    <row r="28" spans="1:17">
      <c r="A28" s="204">
        <v>25</v>
      </c>
      <c r="B28" s="230" t="s">
        <v>144</v>
      </c>
      <c r="C28" s="6"/>
      <c r="D28" s="6"/>
      <c r="E28" s="69">
        <v>70</v>
      </c>
      <c r="F28" s="6">
        <v>91.45</v>
      </c>
      <c r="G28" s="70">
        <f t="shared" si="0"/>
        <v>6401.5</v>
      </c>
      <c r="H28" s="69">
        <v>0</v>
      </c>
      <c r="I28" s="6">
        <v>0</v>
      </c>
      <c r="J28" s="70">
        <f t="shared" si="1"/>
        <v>0</v>
      </c>
      <c r="K28" s="70">
        <f t="shared" si="2"/>
        <v>6401.5</v>
      </c>
      <c r="L28" s="322">
        <v>50000</v>
      </c>
      <c r="M28" s="153">
        <f t="shared" si="3"/>
        <v>18045.385699999999</v>
      </c>
      <c r="N28" s="48" t="s">
        <v>117</v>
      </c>
      <c r="O28" s="5"/>
    </row>
    <row r="29" spans="1:17">
      <c r="A29" s="48">
        <v>26</v>
      </c>
      <c r="B29" s="230" t="s">
        <v>142</v>
      </c>
      <c r="C29" s="6"/>
      <c r="D29" s="6"/>
      <c r="E29" s="69">
        <v>70</v>
      </c>
      <c r="F29" s="6">
        <v>91.45</v>
      </c>
      <c r="G29" s="70">
        <f t="shared" si="0"/>
        <v>6401.5</v>
      </c>
      <c r="H29" s="69">
        <v>0</v>
      </c>
      <c r="I29" s="6">
        <v>0</v>
      </c>
      <c r="J29" s="70">
        <f t="shared" si="1"/>
        <v>0</v>
      </c>
      <c r="K29" s="70">
        <f t="shared" si="2"/>
        <v>6401.5</v>
      </c>
      <c r="L29" s="322">
        <v>0</v>
      </c>
      <c r="M29" s="153">
        <f t="shared" si="3"/>
        <v>24446.885699999999</v>
      </c>
      <c r="N29" s="48" t="s">
        <v>117</v>
      </c>
      <c r="O29" s="5"/>
    </row>
    <row r="30" spans="1:17">
      <c r="A30" s="48">
        <v>27</v>
      </c>
      <c r="B30" s="230" t="s">
        <v>153</v>
      </c>
      <c r="C30" s="6"/>
      <c r="D30" s="6"/>
      <c r="E30" s="69">
        <v>65.13</v>
      </c>
      <c r="F30" s="6">
        <v>91.45</v>
      </c>
      <c r="G30" s="70">
        <f t="shared" si="0"/>
        <v>5956.1385</v>
      </c>
      <c r="H30" s="69">
        <v>0</v>
      </c>
      <c r="I30" s="6">
        <v>0</v>
      </c>
      <c r="J30" s="70">
        <f t="shared" si="1"/>
        <v>0</v>
      </c>
      <c r="K30" s="70">
        <f t="shared" si="2"/>
        <v>5956.1385</v>
      </c>
      <c r="L30" s="322">
        <v>0</v>
      </c>
      <c r="M30" s="153">
        <f t="shared" si="3"/>
        <v>30403.0242</v>
      </c>
      <c r="N30" s="48" t="s">
        <v>117</v>
      </c>
      <c r="O30" s="5"/>
    </row>
    <row r="31" spans="1:17">
      <c r="A31" s="204">
        <v>28</v>
      </c>
      <c r="B31" s="230"/>
      <c r="C31" s="6"/>
      <c r="D31" s="6"/>
      <c r="E31" s="69">
        <v>0</v>
      </c>
      <c r="F31" s="6">
        <v>0</v>
      </c>
      <c r="G31" s="70">
        <f t="shared" si="0"/>
        <v>0</v>
      </c>
      <c r="H31" s="69">
        <v>0</v>
      </c>
      <c r="I31" s="6">
        <v>0</v>
      </c>
      <c r="J31" s="70">
        <f t="shared" si="1"/>
        <v>0</v>
      </c>
      <c r="K31" s="70">
        <f t="shared" si="2"/>
        <v>0</v>
      </c>
      <c r="L31" s="322">
        <v>0</v>
      </c>
      <c r="M31" s="153">
        <f t="shared" si="3"/>
        <v>30403.0242</v>
      </c>
      <c r="N31" s="48" t="s">
        <v>117</v>
      </c>
      <c r="O31" s="5"/>
    </row>
    <row r="32" spans="1:17">
      <c r="A32" s="48">
        <v>29</v>
      </c>
      <c r="B32" s="230"/>
      <c r="C32" s="6"/>
      <c r="D32" s="6"/>
      <c r="E32" s="69">
        <v>0</v>
      </c>
      <c r="F32" s="6">
        <v>0</v>
      </c>
      <c r="G32" s="70">
        <f t="shared" ref="G32:G38" si="4">E32*F32</f>
        <v>0</v>
      </c>
      <c r="H32" s="69">
        <v>0</v>
      </c>
      <c r="I32" s="6">
        <v>0</v>
      </c>
      <c r="J32" s="70">
        <f t="shared" ref="J32:J38" si="5">H32*I32</f>
        <v>0</v>
      </c>
      <c r="K32" s="70">
        <f t="shared" ref="K32:K38" si="6">G32+J32</f>
        <v>0</v>
      </c>
      <c r="L32" s="322">
        <v>0</v>
      </c>
      <c r="M32" s="153">
        <f t="shared" si="3"/>
        <v>30403.0242</v>
      </c>
      <c r="N32" s="48" t="s">
        <v>117</v>
      </c>
      <c r="O32" s="5"/>
    </row>
    <row r="33" spans="1:15">
      <c r="A33" s="48">
        <v>30</v>
      </c>
      <c r="B33" s="230"/>
      <c r="C33" s="6"/>
      <c r="D33" s="6"/>
      <c r="E33" s="69">
        <v>0</v>
      </c>
      <c r="F33" s="6">
        <v>0</v>
      </c>
      <c r="G33" s="70">
        <f t="shared" si="4"/>
        <v>0</v>
      </c>
      <c r="H33" s="69">
        <v>0</v>
      </c>
      <c r="I33" s="6">
        <v>0</v>
      </c>
      <c r="J33" s="70">
        <f t="shared" si="5"/>
        <v>0</v>
      </c>
      <c r="K33" s="70">
        <f t="shared" si="6"/>
        <v>0</v>
      </c>
      <c r="L33" s="322">
        <v>0</v>
      </c>
      <c r="M33" s="153">
        <f t="shared" si="3"/>
        <v>30403.0242</v>
      </c>
      <c r="N33" s="48" t="s">
        <v>117</v>
      </c>
      <c r="O33" s="5"/>
    </row>
    <row r="34" spans="1:15">
      <c r="A34" s="204">
        <v>31</v>
      </c>
      <c r="B34" s="230"/>
      <c r="C34" s="6"/>
      <c r="D34" s="6"/>
      <c r="E34" s="69">
        <v>0</v>
      </c>
      <c r="F34" s="6">
        <v>0</v>
      </c>
      <c r="G34" s="70">
        <f t="shared" si="4"/>
        <v>0</v>
      </c>
      <c r="H34" s="69">
        <v>0</v>
      </c>
      <c r="I34" s="6">
        <v>0</v>
      </c>
      <c r="J34" s="70">
        <f t="shared" si="5"/>
        <v>0</v>
      </c>
      <c r="K34" s="70">
        <f t="shared" si="6"/>
        <v>0</v>
      </c>
      <c r="L34" s="322">
        <v>0</v>
      </c>
      <c r="M34" s="153">
        <f t="shared" si="3"/>
        <v>30403.0242</v>
      </c>
      <c r="N34" s="48" t="s">
        <v>117</v>
      </c>
      <c r="O34" s="5"/>
    </row>
    <row r="35" spans="1:15">
      <c r="A35" s="48">
        <v>32</v>
      </c>
      <c r="B35" s="230"/>
      <c r="C35" s="6"/>
      <c r="D35" s="6"/>
      <c r="E35" s="69">
        <v>0</v>
      </c>
      <c r="F35" s="6">
        <v>0</v>
      </c>
      <c r="G35" s="70">
        <f t="shared" si="4"/>
        <v>0</v>
      </c>
      <c r="H35" s="69">
        <v>0</v>
      </c>
      <c r="I35" s="6">
        <v>0</v>
      </c>
      <c r="J35" s="70">
        <f t="shared" si="5"/>
        <v>0</v>
      </c>
      <c r="K35" s="70">
        <f t="shared" si="6"/>
        <v>0</v>
      </c>
      <c r="L35" s="322">
        <v>0</v>
      </c>
      <c r="M35" s="153">
        <f t="shared" si="3"/>
        <v>30403.0242</v>
      </c>
      <c r="N35" s="48" t="s">
        <v>117</v>
      </c>
      <c r="O35" s="5"/>
    </row>
    <row r="36" spans="1:15">
      <c r="A36" s="48">
        <v>33</v>
      </c>
      <c r="B36" s="230"/>
      <c r="C36" s="6"/>
      <c r="D36" s="6"/>
      <c r="E36" s="69">
        <v>0</v>
      </c>
      <c r="F36" s="6">
        <v>0</v>
      </c>
      <c r="G36" s="70">
        <f t="shared" si="4"/>
        <v>0</v>
      </c>
      <c r="H36" s="69">
        <v>0</v>
      </c>
      <c r="I36" s="6">
        <v>0</v>
      </c>
      <c r="J36" s="70">
        <f t="shared" si="5"/>
        <v>0</v>
      </c>
      <c r="K36" s="70">
        <f t="shared" si="6"/>
        <v>0</v>
      </c>
      <c r="L36" s="322">
        <v>0</v>
      </c>
      <c r="M36" s="153">
        <f t="shared" si="3"/>
        <v>30403.0242</v>
      </c>
      <c r="N36" s="48" t="s">
        <v>117</v>
      </c>
      <c r="O36" s="5"/>
    </row>
    <row r="37" spans="1:15">
      <c r="A37" s="204">
        <v>34</v>
      </c>
      <c r="B37" s="230"/>
      <c r="C37" s="6"/>
      <c r="D37" s="6"/>
      <c r="E37" s="69">
        <v>0</v>
      </c>
      <c r="F37" s="6">
        <v>0</v>
      </c>
      <c r="G37" s="70">
        <f t="shared" si="4"/>
        <v>0</v>
      </c>
      <c r="H37" s="69">
        <v>0</v>
      </c>
      <c r="I37" s="6">
        <v>0</v>
      </c>
      <c r="J37" s="70">
        <f t="shared" si="5"/>
        <v>0</v>
      </c>
      <c r="K37" s="70">
        <f t="shared" si="6"/>
        <v>0</v>
      </c>
      <c r="L37" s="322">
        <v>0</v>
      </c>
      <c r="M37" s="153">
        <f t="shared" si="3"/>
        <v>30403.0242</v>
      </c>
      <c r="N37" s="48" t="s">
        <v>117</v>
      </c>
      <c r="O37" s="5"/>
    </row>
    <row r="38" spans="1:15">
      <c r="A38" s="48">
        <v>35</v>
      </c>
      <c r="B38" s="230"/>
      <c r="C38" s="6"/>
      <c r="D38" s="6"/>
      <c r="E38" s="69">
        <v>0</v>
      </c>
      <c r="F38" s="6">
        <v>0</v>
      </c>
      <c r="G38" s="70">
        <f t="shared" si="4"/>
        <v>0</v>
      </c>
      <c r="H38" s="69">
        <v>0</v>
      </c>
      <c r="I38" s="6">
        <v>0</v>
      </c>
      <c r="J38" s="70">
        <f t="shared" si="5"/>
        <v>0</v>
      </c>
      <c r="K38" s="70">
        <f t="shared" si="6"/>
        <v>0</v>
      </c>
      <c r="L38" s="322">
        <v>0</v>
      </c>
      <c r="M38" s="153">
        <f t="shared" si="3"/>
        <v>30403.0242</v>
      </c>
      <c r="N38" s="6"/>
      <c r="O38" s="5"/>
    </row>
    <row r="39" spans="1:15">
      <c r="A39" s="48">
        <v>36</v>
      </c>
      <c r="B39" s="230"/>
      <c r="C39" s="6"/>
      <c r="D39" s="6"/>
      <c r="E39" s="69">
        <v>0</v>
      </c>
      <c r="F39" s="6">
        <v>0</v>
      </c>
      <c r="G39" s="70">
        <f t="shared" ref="G39:G43" si="7">E39*F39</f>
        <v>0</v>
      </c>
      <c r="H39" s="69">
        <v>0</v>
      </c>
      <c r="I39" s="6">
        <v>0</v>
      </c>
      <c r="J39" s="70">
        <f t="shared" ref="J39:J43" si="8">H39*I39</f>
        <v>0</v>
      </c>
      <c r="K39" s="70">
        <f t="shared" ref="K39:K43" si="9">G39+J39</f>
        <v>0</v>
      </c>
      <c r="L39" s="322">
        <v>0</v>
      </c>
      <c r="M39" s="153">
        <f t="shared" si="3"/>
        <v>30403.0242</v>
      </c>
      <c r="N39" s="6"/>
      <c r="O39" s="5"/>
    </row>
    <row r="40" spans="1:15">
      <c r="A40" s="204">
        <v>37</v>
      </c>
      <c r="B40" s="230"/>
      <c r="C40" s="6"/>
      <c r="D40" s="6"/>
      <c r="E40" s="69">
        <v>0</v>
      </c>
      <c r="F40" s="6">
        <v>0</v>
      </c>
      <c r="G40" s="70">
        <f t="shared" si="7"/>
        <v>0</v>
      </c>
      <c r="H40" s="69">
        <v>0</v>
      </c>
      <c r="I40" s="6">
        <v>0</v>
      </c>
      <c r="J40" s="70">
        <f t="shared" si="8"/>
        <v>0</v>
      </c>
      <c r="K40" s="70">
        <f t="shared" si="9"/>
        <v>0</v>
      </c>
      <c r="L40" s="167">
        <f t="shared" ref="L5:L43" si="10">+K40</f>
        <v>0</v>
      </c>
      <c r="M40" s="153">
        <f t="shared" si="3"/>
        <v>30403.0242</v>
      </c>
      <c r="N40" s="6"/>
      <c r="O40" s="5"/>
    </row>
    <row r="41" spans="1:15">
      <c r="A41" s="48">
        <v>38</v>
      </c>
      <c r="B41" s="230"/>
      <c r="C41" s="6"/>
      <c r="D41" s="6"/>
      <c r="E41" s="69">
        <v>0</v>
      </c>
      <c r="F41" s="6">
        <v>0</v>
      </c>
      <c r="G41" s="70">
        <f t="shared" si="7"/>
        <v>0</v>
      </c>
      <c r="H41" s="69">
        <v>0</v>
      </c>
      <c r="I41" s="6">
        <v>0</v>
      </c>
      <c r="J41" s="70">
        <f t="shared" si="8"/>
        <v>0</v>
      </c>
      <c r="K41" s="70">
        <f t="shared" si="9"/>
        <v>0</v>
      </c>
      <c r="L41" s="167">
        <f t="shared" si="10"/>
        <v>0</v>
      </c>
      <c r="M41" s="153">
        <f t="shared" si="3"/>
        <v>30403.0242</v>
      </c>
      <c r="N41" s="6"/>
      <c r="O41" s="5"/>
    </row>
    <row r="42" spans="1:15">
      <c r="A42" s="48">
        <v>39</v>
      </c>
      <c r="B42" s="230"/>
      <c r="C42" s="6"/>
      <c r="D42" s="6"/>
      <c r="E42" s="69">
        <v>0</v>
      </c>
      <c r="F42" s="6">
        <v>0</v>
      </c>
      <c r="G42" s="70">
        <f t="shared" si="7"/>
        <v>0</v>
      </c>
      <c r="H42" s="69">
        <v>0</v>
      </c>
      <c r="I42" s="6">
        <v>0</v>
      </c>
      <c r="J42" s="70">
        <f t="shared" si="8"/>
        <v>0</v>
      </c>
      <c r="K42" s="70">
        <f t="shared" si="9"/>
        <v>0</v>
      </c>
      <c r="L42" s="167">
        <f t="shared" si="10"/>
        <v>0</v>
      </c>
      <c r="M42" s="153">
        <f t="shared" si="3"/>
        <v>30403.0242</v>
      </c>
      <c r="N42" s="6"/>
      <c r="O42" s="5"/>
    </row>
    <row r="43" spans="1:15">
      <c r="A43" s="204">
        <v>40</v>
      </c>
      <c r="B43" s="176"/>
      <c r="C43" s="175"/>
      <c r="D43" s="6"/>
      <c r="E43" s="69">
        <v>0</v>
      </c>
      <c r="F43" s="6">
        <v>0</v>
      </c>
      <c r="G43" s="70">
        <f t="shared" si="7"/>
        <v>0</v>
      </c>
      <c r="H43" s="69">
        <v>0</v>
      </c>
      <c r="I43" s="6">
        <v>0</v>
      </c>
      <c r="J43" s="70">
        <f t="shared" si="8"/>
        <v>0</v>
      </c>
      <c r="K43" s="70">
        <f t="shared" si="9"/>
        <v>0</v>
      </c>
      <c r="L43" s="167">
        <f t="shared" si="10"/>
        <v>0</v>
      </c>
      <c r="M43" s="153">
        <f t="shared" si="3"/>
        <v>30403.0242</v>
      </c>
      <c r="N43" s="175"/>
      <c r="O43" s="5"/>
    </row>
    <row r="44" spans="1:15">
      <c r="A44" s="48">
        <v>41</v>
      </c>
      <c r="B44" s="6"/>
      <c r="C44" s="6"/>
      <c r="D44" s="6"/>
      <c r="E44" s="69">
        <v>0</v>
      </c>
      <c r="F44" s="6">
        <v>0</v>
      </c>
      <c r="G44" s="70">
        <f t="shared" ref="G31:G46" si="11">E44*F44</f>
        <v>0</v>
      </c>
      <c r="H44" s="69"/>
      <c r="I44" s="6"/>
      <c r="J44" s="70">
        <f t="shared" ref="J31:J46" si="12">H44*I44</f>
        <v>0</v>
      </c>
      <c r="K44" s="70">
        <f t="shared" ref="K31:K46" si="13">G44+J44</f>
        <v>0</v>
      </c>
      <c r="L44" s="167">
        <f t="shared" ref="L31:L46" si="14">+K44</f>
        <v>0</v>
      </c>
      <c r="M44" s="153">
        <f t="shared" si="3"/>
        <v>30403.0242</v>
      </c>
      <c r="N44" s="6"/>
      <c r="O44" s="5"/>
    </row>
    <row r="45" spans="1:15">
      <c r="A45" s="48">
        <v>42</v>
      </c>
      <c r="B45" s="175"/>
      <c r="C45" s="175"/>
      <c r="D45" s="6"/>
      <c r="E45" s="69">
        <v>0</v>
      </c>
      <c r="F45" s="6">
        <v>0</v>
      </c>
      <c r="G45" s="70">
        <f t="shared" si="11"/>
        <v>0</v>
      </c>
      <c r="H45" s="69"/>
      <c r="I45" s="6"/>
      <c r="J45" s="70">
        <f t="shared" si="12"/>
        <v>0</v>
      </c>
      <c r="K45" s="177">
        <f t="shared" si="13"/>
        <v>0</v>
      </c>
      <c r="L45" s="167">
        <f t="shared" si="14"/>
        <v>0</v>
      </c>
      <c r="M45" s="153">
        <f t="shared" si="3"/>
        <v>30403.0242</v>
      </c>
      <c r="N45" s="175"/>
      <c r="O45" s="5"/>
    </row>
    <row r="46" spans="1:15">
      <c r="A46" s="48"/>
      <c r="B46" s="175"/>
      <c r="C46" s="175"/>
      <c r="D46" s="6"/>
      <c r="E46" s="69">
        <v>0</v>
      </c>
      <c r="F46" s="6">
        <v>0</v>
      </c>
      <c r="G46" s="70">
        <f t="shared" si="11"/>
        <v>0</v>
      </c>
      <c r="H46" s="69"/>
      <c r="I46" s="6"/>
      <c r="J46" s="70">
        <f t="shared" si="12"/>
        <v>0</v>
      </c>
      <c r="K46" s="177">
        <f t="shared" si="13"/>
        <v>0</v>
      </c>
      <c r="L46" s="178">
        <f t="shared" si="14"/>
        <v>0</v>
      </c>
      <c r="M46" s="153">
        <f t="shared" si="3"/>
        <v>30403.0242</v>
      </c>
      <c r="N46" s="175"/>
      <c r="O46" s="5"/>
    </row>
    <row r="47" spans="1:15">
      <c r="A47" s="66"/>
      <c r="B47" s="66"/>
      <c r="C47" s="66"/>
      <c r="D47" s="66"/>
      <c r="E47" s="67">
        <f>SUM(E4:E46)</f>
        <v>2309.1</v>
      </c>
      <c r="F47" s="67"/>
      <c r="G47" s="67">
        <f>SUM(G4:G46)</f>
        <v>211167.19499999995</v>
      </c>
      <c r="H47" s="67">
        <f>SUM(H4:H46)</f>
        <v>55.61</v>
      </c>
      <c r="I47" s="67"/>
      <c r="J47" s="67">
        <f>SUM(J4:J46)</f>
        <v>5748.6332000000002</v>
      </c>
      <c r="K47" s="67">
        <f>SUM(K4:K46)</f>
        <v>216915.82819999996</v>
      </c>
      <c r="L47" s="67">
        <f>SUM(L4:L46)</f>
        <v>232027</v>
      </c>
      <c r="M47" s="67"/>
      <c r="N47" s="67"/>
      <c r="O47" s="63"/>
    </row>
    <row r="48" spans="1:15">
      <c r="A48" s="5"/>
      <c r="B48" s="5"/>
      <c r="C48" s="5"/>
      <c r="D48" s="5"/>
      <c r="E48" s="5"/>
      <c r="F48" s="5"/>
      <c r="G48" s="106"/>
      <c r="H48" s="5"/>
      <c r="I48" s="5"/>
      <c r="J48" s="106"/>
      <c r="K48" s="5"/>
      <c r="L48" s="106"/>
      <c r="M48" s="106"/>
      <c r="N48" s="5"/>
      <c r="O48" s="5"/>
    </row>
    <row r="49" spans="1:15">
      <c r="A49" s="5"/>
      <c r="B49" s="5"/>
      <c r="C49" s="5"/>
      <c r="D49" s="5"/>
      <c r="E49" s="5"/>
      <c r="F49" s="5"/>
      <c r="G49" s="106"/>
      <c r="H49" s="5"/>
      <c r="I49" s="5"/>
      <c r="J49" s="106"/>
      <c r="K49" s="5"/>
      <c r="L49" s="106"/>
      <c r="M49" s="106"/>
      <c r="N49" s="5"/>
      <c r="O49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9221C-1691-4B0D-B03E-610E76253615}">
  <sheetPr>
    <tabColor theme="0"/>
  </sheetPr>
  <dimension ref="A1:O38"/>
  <sheetViews>
    <sheetView workbookViewId="0">
      <selection activeCell="L4" sqref="L4"/>
    </sheetView>
  </sheetViews>
  <sheetFormatPr defaultRowHeight="15"/>
  <cols>
    <col min="1" max="1" width="5.140625" bestFit="1" customWidth="1"/>
    <col min="2" max="2" width="11.5703125" bestFit="1" customWidth="1"/>
    <col min="3" max="3" width="8" bestFit="1" customWidth="1"/>
    <col min="4" max="4" width="16" bestFit="1" customWidth="1"/>
    <col min="5" max="5" width="10.7109375" bestFit="1" customWidth="1"/>
    <col min="6" max="6" width="13.42578125" customWidth="1"/>
    <col min="7" max="7" width="9.28515625" bestFit="1" customWidth="1"/>
    <col min="8" max="8" width="10.7109375" bestFit="1" customWidth="1"/>
    <col min="9" max="9" width="7.140625" bestFit="1" customWidth="1"/>
    <col min="10" max="10" width="8.7109375" bestFit="1" customWidth="1"/>
    <col min="11" max="11" width="13.5703125" bestFit="1" customWidth="1"/>
    <col min="12" max="12" width="15.85546875" bestFit="1" customWidth="1"/>
    <col min="13" max="13" width="13.5703125" bestFit="1" customWidth="1"/>
    <col min="14" max="14" width="8.7109375" bestFit="1" customWidth="1"/>
    <col min="16" max="16" width="12.28515625" customWidth="1"/>
  </cols>
  <sheetData>
    <row r="1" spans="1:14" ht="15.75" customHeight="1">
      <c r="A1" s="416" t="s">
        <v>46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6"/>
    </row>
    <row r="2" spans="1:14">
      <c r="A2" s="128" t="s">
        <v>90</v>
      </c>
      <c r="B2" s="128" t="s">
        <v>91</v>
      </c>
      <c r="C2" s="128" t="s">
        <v>92</v>
      </c>
      <c r="D2" s="128" t="s">
        <v>93</v>
      </c>
      <c r="E2" s="181" t="s">
        <v>94</v>
      </c>
      <c r="F2" s="181" t="s">
        <v>95</v>
      </c>
      <c r="G2" s="181" t="s">
        <v>96</v>
      </c>
      <c r="H2" s="181" t="s">
        <v>97</v>
      </c>
      <c r="I2" s="181" t="s">
        <v>95</v>
      </c>
      <c r="J2" s="181" t="s">
        <v>96</v>
      </c>
      <c r="K2" s="181" t="s">
        <v>98</v>
      </c>
      <c r="L2" s="128" t="s">
        <v>154</v>
      </c>
      <c r="M2" s="131" t="s">
        <v>99</v>
      </c>
      <c r="N2" s="128" t="s">
        <v>101</v>
      </c>
    </row>
    <row r="3" spans="1:14">
      <c r="A3" s="17"/>
      <c r="B3" s="17"/>
      <c r="C3" s="17"/>
      <c r="D3" s="17" t="s">
        <v>102</v>
      </c>
      <c r="E3" s="17"/>
      <c r="F3" s="17"/>
      <c r="G3" s="17"/>
      <c r="H3" s="17"/>
      <c r="I3" s="17"/>
      <c r="J3" s="17"/>
      <c r="K3" s="17">
        <v>0</v>
      </c>
      <c r="L3" s="17"/>
      <c r="M3" s="17">
        <f>+K3</f>
        <v>0</v>
      </c>
      <c r="N3" s="17"/>
    </row>
    <row r="4" spans="1:14">
      <c r="A4" s="26">
        <v>1</v>
      </c>
      <c r="B4" s="27">
        <v>45901</v>
      </c>
      <c r="C4" s="141"/>
      <c r="D4" s="141"/>
      <c r="E4" s="97">
        <v>0</v>
      </c>
      <c r="F4" s="97">
        <v>0</v>
      </c>
      <c r="G4" s="185">
        <f>F4*E4</f>
        <v>0</v>
      </c>
      <c r="H4" s="97">
        <v>0</v>
      </c>
      <c r="I4" s="97">
        <v>0</v>
      </c>
      <c r="J4" s="185">
        <f t="shared" ref="J4" si="0">H4*I4</f>
        <v>0</v>
      </c>
      <c r="K4" s="185">
        <f>G4+J4</f>
        <v>0</v>
      </c>
      <c r="L4" s="185">
        <f>+K4</f>
        <v>0</v>
      </c>
      <c r="M4" s="185">
        <f>+L4</f>
        <v>0</v>
      </c>
      <c r="N4" s="141"/>
    </row>
    <row r="5" spans="1:14">
      <c r="A5" s="26">
        <v>2</v>
      </c>
      <c r="B5" s="27">
        <v>45902</v>
      </c>
      <c r="C5" s="17"/>
      <c r="D5" s="141"/>
      <c r="E5" s="97">
        <v>0</v>
      </c>
      <c r="F5" s="97">
        <v>0</v>
      </c>
      <c r="G5" s="185">
        <f t="shared" ref="G5:G33" si="1">F5*E5</f>
        <v>0</v>
      </c>
      <c r="H5" s="97">
        <v>0</v>
      </c>
      <c r="I5" s="97">
        <v>0</v>
      </c>
      <c r="J5" s="185">
        <f t="shared" ref="J5:J33" si="2">H5*I5</f>
        <v>0</v>
      </c>
      <c r="K5" s="185">
        <f t="shared" ref="K5:K33" si="3">G5+J5</f>
        <v>0</v>
      </c>
      <c r="L5" s="185">
        <f t="shared" ref="L5:L33" si="4">+K5</f>
        <v>0</v>
      </c>
      <c r="M5" s="185">
        <f>+L5</f>
        <v>0</v>
      </c>
      <c r="N5" s="17"/>
    </row>
    <row r="6" spans="1:14">
      <c r="A6" s="26">
        <v>3</v>
      </c>
      <c r="B6" s="27">
        <v>45903</v>
      </c>
      <c r="C6" s="17"/>
      <c r="D6" s="141"/>
      <c r="E6" s="97">
        <v>0</v>
      </c>
      <c r="F6" s="97">
        <v>0</v>
      </c>
      <c r="G6" s="185">
        <f t="shared" si="1"/>
        <v>0</v>
      </c>
      <c r="H6" s="97">
        <v>0</v>
      </c>
      <c r="I6" s="97">
        <v>0</v>
      </c>
      <c r="J6" s="185">
        <f t="shared" si="2"/>
        <v>0</v>
      </c>
      <c r="K6" s="185">
        <f t="shared" si="3"/>
        <v>0</v>
      </c>
      <c r="L6" s="185">
        <f t="shared" si="4"/>
        <v>0</v>
      </c>
      <c r="M6" s="185">
        <f t="shared" ref="L5:M33" si="5">+L6</f>
        <v>0</v>
      </c>
      <c r="N6" s="17"/>
    </row>
    <row r="7" spans="1:14">
      <c r="A7" s="26">
        <v>4</v>
      </c>
      <c r="B7" s="27">
        <v>45904</v>
      </c>
      <c r="C7" s="17"/>
      <c r="D7" s="141"/>
      <c r="E7" s="97">
        <v>0</v>
      </c>
      <c r="F7" s="97">
        <v>0</v>
      </c>
      <c r="G7" s="185">
        <f t="shared" si="1"/>
        <v>0</v>
      </c>
      <c r="H7" s="97">
        <v>4.8600000000000003</v>
      </c>
      <c r="I7" s="97">
        <v>102.77</v>
      </c>
      <c r="J7" s="185">
        <f t="shared" si="2"/>
        <v>499.4622</v>
      </c>
      <c r="K7" s="185">
        <f t="shared" si="3"/>
        <v>499.4622</v>
      </c>
      <c r="L7" s="185">
        <f t="shared" si="4"/>
        <v>499.4622</v>
      </c>
      <c r="M7" s="185">
        <f t="shared" ref="M5:M33" si="6">+L7</f>
        <v>499.4622</v>
      </c>
      <c r="N7" s="17"/>
    </row>
    <row r="8" spans="1:14">
      <c r="A8" s="26">
        <v>5</v>
      </c>
      <c r="B8" s="27">
        <v>45905</v>
      </c>
      <c r="C8" s="17"/>
      <c r="D8" s="141"/>
      <c r="E8" s="97">
        <v>0</v>
      </c>
      <c r="F8" s="97">
        <v>0</v>
      </c>
      <c r="G8" s="185">
        <f t="shared" si="1"/>
        <v>0</v>
      </c>
      <c r="H8" s="97">
        <v>0</v>
      </c>
      <c r="I8" s="97">
        <v>0</v>
      </c>
      <c r="J8" s="185">
        <f t="shared" si="2"/>
        <v>0</v>
      </c>
      <c r="K8" s="185">
        <f t="shared" si="3"/>
        <v>0</v>
      </c>
      <c r="L8" s="185">
        <f t="shared" si="4"/>
        <v>0</v>
      </c>
      <c r="M8" s="185">
        <f t="shared" si="6"/>
        <v>0</v>
      </c>
      <c r="N8" s="17"/>
    </row>
    <row r="9" spans="1:14">
      <c r="A9" s="26">
        <v>6</v>
      </c>
      <c r="B9" s="27">
        <v>45906</v>
      </c>
      <c r="C9" s="17"/>
      <c r="D9" s="141"/>
      <c r="E9" s="97">
        <v>0</v>
      </c>
      <c r="F9" s="97">
        <v>0</v>
      </c>
      <c r="G9" s="185">
        <f t="shared" si="1"/>
        <v>0</v>
      </c>
      <c r="H9" s="97">
        <v>0</v>
      </c>
      <c r="I9" s="97">
        <v>0</v>
      </c>
      <c r="J9" s="185">
        <f t="shared" si="2"/>
        <v>0</v>
      </c>
      <c r="K9" s="185">
        <f t="shared" si="3"/>
        <v>0</v>
      </c>
      <c r="L9" s="185">
        <f t="shared" si="4"/>
        <v>0</v>
      </c>
      <c r="M9" s="185">
        <f t="shared" si="6"/>
        <v>0</v>
      </c>
      <c r="N9" s="17"/>
    </row>
    <row r="10" spans="1:14">
      <c r="A10" s="26">
        <v>7</v>
      </c>
      <c r="B10" s="27">
        <v>45907</v>
      </c>
      <c r="C10" s="17"/>
      <c r="D10" s="141"/>
      <c r="E10" s="97">
        <v>0</v>
      </c>
      <c r="F10" s="97">
        <v>0</v>
      </c>
      <c r="G10" s="185">
        <f t="shared" si="1"/>
        <v>0</v>
      </c>
      <c r="H10" s="97">
        <v>0</v>
      </c>
      <c r="I10" s="97">
        <v>0</v>
      </c>
      <c r="J10" s="185">
        <f t="shared" si="2"/>
        <v>0</v>
      </c>
      <c r="K10" s="185">
        <f t="shared" si="3"/>
        <v>0</v>
      </c>
      <c r="L10" s="185">
        <f t="shared" si="4"/>
        <v>0</v>
      </c>
      <c r="M10" s="185">
        <f t="shared" si="6"/>
        <v>0</v>
      </c>
      <c r="N10" s="17"/>
    </row>
    <row r="11" spans="1:14">
      <c r="A11" s="26">
        <v>8</v>
      </c>
      <c r="B11" s="27">
        <v>45908</v>
      </c>
      <c r="C11" s="17"/>
      <c r="D11" s="141"/>
      <c r="E11" s="97">
        <v>0</v>
      </c>
      <c r="F11" s="97">
        <v>0</v>
      </c>
      <c r="G11" s="185">
        <f t="shared" si="1"/>
        <v>0</v>
      </c>
      <c r="H11" s="97">
        <v>7.5</v>
      </c>
      <c r="I11" s="97">
        <v>102.77</v>
      </c>
      <c r="J11" s="185">
        <f t="shared" si="2"/>
        <v>770.77499999999998</v>
      </c>
      <c r="K11" s="185">
        <f t="shared" si="3"/>
        <v>770.77499999999998</v>
      </c>
      <c r="L11" s="185">
        <f t="shared" si="4"/>
        <v>770.77499999999998</v>
      </c>
      <c r="M11" s="185">
        <f t="shared" si="6"/>
        <v>770.77499999999998</v>
      </c>
      <c r="N11" s="17"/>
    </row>
    <row r="12" spans="1:14">
      <c r="A12" s="26">
        <v>9</v>
      </c>
      <c r="B12" s="27">
        <v>45909</v>
      </c>
      <c r="C12" s="17"/>
      <c r="D12" s="141"/>
      <c r="E12" s="97">
        <v>0</v>
      </c>
      <c r="F12" s="97">
        <v>0</v>
      </c>
      <c r="G12" s="185">
        <f t="shared" si="1"/>
        <v>0</v>
      </c>
      <c r="H12" s="97">
        <v>0</v>
      </c>
      <c r="I12" s="97">
        <v>0</v>
      </c>
      <c r="J12" s="185">
        <f t="shared" si="2"/>
        <v>0</v>
      </c>
      <c r="K12" s="185">
        <f t="shared" si="3"/>
        <v>0</v>
      </c>
      <c r="L12" s="185">
        <f t="shared" si="4"/>
        <v>0</v>
      </c>
      <c r="M12" s="185">
        <f t="shared" si="6"/>
        <v>0</v>
      </c>
      <c r="N12" s="17"/>
    </row>
    <row r="13" spans="1:14">
      <c r="A13" s="26">
        <v>10</v>
      </c>
      <c r="B13" s="27">
        <v>45910</v>
      </c>
      <c r="C13" s="17"/>
      <c r="D13" s="141"/>
      <c r="E13" s="97">
        <v>30</v>
      </c>
      <c r="F13" s="97">
        <v>90.88</v>
      </c>
      <c r="G13" s="185">
        <f t="shared" si="1"/>
        <v>2726.3999999999996</v>
      </c>
      <c r="H13" s="97">
        <v>4.87</v>
      </c>
      <c r="I13" s="97">
        <v>102.77</v>
      </c>
      <c r="J13" s="185">
        <f t="shared" si="2"/>
        <v>500.48989999999998</v>
      </c>
      <c r="K13" s="185">
        <f t="shared" si="3"/>
        <v>3226.8898999999997</v>
      </c>
      <c r="L13" s="185">
        <f t="shared" si="4"/>
        <v>3226.8898999999997</v>
      </c>
      <c r="M13" s="185">
        <f t="shared" si="6"/>
        <v>3226.8898999999997</v>
      </c>
      <c r="N13" s="17"/>
    </row>
    <row r="14" spans="1:14">
      <c r="A14" s="26">
        <v>11</v>
      </c>
      <c r="B14" s="27">
        <v>45911</v>
      </c>
      <c r="C14" s="17"/>
      <c r="D14" s="141"/>
      <c r="E14" s="97">
        <v>29.32</v>
      </c>
      <c r="F14" s="97">
        <v>90.88</v>
      </c>
      <c r="G14" s="185">
        <f t="shared" si="1"/>
        <v>2664.6016</v>
      </c>
      <c r="H14" s="97">
        <v>0</v>
      </c>
      <c r="I14" s="97">
        <v>0</v>
      </c>
      <c r="J14" s="185">
        <f t="shared" si="2"/>
        <v>0</v>
      </c>
      <c r="K14" s="185">
        <f t="shared" si="3"/>
        <v>2664.6016</v>
      </c>
      <c r="L14" s="185">
        <f t="shared" si="4"/>
        <v>2664.6016</v>
      </c>
      <c r="M14" s="185">
        <f t="shared" si="6"/>
        <v>2664.6016</v>
      </c>
      <c r="N14" s="17"/>
    </row>
    <row r="15" spans="1:14">
      <c r="A15" s="26">
        <v>12</v>
      </c>
      <c r="B15" s="27">
        <v>45912</v>
      </c>
      <c r="C15" s="17"/>
      <c r="D15" s="141"/>
      <c r="E15" s="97">
        <v>100</v>
      </c>
      <c r="F15" s="97">
        <v>90.88</v>
      </c>
      <c r="G15" s="185">
        <f t="shared" si="1"/>
        <v>9088</v>
      </c>
      <c r="H15" s="97">
        <v>5</v>
      </c>
      <c r="I15" s="97">
        <v>102.77</v>
      </c>
      <c r="J15" s="185">
        <f t="shared" si="2"/>
        <v>513.85</v>
      </c>
      <c r="K15" s="185">
        <f t="shared" si="3"/>
        <v>9601.85</v>
      </c>
      <c r="L15" s="185">
        <f t="shared" si="4"/>
        <v>9601.85</v>
      </c>
      <c r="M15" s="185">
        <f t="shared" si="6"/>
        <v>9601.85</v>
      </c>
      <c r="N15" s="17"/>
    </row>
    <row r="16" spans="1:14">
      <c r="A16" s="26">
        <v>13</v>
      </c>
      <c r="B16" s="27">
        <v>45913</v>
      </c>
      <c r="C16" s="17"/>
      <c r="D16" s="141"/>
      <c r="E16" s="97">
        <v>50</v>
      </c>
      <c r="F16" s="97">
        <v>90.88</v>
      </c>
      <c r="G16" s="185">
        <f t="shared" si="1"/>
        <v>4544</v>
      </c>
      <c r="H16" s="97">
        <v>0</v>
      </c>
      <c r="I16" s="97">
        <v>0</v>
      </c>
      <c r="J16" s="185">
        <f t="shared" si="2"/>
        <v>0</v>
      </c>
      <c r="K16" s="185">
        <f t="shared" si="3"/>
        <v>4544</v>
      </c>
      <c r="L16" s="185">
        <f t="shared" si="4"/>
        <v>4544</v>
      </c>
      <c r="M16" s="185">
        <f t="shared" si="6"/>
        <v>4544</v>
      </c>
      <c r="N16" s="17"/>
    </row>
    <row r="17" spans="1:15">
      <c r="A17" s="26">
        <v>14</v>
      </c>
      <c r="B17" s="27">
        <v>45914</v>
      </c>
      <c r="C17" s="17"/>
      <c r="D17" s="141"/>
      <c r="E17" s="97">
        <v>50</v>
      </c>
      <c r="F17" s="97">
        <v>90.88</v>
      </c>
      <c r="G17" s="185">
        <f t="shared" si="1"/>
        <v>4544</v>
      </c>
      <c r="H17" s="97">
        <v>0</v>
      </c>
      <c r="I17" s="97">
        <v>0</v>
      </c>
      <c r="J17" s="185">
        <f t="shared" si="2"/>
        <v>0</v>
      </c>
      <c r="K17" s="185">
        <f t="shared" si="3"/>
        <v>4544</v>
      </c>
      <c r="L17" s="185">
        <f t="shared" si="4"/>
        <v>4544</v>
      </c>
      <c r="M17" s="185">
        <f t="shared" si="6"/>
        <v>4544</v>
      </c>
      <c r="N17" s="17"/>
    </row>
    <row r="18" spans="1:15">
      <c r="A18" s="26">
        <v>15</v>
      </c>
      <c r="B18" s="27">
        <v>45915</v>
      </c>
      <c r="C18" s="17"/>
      <c r="D18" s="141"/>
      <c r="E18" s="97">
        <v>172.01</v>
      </c>
      <c r="F18" s="97">
        <v>90.88</v>
      </c>
      <c r="G18" s="185">
        <f t="shared" si="1"/>
        <v>15632.268799999998</v>
      </c>
      <c r="H18" s="97">
        <v>0</v>
      </c>
      <c r="I18" s="97">
        <v>0</v>
      </c>
      <c r="J18" s="185">
        <f t="shared" si="2"/>
        <v>0</v>
      </c>
      <c r="K18" s="185">
        <f t="shared" si="3"/>
        <v>15632.268799999998</v>
      </c>
      <c r="L18" s="185">
        <f t="shared" si="4"/>
        <v>15632.268799999998</v>
      </c>
      <c r="M18" s="185">
        <f t="shared" si="6"/>
        <v>15632.268799999998</v>
      </c>
      <c r="N18" s="17"/>
    </row>
    <row r="19" spans="1:15">
      <c r="A19" s="26">
        <v>16</v>
      </c>
      <c r="B19" s="27">
        <v>45916</v>
      </c>
      <c r="C19" s="17"/>
      <c r="D19" s="141"/>
      <c r="E19" s="97">
        <v>440</v>
      </c>
      <c r="F19" s="97">
        <v>90.88</v>
      </c>
      <c r="G19" s="185">
        <f t="shared" si="1"/>
        <v>39987.199999999997</v>
      </c>
      <c r="H19" s="97">
        <v>0</v>
      </c>
      <c r="I19" s="97">
        <v>0</v>
      </c>
      <c r="J19" s="185">
        <f t="shared" si="2"/>
        <v>0</v>
      </c>
      <c r="K19" s="185">
        <f t="shared" si="3"/>
        <v>39987.199999999997</v>
      </c>
      <c r="L19" s="185">
        <f t="shared" si="4"/>
        <v>39987.199999999997</v>
      </c>
      <c r="M19" s="185">
        <f t="shared" si="6"/>
        <v>39987.199999999997</v>
      </c>
      <c r="N19" s="17"/>
    </row>
    <row r="20" spans="1:15">
      <c r="A20" s="26">
        <v>17</v>
      </c>
      <c r="B20" s="27">
        <v>45917</v>
      </c>
      <c r="C20" s="17"/>
      <c r="D20" s="141"/>
      <c r="E20" s="97">
        <v>50</v>
      </c>
      <c r="F20" s="97">
        <v>0</v>
      </c>
      <c r="G20" s="185">
        <f t="shared" si="1"/>
        <v>0</v>
      </c>
      <c r="H20" s="371">
        <v>16.63</v>
      </c>
      <c r="I20" s="97">
        <v>102.77</v>
      </c>
      <c r="J20" s="185">
        <f t="shared" si="2"/>
        <v>1709.0650999999998</v>
      </c>
      <c r="K20" s="185">
        <f t="shared" si="3"/>
        <v>1709.0650999999998</v>
      </c>
      <c r="L20" s="185">
        <f t="shared" si="4"/>
        <v>1709.0650999999998</v>
      </c>
      <c r="M20" s="185">
        <f t="shared" si="6"/>
        <v>1709.0650999999998</v>
      </c>
      <c r="N20" s="17"/>
      <c r="O20">
        <v>16.68</v>
      </c>
    </row>
    <row r="21" spans="1:15">
      <c r="A21" s="26">
        <v>18</v>
      </c>
      <c r="B21" s="27">
        <v>45918</v>
      </c>
      <c r="C21" s="17"/>
      <c r="D21" s="141"/>
      <c r="E21" s="97">
        <v>205</v>
      </c>
      <c r="F21" s="97">
        <v>90.88</v>
      </c>
      <c r="G21" s="185">
        <f t="shared" si="1"/>
        <v>18630.399999999998</v>
      </c>
      <c r="H21" s="97">
        <v>0</v>
      </c>
      <c r="I21" s="97">
        <v>0</v>
      </c>
      <c r="J21" s="185">
        <f t="shared" si="2"/>
        <v>0</v>
      </c>
      <c r="K21" s="185">
        <f t="shared" si="3"/>
        <v>18630.399999999998</v>
      </c>
      <c r="L21" s="185">
        <f t="shared" si="4"/>
        <v>18630.399999999998</v>
      </c>
      <c r="M21" s="185">
        <f t="shared" si="6"/>
        <v>18630.399999999998</v>
      </c>
      <c r="N21" s="17"/>
    </row>
    <row r="22" spans="1:15">
      <c r="A22" s="26">
        <v>19</v>
      </c>
      <c r="B22" s="27">
        <v>45919</v>
      </c>
      <c r="C22" s="17"/>
      <c r="D22" s="141"/>
      <c r="E22" s="97">
        <v>150</v>
      </c>
      <c r="F22" s="97">
        <v>90.88</v>
      </c>
      <c r="G22" s="185">
        <f t="shared" si="1"/>
        <v>13632</v>
      </c>
      <c r="H22" s="97">
        <v>0</v>
      </c>
      <c r="I22" s="97">
        <v>0</v>
      </c>
      <c r="J22" s="185">
        <f t="shared" si="2"/>
        <v>0</v>
      </c>
      <c r="K22" s="185">
        <f t="shared" si="3"/>
        <v>13632</v>
      </c>
      <c r="L22" s="185">
        <f t="shared" si="4"/>
        <v>13632</v>
      </c>
      <c r="M22" s="185">
        <f t="shared" si="6"/>
        <v>13632</v>
      </c>
      <c r="N22" s="17"/>
    </row>
    <row r="23" spans="1:15">
      <c r="A23" s="26">
        <v>20</v>
      </c>
      <c r="B23" s="27">
        <v>45920</v>
      </c>
      <c r="C23" s="17"/>
      <c r="D23" s="141"/>
      <c r="E23" s="97">
        <v>139</v>
      </c>
      <c r="F23" s="97">
        <v>90.88</v>
      </c>
      <c r="G23" s="185">
        <f t="shared" si="1"/>
        <v>12632.32</v>
      </c>
      <c r="H23" s="97">
        <v>0</v>
      </c>
      <c r="I23" s="97">
        <v>0</v>
      </c>
      <c r="J23" s="185">
        <f t="shared" si="2"/>
        <v>0</v>
      </c>
      <c r="K23" s="185">
        <f t="shared" si="3"/>
        <v>12632.32</v>
      </c>
      <c r="L23" s="185">
        <f t="shared" si="4"/>
        <v>12632.32</v>
      </c>
      <c r="M23" s="185">
        <f t="shared" si="6"/>
        <v>12632.32</v>
      </c>
      <c r="N23" s="17">
        <v>0</v>
      </c>
    </row>
    <row r="24" spans="1:15">
      <c r="A24" s="26">
        <v>21</v>
      </c>
      <c r="B24" s="27">
        <v>45921</v>
      </c>
      <c r="C24" s="17"/>
      <c r="D24" s="141"/>
      <c r="E24" s="97">
        <v>0</v>
      </c>
      <c r="F24" s="97">
        <v>0</v>
      </c>
      <c r="G24" s="185">
        <f t="shared" si="1"/>
        <v>0</v>
      </c>
      <c r="H24" s="97">
        <v>0</v>
      </c>
      <c r="I24" s="97">
        <v>0</v>
      </c>
      <c r="J24" s="185">
        <f t="shared" si="2"/>
        <v>0</v>
      </c>
      <c r="K24" s="185">
        <f t="shared" si="3"/>
        <v>0</v>
      </c>
      <c r="L24" s="185">
        <f t="shared" si="4"/>
        <v>0</v>
      </c>
      <c r="M24" s="185">
        <f t="shared" si="6"/>
        <v>0</v>
      </c>
      <c r="N24" s="17"/>
    </row>
    <row r="25" spans="1:15">
      <c r="A25" s="26">
        <v>22</v>
      </c>
      <c r="B25" s="27">
        <v>45922</v>
      </c>
      <c r="C25" s="17"/>
      <c r="D25" s="141"/>
      <c r="E25" s="97">
        <v>20</v>
      </c>
      <c r="F25" s="97">
        <v>90.88</v>
      </c>
      <c r="G25" s="185">
        <f t="shared" si="1"/>
        <v>1817.6</v>
      </c>
      <c r="H25" s="97">
        <v>5</v>
      </c>
      <c r="I25" s="97">
        <v>102.77</v>
      </c>
      <c r="J25" s="185">
        <f t="shared" si="2"/>
        <v>513.85</v>
      </c>
      <c r="K25" s="185">
        <f t="shared" si="3"/>
        <v>2331.4499999999998</v>
      </c>
      <c r="L25" s="185">
        <f t="shared" si="4"/>
        <v>2331.4499999999998</v>
      </c>
      <c r="M25" s="185">
        <f t="shared" si="6"/>
        <v>2331.4499999999998</v>
      </c>
      <c r="N25" s="17"/>
    </row>
    <row r="26" spans="1:15">
      <c r="A26" s="26">
        <v>23</v>
      </c>
      <c r="B26" s="27">
        <v>45923</v>
      </c>
      <c r="C26" s="17"/>
      <c r="D26" s="141"/>
      <c r="E26" s="97">
        <v>187.28</v>
      </c>
      <c r="F26" s="97">
        <v>90.88</v>
      </c>
      <c r="G26" s="185">
        <f t="shared" si="1"/>
        <v>17020.006399999998</v>
      </c>
      <c r="H26" s="97">
        <v>0</v>
      </c>
      <c r="I26" s="97">
        <v>0</v>
      </c>
      <c r="J26" s="185">
        <f t="shared" si="2"/>
        <v>0</v>
      </c>
      <c r="K26" s="185">
        <f t="shared" si="3"/>
        <v>17020.006399999998</v>
      </c>
      <c r="L26" s="185">
        <f t="shared" si="4"/>
        <v>17020.006399999998</v>
      </c>
      <c r="M26" s="185">
        <f t="shared" si="6"/>
        <v>17020.006399999998</v>
      </c>
      <c r="N26" s="17"/>
    </row>
    <row r="27" spans="1:15">
      <c r="A27" s="26">
        <v>24</v>
      </c>
      <c r="B27" s="27">
        <v>45924</v>
      </c>
      <c r="C27" s="17"/>
      <c r="D27" s="141"/>
      <c r="E27" s="97">
        <v>110</v>
      </c>
      <c r="F27" s="97">
        <v>90.88</v>
      </c>
      <c r="G27" s="185">
        <f t="shared" si="1"/>
        <v>9996.7999999999993</v>
      </c>
      <c r="H27" s="97">
        <v>0</v>
      </c>
      <c r="I27" s="97">
        <v>0</v>
      </c>
      <c r="J27" s="185">
        <f t="shared" si="2"/>
        <v>0</v>
      </c>
      <c r="K27" s="185">
        <f t="shared" si="3"/>
        <v>9996.7999999999993</v>
      </c>
      <c r="L27" s="185">
        <f t="shared" si="4"/>
        <v>9996.7999999999993</v>
      </c>
      <c r="M27" s="185">
        <f t="shared" si="6"/>
        <v>9996.7999999999993</v>
      </c>
      <c r="N27" s="17"/>
    </row>
    <row r="28" spans="1:15">
      <c r="A28" s="26">
        <v>25</v>
      </c>
      <c r="B28" s="27">
        <v>45925</v>
      </c>
      <c r="C28" s="17"/>
      <c r="D28" s="141"/>
      <c r="E28" s="97">
        <v>0</v>
      </c>
      <c r="F28" s="97">
        <v>0</v>
      </c>
      <c r="G28" s="185">
        <f t="shared" si="1"/>
        <v>0</v>
      </c>
      <c r="H28" s="97">
        <v>0</v>
      </c>
      <c r="I28" s="97">
        <v>0</v>
      </c>
      <c r="J28" s="185">
        <f t="shared" si="2"/>
        <v>0</v>
      </c>
      <c r="K28" s="185">
        <f t="shared" si="3"/>
        <v>0</v>
      </c>
      <c r="L28" s="185">
        <f t="shared" si="4"/>
        <v>0</v>
      </c>
      <c r="M28" s="185">
        <f t="shared" si="6"/>
        <v>0</v>
      </c>
      <c r="N28" s="17"/>
    </row>
    <row r="29" spans="1:15">
      <c r="A29" s="26">
        <v>26</v>
      </c>
      <c r="B29" s="27">
        <v>45926</v>
      </c>
      <c r="C29" s="17"/>
      <c r="D29" s="141"/>
      <c r="E29" s="97">
        <v>0</v>
      </c>
      <c r="F29" s="97">
        <v>0</v>
      </c>
      <c r="G29" s="185">
        <f t="shared" si="1"/>
        <v>0</v>
      </c>
      <c r="H29" s="97">
        <v>5</v>
      </c>
      <c r="I29" s="97">
        <v>102.77</v>
      </c>
      <c r="J29" s="185">
        <f t="shared" si="2"/>
        <v>513.85</v>
      </c>
      <c r="K29" s="185">
        <f t="shared" si="3"/>
        <v>513.85</v>
      </c>
      <c r="L29" s="185">
        <v>0</v>
      </c>
      <c r="M29" s="370">
        <f>M28+K29-L29</f>
        <v>513.85</v>
      </c>
      <c r="N29" s="17"/>
    </row>
    <row r="30" spans="1:15">
      <c r="A30" s="26">
        <v>27</v>
      </c>
      <c r="B30" s="27">
        <v>45927</v>
      </c>
      <c r="C30" s="17"/>
      <c r="D30" s="141"/>
      <c r="E30" s="97">
        <v>50</v>
      </c>
      <c r="F30" s="97">
        <v>95.88</v>
      </c>
      <c r="G30" s="185">
        <f t="shared" si="1"/>
        <v>4794</v>
      </c>
      <c r="H30" s="97">
        <v>0</v>
      </c>
      <c r="I30" s="97">
        <v>0</v>
      </c>
      <c r="J30" s="185">
        <f t="shared" si="2"/>
        <v>0</v>
      </c>
      <c r="K30" s="185">
        <f t="shared" si="3"/>
        <v>4794</v>
      </c>
      <c r="L30" s="185">
        <v>0</v>
      </c>
      <c r="M30" s="185">
        <f t="shared" ref="M30:M33" si="7">M29+K30-L30</f>
        <v>5307.85</v>
      </c>
      <c r="N30" s="17"/>
    </row>
    <row r="31" spans="1:15">
      <c r="A31" s="26">
        <v>28</v>
      </c>
      <c r="B31" s="27">
        <v>45928</v>
      </c>
      <c r="C31" s="17"/>
      <c r="D31" s="141"/>
      <c r="E31" s="97">
        <v>0</v>
      </c>
      <c r="F31" s="97">
        <v>95.88</v>
      </c>
      <c r="G31" s="185">
        <f t="shared" si="1"/>
        <v>0</v>
      </c>
      <c r="H31" s="97">
        <v>0</v>
      </c>
      <c r="I31" s="97">
        <v>0</v>
      </c>
      <c r="J31" s="185">
        <f t="shared" si="2"/>
        <v>0</v>
      </c>
      <c r="K31" s="185">
        <f t="shared" si="3"/>
        <v>0</v>
      </c>
      <c r="L31" s="185">
        <v>0</v>
      </c>
      <c r="M31" s="185">
        <f t="shared" si="7"/>
        <v>5307.85</v>
      </c>
      <c r="N31" s="17"/>
    </row>
    <row r="32" spans="1:15">
      <c r="A32" s="26">
        <v>29</v>
      </c>
      <c r="B32" s="27">
        <v>45929</v>
      </c>
      <c r="C32" s="17"/>
      <c r="D32" s="141"/>
      <c r="E32" s="97">
        <v>40</v>
      </c>
      <c r="F32" s="97">
        <v>95.88</v>
      </c>
      <c r="G32" s="185">
        <f t="shared" si="1"/>
        <v>3835.2</v>
      </c>
      <c r="H32" s="97">
        <v>5</v>
      </c>
      <c r="I32" s="97">
        <v>102.77</v>
      </c>
      <c r="J32" s="185">
        <f t="shared" si="2"/>
        <v>513.85</v>
      </c>
      <c r="K32" s="185">
        <f t="shared" si="3"/>
        <v>4349.05</v>
      </c>
      <c r="L32" s="185">
        <v>0</v>
      </c>
      <c r="M32" s="185">
        <f t="shared" si="7"/>
        <v>9656.9000000000015</v>
      </c>
      <c r="N32" s="17"/>
    </row>
    <row r="33" spans="1:14">
      <c r="A33" s="26">
        <v>30</v>
      </c>
      <c r="B33" s="27">
        <v>45930</v>
      </c>
      <c r="C33" s="17"/>
      <c r="D33" s="141"/>
      <c r="E33" s="97">
        <v>0</v>
      </c>
      <c r="F33" s="97">
        <v>0</v>
      </c>
      <c r="G33" s="185">
        <f t="shared" si="1"/>
        <v>0</v>
      </c>
      <c r="H33" s="97">
        <v>5</v>
      </c>
      <c r="I33" s="97">
        <v>102.77</v>
      </c>
      <c r="J33" s="185">
        <f t="shared" si="2"/>
        <v>513.85</v>
      </c>
      <c r="K33" s="185">
        <f t="shared" si="3"/>
        <v>513.85</v>
      </c>
      <c r="L33" s="185">
        <v>0</v>
      </c>
      <c r="M33" s="185">
        <f t="shared" si="7"/>
        <v>10170.750000000002</v>
      </c>
      <c r="N33" s="17"/>
    </row>
    <row r="34" spans="1:14">
      <c r="A34" s="26">
        <v>31</v>
      </c>
      <c r="B34" s="27"/>
      <c r="C34" s="17"/>
      <c r="D34" s="17"/>
      <c r="E34" s="97"/>
      <c r="F34" s="97"/>
      <c r="G34" s="185"/>
      <c r="H34" s="97"/>
      <c r="I34" s="97"/>
      <c r="J34" s="185"/>
      <c r="K34" s="185"/>
      <c r="L34" s="141"/>
      <c r="M34" s="185"/>
      <c r="N34" s="17"/>
    </row>
    <row r="35" spans="1:14">
      <c r="A35" s="44"/>
      <c r="B35" s="44"/>
      <c r="C35" s="44"/>
      <c r="D35" s="44"/>
      <c r="E35" s="44">
        <f>SUM(E4:E34)</f>
        <v>1822.61</v>
      </c>
      <c r="F35" s="44"/>
      <c r="G35" s="44">
        <f>SUM(G4:G34)</f>
        <v>161544.79680000001</v>
      </c>
      <c r="H35" s="44">
        <f>SUM(H4:H34)</f>
        <v>58.86</v>
      </c>
      <c r="I35" s="44"/>
      <c r="J35" s="44">
        <f>SUM(J4:J34)</f>
        <v>6049.0422000000008</v>
      </c>
      <c r="K35" s="44">
        <f>SUM(K4:K34)</f>
        <v>167593.83899999998</v>
      </c>
      <c r="L35" s="44">
        <f>SUM(L4:L34)</f>
        <v>157423.08899999998</v>
      </c>
      <c r="M35" s="44">
        <f>SUM(M4:M34)</f>
        <v>188380.28899999999</v>
      </c>
      <c r="N35" s="44"/>
    </row>
    <row r="36" spans="1:14">
      <c r="E36">
        <v>1541.87</v>
      </c>
    </row>
    <row r="37" spans="1:14">
      <c r="E37">
        <v>1661</v>
      </c>
      <c r="H37">
        <v>43.92</v>
      </c>
      <c r="K37" s="22"/>
    </row>
    <row r="38" spans="1:14">
      <c r="E38">
        <f>E37-E36</f>
        <v>119.13000000000011</v>
      </c>
    </row>
  </sheetData>
  <mergeCells count="1">
    <mergeCell ref="A1:N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4D717-3CA9-494A-8EBD-D74F2C499AC3}">
  <dimension ref="A1:T37"/>
  <sheetViews>
    <sheetView workbookViewId="0">
      <selection activeCell="Q11" sqref="Q11"/>
    </sheetView>
  </sheetViews>
  <sheetFormatPr defaultRowHeight="15"/>
  <cols>
    <col min="1" max="1" width="5.140625" bestFit="1" customWidth="1"/>
    <col min="3" max="3" width="8" bestFit="1" customWidth="1"/>
    <col min="4" max="4" width="16" bestFit="1" customWidth="1"/>
    <col min="5" max="5" width="10.7109375" bestFit="1" customWidth="1"/>
    <col min="6" max="6" width="6.140625" bestFit="1" customWidth="1"/>
    <col min="7" max="7" width="10.42578125" bestFit="1" customWidth="1"/>
    <col min="8" max="8" width="10.7109375" bestFit="1" customWidth="1"/>
    <col min="9" max="9" width="9.28515625" customWidth="1"/>
    <col min="10" max="10" width="8.7109375" bestFit="1" customWidth="1"/>
    <col min="11" max="12" width="13.5703125" bestFit="1" customWidth="1"/>
    <col min="13" max="13" width="11.28515625" bestFit="1" customWidth="1"/>
    <col min="14" max="14" width="8.7109375" bestFit="1" customWidth="1"/>
    <col min="15" max="15" width="9.28515625" bestFit="1" customWidth="1"/>
  </cols>
  <sheetData>
    <row r="1" spans="1:20" ht="15.75">
      <c r="A1" s="416" t="s">
        <v>48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6"/>
      <c r="O1" s="96"/>
      <c r="P1" s="96"/>
      <c r="Q1" s="96"/>
    </row>
    <row r="2" spans="1:20">
      <c r="A2" s="68" t="s">
        <v>90</v>
      </c>
      <c r="B2" s="68" t="s">
        <v>91</v>
      </c>
      <c r="C2" s="68" t="s">
        <v>92</v>
      </c>
      <c r="D2" s="68" t="s">
        <v>93</v>
      </c>
      <c r="E2" s="95" t="s">
        <v>94</v>
      </c>
      <c r="F2" s="95" t="s">
        <v>95</v>
      </c>
      <c r="G2" s="95" t="s">
        <v>96</v>
      </c>
      <c r="H2" s="95" t="s">
        <v>97</v>
      </c>
      <c r="I2" s="95" t="s">
        <v>95</v>
      </c>
      <c r="J2" s="95" t="s">
        <v>96</v>
      </c>
      <c r="K2" s="95" t="s">
        <v>98</v>
      </c>
      <c r="L2" s="89" t="s">
        <v>99</v>
      </c>
      <c r="M2" s="89" t="s">
        <v>103</v>
      </c>
      <c r="N2" s="68" t="s">
        <v>101</v>
      </c>
    </row>
    <row r="3" spans="1:20">
      <c r="A3" s="17"/>
      <c r="B3" s="17"/>
      <c r="C3" s="17"/>
      <c r="D3" s="17" t="s">
        <v>102</v>
      </c>
      <c r="E3" s="17"/>
      <c r="F3" s="17"/>
      <c r="G3" s="17"/>
      <c r="H3" s="17"/>
      <c r="I3" s="17"/>
      <c r="J3" s="17"/>
      <c r="K3" s="42">
        <v>480082.77439999999</v>
      </c>
      <c r="L3" s="17"/>
      <c r="M3" s="42">
        <v>480082.77439999999</v>
      </c>
      <c r="N3" s="17"/>
      <c r="O3" s="42">
        <v>26506.400000000001</v>
      </c>
      <c r="Q3" s="22"/>
    </row>
    <row r="4" spans="1:20">
      <c r="A4" s="26">
        <v>1</v>
      </c>
      <c r="B4" s="27">
        <v>45901</v>
      </c>
      <c r="C4" s="17"/>
      <c r="D4" s="17"/>
      <c r="E4" s="97">
        <v>0</v>
      </c>
      <c r="F4" s="97">
        <v>0</v>
      </c>
      <c r="G4" s="42">
        <f>E4*F4</f>
        <v>0</v>
      </c>
      <c r="H4" s="46">
        <v>5</v>
      </c>
      <c r="I4" s="46">
        <v>103.24</v>
      </c>
      <c r="J4" s="42">
        <f>H4*I4</f>
        <v>516.19999999999993</v>
      </c>
      <c r="K4" s="42">
        <f>G4+J4</f>
        <v>516.19999999999993</v>
      </c>
      <c r="L4" s="42">
        <v>240000</v>
      </c>
      <c r="M4" s="42">
        <f>M3+K4-L4</f>
        <v>240598.97440000001</v>
      </c>
      <c r="N4" s="17"/>
    </row>
    <row r="5" spans="1:20">
      <c r="A5" s="26">
        <v>2</v>
      </c>
      <c r="B5" s="27">
        <v>45902</v>
      </c>
      <c r="C5" s="17"/>
      <c r="D5" s="17"/>
      <c r="E5" s="97">
        <v>400</v>
      </c>
      <c r="F5" s="97">
        <v>91.32</v>
      </c>
      <c r="G5" s="42">
        <f t="shared" ref="G5:G35" si="0">E5*F5</f>
        <v>36528</v>
      </c>
      <c r="H5" s="46">
        <v>0</v>
      </c>
      <c r="I5" s="46">
        <v>0</v>
      </c>
      <c r="J5" s="42">
        <f t="shared" ref="J5:J35" si="1">H5*I5</f>
        <v>0</v>
      </c>
      <c r="K5" s="42">
        <f t="shared" ref="K5:K35" si="2">G5+J5</f>
        <v>36528</v>
      </c>
      <c r="L5" s="42">
        <v>0</v>
      </c>
      <c r="M5" s="42">
        <f>M4+K5-L5</f>
        <v>277126.97440000001</v>
      </c>
      <c r="N5" s="17"/>
    </row>
    <row r="6" spans="1:20">
      <c r="A6" s="26">
        <v>3</v>
      </c>
      <c r="B6" s="27">
        <v>45903</v>
      </c>
      <c r="C6" s="17"/>
      <c r="D6" s="17"/>
      <c r="E6" s="97">
        <v>100</v>
      </c>
      <c r="F6" s="97">
        <v>91.32</v>
      </c>
      <c r="G6" s="42">
        <f t="shared" si="0"/>
        <v>9132</v>
      </c>
      <c r="H6" s="46">
        <v>5</v>
      </c>
      <c r="I6" s="46">
        <v>103.24</v>
      </c>
      <c r="J6" s="42">
        <f t="shared" si="1"/>
        <v>516.19999999999993</v>
      </c>
      <c r="K6" s="42">
        <f t="shared" si="2"/>
        <v>9648.2000000000007</v>
      </c>
      <c r="L6" s="42">
        <v>0</v>
      </c>
      <c r="M6" s="42">
        <f>M5+K6-L6</f>
        <v>286775.17440000002</v>
      </c>
      <c r="N6" s="17"/>
    </row>
    <row r="7" spans="1:20">
      <c r="A7" s="26">
        <v>4</v>
      </c>
      <c r="B7" s="27">
        <v>45904</v>
      </c>
      <c r="C7" s="17"/>
      <c r="D7" s="17"/>
      <c r="E7" s="97">
        <v>430</v>
      </c>
      <c r="F7" s="97">
        <v>91.32</v>
      </c>
      <c r="G7" s="42">
        <f t="shared" si="0"/>
        <v>39267.599999999999</v>
      </c>
      <c r="H7" s="46">
        <v>5</v>
      </c>
      <c r="I7" s="46">
        <v>103.24</v>
      </c>
      <c r="J7" s="42">
        <f t="shared" si="1"/>
        <v>516.19999999999993</v>
      </c>
      <c r="K7" s="42">
        <f t="shared" si="2"/>
        <v>39783.799999999996</v>
      </c>
      <c r="L7" s="42">
        <v>0</v>
      </c>
      <c r="M7" s="42">
        <f>M6+K7-L7</f>
        <v>326558.97440000001</v>
      </c>
      <c r="N7" s="17"/>
    </row>
    <row r="8" spans="1:20">
      <c r="A8" s="26">
        <v>5</v>
      </c>
      <c r="B8" s="27">
        <v>45905</v>
      </c>
      <c r="C8" s="17"/>
      <c r="D8" s="17"/>
      <c r="E8" s="97">
        <v>400</v>
      </c>
      <c r="F8" s="97">
        <v>91.32</v>
      </c>
      <c r="G8" s="42">
        <f t="shared" si="0"/>
        <v>36528</v>
      </c>
      <c r="H8" s="46">
        <v>5</v>
      </c>
      <c r="I8" s="46">
        <v>103.24</v>
      </c>
      <c r="J8" s="42">
        <f t="shared" si="1"/>
        <v>516.19999999999993</v>
      </c>
      <c r="K8" s="42">
        <f t="shared" si="2"/>
        <v>37044.199999999997</v>
      </c>
      <c r="L8" s="42">
        <v>0</v>
      </c>
      <c r="M8" s="42">
        <f>M7+K8-L8</f>
        <v>363603.17440000002</v>
      </c>
      <c r="N8" s="17"/>
    </row>
    <row r="9" spans="1:20">
      <c r="A9" s="26">
        <v>6</v>
      </c>
      <c r="B9" s="27">
        <v>45906</v>
      </c>
      <c r="C9" s="17"/>
      <c r="D9" s="17"/>
      <c r="E9" s="97">
        <v>400</v>
      </c>
      <c r="F9" s="97">
        <v>91.32</v>
      </c>
      <c r="G9" s="42">
        <f t="shared" si="0"/>
        <v>36528</v>
      </c>
      <c r="H9" s="46">
        <v>10</v>
      </c>
      <c r="I9" s="46">
        <v>103.24</v>
      </c>
      <c r="J9" s="42">
        <f t="shared" si="1"/>
        <v>1032.3999999999999</v>
      </c>
      <c r="K9" s="42">
        <f t="shared" si="2"/>
        <v>37560.400000000001</v>
      </c>
      <c r="L9" s="42">
        <v>0</v>
      </c>
      <c r="M9" s="42">
        <f t="shared" ref="M9:M36" si="3">M8+K9-L9</f>
        <v>401163.57440000004</v>
      </c>
      <c r="N9" s="17"/>
    </row>
    <row r="10" spans="1:20">
      <c r="A10" s="26">
        <v>7</v>
      </c>
      <c r="B10" s="27">
        <v>45907</v>
      </c>
      <c r="C10" s="17"/>
      <c r="D10" s="17"/>
      <c r="E10" s="97">
        <v>0</v>
      </c>
      <c r="F10" s="97">
        <v>0</v>
      </c>
      <c r="G10" s="42">
        <f t="shared" si="0"/>
        <v>0</v>
      </c>
      <c r="H10" s="46">
        <v>0</v>
      </c>
      <c r="I10" s="46">
        <v>0</v>
      </c>
      <c r="J10" s="42">
        <f t="shared" si="1"/>
        <v>0</v>
      </c>
      <c r="K10" s="42">
        <f t="shared" si="2"/>
        <v>0</v>
      </c>
      <c r="L10" s="42">
        <v>0</v>
      </c>
      <c r="M10" s="42">
        <f t="shared" si="3"/>
        <v>401163.57440000004</v>
      </c>
      <c r="N10" s="17"/>
      <c r="T10">
        <f>30*91.32</f>
        <v>2739.6</v>
      </c>
    </row>
    <row r="11" spans="1:20">
      <c r="A11" s="26">
        <v>8</v>
      </c>
      <c r="B11" s="27">
        <v>45908</v>
      </c>
      <c r="C11" s="17"/>
      <c r="D11" s="17"/>
      <c r="E11" s="97">
        <v>0</v>
      </c>
      <c r="F11" s="97">
        <v>0</v>
      </c>
      <c r="G11" s="42">
        <f t="shared" si="0"/>
        <v>0</v>
      </c>
      <c r="H11" s="46">
        <v>0</v>
      </c>
      <c r="I11" s="46">
        <v>0</v>
      </c>
      <c r="J11" s="42">
        <f t="shared" si="1"/>
        <v>0</v>
      </c>
      <c r="K11" s="42">
        <f t="shared" si="2"/>
        <v>0</v>
      </c>
      <c r="L11" s="42">
        <v>400000</v>
      </c>
      <c r="M11" s="42">
        <f t="shared" si="3"/>
        <v>1163.5744000000414</v>
      </c>
      <c r="N11" s="17"/>
      <c r="T11">
        <f>20*103.24</f>
        <v>2064.7999999999997</v>
      </c>
    </row>
    <row r="12" spans="1:20">
      <c r="A12" s="26">
        <v>9</v>
      </c>
      <c r="B12" s="27">
        <v>45909</v>
      </c>
      <c r="C12" s="17"/>
      <c r="D12" s="17"/>
      <c r="E12" s="97">
        <v>469.34</v>
      </c>
      <c r="F12" s="97">
        <v>91.32</v>
      </c>
      <c r="G12" s="42">
        <f t="shared" si="0"/>
        <v>42860.128799999991</v>
      </c>
      <c r="H12" s="46">
        <v>11</v>
      </c>
      <c r="I12" s="46">
        <v>103.24</v>
      </c>
      <c r="J12" s="42">
        <f t="shared" si="1"/>
        <v>1135.6399999999999</v>
      </c>
      <c r="K12" s="42">
        <f t="shared" si="2"/>
        <v>43995.768799999991</v>
      </c>
      <c r="L12" s="42">
        <v>0</v>
      </c>
      <c r="M12" s="42">
        <f>M11+K12-L12</f>
        <v>45159.343200000032</v>
      </c>
      <c r="N12" s="17"/>
    </row>
    <row r="13" spans="1:20">
      <c r="A13" s="26">
        <v>10</v>
      </c>
      <c r="B13" s="27">
        <v>45910</v>
      </c>
      <c r="C13" s="17"/>
      <c r="D13" s="17"/>
      <c r="E13" s="97">
        <v>420</v>
      </c>
      <c r="F13" s="97">
        <v>91.32</v>
      </c>
      <c r="G13" s="42">
        <f t="shared" si="0"/>
        <v>38354.399999999994</v>
      </c>
      <c r="H13" s="46">
        <v>0</v>
      </c>
      <c r="I13" s="46">
        <v>0</v>
      </c>
      <c r="J13" s="42">
        <f t="shared" si="1"/>
        <v>0</v>
      </c>
      <c r="K13" s="42">
        <f t="shared" si="2"/>
        <v>38354.399999999994</v>
      </c>
      <c r="L13" s="42">
        <v>0</v>
      </c>
      <c r="M13" s="42">
        <f t="shared" si="3"/>
        <v>83513.743200000026</v>
      </c>
      <c r="N13" s="17"/>
    </row>
    <row r="14" spans="1:20">
      <c r="A14" s="26">
        <v>11</v>
      </c>
      <c r="B14" s="27">
        <v>45911</v>
      </c>
      <c r="C14" s="17"/>
      <c r="D14" s="17"/>
      <c r="E14" s="97">
        <v>420</v>
      </c>
      <c r="F14" s="97">
        <v>91.32</v>
      </c>
      <c r="G14" s="42">
        <f t="shared" si="0"/>
        <v>38354.399999999994</v>
      </c>
      <c r="H14" s="379">
        <v>50</v>
      </c>
      <c r="I14" s="46">
        <v>103.24</v>
      </c>
      <c r="J14" s="42">
        <f t="shared" si="1"/>
        <v>5162</v>
      </c>
      <c r="K14" s="42">
        <f t="shared" si="2"/>
        <v>43516.399999999994</v>
      </c>
      <c r="L14" s="42">
        <v>0</v>
      </c>
      <c r="M14" s="42">
        <f>M13+K14-L14</f>
        <v>127030.14320000002</v>
      </c>
      <c r="N14" s="17"/>
    </row>
    <row r="15" spans="1:20">
      <c r="A15" s="26">
        <v>12</v>
      </c>
      <c r="B15" s="27">
        <v>45912</v>
      </c>
      <c r="C15" s="17"/>
      <c r="D15" s="97"/>
      <c r="E15" s="97">
        <v>440</v>
      </c>
      <c r="F15" s="97">
        <v>91.32</v>
      </c>
      <c r="G15" s="42">
        <f t="shared" si="0"/>
        <v>40180.799999999996</v>
      </c>
      <c r="H15" s="46">
        <v>5</v>
      </c>
      <c r="I15" s="46">
        <v>103.24</v>
      </c>
      <c r="J15" s="42">
        <f t="shared" si="1"/>
        <v>516.19999999999993</v>
      </c>
      <c r="K15" s="42">
        <f t="shared" si="2"/>
        <v>40696.999999999993</v>
      </c>
      <c r="L15" s="42">
        <v>0</v>
      </c>
      <c r="M15" s="42">
        <f t="shared" si="3"/>
        <v>167727.14320000002</v>
      </c>
      <c r="N15" s="17"/>
    </row>
    <row r="16" spans="1:20">
      <c r="A16" s="26">
        <v>13</v>
      </c>
      <c r="B16" s="27">
        <v>45913</v>
      </c>
      <c r="C16" s="17"/>
      <c r="D16" s="17">
        <v>0</v>
      </c>
      <c r="E16" s="97">
        <v>400</v>
      </c>
      <c r="F16" s="97">
        <v>91.32</v>
      </c>
      <c r="G16" s="42">
        <f t="shared" si="0"/>
        <v>36528</v>
      </c>
      <c r="H16" s="46">
        <v>5</v>
      </c>
      <c r="I16" s="46">
        <v>103.24</v>
      </c>
      <c r="J16" s="42">
        <f t="shared" si="1"/>
        <v>516.19999999999993</v>
      </c>
      <c r="K16" s="42">
        <f t="shared" si="2"/>
        <v>37044.199999999997</v>
      </c>
      <c r="L16" s="42">
        <v>0</v>
      </c>
      <c r="M16" s="42">
        <f t="shared" si="3"/>
        <v>204771.3432</v>
      </c>
      <c r="N16" s="17"/>
    </row>
    <row r="17" spans="1:16">
      <c r="A17" s="26">
        <v>14</v>
      </c>
      <c r="B17" s="27">
        <v>45914</v>
      </c>
      <c r="C17" s="17"/>
      <c r="D17" s="17"/>
      <c r="E17" s="97">
        <v>400</v>
      </c>
      <c r="F17" s="97">
        <v>91.32</v>
      </c>
      <c r="G17" s="42">
        <f t="shared" si="0"/>
        <v>36528</v>
      </c>
      <c r="H17" s="46">
        <v>3</v>
      </c>
      <c r="I17" s="46">
        <v>103.24</v>
      </c>
      <c r="J17" s="42">
        <f t="shared" si="1"/>
        <v>309.71999999999997</v>
      </c>
      <c r="K17" s="42">
        <f t="shared" si="2"/>
        <v>36837.72</v>
      </c>
      <c r="L17" s="42">
        <v>0</v>
      </c>
      <c r="M17" s="42">
        <f t="shared" si="3"/>
        <v>241609.0632</v>
      </c>
      <c r="N17" s="17"/>
    </row>
    <row r="18" spans="1:16">
      <c r="A18" s="26">
        <v>15</v>
      </c>
      <c r="B18" s="27">
        <v>45915</v>
      </c>
      <c r="C18" s="17"/>
      <c r="D18" s="17"/>
      <c r="E18" s="97">
        <v>0</v>
      </c>
      <c r="F18" s="97">
        <v>0</v>
      </c>
      <c r="G18" s="42">
        <f t="shared" si="0"/>
        <v>0</v>
      </c>
      <c r="H18" s="46">
        <v>4</v>
      </c>
      <c r="I18" s="46">
        <v>103.24</v>
      </c>
      <c r="J18" s="42">
        <f t="shared" si="1"/>
        <v>412.96</v>
      </c>
      <c r="K18" s="42">
        <f t="shared" si="2"/>
        <v>412.96</v>
      </c>
      <c r="L18" s="42">
        <v>0</v>
      </c>
      <c r="M18" s="42">
        <f t="shared" si="3"/>
        <v>242022.0232</v>
      </c>
      <c r="N18" s="17"/>
    </row>
    <row r="19" spans="1:16">
      <c r="A19" s="26">
        <v>16</v>
      </c>
      <c r="B19" s="27">
        <v>45916</v>
      </c>
      <c r="C19" s="17"/>
      <c r="D19" s="17"/>
      <c r="E19" s="97">
        <v>620</v>
      </c>
      <c r="F19" s="97">
        <v>91.32</v>
      </c>
      <c r="G19" s="42">
        <f t="shared" si="0"/>
        <v>56618.399999999994</v>
      </c>
      <c r="H19" s="46">
        <v>16</v>
      </c>
      <c r="I19" s="46">
        <v>103.24</v>
      </c>
      <c r="J19" s="42">
        <f t="shared" si="1"/>
        <v>1651.84</v>
      </c>
      <c r="K19" s="42">
        <f t="shared" si="2"/>
        <v>58270.239999999991</v>
      </c>
      <c r="L19" s="42">
        <v>0</v>
      </c>
      <c r="M19" s="42">
        <f t="shared" si="3"/>
        <v>300292.26319999999</v>
      </c>
      <c r="N19" s="17"/>
    </row>
    <row r="20" spans="1:16">
      <c r="A20" s="26">
        <v>17</v>
      </c>
      <c r="B20" s="27">
        <v>45917</v>
      </c>
      <c r="C20" s="17"/>
      <c r="D20" s="17"/>
      <c r="E20" s="97">
        <v>0</v>
      </c>
      <c r="F20" s="97">
        <v>0</v>
      </c>
      <c r="G20" s="42">
        <f t="shared" si="0"/>
        <v>0</v>
      </c>
      <c r="H20" s="46">
        <v>0</v>
      </c>
      <c r="I20" s="46">
        <v>0</v>
      </c>
      <c r="J20" s="42">
        <f t="shared" si="1"/>
        <v>0</v>
      </c>
      <c r="K20" s="42">
        <f t="shared" si="2"/>
        <v>0</v>
      </c>
      <c r="L20" s="42">
        <v>0</v>
      </c>
      <c r="M20" s="42">
        <f t="shared" si="3"/>
        <v>300292.26319999999</v>
      </c>
      <c r="N20" s="17"/>
    </row>
    <row r="21" spans="1:16">
      <c r="A21" s="26">
        <v>18</v>
      </c>
      <c r="B21" s="27">
        <v>45918</v>
      </c>
      <c r="C21" s="17"/>
      <c r="D21" s="17"/>
      <c r="E21" s="97">
        <v>640</v>
      </c>
      <c r="F21" s="97">
        <v>91.32</v>
      </c>
      <c r="G21" s="42">
        <f t="shared" si="0"/>
        <v>58444.799999999996</v>
      </c>
      <c r="H21" s="46">
        <v>17</v>
      </c>
      <c r="I21" s="46">
        <v>103.24</v>
      </c>
      <c r="J21" s="42">
        <f t="shared" si="1"/>
        <v>1755.08</v>
      </c>
      <c r="K21" s="42">
        <f t="shared" si="2"/>
        <v>60199.88</v>
      </c>
      <c r="L21" s="42">
        <v>150000</v>
      </c>
      <c r="M21" s="42">
        <f t="shared" si="3"/>
        <v>210492.14319999999</v>
      </c>
      <c r="N21" s="17"/>
    </row>
    <row r="22" spans="1:16">
      <c r="A22" s="26">
        <v>19</v>
      </c>
      <c r="B22" s="27">
        <v>45919</v>
      </c>
      <c r="C22" s="17"/>
      <c r="D22" s="17"/>
      <c r="E22" s="97">
        <v>350</v>
      </c>
      <c r="F22" s="97">
        <v>91.32</v>
      </c>
      <c r="G22" s="42">
        <f t="shared" si="0"/>
        <v>31961.999999999996</v>
      </c>
      <c r="H22" s="46">
        <v>0</v>
      </c>
      <c r="I22" s="46">
        <v>0</v>
      </c>
      <c r="J22" s="42">
        <f t="shared" si="1"/>
        <v>0</v>
      </c>
      <c r="K22" s="42">
        <f t="shared" si="2"/>
        <v>31961.999999999996</v>
      </c>
      <c r="L22" s="42">
        <v>0</v>
      </c>
      <c r="M22" s="42">
        <f t="shared" si="3"/>
        <v>242454.14319999999</v>
      </c>
      <c r="N22" s="17"/>
    </row>
    <row r="23" spans="1:16">
      <c r="A23" s="26">
        <v>20</v>
      </c>
      <c r="B23" s="27">
        <v>45920</v>
      </c>
      <c r="C23" s="17"/>
      <c r="D23" s="17"/>
      <c r="E23" s="97">
        <v>400</v>
      </c>
      <c r="F23" s="97">
        <v>91.32</v>
      </c>
      <c r="G23" s="42">
        <f t="shared" si="0"/>
        <v>36528</v>
      </c>
      <c r="H23" s="46">
        <v>6</v>
      </c>
      <c r="I23" s="46">
        <v>103.24</v>
      </c>
      <c r="J23" s="42">
        <f t="shared" si="1"/>
        <v>619.43999999999994</v>
      </c>
      <c r="K23" s="42">
        <f t="shared" si="2"/>
        <v>37147.440000000002</v>
      </c>
      <c r="L23" s="42">
        <v>0</v>
      </c>
      <c r="M23" s="42">
        <f t="shared" si="3"/>
        <v>279601.58319999999</v>
      </c>
      <c r="N23" s="17"/>
    </row>
    <row r="24" spans="1:16">
      <c r="A24" s="26">
        <v>21</v>
      </c>
      <c r="B24" s="27">
        <v>45921</v>
      </c>
      <c r="C24" s="17"/>
      <c r="D24" s="17"/>
      <c r="E24" s="97">
        <v>425.71</v>
      </c>
      <c r="F24" s="97">
        <v>91.32</v>
      </c>
      <c r="G24" s="42">
        <f t="shared" si="0"/>
        <v>38875.837199999994</v>
      </c>
      <c r="H24" s="46">
        <v>0</v>
      </c>
      <c r="I24" s="46">
        <v>0</v>
      </c>
      <c r="J24" s="42">
        <f t="shared" si="1"/>
        <v>0</v>
      </c>
      <c r="K24" s="42">
        <f t="shared" si="2"/>
        <v>38875.837199999994</v>
      </c>
      <c r="L24" s="42">
        <v>0</v>
      </c>
      <c r="M24" s="42">
        <f t="shared" si="3"/>
        <v>318477.4204</v>
      </c>
      <c r="N24" s="17"/>
    </row>
    <row r="25" spans="1:16">
      <c r="A25" s="26">
        <v>22</v>
      </c>
      <c r="B25" s="27">
        <v>45922</v>
      </c>
      <c r="C25" s="17"/>
      <c r="D25" s="17"/>
      <c r="E25" s="97">
        <v>1100</v>
      </c>
      <c r="F25" s="97">
        <v>91.32</v>
      </c>
      <c r="G25" s="42">
        <f t="shared" si="0"/>
        <v>100451.99999999999</v>
      </c>
      <c r="H25" s="46">
        <v>15.74</v>
      </c>
      <c r="I25" s="46">
        <v>103.24</v>
      </c>
      <c r="J25" s="42">
        <f t="shared" si="1"/>
        <v>1624.9975999999999</v>
      </c>
      <c r="K25" s="42">
        <f t="shared" si="2"/>
        <v>102076.99759999999</v>
      </c>
      <c r="L25" s="42">
        <v>0</v>
      </c>
      <c r="M25" s="42">
        <f t="shared" si="3"/>
        <v>420554.41800000001</v>
      </c>
      <c r="N25" s="17"/>
    </row>
    <row r="26" spans="1:16">
      <c r="A26" s="26">
        <v>23</v>
      </c>
      <c r="B26" s="27">
        <v>45923</v>
      </c>
      <c r="C26" s="17"/>
      <c r="D26" s="17"/>
      <c r="E26" s="97">
        <v>0</v>
      </c>
      <c r="F26" s="97">
        <v>0</v>
      </c>
      <c r="G26" s="42">
        <f t="shared" si="0"/>
        <v>0</v>
      </c>
      <c r="H26" s="46">
        <v>5</v>
      </c>
      <c r="I26" s="46">
        <v>103.24</v>
      </c>
      <c r="J26" s="42">
        <f t="shared" si="1"/>
        <v>516.19999999999993</v>
      </c>
      <c r="K26" s="42">
        <f t="shared" si="2"/>
        <v>516.19999999999993</v>
      </c>
      <c r="L26" s="42">
        <v>0</v>
      </c>
      <c r="M26" s="42">
        <f t="shared" si="3"/>
        <v>421070.61800000002</v>
      </c>
      <c r="N26" s="17"/>
    </row>
    <row r="27" spans="1:16">
      <c r="A27" s="26">
        <v>24</v>
      </c>
      <c r="B27" s="27">
        <v>45924</v>
      </c>
      <c r="C27" s="17"/>
      <c r="D27" s="17"/>
      <c r="E27" s="97">
        <v>0</v>
      </c>
      <c r="F27" s="97">
        <v>0</v>
      </c>
      <c r="G27" s="42">
        <f t="shared" si="0"/>
        <v>0</v>
      </c>
      <c r="H27" s="46">
        <v>0</v>
      </c>
      <c r="I27" s="46">
        <v>0</v>
      </c>
      <c r="J27" s="42">
        <f t="shared" si="1"/>
        <v>0</v>
      </c>
      <c r="K27" s="42">
        <f t="shared" si="2"/>
        <v>0</v>
      </c>
      <c r="L27" s="42">
        <v>0</v>
      </c>
      <c r="M27" s="42">
        <f t="shared" si="3"/>
        <v>421070.61800000002</v>
      </c>
      <c r="N27" s="17"/>
      <c r="P27" s="22"/>
    </row>
    <row r="28" spans="1:16">
      <c r="A28" s="26">
        <v>25</v>
      </c>
      <c r="B28" s="27">
        <v>45925</v>
      </c>
      <c r="C28" s="17"/>
      <c r="D28" s="17"/>
      <c r="E28" s="97">
        <v>340</v>
      </c>
      <c r="F28" s="97">
        <v>91.32</v>
      </c>
      <c r="G28" s="42">
        <f t="shared" si="0"/>
        <v>31048.799999999999</v>
      </c>
      <c r="H28" s="46">
        <v>0</v>
      </c>
      <c r="I28" s="46">
        <v>0</v>
      </c>
      <c r="J28" s="42">
        <f t="shared" si="1"/>
        <v>0</v>
      </c>
      <c r="K28" s="42">
        <f t="shared" si="2"/>
        <v>31048.799999999999</v>
      </c>
      <c r="L28" s="42">
        <v>0</v>
      </c>
      <c r="M28" s="42">
        <f t="shared" si="3"/>
        <v>452119.41800000001</v>
      </c>
      <c r="N28" s="17"/>
    </row>
    <row r="29" spans="1:16">
      <c r="A29" s="26">
        <v>26</v>
      </c>
      <c r="B29" s="27">
        <v>45926</v>
      </c>
      <c r="C29" s="17"/>
      <c r="D29" s="244"/>
      <c r="E29" s="97">
        <v>0</v>
      </c>
      <c r="F29" s="97">
        <v>0</v>
      </c>
      <c r="G29" s="42">
        <f t="shared" si="0"/>
        <v>0</v>
      </c>
      <c r="H29" s="46">
        <v>11</v>
      </c>
      <c r="I29" s="46">
        <v>103.24</v>
      </c>
      <c r="J29" s="42">
        <f t="shared" si="1"/>
        <v>1135.6399999999999</v>
      </c>
      <c r="K29" s="42">
        <f t="shared" si="2"/>
        <v>1135.6399999999999</v>
      </c>
      <c r="L29" s="42">
        <v>0</v>
      </c>
      <c r="M29" s="42">
        <f t="shared" si="3"/>
        <v>453255.05800000002</v>
      </c>
      <c r="N29" s="17"/>
    </row>
    <row r="30" spans="1:16">
      <c r="A30" s="26">
        <v>27</v>
      </c>
      <c r="B30" s="27">
        <v>45927</v>
      </c>
      <c r="C30" s="17"/>
      <c r="D30" s="17"/>
      <c r="E30" s="97">
        <v>565</v>
      </c>
      <c r="F30" s="97">
        <v>91.32</v>
      </c>
      <c r="G30" s="42">
        <f t="shared" si="0"/>
        <v>51595.799999999996</v>
      </c>
      <c r="H30" s="46">
        <v>0</v>
      </c>
      <c r="I30" s="46">
        <v>0</v>
      </c>
      <c r="J30" s="42">
        <f t="shared" si="1"/>
        <v>0</v>
      </c>
      <c r="K30" s="42">
        <f t="shared" si="2"/>
        <v>51595.799999999996</v>
      </c>
      <c r="L30" s="42">
        <v>300000</v>
      </c>
      <c r="M30" s="42">
        <f t="shared" si="3"/>
        <v>204850.85800000001</v>
      </c>
      <c r="N30" s="17"/>
    </row>
    <row r="31" spans="1:16">
      <c r="A31" s="26">
        <v>28</v>
      </c>
      <c r="B31" s="27">
        <v>45928</v>
      </c>
      <c r="C31" s="17"/>
      <c r="D31" s="17"/>
      <c r="E31" s="97">
        <v>0</v>
      </c>
      <c r="F31" s="97">
        <v>0</v>
      </c>
      <c r="G31" s="42">
        <f t="shared" si="0"/>
        <v>0</v>
      </c>
      <c r="H31" s="46">
        <v>0</v>
      </c>
      <c r="I31" s="46">
        <v>0</v>
      </c>
      <c r="J31" s="42">
        <f t="shared" si="1"/>
        <v>0</v>
      </c>
      <c r="K31" s="42">
        <f t="shared" si="2"/>
        <v>0</v>
      </c>
      <c r="L31" s="42">
        <v>0</v>
      </c>
      <c r="M31" s="42">
        <f t="shared" si="3"/>
        <v>204850.85800000001</v>
      </c>
      <c r="N31" s="17"/>
    </row>
    <row r="32" spans="1:16">
      <c r="A32" s="26">
        <v>29</v>
      </c>
      <c r="B32" s="27">
        <v>45929</v>
      </c>
      <c r="C32" s="17"/>
      <c r="D32" s="17" t="s">
        <v>155</v>
      </c>
      <c r="E32" s="97">
        <v>427.32</v>
      </c>
      <c r="F32" s="97">
        <v>91.26</v>
      </c>
      <c r="G32" s="42">
        <f t="shared" si="0"/>
        <v>38997.2232</v>
      </c>
      <c r="H32" s="46">
        <v>3</v>
      </c>
      <c r="I32" s="46">
        <v>103.18</v>
      </c>
      <c r="J32" s="42">
        <f t="shared" si="1"/>
        <v>309.54000000000002</v>
      </c>
      <c r="K32" s="42">
        <f t="shared" si="2"/>
        <v>39306.763200000001</v>
      </c>
      <c r="L32" s="42">
        <v>39306.76</v>
      </c>
      <c r="M32" s="42">
        <f t="shared" si="3"/>
        <v>204850.86119999998</v>
      </c>
      <c r="N32" s="17"/>
    </row>
    <row r="33" spans="1:17">
      <c r="A33" s="26">
        <v>30</v>
      </c>
      <c r="B33" s="27">
        <v>45930</v>
      </c>
      <c r="C33" s="17"/>
      <c r="D33" s="17"/>
      <c r="E33" s="97">
        <v>317.77</v>
      </c>
      <c r="F33" s="97">
        <v>91.26</v>
      </c>
      <c r="G33" s="42">
        <f t="shared" si="0"/>
        <v>28999.690200000001</v>
      </c>
      <c r="H33" s="46">
        <v>2.98</v>
      </c>
      <c r="I33" s="46">
        <v>103.18</v>
      </c>
      <c r="J33" s="42">
        <f t="shared" si="1"/>
        <v>307.47640000000001</v>
      </c>
      <c r="K33" s="42">
        <f t="shared" si="2"/>
        <v>29307.1666</v>
      </c>
      <c r="L33" s="42">
        <v>29307</v>
      </c>
      <c r="M33" s="42">
        <f t="shared" si="3"/>
        <v>204851.02779999998</v>
      </c>
      <c r="N33" s="17"/>
    </row>
    <row r="34" spans="1:17">
      <c r="A34" s="26">
        <v>31</v>
      </c>
      <c r="B34" s="27"/>
      <c r="C34" s="17"/>
      <c r="D34" s="17"/>
      <c r="E34" s="97">
        <v>0</v>
      </c>
      <c r="F34" s="97">
        <v>0</v>
      </c>
      <c r="G34" s="42">
        <f t="shared" si="0"/>
        <v>0</v>
      </c>
      <c r="H34" s="46">
        <v>0</v>
      </c>
      <c r="I34" s="46">
        <v>0</v>
      </c>
      <c r="J34" s="42">
        <f t="shared" si="1"/>
        <v>0</v>
      </c>
      <c r="K34" s="42">
        <f t="shared" si="2"/>
        <v>0</v>
      </c>
      <c r="L34" s="42">
        <v>0</v>
      </c>
      <c r="M34" s="42">
        <f>M33+K34-L34</f>
        <v>204851.02779999998</v>
      </c>
      <c r="N34" s="17"/>
      <c r="Q34" s="255"/>
    </row>
    <row r="35" spans="1:17">
      <c r="A35" s="26">
        <v>32</v>
      </c>
      <c r="B35" s="27"/>
      <c r="C35" s="17"/>
      <c r="D35" s="17"/>
      <c r="E35" s="97">
        <v>0</v>
      </c>
      <c r="F35" s="97">
        <v>0</v>
      </c>
      <c r="G35" s="42">
        <f t="shared" si="0"/>
        <v>0</v>
      </c>
      <c r="H35" s="46">
        <v>0</v>
      </c>
      <c r="I35" s="46">
        <v>0</v>
      </c>
      <c r="J35" s="42">
        <f t="shared" si="1"/>
        <v>0</v>
      </c>
      <c r="K35" s="42">
        <f t="shared" si="2"/>
        <v>0</v>
      </c>
      <c r="L35" s="42">
        <v>0</v>
      </c>
      <c r="M35" s="42">
        <f t="shared" si="3"/>
        <v>204851.02779999998</v>
      </c>
      <c r="N35" s="17"/>
      <c r="Q35" s="255"/>
    </row>
    <row r="36" spans="1:17">
      <c r="A36" s="26">
        <v>33</v>
      </c>
      <c r="B36" s="27"/>
      <c r="C36" s="17"/>
      <c r="D36" s="17"/>
      <c r="E36" s="97">
        <v>0</v>
      </c>
      <c r="F36" s="97">
        <v>0</v>
      </c>
      <c r="G36" s="42">
        <f t="shared" ref="G17:G36" si="4">E36*F36</f>
        <v>0</v>
      </c>
      <c r="H36" s="46">
        <v>0</v>
      </c>
      <c r="I36" s="46">
        <v>0</v>
      </c>
      <c r="J36" s="42">
        <f t="shared" ref="J17:J36" si="5">H36*I36</f>
        <v>0</v>
      </c>
      <c r="K36" s="42">
        <f t="shared" ref="K17:K36" si="6">G36+J36</f>
        <v>0</v>
      </c>
      <c r="L36" s="42">
        <v>0</v>
      </c>
      <c r="M36" s="42">
        <f t="shared" si="3"/>
        <v>204851.02779999998</v>
      </c>
      <c r="N36" s="17"/>
      <c r="O36">
        <v>204166.29</v>
      </c>
      <c r="P36">
        <v>204851.03</v>
      </c>
      <c r="Q36" s="255">
        <f>O36-P36</f>
        <v>-684.73999999999069</v>
      </c>
    </row>
    <row r="37" spans="1:17">
      <c r="A37" s="44"/>
      <c r="B37" s="44"/>
      <c r="C37" s="44"/>
      <c r="D37" s="44"/>
      <c r="E37" s="44">
        <f>SUM(E4:E36)</f>
        <v>9465.14</v>
      </c>
      <c r="F37" s="44"/>
      <c r="G37" s="44">
        <f>SUM(G4:G36)</f>
        <v>864311.87939999986</v>
      </c>
      <c r="H37" s="44">
        <f>SUM(H4:H36)</f>
        <v>184.72</v>
      </c>
      <c r="I37" s="44"/>
      <c r="J37" s="44">
        <f>SUM(J4:J36)</f>
        <v>19070.134000000002</v>
      </c>
      <c r="K37" s="44">
        <f>SUM(K4:K36)</f>
        <v>883382.01340000005</v>
      </c>
      <c r="L37" s="44">
        <f>SUM(L4:L36)</f>
        <v>1158613.76</v>
      </c>
      <c r="M37" s="44"/>
      <c r="N37" s="44"/>
    </row>
  </sheetData>
  <mergeCells count="1">
    <mergeCell ref="A1:N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756B5-DC1D-4D6F-BCA7-5B2D12E624BC}">
  <sheetPr>
    <tabColor rgb="FF002060"/>
  </sheetPr>
  <dimension ref="A1:P41"/>
  <sheetViews>
    <sheetView topLeftCell="A27" workbookViewId="0">
      <selection activeCell="L47" sqref="L47"/>
    </sheetView>
  </sheetViews>
  <sheetFormatPr defaultColWidth="12.140625" defaultRowHeight="15"/>
  <cols>
    <col min="1" max="1" width="10.42578125" customWidth="1"/>
    <col min="11" max="11" width="13.5703125" bestFit="1" customWidth="1"/>
    <col min="13" max="13" width="13.5703125" style="22" bestFit="1" customWidth="1"/>
  </cols>
  <sheetData>
    <row r="1" spans="1:16" ht="15.75">
      <c r="A1" s="389" t="s">
        <v>70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</row>
    <row r="2" spans="1:16" ht="30.75">
      <c r="A2" s="102" t="s">
        <v>90</v>
      </c>
      <c r="B2" s="103" t="s">
        <v>91</v>
      </c>
      <c r="C2" s="103" t="s">
        <v>92</v>
      </c>
      <c r="D2" s="103" t="s">
        <v>93</v>
      </c>
      <c r="E2" s="103" t="s">
        <v>94</v>
      </c>
      <c r="F2" s="103" t="s">
        <v>95</v>
      </c>
      <c r="G2" s="189" t="s">
        <v>96</v>
      </c>
      <c r="H2" s="103" t="s">
        <v>97</v>
      </c>
      <c r="I2" s="103" t="s">
        <v>95</v>
      </c>
      <c r="J2" s="192" t="s">
        <v>96</v>
      </c>
      <c r="K2" s="104" t="s">
        <v>98</v>
      </c>
      <c r="L2" s="143" t="s">
        <v>99</v>
      </c>
      <c r="M2" s="328" t="s">
        <v>106</v>
      </c>
      <c r="N2" s="105" t="s">
        <v>101</v>
      </c>
    </row>
    <row r="3" spans="1:16">
      <c r="A3" s="160"/>
      <c r="B3" s="17"/>
      <c r="C3" s="17"/>
      <c r="D3" s="231" t="s">
        <v>102</v>
      </c>
      <c r="E3" s="17"/>
      <c r="F3" s="17"/>
      <c r="G3" s="190"/>
      <c r="H3" s="17"/>
      <c r="I3" s="17"/>
      <c r="J3" s="190"/>
      <c r="K3" s="349">
        <v>743234.14550000057</v>
      </c>
      <c r="L3" s="17"/>
      <c r="M3" s="42">
        <v>743234.14550000057</v>
      </c>
      <c r="N3" s="17">
        <v>0</v>
      </c>
      <c r="O3">
        <v>0</v>
      </c>
      <c r="P3" s="22">
        <v>0</v>
      </c>
    </row>
    <row r="4" spans="1:16">
      <c r="A4" s="204">
        <v>1</v>
      </c>
      <c r="B4" s="230">
        <v>45901</v>
      </c>
      <c r="C4" s="141"/>
      <c r="D4" s="141"/>
      <c r="E4" s="259">
        <v>117.54</v>
      </c>
      <c r="F4" s="259">
        <v>91.48</v>
      </c>
      <c r="G4" s="267">
        <f>E4*F4</f>
        <v>10752.559200000002</v>
      </c>
      <c r="H4" s="259">
        <v>17</v>
      </c>
      <c r="I4" s="259">
        <v>103.41</v>
      </c>
      <c r="J4" s="259">
        <f>H4*I4</f>
        <v>1757.97</v>
      </c>
      <c r="K4" s="267">
        <f>G4+J4</f>
        <v>12510.529200000001</v>
      </c>
      <c r="L4" s="141"/>
      <c r="M4" s="329">
        <f>M3+K4-L4</f>
        <v>755744.67470000056</v>
      </c>
      <c r="N4" s="141"/>
      <c r="O4" s="22"/>
    </row>
    <row r="5" spans="1:16">
      <c r="A5" s="48">
        <v>2</v>
      </c>
      <c r="B5" s="230">
        <v>45902</v>
      </c>
      <c r="C5" s="17"/>
      <c r="D5" s="17"/>
      <c r="E5" s="259">
        <v>324.72000000000003</v>
      </c>
      <c r="F5" s="259">
        <v>91.48</v>
      </c>
      <c r="G5" s="267">
        <f t="shared" ref="G5:G37" si="0">E5*F5</f>
        <v>29705.385600000005</v>
      </c>
      <c r="H5" s="259">
        <v>12</v>
      </c>
      <c r="I5" s="259">
        <v>103.41</v>
      </c>
      <c r="J5" s="259">
        <f t="shared" ref="J5:J37" si="1">H5*I5</f>
        <v>1240.92</v>
      </c>
      <c r="K5" s="267">
        <f t="shared" ref="K5:K37" si="2">G5+J5</f>
        <v>30946.305600000007</v>
      </c>
      <c r="L5" s="141"/>
      <c r="M5" s="329">
        <f t="shared" ref="M5:M39" si="3">M4+K5-L5</f>
        <v>786690.98030000052</v>
      </c>
      <c r="N5" s="17"/>
    </row>
    <row r="6" spans="1:16">
      <c r="A6" s="48">
        <v>3</v>
      </c>
      <c r="B6" s="230">
        <v>45903</v>
      </c>
      <c r="C6" s="17"/>
      <c r="D6" s="17"/>
      <c r="E6" s="259">
        <v>743.43</v>
      </c>
      <c r="F6" s="259">
        <v>91.48</v>
      </c>
      <c r="G6" s="267">
        <f t="shared" si="0"/>
        <v>68008.9764</v>
      </c>
      <c r="H6" s="259">
        <v>42</v>
      </c>
      <c r="I6" s="259">
        <v>103.41</v>
      </c>
      <c r="J6" s="259">
        <f t="shared" si="1"/>
        <v>4343.22</v>
      </c>
      <c r="K6" s="267">
        <f t="shared" si="2"/>
        <v>72352.196400000001</v>
      </c>
      <c r="L6" s="141"/>
      <c r="M6" s="329">
        <f t="shared" si="3"/>
        <v>859043.17670000053</v>
      </c>
      <c r="N6" s="17"/>
    </row>
    <row r="7" spans="1:16">
      <c r="A7" s="204">
        <v>4</v>
      </c>
      <c r="B7" s="230">
        <v>45904</v>
      </c>
      <c r="C7" s="17"/>
      <c r="D7" s="17"/>
      <c r="E7" s="259">
        <v>294.81</v>
      </c>
      <c r="F7" s="259">
        <v>91.48</v>
      </c>
      <c r="G7" s="267">
        <f t="shared" si="0"/>
        <v>26969.218800000002</v>
      </c>
      <c r="H7" s="259">
        <v>5</v>
      </c>
      <c r="I7" s="259">
        <v>103.41</v>
      </c>
      <c r="J7" s="259">
        <f t="shared" si="1"/>
        <v>517.04999999999995</v>
      </c>
      <c r="K7" s="267">
        <f t="shared" si="2"/>
        <v>27486.268800000002</v>
      </c>
      <c r="L7" s="141"/>
      <c r="M7" s="329">
        <f t="shared" si="3"/>
        <v>886529.4455000005</v>
      </c>
      <c r="N7" s="17"/>
    </row>
    <row r="8" spans="1:16">
      <c r="A8" s="48">
        <v>5</v>
      </c>
      <c r="B8" s="230">
        <v>45905</v>
      </c>
      <c r="C8" s="17"/>
      <c r="D8" s="17"/>
      <c r="E8" s="259">
        <v>191.01</v>
      </c>
      <c r="F8" s="259">
        <v>91.48</v>
      </c>
      <c r="G8" s="267">
        <f t="shared" si="0"/>
        <v>17473.594799999999</v>
      </c>
      <c r="H8" s="259">
        <v>6</v>
      </c>
      <c r="I8" s="259">
        <v>103.41</v>
      </c>
      <c r="J8" s="259">
        <f t="shared" si="1"/>
        <v>620.46</v>
      </c>
      <c r="K8" s="267">
        <f t="shared" si="2"/>
        <v>18094.054799999998</v>
      </c>
      <c r="L8" s="141"/>
      <c r="M8" s="329">
        <f t="shared" si="3"/>
        <v>904623.50030000054</v>
      </c>
      <c r="N8" s="17"/>
    </row>
    <row r="9" spans="1:16">
      <c r="A9" s="48">
        <v>6</v>
      </c>
      <c r="B9" s="230">
        <v>45906</v>
      </c>
      <c r="C9" s="17"/>
      <c r="D9" s="17"/>
      <c r="E9" s="259">
        <v>363.77</v>
      </c>
      <c r="F9" s="259">
        <v>91.48</v>
      </c>
      <c r="G9" s="267">
        <f t="shared" si="0"/>
        <v>33277.679600000003</v>
      </c>
      <c r="H9" s="259">
        <v>25</v>
      </c>
      <c r="I9" s="259">
        <v>103.41</v>
      </c>
      <c r="J9" s="259">
        <f t="shared" si="1"/>
        <v>2585.25</v>
      </c>
      <c r="K9" s="267">
        <f t="shared" si="2"/>
        <v>35862.929600000003</v>
      </c>
      <c r="L9" s="141"/>
      <c r="M9" s="329">
        <f t="shared" si="3"/>
        <v>940486.42990000057</v>
      </c>
      <c r="N9" s="17"/>
    </row>
    <row r="10" spans="1:16">
      <c r="A10" s="204">
        <v>7</v>
      </c>
      <c r="B10" s="230">
        <v>45907</v>
      </c>
      <c r="C10" s="17"/>
      <c r="D10" s="17"/>
      <c r="E10" s="259">
        <v>40.68</v>
      </c>
      <c r="F10" s="259">
        <v>91.48</v>
      </c>
      <c r="G10" s="267">
        <f t="shared" si="0"/>
        <v>3721.4064000000003</v>
      </c>
      <c r="H10" s="259">
        <v>6</v>
      </c>
      <c r="I10" s="259">
        <v>103.41</v>
      </c>
      <c r="J10" s="259">
        <f t="shared" si="1"/>
        <v>620.46</v>
      </c>
      <c r="K10" s="267">
        <f>G10+J10</f>
        <v>4341.8664000000008</v>
      </c>
      <c r="L10" s="141"/>
      <c r="M10" s="329">
        <f t="shared" si="3"/>
        <v>944828.29630000063</v>
      </c>
      <c r="N10" s="17"/>
    </row>
    <row r="11" spans="1:16">
      <c r="A11" s="48">
        <v>8</v>
      </c>
      <c r="B11" s="230">
        <v>45908</v>
      </c>
      <c r="C11" s="17"/>
      <c r="D11" s="17"/>
      <c r="E11" s="259">
        <v>120.67</v>
      </c>
      <c r="F11" s="259">
        <v>91.48</v>
      </c>
      <c r="G11" s="267">
        <f t="shared" si="0"/>
        <v>11038.891600000001</v>
      </c>
      <c r="H11" s="259">
        <v>10</v>
      </c>
      <c r="I11" s="259">
        <v>103.41</v>
      </c>
      <c r="J11" s="259">
        <f t="shared" si="1"/>
        <v>1034.0999999999999</v>
      </c>
      <c r="K11" s="267">
        <f t="shared" si="2"/>
        <v>12072.991600000001</v>
      </c>
      <c r="L11" s="141"/>
      <c r="M11" s="329">
        <f>M10+K11-L11</f>
        <v>956901.28790000058</v>
      </c>
      <c r="N11" s="17"/>
    </row>
    <row r="12" spans="1:16">
      <c r="A12" s="48">
        <v>9</v>
      </c>
      <c r="B12" s="230">
        <v>45909</v>
      </c>
      <c r="C12" s="17"/>
      <c r="D12" s="17"/>
      <c r="E12" s="259">
        <v>517.69000000000005</v>
      </c>
      <c r="F12" s="259">
        <v>91.48</v>
      </c>
      <c r="G12" s="267">
        <f t="shared" si="0"/>
        <v>47358.281200000005</v>
      </c>
      <c r="H12" s="259">
        <v>33</v>
      </c>
      <c r="I12" s="259">
        <v>103.41</v>
      </c>
      <c r="J12" s="259">
        <f t="shared" si="1"/>
        <v>3412.5299999999997</v>
      </c>
      <c r="K12" s="267">
        <f t="shared" si="2"/>
        <v>50770.811200000004</v>
      </c>
      <c r="L12" s="141">
        <v>600000</v>
      </c>
      <c r="M12" s="329">
        <f t="shared" si="3"/>
        <v>407672.09910000057</v>
      </c>
      <c r="N12" s="17"/>
    </row>
    <row r="13" spans="1:16">
      <c r="A13" s="204">
        <v>10</v>
      </c>
      <c r="B13" s="230">
        <v>45910</v>
      </c>
      <c r="C13" s="17"/>
      <c r="D13" s="17"/>
      <c r="E13" s="259">
        <v>451.28</v>
      </c>
      <c r="F13" s="259">
        <v>91.48</v>
      </c>
      <c r="G13" s="267">
        <f t="shared" si="0"/>
        <v>41283.094400000002</v>
      </c>
      <c r="H13" s="259">
        <v>12</v>
      </c>
      <c r="I13" s="259">
        <v>103.41</v>
      </c>
      <c r="J13" s="259">
        <f t="shared" si="1"/>
        <v>1240.92</v>
      </c>
      <c r="K13" s="267">
        <f t="shared" si="2"/>
        <v>42524.0144</v>
      </c>
      <c r="L13" s="141"/>
      <c r="M13" s="329">
        <f t="shared" si="3"/>
        <v>450196.11350000056</v>
      </c>
      <c r="N13" s="17"/>
    </row>
    <row r="14" spans="1:16">
      <c r="A14" s="48">
        <v>11</v>
      </c>
      <c r="B14" s="230">
        <v>45911</v>
      </c>
      <c r="C14" s="17"/>
      <c r="D14" s="17"/>
      <c r="E14" s="259">
        <v>146.19</v>
      </c>
      <c r="F14" s="259">
        <v>91.48</v>
      </c>
      <c r="G14" s="267">
        <f t="shared" si="0"/>
        <v>13373.4612</v>
      </c>
      <c r="H14" s="259">
        <v>0</v>
      </c>
      <c r="I14" s="259">
        <v>103.41</v>
      </c>
      <c r="J14" s="259">
        <f t="shared" si="1"/>
        <v>0</v>
      </c>
      <c r="K14" s="267">
        <f t="shared" si="2"/>
        <v>13373.4612</v>
      </c>
      <c r="L14" s="141"/>
      <c r="M14" s="329">
        <f t="shared" si="3"/>
        <v>463569.57470000058</v>
      </c>
      <c r="N14" s="17"/>
    </row>
    <row r="15" spans="1:16">
      <c r="A15" s="48">
        <v>12</v>
      </c>
      <c r="B15" s="230">
        <v>45912</v>
      </c>
      <c r="C15" s="17"/>
      <c r="D15" s="17"/>
      <c r="E15" s="259">
        <v>492.55</v>
      </c>
      <c r="F15" s="259">
        <v>91.48</v>
      </c>
      <c r="G15" s="267">
        <f t="shared" si="0"/>
        <v>45058.474000000002</v>
      </c>
      <c r="H15" s="259">
        <v>11</v>
      </c>
      <c r="I15" s="259">
        <v>103.41</v>
      </c>
      <c r="J15" s="259">
        <f t="shared" si="1"/>
        <v>1137.51</v>
      </c>
      <c r="K15" s="267">
        <f t="shared" si="2"/>
        <v>46195.984000000004</v>
      </c>
      <c r="L15" s="141"/>
      <c r="M15" s="329">
        <f t="shared" si="3"/>
        <v>509765.55870000058</v>
      </c>
      <c r="N15" s="17"/>
    </row>
    <row r="16" spans="1:16">
      <c r="A16" s="204">
        <v>13</v>
      </c>
      <c r="B16" s="230">
        <v>45913</v>
      </c>
      <c r="C16" s="17"/>
      <c r="D16" s="17"/>
      <c r="E16" s="259">
        <v>158.80000000000001</v>
      </c>
      <c r="F16" s="259">
        <v>91.48</v>
      </c>
      <c r="G16" s="267">
        <f t="shared" si="0"/>
        <v>14527.024000000001</v>
      </c>
      <c r="H16" s="259">
        <v>27</v>
      </c>
      <c r="I16" s="259">
        <v>103.41</v>
      </c>
      <c r="J16" s="259">
        <f t="shared" si="1"/>
        <v>2792.0699999999997</v>
      </c>
      <c r="K16" s="267">
        <f t="shared" si="2"/>
        <v>17319.094000000001</v>
      </c>
      <c r="L16" s="141"/>
      <c r="M16" s="329">
        <f t="shared" si="3"/>
        <v>527084.65270000056</v>
      </c>
      <c r="N16" s="17"/>
    </row>
    <row r="17" spans="1:16">
      <c r="A17" s="48">
        <v>14</v>
      </c>
      <c r="B17" s="230">
        <v>45914</v>
      </c>
      <c r="C17" s="17"/>
      <c r="D17" s="17"/>
      <c r="E17" s="259">
        <v>360</v>
      </c>
      <c r="F17" s="259">
        <v>91.48</v>
      </c>
      <c r="G17" s="267">
        <f t="shared" si="0"/>
        <v>32932.800000000003</v>
      </c>
      <c r="H17" s="259">
        <v>0</v>
      </c>
      <c r="I17" s="259">
        <v>0</v>
      </c>
      <c r="J17" s="259">
        <f t="shared" si="1"/>
        <v>0</v>
      </c>
      <c r="K17" s="267">
        <f t="shared" si="2"/>
        <v>32932.800000000003</v>
      </c>
      <c r="L17" s="141"/>
      <c r="M17" s="329">
        <f t="shared" si="3"/>
        <v>560017.45270000061</v>
      </c>
      <c r="N17" s="17"/>
      <c r="P17" s="282"/>
    </row>
    <row r="18" spans="1:16">
      <c r="A18" s="48">
        <v>15</v>
      </c>
      <c r="B18" s="230">
        <v>45915</v>
      </c>
      <c r="C18" s="17"/>
      <c r="D18" s="17"/>
      <c r="E18" s="259">
        <v>38.119999999999997</v>
      </c>
      <c r="F18" s="259">
        <v>91.48</v>
      </c>
      <c r="G18" s="267">
        <f t="shared" si="0"/>
        <v>3487.2175999999999</v>
      </c>
      <c r="H18" s="259">
        <v>5</v>
      </c>
      <c r="I18" s="259">
        <v>103.41</v>
      </c>
      <c r="J18" s="259">
        <f t="shared" si="1"/>
        <v>517.04999999999995</v>
      </c>
      <c r="K18" s="267">
        <f t="shared" si="2"/>
        <v>4004.2676000000001</v>
      </c>
      <c r="L18" s="141"/>
      <c r="M18" s="329">
        <f t="shared" si="3"/>
        <v>564021.72030000063</v>
      </c>
      <c r="N18" s="17"/>
    </row>
    <row r="19" spans="1:16">
      <c r="A19" s="204">
        <v>16</v>
      </c>
      <c r="B19" s="230">
        <v>45916</v>
      </c>
      <c r="C19" s="17"/>
      <c r="D19" s="17"/>
      <c r="E19" s="259">
        <v>532.62</v>
      </c>
      <c r="F19" s="259">
        <v>91.48</v>
      </c>
      <c r="G19" s="267">
        <f t="shared" si="0"/>
        <v>48724.077600000004</v>
      </c>
      <c r="H19" s="259">
        <v>0</v>
      </c>
      <c r="I19" s="259">
        <v>103.41</v>
      </c>
      <c r="J19" s="259">
        <f t="shared" si="1"/>
        <v>0</v>
      </c>
      <c r="K19" s="267">
        <f t="shared" si="2"/>
        <v>48724.077600000004</v>
      </c>
      <c r="L19" s="141"/>
      <c r="M19" s="329">
        <f t="shared" si="3"/>
        <v>612745.79790000059</v>
      </c>
      <c r="N19" s="17"/>
      <c r="P19" s="22">
        <f>M19-O19</f>
        <v>612745.79790000059</v>
      </c>
    </row>
    <row r="20" spans="1:16">
      <c r="A20" s="48">
        <v>17</v>
      </c>
      <c r="B20" s="230">
        <v>45917</v>
      </c>
      <c r="C20" s="17"/>
      <c r="D20" s="17"/>
      <c r="E20" s="259">
        <v>74.12</v>
      </c>
      <c r="F20" s="259">
        <v>91.48</v>
      </c>
      <c r="G20" s="267">
        <f t="shared" si="0"/>
        <v>6780.4976000000006</v>
      </c>
      <c r="H20" s="259">
        <v>28</v>
      </c>
      <c r="I20" s="259">
        <v>103.41</v>
      </c>
      <c r="J20" s="259">
        <f t="shared" si="1"/>
        <v>2895.48</v>
      </c>
      <c r="K20" s="267">
        <f t="shared" si="2"/>
        <v>9675.9776000000002</v>
      </c>
      <c r="L20" s="141"/>
      <c r="M20" s="329">
        <f t="shared" si="3"/>
        <v>622421.77550000057</v>
      </c>
      <c r="N20" s="17"/>
    </row>
    <row r="21" spans="1:16">
      <c r="A21" s="48">
        <v>18</v>
      </c>
      <c r="B21" s="230">
        <v>45918</v>
      </c>
      <c r="C21" s="17"/>
      <c r="D21" s="17"/>
      <c r="E21" s="259">
        <v>114.78</v>
      </c>
      <c r="F21" s="259">
        <v>91.48</v>
      </c>
      <c r="G21" s="267">
        <f t="shared" si="0"/>
        <v>10500.074400000001</v>
      </c>
      <c r="H21" s="259">
        <v>11</v>
      </c>
      <c r="I21" s="259">
        <v>103.41</v>
      </c>
      <c r="J21" s="259">
        <f t="shared" si="1"/>
        <v>1137.51</v>
      </c>
      <c r="K21" s="267">
        <f t="shared" si="2"/>
        <v>11637.584400000002</v>
      </c>
      <c r="L21" s="141"/>
      <c r="M21" s="329">
        <f t="shared" si="3"/>
        <v>634059.35990000062</v>
      </c>
      <c r="N21" s="17"/>
    </row>
    <row r="22" spans="1:16">
      <c r="A22" s="204">
        <v>19</v>
      </c>
      <c r="B22" s="230">
        <v>45919</v>
      </c>
      <c r="C22" s="17"/>
      <c r="D22" s="17"/>
      <c r="E22" s="259">
        <v>292.17</v>
      </c>
      <c r="F22" s="259">
        <v>91.48</v>
      </c>
      <c r="G22" s="267">
        <f t="shared" si="0"/>
        <v>26727.711600000002</v>
      </c>
      <c r="H22" s="259">
        <v>0</v>
      </c>
      <c r="I22" s="259">
        <v>103.41</v>
      </c>
      <c r="J22" s="259">
        <f t="shared" si="1"/>
        <v>0</v>
      </c>
      <c r="K22" s="267">
        <f t="shared" si="2"/>
        <v>26727.711600000002</v>
      </c>
      <c r="L22" s="141"/>
      <c r="M22" s="329">
        <f t="shared" si="3"/>
        <v>660787.07150000066</v>
      </c>
      <c r="N22" s="17"/>
    </row>
    <row r="23" spans="1:16">
      <c r="A23" s="48">
        <v>20</v>
      </c>
      <c r="B23" s="230">
        <v>45920</v>
      </c>
      <c r="C23" s="17"/>
      <c r="D23" s="17"/>
      <c r="E23" s="259">
        <v>336.24</v>
      </c>
      <c r="F23" s="259">
        <v>91.48</v>
      </c>
      <c r="G23" s="267">
        <f t="shared" si="0"/>
        <v>30759.235200000003</v>
      </c>
      <c r="H23" s="259">
        <v>22</v>
      </c>
      <c r="I23" s="259">
        <v>103.41</v>
      </c>
      <c r="J23" s="259">
        <f t="shared" si="1"/>
        <v>2275.02</v>
      </c>
      <c r="K23" s="267">
        <f t="shared" si="2"/>
        <v>33034.2552</v>
      </c>
      <c r="L23" s="141"/>
      <c r="M23" s="329">
        <f t="shared" si="3"/>
        <v>693821.32670000067</v>
      </c>
      <c r="N23" s="17"/>
    </row>
    <row r="24" spans="1:16">
      <c r="A24" s="48">
        <v>21</v>
      </c>
      <c r="B24" s="230">
        <v>45921</v>
      </c>
      <c r="C24" s="17"/>
      <c r="D24" s="17"/>
      <c r="E24" s="259">
        <v>547.55999999999995</v>
      </c>
      <c r="F24" s="259">
        <v>91.48</v>
      </c>
      <c r="G24" s="267">
        <f t="shared" si="0"/>
        <v>50090.788799999995</v>
      </c>
      <c r="H24" s="259">
        <v>0</v>
      </c>
      <c r="I24" s="259">
        <v>0</v>
      </c>
      <c r="J24" s="259">
        <f t="shared" si="1"/>
        <v>0</v>
      </c>
      <c r="K24" s="267">
        <f t="shared" si="2"/>
        <v>50090.788799999995</v>
      </c>
      <c r="L24" s="141"/>
      <c r="M24" s="329">
        <f t="shared" si="3"/>
        <v>743912.11550000065</v>
      </c>
      <c r="N24" s="17"/>
    </row>
    <row r="25" spans="1:16">
      <c r="A25" s="204">
        <v>22</v>
      </c>
      <c r="B25" s="230">
        <v>45922</v>
      </c>
      <c r="C25" s="17"/>
      <c r="D25" s="17"/>
      <c r="E25" s="259">
        <v>183.34</v>
      </c>
      <c r="F25" s="259">
        <v>91.48</v>
      </c>
      <c r="G25" s="267">
        <f t="shared" si="0"/>
        <v>16771.943200000002</v>
      </c>
      <c r="H25" s="259">
        <v>10</v>
      </c>
      <c r="I25" s="259">
        <v>103.41</v>
      </c>
      <c r="J25" s="259">
        <f t="shared" si="1"/>
        <v>1034.0999999999999</v>
      </c>
      <c r="K25" s="267">
        <f t="shared" si="2"/>
        <v>17806.0432</v>
      </c>
      <c r="L25" s="141"/>
      <c r="M25" s="329">
        <f t="shared" si="3"/>
        <v>761718.15870000061</v>
      </c>
      <c r="N25" s="17"/>
    </row>
    <row r="26" spans="1:16">
      <c r="A26" s="48">
        <v>23</v>
      </c>
      <c r="B26" s="230">
        <v>45923</v>
      </c>
      <c r="C26" s="17"/>
      <c r="D26" s="17"/>
      <c r="E26" s="259">
        <v>406.71</v>
      </c>
      <c r="F26" s="259">
        <v>91.48</v>
      </c>
      <c r="G26" s="267">
        <f t="shared" si="0"/>
        <v>37205.830800000003</v>
      </c>
      <c r="H26" s="259">
        <v>11</v>
      </c>
      <c r="I26" s="259">
        <v>103.41</v>
      </c>
      <c r="J26" s="259">
        <f t="shared" si="1"/>
        <v>1137.51</v>
      </c>
      <c r="K26" s="267">
        <f t="shared" si="2"/>
        <v>38343.340800000005</v>
      </c>
      <c r="L26" s="141"/>
      <c r="M26" s="329">
        <f t="shared" si="3"/>
        <v>800061.49950000062</v>
      </c>
      <c r="N26" s="17"/>
    </row>
    <row r="27" spans="1:16">
      <c r="A27" s="48">
        <v>24</v>
      </c>
      <c r="B27" s="230">
        <v>45924</v>
      </c>
      <c r="C27" s="17"/>
      <c r="D27" s="17"/>
      <c r="E27" s="259">
        <v>441</v>
      </c>
      <c r="F27" s="259">
        <v>91.48</v>
      </c>
      <c r="G27" s="267">
        <f t="shared" si="0"/>
        <v>40342.68</v>
      </c>
      <c r="H27" s="259">
        <v>5</v>
      </c>
      <c r="I27" s="259">
        <v>103.41</v>
      </c>
      <c r="J27" s="259">
        <f t="shared" si="1"/>
        <v>517.04999999999995</v>
      </c>
      <c r="K27" s="267">
        <f t="shared" si="2"/>
        <v>40859.730000000003</v>
      </c>
      <c r="L27" s="141"/>
      <c r="M27" s="329">
        <f t="shared" si="3"/>
        <v>840921.2295000006</v>
      </c>
      <c r="N27" s="17"/>
    </row>
    <row r="28" spans="1:16">
      <c r="A28" s="204">
        <v>25</v>
      </c>
      <c r="B28" s="230">
        <v>45925</v>
      </c>
      <c r="C28" s="17"/>
      <c r="D28" s="17"/>
      <c r="E28" s="259">
        <v>92.44</v>
      </c>
      <c r="F28" s="259">
        <v>91.48</v>
      </c>
      <c r="G28" s="267">
        <f t="shared" si="0"/>
        <v>8456.4112000000005</v>
      </c>
      <c r="H28" s="259">
        <v>17</v>
      </c>
      <c r="I28" s="259">
        <v>103.41</v>
      </c>
      <c r="J28" s="259">
        <f t="shared" si="1"/>
        <v>1757.97</v>
      </c>
      <c r="K28" s="267">
        <f t="shared" si="2"/>
        <v>10214.3812</v>
      </c>
      <c r="L28" s="141"/>
      <c r="M28" s="329">
        <f t="shared" si="3"/>
        <v>851135.61070000054</v>
      </c>
      <c r="N28" s="17"/>
    </row>
    <row r="29" spans="1:16">
      <c r="A29" s="48">
        <v>26</v>
      </c>
      <c r="B29" s="230">
        <v>45926</v>
      </c>
      <c r="C29" s="17"/>
      <c r="D29" s="17"/>
      <c r="E29" s="259">
        <v>924.92</v>
      </c>
      <c r="F29" s="259">
        <v>91.48</v>
      </c>
      <c r="G29" s="267">
        <f t="shared" si="0"/>
        <v>84611.681599999996</v>
      </c>
      <c r="H29" s="259">
        <v>12</v>
      </c>
      <c r="I29" s="259">
        <v>103.41</v>
      </c>
      <c r="J29" s="259">
        <f t="shared" si="1"/>
        <v>1240.92</v>
      </c>
      <c r="K29" s="267">
        <f t="shared" si="2"/>
        <v>85852.601599999995</v>
      </c>
      <c r="L29" s="141"/>
      <c r="M29" s="329">
        <f t="shared" si="3"/>
        <v>936988.21230000048</v>
      </c>
      <c r="N29" s="17"/>
    </row>
    <row r="30" spans="1:16">
      <c r="A30" s="48">
        <v>27</v>
      </c>
      <c r="B30" s="230">
        <v>45927</v>
      </c>
      <c r="C30" s="17"/>
      <c r="D30" s="17"/>
      <c r="E30" s="259">
        <v>120</v>
      </c>
      <c r="F30" s="259">
        <v>91.48</v>
      </c>
      <c r="G30" s="267">
        <f t="shared" si="0"/>
        <v>10977.6</v>
      </c>
      <c r="H30" s="259">
        <v>0</v>
      </c>
      <c r="I30" s="259">
        <v>0</v>
      </c>
      <c r="J30" s="259">
        <f t="shared" si="1"/>
        <v>0</v>
      </c>
      <c r="K30" s="267">
        <f t="shared" si="2"/>
        <v>10977.6</v>
      </c>
      <c r="L30" s="141"/>
      <c r="M30" s="329">
        <f t="shared" si="3"/>
        <v>947965.81230000046</v>
      </c>
      <c r="N30" s="17"/>
    </row>
    <row r="31" spans="1:16">
      <c r="A31" s="204">
        <v>28</v>
      </c>
      <c r="B31" s="230">
        <v>45928</v>
      </c>
      <c r="C31" s="98"/>
      <c r="D31" s="98"/>
      <c r="E31" s="259">
        <v>0</v>
      </c>
      <c r="F31" s="259">
        <v>91.48</v>
      </c>
      <c r="G31" s="267">
        <f t="shared" si="0"/>
        <v>0</v>
      </c>
      <c r="H31" s="259">
        <v>5</v>
      </c>
      <c r="I31" s="259">
        <v>103.41</v>
      </c>
      <c r="J31" s="259">
        <f t="shared" si="1"/>
        <v>517.04999999999995</v>
      </c>
      <c r="K31" s="267">
        <f t="shared" si="2"/>
        <v>517.04999999999995</v>
      </c>
      <c r="L31" s="141"/>
      <c r="M31" s="329">
        <f t="shared" si="3"/>
        <v>948482.8623000005</v>
      </c>
      <c r="N31" s="98"/>
    </row>
    <row r="32" spans="1:16">
      <c r="A32" s="48">
        <v>29</v>
      </c>
      <c r="B32" s="230">
        <v>45929</v>
      </c>
      <c r="C32" s="17"/>
      <c r="D32" s="17"/>
      <c r="E32" s="259">
        <v>369.28</v>
      </c>
      <c r="F32" s="259">
        <v>91.48</v>
      </c>
      <c r="G32" s="267">
        <f t="shared" si="0"/>
        <v>33781.734400000001</v>
      </c>
      <c r="H32" s="259">
        <v>10</v>
      </c>
      <c r="I32" s="259">
        <v>103.41</v>
      </c>
      <c r="J32" s="259">
        <f t="shared" si="1"/>
        <v>1034.0999999999999</v>
      </c>
      <c r="K32" s="267">
        <f t="shared" si="2"/>
        <v>34815.8344</v>
      </c>
      <c r="L32" s="141"/>
      <c r="M32" s="329">
        <f t="shared" si="3"/>
        <v>983298.69670000055</v>
      </c>
      <c r="N32" s="17"/>
    </row>
    <row r="33" spans="1:16">
      <c r="A33" s="48">
        <v>30</v>
      </c>
      <c r="B33" s="230">
        <v>45930</v>
      </c>
      <c r="C33" s="17"/>
      <c r="D33" s="17"/>
      <c r="E33" s="259">
        <v>563.24</v>
      </c>
      <c r="F33" s="259">
        <v>91.48</v>
      </c>
      <c r="G33" s="267">
        <f t="shared" si="0"/>
        <v>51525.195200000002</v>
      </c>
      <c r="H33" s="259">
        <v>20</v>
      </c>
      <c r="I33" s="259">
        <v>103.41</v>
      </c>
      <c r="J33" s="259">
        <f t="shared" si="1"/>
        <v>2068.1999999999998</v>
      </c>
      <c r="K33" s="267">
        <f t="shared" si="2"/>
        <v>53593.395199999999</v>
      </c>
      <c r="L33" s="141"/>
      <c r="M33" s="329">
        <f t="shared" si="3"/>
        <v>1036892.0919000006</v>
      </c>
      <c r="N33" s="17"/>
    </row>
    <row r="34" spans="1:16">
      <c r="A34" s="204">
        <v>31</v>
      </c>
      <c r="B34" s="230">
        <v>45931</v>
      </c>
      <c r="C34" s="17"/>
      <c r="D34" s="17"/>
      <c r="E34" s="259">
        <v>0</v>
      </c>
      <c r="F34" s="259">
        <v>0</v>
      </c>
      <c r="G34" s="267">
        <f t="shared" si="0"/>
        <v>0</v>
      </c>
      <c r="H34" s="259">
        <v>0</v>
      </c>
      <c r="I34" s="259">
        <v>0</v>
      </c>
      <c r="J34" s="259">
        <f t="shared" si="1"/>
        <v>0</v>
      </c>
      <c r="K34" s="267">
        <f t="shared" si="2"/>
        <v>0</v>
      </c>
      <c r="L34" s="141"/>
      <c r="M34" s="329">
        <f t="shared" si="3"/>
        <v>1036892.0919000006</v>
      </c>
      <c r="N34" s="17"/>
    </row>
    <row r="35" spans="1:16">
      <c r="A35" s="48">
        <v>32</v>
      </c>
      <c r="B35" s="230"/>
      <c r="C35" s="17"/>
      <c r="D35" s="17"/>
      <c r="E35" s="259">
        <v>0</v>
      </c>
      <c r="F35" s="259">
        <v>0</v>
      </c>
      <c r="G35" s="267">
        <f t="shared" si="0"/>
        <v>0</v>
      </c>
      <c r="H35" s="259">
        <v>0</v>
      </c>
      <c r="I35" s="259">
        <v>0</v>
      </c>
      <c r="J35" s="259">
        <f t="shared" si="1"/>
        <v>0</v>
      </c>
      <c r="K35" s="267">
        <f t="shared" si="2"/>
        <v>0</v>
      </c>
      <c r="L35" s="141"/>
      <c r="M35" s="329">
        <f t="shared" si="3"/>
        <v>1036892.0919000006</v>
      </c>
      <c r="N35" s="17"/>
    </row>
    <row r="36" spans="1:16">
      <c r="A36" s="48">
        <v>33</v>
      </c>
      <c r="B36" s="230"/>
      <c r="C36" s="17"/>
      <c r="D36" s="17"/>
      <c r="E36" s="259">
        <v>0</v>
      </c>
      <c r="F36" s="259">
        <v>0</v>
      </c>
      <c r="G36" s="267">
        <f t="shared" si="0"/>
        <v>0</v>
      </c>
      <c r="H36" s="259">
        <v>0</v>
      </c>
      <c r="I36" s="259">
        <v>0</v>
      </c>
      <c r="J36" s="259">
        <f t="shared" si="1"/>
        <v>0</v>
      </c>
      <c r="K36" s="267">
        <f t="shared" si="2"/>
        <v>0</v>
      </c>
      <c r="L36" s="141"/>
      <c r="M36" s="329">
        <f t="shared" si="3"/>
        <v>1036892.0919000006</v>
      </c>
      <c r="N36" s="17"/>
    </row>
    <row r="37" spans="1:16">
      <c r="A37" s="204">
        <v>34</v>
      </c>
      <c r="B37" s="230"/>
      <c r="C37" s="17"/>
      <c r="D37" s="17"/>
      <c r="E37" s="259">
        <v>0</v>
      </c>
      <c r="F37" s="259">
        <v>0</v>
      </c>
      <c r="G37" s="267">
        <f t="shared" si="0"/>
        <v>0</v>
      </c>
      <c r="H37" s="259">
        <v>0</v>
      </c>
      <c r="I37" s="259">
        <v>0</v>
      </c>
      <c r="J37" s="259">
        <f t="shared" si="1"/>
        <v>0</v>
      </c>
      <c r="K37" s="267">
        <f t="shared" si="2"/>
        <v>0</v>
      </c>
      <c r="L37" s="141"/>
      <c r="M37" s="329">
        <f t="shared" si="3"/>
        <v>1036892.0919000006</v>
      </c>
      <c r="N37" s="98"/>
    </row>
    <row r="38" spans="1:16">
      <c r="A38" s="48">
        <v>35</v>
      </c>
      <c r="B38" s="230"/>
      <c r="C38" s="17"/>
      <c r="D38" s="17"/>
      <c r="E38" s="259">
        <v>0</v>
      </c>
      <c r="F38" s="259">
        <v>0</v>
      </c>
      <c r="G38" s="267">
        <f t="shared" ref="G5:G38" si="4">E38*F38</f>
        <v>0</v>
      </c>
      <c r="H38" s="259">
        <v>0</v>
      </c>
      <c r="I38" s="259">
        <v>0</v>
      </c>
      <c r="J38" s="259">
        <f t="shared" ref="J5:J38" si="5">H38*I38</f>
        <v>0</v>
      </c>
      <c r="K38" s="267">
        <f t="shared" ref="K5:K38" si="6">G38+J38</f>
        <v>0</v>
      </c>
      <c r="L38" s="141"/>
      <c r="M38" s="329">
        <f t="shared" si="3"/>
        <v>1036892.0919000006</v>
      </c>
      <c r="N38" s="17"/>
      <c r="P38" s="22"/>
    </row>
    <row r="39" spans="1:16">
      <c r="A39" s="47"/>
      <c r="B39" s="230"/>
      <c r="C39" s="17"/>
      <c r="D39" s="17"/>
      <c r="E39" s="259">
        <v>0</v>
      </c>
      <c r="F39" s="259">
        <v>0</v>
      </c>
      <c r="G39" s="267">
        <f t="shared" ref="G5:G39" si="7">E39*F39</f>
        <v>0</v>
      </c>
      <c r="H39" s="259">
        <v>0</v>
      </c>
      <c r="I39" s="259">
        <v>0</v>
      </c>
      <c r="J39" s="259">
        <f t="shared" ref="J5:J39" si="8">H39*I39</f>
        <v>0</v>
      </c>
      <c r="K39" s="267">
        <f t="shared" ref="K5:K39" si="9">G39+J39</f>
        <v>0</v>
      </c>
      <c r="L39" s="17"/>
      <c r="M39" s="329">
        <f t="shared" si="3"/>
        <v>1036892.0919000006</v>
      </c>
      <c r="N39" s="17"/>
      <c r="P39" s="22"/>
    </row>
    <row r="40" spans="1:16">
      <c r="A40" s="187"/>
      <c r="B40" s="187"/>
      <c r="C40" s="187"/>
      <c r="D40" s="187"/>
      <c r="E40" s="187">
        <f>SUM(E4:E37)</f>
        <v>9359.68</v>
      </c>
      <c r="F40" s="187"/>
      <c r="G40" s="187">
        <f>SUM(G4:G37)</f>
        <v>856223.52639999986</v>
      </c>
      <c r="H40" s="187">
        <f>SUM(H4:H37)</f>
        <v>362</v>
      </c>
      <c r="I40" s="187"/>
      <c r="J40" s="187">
        <f>SUM(J4:J37)</f>
        <v>37434.42</v>
      </c>
      <c r="K40" s="187">
        <f>SUM(K4:K37)</f>
        <v>893657.94640000002</v>
      </c>
      <c r="L40" s="187">
        <f>SUM(L4:L37)</f>
        <v>600000</v>
      </c>
      <c r="M40" s="187"/>
      <c r="N40" s="187"/>
    </row>
    <row r="41" spans="1:16">
      <c r="P41" s="22"/>
    </row>
  </sheetData>
  <mergeCells count="1">
    <mergeCell ref="A1:N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FDFF4-E8BF-4430-A1C0-B6BAE4AEDAC5}">
  <sheetPr>
    <tabColor rgb="FF002060"/>
  </sheetPr>
  <dimension ref="A1:N35"/>
  <sheetViews>
    <sheetView topLeftCell="A11" workbookViewId="0">
      <selection activeCell="J38" sqref="J38"/>
    </sheetView>
  </sheetViews>
  <sheetFormatPr defaultRowHeight="15"/>
  <cols>
    <col min="2" max="2" width="12.85546875" customWidth="1"/>
    <col min="4" max="4" width="11.85546875" customWidth="1"/>
    <col min="5" max="5" width="10.42578125" customWidth="1"/>
    <col min="11" max="11" width="13.5703125" bestFit="1" customWidth="1"/>
    <col min="12" max="12" width="12.42578125" bestFit="1" customWidth="1"/>
    <col min="13" max="13" width="10.5703125" bestFit="1" customWidth="1"/>
  </cols>
  <sheetData>
    <row r="1" spans="1:14" ht="15.75">
      <c r="A1" s="417" t="s">
        <v>156</v>
      </c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7"/>
    </row>
    <row r="2" spans="1:14" ht="30.75">
      <c r="A2" s="128" t="s">
        <v>90</v>
      </c>
      <c r="B2" s="222" t="s">
        <v>91</v>
      </c>
      <c r="C2" s="222" t="s">
        <v>92</v>
      </c>
      <c r="D2" s="222" t="s">
        <v>107</v>
      </c>
      <c r="E2" s="222" t="s">
        <v>94</v>
      </c>
      <c r="F2" s="222" t="s">
        <v>95</v>
      </c>
      <c r="G2" s="222" t="s">
        <v>96</v>
      </c>
      <c r="H2" s="222" t="s">
        <v>97</v>
      </c>
      <c r="I2" s="222" t="s">
        <v>95</v>
      </c>
      <c r="J2" s="222" t="s">
        <v>96</v>
      </c>
      <c r="K2" s="181" t="s">
        <v>98</v>
      </c>
      <c r="L2" s="181" t="s">
        <v>99</v>
      </c>
      <c r="M2" s="181" t="s">
        <v>106</v>
      </c>
      <c r="N2" s="222" t="s">
        <v>101</v>
      </c>
    </row>
    <row r="3" spans="1:14">
      <c r="A3" s="418" t="s">
        <v>102</v>
      </c>
      <c r="B3" s="418"/>
      <c r="C3" s="418"/>
      <c r="D3" s="418"/>
      <c r="E3" s="418"/>
      <c r="F3" s="418"/>
      <c r="G3" s="418"/>
      <c r="H3" s="418"/>
      <c r="I3" s="418"/>
      <c r="J3" s="418"/>
      <c r="K3" s="418"/>
      <c r="L3" s="418"/>
      <c r="M3" s="418">
        <v>228405.7726</v>
      </c>
      <c r="N3" s="418"/>
    </row>
    <row r="4" spans="1:14">
      <c r="A4" s="204">
        <v>1</v>
      </c>
      <c r="B4" s="230">
        <v>45901</v>
      </c>
      <c r="C4" s="42">
        <v>0</v>
      </c>
      <c r="D4" s="42"/>
      <c r="E4" s="284">
        <v>0</v>
      </c>
      <c r="F4" s="323">
        <v>0</v>
      </c>
      <c r="G4" s="42">
        <f>E4*F4</f>
        <v>0</v>
      </c>
      <c r="H4" s="42">
        <v>0</v>
      </c>
      <c r="I4" s="42">
        <v>0</v>
      </c>
      <c r="J4" s="42">
        <f>H4*I4</f>
        <v>0</v>
      </c>
      <c r="K4" s="42">
        <f>G4+J4</f>
        <v>0</v>
      </c>
      <c r="L4" s="42">
        <v>128000</v>
      </c>
      <c r="M4" s="42">
        <f>M3+K4-L4</f>
        <v>100405.7726</v>
      </c>
      <c r="N4" s="42"/>
    </row>
    <row r="5" spans="1:14">
      <c r="A5" s="48">
        <v>2</v>
      </c>
      <c r="B5" s="230">
        <v>45902</v>
      </c>
      <c r="C5" s="42">
        <v>0</v>
      </c>
      <c r="D5" s="42"/>
      <c r="E5" s="284">
        <v>200</v>
      </c>
      <c r="F5" s="323">
        <v>91.31</v>
      </c>
      <c r="G5" s="42">
        <f t="shared" ref="G5:G33" si="0">E5*F5</f>
        <v>18262</v>
      </c>
      <c r="H5" s="42">
        <v>10</v>
      </c>
      <c r="I5" s="42">
        <v>103.23</v>
      </c>
      <c r="J5" s="42">
        <f t="shared" ref="J5:J33" si="1">H5*I5</f>
        <v>1032.3</v>
      </c>
      <c r="K5" s="42">
        <f t="shared" ref="K5:K33" si="2">G5+J5</f>
        <v>19294.3</v>
      </c>
      <c r="L5" s="42">
        <v>0</v>
      </c>
      <c r="M5" s="42">
        <f t="shared" ref="M5:M34" si="3">M4+K5-L5</f>
        <v>119700.0726</v>
      </c>
      <c r="N5" s="42"/>
    </row>
    <row r="6" spans="1:14">
      <c r="A6" s="48">
        <v>3</v>
      </c>
      <c r="B6" s="230">
        <v>45903</v>
      </c>
      <c r="C6" s="42">
        <v>0</v>
      </c>
      <c r="D6" s="42"/>
      <c r="E6" s="284">
        <v>0</v>
      </c>
      <c r="F6" s="323">
        <v>0</v>
      </c>
      <c r="G6" s="42">
        <f t="shared" si="0"/>
        <v>0</v>
      </c>
      <c r="H6" s="42">
        <v>0</v>
      </c>
      <c r="I6" s="42">
        <v>0</v>
      </c>
      <c r="J6" s="42">
        <f t="shared" si="1"/>
        <v>0</v>
      </c>
      <c r="K6" s="42">
        <f t="shared" si="2"/>
        <v>0</v>
      </c>
      <c r="L6" s="42">
        <v>0</v>
      </c>
      <c r="M6" s="42">
        <f t="shared" si="3"/>
        <v>119700.0726</v>
      </c>
      <c r="N6" s="42"/>
    </row>
    <row r="7" spans="1:14">
      <c r="A7" s="48">
        <v>4</v>
      </c>
      <c r="B7" s="230">
        <v>45904</v>
      </c>
      <c r="C7" s="42">
        <v>0</v>
      </c>
      <c r="D7" s="42"/>
      <c r="E7" s="284">
        <v>0</v>
      </c>
      <c r="F7" s="323">
        <v>0</v>
      </c>
      <c r="G7" s="42">
        <f t="shared" si="0"/>
        <v>0</v>
      </c>
      <c r="H7" s="42">
        <v>0</v>
      </c>
      <c r="I7" s="42">
        <v>0</v>
      </c>
      <c r="J7" s="42">
        <f t="shared" si="1"/>
        <v>0</v>
      </c>
      <c r="K7" s="42">
        <f t="shared" si="2"/>
        <v>0</v>
      </c>
      <c r="L7" s="42">
        <v>0</v>
      </c>
      <c r="M7" s="42">
        <f t="shared" si="3"/>
        <v>119700.0726</v>
      </c>
      <c r="N7" s="42"/>
    </row>
    <row r="8" spans="1:14">
      <c r="A8" s="48">
        <v>5</v>
      </c>
      <c r="B8" s="230">
        <v>45905</v>
      </c>
      <c r="C8" s="42">
        <v>0</v>
      </c>
      <c r="D8" s="42"/>
      <c r="E8" s="284">
        <v>63.01</v>
      </c>
      <c r="F8" s="323">
        <v>91.31</v>
      </c>
      <c r="G8" s="42">
        <f t="shared" si="0"/>
        <v>5753.4431000000004</v>
      </c>
      <c r="H8" s="42">
        <v>15</v>
      </c>
      <c r="I8" s="42">
        <v>103.23</v>
      </c>
      <c r="J8" s="42">
        <f t="shared" si="1"/>
        <v>1548.45</v>
      </c>
      <c r="K8" s="42">
        <f t="shared" si="2"/>
        <v>7301.8931000000002</v>
      </c>
      <c r="L8" s="42">
        <v>0</v>
      </c>
      <c r="M8" s="42">
        <f t="shared" si="3"/>
        <v>127001.9657</v>
      </c>
      <c r="N8" s="42"/>
    </row>
    <row r="9" spans="1:14">
      <c r="A9" s="48">
        <v>6</v>
      </c>
      <c r="B9" s="230">
        <v>45906</v>
      </c>
      <c r="C9" s="42">
        <v>0</v>
      </c>
      <c r="D9" s="42"/>
      <c r="E9" s="284">
        <v>282.81</v>
      </c>
      <c r="F9" s="323">
        <v>91.31</v>
      </c>
      <c r="G9" s="42">
        <f t="shared" si="0"/>
        <v>25823.381100000002</v>
      </c>
      <c r="H9" s="42">
        <v>16</v>
      </c>
      <c r="I9" s="42">
        <v>103.23</v>
      </c>
      <c r="J9" s="42">
        <f t="shared" si="1"/>
        <v>1651.68</v>
      </c>
      <c r="K9" s="42">
        <f t="shared" si="2"/>
        <v>27475.061100000003</v>
      </c>
      <c r="L9" s="42">
        <v>0</v>
      </c>
      <c r="M9" s="42">
        <f t="shared" si="3"/>
        <v>154477.02679999999</v>
      </c>
      <c r="N9" s="42"/>
    </row>
    <row r="10" spans="1:14">
      <c r="A10" s="48">
        <v>7</v>
      </c>
      <c r="B10" s="230">
        <v>45907</v>
      </c>
      <c r="C10" s="42">
        <v>0</v>
      </c>
      <c r="D10" s="42"/>
      <c r="E10" s="284">
        <v>35.79</v>
      </c>
      <c r="F10" s="323">
        <v>91.31</v>
      </c>
      <c r="G10" s="42">
        <f t="shared" si="0"/>
        <v>3267.9848999999999</v>
      </c>
      <c r="H10" s="42">
        <v>0</v>
      </c>
      <c r="I10" s="42">
        <v>0</v>
      </c>
      <c r="J10" s="42">
        <f t="shared" si="1"/>
        <v>0</v>
      </c>
      <c r="K10" s="42">
        <f t="shared" si="2"/>
        <v>3267.9848999999999</v>
      </c>
      <c r="L10" s="42">
        <v>0</v>
      </c>
      <c r="M10" s="42">
        <f t="shared" si="3"/>
        <v>157745.0117</v>
      </c>
      <c r="N10" s="42"/>
    </row>
    <row r="11" spans="1:14">
      <c r="A11" s="48">
        <v>8</v>
      </c>
      <c r="B11" s="230">
        <v>45908</v>
      </c>
      <c r="C11" s="42">
        <v>0</v>
      </c>
      <c r="D11" s="42"/>
      <c r="E11" s="284">
        <v>65</v>
      </c>
      <c r="F11" s="323">
        <v>91.31</v>
      </c>
      <c r="G11" s="42">
        <f t="shared" si="0"/>
        <v>5935.1500000000005</v>
      </c>
      <c r="H11" s="42">
        <v>0</v>
      </c>
      <c r="I11" s="42">
        <v>0</v>
      </c>
      <c r="J11" s="42">
        <f t="shared" si="1"/>
        <v>0</v>
      </c>
      <c r="K11" s="42">
        <f t="shared" si="2"/>
        <v>5935.1500000000005</v>
      </c>
      <c r="L11" s="42">
        <v>157745</v>
      </c>
      <c r="M11" s="42">
        <f t="shared" si="3"/>
        <v>5935.1616999999969</v>
      </c>
      <c r="N11" s="42"/>
    </row>
    <row r="12" spans="1:14">
      <c r="A12" s="48">
        <v>9</v>
      </c>
      <c r="B12" s="230">
        <v>45909</v>
      </c>
      <c r="C12" s="42">
        <v>0</v>
      </c>
      <c r="D12" s="42"/>
      <c r="E12" s="284">
        <v>0</v>
      </c>
      <c r="F12" s="323">
        <v>0</v>
      </c>
      <c r="G12" s="42">
        <f t="shared" si="0"/>
        <v>0</v>
      </c>
      <c r="H12" s="42">
        <v>5</v>
      </c>
      <c r="I12" s="42">
        <v>103.23</v>
      </c>
      <c r="J12" s="42">
        <f t="shared" si="1"/>
        <v>516.15</v>
      </c>
      <c r="K12" s="42">
        <f t="shared" si="2"/>
        <v>516.15</v>
      </c>
      <c r="L12" s="42">
        <v>0</v>
      </c>
      <c r="M12" s="42">
        <f t="shared" si="3"/>
        <v>6451.3116999999966</v>
      </c>
      <c r="N12" s="42"/>
    </row>
    <row r="13" spans="1:14">
      <c r="A13" s="48">
        <v>10</v>
      </c>
      <c r="B13" s="230">
        <v>45910</v>
      </c>
      <c r="C13" s="42">
        <v>0</v>
      </c>
      <c r="D13" s="42"/>
      <c r="E13" s="284">
        <v>56.01</v>
      </c>
      <c r="F13" s="323">
        <v>91.31</v>
      </c>
      <c r="G13" s="42">
        <f t="shared" si="0"/>
        <v>5114.2731000000003</v>
      </c>
      <c r="H13" s="42">
        <v>12</v>
      </c>
      <c r="I13" s="42">
        <v>103.23</v>
      </c>
      <c r="J13" s="42">
        <f t="shared" si="1"/>
        <v>1238.76</v>
      </c>
      <c r="K13" s="42">
        <f t="shared" si="2"/>
        <v>6353.0331000000006</v>
      </c>
      <c r="L13" s="42">
        <v>0</v>
      </c>
      <c r="M13" s="42">
        <f t="shared" si="3"/>
        <v>12804.344799999997</v>
      </c>
      <c r="N13" s="42"/>
    </row>
    <row r="14" spans="1:14">
      <c r="A14" s="48">
        <v>11</v>
      </c>
      <c r="B14" s="230">
        <v>45911</v>
      </c>
      <c r="C14" s="42">
        <v>0</v>
      </c>
      <c r="D14" s="42"/>
      <c r="E14" s="284">
        <v>10</v>
      </c>
      <c r="F14" s="323">
        <v>91.31</v>
      </c>
      <c r="G14" s="42">
        <f t="shared" si="0"/>
        <v>913.1</v>
      </c>
      <c r="H14" s="42">
        <v>0</v>
      </c>
      <c r="I14" s="42">
        <v>0</v>
      </c>
      <c r="J14" s="42">
        <f t="shared" si="1"/>
        <v>0</v>
      </c>
      <c r="K14" s="42">
        <f t="shared" si="2"/>
        <v>913.1</v>
      </c>
      <c r="L14" s="42">
        <v>0</v>
      </c>
      <c r="M14" s="42">
        <f t="shared" si="3"/>
        <v>13717.444799999997</v>
      </c>
      <c r="N14" s="42"/>
    </row>
    <row r="15" spans="1:14">
      <c r="A15" s="48">
        <v>12</v>
      </c>
      <c r="B15" s="230">
        <v>45912</v>
      </c>
      <c r="C15" s="42">
        <v>0</v>
      </c>
      <c r="D15" s="42"/>
      <c r="E15" s="284">
        <v>0</v>
      </c>
      <c r="F15" s="323">
        <v>0</v>
      </c>
      <c r="G15" s="42">
        <f t="shared" si="0"/>
        <v>0</v>
      </c>
      <c r="H15" s="42">
        <v>0</v>
      </c>
      <c r="I15" s="42">
        <v>0</v>
      </c>
      <c r="J15" s="42">
        <f t="shared" si="1"/>
        <v>0</v>
      </c>
      <c r="K15" s="42">
        <f t="shared" si="2"/>
        <v>0</v>
      </c>
      <c r="L15" s="42">
        <v>0</v>
      </c>
      <c r="M15" s="42">
        <f t="shared" si="3"/>
        <v>13717.444799999997</v>
      </c>
      <c r="N15" s="42"/>
    </row>
    <row r="16" spans="1:14">
      <c r="A16" s="48">
        <v>13</v>
      </c>
      <c r="B16" s="230">
        <v>45913</v>
      </c>
      <c r="C16" s="42">
        <v>0</v>
      </c>
      <c r="D16" s="42"/>
      <c r="E16" s="284">
        <v>35.86</v>
      </c>
      <c r="F16" s="323">
        <v>91.31</v>
      </c>
      <c r="G16" s="42">
        <f t="shared" si="0"/>
        <v>3274.3766000000001</v>
      </c>
      <c r="H16" s="42">
        <v>0</v>
      </c>
      <c r="I16" s="42">
        <v>0</v>
      </c>
      <c r="J16" s="42">
        <f t="shared" si="1"/>
        <v>0</v>
      </c>
      <c r="K16" s="42">
        <f t="shared" si="2"/>
        <v>3274.3766000000001</v>
      </c>
      <c r="L16" s="42">
        <v>0</v>
      </c>
      <c r="M16" s="42">
        <f>M15+K16-L16</f>
        <v>16991.821399999997</v>
      </c>
      <c r="N16" s="42"/>
    </row>
    <row r="17" spans="1:14">
      <c r="A17" s="48">
        <v>14</v>
      </c>
      <c r="B17" s="230">
        <v>45914</v>
      </c>
      <c r="C17" s="42">
        <v>0</v>
      </c>
      <c r="D17" s="42"/>
      <c r="E17" s="284">
        <v>0</v>
      </c>
      <c r="F17" s="323">
        <v>0</v>
      </c>
      <c r="G17" s="42">
        <f t="shared" si="0"/>
        <v>0</v>
      </c>
      <c r="H17" s="42">
        <v>0</v>
      </c>
      <c r="I17" s="42">
        <v>0</v>
      </c>
      <c r="J17" s="42">
        <f t="shared" si="1"/>
        <v>0</v>
      </c>
      <c r="K17" s="42">
        <f t="shared" si="2"/>
        <v>0</v>
      </c>
      <c r="L17" s="42">
        <v>0</v>
      </c>
      <c r="M17" s="42">
        <f t="shared" si="3"/>
        <v>16991.821399999997</v>
      </c>
      <c r="N17" s="42"/>
    </row>
    <row r="18" spans="1:14">
      <c r="A18" s="48">
        <v>15</v>
      </c>
      <c r="B18" s="230">
        <v>45915</v>
      </c>
      <c r="C18" s="42">
        <v>0</v>
      </c>
      <c r="D18" s="42"/>
      <c r="E18" s="284">
        <v>0</v>
      </c>
      <c r="F18" s="323">
        <v>0</v>
      </c>
      <c r="G18" s="42">
        <f t="shared" si="0"/>
        <v>0</v>
      </c>
      <c r="H18" s="42">
        <v>0</v>
      </c>
      <c r="I18" s="42">
        <v>0</v>
      </c>
      <c r="J18" s="42">
        <f t="shared" si="1"/>
        <v>0</v>
      </c>
      <c r="K18" s="42">
        <f t="shared" si="2"/>
        <v>0</v>
      </c>
      <c r="L18" s="42">
        <v>0</v>
      </c>
      <c r="M18" s="42">
        <f t="shared" si="3"/>
        <v>16991.821399999997</v>
      </c>
      <c r="N18" s="42"/>
    </row>
    <row r="19" spans="1:14">
      <c r="A19" s="48">
        <v>16</v>
      </c>
      <c r="B19" s="230">
        <v>45916</v>
      </c>
      <c r="C19" s="42">
        <v>0</v>
      </c>
      <c r="D19" s="42"/>
      <c r="E19" s="284">
        <v>0</v>
      </c>
      <c r="F19" s="323">
        <v>0</v>
      </c>
      <c r="G19" s="42">
        <f t="shared" si="0"/>
        <v>0</v>
      </c>
      <c r="H19" s="42">
        <v>15</v>
      </c>
      <c r="I19" s="42">
        <v>103.23</v>
      </c>
      <c r="J19" s="42">
        <f t="shared" si="1"/>
        <v>1548.45</v>
      </c>
      <c r="K19" s="42">
        <f t="shared" si="2"/>
        <v>1548.45</v>
      </c>
      <c r="L19" s="42">
        <v>0</v>
      </c>
      <c r="M19" s="42">
        <f t="shared" si="3"/>
        <v>18540.271399999998</v>
      </c>
      <c r="N19" s="42"/>
    </row>
    <row r="20" spans="1:14">
      <c r="A20" s="48">
        <v>17</v>
      </c>
      <c r="B20" s="230">
        <v>45917</v>
      </c>
      <c r="C20" s="42">
        <v>0</v>
      </c>
      <c r="D20" s="42"/>
      <c r="E20" s="284">
        <v>35</v>
      </c>
      <c r="F20" s="323">
        <v>91.31</v>
      </c>
      <c r="G20" s="42">
        <f t="shared" si="0"/>
        <v>3195.85</v>
      </c>
      <c r="H20" s="42">
        <v>0</v>
      </c>
      <c r="I20" s="42">
        <v>103.23</v>
      </c>
      <c r="J20" s="42">
        <f t="shared" si="1"/>
        <v>0</v>
      </c>
      <c r="K20" s="42">
        <f t="shared" si="2"/>
        <v>3195.85</v>
      </c>
      <c r="L20" s="42">
        <v>0</v>
      </c>
      <c r="M20" s="42">
        <f t="shared" si="3"/>
        <v>21736.121399999996</v>
      </c>
      <c r="N20" s="42"/>
    </row>
    <row r="21" spans="1:14">
      <c r="A21" s="48">
        <v>18</v>
      </c>
      <c r="B21" s="230">
        <v>45918</v>
      </c>
      <c r="C21" s="42">
        <v>0</v>
      </c>
      <c r="D21" s="42"/>
      <c r="E21" s="284">
        <v>66</v>
      </c>
      <c r="F21" s="323">
        <v>91.31</v>
      </c>
      <c r="G21" s="42">
        <f t="shared" si="0"/>
        <v>6026.46</v>
      </c>
      <c r="H21" s="42">
        <v>6</v>
      </c>
      <c r="I21" s="42">
        <v>103.23</v>
      </c>
      <c r="J21" s="42">
        <f t="shared" si="1"/>
        <v>619.38</v>
      </c>
      <c r="K21" s="42">
        <f t="shared" si="2"/>
        <v>6645.84</v>
      </c>
      <c r="L21" s="42">
        <v>0</v>
      </c>
      <c r="M21" s="42">
        <f>M20+K21-L21</f>
        <v>28381.961399999997</v>
      </c>
      <c r="N21" s="42"/>
    </row>
    <row r="22" spans="1:14">
      <c r="A22" s="48">
        <v>19</v>
      </c>
      <c r="B22" s="230">
        <v>45919</v>
      </c>
      <c r="C22" s="42">
        <v>0</v>
      </c>
      <c r="D22" s="42"/>
      <c r="E22" s="284">
        <v>64.87</v>
      </c>
      <c r="F22" s="323">
        <v>91.31</v>
      </c>
      <c r="G22" s="42">
        <f t="shared" si="0"/>
        <v>5923.279700000001</v>
      </c>
      <c r="H22" s="42">
        <v>0</v>
      </c>
      <c r="I22" s="42">
        <v>0</v>
      </c>
      <c r="J22" s="42">
        <f t="shared" si="1"/>
        <v>0</v>
      </c>
      <c r="K22" s="42">
        <f t="shared" si="2"/>
        <v>5923.279700000001</v>
      </c>
      <c r="L22" s="42">
        <v>0</v>
      </c>
      <c r="M22" s="42">
        <f t="shared" si="3"/>
        <v>34305.241099999999</v>
      </c>
      <c r="N22" s="42"/>
    </row>
    <row r="23" spans="1:14">
      <c r="A23" s="48">
        <v>20</v>
      </c>
      <c r="B23" s="230">
        <v>45920</v>
      </c>
      <c r="C23" s="42">
        <v>0</v>
      </c>
      <c r="D23" s="42"/>
      <c r="E23" s="284">
        <v>0</v>
      </c>
      <c r="F23" s="323">
        <v>0</v>
      </c>
      <c r="G23" s="42">
        <f t="shared" si="0"/>
        <v>0</v>
      </c>
      <c r="H23" s="42">
        <v>6</v>
      </c>
      <c r="I23" s="42">
        <v>103.23</v>
      </c>
      <c r="J23" s="42">
        <f t="shared" si="1"/>
        <v>619.38</v>
      </c>
      <c r="K23" s="42">
        <f t="shared" si="2"/>
        <v>619.38</v>
      </c>
      <c r="L23" s="42">
        <v>0</v>
      </c>
      <c r="M23" s="42">
        <f t="shared" si="3"/>
        <v>34924.621099999997</v>
      </c>
      <c r="N23" s="42"/>
    </row>
    <row r="24" spans="1:14">
      <c r="A24" s="48">
        <v>21</v>
      </c>
      <c r="B24" s="230">
        <v>45921</v>
      </c>
      <c r="C24" s="42">
        <v>0</v>
      </c>
      <c r="D24" s="42"/>
      <c r="E24" s="284">
        <v>45.92</v>
      </c>
      <c r="F24" s="323">
        <v>91.31</v>
      </c>
      <c r="G24" s="42">
        <f t="shared" si="0"/>
        <v>4192.9552000000003</v>
      </c>
      <c r="H24" s="42">
        <v>12</v>
      </c>
      <c r="I24" s="42">
        <v>103.23</v>
      </c>
      <c r="J24" s="42">
        <f t="shared" si="1"/>
        <v>1238.76</v>
      </c>
      <c r="K24" s="42">
        <f t="shared" si="2"/>
        <v>5431.7152000000006</v>
      </c>
      <c r="L24" s="42">
        <v>0</v>
      </c>
      <c r="M24" s="42">
        <f t="shared" si="3"/>
        <v>40356.336299999995</v>
      </c>
      <c r="N24" s="42"/>
    </row>
    <row r="25" spans="1:14">
      <c r="A25" s="48">
        <v>22</v>
      </c>
      <c r="B25" s="230">
        <v>45922</v>
      </c>
      <c r="C25" s="42">
        <v>0</v>
      </c>
      <c r="D25" s="42"/>
      <c r="E25" s="284">
        <v>0</v>
      </c>
      <c r="F25" s="323">
        <v>0</v>
      </c>
      <c r="G25" s="42">
        <f t="shared" si="0"/>
        <v>0</v>
      </c>
      <c r="H25" s="42">
        <v>6</v>
      </c>
      <c r="I25" s="42">
        <v>103.23</v>
      </c>
      <c r="J25" s="42">
        <f t="shared" si="1"/>
        <v>619.38</v>
      </c>
      <c r="K25" s="42">
        <f t="shared" si="2"/>
        <v>619.38</v>
      </c>
      <c r="L25" s="42">
        <v>0</v>
      </c>
      <c r="M25" s="42">
        <f t="shared" si="3"/>
        <v>40975.716299999993</v>
      </c>
      <c r="N25" s="42"/>
    </row>
    <row r="26" spans="1:14">
      <c r="A26" s="48">
        <v>23</v>
      </c>
      <c r="B26" s="230">
        <v>45923</v>
      </c>
      <c r="C26" s="42">
        <v>0</v>
      </c>
      <c r="D26" s="42"/>
      <c r="E26" s="284">
        <v>0</v>
      </c>
      <c r="F26" s="323">
        <v>0</v>
      </c>
      <c r="G26" s="42">
        <f t="shared" si="0"/>
        <v>0</v>
      </c>
      <c r="H26" s="42">
        <v>0</v>
      </c>
      <c r="I26" s="42">
        <v>0</v>
      </c>
      <c r="J26" s="42">
        <f t="shared" si="1"/>
        <v>0</v>
      </c>
      <c r="K26" s="42">
        <f t="shared" si="2"/>
        <v>0</v>
      </c>
      <c r="L26" s="42">
        <v>0</v>
      </c>
      <c r="M26" s="42">
        <f t="shared" si="3"/>
        <v>40975.716299999993</v>
      </c>
      <c r="N26" s="42"/>
    </row>
    <row r="27" spans="1:14">
      <c r="A27" s="48">
        <v>24</v>
      </c>
      <c r="B27" s="230">
        <v>45924</v>
      </c>
      <c r="C27" s="42">
        <v>0</v>
      </c>
      <c r="D27" s="42"/>
      <c r="E27" s="284">
        <v>277.52999999999997</v>
      </c>
      <c r="F27" s="323">
        <v>91.31</v>
      </c>
      <c r="G27" s="42">
        <f t="shared" si="0"/>
        <v>25341.264299999999</v>
      </c>
      <c r="H27" s="42">
        <v>0</v>
      </c>
      <c r="I27" s="42">
        <v>0</v>
      </c>
      <c r="J27" s="42">
        <f t="shared" si="1"/>
        <v>0</v>
      </c>
      <c r="K27" s="42">
        <f t="shared" si="2"/>
        <v>25341.264299999999</v>
      </c>
      <c r="L27" s="42">
        <v>0</v>
      </c>
      <c r="M27" s="42">
        <f t="shared" si="3"/>
        <v>66316.980599999995</v>
      </c>
      <c r="N27" s="42"/>
    </row>
    <row r="28" spans="1:14">
      <c r="A28" s="232">
        <v>25</v>
      </c>
      <c r="B28" s="230">
        <v>45925</v>
      </c>
      <c r="C28" s="42">
        <v>0</v>
      </c>
      <c r="D28" s="42"/>
      <c r="E28" s="284">
        <v>58.95</v>
      </c>
      <c r="F28" s="323">
        <v>91.31</v>
      </c>
      <c r="G28" s="42">
        <f t="shared" si="0"/>
        <v>5382.7245000000003</v>
      </c>
      <c r="H28" s="42">
        <v>6</v>
      </c>
      <c r="I28" s="42">
        <v>103.23</v>
      </c>
      <c r="J28" s="42">
        <f t="shared" si="1"/>
        <v>619.38</v>
      </c>
      <c r="K28" s="42">
        <f t="shared" si="2"/>
        <v>6002.1045000000004</v>
      </c>
      <c r="L28" s="42">
        <v>0</v>
      </c>
      <c r="M28" s="42">
        <f t="shared" si="3"/>
        <v>72319.085099999997</v>
      </c>
      <c r="N28" s="42"/>
    </row>
    <row r="29" spans="1:14">
      <c r="A29" s="232">
        <v>26</v>
      </c>
      <c r="B29" s="230">
        <v>45926</v>
      </c>
      <c r="C29" s="42">
        <v>0</v>
      </c>
      <c r="D29" s="42"/>
      <c r="E29" s="284">
        <v>0</v>
      </c>
      <c r="F29" s="323">
        <v>0</v>
      </c>
      <c r="G29" s="42">
        <f t="shared" si="0"/>
        <v>0</v>
      </c>
      <c r="H29" s="42">
        <v>16</v>
      </c>
      <c r="I29" s="42">
        <v>103.23</v>
      </c>
      <c r="J29" s="42">
        <f t="shared" si="1"/>
        <v>1651.68</v>
      </c>
      <c r="K29" s="42">
        <f t="shared" si="2"/>
        <v>1651.68</v>
      </c>
      <c r="L29" s="42">
        <v>0</v>
      </c>
      <c r="M29" s="42">
        <f t="shared" si="3"/>
        <v>73970.76509999999</v>
      </c>
      <c r="N29" s="42"/>
    </row>
    <row r="30" spans="1:14">
      <c r="A30" s="232">
        <v>27</v>
      </c>
      <c r="B30" s="230">
        <v>45927</v>
      </c>
      <c r="C30" s="42">
        <v>0</v>
      </c>
      <c r="D30" s="42"/>
      <c r="E30" s="284">
        <v>47</v>
      </c>
      <c r="F30" s="323">
        <v>91.31</v>
      </c>
      <c r="G30" s="42">
        <f t="shared" si="0"/>
        <v>4291.57</v>
      </c>
      <c r="H30" s="42">
        <v>0</v>
      </c>
      <c r="I30" s="42">
        <v>103.23</v>
      </c>
      <c r="J30" s="42">
        <f t="shared" si="1"/>
        <v>0</v>
      </c>
      <c r="K30" s="42">
        <f t="shared" si="2"/>
        <v>4291.57</v>
      </c>
      <c r="L30" s="42">
        <v>0</v>
      </c>
      <c r="M30" s="42">
        <f t="shared" si="3"/>
        <v>78262.335099999997</v>
      </c>
      <c r="N30" s="42"/>
    </row>
    <row r="31" spans="1:14">
      <c r="A31" s="232">
        <v>28</v>
      </c>
      <c r="B31" s="230">
        <v>45928</v>
      </c>
      <c r="C31" s="42">
        <v>0</v>
      </c>
      <c r="D31" s="42"/>
      <c r="E31" s="284">
        <v>278.86</v>
      </c>
      <c r="F31" s="323">
        <v>91.31</v>
      </c>
      <c r="G31" s="42">
        <f t="shared" si="0"/>
        <v>25462.706600000001</v>
      </c>
      <c r="H31" s="42">
        <v>6</v>
      </c>
      <c r="I31" s="42">
        <v>103.23</v>
      </c>
      <c r="J31" s="42">
        <f t="shared" si="1"/>
        <v>619.38</v>
      </c>
      <c r="K31" s="42">
        <f t="shared" si="2"/>
        <v>26082.086600000002</v>
      </c>
      <c r="L31" s="42">
        <v>0</v>
      </c>
      <c r="M31" s="42">
        <f t="shared" si="3"/>
        <v>104344.42170000001</v>
      </c>
      <c r="N31" s="42"/>
    </row>
    <row r="32" spans="1:14">
      <c r="A32" s="233">
        <v>29</v>
      </c>
      <c r="B32" s="230">
        <v>45929</v>
      </c>
      <c r="C32" s="42">
        <v>0</v>
      </c>
      <c r="D32" s="42"/>
      <c r="E32" s="284">
        <v>0</v>
      </c>
      <c r="F32" s="323">
        <v>0</v>
      </c>
      <c r="G32" s="42">
        <f t="shared" si="0"/>
        <v>0</v>
      </c>
      <c r="H32" s="42">
        <v>0</v>
      </c>
      <c r="I32" s="42">
        <v>0</v>
      </c>
      <c r="J32" s="42">
        <f t="shared" si="1"/>
        <v>0</v>
      </c>
      <c r="K32" s="42">
        <f t="shared" si="2"/>
        <v>0</v>
      </c>
      <c r="L32" s="42">
        <v>0</v>
      </c>
      <c r="M32" s="42">
        <f t="shared" si="3"/>
        <v>104344.42170000001</v>
      </c>
      <c r="N32" s="42"/>
    </row>
    <row r="33" spans="1:14">
      <c r="A33" s="233">
        <v>30</v>
      </c>
      <c r="B33" s="230">
        <v>45930</v>
      </c>
      <c r="C33" s="42">
        <v>0</v>
      </c>
      <c r="D33" s="42"/>
      <c r="E33" s="284">
        <v>0</v>
      </c>
      <c r="F33" s="323">
        <v>0</v>
      </c>
      <c r="G33" s="42">
        <f t="shared" si="0"/>
        <v>0</v>
      </c>
      <c r="H33" s="42">
        <v>16</v>
      </c>
      <c r="I33" s="42">
        <v>103.23</v>
      </c>
      <c r="J33" s="42">
        <f t="shared" si="1"/>
        <v>1651.68</v>
      </c>
      <c r="K33" s="42">
        <f t="shared" si="2"/>
        <v>1651.68</v>
      </c>
      <c r="L33" s="42">
        <v>0</v>
      </c>
      <c r="M33" s="42">
        <f t="shared" si="3"/>
        <v>105996.1017</v>
      </c>
      <c r="N33" s="42"/>
    </row>
    <row r="34" spans="1:14">
      <c r="A34" s="233">
        <v>31</v>
      </c>
      <c r="B34" s="230"/>
      <c r="C34" s="42">
        <v>0</v>
      </c>
      <c r="D34" s="42"/>
      <c r="E34" s="284">
        <v>0</v>
      </c>
      <c r="F34" s="323">
        <v>0</v>
      </c>
      <c r="G34" s="42">
        <f t="shared" ref="G5:G34" si="4">E34*F34</f>
        <v>0</v>
      </c>
      <c r="H34" s="42">
        <v>0</v>
      </c>
      <c r="I34" s="42">
        <v>0</v>
      </c>
      <c r="J34" s="42">
        <f t="shared" ref="J5:J34" si="5">H34*I34</f>
        <v>0</v>
      </c>
      <c r="K34" s="42">
        <f t="shared" ref="K5:K34" si="6">G34+J34</f>
        <v>0</v>
      </c>
      <c r="L34" s="42">
        <v>0</v>
      </c>
      <c r="M34" s="42">
        <f t="shared" si="3"/>
        <v>105996.1017</v>
      </c>
      <c r="N34" s="42"/>
    </row>
    <row r="35" spans="1:14">
      <c r="A35" s="187"/>
      <c r="B35" s="187"/>
      <c r="C35" s="187"/>
      <c r="D35" s="187"/>
      <c r="E35" s="187">
        <f>SUM(E4:E34)</f>
        <v>1622.6099999999997</v>
      </c>
      <c r="F35" s="187"/>
      <c r="G35" s="187">
        <f>SUM(G4:G34)</f>
        <v>148160.5191</v>
      </c>
      <c r="H35" s="187">
        <f>SUM(H4:H34)</f>
        <v>147</v>
      </c>
      <c r="I35" s="187"/>
      <c r="J35" s="187">
        <f>SUM(J4:J34)</f>
        <v>15174.809999999998</v>
      </c>
      <c r="K35" s="187">
        <f>SUM(K4:K34)</f>
        <v>163335.32910000003</v>
      </c>
      <c r="L35" s="187">
        <f>SUM(L4:L34)</f>
        <v>285745</v>
      </c>
      <c r="M35" s="187"/>
      <c r="N35" s="187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926CA-2A8F-4E1A-B43B-A684C6DFAF19}">
  <sheetPr>
    <tabColor theme="3" tint="-0.499984740745262"/>
  </sheetPr>
  <dimension ref="A1:N35"/>
  <sheetViews>
    <sheetView topLeftCell="A11" workbookViewId="0">
      <selection activeCell="R23" sqref="R23"/>
    </sheetView>
  </sheetViews>
  <sheetFormatPr defaultRowHeight="15"/>
  <cols>
    <col min="2" max="2" width="10.5703125" bestFit="1" customWidth="1"/>
    <col min="12" max="12" width="12.42578125" bestFit="1" customWidth="1"/>
  </cols>
  <sheetData>
    <row r="1" spans="1:14" ht="15.75">
      <c r="A1" s="417" t="s">
        <v>157</v>
      </c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7"/>
    </row>
    <row r="2" spans="1:14" ht="30.75">
      <c r="A2" s="128" t="s">
        <v>90</v>
      </c>
      <c r="B2" s="222" t="s">
        <v>91</v>
      </c>
      <c r="C2" s="222" t="s">
        <v>92</v>
      </c>
      <c r="D2" s="222" t="s">
        <v>107</v>
      </c>
      <c r="E2" s="222" t="s">
        <v>94</v>
      </c>
      <c r="F2" s="222" t="s">
        <v>95</v>
      </c>
      <c r="G2" s="222" t="s">
        <v>96</v>
      </c>
      <c r="H2" s="222" t="s">
        <v>97</v>
      </c>
      <c r="I2" s="222" t="s">
        <v>95</v>
      </c>
      <c r="J2" s="222" t="s">
        <v>96</v>
      </c>
      <c r="K2" s="181" t="s">
        <v>98</v>
      </c>
      <c r="L2" s="181" t="s">
        <v>99</v>
      </c>
      <c r="M2" s="181" t="s">
        <v>106</v>
      </c>
      <c r="N2" s="222" t="s">
        <v>101</v>
      </c>
    </row>
    <row r="3" spans="1:14">
      <c r="A3" s="418" t="s">
        <v>102</v>
      </c>
      <c r="B3" s="418"/>
      <c r="C3" s="418"/>
      <c r="D3" s="418"/>
      <c r="E3" s="418"/>
      <c r="F3" s="418"/>
      <c r="G3" s="418"/>
      <c r="H3" s="418"/>
      <c r="I3" s="418"/>
      <c r="J3" s="418"/>
      <c r="K3" s="418"/>
      <c r="L3" s="418"/>
      <c r="M3" s="418">
        <v>0</v>
      </c>
      <c r="N3" s="418"/>
    </row>
    <row r="4" spans="1:14">
      <c r="A4" s="204">
        <v>1</v>
      </c>
      <c r="B4" s="230">
        <v>45901</v>
      </c>
      <c r="C4" s="42">
        <v>0</v>
      </c>
      <c r="D4" s="42"/>
      <c r="E4" s="42">
        <v>0</v>
      </c>
      <c r="F4" s="42">
        <v>0</v>
      </c>
      <c r="G4" s="42">
        <f>E4*F4</f>
        <v>0</v>
      </c>
      <c r="H4" s="42">
        <v>0</v>
      </c>
      <c r="I4" s="42">
        <v>0</v>
      </c>
      <c r="J4" s="42">
        <f>H4*I4</f>
        <v>0</v>
      </c>
      <c r="K4" s="42">
        <f>G4+J4</f>
        <v>0</v>
      </c>
      <c r="L4" s="42">
        <f>+K4</f>
        <v>0</v>
      </c>
      <c r="M4" s="42">
        <f>M3+K4-L4</f>
        <v>0</v>
      </c>
      <c r="N4" s="42"/>
    </row>
    <row r="5" spans="1:14">
      <c r="A5" s="48">
        <v>2</v>
      </c>
      <c r="B5" s="230">
        <v>45902</v>
      </c>
      <c r="C5" s="42">
        <v>0</v>
      </c>
      <c r="D5" s="42"/>
      <c r="E5" s="42">
        <v>0</v>
      </c>
      <c r="F5" s="42">
        <v>0</v>
      </c>
      <c r="G5" s="42">
        <f t="shared" ref="G5:G32" si="0">E5*F5</f>
        <v>0</v>
      </c>
      <c r="H5" s="42">
        <v>0</v>
      </c>
      <c r="I5" s="42">
        <v>0</v>
      </c>
      <c r="J5" s="42">
        <f t="shared" ref="J5:J34" si="1">H5*I5</f>
        <v>0</v>
      </c>
      <c r="K5" s="42">
        <f t="shared" ref="K5:K34" si="2">G5+J5</f>
        <v>0</v>
      </c>
      <c r="L5" s="42">
        <f t="shared" ref="L5:L32" si="3">+K5</f>
        <v>0</v>
      </c>
      <c r="M5" s="42">
        <f t="shared" ref="L5:M34" si="4">M4+K5-L5</f>
        <v>0</v>
      </c>
      <c r="N5" s="42"/>
    </row>
    <row r="6" spans="1:14">
      <c r="A6" s="48">
        <v>3</v>
      </c>
      <c r="B6" s="230">
        <v>45903</v>
      </c>
      <c r="C6" s="42">
        <v>0</v>
      </c>
      <c r="D6" s="42"/>
      <c r="E6" s="42">
        <v>0</v>
      </c>
      <c r="F6" s="42">
        <v>0</v>
      </c>
      <c r="G6" s="42">
        <f t="shared" si="0"/>
        <v>0</v>
      </c>
      <c r="H6" s="42">
        <v>0</v>
      </c>
      <c r="I6" s="42">
        <v>0</v>
      </c>
      <c r="J6" s="42">
        <f t="shared" si="1"/>
        <v>0</v>
      </c>
      <c r="K6" s="42">
        <f t="shared" si="2"/>
        <v>0</v>
      </c>
      <c r="L6" s="42">
        <f t="shared" si="3"/>
        <v>0</v>
      </c>
      <c r="M6" s="42">
        <f t="shared" si="4"/>
        <v>0</v>
      </c>
      <c r="N6" s="42"/>
    </row>
    <row r="7" spans="1:14">
      <c r="A7" s="48">
        <v>4</v>
      </c>
      <c r="B7" s="230">
        <v>45904</v>
      </c>
      <c r="C7" s="42">
        <v>0</v>
      </c>
      <c r="D7" s="42"/>
      <c r="E7" s="42">
        <v>0</v>
      </c>
      <c r="F7" s="42">
        <v>0</v>
      </c>
      <c r="G7" s="42">
        <f t="shared" si="0"/>
        <v>0</v>
      </c>
      <c r="H7" s="42">
        <v>0</v>
      </c>
      <c r="I7" s="42">
        <v>0</v>
      </c>
      <c r="J7" s="42">
        <f t="shared" si="1"/>
        <v>0</v>
      </c>
      <c r="K7" s="42">
        <f t="shared" si="2"/>
        <v>0</v>
      </c>
      <c r="L7" s="42">
        <f t="shared" si="3"/>
        <v>0</v>
      </c>
      <c r="M7" s="42">
        <f t="shared" si="4"/>
        <v>0</v>
      </c>
      <c r="N7" s="42"/>
    </row>
    <row r="8" spans="1:14">
      <c r="A8" s="48">
        <v>5</v>
      </c>
      <c r="B8" s="230">
        <v>45905</v>
      </c>
      <c r="C8" s="42">
        <v>0</v>
      </c>
      <c r="D8" s="42"/>
      <c r="E8" s="42">
        <v>0</v>
      </c>
      <c r="F8" s="42">
        <v>0</v>
      </c>
      <c r="G8" s="42">
        <f t="shared" si="0"/>
        <v>0</v>
      </c>
      <c r="H8" s="42">
        <v>0</v>
      </c>
      <c r="I8" s="42">
        <v>0</v>
      </c>
      <c r="J8" s="42">
        <f t="shared" si="1"/>
        <v>0</v>
      </c>
      <c r="K8" s="42">
        <f t="shared" si="2"/>
        <v>0</v>
      </c>
      <c r="L8" s="42">
        <f t="shared" si="3"/>
        <v>0</v>
      </c>
      <c r="M8" s="42">
        <f t="shared" si="4"/>
        <v>0</v>
      </c>
      <c r="N8" s="42"/>
    </row>
    <row r="9" spans="1:14">
      <c r="A9" s="48">
        <v>6</v>
      </c>
      <c r="B9" s="230">
        <v>45906</v>
      </c>
      <c r="C9" s="42">
        <v>0</v>
      </c>
      <c r="D9" s="42"/>
      <c r="E9" s="42">
        <v>0</v>
      </c>
      <c r="F9" s="42">
        <v>0</v>
      </c>
      <c r="G9" s="42">
        <f t="shared" si="0"/>
        <v>0</v>
      </c>
      <c r="H9" s="42">
        <v>0</v>
      </c>
      <c r="I9" s="42">
        <v>0</v>
      </c>
      <c r="J9" s="42">
        <f t="shared" si="1"/>
        <v>0</v>
      </c>
      <c r="K9" s="42">
        <f t="shared" si="2"/>
        <v>0</v>
      </c>
      <c r="L9" s="42">
        <f t="shared" si="3"/>
        <v>0</v>
      </c>
      <c r="M9" s="42">
        <f t="shared" si="4"/>
        <v>0</v>
      </c>
      <c r="N9" s="42"/>
    </row>
    <row r="10" spans="1:14">
      <c r="A10" s="48">
        <v>7</v>
      </c>
      <c r="B10" s="230">
        <v>45907</v>
      </c>
      <c r="C10" s="42">
        <v>0</v>
      </c>
      <c r="D10" s="42"/>
      <c r="E10" s="42">
        <v>0</v>
      </c>
      <c r="F10" s="42">
        <v>0</v>
      </c>
      <c r="G10" s="42">
        <f t="shared" si="0"/>
        <v>0</v>
      </c>
      <c r="H10" s="42">
        <v>0</v>
      </c>
      <c r="I10" s="42">
        <v>0</v>
      </c>
      <c r="J10" s="42">
        <f t="shared" si="1"/>
        <v>0</v>
      </c>
      <c r="K10" s="42">
        <f t="shared" si="2"/>
        <v>0</v>
      </c>
      <c r="L10" s="42">
        <f t="shared" si="3"/>
        <v>0</v>
      </c>
      <c r="M10" s="42">
        <f t="shared" si="4"/>
        <v>0</v>
      </c>
      <c r="N10" s="42"/>
    </row>
    <row r="11" spans="1:14">
      <c r="A11" s="48">
        <v>8</v>
      </c>
      <c r="B11" s="230">
        <v>45908</v>
      </c>
      <c r="C11" s="42">
        <v>0</v>
      </c>
      <c r="D11" s="42"/>
      <c r="E11" s="42">
        <v>0</v>
      </c>
      <c r="F11" s="42">
        <v>0</v>
      </c>
      <c r="G11" s="42">
        <f t="shared" si="0"/>
        <v>0</v>
      </c>
      <c r="H11" s="42">
        <v>0</v>
      </c>
      <c r="I11" s="42">
        <v>0</v>
      </c>
      <c r="J11" s="42">
        <f t="shared" si="1"/>
        <v>0</v>
      </c>
      <c r="K11" s="42">
        <f t="shared" si="2"/>
        <v>0</v>
      </c>
      <c r="L11" s="42">
        <f t="shared" si="3"/>
        <v>0</v>
      </c>
      <c r="M11" s="42">
        <f t="shared" si="4"/>
        <v>0</v>
      </c>
      <c r="N11" s="42"/>
    </row>
    <row r="12" spans="1:14">
      <c r="A12" s="48">
        <v>9</v>
      </c>
      <c r="B12" s="230">
        <v>45909</v>
      </c>
      <c r="C12" s="42">
        <v>0</v>
      </c>
      <c r="D12" s="42"/>
      <c r="E12" s="42">
        <v>0</v>
      </c>
      <c r="F12" s="42">
        <v>0</v>
      </c>
      <c r="G12" s="42">
        <f t="shared" si="0"/>
        <v>0</v>
      </c>
      <c r="H12" s="42">
        <v>0</v>
      </c>
      <c r="I12" s="42">
        <v>0</v>
      </c>
      <c r="J12" s="42">
        <f t="shared" si="1"/>
        <v>0</v>
      </c>
      <c r="K12" s="42">
        <f t="shared" si="2"/>
        <v>0</v>
      </c>
      <c r="L12" s="42">
        <f t="shared" si="3"/>
        <v>0</v>
      </c>
      <c r="M12" s="42">
        <f t="shared" si="4"/>
        <v>0</v>
      </c>
      <c r="N12" s="42"/>
    </row>
    <row r="13" spans="1:14">
      <c r="A13" s="48">
        <v>10</v>
      </c>
      <c r="B13" s="230">
        <v>45910</v>
      </c>
      <c r="C13" s="42">
        <v>0</v>
      </c>
      <c r="D13" s="42"/>
      <c r="E13" s="42">
        <v>0</v>
      </c>
      <c r="F13" s="42">
        <v>0</v>
      </c>
      <c r="G13" s="42">
        <f t="shared" si="0"/>
        <v>0</v>
      </c>
      <c r="H13" s="42">
        <v>0</v>
      </c>
      <c r="I13" s="42">
        <v>0</v>
      </c>
      <c r="J13" s="42">
        <f t="shared" si="1"/>
        <v>0</v>
      </c>
      <c r="K13" s="42">
        <f t="shared" si="2"/>
        <v>0</v>
      </c>
      <c r="L13" s="42">
        <f t="shared" si="3"/>
        <v>0</v>
      </c>
      <c r="M13" s="42">
        <f t="shared" si="4"/>
        <v>0</v>
      </c>
      <c r="N13" s="42"/>
    </row>
    <row r="14" spans="1:14">
      <c r="A14" s="48">
        <v>11</v>
      </c>
      <c r="B14" s="230">
        <v>45911</v>
      </c>
      <c r="C14" s="42">
        <v>0</v>
      </c>
      <c r="D14" s="42"/>
      <c r="E14" s="42">
        <v>0</v>
      </c>
      <c r="F14" s="42">
        <v>0</v>
      </c>
      <c r="G14" s="42">
        <f t="shared" si="0"/>
        <v>0</v>
      </c>
      <c r="H14" s="42">
        <v>0</v>
      </c>
      <c r="I14" s="42">
        <v>0</v>
      </c>
      <c r="J14" s="42">
        <f t="shared" si="1"/>
        <v>0</v>
      </c>
      <c r="K14" s="42">
        <f t="shared" si="2"/>
        <v>0</v>
      </c>
      <c r="L14" s="42">
        <f t="shared" si="3"/>
        <v>0</v>
      </c>
      <c r="M14" s="42">
        <f t="shared" si="4"/>
        <v>0</v>
      </c>
      <c r="N14" s="42"/>
    </row>
    <row r="15" spans="1:14">
      <c r="A15" s="48">
        <v>12</v>
      </c>
      <c r="B15" s="230">
        <v>45912</v>
      </c>
      <c r="C15" s="42">
        <v>0</v>
      </c>
      <c r="D15" s="42"/>
      <c r="E15" s="42">
        <v>0</v>
      </c>
      <c r="F15" s="42">
        <v>0</v>
      </c>
      <c r="G15" s="42">
        <f t="shared" si="0"/>
        <v>0</v>
      </c>
      <c r="H15" s="42">
        <v>0</v>
      </c>
      <c r="I15" s="42">
        <v>0</v>
      </c>
      <c r="J15" s="42">
        <f t="shared" si="1"/>
        <v>0</v>
      </c>
      <c r="K15" s="42">
        <f t="shared" si="2"/>
        <v>0</v>
      </c>
      <c r="L15" s="42">
        <f t="shared" si="3"/>
        <v>0</v>
      </c>
      <c r="M15" s="42">
        <f t="shared" si="4"/>
        <v>0</v>
      </c>
      <c r="N15" s="42"/>
    </row>
    <row r="16" spans="1:14">
      <c r="A16" s="48">
        <v>13</v>
      </c>
      <c r="B16" s="230">
        <v>45913</v>
      </c>
      <c r="C16" s="42">
        <v>0</v>
      </c>
      <c r="D16" s="42"/>
      <c r="E16" s="42">
        <v>0</v>
      </c>
      <c r="F16" s="42">
        <v>0</v>
      </c>
      <c r="G16" s="42">
        <f t="shared" si="0"/>
        <v>0</v>
      </c>
      <c r="H16" s="42">
        <v>0</v>
      </c>
      <c r="I16" s="42">
        <v>0</v>
      </c>
      <c r="J16" s="42">
        <f t="shared" si="1"/>
        <v>0</v>
      </c>
      <c r="K16" s="42">
        <f t="shared" si="2"/>
        <v>0</v>
      </c>
      <c r="L16" s="42">
        <f t="shared" si="3"/>
        <v>0</v>
      </c>
      <c r="M16" s="42">
        <f t="shared" si="4"/>
        <v>0</v>
      </c>
      <c r="N16" s="42"/>
    </row>
    <row r="17" spans="1:14">
      <c r="A17" s="48">
        <v>14</v>
      </c>
      <c r="B17" s="230">
        <v>45914</v>
      </c>
      <c r="C17" s="42">
        <v>0</v>
      </c>
      <c r="D17" s="42"/>
      <c r="E17" s="42">
        <v>0</v>
      </c>
      <c r="F17" s="42">
        <v>0</v>
      </c>
      <c r="G17" s="42">
        <f t="shared" si="0"/>
        <v>0</v>
      </c>
      <c r="H17" s="42">
        <v>12</v>
      </c>
      <c r="I17" s="42">
        <v>103.22</v>
      </c>
      <c r="J17" s="42">
        <f t="shared" si="1"/>
        <v>1238.6399999999999</v>
      </c>
      <c r="K17" s="42">
        <f t="shared" si="2"/>
        <v>1238.6399999999999</v>
      </c>
      <c r="L17" s="42">
        <f t="shared" si="3"/>
        <v>1238.6399999999999</v>
      </c>
      <c r="M17" s="42">
        <f t="shared" si="4"/>
        <v>0</v>
      </c>
      <c r="N17" s="42"/>
    </row>
    <row r="18" spans="1:14">
      <c r="A18" s="48">
        <v>15</v>
      </c>
      <c r="B18" s="230">
        <v>45915</v>
      </c>
      <c r="C18" s="42">
        <v>0</v>
      </c>
      <c r="D18" s="42"/>
      <c r="E18" s="42">
        <v>0</v>
      </c>
      <c r="F18" s="42">
        <v>0</v>
      </c>
      <c r="G18" s="42">
        <f t="shared" si="0"/>
        <v>0</v>
      </c>
      <c r="H18" s="42">
        <v>0</v>
      </c>
      <c r="I18" s="42">
        <v>0</v>
      </c>
      <c r="J18" s="42">
        <f t="shared" si="1"/>
        <v>0</v>
      </c>
      <c r="K18" s="42">
        <f t="shared" si="2"/>
        <v>0</v>
      </c>
      <c r="L18" s="42">
        <f t="shared" si="3"/>
        <v>0</v>
      </c>
      <c r="M18" s="42">
        <f t="shared" si="4"/>
        <v>0</v>
      </c>
      <c r="N18" s="42"/>
    </row>
    <row r="19" spans="1:14">
      <c r="A19" s="48">
        <v>16</v>
      </c>
      <c r="B19" s="230">
        <v>45916</v>
      </c>
      <c r="C19" s="42">
        <v>0</v>
      </c>
      <c r="D19" s="42"/>
      <c r="E19" s="42">
        <v>0</v>
      </c>
      <c r="F19" s="42">
        <v>0</v>
      </c>
      <c r="G19" s="42">
        <f t="shared" si="0"/>
        <v>0</v>
      </c>
      <c r="H19" s="42">
        <v>0</v>
      </c>
      <c r="I19" s="42">
        <v>0</v>
      </c>
      <c r="J19" s="42">
        <f t="shared" si="1"/>
        <v>0</v>
      </c>
      <c r="K19" s="42">
        <f t="shared" si="2"/>
        <v>0</v>
      </c>
      <c r="L19" s="42">
        <f t="shared" si="3"/>
        <v>0</v>
      </c>
      <c r="M19" s="42">
        <f t="shared" si="4"/>
        <v>0</v>
      </c>
      <c r="N19" s="42"/>
    </row>
    <row r="20" spans="1:14">
      <c r="A20" s="48">
        <v>17</v>
      </c>
      <c r="B20" s="230">
        <v>45917</v>
      </c>
      <c r="C20" s="42">
        <v>0</v>
      </c>
      <c r="D20" s="42"/>
      <c r="E20" s="42">
        <v>0</v>
      </c>
      <c r="F20" s="42">
        <v>0</v>
      </c>
      <c r="G20" s="42">
        <f t="shared" si="0"/>
        <v>0</v>
      </c>
      <c r="H20" s="42">
        <v>0</v>
      </c>
      <c r="I20" s="42">
        <v>0</v>
      </c>
      <c r="J20" s="42">
        <f t="shared" si="1"/>
        <v>0</v>
      </c>
      <c r="K20" s="42">
        <f t="shared" si="2"/>
        <v>0</v>
      </c>
      <c r="L20" s="42">
        <f t="shared" si="3"/>
        <v>0</v>
      </c>
      <c r="M20" s="42">
        <f t="shared" si="4"/>
        <v>0</v>
      </c>
      <c r="N20" s="42"/>
    </row>
    <row r="21" spans="1:14">
      <c r="A21" s="48">
        <v>18</v>
      </c>
      <c r="B21" s="230">
        <v>45918</v>
      </c>
      <c r="C21" s="42">
        <v>0</v>
      </c>
      <c r="D21" s="42"/>
      <c r="E21" s="42">
        <v>0</v>
      </c>
      <c r="F21" s="42">
        <v>0</v>
      </c>
      <c r="G21" s="42">
        <f t="shared" si="0"/>
        <v>0</v>
      </c>
      <c r="H21" s="42">
        <v>0</v>
      </c>
      <c r="I21" s="42">
        <v>0</v>
      </c>
      <c r="J21" s="42">
        <f t="shared" si="1"/>
        <v>0</v>
      </c>
      <c r="K21" s="42">
        <f t="shared" si="2"/>
        <v>0</v>
      </c>
      <c r="L21" s="42">
        <f t="shared" si="3"/>
        <v>0</v>
      </c>
      <c r="M21" s="42">
        <f t="shared" si="4"/>
        <v>0</v>
      </c>
      <c r="N21" s="42"/>
    </row>
    <row r="22" spans="1:14">
      <c r="A22" s="48">
        <v>19</v>
      </c>
      <c r="B22" s="230">
        <v>45919</v>
      </c>
      <c r="C22" s="42">
        <v>0</v>
      </c>
      <c r="D22" s="42"/>
      <c r="E22" s="42">
        <v>0</v>
      </c>
      <c r="F22" s="42">
        <v>0</v>
      </c>
      <c r="G22" s="42">
        <f t="shared" si="0"/>
        <v>0</v>
      </c>
      <c r="H22" s="42">
        <v>0</v>
      </c>
      <c r="I22" s="42">
        <v>0</v>
      </c>
      <c r="J22" s="42">
        <f t="shared" si="1"/>
        <v>0</v>
      </c>
      <c r="K22" s="42">
        <f t="shared" si="2"/>
        <v>0</v>
      </c>
      <c r="L22" s="42">
        <f t="shared" si="3"/>
        <v>0</v>
      </c>
      <c r="M22" s="42">
        <f t="shared" si="4"/>
        <v>0</v>
      </c>
      <c r="N22" s="42"/>
    </row>
    <row r="23" spans="1:14">
      <c r="A23" s="48">
        <v>20</v>
      </c>
      <c r="B23" s="230">
        <v>45920</v>
      </c>
      <c r="C23" s="42">
        <v>0</v>
      </c>
      <c r="D23" s="42"/>
      <c r="E23" s="42">
        <v>0</v>
      </c>
      <c r="F23" s="42">
        <v>0</v>
      </c>
      <c r="G23" s="42">
        <f t="shared" si="0"/>
        <v>0</v>
      </c>
      <c r="H23" s="42">
        <v>0</v>
      </c>
      <c r="I23" s="42">
        <v>0</v>
      </c>
      <c r="J23" s="42">
        <f t="shared" si="1"/>
        <v>0</v>
      </c>
      <c r="K23" s="42">
        <f t="shared" si="2"/>
        <v>0</v>
      </c>
      <c r="L23" s="42">
        <f t="shared" si="3"/>
        <v>0</v>
      </c>
      <c r="M23" s="42">
        <f t="shared" si="4"/>
        <v>0</v>
      </c>
      <c r="N23" s="42"/>
    </row>
    <row r="24" spans="1:14">
      <c r="A24" s="48">
        <v>21</v>
      </c>
      <c r="B24" s="230">
        <v>45921</v>
      </c>
      <c r="C24" s="42">
        <v>0</v>
      </c>
      <c r="D24" s="42"/>
      <c r="E24" s="42">
        <v>0</v>
      </c>
      <c r="F24" s="42">
        <v>0</v>
      </c>
      <c r="G24" s="42">
        <f t="shared" si="0"/>
        <v>0</v>
      </c>
      <c r="H24" s="42">
        <v>0</v>
      </c>
      <c r="I24" s="42">
        <v>0</v>
      </c>
      <c r="J24" s="42">
        <f t="shared" si="1"/>
        <v>0</v>
      </c>
      <c r="K24" s="42">
        <f t="shared" si="2"/>
        <v>0</v>
      </c>
      <c r="L24" s="42">
        <f t="shared" si="3"/>
        <v>0</v>
      </c>
      <c r="M24" s="42">
        <f t="shared" si="4"/>
        <v>0</v>
      </c>
      <c r="N24" s="42"/>
    </row>
    <row r="25" spans="1:14">
      <c r="A25" s="48">
        <v>22</v>
      </c>
      <c r="B25" s="230">
        <v>45922</v>
      </c>
      <c r="C25" s="42">
        <v>0</v>
      </c>
      <c r="D25" s="42"/>
      <c r="E25" s="42">
        <v>0</v>
      </c>
      <c r="F25" s="42">
        <v>0</v>
      </c>
      <c r="G25" s="42">
        <f t="shared" si="0"/>
        <v>0</v>
      </c>
      <c r="H25" s="42">
        <v>0</v>
      </c>
      <c r="I25" s="42">
        <v>0</v>
      </c>
      <c r="J25" s="42">
        <f t="shared" si="1"/>
        <v>0</v>
      </c>
      <c r="K25" s="42">
        <f t="shared" si="2"/>
        <v>0</v>
      </c>
      <c r="L25" s="42">
        <f t="shared" si="3"/>
        <v>0</v>
      </c>
      <c r="M25" s="42">
        <f t="shared" si="4"/>
        <v>0</v>
      </c>
      <c r="N25" s="42"/>
    </row>
    <row r="26" spans="1:14">
      <c r="A26" s="48">
        <v>23</v>
      </c>
      <c r="B26" s="230">
        <v>45923</v>
      </c>
      <c r="C26" s="42">
        <v>0</v>
      </c>
      <c r="D26" s="42"/>
      <c r="E26" s="42">
        <v>0</v>
      </c>
      <c r="F26" s="42">
        <v>0</v>
      </c>
      <c r="G26" s="42">
        <f t="shared" si="0"/>
        <v>0</v>
      </c>
      <c r="H26" s="42">
        <v>0</v>
      </c>
      <c r="I26" s="42">
        <v>0</v>
      </c>
      <c r="J26" s="42">
        <f t="shared" si="1"/>
        <v>0</v>
      </c>
      <c r="K26" s="42">
        <f t="shared" si="2"/>
        <v>0</v>
      </c>
      <c r="L26" s="42">
        <f t="shared" si="3"/>
        <v>0</v>
      </c>
      <c r="M26" s="42">
        <f t="shared" si="4"/>
        <v>0</v>
      </c>
      <c r="N26" s="42"/>
    </row>
    <row r="27" spans="1:14">
      <c r="A27" s="48">
        <v>24</v>
      </c>
      <c r="B27" s="230">
        <v>45924</v>
      </c>
      <c r="C27" s="42">
        <v>0</v>
      </c>
      <c r="D27" s="42"/>
      <c r="E27" s="42">
        <v>0</v>
      </c>
      <c r="F27" s="42">
        <v>0</v>
      </c>
      <c r="G27" s="42">
        <f t="shared" si="0"/>
        <v>0</v>
      </c>
      <c r="H27" s="42">
        <v>0</v>
      </c>
      <c r="I27" s="42">
        <v>0</v>
      </c>
      <c r="J27" s="42">
        <f t="shared" si="1"/>
        <v>0</v>
      </c>
      <c r="K27" s="42">
        <f t="shared" si="2"/>
        <v>0</v>
      </c>
      <c r="L27" s="42">
        <f t="shared" si="3"/>
        <v>0</v>
      </c>
      <c r="M27" s="42">
        <f t="shared" si="4"/>
        <v>0</v>
      </c>
      <c r="N27" s="42"/>
    </row>
    <row r="28" spans="1:14">
      <c r="A28" s="232">
        <v>25</v>
      </c>
      <c r="B28" s="230">
        <v>45925</v>
      </c>
      <c r="C28" s="42">
        <v>0</v>
      </c>
      <c r="D28" s="42"/>
      <c r="E28" s="42">
        <v>0</v>
      </c>
      <c r="F28" s="42">
        <v>0</v>
      </c>
      <c r="G28" s="42">
        <f t="shared" si="0"/>
        <v>0</v>
      </c>
      <c r="H28" s="42">
        <v>0</v>
      </c>
      <c r="I28" s="42">
        <v>0</v>
      </c>
      <c r="J28" s="42">
        <f t="shared" si="1"/>
        <v>0</v>
      </c>
      <c r="K28" s="42">
        <f t="shared" si="2"/>
        <v>0</v>
      </c>
      <c r="L28" s="42">
        <f t="shared" si="3"/>
        <v>0</v>
      </c>
      <c r="M28" s="42">
        <f t="shared" si="4"/>
        <v>0</v>
      </c>
      <c r="N28" s="42"/>
    </row>
    <row r="29" spans="1:14">
      <c r="A29" s="232">
        <v>26</v>
      </c>
      <c r="B29" s="230">
        <v>45926</v>
      </c>
      <c r="C29" s="42">
        <v>0</v>
      </c>
      <c r="D29" s="42"/>
      <c r="E29" s="42">
        <v>0</v>
      </c>
      <c r="F29" s="42">
        <v>0</v>
      </c>
      <c r="G29" s="42">
        <f t="shared" si="0"/>
        <v>0</v>
      </c>
      <c r="H29" s="42">
        <v>0</v>
      </c>
      <c r="I29" s="42">
        <v>0</v>
      </c>
      <c r="J29" s="42">
        <f t="shared" si="1"/>
        <v>0</v>
      </c>
      <c r="K29" s="42">
        <f t="shared" si="2"/>
        <v>0</v>
      </c>
      <c r="L29" s="42">
        <f t="shared" si="3"/>
        <v>0</v>
      </c>
      <c r="M29" s="42">
        <f t="shared" si="4"/>
        <v>0</v>
      </c>
      <c r="N29" s="42"/>
    </row>
    <row r="30" spans="1:14">
      <c r="A30" s="232">
        <v>27</v>
      </c>
      <c r="B30" s="230">
        <v>45927</v>
      </c>
      <c r="C30" s="42">
        <v>0</v>
      </c>
      <c r="D30" s="42"/>
      <c r="E30" s="42">
        <v>0</v>
      </c>
      <c r="F30" s="42">
        <v>0</v>
      </c>
      <c r="G30" s="42">
        <f t="shared" si="0"/>
        <v>0</v>
      </c>
      <c r="H30" s="42">
        <v>0</v>
      </c>
      <c r="I30" s="42">
        <v>0</v>
      </c>
      <c r="J30" s="42">
        <f t="shared" si="1"/>
        <v>0</v>
      </c>
      <c r="K30" s="42">
        <f t="shared" si="2"/>
        <v>0</v>
      </c>
      <c r="L30" s="42">
        <f t="shared" si="3"/>
        <v>0</v>
      </c>
      <c r="M30" s="42">
        <f t="shared" si="4"/>
        <v>0</v>
      </c>
      <c r="N30" s="42"/>
    </row>
    <row r="31" spans="1:14">
      <c r="A31" s="232">
        <v>28</v>
      </c>
      <c r="B31" s="230">
        <v>45928</v>
      </c>
      <c r="C31" s="42">
        <v>0</v>
      </c>
      <c r="D31" s="42"/>
      <c r="E31" s="42">
        <v>0</v>
      </c>
      <c r="F31" s="42">
        <v>0</v>
      </c>
      <c r="G31" s="42">
        <f t="shared" si="0"/>
        <v>0</v>
      </c>
      <c r="H31" s="42">
        <v>0</v>
      </c>
      <c r="I31" s="42">
        <v>0</v>
      </c>
      <c r="J31" s="42">
        <f t="shared" si="1"/>
        <v>0</v>
      </c>
      <c r="K31" s="42">
        <f t="shared" si="2"/>
        <v>0</v>
      </c>
      <c r="L31" s="42">
        <f t="shared" si="3"/>
        <v>0</v>
      </c>
      <c r="M31" s="42">
        <f t="shared" si="4"/>
        <v>0</v>
      </c>
      <c r="N31" s="42"/>
    </row>
    <row r="32" spans="1:14">
      <c r="A32" s="233">
        <v>29</v>
      </c>
      <c r="B32" s="230">
        <v>45929</v>
      </c>
      <c r="C32" s="42">
        <v>0</v>
      </c>
      <c r="D32" s="42"/>
      <c r="E32" s="42">
        <v>0</v>
      </c>
      <c r="F32" s="42">
        <v>0</v>
      </c>
      <c r="G32" s="42">
        <f t="shared" si="0"/>
        <v>0</v>
      </c>
      <c r="H32" s="42">
        <v>17</v>
      </c>
      <c r="I32" s="42">
        <v>103.22</v>
      </c>
      <c r="J32" s="42">
        <f t="shared" si="1"/>
        <v>1754.74</v>
      </c>
      <c r="K32" s="42">
        <f t="shared" si="2"/>
        <v>1754.74</v>
      </c>
      <c r="L32" s="42">
        <f t="shared" si="3"/>
        <v>1754.74</v>
      </c>
      <c r="M32" s="42">
        <f t="shared" si="4"/>
        <v>0</v>
      </c>
      <c r="N32" s="42"/>
    </row>
    <row r="33" spans="1:14">
      <c r="A33" s="233">
        <v>30</v>
      </c>
      <c r="B33" s="230">
        <v>45930</v>
      </c>
      <c r="C33" s="42">
        <v>0</v>
      </c>
      <c r="D33" s="42"/>
      <c r="E33" s="42">
        <v>0</v>
      </c>
      <c r="F33" s="42">
        <v>0</v>
      </c>
      <c r="G33" s="42">
        <f t="shared" ref="G5:G34" si="5">E33*F33</f>
        <v>0</v>
      </c>
      <c r="H33" s="42">
        <v>0</v>
      </c>
      <c r="I33" s="42">
        <v>0</v>
      </c>
      <c r="J33" s="42">
        <f t="shared" si="1"/>
        <v>0</v>
      </c>
      <c r="K33" s="42">
        <f t="shared" si="2"/>
        <v>0</v>
      </c>
      <c r="L33" s="42">
        <f t="shared" ref="L7:L34" si="6">+K33</f>
        <v>0</v>
      </c>
      <c r="M33" s="42">
        <f t="shared" si="4"/>
        <v>0</v>
      </c>
      <c r="N33" s="42"/>
    </row>
    <row r="34" spans="1:14">
      <c r="A34" s="233">
        <v>31</v>
      </c>
      <c r="B34" s="230"/>
      <c r="C34" s="42">
        <v>0</v>
      </c>
      <c r="D34" s="42"/>
      <c r="E34" s="42">
        <v>0</v>
      </c>
      <c r="F34" s="42">
        <v>0</v>
      </c>
      <c r="G34" s="42">
        <f t="shared" si="5"/>
        <v>0</v>
      </c>
      <c r="H34" s="42">
        <v>0</v>
      </c>
      <c r="I34" s="42">
        <v>0</v>
      </c>
      <c r="J34" s="42">
        <f t="shared" si="1"/>
        <v>0</v>
      </c>
      <c r="K34" s="42">
        <f t="shared" si="2"/>
        <v>0</v>
      </c>
      <c r="L34" s="42">
        <f t="shared" si="6"/>
        <v>0</v>
      </c>
      <c r="M34" s="42">
        <f t="shared" si="4"/>
        <v>0</v>
      </c>
      <c r="N34" s="42"/>
    </row>
    <row r="35" spans="1:14">
      <c r="A35" s="187"/>
      <c r="B35" s="187"/>
      <c r="C35" s="187"/>
      <c r="D35" s="187"/>
      <c r="E35" s="187">
        <f>SUM(E4:E34)</f>
        <v>0</v>
      </c>
      <c r="F35" s="187"/>
      <c r="G35" s="187">
        <f>SUM(G4:G34)</f>
        <v>0</v>
      </c>
      <c r="H35" s="187">
        <f>SUM(H4:H34)</f>
        <v>29</v>
      </c>
      <c r="I35" s="187"/>
      <c r="J35" s="187">
        <f>SUM(J4:J34)</f>
        <v>2993.38</v>
      </c>
      <c r="K35" s="187">
        <f>SUM(K4:K34)</f>
        <v>2993.38</v>
      </c>
      <c r="L35" s="187">
        <f>SUM(L4:L34)</f>
        <v>2993.38</v>
      </c>
      <c r="M35" s="187"/>
      <c r="N35" s="187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CEE4-190C-4D69-94E4-049C8E7DD053}">
  <dimension ref="A1:N35"/>
  <sheetViews>
    <sheetView workbookViewId="0">
      <pane ySplit="2" topLeftCell="A30" activePane="bottomLeft" state="frozen"/>
      <selection pane="bottomLeft" activeCell="H45" sqref="H45"/>
    </sheetView>
  </sheetViews>
  <sheetFormatPr defaultRowHeight="15"/>
  <cols>
    <col min="1" max="1" width="5.140625" style="5" bestFit="1" customWidth="1"/>
    <col min="2" max="2" width="11.5703125" style="5" bestFit="1" customWidth="1"/>
    <col min="3" max="3" width="8" style="5" bestFit="1" customWidth="1"/>
    <col min="4" max="4" width="15.140625" style="5" customWidth="1"/>
    <col min="5" max="5" width="10.7109375" style="5" bestFit="1" customWidth="1"/>
    <col min="6" max="6" width="10.42578125" style="5" bestFit="1" customWidth="1"/>
    <col min="7" max="7" width="9.28515625" style="5" bestFit="1" customWidth="1"/>
    <col min="8" max="8" width="10.7109375" style="5" bestFit="1" customWidth="1"/>
    <col min="9" max="9" width="8" style="5" bestFit="1" customWidth="1"/>
    <col min="10" max="10" width="9.28515625" style="5" bestFit="1" customWidth="1"/>
    <col min="11" max="12" width="13.5703125" style="5" bestFit="1" customWidth="1"/>
    <col min="13" max="13" width="13.5703125" style="5" customWidth="1"/>
    <col min="14" max="14" width="19.7109375" style="5" customWidth="1"/>
    <col min="15" max="16384" width="9.140625" style="5"/>
  </cols>
  <sheetData>
    <row r="1" spans="1:14" ht="15.75" customHeight="1">
      <c r="A1" s="419" t="s">
        <v>56</v>
      </c>
      <c r="B1" s="419"/>
      <c r="C1" s="419"/>
      <c r="D1" s="419"/>
      <c r="E1" s="419"/>
      <c r="F1" s="419"/>
      <c r="G1" s="419"/>
      <c r="H1" s="419"/>
      <c r="I1" s="419"/>
      <c r="J1" s="419"/>
      <c r="K1" s="419"/>
      <c r="L1" s="419"/>
      <c r="M1" s="419"/>
      <c r="N1" s="419"/>
    </row>
    <row r="2" spans="1:14">
      <c r="A2" s="68" t="s">
        <v>90</v>
      </c>
      <c r="B2" s="68" t="s">
        <v>91</v>
      </c>
      <c r="C2" s="68" t="s">
        <v>92</v>
      </c>
      <c r="D2" s="68" t="s">
        <v>93</v>
      </c>
      <c r="E2" s="95" t="s">
        <v>94</v>
      </c>
      <c r="F2" s="95" t="s">
        <v>95</v>
      </c>
      <c r="G2" s="95" t="s">
        <v>96</v>
      </c>
      <c r="H2" s="95" t="s">
        <v>97</v>
      </c>
      <c r="I2" s="95" t="s">
        <v>95</v>
      </c>
      <c r="J2" s="95" t="s">
        <v>96</v>
      </c>
      <c r="K2" s="95" t="s">
        <v>98</v>
      </c>
      <c r="L2" s="89" t="s">
        <v>99</v>
      </c>
      <c r="M2" s="89" t="s">
        <v>106</v>
      </c>
      <c r="N2" s="68" t="s">
        <v>101</v>
      </c>
    </row>
    <row r="3" spans="1:14">
      <c r="A3" s="420" t="s">
        <v>102</v>
      </c>
      <c r="B3" s="420"/>
      <c r="C3" s="420"/>
      <c r="D3" s="420"/>
      <c r="E3" s="420"/>
      <c r="F3" s="420"/>
      <c r="G3" s="420"/>
      <c r="H3" s="420"/>
      <c r="I3" s="420"/>
      <c r="J3" s="420"/>
      <c r="K3" s="184">
        <v>0</v>
      </c>
      <c r="L3" s="106"/>
      <c r="M3" s="106">
        <f>+K3</f>
        <v>0</v>
      </c>
    </row>
    <row r="4" spans="1:14">
      <c r="A4" s="26">
        <v>1</v>
      </c>
      <c r="B4" s="27">
        <v>45901</v>
      </c>
      <c r="C4" s="6"/>
      <c r="D4" s="6"/>
      <c r="E4" s="283">
        <v>43.73</v>
      </c>
      <c r="F4" s="46">
        <v>91.92</v>
      </c>
      <c r="G4" s="70">
        <f>E4*F4</f>
        <v>4019.6615999999999</v>
      </c>
      <c r="H4" s="46">
        <v>4.5199999999999996</v>
      </c>
      <c r="I4" s="46">
        <v>103.96</v>
      </c>
      <c r="J4" s="70">
        <f>H4*I4</f>
        <v>469.89919999999995</v>
      </c>
      <c r="K4" s="70">
        <f>G4+J4</f>
        <v>4489.5608000000002</v>
      </c>
      <c r="L4" s="70">
        <f>+K4</f>
        <v>4489.5608000000002</v>
      </c>
      <c r="M4" s="70">
        <f>M3+K4-L4</f>
        <v>0</v>
      </c>
      <c r="N4" s="6" t="s">
        <v>117</v>
      </c>
    </row>
    <row r="5" spans="1:14">
      <c r="A5" s="26">
        <v>2</v>
      </c>
      <c r="B5" s="27">
        <v>45902</v>
      </c>
      <c r="C5" s="6"/>
      <c r="D5" s="6"/>
      <c r="E5" s="283"/>
      <c r="F5" s="46">
        <v>0</v>
      </c>
      <c r="G5" s="70">
        <f t="shared" ref="G5:G34" si="0">E5*F5</f>
        <v>0</v>
      </c>
      <c r="H5" s="46">
        <v>0</v>
      </c>
      <c r="I5" s="46">
        <v>0</v>
      </c>
      <c r="J5" s="70">
        <f t="shared" ref="J5:J34" si="1">H5*I5</f>
        <v>0</v>
      </c>
      <c r="K5" s="70">
        <f t="shared" ref="K5:K34" si="2">G5+J5</f>
        <v>0</v>
      </c>
      <c r="L5" s="70">
        <f t="shared" ref="L5:L34" si="3">+K5</f>
        <v>0</v>
      </c>
      <c r="M5" s="70">
        <f t="shared" ref="M5:M30" si="4">M4+K5-L5</f>
        <v>0</v>
      </c>
      <c r="N5" s="6"/>
    </row>
    <row r="6" spans="1:14">
      <c r="A6" s="26">
        <v>3</v>
      </c>
      <c r="B6" s="27">
        <v>45903</v>
      </c>
      <c r="C6" s="6"/>
      <c r="D6" s="6"/>
      <c r="E6" s="283">
        <v>0</v>
      </c>
      <c r="F6" s="46">
        <v>0</v>
      </c>
      <c r="G6" s="70">
        <f t="shared" si="0"/>
        <v>0</v>
      </c>
      <c r="H6" s="46">
        <v>0</v>
      </c>
      <c r="I6" s="46">
        <v>0</v>
      </c>
      <c r="J6" s="70">
        <f t="shared" si="1"/>
        <v>0</v>
      </c>
      <c r="K6" s="70">
        <f t="shared" si="2"/>
        <v>0</v>
      </c>
      <c r="L6" s="70">
        <f t="shared" si="3"/>
        <v>0</v>
      </c>
      <c r="M6" s="70">
        <f t="shared" si="4"/>
        <v>0</v>
      </c>
      <c r="N6" s="6"/>
    </row>
    <row r="7" spans="1:14">
      <c r="A7" s="26">
        <v>4</v>
      </c>
      <c r="B7" s="27">
        <v>45904</v>
      </c>
      <c r="C7" s="6"/>
      <c r="D7" s="6"/>
      <c r="E7" s="283">
        <v>40</v>
      </c>
      <c r="F7" s="46">
        <v>91.92</v>
      </c>
      <c r="G7" s="70">
        <f t="shared" si="0"/>
        <v>3676.8</v>
      </c>
      <c r="H7" s="46">
        <v>5.49</v>
      </c>
      <c r="I7" s="46">
        <v>103.96</v>
      </c>
      <c r="J7" s="70">
        <f t="shared" si="1"/>
        <v>570.74040000000002</v>
      </c>
      <c r="K7" s="70">
        <f t="shared" si="2"/>
        <v>4247.5403999999999</v>
      </c>
      <c r="L7" s="70">
        <f t="shared" si="3"/>
        <v>4247.5403999999999</v>
      </c>
      <c r="M7" s="70">
        <f t="shared" si="4"/>
        <v>0</v>
      </c>
      <c r="N7" s="6"/>
    </row>
    <row r="8" spans="1:14">
      <c r="A8" s="26">
        <v>5</v>
      </c>
      <c r="B8" s="27">
        <v>45905</v>
      </c>
      <c r="C8" s="6"/>
      <c r="D8" s="6"/>
      <c r="E8" s="283">
        <v>0</v>
      </c>
      <c r="F8" s="46">
        <v>0</v>
      </c>
      <c r="G8" s="70">
        <f t="shared" si="0"/>
        <v>0</v>
      </c>
      <c r="H8" s="46">
        <v>0</v>
      </c>
      <c r="I8" s="46">
        <v>0</v>
      </c>
      <c r="J8" s="70">
        <f t="shared" si="1"/>
        <v>0</v>
      </c>
      <c r="K8" s="70">
        <f t="shared" si="2"/>
        <v>0</v>
      </c>
      <c r="L8" s="70">
        <f t="shared" si="3"/>
        <v>0</v>
      </c>
      <c r="M8" s="70">
        <f t="shared" si="4"/>
        <v>0</v>
      </c>
      <c r="N8" s="6"/>
    </row>
    <row r="9" spans="1:14">
      <c r="A9" s="26">
        <v>6</v>
      </c>
      <c r="B9" s="27">
        <v>45906</v>
      </c>
      <c r="C9" s="6"/>
      <c r="D9" s="6"/>
      <c r="E9" s="283">
        <v>0</v>
      </c>
      <c r="F9" s="46">
        <v>0</v>
      </c>
      <c r="G9" s="70">
        <f t="shared" si="0"/>
        <v>0</v>
      </c>
      <c r="H9" s="46">
        <v>0</v>
      </c>
      <c r="I9" s="46">
        <v>0</v>
      </c>
      <c r="J9" s="70">
        <f t="shared" si="1"/>
        <v>0</v>
      </c>
      <c r="K9" s="70">
        <f t="shared" si="2"/>
        <v>0</v>
      </c>
      <c r="L9" s="70">
        <f t="shared" si="3"/>
        <v>0</v>
      </c>
      <c r="M9" s="70">
        <f t="shared" si="4"/>
        <v>0</v>
      </c>
      <c r="N9" s="6"/>
    </row>
    <row r="10" spans="1:14">
      <c r="A10" s="26">
        <v>7</v>
      </c>
      <c r="B10" s="27">
        <v>45907</v>
      </c>
      <c r="C10" s="6"/>
      <c r="D10" s="6"/>
      <c r="E10" s="283">
        <v>40</v>
      </c>
      <c r="F10" s="46">
        <v>91.92</v>
      </c>
      <c r="G10" s="70">
        <f t="shared" si="0"/>
        <v>3676.8</v>
      </c>
      <c r="H10" s="46">
        <v>0</v>
      </c>
      <c r="I10" s="46">
        <v>0</v>
      </c>
      <c r="J10" s="70">
        <f t="shared" si="1"/>
        <v>0</v>
      </c>
      <c r="K10" s="70">
        <f t="shared" si="2"/>
        <v>3676.8</v>
      </c>
      <c r="L10" s="70">
        <f t="shared" si="3"/>
        <v>3676.8</v>
      </c>
      <c r="M10" s="70">
        <f t="shared" si="4"/>
        <v>0</v>
      </c>
      <c r="N10" s="6"/>
    </row>
    <row r="11" spans="1:14">
      <c r="A11" s="26">
        <v>8</v>
      </c>
      <c r="B11" s="27">
        <v>45908</v>
      </c>
      <c r="C11" s="6"/>
      <c r="D11" s="6"/>
      <c r="E11" s="283">
        <v>0</v>
      </c>
      <c r="F11" s="46">
        <v>0</v>
      </c>
      <c r="G11" s="70">
        <f t="shared" si="0"/>
        <v>0</v>
      </c>
      <c r="H11" s="46">
        <v>0</v>
      </c>
      <c r="I11" s="46">
        <v>0</v>
      </c>
      <c r="J11" s="70">
        <f t="shared" si="1"/>
        <v>0</v>
      </c>
      <c r="K11" s="70">
        <f t="shared" si="2"/>
        <v>0</v>
      </c>
      <c r="L11" s="70">
        <f t="shared" si="3"/>
        <v>0</v>
      </c>
      <c r="M11" s="70">
        <f t="shared" si="4"/>
        <v>0</v>
      </c>
      <c r="N11" s="6"/>
    </row>
    <row r="12" spans="1:14">
      <c r="A12" s="26">
        <v>9</v>
      </c>
      <c r="B12" s="27">
        <v>45909</v>
      </c>
      <c r="C12" s="6"/>
      <c r="D12" s="6"/>
      <c r="E12" s="283">
        <v>0</v>
      </c>
      <c r="F12" s="46">
        <v>0</v>
      </c>
      <c r="G12" s="70">
        <f t="shared" si="0"/>
        <v>0</v>
      </c>
      <c r="H12" s="46">
        <v>0</v>
      </c>
      <c r="I12" s="46">
        <v>0</v>
      </c>
      <c r="J12" s="70">
        <f t="shared" si="1"/>
        <v>0</v>
      </c>
      <c r="K12" s="70">
        <f t="shared" si="2"/>
        <v>0</v>
      </c>
      <c r="L12" s="70">
        <f t="shared" si="3"/>
        <v>0</v>
      </c>
      <c r="M12" s="70">
        <f t="shared" si="4"/>
        <v>0</v>
      </c>
      <c r="N12" s="6"/>
    </row>
    <row r="13" spans="1:14">
      <c r="A13" s="26">
        <v>10</v>
      </c>
      <c r="B13" s="27">
        <v>45910</v>
      </c>
      <c r="C13" s="6"/>
      <c r="D13" s="6"/>
      <c r="E13" s="283">
        <v>0</v>
      </c>
      <c r="F13" s="46">
        <v>0</v>
      </c>
      <c r="G13" s="70">
        <f t="shared" si="0"/>
        <v>0</v>
      </c>
      <c r="H13" s="46">
        <v>13.16</v>
      </c>
      <c r="I13" s="46">
        <v>103.96</v>
      </c>
      <c r="J13" s="70">
        <f t="shared" si="1"/>
        <v>1368.1135999999999</v>
      </c>
      <c r="K13" s="70">
        <f t="shared" si="2"/>
        <v>1368.1135999999999</v>
      </c>
      <c r="L13" s="70">
        <f t="shared" si="3"/>
        <v>1368.1135999999999</v>
      </c>
      <c r="M13" s="70">
        <f t="shared" si="4"/>
        <v>0</v>
      </c>
      <c r="N13" s="6"/>
    </row>
    <row r="14" spans="1:14">
      <c r="A14" s="26">
        <v>11</v>
      </c>
      <c r="B14" s="27">
        <v>45911</v>
      </c>
      <c r="C14" s="6"/>
      <c r="D14" s="6"/>
      <c r="E14" s="283">
        <v>0</v>
      </c>
      <c r="F14" s="46">
        <v>0</v>
      </c>
      <c r="G14" s="70">
        <f t="shared" si="0"/>
        <v>0</v>
      </c>
      <c r="H14" s="46">
        <v>0</v>
      </c>
      <c r="I14" s="46">
        <v>0</v>
      </c>
      <c r="J14" s="70">
        <f t="shared" si="1"/>
        <v>0</v>
      </c>
      <c r="K14" s="70">
        <f t="shared" si="2"/>
        <v>0</v>
      </c>
      <c r="L14" s="70">
        <f t="shared" si="3"/>
        <v>0</v>
      </c>
      <c r="M14" s="70">
        <f t="shared" si="4"/>
        <v>0</v>
      </c>
      <c r="N14" s="6"/>
    </row>
    <row r="15" spans="1:14">
      <c r="A15" s="26">
        <v>12</v>
      </c>
      <c r="B15" s="27">
        <v>45912</v>
      </c>
      <c r="C15" s="6"/>
      <c r="D15" s="6"/>
      <c r="E15" s="283">
        <v>40</v>
      </c>
      <c r="F15" s="46">
        <v>91.92</v>
      </c>
      <c r="G15" s="70">
        <f t="shared" si="0"/>
        <v>3676.8</v>
      </c>
      <c r="H15" s="46">
        <v>0</v>
      </c>
      <c r="I15" s="46">
        <v>0</v>
      </c>
      <c r="J15" s="70">
        <f t="shared" si="1"/>
        <v>0</v>
      </c>
      <c r="K15" s="70">
        <f t="shared" si="2"/>
        <v>3676.8</v>
      </c>
      <c r="L15" s="70">
        <f t="shared" si="3"/>
        <v>3676.8</v>
      </c>
      <c r="M15" s="70">
        <f t="shared" si="4"/>
        <v>0</v>
      </c>
      <c r="N15" s="6"/>
    </row>
    <row r="16" spans="1:14">
      <c r="A16" s="26">
        <v>13</v>
      </c>
      <c r="B16" s="27">
        <v>45913</v>
      </c>
      <c r="C16" s="6"/>
      <c r="D16" s="6"/>
      <c r="E16" s="283">
        <v>50</v>
      </c>
      <c r="F16" s="46">
        <v>91.92</v>
      </c>
      <c r="G16" s="70">
        <f t="shared" si="0"/>
        <v>4596</v>
      </c>
      <c r="H16" s="46">
        <v>0</v>
      </c>
      <c r="I16" s="46">
        <v>0</v>
      </c>
      <c r="J16" s="70">
        <f t="shared" si="1"/>
        <v>0</v>
      </c>
      <c r="K16" s="70">
        <f t="shared" si="2"/>
        <v>4596</v>
      </c>
      <c r="L16" s="70">
        <f t="shared" si="3"/>
        <v>4596</v>
      </c>
      <c r="M16" s="70">
        <f t="shared" si="4"/>
        <v>0</v>
      </c>
      <c r="N16" s="6"/>
    </row>
    <row r="17" spans="1:14">
      <c r="A17" s="26">
        <v>14</v>
      </c>
      <c r="B17" s="27">
        <v>45914</v>
      </c>
      <c r="C17" s="183"/>
      <c r="D17" s="6"/>
      <c r="E17" s="283">
        <v>0</v>
      </c>
      <c r="F17" s="46">
        <v>0</v>
      </c>
      <c r="G17" s="70">
        <f t="shared" si="0"/>
        <v>0</v>
      </c>
      <c r="H17" s="46">
        <v>0</v>
      </c>
      <c r="I17" s="46">
        <v>0</v>
      </c>
      <c r="J17" s="70">
        <f t="shared" si="1"/>
        <v>0</v>
      </c>
      <c r="K17" s="70">
        <f t="shared" si="2"/>
        <v>0</v>
      </c>
      <c r="L17" s="70">
        <f t="shared" si="3"/>
        <v>0</v>
      </c>
      <c r="M17" s="70">
        <f t="shared" si="4"/>
        <v>0</v>
      </c>
      <c r="N17" s="6"/>
    </row>
    <row r="18" spans="1:14">
      <c r="A18" s="26">
        <v>15</v>
      </c>
      <c r="B18" s="27">
        <v>45915</v>
      </c>
      <c r="C18" s="183"/>
      <c r="D18" s="6"/>
      <c r="E18" s="283">
        <v>0</v>
      </c>
      <c r="F18" s="46">
        <v>0</v>
      </c>
      <c r="G18" s="70">
        <f t="shared" si="0"/>
        <v>0</v>
      </c>
      <c r="H18" s="46">
        <v>0</v>
      </c>
      <c r="I18" s="46">
        <v>0</v>
      </c>
      <c r="J18" s="70">
        <f t="shared" si="1"/>
        <v>0</v>
      </c>
      <c r="K18" s="70">
        <f t="shared" si="2"/>
        <v>0</v>
      </c>
      <c r="L18" s="70">
        <f t="shared" si="3"/>
        <v>0</v>
      </c>
      <c r="M18" s="70">
        <f t="shared" si="4"/>
        <v>0</v>
      </c>
      <c r="N18" s="6"/>
    </row>
    <row r="19" spans="1:14">
      <c r="A19" s="26">
        <v>16</v>
      </c>
      <c r="B19" s="27">
        <v>45916</v>
      </c>
      <c r="C19" s="183"/>
      <c r="D19" s="6"/>
      <c r="E19" s="283">
        <v>0</v>
      </c>
      <c r="F19" s="46">
        <v>0</v>
      </c>
      <c r="G19" s="70">
        <f t="shared" si="0"/>
        <v>0</v>
      </c>
      <c r="H19" s="46">
        <v>0</v>
      </c>
      <c r="I19" s="46">
        <v>0</v>
      </c>
      <c r="J19" s="70">
        <f t="shared" si="1"/>
        <v>0</v>
      </c>
      <c r="K19" s="70">
        <f t="shared" si="2"/>
        <v>0</v>
      </c>
      <c r="L19" s="70">
        <f t="shared" si="3"/>
        <v>0</v>
      </c>
      <c r="M19" s="70">
        <f t="shared" si="4"/>
        <v>0</v>
      </c>
      <c r="N19" s="6"/>
    </row>
    <row r="20" spans="1:14">
      <c r="A20" s="26">
        <v>17</v>
      </c>
      <c r="B20" s="27">
        <v>45917</v>
      </c>
      <c r="C20" s="183"/>
      <c r="D20" s="6"/>
      <c r="E20" s="373">
        <v>35</v>
      </c>
      <c r="F20" s="46">
        <v>91.92</v>
      </c>
      <c r="G20" s="70">
        <f t="shared" si="0"/>
        <v>3217.2000000000003</v>
      </c>
      <c r="H20" s="46">
        <v>0</v>
      </c>
      <c r="I20" s="46">
        <v>0</v>
      </c>
      <c r="J20" s="70">
        <f t="shared" si="1"/>
        <v>0</v>
      </c>
      <c r="K20" s="70">
        <f t="shared" si="2"/>
        <v>3217.2000000000003</v>
      </c>
      <c r="L20" s="70">
        <f t="shared" si="3"/>
        <v>3217.2000000000003</v>
      </c>
      <c r="M20" s="70">
        <f t="shared" si="4"/>
        <v>0</v>
      </c>
      <c r="N20" s="6"/>
    </row>
    <row r="21" spans="1:14">
      <c r="A21" s="26">
        <v>18</v>
      </c>
      <c r="B21" s="27">
        <v>45918</v>
      </c>
      <c r="C21" s="183"/>
      <c r="D21" s="6"/>
      <c r="E21" s="283">
        <v>0</v>
      </c>
      <c r="F21" s="46">
        <v>0</v>
      </c>
      <c r="G21" s="70">
        <f t="shared" si="0"/>
        <v>0</v>
      </c>
      <c r="H21" s="46">
        <v>0</v>
      </c>
      <c r="I21" s="46">
        <v>0</v>
      </c>
      <c r="J21" s="70">
        <f t="shared" si="1"/>
        <v>0</v>
      </c>
      <c r="K21" s="70">
        <f t="shared" si="2"/>
        <v>0</v>
      </c>
      <c r="L21" s="70">
        <f t="shared" si="3"/>
        <v>0</v>
      </c>
      <c r="M21" s="70">
        <f t="shared" si="4"/>
        <v>0</v>
      </c>
      <c r="N21" s="6"/>
    </row>
    <row r="22" spans="1:14">
      <c r="A22" s="26">
        <v>19</v>
      </c>
      <c r="B22" s="27">
        <v>45919</v>
      </c>
      <c r="C22" s="183"/>
      <c r="D22" s="6"/>
      <c r="E22" s="283">
        <v>30</v>
      </c>
      <c r="F22" s="46">
        <v>91.92</v>
      </c>
      <c r="G22" s="70">
        <f t="shared" si="0"/>
        <v>2757.6</v>
      </c>
      <c r="H22" s="46">
        <v>6.26</v>
      </c>
      <c r="I22" s="46">
        <v>103.96</v>
      </c>
      <c r="J22" s="70">
        <f t="shared" si="1"/>
        <v>650.78959999999995</v>
      </c>
      <c r="K22" s="70">
        <f t="shared" si="2"/>
        <v>3408.3896</v>
      </c>
      <c r="L22" s="70">
        <f t="shared" si="3"/>
        <v>3408.3896</v>
      </c>
      <c r="M22" s="70">
        <f t="shared" si="4"/>
        <v>0</v>
      </c>
      <c r="N22" s="6"/>
    </row>
    <row r="23" spans="1:14">
      <c r="A23" s="26">
        <v>20</v>
      </c>
      <c r="B23" s="27">
        <v>45920</v>
      </c>
      <c r="C23" s="183"/>
      <c r="D23" s="6"/>
      <c r="E23" s="283">
        <v>42.69</v>
      </c>
      <c r="F23" s="46">
        <v>91.92</v>
      </c>
      <c r="G23" s="70">
        <f t="shared" si="0"/>
        <v>3924.0647999999997</v>
      </c>
      <c r="H23" s="46">
        <v>6.2</v>
      </c>
      <c r="I23" s="46">
        <v>103.96</v>
      </c>
      <c r="J23" s="70">
        <f t="shared" si="1"/>
        <v>644.55200000000002</v>
      </c>
      <c r="K23" s="70">
        <f t="shared" si="2"/>
        <v>4568.6167999999998</v>
      </c>
      <c r="L23" s="70">
        <f t="shared" si="3"/>
        <v>4568.6167999999998</v>
      </c>
      <c r="M23" s="70">
        <f t="shared" si="4"/>
        <v>0</v>
      </c>
      <c r="N23" s="6"/>
    </row>
    <row r="24" spans="1:14">
      <c r="A24" s="26">
        <v>21</v>
      </c>
      <c r="B24" s="27">
        <v>45921</v>
      </c>
      <c r="C24" s="183"/>
      <c r="D24" s="6"/>
      <c r="E24" s="283">
        <v>0</v>
      </c>
      <c r="F24" s="46">
        <v>0</v>
      </c>
      <c r="G24" s="70">
        <f t="shared" si="0"/>
        <v>0</v>
      </c>
      <c r="H24" s="46">
        <v>0</v>
      </c>
      <c r="I24" s="46">
        <v>0</v>
      </c>
      <c r="J24" s="70">
        <f t="shared" si="1"/>
        <v>0</v>
      </c>
      <c r="K24" s="70">
        <f t="shared" si="2"/>
        <v>0</v>
      </c>
      <c r="L24" s="70">
        <f t="shared" si="3"/>
        <v>0</v>
      </c>
      <c r="M24" s="70">
        <f t="shared" si="4"/>
        <v>0</v>
      </c>
      <c r="N24" s="6"/>
    </row>
    <row r="25" spans="1:14">
      <c r="A25" s="26">
        <v>22</v>
      </c>
      <c r="B25" s="27">
        <v>45922</v>
      </c>
      <c r="C25" s="183"/>
      <c r="D25" s="6"/>
      <c r="E25" s="283">
        <v>0</v>
      </c>
      <c r="F25" s="46">
        <v>0</v>
      </c>
      <c r="G25" s="70">
        <f t="shared" si="0"/>
        <v>0</v>
      </c>
      <c r="H25" s="46">
        <v>0</v>
      </c>
      <c r="I25" s="46">
        <v>0</v>
      </c>
      <c r="J25" s="70">
        <f t="shared" si="1"/>
        <v>0</v>
      </c>
      <c r="K25" s="70">
        <f t="shared" si="2"/>
        <v>0</v>
      </c>
      <c r="L25" s="70">
        <f t="shared" si="3"/>
        <v>0</v>
      </c>
      <c r="M25" s="70">
        <f t="shared" si="4"/>
        <v>0</v>
      </c>
      <c r="N25" s="6"/>
    </row>
    <row r="26" spans="1:14">
      <c r="A26" s="26">
        <v>23</v>
      </c>
      <c r="B26" s="27">
        <v>45923</v>
      </c>
      <c r="C26" s="183"/>
      <c r="D26" s="6"/>
      <c r="E26" s="283">
        <v>0</v>
      </c>
      <c r="F26" s="46">
        <v>0</v>
      </c>
      <c r="G26" s="70">
        <f t="shared" si="0"/>
        <v>0</v>
      </c>
      <c r="H26" s="46">
        <v>0</v>
      </c>
      <c r="I26" s="46">
        <v>0</v>
      </c>
      <c r="J26" s="70">
        <f t="shared" si="1"/>
        <v>0</v>
      </c>
      <c r="K26" s="70">
        <f t="shared" si="2"/>
        <v>0</v>
      </c>
      <c r="L26" s="70">
        <f t="shared" si="3"/>
        <v>0</v>
      </c>
      <c r="M26" s="70">
        <f t="shared" si="4"/>
        <v>0</v>
      </c>
      <c r="N26" s="6"/>
    </row>
    <row r="27" spans="1:14">
      <c r="A27" s="26">
        <v>24</v>
      </c>
      <c r="B27" s="27">
        <v>45924</v>
      </c>
      <c r="C27" s="183"/>
      <c r="D27" s="6"/>
      <c r="E27" s="372">
        <v>67</v>
      </c>
      <c r="F27" s="46">
        <v>91.92</v>
      </c>
      <c r="G27" s="70">
        <f t="shared" si="0"/>
        <v>6158.64</v>
      </c>
      <c r="H27" s="46">
        <v>0</v>
      </c>
      <c r="I27" s="46">
        <v>0</v>
      </c>
      <c r="J27" s="70">
        <f t="shared" si="1"/>
        <v>0</v>
      </c>
      <c r="K27" s="70">
        <f t="shared" si="2"/>
        <v>6158.64</v>
      </c>
      <c r="L27" s="70">
        <f t="shared" si="3"/>
        <v>6158.64</v>
      </c>
      <c r="M27" s="70">
        <f t="shared" si="4"/>
        <v>0</v>
      </c>
      <c r="N27" s="6"/>
    </row>
    <row r="28" spans="1:14">
      <c r="A28" s="26">
        <v>25</v>
      </c>
      <c r="B28" s="27">
        <v>45925</v>
      </c>
      <c r="C28" s="183"/>
      <c r="D28" s="6"/>
      <c r="E28" s="283">
        <v>70</v>
      </c>
      <c r="F28" s="46">
        <v>91.92</v>
      </c>
      <c r="G28" s="70">
        <f t="shared" si="0"/>
        <v>6434.4000000000005</v>
      </c>
      <c r="H28" s="46">
        <v>0</v>
      </c>
      <c r="I28" s="46">
        <v>0</v>
      </c>
      <c r="J28" s="70">
        <f t="shared" si="1"/>
        <v>0</v>
      </c>
      <c r="K28" s="70">
        <f t="shared" si="2"/>
        <v>6434.4000000000005</v>
      </c>
      <c r="L28" s="70">
        <f t="shared" si="3"/>
        <v>6434.4000000000005</v>
      </c>
      <c r="M28" s="70">
        <f t="shared" si="4"/>
        <v>0</v>
      </c>
      <c r="N28" s="6"/>
    </row>
    <row r="29" spans="1:14">
      <c r="A29" s="26">
        <v>26</v>
      </c>
      <c r="B29" s="27">
        <v>45926</v>
      </c>
      <c r="C29" s="183"/>
      <c r="D29" s="6"/>
      <c r="E29" s="283">
        <v>40</v>
      </c>
      <c r="F29" s="46">
        <v>91.92</v>
      </c>
      <c r="G29" s="70">
        <f t="shared" si="0"/>
        <v>3676.8</v>
      </c>
      <c r="H29" s="46">
        <v>12.74</v>
      </c>
      <c r="I29" s="46">
        <v>103.96</v>
      </c>
      <c r="J29" s="70">
        <f t="shared" si="1"/>
        <v>1324.4503999999999</v>
      </c>
      <c r="K29" s="70">
        <f t="shared" si="2"/>
        <v>5001.2503999999999</v>
      </c>
      <c r="L29" s="70">
        <v>5001.25</v>
      </c>
      <c r="M29" s="70">
        <f t="shared" si="4"/>
        <v>3.9999999989959178E-4</v>
      </c>
      <c r="N29" s="6"/>
    </row>
    <row r="30" spans="1:14">
      <c r="A30" s="26">
        <v>27</v>
      </c>
      <c r="B30" s="27">
        <v>45927</v>
      </c>
      <c r="C30" s="183"/>
      <c r="D30" s="6"/>
      <c r="E30" s="283">
        <v>40</v>
      </c>
      <c r="F30" s="46">
        <v>91.92</v>
      </c>
      <c r="G30" s="70">
        <f t="shared" si="0"/>
        <v>3676.8</v>
      </c>
      <c r="H30" s="46">
        <v>0</v>
      </c>
      <c r="I30" s="46">
        <v>103.96</v>
      </c>
      <c r="J30" s="70">
        <f t="shared" si="1"/>
        <v>0</v>
      </c>
      <c r="K30" s="70">
        <f t="shared" si="2"/>
        <v>3676.8</v>
      </c>
      <c r="L30" s="70">
        <f t="shared" si="3"/>
        <v>3676.8</v>
      </c>
      <c r="M30" s="70">
        <f t="shared" si="4"/>
        <v>3.9999999989959178E-4</v>
      </c>
      <c r="N30" s="6"/>
    </row>
    <row r="31" spans="1:14">
      <c r="A31" s="228">
        <v>28</v>
      </c>
      <c r="B31" s="27">
        <v>45928</v>
      </c>
      <c r="C31" s="183"/>
      <c r="D31" s="6"/>
      <c r="E31" s="283">
        <v>100</v>
      </c>
      <c r="F31" s="46">
        <v>91.92</v>
      </c>
      <c r="G31" s="70">
        <f t="shared" si="0"/>
        <v>9192</v>
      </c>
      <c r="H31" s="46">
        <v>0</v>
      </c>
      <c r="I31" s="46">
        <v>0</v>
      </c>
      <c r="J31" s="70">
        <f t="shared" si="1"/>
        <v>0</v>
      </c>
      <c r="K31" s="70">
        <f t="shared" si="2"/>
        <v>9192</v>
      </c>
      <c r="L31" s="70">
        <f t="shared" si="3"/>
        <v>9192</v>
      </c>
      <c r="M31" s="70">
        <f t="shared" ref="M5:M32" si="5">M30+K31-L31</f>
        <v>4.0000000080908649E-4</v>
      </c>
      <c r="N31" s="6"/>
    </row>
    <row r="32" spans="1:14">
      <c r="A32" s="26">
        <v>29</v>
      </c>
      <c r="B32" s="27">
        <v>45929</v>
      </c>
      <c r="C32" s="183"/>
      <c r="D32" s="6"/>
      <c r="E32" s="283">
        <v>70</v>
      </c>
      <c r="F32" s="46">
        <v>91.92</v>
      </c>
      <c r="G32" s="70">
        <f t="shared" si="0"/>
        <v>6434.4000000000005</v>
      </c>
      <c r="H32" s="46">
        <v>0</v>
      </c>
      <c r="I32" s="46">
        <v>0</v>
      </c>
      <c r="J32" s="70">
        <f t="shared" si="1"/>
        <v>0</v>
      </c>
      <c r="K32" s="70">
        <f t="shared" si="2"/>
        <v>6434.4000000000005</v>
      </c>
      <c r="L32" s="70">
        <f t="shared" si="3"/>
        <v>6434.4000000000005</v>
      </c>
      <c r="M32" s="70">
        <f t="shared" si="5"/>
        <v>4.0000000080908649E-4</v>
      </c>
      <c r="N32" s="6"/>
    </row>
    <row r="33" spans="1:14">
      <c r="A33" s="26">
        <v>30</v>
      </c>
      <c r="B33" s="27">
        <v>45930</v>
      </c>
      <c r="C33" s="183"/>
      <c r="D33" s="6"/>
      <c r="E33" s="283">
        <v>0</v>
      </c>
      <c r="F33" s="46">
        <v>0</v>
      </c>
      <c r="G33" s="70">
        <f t="shared" si="0"/>
        <v>0</v>
      </c>
      <c r="H33" s="46">
        <v>0</v>
      </c>
      <c r="I33" s="46">
        <v>0</v>
      </c>
      <c r="J33" s="70">
        <f t="shared" si="1"/>
        <v>0</v>
      </c>
      <c r="K33" s="70">
        <f t="shared" si="2"/>
        <v>0</v>
      </c>
      <c r="L33" s="70">
        <f t="shared" si="3"/>
        <v>0</v>
      </c>
      <c r="M33" s="70">
        <f t="shared" ref="M32:M34" si="6">M32+K33-L33</f>
        <v>4.0000000080908649E-4</v>
      </c>
      <c r="N33" s="6"/>
    </row>
    <row r="34" spans="1:14">
      <c r="A34" s="26">
        <v>31</v>
      </c>
      <c r="B34" s="27">
        <v>45931</v>
      </c>
      <c r="C34" s="183"/>
      <c r="D34" s="6"/>
      <c r="E34" s="283">
        <v>0</v>
      </c>
      <c r="F34" s="46">
        <v>0</v>
      </c>
      <c r="G34" s="70">
        <f t="shared" si="0"/>
        <v>0</v>
      </c>
      <c r="H34" s="46">
        <v>0</v>
      </c>
      <c r="I34" s="46">
        <v>0</v>
      </c>
      <c r="J34" s="70">
        <f t="shared" si="1"/>
        <v>0</v>
      </c>
      <c r="K34" s="70">
        <f t="shared" si="2"/>
        <v>0</v>
      </c>
      <c r="L34" s="70">
        <f t="shared" si="3"/>
        <v>0</v>
      </c>
      <c r="M34" s="70">
        <f t="shared" si="6"/>
        <v>4.0000000080908649E-4</v>
      </c>
      <c r="N34" s="6"/>
    </row>
    <row r="35" spans="1:14">
      <c r="A35" s="44"/>
      <c r="B35" s="44"/>
      <c r="C35" s="44"/>
      <c r="D35" s="44"/>
      <c r="E35" s="44">
        <f>SUM(E4:E34)</f>
        <v>708.42000000000007</v>
      </c>
      <c r="F35" s="44"/>
      <c r="G35" s="44">
        <f>SUM(G4:G34)</f>
        <v>65117.966400000012</v>
      </c>
      <c r="H35" s="44">
        <f>SUM(H4:H34)</f>
        <v>48.370000000000005</v>
      </c>
      <c r="I35" s="44"/>
      <c r="J35" s="44">
        <f>SUM(J4:J34)</f>
        <v>5028.5452000000005</v>
      </c>
      <c r="K35" s="44">
        <f>SUM(K4:K34)</f>
        <v>70146.511599999998</v>
      </c>
      <c r="L35" s="44">
        <f>SUM(L4:L34)</f>
        <v>70146.511200000008</v>
      </c>
      <c r="M35" s="44"/>
      <c r="N35" s="44"/>
    </row>
  </sheetData>
  <mergeCells count="2">
    <mergeCell ref="A1:N1"/>
    <mergeCell ref="A3:J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9188-699F-49A6-A921-AB82083F0E2A}">
  <dimension ref="A1:R44"/>
  <sheetViews>
    <sheetView workbookViewId="0">
      <pane ySplit="2" topLeftCell="A3" activePane="bottomLeft" state="frozen"/>
      <selection pane="bottomLeft" activeCell="T3" sqref="T3"/>
    </sheetView>
  </sheetViews>
  <sheetFormatPr defaultRowHeight="15"/>
  <cols>
    <col min="1" max="1" width="5.140625" style="81" bestFit="1" customWidth="1"/>
    <col min="2" max="2" width="10.85546875" style="81" bestFit="1" customWidth="1"/>
    <col min="3" max="3" width="16" style="81" bestFit="1" customWidth="1"/>
    <col min="4" max="4" width="13.28515625" style="81" bestFit="1" customWidth="1"/>
    <col min="5" max="6" width="10.7109375" style="81" bestFit="1" customWidth="1"/>
    <col min="7" max="7" width="11.5703125" style="81" bestFit="1" customWidth="1"/>
    <col min="8" max="8" width="10.7109375" style="81" bestFit="1" customWidth="1"/>
    <col min="9" max="9" width="7.140625" style="81" bestFit="1" customWidth="1"/>
    <col min="10" max="10" width="10.85546875" style="81" bestFit="1" customWidth="1"/>
    <col min="11" max="11" width="13.5703125" style="81" bestFit="1" customWidth="1"/>
    <col min="12" max="12" width="13.5703125" style="266" bestFit="1" customWidth="1"/>
    <col min="13" max="13" width="15" style="81" customWidth="1"/>
    <col min="14" max="14" width="14.28515625" style="81" bestFit="1" customWidth="1"/>
    <col min="15" max="16384" width="9.140625" style="81"/>
  </cols>
  <sheetData>
    <row r="1" spans="1:15" ht="15.75">
      <c r="A1" s="389" t="s">
        <v>50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57"/>
    </row>
    <row r="2" spans="1:15">
      <c r="A2" s="102" t="s">
        <v>90</v>
      </c>
      <c r="B2" s="103" t="s">
        <v>91</v>
      </c>
      <c r="C2" s="103" t="s">
        <v>92</v>
      </c>
      <c r="D2" s="103" t="s">
        <v>107</v>
      </c>
      <c r="E2" s="103" t="s">
        <v>94</v>
      </c>
      <c r="F2" s="103" t="s">
        <v>95</v>
      </c>
      <c r="G2" s="103" t="s">
        <v>96</v>
      </c>
      <c r="H2" s="103" t="s">
        <v>97</v>
      </c>
      <c r="I2" s="103" t="s">
        <v>95</v>
      </c>
      <c r="J2" s="142" t="s">
        <v>96</v>
      </c>
      <c r="K2" s="104" t="s">
        <v>98</v>
      </c>
      <c r="L2" s="239" t="s">
        <v>99</v>
      </c>
      <c r="M2" s="147" t="s">
        <v>106</v>
      </c>
      <c r="N2" s="105" t="s">
        <v>101</v>
      </c>
      <c r="O2" s="63"/>
    </row>
    <row r="3" spans="1:15">
      <c r="A3" s="422" t="s">
        <v>102</v>
      </c>
      <c r="B3" s="423"/>
      <c r="C3" s="423"/>
      <c r="D3" s="423"/>
      <c r="E3" s="423"/>
      <c r="F3" s="423"/>
      <c r="G3" s="423"/>
      <c r="H3" s="423"/>
      <c r="I3" s="423"/>
      <c r="J3" s="424"/>
      <c r="K3" s="218">
        <v>38975.608099999976</v>
      </c>
      <c r="L3" s="218"/>
      <c r="M3" s="153">
        <v>38975.608099999976</v>
      </c>
      <c r="N3" s="161"/>
      <c r="O3" s="8"/>
    </row>
    <row r="4" spans="1:15">
      <c r="A4" s="26">
        <v>1</v>
      </c>
      <c r="B4" s="27">
        <v>45901</v>
      </c>
      <c r="C4" s="25"/>
      <c r="D4" s="18"/>
      <c r="E4" s="49">
        <v>0</v>
      </c>
      <c r="F4" s="49">
        <v>0</v>
      </c>
      <c r="G4" s="8">
        <f>E4*F4</f>
        <v>0</v>
      </c>
      <c r="H4" s="49">
        <v>0</v>
      </c>
      <c r="I4" s="49">
        <v>0</v>
      </c>
      <c r="J4" s="8">
        <f>H4*I4</f>
        <v>0</v>
      </c>
      <c r="K4" s="8">
        <f>G4+J4</f>
        <v>0</v>
      </c>
      <c r="L4" s="264">
        <v>0</v>
      </c>
      <c r="M4" s="8">
        <f>M3+K4-L4</f>
        <v>38975.608099999976</v>
      </c>
      <c r="N4" s="8"/>
      <c r="O4" s="63"/>
    </row>
    <row r="5" spans="1:15">
      <c r="A5" s="26">
        <v>2</v>
      </c>
      <c r="B5" s="27">
        <v>45902</v>
      </c>
      <c r="C5" s="25"/>
      <c r="D5" s="18"/>
      <c r="E5" s="49">
        <v>0</v>
      </c>
      <c r="F5" s="49">
        <v>0</v>
      </c>
      <c r="G5" s="8">
        <f t="shared" ref="G5:G34" si="0">E5*F5</f>
        <v>0</v>
      </c>
      <c r="H5" s="49">
        <v>0</v>
      </c>
      <c r="I5" s="49">
        <v>0</v>
      </c>
      <c r="J5" s="8">
        <f t="shared" ref="J5:J34" si="1">H5*I5</f>
        <v>0</v>
      </c>
      <c r="K5" s="8">
        <f t="shared" ref="K5:K34" si="2">G5+J5</f>
        <v>0</v>
      </c>
      <c r="L5" s="264">
        <v>0</v>
      </c>
      <c r="M5" s="8">
        <f t="shared" ref="M5:M16" si="3">M4+K5-L5</f>
        <v>38975.608099999976</v>
      </c>
      <c r="N5" s="8"/>
      <c r="O5" s="63"/>
    </row>
    <row r="6" spans="1:15">
      <c r="A6" s="26">
        <v>3</v>
      </c>
      <c r="B6" s="27">
        <v>45903</v>
      </c>
      <c r="C6" s="25"/>
      <c r="D6" s="18"/>
      <c r="E6" s="49">
        <v>0</v>
      </c>
      <c r="F6" s="49">
        <v>0</v>
      </c>
      <c r="G6" s="8">
        <f t="shared" si="0"/>
        <v>0</v>
      </c>
      <c r="H6" s="49">
        <v>5</v>
      </c>
      <c r="I6" s="49">
        <v>103.73</v>
      </c>
      <c r="J6" s="8">
        <f t="shared" si="1"/>
        <v>518.65</v>
      </c>
      <c r="K6" s="8">
        <f t="shared" si="2"/>
        <v>518.65</v>
      </c>
      <c r="L6" s="264">
        <v>0</v>
      </c>
      <c r="M6" s="8">
        <f t="shared" si="3"/>
        <v>39494.258099999977</v>
      </c>
      <c r="N6" s="8"/>
      <c r="O6" s="63"/>
    </row>
    <row r="7" spans="1:15">
      <c r="A7" s="26">
        <v>4</v>
      </c>
      <c r="B7" s="27">
        <v>45904</v>
      </c>
      <c r="C7" s="25"/>
      <c r="D7" s="18"/>
      <c r="E7" s="49">
        <v>41</v>
      </c>
      <c r="F7" s="49">
        <v>91.77</v>
      </c>
      <c r="G7" s="8">
        <f t="shared" si="0"/>
        <v>3762.5699999999997</v>
      </c>
      <c r="H7" s="49">
        <v>0</v>
      </c>
      <c r="I7" s="49">
        <v>0</v>
      </c>
      <c r="J7" s="8">
        <f t="shared" si="1"/>
        <v>0</v>
      </c>
      <c r="K7" s="8">
        <f t="shared" si="2"/>
        <v>3762.5699999999997</v>
      </c>
      <c r="L7" s="264">
        <v>0</v>
      </c>
      <c r="M7" s="8">
        <f t="shared" si="3"/>
        <v>43256.828099999977</v>
      </c>
      <c r="N7" s="8"/>
      <c r="O7" s="63"/>
    </row>
    <row r="8" spans="1:15">
      <c r="A8" s="26">
        <v>5</v>
      </c>
      <c r="B8" s="27">
        <v>45905</v>
      </c>
      <c r="C8" s="25"/>
      <c r="D8" s="18"/>
      <c r="E8" s="49">
        <v>0</v>
      </c>
      <c r="F8" s="49">
        <v>0</v>
      </c>
      <c r="G8" s="8">
        <f t="shared" si="0"/>
        <v>0</v>
      </c>
      <c r="H8" s="49">
        <v>6</v>
      </c>
      <c r="I8" s="49">
        <v>103.73</v>
      </c>
      <c r="J8" s="8">
        <f t="shared" si="1"/>
        <v>622.38</v>
      </c>
      <c r="K8" s="8">
        <f t="shared" si="2"/>
        <v>622.38</v>
      </c>
      <c r="L8" s="264">
        <v>0</v>
      </c>
      <c r="M8" s="8">
        <f t="shared" si="3"/>
        <v>43879.208099999974</v>
      </c>
      <c r="N8" s="8"/>
      <c r="O8" s="63"/>
    </row>
    <row r="9" spans="1:15">
      <c r="A9" s="26">
        <v>6</v>
      </c>
      <c r="B9" s="27">
        <v>45906</v>
      </c>
      <c r="C9" s="25"/>
      <c r="D9" s="18"/>
      <c r="E9" s="49">
        <v>0</v>
      </c>
      <c r="F9" s="49">
        <v>0</v>
      </c>
      <c r="G9" s="8">
        <f t="shared" si="0"/>
        <v>0</v>
      </c>
      <c r="H9" s="49">
        <v>1.92</v>
      </c>
      <c r="I9" s="49">
        <v>103.73</v>
      </c>
      <c r="J9" s="8">
        <f t="shared" si="1"/>
        <v>199.16159999999999</v>
      </c>
      <c r="K9" s="8">
        <f t="shared" si="2"/>
        <v>199.16159999999999</v>
      </c>
      <c r="L9" s="264">
        <v>43000</v>
      </c>
      <c r="M9" s="8">
        <f t="shared" si="3"/>
        <v>1078.3696999999738</v>
      </c>
      <c r="N9" s="8"/>
      <c r="O9" s="63"/>
    </row>
    <row r="10" spans="1:15">
      <c r="A10" s="26">
        <v>7</v>
      </c>
      <c r="B10" s="27">
        <v>45907</v>
      </c>
      <c r="C10" s="25"/>
      <c r="D10" s="18"/>
      <c r="E10" s="49">
        <v>20</v>
      </c>
      <c r="F10" s="49">
        <v>91.77</v>
      </c>
      <c r="G10" s="8">
        <f t="shared" si="0"/>
        <v>1835.3999999999999</v>
      </c>
      <c r="H10" s="49">
        <v>0</v>
      </c>
      <c r="I10" s="49">
        <v>0</v>
      </c>
      <c r="J10" s="8">
        <f t="shared" si="1"/>
        <v>0</v>
      </c>
      <c r="K10" s="8">
        <f t="shared" si="2"/>
        <v>1835.3999999999999</v>
      </c>
      <c r="L10" s="264">
        <v>0</v>
      </c>
      <c r="M10" s="8">
        <f t="shared" si="3"/>
        <v>2913.7696999999735</v>
      </c>
      <c r="N10" s="8"/>
      <c r="O10" s="63"/>
    </row>
    <row r="11" spans="1:15">
      <c r="A11" s="26">
        <v>8</v>
      </c>
      <c r="B11" s="27">
        <v>45908</v>
      </c>
      <c r="C11" s="25"/>
      <c r="D11" s="18"/>
      <c r="E11" s="49">
        <v>67.5</v>
      </c>
      <c r="F11" s="49">
        <v>91.77</v>
      </c>
      <c r="G11" s="8">
        <f t="shared" si="0"/>
        <v>6194.4749999999995</v>
      </c>
      <c r="H11" s="49">
        <v>10</v>
      </c>
      <c r="I11" s="49">
        <v>103.73</v>
      </c>
      <c r="J11" s="8">
        <f t="shared" si="1"/>
        <v>1037.3</v>
      </c>
      <c r="K11" s="8">
        <f t="shared" si="2"/>
        <v>7231.7749999999996</v>
      </c>
      <c r="L11" s="264">
        <v>0</v>
      </c>
      <c r="M11" s="8">
        <f t="shared" si="3"/>
        <v>10145.544699999973</v>
      </c>
      <c r="N11" s="8"/>
      <c r="O11" s="63"/>
    </row>
    <row r="12" spans="1:15">
      <c r="A12" s="26">
        <v>9</v>
      </c>
      <c r="B12" s="27">
        <v>45909</v>
      </c>
      <c r="C12" s="25"/>
      <c r="D12" s="18"/>
      <c r="E12" s="49">
        <v>20</v>
      </c>
      <c r="F12" s="49">
        <v>91.77</v>
      </c>
      <c r="G12" s="8">
        <f t="shared" si="0"/>
        <v>1835.3999999999999</v>
      </c>
      <c r="H12" s="49">
        <v>5</v>
      </c>
      <c r="I12" s="49">
        <v>103.73</v>
      </c>
      <c r="J12" s="8">
        <f t="shared" si="1"/>
        <v>518.65</v>
      </c>
      <c r="K12" s="8">
        <f t="shared" si="2"/>
        <v>2354.0499999999997</v>
      </c>
      <c r="L12" s="264">
        <v>0</v>
      </c>
      <c r="M12" s="8">
        <f t="shared" si="3"/>
        <v>12499.594699999972</v>
      </c>
      <c r="N12" s="8"/>
      <c r="O12" s="63"/>
    </row>
    <row r="13" spans="1:15">
      <c r="A13" s="26">
        <v>10</v>
      </c>
      <c r="B13" s="27">
        <v>45910</v>
      </c>
      <c r="C13" s="25"/>
      <c r="D13" s="18"/>
      <c r="E13" s="49">
        <v>0</v>
      </c>
      <c r="F13" s="49">
        <v>0</v>
      </c>
      <c r="G13" s="8">
        <f t="shared" si="0"/>
        <v>0</v>
      </c>
      <c r="H13" s="49">
        <v>0</v>
      </c>
      <c r="I13" s="49">
        <v>0</v>
      </c>
      <c r="J13" s="8">
        <f t="shared" si="1"/>
        <v>0</v>
      </c>
      <c r="K13" s="8">
        <f t="shared" si="2"/>
        <v>0</v>
      </c>
      <c r="L13" s="264">
        <v>0</v>
      </c>
      <c r="M13" s="8">
        <f t="shared" si="3"/>
        <v>12499.594699999972</v>
      </c>
      <c r="N13" s="19"/>
      <c r="O13" s="63"/>
    </row>
    <row r="14" spans="1:15">
      <c r="A14" s="26">
        <v>11</v>
      </c>
      <c r="B14" s="27">
        <v>45911</v>
      </c>
      <c r="C14" s="25"/>
      <c r="D14" s="18"/>
      <c r="E14" s="49">
        <v>0</v>
      </c>
      <c r="F14" s="49">
        <v>0</v>
      </c>
      <c r="G14" s="8">
        <f t="shared" si="0"/>
        <v>0</v>
      </c>
      <c r="H14" s="49">
        <v>5</v>
      </c>
      <c r="I14" s="49">
        <v>103.73</v>
      </c>
      <c r="J14" s="8">
        <f t="shared" si="1"/>
        <v>518.65</v>
      </c>
      <c r="K14" s="8">
        <f t="shared" si="2"/>
        <v>518.65</v>
      </c>
      <c r="L14" s="264">
        <v>0</v>
      </c>
      <c r="M14" s="8">
        <f t="shared" si="3"/>
        <v>13018.244699999972</v>
      </c>
      <c r="N14" s="19"/>
      <c r="O14" s="63"/>
    </row>
    <row r="15" spans="1:15">
      <c r="A15" s="26">
        <v>12</v>
      </c>
      <c r="B15" s="27">
        <v>45912</v>
      </c>
      <c r="C15" s="25"/>
      <c r="D15" s="18"/>
      <c r="E15" s="49">
        <v>0</v>
      </c>
      <c r="F15" s="49">
        <v>0</v>
      </c>
      <c r="G15" s="8">
        <f t="shared" si="0"/>
        <v>0</v>
      </c>
      <c r="H15" s="49">
        <v>0</v>
      </c>
      <c r="I15" s="49">
        <v>0</v>
      </c>
      <c r="J15" s="8">
        <f t="shared" si="1"/>
        <v>0</v>
      </c>
      <c r="K15" s="8">
        <f t="shared" si="2"/>
        <v>0</v>
      </c>
      <c r="L15" s="264">
        <v>0</v>
      </c>
      <c r="M15" s="8">
        <f t="shared" si="3"/>
        <v>13018.244699999972</v>
      </c>
      <c r="N15" s="19"/>
      <c r="O15" s="63"/>
    </row>
    <row r="16" spans="1:15">
      <c r="A16" s="26">
        <v>13</v>
      </c>
      <c r="B16" s="27">
        <v>45913</v>
      </c>
      <c r="C16" s="25"/>
      <c r="D16" s="18"/>
      <c r="E16" s="49">
        <v>0</v>
      </c>
      <c r="F16" s="49">
        <v>0</v>
      </c>
      <c r="G16" s="8">
        <f t="shared" si="0"/>
        <v>0</v>
      </c>
      <c r="H16" s="49">
        <v>5</v>
      </c>
      <c r="I16" s="49">
        <v>103.73</v>
      </c>
      <c r="J16" s="8">
        <f t="shared" si="1"/>
        <v>518.65</v>
      </c>
      <c r="K16" s="8">
        <f t="shared" si="2"/>
        <v>518.65</v>
      </c>
      <c r="L16" s="264">
        <v>0</v>
      </c>
      <c r="M16" s="8">
        <f>M15+K16-L16</f>
        <v>13536.894699999972</v>
      </c>
      <c r="N16" s="19"/>
      <c r="O16" s="63"/>
    </row>
    <row r="17" spans="1:18">
      <c r="A17" s="26">
        <v>14</v>
      </c>
      <c r="B17" s="27">
        <v>45914</v>
      </c>
      <c r="C17" s="25"/>
      <c r="D17" s="18"/>
      <c r="E17" s="49">
        <v>10</v>
      </c>
      <c r="F17" s="49">
        <v>91.77</v>
      </c>
      <c r="G17" s="8">
        <f t="shared" si="0"/>
        <v>917.69999999999993</v>
      </c>
      <c r="H17" s="49">
        <v>11</v>
      </c>
      <c r="I17" s="49">
        <v>111.04</v>
      </c>
      <c r="J17" s="8">
        <f t="shared" si="1"/>
        <v>1221.44</v>
      </c>
      <c r="K17" s="8">
        <f t="shared" si="2"/>
        <v>2139.14</v>
      </c>
      <c r="L17" s="264">
        <v>0</v>
      </c>
      <c r="M17" s="8">
        <f>M16+K17-L17</f>
        <v>15676.034699999971</v>
      </c>
      <c r="N17" s="19"/>
      <c r="O17" s="63"/>
    </row>
    <row r="18" spans="1:18">
      <c r="A18" s="26">
        <v>15</v>
      </c>
      <c r="B18" s="27">
        <v>45915</v>
      </c>
      <c r="C18" s="25"/>
      <c r="D18" s="18"/>
      <c r="E18" s="49">
        <v>35</v>
      </c>
      <c r="F18" s="49">
        <v>91.77</v>
      </c>
      <c r="G18" s="8">
        <f t="shared" si="0"/>
        <v>3211.95</v>
      </c>
      <c r="H18" s="49">
        <v>5</v>
      </c>
      <c r="I18" s="49">
        <v>103.73</v>
      </c>
      <c r="J18" s="8">
        <f t="shared" si="1"/>
        <v>518.65</v>
      </c>
      <c r="K18" s="8">
        <f t="shared" si="2"/>
        <v>3730.6</v>
      </c>
      <c r="L18" s="264">
        <v>0</v>
      </c>
      <c r="M18" s="8">
        <f>M17+K18-L18</f>
        <v>19406.63469999997</v>
      </c>
      <c r="N18" s="19"/>
      <c r="O18" s="63"/>
    </row>
    <row r="19" spans="1:18">
      <c r="A19" s="26">
        <v>16</v>
      </c>
      <c r="B19" s="27">
        <v>45916</v>
      </c>
      <c r="C19" s="25"/>
      <c r="D19" s="18"/>
      <c r="E19" s="49">
        <v>0</v>
      </c>
      <c r="F19" s="49">
        <v>0</v>
      </c>
      <c r="G19" s="8">
        <f t="shared" si="0"/>
        <v>0</v>
      </c>
      <c r="H19" s="49">
        <v>0</v>
      </c>
      <c r="I19" s="49">
        <v>0</v>
      </c>
      <c r="J19" s="8">
        <f t="shared" si="1"/>
        <v>0</v>
      </c>
      <c r="K19" s="8">
        <f t="shared" si="2"/>
        <v>0</v>
      </c>
      <c r="L19" s="264">
        <v>0</v>
      </c>
      <c r="M19" s="8">
        <f>M18+K19-L19</f>
        <v>19406.63469999997</v>
      </c>
      <c r="N19" s="19"/>
      <c r="O19" s="63"/>
    </row>
    <row r="20" spans="1:18">
      <c r="A20" s="26">
        <v>17</v>
      </c>
      <c r="B20" s="27">
        <v>45917</v>
      </c>
      <c r="C20" s="25"/>
      <c r="D20" s="18"/>
      <c r="E20" s="49">
        <v>0</v>
      </c>
      <c r="F20" s="49">
        <v>0</v>
      </c>
      <c r="G20" s="8">
        <f t="shared" si="0"/>
        <v>0</v>
      </c>
      <c r="H20" s="49">
        <v>0</v>
      </c>
      <c r="I20" s="49">
        <v>0</v>
      </c>
      <c r="J20" s="8">
        <f t="shared" si="1"/>
        <v>0</v>
      </c>
      <c r="K20" s="8">
        <f t="shared" si="2"/>
        <v>0</v>
      </c>
      <c r="L20" s="264">
        <v>0</v>
      </c>
      <c r="M20" s="8">
        <f>M19+K20-L20</f>
        <v>19406.63469999997</v>
      </c>
      <c r="N20" s="19"/>
      <c r="O20" s="63"/>
    </row>
    <row r="21" spans="1:18">
      <c r="A21" s="26">
        <v>18</v>
      </c>
      <c r="B21" s="27">
        <v>45918</v>
      </c>
      <c r="C21" s="25"/>
      <c r="D21" s="18"/>
      <c r="E21" s="49">
        <v>20</v>
      </c>
      <c r="F21" s="49">
        <v>91.77</v>
      </c>
      <c r="G21" s="8">
        <f t="shared" si="0"/>
        <v>1835.3999999999999</v>
      </c>
      <c r="H21" s="49">
        <v>5</v>
      </c>
      <c r="I21" s="49">
        <v>103.73</v>
      </c>
      <c r="J21" s="8">
        <f t="shared" si="1"/>
        <v>518.65</v>
      </c>
      <c r="K21" s="8">
        <f t="shared" si="2"/>
        <v>2354.0499999999997</v>
      </c>
      <c r="L21" s="264">
        <v>0</v>
      </c>
      <c r="M21" s="8">
        <f>M20+K21-L21</f>
        <v>21760.684699999969</v>
      </c>
      <c r="N21" s="19"/>
      <c r="O21" s="63"/>
    </row>
    <row r="22" spans="1:18">
      <c r="A22" s="26">
        <v>19</v>
      </c>
      <c r="B22" s="27">
        <v>45919</v>
      </c>
      <c r="C22" s="25"/>
      <c r="D22" s="18"/>
      <c r="E22" s="49">
        <v>0</v>
      </c>
      <c r="F22" s="49">
        <v>0</v>
      </c>
      <c r="G22" s="8">
        <f t="shared" si="0"/>
        <v>0</v>
      </c>
      <c r="H22" s="49">
        <v>5</v>
      </c>
      <c r="I22" s="49">
        <v>103.73</v>
      </c>
      <c r="J22" s="8">
        <f t="shared" si="1"/>
        <v>518.65</v>
      </c>
      <c r="K22" s="8">
        <f t="shared" si="2"/>
        <v>518.65</v>
      </c>
      <c r="L22" s="264">
        <v>0</v>
      </c>
      <c r="M22" s="8">
        <f>M21+K22-L22</f>
        <v>22279.33469999997</v>
      </c>
      <c r="N22" s="19"/>
      <c r="O22" s="63"/>
    </row>
    <row r="23" spans="1:18">
      <c r="A23" s="26">
        <v>20</v>
      </c>
      <c r="B23" s="27">
        <v>45920</v>
      </c>
      <c r="C23" s="25"/>
      <c r="D23" s="18"/>
      <c r="E23" s="49">
        <v>50</v>
      </c>
      <c r="F23" s="49">
        <v>91.77</v>
      </c>
      <c r="G23" s="8">
        <f t="shared" si="0"/>
        <v>4588.5</v>
      </c>
      <c r="H23" s="49">
        <v>6</v>
      </c>
      <c r="I23" s="49">
        <v>103.73</v>
      </c>
      <c r="J23" s="8">
        <f t="shared" si="1"/>
        <v>622.38</v>
      </c>
      <c r="K23" s="8">
        <f t="shared" si="2"/>
        <v>5210.88</v>
      </c>
      <c r="L23" s="264">
        <v>0</v>
      </c>
      <c r="M23" s="8">
        <f>M22+K23-L23</f>
        <v>27490.214699999971</v>
      </c>
      <c r="N23" s="19"/>
      <c r="O23" s="63"/>
    </row>
    <row r="24" spans="1:18">
      <c r="A24" s="26">
        <v>21</v>
      </c>
      <c r="B24" s="27">
        <v>45921</v>
      </c>
      <c r="C24" s="25"/>
      <c r="D24" s="18"/>
      <c r="E24" s="49">
        <v>0</v>
      </c>
      <c r="F24" s="49">
        <v>0</v>
      </c>
      <c r="G24" s="8">
        <f t="shared" si="0"/>
        <v>0</v>
      </c>
      <c r="H24" s="49">
        <v>0</v>
      </c>
      <c r="I24" s="49">
        <v>0</v>
      </c>
      <c r="J24" s="8">
        <f t="shared" si="1"/>
        <v>0</v>
      </c>
      <c r="K24" s="8">
        <f t="shared" si="2"/>
        <v>0</v>
      </c>
      <c r="L24" s="264">
        <v>0</v>
      </c>
      <c r="M24" s="8">
        <f>M23+K24-L24</f>
        <v>27490.214699999971</v>
      </c>
      <c r="N24" s="19"/>
      <c r="O24" s="63"/>
    </row>
    <row r="25" spans="1:18">
      <c r="A25" s="26">
        <v>22</v>
      </c>
      <c r="B25" s="27">
        <v>45922</v>
      </c>
      <c r="C25" s="25"/>
      <c r="D25" s="18"/>
      <c r="E25" s="49">
        <v>0</v>
      </c>
      <c r="F25" s="49">
        <v>0</v>
      </c>
      <c r="G25" s="8">
        <f t="shared" si="0"/>
        <v>0</v>
      </c>
      <c r="H25" s="49">
        <v>5</v>
      </c>
      <c r="I25" s="49">
        <v>103.73</v>
      </c>
      <c r="J25" s="8">
        <f t="shared" si="1"/>
        <v>518.65</v>
      </c>
      <c r="K25" s="8">
        <f t="shared" si="2"/>
        <v>518.65</v>
      </c>
      <c r="L25" s="264">
        <v>0</v>
      </c>
      <c r="M25" s="8">
        <f t="shared" ref="M25:M34" si="4">M24+K25-L25</f>
        <v>28008.864699999973</v>
      </c>
      <c r="N25" s="19"/>
      <c r="O25" s="63"/>
    </row>
    <row r="26" spans="1:18">
      <c r="A26" s="26">
        <v>23</v>
      </c>
      <c r="B26" s="27">
        <v>45923</v>
      </c>
      <c r="C26" s="25"/>
      <c r="D26" s="18"/>
      <c r="E26" s="49">
        <v>0</v>
      </c>
      <c r="F26" s="49">
        <v>0</v>
      </c>
      <c r="G26" s="8">
        <f t="shared" si="0"/>
        <v>0</v>
      </c>
      <c r="H26" s="49">
        <v>6</v>
      </c>
      <c r="I26" s="49">
        <v>103.73</v>
      </c>
      <c r="J26" s="8">
        <f t="shared" si="1"/>
        <v>622.38</v>
      </c>
      <c r="K26" s="8">
        <f t="shared" si="2"/>
        <v>622.38</v>
      </c>
      <c r="L26" s="264">
        <v>0</v>
      </c>
      <c r="M26" s="8">
        <f t="shared" si="4"/>
        <v>28631.244699999974</v>
      </c>
      <c r="N26" s="19"/>
      <c r="O26" s="63"/>
      <c r="Q26" s="81" t="s">
        <v>158</v>
      </c>
    </row>
    <row r="27" spans="1:18">
      <c r="A27" s="26">
        <v>24</v>
      </c>
      <c r="B27" s="27">
        <v>45924</v>
      </c>
      <c r="C27" s="25"/>
      <c r="D27" s="18"/>
      <c r="E27" s="49">
        <v>20</v>
      </c>
      <c r="F27" s="49">
        <v>91.77</v>
      </c>
      <c r="G27" s="8">
        <f t="shared" si="0"/>
        <v>1835.3999999999999</v>
      </c>
      <c r="H27" s="49">
        <v>0</v>
      </c>
      <c r="I27" s="49">
        <v>0</v>
      </c>
      <c r="J27" s="8">
        <f t="shared" si="1"/>
        <v>0</v>
      </c>
      <c r="K27" s="8">
        <f t="shared" si="2"/>
        <v>1835.3999999999999</v>
      </c>
      <c r="L27" s="264">
        <v>0</v>
      </c>
      <c r="M27" s="8">
        <f t="shared" si="4"/>
        <v>30466.644699999975</v>
      </c>
      <c r="N27" s="19"/>
      <c r="O27" s="63"/>
      <c r="Q27" s="81">
        <v>30</v>
      </c>
      <c r="R27" s="81">
        <v>50</v>
      </c>
    </row>
    <row r="28" spans="1:18">
      <c r="A28" s="26">
        <v>25</v>
      </c>
      <c r="B28" s="27">
        <v>45925</v>
      </c>
      <c r="C28" s="25"/>
      <c r="D28" s="18"/>
      <c r="E28" s="49">
        <v>30</v>
      </c>
      <c r="F28" s="49">
        <v>91.77</v>
      </c>
      <c r="G28" s="8">
        <f t="shared" si="0"/>
        <v>2753.1</v>
      </c>
      <c r="H28" s="49">
        <v>0</v>
      </c>
      <c r="I28" s="49">
        <v>0</v>
      </c>
      <c r="J28" s="8">
        <f t="shared" si="1"/>
        <v>0</v>
      </c>
      <c r="K28" s="8">
        <f t="shared" si="2"/>
        <v>2753.1</v>
      </c>
      <c r="L28" s="264">
        <v>0</v>
      </c>
      <c r="M28" s="8">
        <f t="shared" si="4"/>
        <v>33219.744699999974</v>
      </c>
      <c r="N28" s="19"/>
      <c r="O28" s="63"/>
      <c r="Q28" s="81">
        <v>50</v>
      </c>
      <c r="R28" s="81">
        <v>4.51</v>
      </c>
    </row>
    <row r="29" spans="1:18">
      <c r="A29" s="26">
        <v>26</v>
      </c>
      <c r="B29" s="27">
        <v>45926</v>
      </c>
      <c r="C29" s="25"/>
      <c r="D29" s="18"/>
      <c r="E29" s="49">
        <v>0</v>
      </c>
      <c r="F29" s="49">
        <v>0</v>
      </c>
      <c r="G29" s="8">
        <f t="shared" si="0"/>
        <v>0</v>
      </c>
      <c r="H29" s="49">
        <v>5</v>
      </c>
      <c r="I29" s="49">
        <v>103.73</v>
      </c>
      <c r="J29" s="8">
        <f t="shared" si="1"/>
        <v>518.65</v>
      </c>
      <c r="K29" s="8">
        <f t="shared" si="2"/>
        <v>518.65</v>
      </c>
      <c r="L29" s="264">
        <v>0</v>
      </c>
      <c r="M29" s="8">
        <f t="shared" si="4"/>
        <v>33738.394699999975</v>
      </c>
      <c r="N29" s="19"/>
      <c r="O29" s="63"/>
    </row>
    <row r="30" spans="1:18">
      <c r="A30" s="26">
        <v>27</v>
      </c>
      <c r="B30" s="27">
        <v>45927</v>
      </c>
      <c r="C30" s="25"/>
      <c r="D30" s="18"/>
      <c r="E30" s="49">
        <v>0</v>
      </c>
      <c r="F30" s="49">
        <v>0</v>
      </c>
      <c r="G30" s="8">
        <f t="shared" si="0"/>
        <v>0</v>
      </c>
      <c r="H30" s="49">
        <v>0</v>
      </c>
      <c r="I30" s="49">
        <v>0</v>
      </c>
      <c r="J30" s="8">
        <f t="shared" si="1"/>
        <v>0</v>
      </c>
      <c r="K30" s="8">
        <f t="shared" si="2"/>
        <v>0</v>
      </c>
      <c r="L30" s="264">
        <v>0</v>
      </c>
      <c r="M30" s="8">
        <f t="shared" si="4"/>
        <v>33738.394699999975</v>
      </c>
      <c r="N30" s="19"/>
      <c r="O30" s="63"/>
    </row>
    <row r="31" spans="1:18">
      <c r="A31" s="228">
        <v>28</v>
      </c>
      <c r="B31" s="27">
        <v>45928</v>
      </c>
      <c r="C31" s="25"/>
      <c r="D31" s="18"/>
      <c r="E31" s="49">
        <v>0</v>
      </c>
      <c r="F31" s="49">
        <v>0</v>
      </c>
      <c r="G31" s="8">
        <f t="shared" si="0"/>
        <v>0</v>
      </c>
      <c r="H31" s="49">
        <v>0</v>
      </c>
      <c r="I31" s="49">
        <v>0</v>
      </c>
      <c r="J31" s="8">
        <f t="shared" si="1"/>
        <v>0</v>
      </c>
      <c r="K31" s="8">
        <f t="shared" si="2"/>
        <v>0</v>
      </c>
      <c r="L31" s="264">
        <v>0</v>
      </c>
      <c r="M31" s="8">
        <f t="shared" si="4"/>
        <v>33738.394699999975</v>
      </c>
      <c r="N31" s="19"/>
      <c r="O31" s="63"/>
    </row>
    <row r="32" spans="1:18">
      <c r="A32" s="26">
        <v>29</v>
      </c>
      <c r="B32" s="27">
        <v>45929</v>
      </c>
      <c r="C32" s="25"/>
      <c r="D32" s="18"/>
      <c r="E32" s="49">
        <v>0</v>
      </c>
      <c r="F32" s="49">
        <v>0</v>
      </c>
      <c r="G32" s="8">
        <f t="shared" si="0"/>
        <v>0</v>
      </c>
      <c r="H32" s="49">
        <v>0</v>
      </c>
      <c r="I32" s="49">
        <v>0</v>
      </c>
      <c r="J32" s="8">
        <f t="shared" si="1"/>
        <v>0</v>
      </c>
      <c r="K32" s="8">
        <f t="shared" si="2"/>
        <v>0</v>
      </c>
      <c r="L32" s="264">
        <v>0</v>
      </c>
      <c r="M32" s="8">
        <f t="shared" si="4"/>
        <v>33738.394699999975</v>
      </c>
      <c r="N32" s="19"/>
      <c r="O32" s="63"/>
    </row>
    <row r="33" spans="1:15">
      <c r="A33" s="26">
        <v>30</v>
      </c>
      <c r="B33" s="27">
        <v>45930</v>
      </c>
      <c r="C33" s="25"/>
      <c r="D33" s="18"/>
      <c r="E33" s="49">
        <v>80</v>
      </c>
      <c r="F33" s="49">
        <v>91.77</v>
      </c>
      <c r="G33" s="8">
        <f t="shared" si="0"/>
        <v>7341.5999999999995</v>
      </c>
      <c r="H33" s="49">
        <v>4.99</v>
      </c>
      <c r="I33" s="49">
        <v>103.73</v>
      </c>
      <c r="J33" s="8">
        <f t="shared" si="1"/>
        <v>517.61270000000002</v>
      </c>
      <c r="K33" s="8">
        <f t="shared" si="2"/>
        <v>7859.2126999999991</v>
      </c>
      <c r="L33" s="264">
        <v>0</v>
      </c>
      <c r="M33" s="8">
        <f t="shared" si="4"/>
        <v>41597.607399999972</v>
      </c>
      <c r="N33" s="19"/>
      <c r="O33" s="63"/>
    </row>
    <row r="34" spans="1:15">
      <c r="A34" s="26">
        <v>31</v>
      </c>
      <c r="B34" s="27">
        <v>45931</v>
      </c>
      <c r="C34" s="25"/>
      <c r="D34" s="18"/>
      <c r="E34" s="49">
        <v>0</v>
      </c>
      <c r="F34" s="49">
        <v>0</v>
      </c>
      <c r="G34" s="8">
        <f t="shared" si="0"/>
        <v>0</v>
      </c>
      <c r="H34" s="49">
        <v>0</v>
      </c>
      <c r="I34" s="49">
        <v>0</v>
      </c>
      <c r="J34" s="8">
        <f t="shared" si="1"/>
        <v>0</v>
      </c>
      <c r="K34" s="8">
        <f t="shared" si="2"/>
        <v>0</v>
      </c>
      <c r="L34" s="264">
        <v>0</v>
      </c>
      <c r="M34" s="8">
        <f t="shared" si="4"/>
        <v>41597.607399999972</v>
      </c>
      <c r="N34" s="19"/>
      <c r="O34" s="63"/>
    </row>
    <row r="35" spans="1:15">
      <c r="A35" s="165"/>
      <c r="B35" s="165"/>
      <c r="C35" s="165"/>
      <c r="D35" s="165"/>
      <c r="E35" s="166">
        <f>SUM(E4:E34)</f>
        <v>393.5</v>
      </c>
      <c r="F35" s="166"/>
      <c r="G35" s="166">
        <f>SUM(G4:G34)</f>
        <v>36111.495000000003</v>
      </c>
      <c r="H35" s="166">
        <f>SUM(H4:H34)</f>
        <v>90.91</v>
      </c>
      <c r="I35" s="166"/>
      <c r="J35" s="166">
        <f>SUM(J4:J34)</f>
        <v>9510.5042999999987</v>
      </c>
      <c r="K35" s="166">
        <f>SUM(K4:K34)</f>
        <v>45621.999300000003</v>
      </c>
      <c r="L35" s="166">
        <f>SUM(L4:L34)</f>
        <v>43000</v>
      </c>
      <c r="M35" s="166"/>
      <c r="N35" s="166"/>
      <c r="O35" s="63"/>
    </row>
    <row r="36" spans="1:15">
      <c r="A36" s="77"/>
      <c r="B36" s="77"/>
      <c r="C36" s="77"/>
      <c r="D36" s="77"/>
      <c r="E36" s="79"/>
      <c r="F36" s="79"/>
      <c r="G36" s="79"/>
      <c r="H36" s="79"/>
      <c r="I36" s="79"/>
      <c r="J36" s="79"/>
      <c r="K36" s="79"/>
      <c r="L36" s="265"/>
      <c r="M36" s="79"/>
      <c r="N36" s="79"/>
      <c r="O36" s="63"/>
    </row>
    <row r="37" spans="1:15">
      <c r="E37" s="270"/>
      <c r="F37" s="270"/>
      <c r="G37" s="270"/>
      <c r="H37" s="270"/>
      <c r="I37" s="270"/>
      <c r="J37" s="270"/>
      <c r="K37" s="270"/>
      <c r="L37" s="270"/>
      <c r="O37" s="63"/>
    </row>
    <row r="38" spans="1:15">
      <c r="O38" s="63"/>
    </row>
    <row r="39" spans="1:15">
      <c r="O39" s="63"/>
    </row>
    <row r="40" spans="1:15">
      <c r="O40" s="63"/>
    </row>
    <row r="41" spans="1:15">
      <c r="O41" s="63"/>
    </row>
    <row r="42" spans="1:15">
      <c r="A42" s="63"/>
      <c r="B42" s="63"/>
      <c r="C42" s="63"/>
      <c r="D42" s="63"/>
      <c r="E42" s="63"/>
      <c r="F42" s="63"/>
      <c r="G42" s="85"/>
      <c r="H42" s="63"/>
      <c r="I42" s="63"/>
      <c r="J42" s="63"/>
      <c r="K42" s="63"/>
      <c r="L42" s="77"/>
      <c r="M42" s="63"/>
      <c r="N42" s="63"/>
      <c r="O42" s="79"/>
    </row>
    <row r="43" spans="1:15">
      <c r="A43" s="63"/>
      <c r="B43" s="421"/>
      <c r="C43" s="421"/>
      <c r="D43" s="421"/>
      <c r="E43" s="421"/>
      <c r="F43" s="63"/>
      <c r="G43" s="63"/>
      <c r="H43" s="63"/>
      <c r="I43" s="421"/>
      <c r="J43" s="421"/>
      <c r="K43" s="421"/>
      <c r="L43" s="421"/>
      <c r="M43" s="421"/>
      <c r="N43" s="421"/>
      <c r="O43" s="79"/>
    </row>
    <row r="44" spans="1:15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77"/>
      <c r="M44" s="63"/>
      <c r="N44" s="63"/>
      <c r="O44" s="79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71A1-D77D-459B-9B4B-82B2DEA70DBC}">
  <dimension ref="A1:Q44"/>
  <sheetViews>
    <sheetView workbookViewId="0">
      <pane ySplit="2" topLeftCell="A23" activePane="bottomLeft" state="frozen"/>
      <selection pane="bottomLeft" activeCell="M34" sqref="M34"/>
    </sheetView>
  </sheetViews>
  <sheetFormatPr defaultRowHeight="15"/>
  <cols>
    <col min="1" max="1" width="5.140625" style="73" bestFit="1" customWidth="1"/>
    <col min="2" max="2" width="10.85546875" style="73" bestFit="1" customWidth="1"/>
    <col min="3" max="3" width="8" style="73" bestFit="1" customWidth="1"/>
    <col min="4" max="4" width="16" style="73" bestFit="1" customWidth="1"/>
    <col min="5" max="5" width="10.7109375" style="73" bestFit="1" customWidth="1"/>
    <col min="6" max="6" width="14.5703125" style="73" bestFit="1" customWidth="1"/>
    <col min="7" max="7" width="11.85546875" style="73" bestFit="1" customWidth="1"/>
    <col min="8" max="8" width="10.7109375" style="73" bestFit="1" customWidth="1"/>
    <col min="9" max="9" width="7.140625" style="73" bestFit="1" customWidth="1"/>
    <col min="10" max="10" width="10.85546875" style="73" bestFit="1" customWidth="1"/>
    <col min="11" max="11" width="14.5703125" style="73" bestFit="1" customWidth="1"/>
    <col min="12" max="12" width="13.5703125" style="73" bestFit="1" customWidth="1"/>
    <col min="13" max="13" width="13.5703125" style="73" customWidth="1"/>
    <col min="14" max="14" width="14.140625" style="73" bestFit="1" customWidth="1"/>
    <col min="15" max="15" width="11.28515625" style="73" customWidth="1"/>
    <col min="16" max="16" width="9.140625" style="73" customWidth="1"/>
    <col min="17" max="16384" width="9.140625" style="73"/>
  </cols>
  <sheetData>
    <row r="1" spans="1:17" ht="15.75">
      <c r="A1" s="397" t="s">
        <v>52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97"/>
      <c r="M1" s="397"/>
      <c r="N1" s="397"/>
      <c r="O1" s="86"/>
    </row>
    <row r="2" spans="1:17">
      <c r="A2" s="68" t="s">
        <v>90</v>
      </c>
      <c r="B2" s="87" t="s">
        <v>91</v>
      </c>
      <c r="C2" s="87" t="s">
        <v>92</v>
      </c>
      <c r="D2" s="87" t="s">
        <v>93</v>
      </c>
      <c r="E2" s="87" t="s">
        <v>94</v>
      </c>
      <c r="F2" s="87" t="s">
        <v>95</v>
      </c>
      <c r="G2" s="87" t="s">
        <v>96</v>
      </c>
      <c r="H2" s="87" t="s">
        <v>97</v>
      </c>
      <c r="I2" s="87" t="s">
        <v>95</v>
      </c>
      <c r="J2" s="88" t="s">
        <v>96</v>
      </c>
      <c r="K2" s="68" t="s">
        <v>98</v>
      </c>
      <c r="L2" s="89" t="s">
        <v>99</v>
      </c>
      <c r="M2" s="89" t="s">
        <v>106</v>
      </c>
      <c r="N2" s="87" t="s">
        <v>101</v>
      </c>
      <c r="O2" s="63"/>
    </row>
    <row r="3" spans="1:17">
      <c r="A3" s="396" t="s">
        <v>102</v>
      </c>
      <c r="B3" s="400"/>
      <c r="C3" s="400"/>
      <c r="D3" s="400"/>
      <c r="E3" s="400"/>
      <c r="F3" s="400"/>
      <c r="G3" s="400"/>
      <c r="H3" s="400"/>
      <c r="I3" s="400"/>
      <c r="J3" s="401"/>
      <c r="K3" s="168">
        <v>276896.23910000024</v>
      </c>
      <c r="L3" s="71"/>
      <c r="M3" s="168">
        <v>276896.23910000024</v>
      </c>
      <c r="N3" s="71"/>
      <c r="O3" s="63"/>
    </row>
    <row r="4" spans="1:17">
      <c r="A4" s="26">
        <v>1</v>
      </c>
      <c r="B4" s="27">
        <v>45901</v>
      </c>
      <c r="C4" s="71"/>
      <c r="D4" s="164"/>
      <c r="E4" s="169">
        <v>470</v>
      </c>
      <c r="F4" s="169">
        <v>91.93</v>
      </c>
      <c r="G4" s="8">
        <f>E4*F4</f>
        <v>43207.100000000006</v>
      </c>
      <c r="H4" s="169">
        <v>35</v>
      </c>
      <c r="I4" s="169">
        <v>103.89</v>
      </c>
      <c r="J4" s="8">
        <f>H4*I4</f>
        <v>3636.15</v>
      </c>
      <c r="K4" s="8">
        <f>G4+J4</f>
        <v>46843.250000000007</v>
      </c>
      <c r="L4" s="170">
        <v>0</v>
      </c>
      <c r="M4" s="170">
        <f>M3+K4-L4</f>
        <v>323739.48910000024</v>
      </c>
      <c r="N4" s="43"/>
    </row>
    <row r="5" spans="1:17">
      <c r="A5" s="26">
        <v>2</v>
      </c>
      <c r="B5" s="27">
        <v>45902</v>
      </c>
      <c r="C5" s="71"/>
      <c r="D5" s="164"/>
      <c r="E5" s="169">
        <v>70</v>
      </c>
      <c r="F5" s="169">
        <v>91.93</v>
      </c>
      <c r="G5" s="8">
        <f t="shared" ref="G5:G34" si="0">E5*F5</f>
        <v>6435.1</v>
      </c>
      <c r="H5" s="169">
        <v>5</v>
      </c>
      <c r="I5" s="169">
        <v>103.89</v>
      </c>
      <c r="J5" s="8">
        <f t="shared" ref="J5:J34" si="1">H5*I5</f>
        <v>519.45000000000005</v>
      </c>
      <c r="K5" s="8">
        <f t="shared" ref="K5:K34" si="2">G5+J5</f>
        <v>6954.55</v>
      </c>
      <c r="L5" s="170">
        <v>0</v>
      </c>
      <c r="M5" s="170">
        <f>M4+K5-L5</f>
        <v>330694.03910000023</v>
      </c>
      <c r="N5" s="43"/>
    </row>
    <row r="6" spans="1:17">
      <c r="A6" s="26">
        <v>3</v>
      </c>
      <c r="B6" s="27">
        <v>45903</v>
      </c>
      <c r="C6" s="71"/>
      <c r="D6" s="164"/>
      <c r="E6" s="169">
        <v>0</v>
      </c>
      <c r="F6" s="169">
        <v>0</v>
      </c>
      <c r="G6" s="8">
        <f t="shared" si="0"/>
        <v>0</v>
      </c>
      <c r="H6" s="169">
        <v>10</v>
      </c>
      <c r="I6" s="169">
        <v>103.89</v>
      </c>
      <c r="J6" s="8">
        <f t="shared" si="1"/>
        <v>1038.9000000000001</v>
      </c>
      <c r="K6" s="8">
        <f t="shared" si="2"/>
        <v>1038.9000000000001</v>
      </c>
      <c r="L6" s="170">
        <v>0</v>
      </c>
      <c r="M6" s="170">
        <f>M5+K6-L6</f>
        <v>331732.93910000025</v>
      </c>
      <c r="N6" s="43"/>
    </row>
    <row r="7" spans="1:17">
      <c r="A7" s="26">
        <v>4</v>
      </c>
      <c r="B7" s="27">
        <v>45904</v>
      </c>
      <c r="C7" s="71"/>
      <c r="D7" s="164"/>
      <c r="E7" s="169">
        <v>215</v>
      </c>
      <c r="F7" s="169">
        <v>91.93</v>
      </c>
      <c r="G7" s="8">
        <f t="shared" si="0"/>
        <v>19764.95</v>
      </c>
      <c r="H7" s="169">
        <v>10</v>
      </c>
      <c r="I7" s="169">
        <v>103.89</v>
      </c>
      <c r="J7" s="8">
        <f t="shared" si="1"/>
        <v>1038.9000000000001</v>
      </c>
      <c r="K7" s="8">
        <f t="shared" si="2"/>
        <v>20803.850000000002</v>
      </c>
      <c r="L7" s="170">
        <v>0</v>
      </c>
      <c r="M7" s="170">
        <f>M6+K7-L7</f>
        <v>352536.78910000023</v>
      </c>
      <c r="N7" s="43"/>
    </row>
    <row r="8" spans="1:17">
      <c r="A8" s="26">
        <v>5</v>
      </c>
      <c r="B8" s="27">
        <v>45905</v>
      </c>
      <c r="C8" s="71"/>
      <c r="D8" s="164"/>
      <c r="E8" s="169">
        <v>100</v>
      </c>
      <c r="F8" s="169">
        <v>91.93</v>
      </c>
      <c r="G8" s="8">
        <f t="shared" si="0"/>
        <v>9193</v>
      </c>
      <c r="H8" s="169">
        <v>15</v>
      </c>
      <c r="I8" s="169">
        <v>103.89</v>
      </c>
      <c r="J8" s="8">
        <f t="shared" si="1"/>
        <v>1558.35</v>
      </c>
      <c r="K8" s="8">
        <f t="shared" si="2"/>
        <v>10751.35</v>
      </c>
      <c r="L8" s="170">
        <v>0</v>
      </c>
      <c r="M8" s="170">
        <f>M7+K8-L8</f>
        <v>363288.1391000002</v>
      </c>
      <c r="N8" s="43"/>
    </row>
    <row r="9" spans="1:17">
      <c r="A9" s="26">
        <v>6</v>
      </c>
      <c r="B9" s="27">
        <v>45906</v>
      </c>
      <c r="C9" s="71"/>
      <c r="D9" s="164"/>
      <c r="E9" s="169">
        <v>90</v>
      </c>
      <c r="F9" s="169">
        <v>91.93</v>
      </c>
      <c r="G9" s="8">
        <f t="shared" si="0"/>
        <v>8273.7000000000007</v>
      </c>
      <c r="H9" s="169">
        <v>35</v>
      </c>
      <c r="I9" s="169">
        <v>103.89</v>
      </c>
      <c r="J9" s="8">
        <f t="shared" si="1"/>
        <v>3636.15</v>
      </c>
      <c r="K9" s="8">
        <f t="shared" si="2"/>
        <v>11909.85</v>
      </c>
      <c r="L9" s="170">
        <v>0</v>
      </c>
      <c r="M9" s="170">
        <f>M8+K9-L9</f>
        <v>375197.98910000018</v>
      </c>
      <c r="N9" s="43"/>
    </row>
    <row r="10" spans="1:17">
      <c r="A10" s="26">
        <v>7</v>
      </c>
      <c r="B10" s="27">
        <v>45907</v>
      </c>
      <c r="C10" s="71"/>
      <c r="D10" s="164"/>
      <c r="E10" s="169">
        <v>310</v>
      </c>
      <c r="F10" s="169">
        <v>91.93</v>
      </c>
      <c r="G10" s="8">
        <f t="shared" si="0"/>
        <v>28498.300000000003</v>
      </c>
      <c r="H10" s="169">
        <v>0</v>
      </c>
      <c r="I10" s="169">
        <v>0</v>
      </c>
      <c r="J10" s="8">
        <f t="shared" si="1"/>
        <v>0</v>
      </c>
      <c r="K10" s="8">
        <f t="shared" si="2"/>
        <v>28498.300000000003</v>
      </c>
      <c r="L10" s="170">
        <v>0</v>
      </c>
      <c r="M10" s="170">
        <f>M9+K10-L10</f>
        <v>403696.28910000017</v>
      </c>
      <c r="N10" s="43"/>
    </row>
    <row r="11" spans="1:17">
      <c r="A11" s="26">
        <v>8</v>
      </c>
      <c r="B11" s="27">
        <v>45908</v>
      </c>
      <c r="C11" s="71"/>
      <c r="D11" s="164"/>
      <c r="E11" s="169">
        <v>330</v>
      </c>
      <c r="F11" s="169">
        <v>91.93</v>
      </c>
      <c r="G11" s="8">
        <f t="shared" si="0"/>
        <v>30336.9</v>
      </c>
      <c r="H11" s="169">
        <v>0</v>
      </c>
      <c r="I11" s="169">
        <v>0</v>
      </c>
      <c r="J11" s="8">
        <f t="shared" si="1"/>
        <v>0</v>
      </c>
      <c r="K11" s="8">
        <f t="shared" si="2"/>
        <v>30336.9</v>
      </c>
      <c r="L11" s="170">
        <v>403000</v>
      </c>
      <c r="M11" s="170">
        <f>M10+K11-L11</f>
        <v>31033.189100000192</v>
      </c>
      <c r="N11" s="43" t="s">
        <v>159</v>
      </c>
      <c r="P11" s="253"/>
      <c r="Q11" s="254"/>
    </row>
    <row r="12" spans="1:17">
      <c r="A12" s="26">
        <v>9</v>
      </c>
      <c r="B12" s="27">
        <v>45909</v>
      </c>
      <c r="C12" s="71"/>
      <c r="D12" s="164"/>
      <c r="E12" s="169">
        <v>90</v>
      </c>
      <c r="F12" s="169">
        <v>91.93</v>
      </c>
      <c r="G12" s="8">
        <f t="shared" si="0"/>
        <v>8273.7000000000007</v>
      </c>
      <c r="H12" s="169">
        <v>0</v>
      </c>
      <c r="I12" s="169">
        <v>0</v>
      </c>
      <c r="J12" s="8">
        <f t="shared" si="1"/>
        <v>0</v>
      </c>
      <c r="K12" s="8">
        <f t="shared" si="2"/>
        <v>8273.7000000000007</v>
      </c>
      <c r="L12" s="170">
        <v>0</v>
      </c>
      <c r="M12" s="170">
        <f>M11+K12-L12</f>
        <v>39306.88910000019</v>
      </c>
      <c r="N12" s="43"/>
    </row>
    <row r="13" spans="1:17">
      <c r="A13" s="26">
        <v>10</v>
      </c>
      <c r="B13" s="27">
        <v>45910</v>
      </c>
      <c r="C13" s="71"/>
      <c r="D13" s="164"/>
      <c r="E13" s="169">
        <v>0</v>
      </c>
      <c r="F13" s="169">
        <v>0</v>
      </c>
      <c r="G13" s="8">
        <f t="shared" si="0"/>
        <v>0</v>
      </c>
      <c r="H13" s="169">
        <v>15</v>
      </c>
      <c r="I13" s="169">
        <v>103.89</v>
      </c>
      <c r="J13" s="8">
        <f t="shared" si="1"/>
        <v>1558.35</v>
      </c>
      <c r="K13" s="8">
        <f t="shared" si="2"/>
        <v>1558.35</v>
      </c>
      <c r="L13" s="170">
        <v>0</v>
      </c>
      <c r="M13" s="170">
        <f>M12+K13-L13</f>
        <v>40865.239100000188</v>
      </c>
      <c r="N13" s="43"/>
    </row>
    <row r="14" spans="1:17">
      <c r="A14" s="26">
        <v>11</v>
      </c>
      <c r="B14" s="27">
        <v>45911</v>
      </c>
      <c r="C14" s="71"/>
      <c r="D14" s="164"/>
      <c r="E14" s="169">
        <v>350</v>
      </c>
      <c r="F14" s="169">
        <v>91.93</v>
      </c>
      <c r="G14" s="8">
        <f t="shared" si="0"/>
        <v>32175.500000000004</v>
      </c>
      <c r="H14" s="169">
        <v>5</v>
      </c>
      <c r="I14" s="169">
        <v>103.89</v>
      </c>
      <c r="J14" s="8">
        <f t="shared" si="1"/>
        <v>519.45000000000005</v>
      </c>
      <c r="K14" s="8">
        <f t="shared" si="2"/>
        <v>32694.950000000004</v>
      </c>
      <c r="L14" s="170">
        <v>0</v>
      </c>
      <c r="M14" s="170">
        <f>M13+K14-L14</f>
        <v>73560.189100000192</v>
      </c>
      <c r="N14" s="43"/>
    </row>
    <row r="15" spans="1:17">
      <c r="A15" s="26">
        <v>12</v>
      </c>
      <c r="B15" s="27">
        <v>45912</v>
      </c>
      <c r="C15" s="71"/>
      <c r="D15" s="164"/>
      <c r="E15" s="169">
        <v>157.61000000000001</v>
      </c>
      <c r="F15" s="169">
        <v>91.93</v>
      </c>
      <c r="G15" s="8">
        <f t="shared" si="0"/>
        <v>14489.087300000003</v>
      </c>
      <c r="H15" s="169">
        <v>0</v>
      </c>
      <c r="I15" s="169">
        <v>0</v>
      </c>
      <c r="J15" s="8">
        <f t="shared" si="1"/>
        <v>0</v>
      </c>
      <c r="K15" s="8">
        <f t="shared" si="2"/>
        <v>14489.087300000003</v>
      </c>
      <c r="L15" s="170">
        <v>0</v>
      </c>
      <c r="M15" s="170">
        <f>M14+K15-L15</f>
        <v>88049.276400000192</v>
      </c>
      <c r="N15" s="43"/>
    </row>
    <row r="16" spans="1:17">
      <c r="A16" s="26">
        <v>13</v>
      </c>
      <c r="B16" s="27">
        <v>45913</v>
      </c>
      <c r="C16" s="71"/>
      <c r="D16" s="164"/>
      <c r="E16" s="169">
        <v>100</v>
      </c>
      <c r="F16" s="169">
        <v>91.93</v>
      </c>
      <c r="G16" s="8">
        <f t="shared" si="0"/>
        <v>9193</v>
      </c>
      <c r="H16" s="169">
        <v>5</v>
      </c>
      <c r="I16" s="169">
        <v>103.89</v>
      </c>
      <c r="J16" s="8">
        <f t="shared" si="1"/>
        <v>519.45000000000005</v>
      </c>
      <c r="K16" s="8">
        <f t="shared" si="2"/>
        <v>9712.4500000000007</v>
      </c>
      <c r="L16" s="170">
        <v>0</v>
      </c>
      <c r="M16" s="170">
        <f>M15+K16-L16</f>
        <v>97761.726400000189</v>
      </c>
      <c r="N16" s="43"/>
    </row>
    <row r="17" spans="1:14">
      <c r="A17" s="26">
        <v>14</v>
      </c>
      <c r="B17" s="27">
        <v>45914</v>
      </c>
      <c r="C17" s="71"/>
      <c r="D17" s="164"/>
      <c r="E17" s="169">
        <v>30</v>
      </c>
      <c r="F17" s="169">
        <v>91.93</v>
      </c>
      <c r="G17" s="8">
        <f t="shared" si="0"/>
        <v>2757.9</v>
      </c>
      <c r="H17" s="169">
        <v>5</v>
      </c>
      <c r="I17" s="169">
        <v>103.89</v>
      </c>
      <c r="J17" s="8">
        <f t="shared" si="1"/>
        <v>519.45000000000005</v>
      </c>
      <c r="K17" s="8">
        <f t="shared" si="2"/>
        <v>3277.3500000000004</v>
      </c>
      <c r="L17" s="170">
        <v>0</v>
      </c>
      <c r="M17" s="170">
        <f>M16+K17-L17</f>
        <v>101039.07640000019</v>
      </c>
      <c r="N17" s="43"/>
    </row>
    <row r="18" spans="1:14">
      <c r="A18" s="26">
        <v>15</v>
      </c>
      <c r="B18" s="27">
        <v>45915</v>
      </c>
      <c r="C18" s="71"/>
      <c r="D18" s="164"/>
      <c r="E18" s="169">
        <v>315</v>
      </c>
      <c r="F18" s="169">
        <v>91.93</v>
      </c>
      <c r="G18" s="8">
        <f t="shared" si="0"/>
        <v>28957.95</v>
      </c>
      <c r="H18" s="169">
        <v>45</v>
      </c>
      <c r="I18" s="169">
        <v>103.89</v>
      </c>
      <c r="J18" s="8">
        <f t="shared" si="1"/>
        <v>4675.05</v>
      </c>
      <c r="K18" s="8">
        <f t="shared" si="2"/>
        <v>33633</v>
      </c>
      <c r="L18" s="170">
        <v>0</v>
      </c>
      <c r="M18" s="170">
        <f>M17+K18-L18</f>
        <v>134672.07640000019</v>
      </c>
      <c r="N18" s="43"/>
    </row>
    <row r="19" spans="1:14">
      <c r="A19" s="26">
        <v>16</v>
      </c>
      <c r="B19" s="27">
        <v>45916</v>
      </c>
      <c r="C19" s="71"/>
      <c r="D19" s="164"/>
      <c r="E19" s="169">
        <v>0</v>
      </c>
      <c r="F19" s="169">
        <v>0</v>
      </c>
      <c r="G19" s="8">
        <f t="shared" si="0"/>
        <v>0</v>
      </c>
      <c r="H19" s="169">
        <v>5</v>
      </c>
      <c r="I19" s="169">
        <v>103.89</v>
      </c>
      <c r="J19" s="8">
        <f t="shared" si="1"/>
        <v>519.45000000000005</v>
      </c>
      <c r="K19" s="8">
        <f t="shared" si="2"/>
        <v>519.45000000000005</v>
      </c>
      <c r="L19" s="170">
        <v>0</v>
      </c>
      <c r="M19" s="170">
        <f>M18+K19-L19</f>
        <v>135191.52640000021</v>
      </c>
      <c r="N19" s="43"/>
    </row>
    <row r="20" spans="1:14">
      <c r="A20" s="26">
        <v>17</v>
      </c>
      <c r="B20" s="27">
        <v>45917</v>
      </c>
      <c r="C20" s="71"/>
      <c r="D20" s="164"/>
      <c r="E20" s="169">
        <v>30</v>
      </c>
      <c r="F20" s="169">
        <v>91.93</v>
      </c>
      <c r="G20" s="8">
        <f t="shared" si="0"/>
        <v>2757.9</v>
      </c>
      <c r="H20" s="169">
        <v>0</v>
      </c>
      <c r="I20" s="169">
        <v>0</v>
      </c>
      <c r="J20" s="8">
        <f t="shared" si="1"/>
        <v>0</v>
      </c>
      <c r="K20" s="8">
        <f t="shared" si="2"/>
        <v>2757.9</v>
      </c>
      <c r="L20" s="170">
        <v>0</v>
      </c>
      <c r="M20" s="170">
        <f>M19+K20-L20</f>
        <v>137949.4264000002</v>
      </c>
      <c r="N20" s="43"/>
    </row>
    <row r="21" spans="1:14">
      <c r="A21" s="26">
        <v>18</v>
      </c>
      <c r="B21" s="27">
        <v>45918</v>
      </c>
      <c r="C21" s="71"/>
      <c r="D21" s="164"/>
      <c r="E21" s="169">
        <v>30</v>
      </c>
      <c r="F21" s="169">
        <v>91.93</v>
      </c>
      <c r="G21" s="8">
        <f t="shared" si="0"/>
        <v>2757.9</v>
      </c>
      <c r="H21" s="169">
        <v>5</v>
      </c>
      <c r="I21" s="169">
        <v>103.89</v>
      </c>
      <c r="J21" s="8">
        <f t="shared" si="1"/>
        <v>519.45000000000005</v>
      </c>
      <c r="K21" s="8">
        <f t="shared" si="2"/>
        <v>3277.3500000000004</v>
      </c>
      <c r="L21" s="170">
        <v>0</v>
      </c>
      <c r="M21" s="170">
        <f t="shared" ref="M20:M34" si="3">M20+K21-L21</f>
        <v>141226.77640000021</v>
      </c>
      <c r="N21" s="43"/>
    </row>
    <row r="22" spans="1:14">
      <c r="A22" s="26">
        <v>19</v>
      </c>
      <c r="B22" s="27">
        <v>45919</v>
      </c>
      <c r="C22" s="71"/>
      <c r="D22" s="164"/>
      <c r="E22" s="169">
        <v>80</v>
      </c>
      <c r="F22" s="169">
        <v>91.93</v>
      </c>
      <c r="G22" s="8">
        <f t="shared" si="0"/>
        <v>7354.4000000000005</v>
      </c>
      <c r="H22" s="169">
        <v>0</v>
      </c>
      <c r="I22" s="169">
        <v>0</v>
      </c>
      <c r="J22" s="8">
        <f t="shared" si="1"/>
        <v>0</v>
      </c>
      <c r="K22" s="8">
        <f t="shared" si="2"/>
        <v>7354.4000000000005</v>
      </c>
      <c r="L22" s="170">
        <v>0</v>
      </c>
      <c r="M22" s="170">
        <f t="shared" si="3"/>
        <v>148581.1764000002</v>
      </c>
      <c r="N22" s="43"/>
    </row>
    <row r="23" spans="1:14">
      <c r="A23" s="26">
        <v>20</v>
      </c>
      <c r="B23" s="27">
        <v>45920</v>
      </c>
      <c r="C23" s="71"/>
      <c r="D23" s="164"/>
      <c r="E23" s="169">
        <v>35</v>
      </c>
      <c r="F23" s="169">
        <v>91.93</v>
      </c>
      <c r="G23" s="8">
        <f t="shared" si="0"/>
        <v>3217.55</v>
      </c>
      <c r="H23" s="169">
        <v>0</v>
      </c>
      <c r="I23" s="169">
        <v>0</v>
      </c>
      <c r="J23" s="8">
        <f t="shared" si="1"/>
        <v>0</v>
      </c>
      <c r="K23" s="8">
        <f t="shared" si="2"/>
        <v>3217.55</v>
      </c>
      <c r="L23" s="170">
        <v>0</v>
      </c>
      <c r="M23" s="170">
        <f t="shared" si="3"/>
        <v>151798.72640000019</v>
      </c>
      <c r="N23" s="43"/>
    </row>
    <row r="24" spans="1:14">
      <c r="A24" s="26">
        <v>21</v>
      </c>
      <c r="B24" s="27">
        <v>45921</v>
      </c>
      <c r="C24" s="71"/>
      <c r="D24" s="164"/>
      <c r="E24" s="169">
        <v>0</v>
      </c>
      <c r="F24" s="169">
        <v>0</v>
      </c>
      <c r="G24" s="8">
        <f t="shared" si="0"/>
        <v>0</v>
      </c>
      <c r="H24" s="169">
        <v>0</v>
      </c>
      <c r="I24" s="169">
        <v>0</v>
      </c>
      <c r="J24" s="8">
        <f t="shared" si="1"/>
        <v>0</v>
      </c>
      <c r="K24" s="8">
        <f t="shared" si="2"/>
        <v>0</v>
      </c>
      <c r="L24" s="170">
        <v>0</v>
      </c>
      <c r="M24" s="170">
        <f t="shared" si="3"/>
        <v>151798.72640000019</v>
      </c>
      <c r="N24" s="43"/>
    </row>
    <row r="25" spans="1:14">
      <c r="A25" s="26">
        <v>22</v>
      </c>
      <c r="B25" s="27">
        <v>45922</v>
      </c>
      <c r="C25" s="71"/>
      <c r="D25" s="164"/>
      <c r="E25" s="169">
        <v>244</v>
      </c>
      <c r="F25" s="169">
        <v>91.93</v>
      </c>
      <c r="G25" s="8">
        <f t="shared" si="0"/>
        <v>22430.920000000002</v>
      </c>
      <c r="H25" s="169">
        <v>60</v>
      </c>
      <c r="I25" s="169">
        <v>103.89</v>
      </c>
      <c r="J25" s="8">
        <f t="shared" si="1"/>
        <v>6233.4</v>
      </c>
      <c r="K25" s="8">
        <f t="shared" si="2"/>
        <v>28664.32</v>
      </c>
      <c r="L25" s="170">
        <v>0</v>
      </c>
      <c r="M25" s="170">
        <f t="shared" si="3"/>
        <v>180463.0464000002</v>
      </c>
      <c r="N25" s="43"/>
    </row>
    <row r="26" spans="1:14">
      <c r="A26" s="26">
        <v>23</v>
      </c>
      <c r="B26" s="27">
        <v>45923</v>
      </c>
      <c r="C26" s="71"/>
      <c r="D26" s="164"/>
      <c r="E26" s="169">
        <v>70</v>
      </c>
      <c r="F26" s="169">
        <v>91.93</v>
      </c>
      <c r="G26" s="8">
        <f t="shared" si="0"/>
        <v>6435.1</v>
      </c>
      <c r="H26" s="169">
        <v>5</v>
      </c>
      <c r="I26" s="169">
        <v>103.89</v>
      </c>
      <c r="J26" s="8">
        <f t="shared" si="1"/>
        <v>519.45000000000005</v>
      </c>
      <c r="K26" s="8">
        <f t="shared" si="2"/>
        <v>6954.55</v>
      </c>
      <c r="L26" s="170">
        <v>0</v>
      </c>
      <c r="M26" s="170">
        <f t="shared" si="3"/>
        <v>187417.59640000018</v>
      </c>
      <c r="N26" s="43"/>
    </row>
    <row r="27" spans="1:14">
      <c r="A27" s="26">
        <v>24</v>
      </c>
      <c r="B27" s="27">
        <v>45924</v>
      </c>
      <c r="C27" s="71"/>
      <c r="D27" s="164"/>
      <c r="E27" s="169">
        <v>58</v>
      </c>
      <c r="F27" s="169">
        <v>91.93</v>
      </c>
      <c r="G27" s="8">
        <f t="shared" si="0"/>
        <v>5331.9400000000005</v>
      </c>
      <c r="H27" s="169">
        <v>5</v>
      </c>
      <c r="I27" s="169">
        <v>103.89</v>
      </c>
      <c r="J27" s="8">
        <f t="shared" si="1"/>
        <v>519.45000000000005</v>
      </c>
      <c r="K27" s="8">
        <f t="shared" si="2"/>
        <v>5851.39</v>
      </c>
      <c r="L27" s="170">
        <v>0</v>
      </c>
      <c r="M27" s="170">
        <f t="shared" si="3"/>
        <v>193268.9864000002</v>
      </c>
      <c r="N27" s="43"/>
    </row>
    <row r="28" spans="1:14">
      <c r="A28" s="26">
        <v>25</v>
      </c>
      <c r="B28" s="27">
        <v>45925</v>
      </c>
      <c r="C28" s="71"/>
      <c r="D28" s="164"/>
      <c r="E28" s="169">
        <v>40</v>
      </c>
      <c r="F28" s="169">
        <v>91.93</v>
      </c>
      <c r="G28" s="8">
        <f t="shared" si="0"/>
        <v>3677.2000000000003</v>
      </c>
      <c r="H28" s="169">
        <v>5</v>
      </c>
      <c r="I28" s="169">
        <v>103.89</v>
      </c>
      <c r="J28" s="8">
        <f t="shared" si="1"/>
        <v>519.45000000000005</v>
      </c>
      <c r="K28" s="8">
        <f t="shared" si="2"/>
        <v>4196.6500000000005</v>
      </c>
      <c r="L28" s="170">
        <v>0</v>
      </c>
      <c r="M28" s="170">
        <f t="shared" si="3"/>
        <v>197465.63640000019</v>
      </c>
      <c r="N28" s="43"/>
    </row>
    <row r="29" spans="1:14">
      <c r="A29" s="26">
        <v>26</v>
      </c>
      <c r="B29" s="27">
        <v>45926</v>
      </c>
      <c r="C29" s="203"/>
      <c r="D29" s="164"/>
      <c r="E29" s="169">
        <v>290</v>
      </c>
      <c r="F29" s="169">
        <v>91.93</v>
      </c>
      <c r="G29" s="8">
        <f t="shared" si="0"/>
        <v>26659.7</v>
      </c>
      <c r="H29" s="169">
        <v>30</v>
      </c>
      <c r="I29" s="169">
        <v>103.89</v>
      </c>
      <c r="J29" s="8">
        <f t="shared" si="1"/>
        <v>3116.7</v>
      </c>
      <c r="K29" s="8">
        <f t="shared" si="2"/>
        <v>29776.400000000001</v>
      </c>
      <c r="L29" s="170">
        <v>0</v>
      </c>
      <c r="M29" s="170">
        <f t="shared" si="3"/>
        <v>227242.03640000019</v>
      </c>
      <c r="N29" s="43"/>
    </row>
    <row r="30" spans="1:14">
      <c r="A30" s="26">
        <v>27</v>
      </c>
      <c r="B30" s="27">
        <v>45927</v>
      </c>
      <c r="C30" s="71"/>
      <c r="D30" s="164"/>
      <c r="E30" s="169">
        <v>0</v>
      </c>
      <c r="F30" s="169">
        <v>0</v>
      </c>
      <c r="G30" s="8">
        <f t="shared" si="0"/>
        <v>0</v>
      </c>
      <c r="H30" s="169">
        <v>0</v>
      </c>
      <c r="I30" s="169">
        <v>0</v>
      </c>
      <c r="J30" s="8">
        <f t="shared" si="1"/>
        <v>0</v>
      </c>
      <c r="K30" s="8">
        <f t="shared" si="2"/>
        <v>0</v>
      </c>
      <c r="L30" s="170">
        <v>0</v>
      </c>
      <c r="M30" s="170">
        <f t="shared" si="3"/>
        <v>227242.03640000019</v>
      </c>
      <c r="N30" s="43"/>
    </row>
    <row r="31" spans="1:14">
      <c r="A31" s="26">
        <v>28</v>
      </c>
      <c r="B31" s="27">
        <v>45928</v>
      </c>
      <c r="C31" s="71"/>
      <c r="D31" s="164"/>
      <c r="E31" s="169">
        <v>0</v>
      </c>
      <c r="F31" s="169">
        <v>0</v>
      </c>
      <c r="G31" s="8">
        <f t="shared" si="0"/>
        <v>0</v>
      </c>
      <c r="H31" s="169">
        <v>0</v>
      </c>
      <c r="I31" s="169">
        <v>0</v>
      </c>
      <c r="J31" s="8">
        <f t="shared" si="1"/>
        <v>0</v>
      </c>
      <c r="K31" s="8">
        <f t="shared" si="2"/>
        <v>0</v>
      </c>
      <c r="L31" s="170">
        <v>0</v>
      </c>
      <c r="M31" s="170">
        <f t="shared" si="3"/>
        <v>227242.03640000019</v>
      </c>
      <c r="N31" s="43"/>
    </row>
    <row r="32" spans="1:14">
      <c r="A32" s="26">
        <v>29</v>
      </c>
      <c r="B32" s="27">
        <v>45929</v>
      </c>
      <c r="C32" s="71"/>
      <c r="D32" s="164"/>
      <c r="E32" s="169">
        <v>0</v>
      </c>
      <c r="F32" s="169">
        <v>0</v>
      </c>
      <c r="G32" s="8">
        <f t="shared" si="0"/>
        <v>0</v>
      </c>
      <c r="H32" s="169">
        <v>0</v>
      </c>
      <c r="I32" s="169">
        <v>0</v>
      </c>
      <c r="J32" s="8">
        <f t="shared" si="1"/>
        <v>0</v>
      </c>
      <c r="K32" s="8">
        <f t="shared" si="2"/>
        <v>0</v>
      </c>
      <c r="L32" s="170">
        <v>0</v>
      </c>
      <c r="M32" s="170">
        <f t="shared" si="3"/>
        <v>227242.03640000019</v>
      </c>
      <c r="N32" s="43"/>
    </row>
    <row r="33" spans="1:15">
      <c r="A33" s="26">
        <v>30</v>
      </c>
      <c r="B33" s="27">
        <v>45930</v>
      </c>
      <c r="C33" s="71"/>
      <c r="D33" s="164"/>
      <c r="E33" s="169">
        <v>40</v>
      </c>
      <c r="F33" s="169">
        <v>91.93</v>
      </c>
      <c r="G33" s="8">
        <f t="shared" si="0"/>
        <v>3677.2000000000003</v>
      </c>
      <c r="H33" s="169">
        <v>0</v>
      </c>
      <c r="I33" s="169">
        <v>0</v>
      </c>
      <c r="J33" s="8">
        <f t="shared" si="1"/>
        <v>0</v>
      </c>
      <c r="K33" s="8">
        <f t="shared" si="2"/>
        <v>3677.2000000000003</v>
      </c>
      <c r="L33" s="170">
        <v>0</v>
      </c>
      <c r="M33" s="170">
        <f t="shared" si="3"/>
        <v>230919.2364000002</v>
      </c>
      <c r="N33" s="43"/>
    </row>
    <row r="34" spans="1:15">
      <c r="A34" s="26">
        <v>31</v>
      </c>
      <c r="B34" s="27"/>
      <c r="C34" s="71"/>
      <c r="D34" s="164"/>
      <c r="E34" s="169">
        <v>0</v>
      </c>
      <c r="F34" s="169">
        <v>0</v>
      </c>
      <c r="G34" s="8">
        <f t="shared" si="0"/>
        <v>0</v>
      </c>
      <c r="H34" s="169">
        <v>0</v>
      </c>
      <c r="I34" s="169">
        <v>0</v>
      </c>
      <c r="J34" s="8">
        <f t="shared" si="1"/>
        <v>0</v>
      </c>
      <c r="K34" s="8">
        <f t="shared" si="2"/>
        <v>0</v>
      </c>
      <c r="L34" s="170">
        <v>0</v>
      </c>
      <c r="M34" s="170">
        <f t="shared" si="3"/>
        <v>230919.2364000002</v>
      </c>
      <c r="N34" s="43"/>
    </row>
    <row r="35" spans="1:15">
      <c r="A35" s="165"/>
      <c r="B35" s="165"/>
      <c r="C35" s="165"/>
      <c r="D35" s="165"/>
      <c r="E35" s="166">
        <f>SUM(E4:E34)</f>
        <v>3544.61</v>
      </c>
      <c r="F35" s="166"/>
      <c r="G35" s="166">
        <f>SUM(G4:G34)</f>
        <v>325855.99730000005</v>
      </c>
      <c r="H35" s="166">
        <f>SUM(H4:H34)</f>
        <v>300</v>
      </c>
      <c r="I35" s="67"/>
      <c r="J35" s="166">
        <f>SUM(J4:J34)</f>
        <v>31167.000000000007</v>
      </c>
      <c r="K35" s="166">
        <f>SUM(K4:K34)</f>
        <v>357022.99730000016</v>
      </c>
      <c r="L35" s="166">
        <f>SUM(L4:L34)</f>
        <v>403000</v>
      </c>
      <c r="M35" s="67"/>
      <c r="N35" s="67"/>
      <c r="O35" s="63"/>
    </row>
    <row r="36" spans="1:15">
      <c r="A36" s="76"/>
      <c r="B36" s="77"/>
      <c r="C36" s="76"/>
      <c r="D36" s="76"/>
      <c r="E36" s="78"/>
      <c r="F36" s="78"/>
      <c r="G36" s="78"/>
      <c r="H36" s="78"/>
      <c r="I36" s="78"/>
      <c r="J36" s="79"/>
      <c r="K36" s="79"/>
      <c r="L36" s="79"/>
      <c r="M36" s="79"/>
      <c r="N36" s="78"/>
    </row>
    <row r="42" spans="1:15">
      <c r="B42" s="63"/>
      <c r="G42" s="80"/>
      <c r="J42" s="63"/>
      <c r="K42" s="63"/>
      <c r="L42" s="63"/>
      <c r="M42" s="63"/>
      <c r="O42" s="78"/>
    </row>
    <row r="43" spans="1:15">
      <c r="B43" s="402"/>
      <c r="C43" s="402"/>
      <c r="D43" s="402"/>
      <c r="E43" s="402"/>
      <c r="I43" s="402"/>
      <c r="J43" s="402"/>
      <c r="K43" s="402"/>
      <c r="L43" s="402"/>
      <c r="M43" s="402"/>
      <c r="N43" s="402"/>
      <c r="O43" s="78"/>
    </row>
    <row r="44" spans="1:15">
      <c r="B44" s="63"/>
      <c r="J44" s="63"/>
      <c r="K44" s="63"/>
      <c r="L44" s="63"/>
      <c r="M44" s="63"/>
      <c r="O44" s="78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35F0-7189-4495-B3AE-C2E9CF5D0A6B}">
  <dimension ref="A1:O35"/>
  <sheetViews>
    <sheetView workbookViewId="0">
      <selection activeCell="K27" sqref="K27"/>
    </sheetView>
  </sheetViews>
  <sheetFormatPr defaultRowHeight="15"/>
  <cols>
    <col min="2" max="2" width="14.42578125" customWidth="1"/>
    <col min="4" max="4" width="19.140625" customWidth="1"/>
    <col min="5" max="5" width="17.7109375" customWidth="1"/>
    <col min="6" max="6" width="12.28515625" customWidth="1"/>
    <col min="7" max="7" width="12.85546875" style="22" customWidth="1"/>
    <col min="8" max="8" width="12" style="22" customWidth="1"/>
    <col min="9" max="9" width="9.140625" style="22"/>
    <col min="10" max="10" width="11.140625" style="22" customWidth="1"/>
    <col min="11" max="11" width="12" style="22" customWidth="1"/>
    <col min="12" max="12" width="11.85546875" style="22" customWidth="1"/>
    <col min="13" max="13" width="13.85546875" customWidth="1"/>
  </cols>
  <sheetData>
    <row r="1" spans="1:14" ht="15.75">
      <c r="A1" s="389" t="s">
        <v>54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</row>
    <row r="2" spans="1:14">
      <c r="A2" s="102" t="s">
        <v>90</v>
      </c>
      <c r="B2" s="103" t="s">
        <v>91</v>
      </c>
      <c r="C2" s="103" t="s">
        <v>92</v>
      </c>
      <c r="D2" s="103" t="s">
        <v>107</v>
      </c>
      <c r="E2" s="103" t="s">
        <v>94</v>
      </c>
      <c r="F2" s="103" t="s">
        <v>95</v>
      </c>
      <c r="G2" s="238" t="s">
        <v>96</v>
      </c>
      <c r="H2" s="238" t="s">
        <v>97</v>
      </c>
      <c r="I2" s="238" t="s">
        <v>95</v>
      </c>
      <c r="J2" s="238" t="s">
        <v>96</v>
      </c>
      <c r="K2" s="239" t="s">
        <v>98</v>
      </c>
      <c r="L2" s="239" t="s">
        <v>99</v>
      </c>
      <c r="M2" s="147" t="s">
        <v>106</v>
      </c>
      <c r="N2" s="105" t="s">
        <v>101</v>
      </c>
    </row>
    <row r="3" spans="1:14">
      <c r="A3" s="425" t="s">
        <v>102</v>
      </c>
      <c r="B3" s="426"/>
      <c r="C3" s="426"/>
      <c r="D3" s="426"/>
      <c r="E3" s="426"/>
      <c r="F3" s="426"/>
      <c r="G3" s="426"/>
      <c r="H3" s="426"/>
      <c r="I3" s="426"/>
      <c r="J3" s="427"/>
      <c r="K3" s="223">
        <v>0</v>
      </c>
      <c r="L3" s="223"/>
      <c r="M3" s="179">
        <f>+K3</f>
        <v>0</v>
      </c>
      <c r="N3" s="224"/>
    </row>
    <row r="4" spans="1:14">
      <c r="A4" s="26">
        <v>1</v>
      </c>
      <c r="B4" s="27">
        <v>45901</v>
      </c>
      <c r="C4" s="17"/>
      <c r="D4" s="17"/>
      <c r="E4" s="200">
        <v>0</v>
      </c>
      <c r="F4" s="200">
        <v>0</v>
      </c>
      <c r="G4" s="218">
        <f>E4*F4</f>
        <v>0</v>
      </c>
      <c r="H4" s="218"/>
      <c r="I4" s="218"/>
      <c r="J4" s="218"/>
      <c r="K4" s="218">
        <f>G4+J4</f>
        <v>0</v>
      </c>
      <c r="L4" s="218">
        <f>+K4</f>
        <v>0</v>
      </c>
      <c r="M4" s="200"/>
      <c r="N4" s="17"/>
    </row>
    <row r="5" spans="1:14">
      <c r="A5" s="26">
        <v>2</v>
      </c>
      <c r="B5" s="27">
        <v>45902</v>
      </c>
      <c r="C5" s="17"/>
      <c r="D5" s="17"/>
      <c r="E5" s="200">
        <v>0</v>
      </c>
      <c r="F5" s="200">
        <v>0</v>
      </c>
      <c r="G5" s="218">
        <f t="shared" ref="G5:G34" si="0">E5*F5</f>
        <v>0</v>
      </c>
      <c r="H5" s="218"/>
      <c r="I5" s="218"/>
      <c r="J5" s="218"/>
      <c r="K5" s="218">
        <f t="shared" ref="K5:K34" si="1">G5+J5</f>
        <v>0</v>
      </c>
      <c r="L5" s="218">
        <f t="shared" ref="L5:L33" si="2">+K5</f>
        <v>0</v>
      </c>
      <c r="M5" s="200"/>
      <c r="N5" s="17"/>
    </row>
    <row r="6" spans="1:14">
      <c r="A6" s="26">
        <v>3</v>
      </c>
      <c r="B6" s="27">
        <v>45903</v>
      </c>
      <c r="C6" s="17"/>
      <c r="D6" s="17"/>
      <c r="E6" s="200">
        <v>0</v>
      </c>
      <c r="F6" s="200">
        <v>0</v>
      </c>
      <c r="G6" s="218">
        <f t="shared" si="0"/>
        <v>0</v>
      </c>
      <c r="H6" s="218"/>
      <c r="I6" s="218"/>
      <c r="J6" s="218"/>
      <c r="K6" s="218">
        <f t="shared" si="1"/>
        <v>0</v>
      </c>
      <c r="L6" s="218">
        <f t="shared" si="2"/>
        <v>0</v>
      </c>
      <c r="M6" s="200"/>
      <c r="N6" s="17"/>
    </row>
    <row r="7" spans="1:14">
      <c r="A7" s="26">
        <v>4</v>
      </c>
      <c r="B7" s="27">
        <v>45904</v>
      </c>
      <c r="C7" s="17"/>
      <c r="D7" s="17"/>
      <c r="E7" s="200">
        <v>0</v>
      </c>
      <c r="F7" s="200">
        <v>0</v>
      </c>
      <c r="G7" s="218">
        <f t="shared" si="0"/>
        <v>0</v>
      </c>
      <c r="H7" s="218"/>
      <c r="I7" s="218"/>
      <c r="J7" s="218"/>
      <c r="K7" s="218">
        <f t="shared" si="1"/>
        <v>0</v>
      </c>
      <c r="L7" s="218">
        <f t="shared" si="2"/>
        <v>0</v>
      </c>
      <c r="M7" s="200"/>
      <c r="N7" s="17"/>
    </row>
    <row r="8" spans="1:14">
      <c r="A8" s="26">
        <v>5</v>
      </c>
      <c r="B8" s="27">
        <v>45905</v>
      </c>
      <c r="C8" s="17"/>
      <c r="D8" s="17"/>
      <c r="E8" s="200">
        <v>0</v>
      </c>
      <c r="F8" s="200">
        <v>0</v>
      </c>
      <c r="G8" s="218">
        <f t="shared" si="0"/>
        <v>0</v>
      </c>
      <c r="H8" s="218"/>
      <c r="I8" s="218"/>
      <c r="J8" s="218"/>
      <c r="K8" s="218">
        <f t="shared" si="1"/>
        <v>0</v>
      </c>
      <c r="L8" s="218">
        <f t="shared" si="2"/>
        <v>0</v>
      </c>
      <c r="M8" s="200"/>
      <c r="N8" s="17"/>
    </row>
    <row r="9" spans="1:14">
      <c r="A9" s="26">
        <v>6</v>
      </c>
      <c r="B9" s="27">
        <v>45906</v>
      </c>
      <c r="C9" s="17"/>
      <c r="D9" s="17"/>
      <c r="E9" s="200">
        <v>0</v>
      </c>
      <c r="F9" s="200">
        <v>0</v>
      </c>
      <c r="G9" s="218">
        <f t="shared" si="0"/>
        <v>0</v>
      </c>
      <c r="H9" s="218"/>
      <c r="I9" s="218"/>
      <c r="J9" s="218"/>
      <c r="K9" s="218">
        <f t="shared" si="1"/>
        <v>0</v>
      </c>
      <c r="L9" s="218">
        <f t="shared" si="2"/>
        <v>0</v>
      </c>
      <c r="M9" s="200"/>
      <c r="N9" s="17"/>
    </row>
    <row r="10" spans="1:14">
      <c r="A10" s="26">
        <v>7</v>
      </c>
      <c r="B10" s="27">
        <v>45907</v>
      </c>
      <c r="C10" s="17"/>
      <c r="D10" s="17"/>
      <c r="E10" s="200">
        <v>0</v>
      </c>
      <c r="F10" s="200">
        <v>0</v>
      </c>
      <c r="G10" s="218">
        <f t="shared" si="0"/>
        <v>0</v>
      </c>
      <c r="H10" s="218"/>
      <c r="I10" s="218"/>
      <c r="J10" s="218"/>
      <c r="K10" s="218">
        <f t="shared" si="1"/>
        <v>0</v>
      </c>
      <c r="L10" s="218">
        <f t="shared" si="2"/>
        <v>0</v>
      </c>
      <c r="M10" s="200"/>
      <c r="N10" s="17"/>
    </row>
    <row r="11" spans="1:14">
      <c r="A11" s="26">
        <v>8</v>
      </c>
      <c r="B11" s="27">
        <v>45908</v>
      </c>
      <c r="C11" s="17"/>
      <c r="D11" s="17"/>
      <c r="E11" s="200">
        <v>0</v>
      </c>
      <c r="F11" s="200">
        <v>0</v>
      </c>
      <c r="G11" s="218">
        <f t="shared" si="0"/>
        <v>0</v>
      </c>
      <c r="H11" s="218"/>
      <c r="I11" s="218"/>
      <c r="J11" s="218"/>
      <c r="K11" s="218">
        <f t="shared" si="1"/>
        <v>0</v>
      </c>
      <c r="L11" s="218">
        <f t="shared" si="2"/>
        <v>0</v>
      </c>
      <c r="M11" s="200"/>
      <c r="N11" s="17"/>
    </row>
    <row r="12" spans="1:14">
      <c r="A12" s="26">
        <v>9</v>
      </c>
      <c r="B12" s="27">
        <v>45909</v>
      </c>
      <c r="C12" s="17"/>
      <c r="D12" s="17"/>
      <c r="E12" s="200">
        <v>70</v>
      </c>
      <c r="F12" s="200">
        <v>91.59</v>
      </c>
      <c r="G12" s="218">
        <f t="shared" si="0"/>
        <v>6411.3</v>
      </c>
      <c r="H12" s="218">
        <v>5</v>
      </c>
      <c r="I12" s="218">
        <v>103.53</v>
      </c>
      <c r="J12" s="218">
        <f>H12*I12</f>
        <v>517.65</v>
      </c>
      <c r="K12" s="218">
        <f t="shared" si="1"/>
        <v>6928.95</v>
      </c>
      <c r="L12" s="218">
        <f t="shared" si="2"/>
        <v>6928.95</v>
      </c>
      <c r="M12" s="200"/>
      <c r="N12" s="17"/>
    </row>
    <row r="13" spans="1:14">
      <c r="A13" s="26">
        <v>10</v>
      </c>
      <c r="B13" s="27">
        <v>45910</v>
      </c>
      <c r="C13" s="17"/>
      <c r="D13" s="17"/>
      <c r="E13" s="200">
        <v>0</v>
      </c>
      <c r="F13" s="200">
        <v>0</v>
      </c>
      <c r="G13" s="218">
        <f t="shared" si="0"/>
        <v>0</v>
      </c>
      <c r="H13" s="218"/>
      <c r="I13" s="218"/>
      <c r="J13" s="218">
        <f t="shared" ref="J13:J26" si="3">H13*I13</f>
        <v>0</v>
      </c>
      <c r="K13" s="218">
        <f t="shared" si="1"/>
        <v>0</v>
      </c>
      <c r="L13" s="218">
        <f t="shared" si="2"/>
        <v>0</v>
      </c>
      <c r="M13" s="200"/>
      <c r="N13" s="17"/>
    </row>
    <row r="14" spans="1:14">
      <c r="A14" s="26">
        <v>11</v>
      </c>
      <c r="B14" s="27">
        <v>45911</v>
      </c>
      <c r="C14" s="17"/>
      <c r="D14" s="17"/>
      <c r="E14" s="200">
        <v>0</v>
      </c>
      <c r="F14" s="200">
        <v>0</v>
      </c>
      <c r="G14" s="218">
        <f t="shared" si="0"/>
        <v>0</v>
      </c>
      <c r="H14" s="218"/>
      <c r="I14" s="218"/>
      <c r="J14" s="218">
        <f t="shared" si="3"/>
        <v>0</v>
      </c>
      <c r="K14" s="218">
        <f t="shared" si="1"/>
        <v>0</v>
      </c>
      <c r="L14" s="218">
        <f t="shared" si="2"/>
        <v>0</v>
      </c>
      <c r="M14" s="200"/>
      <c r="N14" s="17"/>
    </row>
    <row r="15" spans="1:14">
      <c r="A15" s="26">
        <v>12</v>
      </c>
      <c r="B15" s="27">
        <v>45912</v>
      </c>
      <c r="C15" s="17"/>
      <c r="D15" s="17"/>
      <c r="E15" s="200">
        <v>155</v>
      </c>
      <c r="F15" s="200">
        <v>91.59</v>
      </c>
      <c r="G15" s="218">
        <f t="shared" si="0"/>
        <v>14196.45</v>
      </c>
      <c r="H15" s="218">
        <v>6</v>
      </c>
      <c r="I15" s="218">
        <v>103.53</v>
      </c>
      <c r="J15" s="218">
        <f t="shared" si="3"/>
        <v>621.18000000000006</v>
      </c>
      <c r="K15" s="218">
        <f t="shared" si="1"/>
        <v>14817.630000000001</v>
      </c>
      <c r="L15" s="218">
        <f t="shared" si="2"/>
        <v>14817.630000000001</v>
      </c>
      <c r="M15" s="200"/>
      <c r="N15" s="17"/>
    </row>
    <row r="16" spans="1:14">
      <c r="A16" s="26">
        <v>13</v>
      </c>
      <c r="B16" s="27">
        <v>45913</v>
      </c>
      <c r="C16" s="17"/>
      <c r="D16" s="17"/>
      <c r="E16" s="200">
        <v>0</v>
      </c>
      <c r="F16" s="200">
        <v>0</v>
      </c>
      <c r="G16" s="218">
        <f t="shared" si="0"/>
        <v>0</v>
      </c>
      <c r="H16" s="218"/>
      <c r="I16" s="218"/>
      <c r="J16" s="218">
        <f t="shared" si="3"/>
        <v>0</v>
      </c>
      <c r="K16" s="218">
        <f t="shared" si="1"/>
        <v>0</v>
      </c>
      <c r="L16" s="218">
        <f t="shared" si="2"/>
        <v>0</v>
      </c>
      <c r="M16" s="200"/>
      <c r="N16" s="17"/>
    </row>
    <row r="17" spans="1:15">
      <c r="A17" s="26">
        <v>14</v>
      </c>
      <c r="B17" s="27">
        <v>45914</v>
      </c>
      <c r="C17" s="17"/>
      <c r="D17" s="17"/>
      <c r="E17" s="200">
        <v>0</v>
      </c>
      <c r="F17" s="200">
        <v>0</v>
      </c>
      <c r="G17" s="218">
        <f t="shared" si="0"/>
        <v>0</v>
      </c>
      <c r="H17" s="218"/>
      <c r="I17" s="218"/>
      <c r="J17" s="218">
        <f t="shared" si="3"/>
        <v>0</v>
      </c>
      <c r="K17" s="218">
        <f t="shared" si="1"/>
        <v>0</v>
      </c>
      <c r="L17" s="218">
        <f t="shared" si="2"/>
        <v>0</v>
      </c>
      <c r="M17" s="200"/>
      <c r="N17" s="17"/>
    </row>
    <row r="18" spans="1:15">
      <c r="A18" s="26">
        <v>15</v>
      </c>
      <c r="B18" s="27">
        <v>45915</v>
      </c>
      <c r="C18" s="17"/>
      <c r="D18" s="17"/>
      <c r="E18" s="200">
        <v>100</v>
      </c>
      <c r="F18" s="200">
        <v>91.59</v>
      </c>
      <c r="G18" s="218">
        <f t="shared" si="0"/>
        <v>9159</v>
      </c>
      <c r="H18" s="218"/>
      <c r="I18" s="218"/>
      <c r="J18" s="218">
        <f t="shared" si="3"/>
        <v>0</v>
      </c>
      <c r="K18" s="218">
        <f t="shared" si="1"/>
        <v>9159</v>
      </c>
      <c r="L18" s="218">
        <f t="shared" si="2"/>
        <v>9159</v>
      </c>
      <c r="M18" s="200"/>
      <c r="N18" s="17"/>
    </row>
    <row r="19" spans="1:15">
      <c r="A19" s="26">
        <v>16</v>
      </c>
      <c r="B19" s="27">
        <v>45916</v>
      </c>
      <c r="C19" s="17"/>
      <c r="D19" s="17"/>
      <c r="E19" s="200">
        <v>0</v>
      </c>
      <c r="F19" s="200">
        <v>0</v>
      </c>
      <c r="G19" s="218">
        <f t="shared" si="0"/>
        <v>0</v>
      </c>
      <c r="H19" s="218"/>
      <c r="I19" s="218"/>
      <c r="J19" s="218">
        <f t="shared" si="3"/>
        <v>0</v>
      </c>
      <c r="K19" s="218">
        <f t="shared" si="1"/>
        <v>0</v>
      </c>
      <c r="L19" s="218">
        <f t="shared" si="2"/>
        <v>0</v>
      </c>
      <c r="M19" s="200"/>
      <c r="N19" s="17"/>
    </row>
    <row r="20" spans="1:15">
      <c r="A20" s="26">
        <v>17</v>
      </c>
      <c r="B20" s="27">
        <v>45917</v>
      </c>
      <c r="C20" s="17"/>
      <c r="D20" s="17"/>
      <c r="E20" s="200">
        <v>0</v>
      </c>
      <c r="F20" s="200">
        <v>0</v>
      </c>
      <c r="G20" s="218">
        <f t="shared" si="0"/>
        <v>0</v>
      </c>
      <c r="H20" s="218"/>
      <c r="I20" s="218"/>
      <c r="J20" s="218">
        <f t="shared" si="3"/>
        <v>0</v>
      </c>
      <c r="K20" s="218">
        <f t="shared" si="1"/>
        <v>0</v>
      </c>
      <c r="L20" s="218">
        <f t="shared" si="2"/>
        <v>0</v>
      </c>
      <c r="M20" s="200"/>
      <c r="N20" s="17"/>
    </row>
    <row r="21" spans="1:15">
      <c r="A21" s="26">
        <v>18</v>
      </c>
      <c r="B21" s="27">
        <v>45918</v>
      </c>
      <c r="C21" s="17"/>
      <c r="D21" s="17"/>
      <c r="E21" s="200">
        <v>0</v>
      </c>
      <c r="F21" s="200">
        <v>0</v>
      </c>
      <c r="G21" s="218">
        <f t="shared" si="0"/>
        <v>0</v>
      </c>
      <c r="H21" s="218"/>
      <c r="I21" s="218"/>
      <c r="J21" s="218">
        <f t="shared" si="3"/>
        <v>0</v>
      </c>
      <c r="K21" s="218">
        <f t="shared" si="1"/>
        <v>0</v>
      </c>
      <c r="L21" s="218">
        <f t="shared" si="2"/>
        <v>0</v>
      </c>
      <c r="M21" s="200"/>
      <c r="N21" s="17"/>
    </row>
    <row r="22" spans="1:15">
      <c r="A22" s="26">
        <v>19</v>
      </c>
      <c r="B22" s="27">
        <v>45919</v>
      </c>
      <c r="C22" s="17"/>
      <c r="D22" s="17"/>
      <c r="E22" s="200">
        <v>0</v>
      </c>
      <c r="F22" s="200">
        <v>0</v>
      </c>
      <c r="G22" s="218">
        <f t="shared" si="0"/>
        <v>0</v>
      </c>
      <c r="H22" s="218"/>
      <c r="I22" s="218"/>
      <c r="J22" s="218">
        <f t="shared" si="3"/>
        <v>0</v>
      </c>
      <c r="K22" s="218">
        <f t="shared" si="1"/>
        <v>0</v>
      </c>
      <c r="L22" s="218">
        <f t="shared" si="2"/>
        <v>0</v>
      </c>
      <c r="M22" s="200"/>
      <c r="N22" s="17"/>
    </row>
    <row r="23" spans="1:15">
      <c r="A23" s="26">
        <v>20</v>
      </c>
      <c r="B23" s="27">
        <v>45920</v>
      </c>
      <c r="C23" s="17"/>
      <c r="D23" s="17"/>
      <c r="E23" s="200">
        <v>0</v>
      </c>
      <c r="F23" s="200">
        <v>0</v>
      </c>
      <c r="G23" s="218">
        <f t="shared" si="0"/>
        <v>0</v>
      </c>
      <c r="H23" s="218"/>
      <c r="I23" s="218"/>
      <c r="J23" s="218">
        <f t="shared" si="3"/>
        <v>0</v>
      </c>
      <c r="K23" s="218">
        <f t="shared" si="1"/>
        <v>0</v>
      </c>
      <c r="L23" s="218">
        <f t="shared" si="2"/>
        <v>0</v>
      </c>
      <c r="M23" s="200"/>
      <c r="N23" s="17"/>
    </row>
    <row r="24" spans="1:15">
      <c r="A24" s="26">
        <v>21</v>
      </c>
      <c r="B24" s="27">
        <v>45921</v>
      </c>
      <c r="C24" s="17"/>
      <c r="D24" s="17"/>
      <c r="E24" s="200">
        <v>0</v>
      </c>
      <c r="F24" s="200">
        <v>0</v>
      </c>
      <c r="G24" s="218">
        <f t="shared" si="0"/>
        <v>0</v>
      </c>
      <c r="H24" s="218"/>
      <c r="I24" s="218"/>
      <c r="J24" s="218">
        <f t="shared" si="3"/>
        <v>0</v>
      </c>
      <c r="K24" s="218">
        <f t="shared" si="1"/>
        <v>0</v>
      </c>
      <c r="L24" s="218">
        <f t="shared" si="2"/>
        <v>0</v>
      </c>
      <c r="M24" s="200"/>
      <c r="N24" s="17"/>
    </row>
    <row r="25" spans="1:15">
      <c r="A25" s="26">
        <v>22</v>
      </c>
      <c r="B25" s="27">
        <v>45922</v>
      </c>
      <c r="C25" s="17"/>
      <c r="D25" s="17"/>
      <c r="E25" s="200">
        <v>0</v>
      </c>
      <c r="F25" s="200">
        <v>0</v>
      </c>
      <c r="G25" s="218">
        <f t="shared" si="0"/>
        <v>0</v>
      </c>
      <c r="H25" s="218">
        <v>15.25</v>
      </c>
      <c r="I25" s="218">
        <v>103.53</v>
      </c>
      <c r="J25" s="218">
        <f t="shared" si="3"/>
        <v>1578.8325</v>
      </c>
      <c r="K25" s="218">
        <f t="shared" si="1"/>
        <v>1578.8325</v>
      </c>
      <c r="L25" s="218">
        <f t="shared" si="2"/>
        <v>1578.8325</v>
      </c>
      <c r="M25" s="200"/>
      <c r="N25" s="17"/>
    </row>
    <row r="26" spans="1:15">
      <c r="A26" s="26">
        <v>23</v>
      </c>
      <c r="B26" s="27">
        <v>45923</v>
      </c>
      <c r="C26" s="17"/>
      <c r="D26" s="17"/>
      <c r="E26" s="200">
        <v>0</v>
      </c>
      <c r="F26" s="200">
        <v>0</v>
      </c>
      <c r="G26" s="218">
        <f t="shared" si="0"/>
        <v>0</v>
      </c>
      <c r="H26" s="218"/>
      <c r="I26" s="218"/>
      <c r="J26" s="218">
        <f t="shared" si="3"/>
        <v>0</v>
      </c>
      <c r="K26" s="218">
        <f t="shared" si="1"/>
        <v>0</v>
      </c>
      <c r="L26" s="218">
        <f t="shared" si="2"/>
        <v>0</v>
      </c>
      <c r="M26" s="200"/>
      <c r="N26" s="17"/>
    </row>
    <row r="27" spans="1:15">
      <c r="A27" s="26">
        <v>24</v>
      </c>
      <c r="B27" s="27">
        <v>45924</v>
      </c>
      <c r="C27" s="17"/>
      <c r="D27" s="17"/>
      <c r="E27" s="200">
        <v>100</v>
      </c>
      <c r="F27" s="200">
        <v>91.59</v>
      </c>
      <c r="G27" s="218">
        <f t="shared" si="0"/>
        <v>9159</v>
      </c>
      <c r="H27" s="218"/>
      <c r="I27" s="218"/>
      <c r="J27" s="218"/>
      <c r="K27" s="218">
        <f t="shared" si="1"/>
        <v>9159</v>
      </c>
      <c r="L27" s="218">
        <f t="shared" si="2"/>
        <v>9159</v>
      </c>
      <c r="M27" s="200"/>
      <c r="N27" s="17"/>
      <c r="O27">
        <v>0</v>
      </c>
    </row>
    <row r="28" spans="1:15">
      <c r="A28" s="26">
        <v>25</v>
      </c>
      <c r="B28" s="27">
        <v>45925</v>
      </c>
      <c r="C28" s="17"/>
      <c r="D28" s="17"/>
      <c r="E28" s="200">
        <v>0</v>
      </c>
      <c r="F28" s="200">
        <v>0</v>
      </c>
      <c r="G28" s="218">
        <f t="shared" si="0"/>
        <v>0</v>
      </c>
      <c r="H28" s="218"/>
      <c r="I28" s="218"/>
      <c r="J28" s="218"/>
      <c r="K28" s="218">
        <f t="shared" si="1"/>
        <v>0</v>
      </c>
      <c r="L28" s="218">
        <f t="shared" si="2"/>
        <v>0</v>
      </c>
      <c r="M28" s="200"/>
      <c r="N28" s="17"/>
    </row>
    <row r="29" spans="1:15">
      <c r="A29" s="26">
        <v>26</v>
      </c>
      <c r="B29" s="27">
        <v>45926</v>
      </c>
      <c r="C29" s="17"/>
      <c r="D29" s="17"/>
      <c r="E29" s="200">
        <v>0</v>
      </c>
      <c r="F29" s="200">
        <v>0</v>
      </c>
      <c r="G29" s="218">
        <f t="shared" si="0"/>
        <v>0</v>
      </c>
      <c r="H29" s="218"/>
      <c r="I29" s="218"/>
      <c r="J29" s="218"/>
      <c r="K29" s="218">
        <f t="shared" si="1"/>
        <v>0</v>
      </c>
      <c r="L29" s="218">
        <f t="shared" si="2"/>
        <v>0</v>
      </c>
      <c r="M29" s="200"/>
      <c r="N29" s="17"/>
    </row>
    <row r="30" spans="1:15">
      <c r="A30" s="26">
        <v>27</v>
      </c>
      <c r="B30" s="27">
        <v>45927</v>
      </c>
      <c r="C30" s="17"/>
      <c r="D30" s="17"/>
      <c r="E30" s="200">
        <v>0</v>
      </c>
      <c r="F30" s="200">
        <v>0</v>
      </c>
      <c r="G30" s="218">
        <f t="shared" si="0"/>
        <v>0</v>
      </c>
      <c r="H30" s="218"/>
      <c r="I30" s="218"/>
      <c r="J30" s="218"/>
      <c r="K30" s="218">
        <f t="shared" si="1"/>
        <v>0</v>
      </c>
      <c r="L30" s="218">
        <f t="shared" si="2"/>
        <v>0</v>
      </c>
      <c r="M30" s="200"/>
      <c r="N30" s="17"/>
    </row>
    <row r="31" spans="1:15">
      <c r="A31" s="228">
        <v>28</v>
      </c>
      <c r="B31" s="27">
        <v>45928</v>
      </c>
      <c r="C31" s="17"/>
      <c r="D31" s="17"/>
      <c r="E31" s="200">
        <v>0</v>
      </c>
      <c r="F31" s="200">
        <v>0</v>
      </c>
      <c r="G31" s="218">
        <f t="shared" si="0"/>
        <v>0</v>
      </c>
      <c r="H31" s="218"/>
      <c r="I31" s="218"/>
      <c r="J31" s="218"/>
      <c r="K31" s="218">
        <f t="shared" si="1"/>
        <v>0</v>
      </c>
      <c r="L31" s="218">
        <f t="shared" si="2"/>
        <v>0</v>
      </c>
      <c r="M31" s="200"/>
      <c r="N31" s="98"/>
    </row>
    <row r="32" spans="1:15">
      <c r="A32" s="26">
        <v>29</v>
      </c>
      <c r="B32" s="27">
        <v>45929</v>
      </c>
      <c r="C32" s="17"/>
      <c r="D32" s="17"/>
      <c r="E32" s="200">
        <v>0</v>
      </c>
      <c r="F32" s="200">
        <v>0</v>
      </c>
      <c r="G32" s="218">
        <f t="shared" si="0"/>
        <v>0</v>
      </c>
      <c r="H32" s="218"/>
      <c r="I32" s="218"/>
      <c r="J32" s="218"/>
      <c r="K32" s="218">
        <f t="shared" si="1"/>
        <v>0</v>
      </c>
      <c r="L32" s="218">
        <f t="shared" si="2"/>
        <v>0</v>
      </c>
      <c r="M32" s="200"/>
      <c r="N32" s="17"/>
    </row>
    <row r="33" spans="1:14">
      <c r="A33" s="26">
        <v>30</v>
      </c>
      <c r="B33" s="27">
        <v>45930</v>
      </c>
      <c r="C33" s="17"/>
      <c r="D33" s="17"/>
      <c r="E33" s="200">
        <v>0</v>
      </c>
      <c r="F33" s="200">
        <v>0</v>
      </c>
      <c r="G33" s="218">
        <f t="shared" si="0"/>
        <v>0</v>
      </c>
      <c r="H33" s="218"/>
      <c r="I33" s="218"/>
      <c r="J33" s="218"/>
      <c r="K33" s="218">
        <f t="shared" si="1"/>
        <v>0</v>
      </c>
      <c r="L33" s="218">
        <f t="shared" si="2"/>
        <v>0</v>
      </c>
      <c r="M33" s="200"/>
      <c r="N33" s="17"/>
    </row>
    <row r="34" spans="1:14">
      <c r="A34" s="26">
        <v>31</v>
      </c>
      <c r="B34" s="27"/>
      <c r="C34" s="17"/>
      <c r="D34" s="17"/>
      <c r="E34" s="200">
        <v>0</v>
      </c>
      <c r="F34" s="200">
        <v>0</v>
      </c>
      <c r="G34" s="218">
        <f t="shared" si="0"/>
        <v>0</v>
      </c>
      <c r="H34" s="218"/>
      <c r="I34" s="218"/>
      <c r="J34" s="218"/>
      <c r="K34" s="218">
        <f t="shared" si="1"/>
        <v>0</v>
      </c>
      <c r="L34" s="218"/>
      <c r="M34" s="200"/>
      <c r="N34" s="17"/>
    </row>
    <row r="35" spans="1:14">
      <c r="A35" s="187"/>
      <c r="B35" s="187"/>
      <c r="C35" s="187"/>
      <c r="D35" s="187"/>
      <c r="E35" s="187">
        <f>SUM(E4:E34)</f>
        <v>425</v>
      </c>
      <c r="F35" s="187"/>
      <c r="G35" s="187">
        <f>SUM(G4:G34)</f>
        <v>38925.75</v>
      </c>
      <c r="H35" s="187">
        <f>SUM(H4:H34)</f>
        <v>26.25</v>
      </c>
      <c r="I35" s="187"/>
      <c r="J35" s="187">
        <f>SUM(J4:J34)</f>
        <v>2717.6624999999999</v>
      </c>
      <c r="K35" s="187">
        <f>SUM(K4:K34)</f>
        <v>41643.412500000006</v>
      </c>
      <c r="L35" s="187">
        <f>SUM(L4:L34)</f>
        <v>41643.412500000006</v>
      </c>
      <c r="M35" s="187"/>
      <c r="N35" s="187"/>
    </row>
  </sheetData>
  <mergeCells count="2">
    <mergeCell ref="A1:N1"/>
    <mergeCell ref="A3:J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B3BE-D862-4195-B5AF-A057F3C991D4}">
  <dimension ref="A1:P45"/>
  <sheetViews>
    <sheetView workbookViewId="0">
      <pane ySplit="2" topLeftCell="A3" activePane="bottomLeft" state="frozen"/>
      <selection pane="bottomLeft" activeCell="M35" sqref="M35"/>
    </sheetView>
  </sheetViews>
  <sheetFormatPr defaultColWidth="14.28515625" defaultRowHeight="15"/>
  <cols>
    <col min="1" max="1" width="5.140625" bestFit="1" customWidth="1"/>
    <col min="2" max="2" width="10.42578125" bestFit="1" customWidth="1"/>
    <col min="3" max="3" width="8" bestFit="1" customWidth="1"/>
    <col min="4" max="4" width="19.28515625" customWidth="1"/>
    <col min="5" max="5" width="10.7109375" style="22" bestFit="1" customWidth="1"/>
    <col min="6" max="6" width="9.5703125" style="22" bestFit="1" customWidth="1"/>
    <col min="7" max="7" width="9.28515625" style="22" bestFit="1" customWidth="1"/>
    <col min="8" max="8" width="10.7109375" style="22" bestFit="1" customWidth="1"/>
    <col min="9" max="9" width="7.140625" style="22" bestFit="1" customWidth="1"/>
    <col min="10" max="10" width="8.7109375" style="22" bestFit="1" customWidth="1"/>
    <col min="11" max="11" width="13.5703125" style="22" bestFit="1" customWidth="1"/>
    <col min="12" max="12" width="13.5703125" bestFit="1" customWidth="1"/>
    <col min="13" max="13" width="13.5703125" customWidth="1"/>
    <col min="14" max="14" width="17.7109375" bestFit="1" customWidth="1"/>
  </cols>
  <sheetData>
    <row r="1" spans="1:16" ht="15.75">
      <c r="A1" s="428" t="s">
        <v>58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</row>
    <row r="2" spans="1:16">
      <c r="A2" s="68" t="s">
        <v>90</v>
      </c>
      <c r="B2" s="87" t="s">
        <v>91</v>
      </c>
      <c r="C2" s="87" t="s">
        <v>92</v>
      </c>
      <c r="D2" s="87" t="s">
        <v>93</v>
      </c>
      <c r="E2" s="94" t="s">
        <v>94</v>
      </c>
      <c r="F2" s="94" t="s">
        <v>95</v>
      </c>
      <c r="G2" s="94" t="s">
        <v>96</v>
      </c>
      <c r="H2" s="94" t="s">
        <v>97</v>
      </c>
      <c r="I2" s="94" t="s">
        <v>95</v>
      </c>
      <c r="J2" s="94" t="s">
        <v>96</v>
      </c>
      <c r="K2" s="95" t="s">
        <v>98</v>
      </c>
      <c r="L2" s="89" t="s">
        <v>99</v>
      </c>
      <c r="M2" s="89" t="s">
        <v>106</v>
      </c>
      <c r="N2" s="129" t="s">
        <v>101</v>
      </c>
    </row>
    <row r="3" spans="1:16">
      <c r="A3" s="394" t="s">
        <v>102</v>
      </c>
      <c r="B3" s="394"/>
      <c r="C3" s="394"/>
      <c r="D3" s="394"/>
      <c r="E3" s="394"/>
      <c r="F3" s="394"/>
      <c r="G3" s="394"/>
      <c r="H3" s="394"/>
      <c r="I3" s="394"/>
      <c r="J3" s="404"/>
      <c r="K3" s="210">
        <v>215765.12089999995</v>
      </c>
      <c r="M3" s="139">
        <f>+K3</f>
        <v>215765.12089999995</v>
      </c>
      <c r="N3" s="98"/>
    </row>
    <row r="4" spans="1:16">
      <c r="A4" s="26">
        <v>1</v>
      </c>
      <c r="B4" s="27">
        <v>45901</v>
      </c>
      <c r="C4" s="17"/>
      <c r="D4" s="17"/>
      <c r="E4" s="42">
        <v>469.69</v>
      </c>
      <c r="F4" s="42">
        <v>91.71</v>
      </c>
      <c r="G4" s="42">
        <f>E4*F4</f>
        <v>43075.269899999999</v>
      </c>
      <c r="H4" s="42">
        <v>0</v>
      </c>
      <c r="I4" s="42">
        <v>0</v>
      </c>
      <c r="J4" s="42">
        <f>H4*I4</f>
        <v>0</v>
      </c>
      <c r="K4" s="42">
        <f>G4+J4</f>
        <v>43075.269899999999</v>
      </c>
      <c r="L4" s="42">
        <v>0</v>
      </c>
      <c r="M4" s="140">
        <f>M3+K4-L4</f>
        <v>258840.39079999994</v>
      </c>
      <c r="N4" s="17"/>
    </row>
    <row r="5" spans="1:16">
      <c r="A5" s="26">
        <v>2</v>
      </c>
      <c r="B5" s="27">
        <v>45902</v>
      </c>
      <c r="C5" s="17"/>
      <c r="D5" s="17"/>
      <c r="E5" s="42">
        <v>525</v>
      </c>
      <c r="F5" s="42">
        <v>91.71</v>
      </c>
      <c r="G5" s="42">
        <f t="shared" ref="G5:G44" si="0">E5*F5</f>
        <v>48147.75</v>
      </c>
      <c r="H5" s="42">
        <v>0</v>
      </c>
      <c r="I5" s="42">
        <v>0</v>
      </c>
      <c r="J5" s="42">
        <f t="shared" ref="J5:J44" si="1">H5*I5</f>
        <v>0</v>
      </c>
      <c r="K5" s="42">
        <f t="shared" ref="K5:K44" si="2">G5+J5</f>
        <v>48147.75</v>
      </c>
      <c r="L5" s="42">
        <v>0</v>
      </c>
      <c r="M5" s="140">
        <f t="shared" ref="M5:M6" si="3">M4+K5-L5</f>
        <v>306988.14079999994</v>
      </c>
      <c r="N5" s="17"/>
    </row>
    <row r="6" spans="1:16">
      <c r="A6" s="26">
        <v>3</v>
      </c>
      <c r="B6" s="27">
        <v>45903</v>
      </c>
      <c r="C6" s="17"/>
      <c r="D6" s="17"/>
      <c r="E6" s="42">
        <v>400</v>
      </c>
      <c r="F6" s="42">
        <v>91.71</v>
      </c>
      <c r="G6" s="42">
        <f t="shared" si="0"/>
        <v>36684</v>
      </c>
      <c r="H6" s="42">
        <v>0</v>
      </c>
      <c r="I6" s="42">
        <v>0</v>
      </c>
      <c r="J6" s="42">
        <f t="shared" si="1"/>
        <v>0</v>
      </c>
      <c r="K6" s="42">
        <f t="shared" si="2"/>
        <v>36684</v>
      </c>
      <c r="L6" s="42">
        <v>0</v>
      </c>
      <c r="M6" s="140">
        <f>M5+K6-L6</f>
        <v>343672.14079999994</v>
      </c>
      <c r="N6" s="17"/>
    </row>
    <row r="7" spans="1:16">
      <c r="A7" s="26">
        <v>4</v>
      </c>
      <c r="B7" s="27">
        <v>45904</v>
      </c>
      <c r="C7" s="17"/>
      <c r="D7" s="17"/>
      <c r="E7" s="42">
        <v>443</v>
      </c>
      <c r="F7" s="42">
        <v>91.71</v>
      </c>
      <c r="G7" s="42">
        <f t="shared" si="0"/>
        <v>40627.53</v>
      </c>
      <c r="H7" s="42">
        <v>0</v>
      </c>
      <c r="I7" s="42">
        <v>0</v>
      </c>
      <c r="J7" s="42">
        <f t="shared" si="1"/>
        <v>0</v>
      </c>
      <c r="K7" s="42">
        <f t="shared" si="2"/>
        <v>40627.53</v>
      </c>
      <c r="L7" s="42">
        <v>0</v>
      </c>
      <c r="M7" s="140">
        <f t="shared" ref="M7:M44" si="4">M6+K7-L7</f>
        <v>384299.67079999996</v>
      </c>
      <c r="N7" s="17"/>
    </row>
    <row r="8" spans="1:16">
      <c r="A8" s="26">
        <v>5</v>
      </c>
      <c r="B8" s="27">
        <v>45905</v>
      </c>
      <c r="C8" s="17"/>
      <c r="D8" s="17"/>
      <c r="E8" s="42">
        <v>475</v>
      </c>
      <c r="F8" s="42">
        <v>91.71</v>
      </c>
      <c r="G8" s="42">
        <f t="shared" si="0"/>
        <v>43562.25</v>
      </c>
      <c r="H8" s="42">
        <v>0</v>
      </c>
      <c r="I8" s="42">
        <v>0</v>
      </c>
      <c r="J8" s="42">
        <f t="shared" si="1"/>
        <v>0</v>
      </c>
      <c r="K8" s="42">
        <f t="shared" si="2"/>
        <v>43562.25</v>
      </c>
      <c r="L8" s="42">
        <v>0</v>
      </c>
      <c r="M8" s="140">
        <f t="shared" si="4"/>
        <v>427861.92079999996</v>
      </c>
      <c r="N8" s="17"/>
    </row>
    <row r="9" spans="1:16">
      <c r="A9" s="26">
        <v>6</v>
      </c>
      <c r="B9" s="27">
        <v>45906</v>
      </c>
      <c r="C9" s="17"/>
      <c r="D9" s="17"/>
      <c r="E9" s="42">
        <v>45</v>
      </c>
      <c r="F9" s="42">
        <v>91.71</v>
      </c>
      <c r="G9" s="42">
        <f t="shared" si="0"/>
        <v>4126.95</v>
      </c>
      <c r="H9" s="42">
        <v>0</v>
      </c>
      <c r="I9" s="42">
        <v>0</v>
      </c>
      <c r="J9" s="42">
        <f t="shared" si="1"/>
        <v>0</v>
      </c>
      <c r="K9" s="42">
        <f t="shared" si="2"/>
        <v>4126.95</v>
      </c>
      <c r="L9" s="42">
        <v>0</v>
      </c>
      <c r="M9" s="140">
        <f t="shared" si="4"/>
        <v>431988.87079999998</v>
      </c>
      <c r="N9" s="17"/>
    </row>
    <row r="10" spans="1:16">
      <c r="A10" s="26">
        <v>7</v>
      </c>
      <c r="B10" s="27">
        <v>45907</v>
      </c>
      <c r="C10" s="17"/>
      <c r="D10" s="17"/>
      <c r="E10" s="42">
        <v>57.28</v>
      </c>
      <c r="F10" s="42">
        <v>91.71</v>
      </c>
      <c r="G10" s="42">
        <f t="shared" si="0"/>
        <v>5253.1487999999999</v>
      </c>
      <c r="H10" s="42">
        <v>0</v>
      </c>
      <c r="I10" s="42">
        <v>0</v>
      </c>
      <c r="J10" s="42">
        <f t="shared" si="1"/>
        <v>0</v>
      </c>
      <c r="K10" s="42">
        <f t="shared" si="2"/>
        <v>5253.1487999999999</v>
      </c>
      <c r="L10" s="42">
        <v>0</v>
      </c>
      <c r="M10" s="140">
        <f t="shared" si="4"/>
        <v>437242.0196</v>
      </c>
      <c r="N10" s="17"/>
    </row>
    <row r="11" spans="1:16">
      <c r="A11" s="26">
        <v>8</v>
      </c>
      <c r="B11" s="27">
        <v>45908</v>
      </c>
      <c r="C11" s="17"/>
      <c r="D11" s="17"/>
      <c r="E11" s="42">
        <v>800</v>
      </c>
      <c r="F11" s="42">
        <v>91.71</v>
      </c>
      <c r="G11" s="42">
        <f t="shared" si="0"/>
        <v>73368</v>
      </c>
      <c r="H11" s="42">
        <v>0</v>
      </c>
      <c r="I11" s="42">
        <v>0</v>
      </c>
      <c r="J11" s="42">
        <f t="shared" si="1"/>
        <v>0</v>
      </c>
      <c r="K11" s="42">
        <f t="shared" si="2"/>
        <v>73368</v>
      </c>
      <c r="L11" s="42">
        <v>300000</v>
      </c>
      <c r="M11" s="140">
        <f t="shared" si="4"/>
        <v>210610.0196</v>
      </c>
      <c r="N11" s="17"/>
    </row>
    <row r="12" spans="1:16">
      <c r="A12" s="26">
        <v>9</v>
      </c>
      <c r="B12" s="27">
        <v>45909</v>
      </c>
      <c r="C12" s="17"/>
      <c r="D12" s="17"/>
      <c r="E12" s="42">
        <v>143.41</v>
      </c>
      <c r="F12" s="42">
        <v>91.71</v>
      </c>
      <c r="G12" s="42">
        <f t="shared" si="0"/>
        <v>13152.131099999999</v>
      </c>
      <c r="H12" s="42">
        <v>0</v>
      </c>
      <c r="I12" s="42">
        <v>0</v>
      </c>
      <c r="J12" s="42">
        <f t="shared" si="1"/>
        <v>0</v>
      </c>
      <c r="K12" s="42">
        <f t="shared" si="2"/>
        <v>13152.131099999999</v>
      </c>
      <c r="L12" s="42">
        <v>0</v>
      </c>
      <c r="M12" s="140">
        <f t="shared" si="4"/>
        <v>223762.1507</v>
      </c>
      <c r="N12" s="46"/>
    </row>
    <row r="13" spans="1:16">
      <c r="A13" s="26">
        <v>10</v>
      </c>
      <c r="B13" s="27">
        <v>45910</v>
      </c>
      <c r="C13" s="17"/>
      <c r="D13" s="17"/>
      <c r="E13" s="42">
        <v>440</v>
      </c>
      <c r="F13" s="42">
        <v>91.71</v>
      </c>
      <c r="G13" s="42">
        <f t="shared" si="0"/>
        <v>40352.399999999994</v>
      </c>
      <c r="H13" s="42">
        <v>0</v>
      </c>
      <c r="I13" s="42">
        <v>0</v>
      </c>
      <c r="J13" s="42">
        <f t="shared" si="1"/>
        <v>0</v>
      </c>
      <c r="K13" s="42">
        <f t="shared" si="2"/>
        <v>40352.399999999994</v>
      </c>
      <c r="L13" s="42">
        <v>0</v>
      </c>
      <c r="M13" s="140">
        <f t="shared" si="4"/>
        <v>264114.55070000002</v>
      </c>
      <c r="N13" s="46"/>
    </row>
    <row r="14" spans="1:16">
      <c r="A14" s="26">
        <v>11</v>
      </c>
      <c r="B14" s="27">
        <v>45911</v>
      </c>
      <c r="C14" s="17"/>
      <c r="D14" s="17"/>
      <c r="E14" s="42">
        <v>470</v>
      </c>
      <c r="F14" s="42">
        <v>91.71</v>
      </c>
      <c r="G14" s="42">
        <f t="shared" si="0"/>
        <v>43103.7</v>
      </c>
      <c r="H14" s="42">
        <v>6.18</v>
      </c>
      <c r="I14" s="42">
        <v>105.19</v>
      </c>
      <c r="J14" s="42">
        <f t="shared" si="1"/>
        <v>650.07419999999991</v>
      </c>
      <c r="K14" s="42">
        <f t="shared" si="2"/>
        <v>43753.7742</v>
      </c>
      <c r="L14" s="42">
        <v>0</v>
      </c>
      <c r="M14" s="140">
        <f t="shared" si="4"/>
        <v>307868.32490000001</v>
      </c>
      <c r="N14" s="46"/>
    </row>
    <row r="15" spans="1:16">
      <c r="A15" s="26">
        <v>12</v>
      </c>
      <c r="B15" s="27">
        <v>45912</v>
      </c>
      <c r="C15" s="17"/>
      <c r="D15" s="17"/>
      <c r="E15" s="42">
        <v>400</v>
      </c>
      <c r="F15" s="42">
        <v>91.71</v>
      </c>
      <c r="G15" s="42">
        <f t="shared" si="0"/>
        <v>36684</v>
      </c>
      <c r="H15" s="42">
        <v>0</v>
      </c>
      <c r="I15" s="42">
        <v>0</v>
      </c>
      <c r="J15" s="42">
        <f t="shared" si="1"/>
        <v>0</v>
      </c>
      <c r="K15" s="42">
        <f t="shared" si="2"/>
        <v>36684</v>
      </c>
      <c r="L15" s="42">
        <v>0</v>
      </c>
      <c r="M15" s="140">
        <f>M14+K15-L15</f>
        <v>344552.32490000001</v>
      </c>
      <c r="N15" s="46"/>
      <c r="P15" s="22"/>
    </row>
    <row r="16" spans="1:16">
      <c r="A16" s="26">
        <v>13</v>
      </c>
      <c r="B16" s="27">
        <v>45913</v>
      </c>
      <c r="C16" s="17"/>
      <c r="D16" s="17"/>
      <c r="E16" s="42">
        <v>490</v>
      </c>
      <c r="F16" s="42">
        <v>91.71</v>
      </c>
      <c r="G16" s="42">
        <f t="shared" si="0"/>
        <v>44937.899999999994</v>
      </c>
      <c r="H16" s="42">
        <v>0</v>
      </c>
      <c r="I16" s="42">
        <v>0</v>
      </c>
      <c r="J16" s="42">
        <f t="shared" si="1"/>
        <v>0</v>
      </c>
      <c r="K16" s="42">
        <f t="shared" si="2"/>
        <v>44937.899999999994</v>
      </c>
      <c r="L16" s="42">
        <v>0</v>
      </c>
      <c r="M16" s="140">
        <f t="shared" si="4"/>
        <v>389490.22490000003</v>
      </c>
      <c r="N16" s="46"/>
      <c r="P16" s="22"/>
    </row>
    <row r="17" spans="1:16">
      <c r="A17" s="26">
        <v>14</v>
      </c>
      <c r="B17" s="27">
        <v>45914</v>
      </c>
      <c r="C17" s="17"/>
      <c r="D17" s="17"/>
      <c r="E17" s="42">
        <v>50</v>
      </c>
      <c r="F17" s="42">
        <v>91.71</v>
      </c>
      <c r="G17" s="42">
        <f t="shared" si="0"/>
        <v>4585.5</v>
      </c>
      <c r="H17" s="42">
        <v>0</v>
      </c>
      <c r="I17" s="42">
        <v>0</v>
      </c>
      <c r="J17" s="42">
        <f t="shared" si="1"/>
        <v>0</v>
      </c>
      <c r="K17" s="42">
        <f t="shared" si="2"/>
        <v>4585.5</v>
      </c>
      <c r="L17" s="42">
        <v>0</v>
      </c>
      <c r="M17" s="140">
        <f>M16+K17-L17</f>
        <v>394075.72490000003</v>
      </c>
      <c r="N17" s="46"/>
      <c r="P17" s="22"/>
    </row>
    <row r="18" spans="1:16">
      <c r="A18" s="26">
        <v>15</v>
      </c>
      <c r="B18" s="27">
        <v>45915</v>
      </c>
      <c r="C18" s="17"/>
      <c r="D18" s="17"/>
      <c r="E18" s="42">
        <v>470</v>
      </c>
      <c r="F18" s="42">
        <v>91.71</v>
      </c>
      <c r="G18" s="42">
        <f t="shared" si="0"/>
        <v>43103.7</v>
      </c>
      <c r="H18" s="42">
        <v>0</v>
      </c>
      <c r="I18" s="42">
        <v>0</v>
      </c>
      <c r="J18" s="42">
        <f t="shared" si="1"/>
        <v>0</v>
      </c>
      <c r="K18" s="42">
        <f t="shared" si="2"/>
        <v>43103.7</v>
      </c>
      <c r="L18" s="42">
        <v>0</v>
      </c>
      <c r="M18" s="140">
        <f t="shared" si="4"/>
        <v>437179.42490000004</v>
      </c>
      <c r="N18" s="46"/>
      <c r="P18" s="22"/>
    </row>
    <row r="19" spans="1:16">
      <c r="A19" s="26">
        <v>16</v>
      </c>
      <c r="B19" s="27">
        <v>45916</v>
      </c>
      <c r="C19" s="17"/>
      <c r="D19" s="17"/>
      <c r="E19" s="42">
        <v>205</v>
      </c>
      <c r="F19" s="42">
        <v>91.71</v>
      </c>
      <c r="G19" s="42">
        <f t="shared" si="0"/>
        <v>18800.55</v>
      </c>
      <c r="H19" s="42">
        <v>0</v>
      </c>
      <c r="I19" s="42">
        <v>0</v>
      </c>
      <c r="J19" s="42">
        <f t="shared" si="1"/>
        <v>0</v>
      </c>
      <c r="K19" s="42">
        <f t="shared" si="2"/>
        <v>18800.55</v>
      </c>
      <c r="L19" s="42">
        <v>0</v>
      </c>
      <c r="M19" s="140">
        <f>M18+K19-L19</f>
        <v>455979.97490000003</v>
      </c>
      <c r="N19" s="46"/>
      <c r="P19" s="22"/>
    </row>
    <row r="20" spans="1:16">
      <c r="A20" s="26">
        <v>17</v>
      </c>
      <c r="B20" s="27">
        <v>45917</v>
      </c>
      <c r="C20" s="17"/>
      <c r="D20" s="17"/>
      <c r="E20" s="42">
        <v>40</v>
      </c>
      <c r="F20" s="42">
        <v>91.71</v>
      </c>
      <c r="G20" s="42">
        <f t="shared" si="0"/>
        <v>3668.3999999999996</v>
      </c>
      <c r="H20" s="42">
        <v>0</v>
      </c>
      <c r="I20" s="42">
        <v>0</v>
      </c>
      <c r="J20" s="42">
        <f t="shared" si="1"/>
        <v>0</v>
      </c>
      <c r="K20" s="42">
        <f t="shared" si="2"/>
        <v>3668.3999999999996</v>
      </c>
      <c r="L20" s="42">
        <v>0</v>
      </c>
      <c r="M20" s="140">
        <f t="shared" si="4"/>
        <v>459648.37490000005</v>
      </c>
      <c r="N20" s="46"/>
    </row>
    <row r="21" spans="1:16">
      <c r="A21" s="26">
        <v>18</v>
      </c>
      <c r="B21" s="27">
        <v>45918</v>
      </c>
      <c r="C21" s="17"/>
      <c r="D21" s="17"/>
      <c r="E21" s="42">
        <v>420</v>
      </c>
      <c r="F21" s="42">
        <v>91.71</v>
      </c>
      <c r="G21" s="42">
        <f t="shared" si="0"/>
        <v>38518.199999999997</v>
      </c>
      <c r="H21" s="42">
        <v>0</v>
      </c>
      <c r="I21" s="42">
        <v>0</v>
      </c>
      <c r="J21" s="42">
        <f t="shared" si="1"/>
        <v>0</v>
      </c>
      <c r="K21" s="42">
        <f t="shared" si="2"/>
        <v>38518.199999999997</v>
      </c>
      <c r="L21" s="42">
        <v>200000</v>
      </c>
      <c r="M21" s="140">
        <f t="shared" si="4"/>
        <v>298166.57490000007</v>
      </c>
      <c r="N21" s="46"/>
    </row>
    <row r="22" spans="1:16">
      <c r="A22" s="26">
        <v>19</v>
      </c>
      <c r="B22" s="27">
        <v>45919</v>
      </c>
      <c r="C22" s="17"/>
      <c r="D22" s="17"/>
      <c r="E22" s="42">
        <v>435</v>
      </c>
      <c r="F22" s="42">
        <v>91.71</v>
      </c>
      <c r="G22" s="42">
        <f t="shared" si="0"/>
        <v>39893.85</v>
      </c>
      <c r="H22" s="42">
        <v>0</v>
      </c>
      <c r="I22" s="42">
        <v>0</v>
      </c>
      <c r="J22" s="42">
        <f t="shared" si="1"/>
        <v>0</v>
      </c>
      <c r="K22" s="42">
        <f t="shared" si="2"/>
        <v>39893.85</v>
      </c>
      <c r="L22" s="42">
        <v>0</v>
      </c>
      <c r="M22" s="140">
        <f t="shared" si="4"/>
        <v>338060.42490000004</v>
      </c>
      <c r="N22" s="46"/>
    </row>
    <row r="23" spans="1:16">
      <c r="A23" s="26">
        <v>20</v>
      </c>
      <c r="B23" s="27">
        <v>45920</v>
      </c>
      <c r="C23" s="17"/>
      <c r="D23" s="17"/>
      <c r="E23" s="42">
        <v>535</v>
      </c>
      <c r="F23" s="42">
        <v>91.71</v>
      </c>
      <c r="G23" s="42">
        <f t="shared" si="0"/>
        <v>49064.85</v>
      </c>
      <c r="H23" s="42">
        <v>0</v>
      </c>
      <c r="I23" s="42">
        <v>0</v>
      </c>
      <c r="J23" s="42">
        <f t="shared" si="1"/>
        <v>0</v>
      </c>
      <c r="K23" s="42">
        <f t="shared" si="2"/>
        <v>49064.85</v>
      </c>
      <c r="L23" s="42">
        <v>0</v>
      </c>
      <c r="M23" s="140">
        <f t="shared" si="4"/>
        <v>387125.27490000002</v>
      </c>
      <c r="N23" s="46"/>
    </row>
    <row r="24" spans="1:16">
      <c r="A24" s="26">
        <v>21</v>
      </c>
      <c r="B24" s="27">
        <v>45921</v>
      </c>
      <c r="C24" s="17"/>
      <c r="D24" s="17"/>
      <c r="E24" s="42">
        <v>20</v>
      </c>
      <c r="F24" s="42">
        <v>91.71</v>
      </c>
      <c r="G24" s="42">
        <f t="shared" si="0"/>
        <v>1834.1999999999998</v>
      </c>
      <c r="H24" s="42">
        <v>8</v>
      </c>
      <c r="I24" s="42">
        <v>105.19</v>
      </c>
      <c r="J24" s="42">
        <f t="shared" si="1"/>
        <v>841.52</v>
      </c>
      <c r="K24" s="42">
        <f t="shared" si="2"/>
        <v>2675.72</v>
      </c>
      <c r="L24" s="42">
        <v>0</v>
      </c>
      <c r="M24" s="140">
        <f t="shared" si="4"/>
        <v>389800.99489999999</v>
      </c>
      <c r="N24" s="46"/>
    </row>
    <row r="25" spans="1:16">
      <c r="A25" s="26">
        <v>22</v>
      </c>
      <c r="B25" s="27">
        <v>45922</v>
      </c>
      <c r="C25" s="17"/>
      <c r="D25" s="17"/>
      <c r="E25" s="42">
        <v>530</v>
      </c>
      <c r="F25" s="42">
        <v>91.71</v>
      </c>
      <c r="G25" s="42">
        <f t="shared" si="0"/>
        <v>48606.299999999996</v>
      </c>
      <c r="H25" s="42">
        <v>10</v>
      </c>
      <c r="I25" s="42">
        <v>105.19</v>
      </c>
      <c r="J25" s="42">
        <f t="shared" si="1"/>
        <v>1051.9000000000001</v>
      </c>
      <c r="K25" s="42">
        <f t="shared" si="2"/>
        <v>49658.2</v>
      </c>
      <c r="L25" s="42">
        <v>0</v>
      </c>
      <c r="M25" s="140">
        <f t="shared" si="4"/>
        <v>439459.1949</v>
      </c>
      <c r="N25" s="46"/>
    </row>
    <row r="26" spans="1:16">
      <c r="A26" s="26">
        <v>23</v>
      </c>
      <c r="B26" s="27">
        <v>45923</v>
      </c>
      <c r="C26" s="17"/>
      <c r="D26" s="17"/>
      <c r="E26" s="42">
        <v>485</v>
      </c>
      <c r="F26" s="42">
        <v>91.71</v>
      </c>
      <c r="G26" s="42">
        <f t="shared" si="0"/>
        <v>44479.35</v>
      </c>
      <c r="H26" s="42">
        <v>0</v>
      </c>
      <c r="I26" s="42">
        <v>0</v>
      </c>
      <c r="J26" s="42">
        <f t="shared" si="1"/>
        <v>0</v>
      </c>
      <c r="K26" s="42">
        <f t="shared" si="2"/>
        <v>44479.35</v>
      </c>
      <c r="L26" s="42">
        <v>0</v>
      </c>
      <c r="M26" s="140">
        <f t="shared" si="4"/>
        <v>483938.54489999998</v>
      </c>
      <c r="N26" s="46"/>
    </row>
    <row r="27" spans="1:16">
      <c r="A27" s="26">
        <v>24</v>
      </c>
      <c r="B27" s="27">
        <v>45924</v>
      </c>
      <c r="C27" s="17"/>
      <c r="D27" s="17"/>
      <c r="E27" s="42">
        <v>457</v>
      </c>
      <c r="F27" s="42">
        <v>91.71</v>
      </c>
      <c r="G27" s="42">
        <f t="shared" si="0"/>
        <v>41911.469999999994</v>
      </c>
      <c r="H27" s="42">
        <v>0</v>
      </c>
      <c r="I27" s="42">
        <v>0</v>
      </c>
      <c r="J27" s="42">
        <f t="shared" si="1"/>
        <v>0</v>
      </c>
      <c r="K27" s="42">
        <f t="shared" si="2"/>
        <v>41911.469999999994</v>
      </c>
      <c r="L27" s="42">
        <v>0</v>
      </c>
      <c r="M27" s="140">
        <f t="shared" si="4"/>
        <v>525850.01489999995</v>
      </c>
      <c r="N27" s="46"/>
    </row>
    <row r="28" spans="1:16">
      <c r="A28" s="26">
        <v>25</v>
      </c>
      <c r="B28" s="27">
        <v>45925</v>
      </c>
      <c r="C28" s="17"/>
      <c r="D28" s="17"/>
      <c r="E28" s="42">
        <v>460</v>
      </c>
      <c r="F28" s="42">
        <v>91.71</v>
      </c>
      <c r="G28" s="42">
        <f t="shared" si="0"/>
        <v>42186.6</v>
      </c>
      <c r="H28" s="42">
        <v>5</v>
      </c>
      <c r="I28" s="42">
        <v>105.19</v>
      </c>
      <c r="J28" s="42">
        <f t="shared" si="1"/>
        <v>525.95000000000005</v>
      </c>
      <c r="K28" s="42">
        <f t="shared" si="2"/>
        <v>42712.549999999996</v>
      </c>
      <c r="L28" s="42">
        <v>0</v>
      </c>
      <c r="M28" s="140">
        <f t="shared" si="4"/>
        <v>568562.5649</v>
      </c>
      <c r="N28" s="46"/>
    </row>
    <row r="29" spans="1:16">
      <c r="A29" s="26">
        <v>26</v>
      </c>
      <c r="B29" s="27">
        <v>45926</v>
      </c>
      <c r="C29" s="17"/>
      <c r="D29" s="17"/>
      <c r="E29" s="42">
        <v>114.27</v>
      </c>
      <c r="F29" s="42">
        <v>91.71</v>
      </c>
      <c r="G29" s="42">
        <f t="shared" si="0"/>
        <v>10479.7017</v>
      </c>
      <c r="H29" s="42">
        <v>0</v>
      </c>
      <c r="I29" s="42">
        <v>0</v>
      </c>
      <c r="J29" s="42">
        <f t="shared" si="1"/>
        <v>0</v>
      </c>
      <c r="K29" s="42">
        <f t="shared" si="2"/>
        <v>10479.7017</v>
      </c>
      <c r="L29" s="42">
        <v>200000</v>
      </c>
      <c r="M29" s="140">
        <f t="shared" si="4"/>
        <v>379042.26659999997</v>
      </c>
      <c r="N29" s="46"/>
    </row>
    <row r="30" spans="1:16">
      <c r="A30" s="26">
        <v>27</v>
      </c>
      <c r="B30" s="27">
        <v>45927</v>
      </c>
      <c r="C30" s="17"/>
      <c r="D30" s="17"/>
      <c r="E30" s="42">
        <v>430</v>
      </c>
      <c r="F30" s="42">
        <v>91.71</v>
      </c>
      <c r="G30" s="42">
        <f t="shared" si="0"/>
        <v>39435.299999999996</v>
      </c>
      <c r="H30" s="42">
        <v>0</v>
      </c>
      <c r="I30" s="42">
        <v>0</v>
      </c>
      <c r="J30" s="42">
        <f t="shared" si="1"/>
        <v>0</v>
      </c>
      <c r="K30" s="42">
        <f t="shared" si="2"/>
        <v>39435.299999999996</v>
      </c>
      <c r="L30" s="42">
        <v>0</v>
      </c>
      <c r="M30" s="140">
        <f t="shared" si="4"/>
        <v>418477.56659999996</v>
      </c>
      <c r="N30" s="46"/>
    </row>
    <row r="31" spans="1:16">
      <c r="A31" s="26"/>
      <c r="B31" s="27">
        <v>45927</v>
      </c>
      <c r="C31" s="17"/>
      <c r="D31" s="17"/>
      <c r="E31" s="42">
        <v>43.46</v>
      </c>
      <c r="F31" s="42">
        <v>92.03</v>
      </c>
      <c r="G31" s="42">
        <f t="shared" si="0"/>
        <v>3999.6238000000003</v>
      </c>
      <c r="H31" s="42"/>
      <c r="I31" s="42"/>
      <c r="J31" s="42"/>
      <c r="K31" s="42">
        <f t="shared" si="2"/>
        <v>3999.6238000000003</v>
      </c>
      <c r="L31" s="42">
        <v>4000</v>
      </c>
      <c r="M31" s="140">
        <f t="shared" si="4"/>
        <v>418477.19039999996</v>
      </c>
      <c r="N31" s="46"/>
    </row>
    <row r="32" spans="1:16">
      <c r="A32" s="26">
        <v>28</v>
      </c>
      <c r="B32" s="27">
        <v>45928</v>
      </c>
      <c r="C32" s="17"/>
      <c r="D32" s="17"/>
      <c r="E32" s="42">
        <v>0</v>
      </c>
      <c r="F32" s="42">
        <v>0</v>
      </c>
      <c r="G32" s="42">
        <f t="shared" si="0"/>
        <v>0</v>
      </c>
      <c r="H32" s="42">
        <v>0</v>
      </c>
      <c r="I32" s="42">
        <v>105.19</v>
      </c>
      <c r="J32" s="42">
        <f t="shared" si="1"/>
        <v>0</v>
      </c>
      <c r="K32" s="42">
        <f t="shared" si="2"/>
        <v>0</v>
      </c>
      <c r="L32" s="42">
        <v>0</v>
      </c>
      <c r="M32" s="140">
        <f t="shared" si="4"/>
        <v>418477.19039999996</v>
      </c>
      <c r="N32" s="46"/>
    </row>
    <row r="33" spans="1:14">
      <c r="A33" s="26">
        <v>29</v>
      </c>
      <c r="B33" s="27">
        <v>45929</v>
      </c>
      <c r="C33" s="17"/>
      <c r="D33" s="17"/>
      <c r="E33" s="42">
        <v>498.47</v>
      </c>
      <c r="F33" s="42">
        <v>91.71</v>
      </c>
      <c r="G33" s="42">
        <f t="shared" si="0"/>
        <v>45714.683700000001</v>
      </c>
      <c r="H33" s="42">
        <v>5</v>
      </c>
      <c r="I33" s="42">
        <v>0</v>
      </c>
      <c r="J33" s="42">
        <f t="shared" si="1"/>
        <v>0</v>
      </c>
      <c r="K33" s="42">
        <f t="shared" si="2"/>
        <v>45714.683700000001</v>
      </c>
      <c r="L33" s="42">
        <v>0</v>
      </c>
      <c r="M33" s="140">
        <f t="shared" si="4"/>
        <v>464191.87409999996</v>
      </c>
      <c r="N33" s="46"/>
    </row>
    <row r="34" spans="1:14">
      <c r="A34" s="26">
        <v>30</v>
      </c>
      <c r="B34" s="27">
        <v>45930</v>
      </c>
      <c r="C34" s="17"/>
      <c r="D34" s="17"/>
      <c r="E34" s="42">
        <v>495</v>
      </c>
      <c r="F34" s="42">
        <v>91.71</v>
      </c>
      <c r="G34" s="42">
        <f t="shared" si="0"/>
        <v>45396.45</v>
      </c>
      <c r="H34" s="42">
        <v>0</v>
      </c>
      <c r="I34" s="42">
        <v>0</v>
      </c>
      <c r="J34" s="42">
        <f t="shared" si="1"/>
        <v>0</v>
      </c>
      <c r="K34" s="42">
        <f t="shared" si="2"/>
        <v>45396.45</v>
      </c>
      <c r="L34" s="42">
        <v>0</v>
      </c>
      <c r="M34" s="140">
        <f t="shared" si="4"/>
        <v>509588.32409999997</v>
      </c>
      <c r="N34" s="46"/>
    </row>
    <row r="35" spans="1:14">
      <c r="A35" s="26">
        <v>31</v>
      </c>
      <c r="B35" s="27"/>
      <c r="C35" s="17"/>
      <c r="D35" s="17"/>
      <c r="E35" s="42">
        <v>0</v>
      </c>
      <c r="F35" s="42">
        <v>0</v>
      </c>
      <c r="G35" s="42">
        <f t="shared" si="0"/>
        <v>0</v>
      </c>
      <c r="H35" s="42">
        <v>0</v>
      </c>
      <c r="I35" s="42">
        <v>0</v>
      </c>
      <c r="J35" s="42">
        <f t="shared" si="1"/>
        <v>0</v>
      </c>
      <c r="K35" s="42">
        <f t="shared" si="2"/>
        <v>0</v>
      </c>
      <c r="L35" s="42">
        <v>0</v>
      </c>
      <c r="M35" s="140">
        <f t="shared" si="4"/>
        <v>509588.32409999997</v>
      </c>
      <c r="N35" s="46"/>
    </row>
    <row r="36" spans="1:14">
      <c r="A36" s="26">
        <v>32</v>
      </c>
      <c r="B36" s="27"/>
      <c r="C36" s="17"/>
      <c r="D36" s="17"/>
      <c r="E36" s="42">
        <v>0</v>
      </c>
      <c r="F36" s="42">
        <v>0</v>
      </c>
      <c r="G36" s="42">
        <f t="shared" si="0"/>
        <v>0</v>
      </c>
      <c r="H36" s="42">
        <v>0</v>
      </c>
      <c r="I36" s="42">
        <v>0</v>
      </c>
      <c r="J36" s="42">
        <f t="shared" si="1"/>
        <v>0</v>
      </c>
      <c r="K36" s="42">
        <f t="shared" si="2"/>
        <v>0</v>
      </c>
      <c r="L36" s="42">
        <v>0</v>
      </c>
      <c r="M36" s="140">
        <f t="shared" si="4"/>
        <v>509588.32409999997</v>
      </c>
      <c r="N36" s="46"/>
    </row>
    <row r="37" spans="1:14">
      <c r="A37" s="26">
        <v>33</v>
      </c>
      <c r="B37" s="27"/>
      <c r="C37" s="17"/>
      <c r="D37" s="17"/>
      <c r="E37" s="42">
        <v>0</v>
      </c>
      <c r="F37" s="42">
        <v>0</v>
      </c>
      <c r="G37" s="42">
        <f t="shared" si="0"/>
        <v>0</v>
      </c>
      <c r="H37" s="42">
        <v>0</v>
      </c>
      <c r="I37" s="42">
        <v>0</v>
      </c>
      <c r="J37" s="42">
        <f t="shared" si="1"/>
        <v>0</v>
      </c>
      <c r="K37" s="42">
        <f t="shared" si="2"/>
        <v>0</v>
      </c>
      <c r="L37" s="42">
        <v>0</v>
      </c>
      <c r="M37" s="140">
        <f t="shared" si="4"/>
        <v>509588.32409999997</v>
      </c>
      <c r="N37" s="46"/>
    </row>
    <row r="38" spans="1:14">
      <c r="A38" s="26">
        <v>34</v>
      </c>
      <c r="B38" s="27"/>
      <c r="C38" s="17"/>
      <c r="D38" s="17"/>
      <c r="E38" s="42">
        <v>0</v>
      </c>
      <c r="F38" s="42">
        <v>0</v>
      </c>
      <c r="G38" s="42">
        <f t="shared" si="0"/>
        <v>0</v>
      </c>
      <c r="H38" s="42">
        <v>0</v>
      </c>
      <c r="I38" s="42">
        <v>0</v>
      </c>
      <c r="J38" s="42">
        <f t="shared" si="1"/>
        <v>0</v>
      </c>
      <c r="K38" s="42">
        <f t="shared" si="2"/>
        <v>0</v>
      </c>
      <c r="L38" s="42">
        <v>0</v>
      </c>
      <c r="M38" s="140">
        <f t="shared" si="4"/>
        <v>509588.32409999997</v>
      </c>
      <c r="N38" s="46"/>
    </row>
    <row r="39" spans="1:14">
      <c r="A39" s="26">
        <v>35</v>
      </c>
      <c r="B39" s="27"/>
      <c r="C39" s="17"/>
      <c r="D39" s="17"/>
      <c r="E39" s="42">
        <v>0</v>
      </c>
      <c r="F39" s="42">
        <v>0</v>
      </c>
      <c r="G39" s="42">
        <f t="shared" si="0"/>
        <v>0</v>
      </c>
      <c r="H39" s="42">
        <v>0</v>
      </c>
      <c r="I39" s="42">
        <v>0</v>
      </c>
      <c r="J39" s="42">
        <f t="shared" si="1"/>
        <v>0</v>
      </c>
      <c r="K39" s="42">
        <f t="shared" si="2"/>
        <v>0</v>
      </c>
      <c r="L39" s="42">
        <v>0</v>
      </c>
      <c r="M39" s="140">
        <f t="shared" si="4"/>
        <v>509588.32409999997</v>
      </c>
      <c r="N39" s="46"/>
    </row>
    <row r="40" spans="1:14">
      <c r="A40" s="26">
        <v>36</v>
      </c>
      <c r="B40" s="27"/>
      <c r="C40" s="17"/>
      <c r="D40" s="17"/>
      <c r="E40" s="42">
        <v>0</v>
      </c>
      <c r="F40" s="42">
        <v>0</v>
      </c>
      <c r="G40" s="42">
        <f t="shared" si="0"/>
        <v>0</v>
      </c>
      <c r="H40" s="42">
        <v>0</v>
      </c>
      <c r="I40" s="42">
        <v>0</v>
      </c>
      <c r="J40" s="42">
        <f t="shared" si="1"/>
        <v>0</v>
      </c>
      <c r="K40" s="42">
        <f t="shared" si="2"/>
        <v>0</v>
      </c>
      <c r="L40" s="42">
        <v>0</v>
      </c>
      <c r="M40" s="140">
        <f t="shared" si="4"/>
        <v>509588.32409999997</v>
      </c>
      <c r="N40" s="46"/>
    </row>
    <row r="41" spans="1:14">
      <c r="A41" s="26">
        <v>37</v>
      </c>
      <c r="B41" s="27"/>
      <c r="C41" s="17"/>
      <c r="D41" s="17"/>
      <c r="E41" s="42">
        <v>0</v>
      </c>
      <c r="F41" s="42">
        <v>0</v>
      </c>
      <c r="G41" s="42">
        <f t="shared" si="0"/>
        <v>0</v>
      </c>
      <c r="H41" s="42">
        <v>0</v>
      </c>
      <c r="I41" s="42">
        <v>0</v>
      </c>
      <c r="J41" s="42">
        <f t="shared" si="1"/>
        <v>0</v>
      </c>
      <c r="K41" s="42">
        <f t="shared" si="2"/>
        <v>0</v>
      </c>
      <c r="L41" s="42">
        <v>0</v>
      </c>
      <c r="M41" s="140">
        <f t="shared" si="4"/>
        <v>509588.32409999997</v>
      </c>
      <c r="N41" s="46"/>
    </row>
    <row r="42" spans="1:14">
      <c r="A42" s="26">
        <v>38</v>
      </c>
      <c r="B42" s="27"/>
      <c r="C42" s="98"/>
      <c r="D42" s="98"/>
      <c r="E42" s="42">
        <v>0</v>
      </c>
      <c r="F42" s="42">
        <v>0</v>
      </c>
      <c r="G42" s="42">
        <f t="shared" si="0"/>
        <v>0</v>
      </c>
      <c r="H42" s="42">
        <v>0</v>
      </c>
      <c r="I42" s="42">
        <v>0</v>
      </c>
      <c r="J42" s="42">
        <f t="shared" si="1"/>
        <v>0</v>
      </c>
      <c r="K42" s="42">
        <f t="shared" si="2"/>
        <v>0</v>
      </c>
      <c r="L42" s="42">
        <v>0</v>
      </c>
      <c r="M42" s="140">
        <f t="shared" si="4"/>
        <v>509588.32409999997</v>
      </c>
      <c r="N42" s="236"/>
    </row>
    <row r="43" spans="1:14">
      <c r="A43" s="26">
        <v>39</v>
      </c>
      <c r="B43" s="27"/>
      <c r="C43" s="17"/>
      <c r="D43" s="17"/>
      <c r="E43" s="42">
        <v>0</v>
      </c>
      <c r="F43" s="42">
        <v>0</v>
      </c>
      <c r="G43" s="42">
        <f t="shared" si="0"/>
        <v>0</v>
      </c>
      <c r="H43" s="42">
        <v>0</v>
      </c>
      <c r="I43" s="42">
        <v>0</v>
      </c>
      <c r="J43" s="42">
        <f t="shared" si="1"/>
        <v>0</v>
      </c>
      <c r="K43" s="42">
        <f t="shared" si="2"/>
        <v>0</v>
      </c>
      <c r="L43" s="42">
        <v>0</v>
      </c>
      <c r="M43" s="140">
        <f t="shared" si="4"/>
        <v>509588.32409999997</v>
      </c>
      <c r="N43" s="46"/>
    </row>
    <row r="44" spans="1:14">
      <c r="A44" s="26">
        <v>40</v>
      </c>
      <c r="B44" s="27"/>
      <c r="C44" s="17"/>
      <c r="D44" s="17"/>
      <c r="E44" s="42">
        <v>0</v>
      </c>
      <c r="F44" s="42">
        <v>0</v>
      </c>
      <c r="G44" s="42">
        <f t="shared" si="0"/>
        <v>0</v>
      </c>
      <c r="H44" s="42">
        <v>0</v>
      </c>
      <c r="I44" s="42">
        <v>0</v>
      </c>
      <c r="J44" s="42">
        <f t="shared" si="1"/>
        <v>0</v>
      </c>
      <c r="K44" s="42">
        <f t="shared" si="2"/>
        <v>0</v>
      </c>
      <c r="L44" s="42">
        <v>0</v>
      </c>
      <c r="M44" s="140">
        <f t="shared" si="4"/>
        <v>509588.32409999997</v>
      </c>
      <c r="N44" s="46"/>
    </row>
    <row r="45" spans="1:14">
      <c r="A45" s="187"/>
      <c r="B45" s="187"/>
      <c r="C45" s="187"/>
      <c r="D45" s="187"/>
      <c r="E45" s="187">
        <f>SUM(E4:E44)</f>
        <v>10846.58</v>
      </c>
      <c r="F45" s="187"/>
      <c r="G45" s="187">
        <f>SUM(G4:G44)</f>
        <v>994753.75899999985</v>
      </c>
      <c r="H45" s="187">
        <f>SUM(H4:H44)</f>
        <v>34.18</v>
      </c>
      <c r="I45" s="187"/>
      <c r="J45" s="187">
        <f>SUM(J4:J44)</f>
        <v>3069.4441999999999</v>
      </c>
      <c r="K45" s="187">
        <f>SUM(K4:K44)</f>
        <v>997823.20319999987</v>
      </c>
      <c r="L45" s="187">
        <f>SUM(L4:L44)</f>
        <v>704000</v>
      </c>
      <c r="M45" s="187"/>
      <c r="N45" s="187"/>
    </row>
  </sheetData>
  <mergeCells count="2">
    <mergeCell ref="A1:N1"/>
    <mergeCell ref="A3:J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B6D9-2F42-4A4A-838E-9C7E2E8F4772}">
  <dimension ref="A1:Q39"/>
  <sheetViews>
    <sheetView workbookViewId="0">
      <pane ySplit="2" topLeftCell="A23" activePane="bottomLeft" state="frozen"/>
      <selection pane="bottomLeft" activeCell="M35" sqref="M35"/>
    </sheetView>
  </sheetViews>
  <sheetFormatPr defaultColWidth="12.85546875" defaultRowHeight="15"/>
  <cols>
    <col min="1" max="1" width="5.140625" bestFit="1" customWidth="1"/>
    <col min="2" max="2" width="10.42578125" bestFit="1" customWidth="1"/>
    <col min="3" max="3" width="8" bestFit="1" customWidth="1"/>
    <col min="4" max="4" width="13.5703125" bestFit="1" customWidth="1"/>
    <col min="5" max="5" width="10.7109375" bestFit="1" customWidth="1"/>
    <col min="6" max="6" width="11.85546875" bestFit="1" customWidth="1"/>
    <col min="7" max="7" width="13.7109375" bestFit="1" customWidth="1"/>
    <col min="8" max="8" width="10.7109375" bestFit="1" customWidth="1"/>
    <col min="9" max="9" width="8.140625" bestFit="1" customWidth="1"/>
    <col min="10" max="10" width="11.5703125" customWidth="1"/>
    <col min="11" max="12" width="13.5703125" bestFit="1" customWidth="1"/>
    <col min="13" max="13" width="13.5703125" customWidth="1"/>
    <col min="14" max="14" width="8.7109375" bestFit="1" customWidth="1"/>
    <col min="15" max="15" width="12.5703125" bestFit="1" customWidth="1"/>
  </cols>
  <sheetData>
    <row r="1" spans="1:15" ht="15.75" customHeight="1">
      <c r="A1" s="389" t="s">
        <v>60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57"/>
    </row>
    <row r="2" spans="1:15">
      <c r="A2" s="58" t="s">
        <v>90</v>
      </c>
      <c r="B2" s="59" t="s">
        <v>91</v>
      </c>
      <c r="C2" s="59" t="s">
        <v>92</v>
      </c>
      <c r="D2" s="59" t="s">
        <v>93</v>
      </c>
      <c r="E2" s="59" t="s">
        <v>94</v>
      </c>
      <c r="F2" s="59" t="s">
        <v>95</v>
      </c>
      <c r="G2" s="59" t="s">
        <v>96</v>
      </c>
      <c r="H2" s="59" t="s">
        <v>97</v>
      </c>
      <c r="I2" s="59" t="s">
        <v>95</v>
      </c>
      <c r="J2" s="60" t="s">
        <v>96</v>
      </c>
      <c r="K2" s="61" t="s">
        <v>98</v>
      </c>
      <c r="L2" s="62" t="s">
        <v>99</v>
      </c>
      <c r="M2" s="120" t="s">
        <v>106</v>
      </c>
      <c r="N2" s="105" t="s">
        <v>101</v>
      </c>
      <c r="O2" s="63"/>
    </row>
    <row r="3" spans="1:15">
      <c r="A3" s="136" t="s">
        <v>102</v>
      </c>
      <c r="B3" s="137"/>
      <c r="C3" s="137"/>
      <c r="D3" s="137"/>
      <c r="E3" s="137"/>
      <c r="F3" s="137"/>
      <c r="G3" s="137"/>
      <c r="H3" s="137"/>
      <c r="I3" s="137"/>
      <c r="J3" s="137"/>
      <c r="K3" s="279">
        <v>1341625.6499999999</v>
      </c>
      <c r="L3" s="138"/>
      <c r="M3" s="280">
        <v>1341625.6499999999</v>
      </c>
      <c r="N3" s="17"/>
      <c r="O3" s="63">
        <v>1194596.9738</v>
      </c>
    </row>
    <row r="4" spans="1:15">
      <c r="A4" s="48">
        <v>1</v>
      </c>
      <c r="B4" s="209">
        <v>45901</v>
      </c>
      <c r="C4" s="10">
        <v>0</v>
      </c>
      <c r="D4" s="18"/>
      <c r="E4" s="8">
        <v>0</v>
      </c>
      <c r="F4" s="8">
        <v>0</v>
      </c>
      <c r="G4" s="16">
        <f>E4*F4</f>
        <v>0</v>
      </c>
      <c r="H4" s="7">
        <v>0</v>
      </c>
      <c r="I4" s="7">
        <v>0</v>
      </c>
      <c r="J4" s="21">
        <f>H4*I4</f>
        <v>0</v>
      </c>
      <c r="K4" s="8">
        <f>G4+J4</f>
        <v>0</v>
      </c>
      <c r="L4" s="8"/>
      <c r="M4" s="8">
        <f>M3+K4-L4</f>
        <v>1341625.6499999999</v>
      </c>
      <c r="N4" s="19"/>
      <c r="O4" s="1"/>
    </row>
    <row r="5" spans="1:15">
      <c r="A5" s="48">
        <v>2</v>
      </c>
      <c r="B5" s="209">
        <v>45902</v>
      </c>
      <c r="C5" s="10">
        <v>0</v>
      </c>
      <c r="D5" s="18"/>
      <c r="E5" s="8">
        <v>0</v>
      </c>
      <c r="F5" s="8">
        <v>0</v>
      </c>
      <c r="G5" s="16">
        <f t="shared" ref="G5:G35" si="0">E5*F5</f>
        <v>0</v>
      </c>
      <c r="H5" s="7">
        <v>0</v>
      </c>
      <c r="I5" s="7">
        <v>0</v>
      </c>
      <c r="J5" s="21">
        <f t="shared" ref="J5:J24" si="1">H5*I5</f>
        <v>0</v>
      </c>
      <c r="K5" s="8">
        <f t="shared" ref="K5:K24" si="2">G5+J5</f>
        <v>0</v>
      </c>
      <c r="L5" s="8"/>
      <c r="M5" s="8">
        <f>M4+K5-L5</f>
        <v>1341625.6499999999</v>
      </c>
      <c r="N5" s="8"/>
      <c r="O5" s="1"/>
    </row>
    <row r="6" spans="1:15">
      <c r="A6" s="48">
        <v>3</v>
      </c>
      <c r="B6" s="209">
        <v>45903</v>
      </c>
      <c r="C6" s="10">
        <v>0</v>
      </c>
      <c r="D6" s="18"/>
      <c r="E6" s="8">
        <v>0</v>
      </c>
      <c r="F6" s="8">
        <v>0</v>
      </c>
      <c r="G6" s="16">
        <f t="shared" ref="G6:G22" si="3">E6*F6</f>
        <v>0</v>
      </c>
      <c r="H6" s="7">
        <v>0</v>
      </c>
      <c r="I6" s="7">
        <v>0</v>
      </c>
      <c r="J6" s="21">
        <f t="shared" ref="J6:J22" si="4">H6*I6</f>
        <v>0</v>
      </c>
      <c r="K6" s="8">
        <f t="shared" ref="K6:K22" si="5">G6+J6</f>
        <v>0</v>
      </c>
      <c r="L6" s="8"/>
      <c r="M6" s="8">
        <f>M5+K6-L6</f>
        <v>1341625.6499999999</v>
      </c>
      <c r="N6" s="8"/>
      <c r="O6" s="1"/>
    </row>
    <row r="7" spans="1:15">
      <c r="A7" s="48">
        <v>4</v>
      </c>
      <c r="B7" s="209">
        <v>45904</v>
      </c>
      <c r="C7" s="10">
        <v>0</v>
      </c>
      <c r="D7" s="18"/>
      <c r="E7" s="8">
        <v>0</v>
      </c>
      <c r="F7" s="8">
        <v>0</v>
      </c>
      <c r="G7" s="16">
        <f t="shared" si="3"/>
        <v>0</v>
      </c>
      <c r="H7" s="7">
        <v>0</v>
      </c>
      <c r="I7" s="7">
        <v>0</v>
      </c>
      <c r="J7" s="21">
        <f t="shared" si="4"/>
        <v>0</v>
      </c>
      <c r="K7" s="8">
        <f t="shared" si="5"/>
        <v>0</v>
      </c>
      <c r="L7" s="8"/>
      <c r="M7" s="8">
        <f>M6+K7-L7</f>
        <v>1341625.6499999999</v>
      </c>
      <c r="N7" s="8"/>
      <c r="O7" s="1"/>
    </row>
    <row r="8" spans="1:15">
      <c r="A8" s="48">
        <v>5</v>
      </c>
      <c r="B8" s="209">
        <v>45905</v>
      </c>
      <c r="C8" s="10">
        <v>0</v>
      </c>
      <c r="D8" s="18"/>
      <c r="E8" s="8">
        <v>0</v>
      </c>
      <c r="F8" s="8">
        <v>0</v>
      </c>
      <c r="G8" s="16">
        <f t="shared" ref="G8:G35" si="6">E8*F8</f>
        <v>0</v>
      </c>
      <c r="H8" s="7">
        <v>0</v>
      </c>
      <c r="I8" s="7">
        <v>0</v>
      </c>
      <c r="J8" s="21">
        <f t="shared" ref="J8:J35" si="7">H8*I8</f>
        <v>0</v>
      </c>
      <c r="K8" s="8">
        <f t="shared" ref="K8:K35" si="8">G8+J8</f>
        <v>0</v>
      </c>
      <c r="L8" s="8"/>
      <c r="M8" s="8">
        <f>M7+K8-L8</f>
        <v>1341625.6499999999</v>
      </c>
      <c r="N8" s="8"/>
      <c r="O8" s="1"/>
    </row>
    <row r="9" spans="1:15">
      <c r="A9" s="48">
        <v>6</v>
      </c>
      <c r="B9" s="209">
        <v>45906</v>
      </c>
      <c r="C9" s="10">
        <v>0</v>
      </c>
      <c r="D9" s="18"/>
      <c r="E9" s="8">
        <v>0</v>
      </c>
      <c r="F9" s="8">
        <v>0</v>
      </c>
      <c r="G9" s="16">
        <f t="shared" si="6"/>
        <v>0</v>
      </c>
      <c r="H9" s="7">
        <v>0</v>
      </c>
      <c r="I9" s="7">
        <v>0</v>
      </c>
      <c r="J9" s="21">
        <f t="shared" si="7"/>
        <v>0</v>
      </c>
      <c r="K9" s="8">
        <f t="shared" si="8"/>
        <v>0</v>
      </c>
      <c r="L9" s="8"/>
      <c r="M9" s="8">
        <f>M8+K9-L9</f>
        <v>1341625.6499999999</v>
      </c>
      <c r="N9" s="8"/>
      <c r="O9" s="1"/>
    </row>
    <row r="10" spans="1:15">
      <c r="A10" s="48">
        <v>7</v>
      </c>
      <c r="B10" s="209">
        <v>45907</v>
      </c>
      <c r="C10" s="10">
        <v>0</v>
      </c>
      <c r="D10" s="18"/>
      <c r="E10" s="8">
        <v>2000</v>
      </c>
      <c r="F10" s="8">
        <v>91.14</v>
      </c>
      <c r="G10" s="16">
        <f t="shared" si="6"/>
        <v>182280</v>
      </c>
      <c r="H10" s="7">
        <v>20</v>
      </c>
      <c r="I10" s="7">
        <v>104.6</v>
      </c>
      <c r="J10" s="21">
        <f t="shared" si="7"/>
        <v>2092</v>
      </c>
      <c r="K10" s="8">
        <f t="shared" si="8"/>
        <v>184372</v>
      </c>
      <c r="L10" s="8"/>
      <c r="M10" s="8">
        <f t="shared" ref="M10:M18" si="9">M9+K10-L10</f>
        <v>1525997.65</v>
      </c>
      <c r="N10" s="8"/>
      <c r="O10" s="1"/>
    </row>
    <row r="11" spans="1:15">
      <c r="A11" s="48">
        <v>8</v>
      </c>
      <c r="B11" s="209">
        <v>45908</v>
      </c>
      <c r="C11" s="10">
        <v>0</v>
      </c>
      <c r="D11" s="18"/>
      <c r="E11" s="8">
        <v>0</v>
      </c>
      <c r="F11" s="8">
        <v>0</v>
      </c>
      <c r="G11" s="16">
        <f t="shared" si="6"/>
        <v>0</v>
      </c>
      <c r="H11" s="7">
        <v>0</v>
      </c>
      <c r="I11" s="7">
        <v>0</v>
      </c>
      <c r="J11" s="21">
        <f t="shared" si="7"/>
        <v>0</v>
      </c>
      <c r="K11" s="8">
        <f t="shared" si="8"/>
        <v>0</v>
      </c>
      <c r="L11" s="8">
        <v>1521955</v>
      </c>
      <c r="M11" s="8">
        <f t="shared" si="9"/>
        <v>4042.6499999999069</v>
      </c>
      <c r="N11" s="8"/>
      <c r="O11" s="1"/>
    </row>
    <row r="12" spans="1:15">
      <c r="A12" s="48">
        <v>9</v>
      </c>
      <c r="B12" s="209">
        <v>45909</v>
      </c>
      <c r="C12" s="10">
        <v>0</v>
      </c>
      <c r="D12" s="18"/>
      <c r="E12" s="8">
        <v>0</v>
      </c>
      <c r="F12" s="8">
        <v>0</v>
      </c>
      <c r="G12" s="16">
        <f t="shared" si="6"/>
        <v>0</v>
      </c>
      <c r="H12" s="7">
        <v>0</v>
      </c>
      <c r="I12" s="7">
        <v>0</v>
      </c>
      <c r="J12" s="21">
        <f t="shared" si="7"/>
        <v>0</v>
      </c>
      <c r="K12" s="8">
        <f t="shared" si="8"/>
        <v>0</v>
      </c>
      <c r="L12" s="8"/>
      <c r="M12" s="8">
        <f t="shared" si="9"/>
        <v>4042.6499999999069</v>
      </c>
      <c r="N12" s="8"/>
      <c r="O12" s="1"/>
    </row>
    <row r="13" spans="1:15">
      <c r="A13" s="48">
        <v>10</v>
      </c>
      <c r="B13" s="209">
        <v>45910</v>
      </c>
      <c r="C13" s="10">
        <v>0</v>
      </c>
      <c r="D13" s="18"/>
      <c r="E13" s="8">
        <v>0</v>
      </c>
      <c r="F13" s="8">
        <v>0</v>
      </c>
      <c r="G13" s="16">
        <f t="shared" si="6"/>
        <v>0</v>
      </c>
      <c r="H13" s="7">
        <v>0</v>
      </c>
      <c r="I13" s="7">
        <v>0</v>
      </c>
      <c r="J13" s="21">
        <f t="shared" si="7"/>
        <v>0</v>
      </c>
      <c r="K13" s="8">
        <f t="shared" si="8"/>
        <v>0</v>
      </c>
      <c r="L13" s="8"/>
      <c r="M13" s="8">
        <f t="shared" si="9"/>
        <v>4042.6499999999069</v>
      </c>
      <c r="N13" s="8"/>
      <c r="O13" s="1"/>
    </row>
    <row r="14" spans="1:15">
      <c r="A14" s="48">
        <v>11</v>
      </c>
      <c r="B14" s="209">
        <v>45911</v>
      </c>
      <c r="C14" s="10">
        <v>0</v>
      </c>
      <c r="D14" s="18"/>
      <c r="E14" s="8">
        <v>0</v>
      </c>
      <c r="F14" s="8">
        <v>0</v>
      </c>
      <c r="G14" s="16">
        <f t="shared" si="6"/>
        <v>0</v>
      </c>
      <c r="H14" s="7">
        <v>0</v>
      </c>
      <c r="I14" s="7">
        <v>0</v>
      </c>
      <c r="J14" s="21">
        <f t="shared" si="7"/>
        <v>0</v>
      </c>
      <c r="K14" s="8">
        <f t="shared" si="8"/>
        <v>0</v>
      </c>
      <c r="L14" s="8"/>
      <c r="M14" s="8">
        <f t="shared" si="9"/>
        <v>4042.6499999999069</v>
      </c>
      <c r="N14" s="199"/>
      <c r="O14" s="1"/>
    </row>
    <row r="15" spans="1:15">
      <c r="A15" s="48">
        <v>12</v>
      </c>
      <c r="B15" s="209">
        <v>45912</v>
      </c>
      <c r="C15" s="10">
        <v>0</v>
      </c>
      <c r="D15" s="18"/>
      <c r="E15" s="8">
        <v>0</v>
      </c>
      <c r="F15" s="8">
        <v>0</v>
      </c>
      <c r="G15" s="16">
        <f t="shared" si="6"/>
        <v>0</v>
      </c>
      <c r="H15" s="7">
        <v>0</v>
      </c>
      <c r="I15" s="7">
        <v>0</v>
      </c>
      <c r="J15" s="21">
        <f t="shared" si="7"/>
        <v>0</v>
      </c>
      <c r="K15" s="8">
        <f t="shared" si="8"/>
        <v>0</v>
      </c>
      <c r="L15" s="8"/>
      <c r="M15" s="8">
        <f t="shared" si="9"/>
        <v>4042.6499999999069</v>
      </c>
      <c r="N15" s="199"/>
      <c r="O15" s="1"/>
    </row>
    <row r="16" spans="1:15">
      <c r="A16" s="48">
        <v>13</v>
      </c>
      <c r="B16" s="209">
        <v>45913</v>
      </c>
      <c r="C16" s="10">
        <v>0</v>
      </c>
      <c r="D16" s="18"/>
      <c r="E16" s="8">
        <v>0</v>
      </c>
      <c r="F16" s="8">
        <v>0</v>
      </c>
      <c r="G16" s="16">
        <f t="shared" si="6"/>
        <v>0</v>
      </c>
      <c r="H16" s="7">
        <v>0</v>
      </c>
      <c r="I16" s="7">
        <v>0</v>
      </c>
      <c r="J16" s="21">
        <f t="shared" si="7"/>
        <v>0</v>
      </c>
      <c r="K16" s="8">
        <f t="shared" si="8"/>
        <v>0</v>
      </c>
      <c r="L16" s="8"/>
      <c r="M16" s="8">
        <f t="shared" si="9"/>
        <v>4042.6499999999069</v>
      </c>
      <c r="N16" s="199"/>
      <c r="O16" s="1"/>
    </row>
    <row r="17" spans="1:15">
      <c r="A17" s="48">
        <v>14</v>
      </c>
      <c r="B17" s="209">
        <v>45914</v>
      </c>
      <c r="C17" s="10">
        <v>0</v>
      </c>
      <c r="D17" s="18"/>
      <c r="E17" s="8">
        <v>0</v>
      </c>
      <c r="F17" s="8">
        <v>0</v>
      </c>
      <c r="G17" s="16">
        <f t="shared" si="6"/>
        <v>0</v>
      </c>
      <c r="H17" s="7">
        <v>0</v>
      </c>
      <c r="I17" s="7">
        <v>0</v>
      </c>
      <c r="J17" s="21">
        <f t="shared" si="7"/>
        <v>0</v>
      </c>
      <c r="K17" s="8">
        <f t="shared" si="8"/>
        <v>0</v>
      </c>
      <c r="L17" s="8"/>
      <c r="M17" s="8">
        <f t="shared" si="9"/>
        <v>4042.6499999999069</v>
      </c>
      <c r="N17" s="199"/>
      <c r="O17" s="1"/>
    </row>
    <row r="18" spans="1:15">
      <c r="A18" s="48">
        <v>15</v>
      </c>
      <c r="B18" s="209">
        <v>45915</v>
      </c>
      <c r="C18" s="10">
        <v>0</v>
      </c>
      <c r="D18" s="18"/>
      <c r="E18" s="8">
        <v>500</v>
      </c>
      <c r="F18" s="8">
        <v>91.14</v>
      </c>
      <c r="G18" s="16">
        <f t="shared" si="6"/>
        <v>45570</v>
      </c>
      <c r="H18" s="7">
        <v>20</v>
      </c>
      <c r="I18" s="7">
        <v>104.6</v>
      </c>
      <c r="J18" s="21">
        <f t="shared" si="7"/>
        <v>2092</v>
      </c>
      <c r="K18" s="8">
        <f t="shared" si="8"/>
        <v>47662</v>
      </c>
      <c r="L18" s="8"/>
      <c r="M18" s="8">
        <f t="shared" si="9"/>
        <v>51704.649999999907</v>
      </c>
      <c r="N18" s="199"/>
      <c r="O18" s="1"/>
    </row>
    <row r="19" spans="1:15">
      <c r="A19" s="48">
        <v>16</v>
      </c>
      <c r="B19" s="209">
        <v>45916</v>
      </c>
      <c r="C19" s="10">
        <v>0</v>
      </c>
      <c r="D19" s="18"/>
      <c r="E19" s="8">
        <v>0</v>
      </c>
      <c r="F19" s="8">
        <v>0</v>
      </c>
      <c r="G19" s="16">
        <f t="shared" si="6"/>
        <v>0</v>
      </c>
      <c r="H19" s="7">
        <v>0</v>
      </c>
      <c r="I19" s="7">
        <v>0</v>
      </c>
      <c r="J19" s="21">
        <f t="shared" si="7"/>
        <v>0</v>
      </c>
      <c r="K19" s="8">
        <f t="shared" si="8"/>
        <v>0</v>
      </c>
      <c r="L19" s="8"/>
      <c r="M19" s="8">
        <f t="shared" ref="M16:M35" si="10">M18+K19-L19</f>
        <v>51704.649999999907</v>
      </c>
      <c r="N19" s="199"/>
      <c r="O19" s="1"/>
    </row>
    <row r="20" spans="1:15">
      <c r="A20" s="48">
        <v>17</v>
      </c>
      <c r="B20" s="209">
        <v>45917</v>
      </c>
      <c r="C20" s="10">
        <v>0</v>
      </c>
      <c r="D20" s="18"/>
      <c r="E20" s="8">
        <v>0</v>
      </c>
      <c r="F20" s="8">
        <v>0</v>
      </c>
      <c r="G20" s="16">
        <f t="shared" si="6"/>
        <v>0</v>
      </c>
      <c r="H20" s="7">
        <v>0</v>
      </c>
      <c r="I20" s="7">
        <v>0</v>
      </c>
      <c r="J20" s="21">
        <f t="shared" si="7"/>
        <v>0</v>
      </c>
      <c r="K20" s="8">
        <f t="shared" si="8"/>
        <v>0</v>
      </c>
      <c r="L20" s="8"/>
      <c r="M20" s="8">
        <f t="shared" si="10"/>
        <v>51704.649999999907</v>
      </c>
      <c r="N20" s="199"/>
      <c r="O20" s="1"/>
    </row>
    <row r="21" spans="1:15">
      <c r="A21" s="48">
        <v>18</v>
      </c>
      <c r="B21" s="209">
        <v>45918</v>
      </c>
      <c r="C21" s="10">
        <v>0</v>
      </c>
      <c r="D21" s="18"/>
      <c r="E21" s="8">
        <v>0</v>
      </c>
      <c r="F21" s="8">
        <v>0</v>
      </c>
      <c r="G21" s="16">
        <f t="shared" si="6"/>
        <v>0</v>
      </c>
      <c r="H21" s="7">
        <v>0</v>
      </c>
      <c r="I21" s="7">
        <v>0</v>
      </c>
      <c r="J21" s="21">
        <f t="shared" si="7"/>
        <v>0</v>
      </c>
      <c r="K21" s="8">
        <f t="shared" si="8"/>
        <v>0</v>
      </c>
      <c r="L21" s="8"/>
      <c r="M21" s="8">
        <f t="shared" si="10"/>
        <v>51704.649999999907</v>
      </c>
      <c r="N21" s="199"/>
      <c r="O21" s="1"/>
    </row>
    <row r="22" spans="1:15">
      <c r="A22" s="48">
        <v>19</v>
      </c>
      <c r="B22" s="209">
        <v>45919</v>
      </c>
      <c r="C22" s="10">
        <v>0</v>
      </c>
      <c r="D22" s="18"/>
      <c r="E22" s="8">
        <v>0</v>
      </c>
      <c r="F22" s="8">
        <v>0</v>
      </c>
      <c r="G22" s="16">
        <f t="shared" si="6"/>
        <v>0</v>
      </c>
      <c r="H22" s="7">
        <v>0</v>
      </c>
      <c r="I22" s="7">
        <v>0</v>
      </c>
      <c r="J22" s="21">
        <f t="shared" si="7"/>
        <v>0</v>
      </c>
      <c r="K22" s="8">
        <f t="shared" si="8"/>
        <v>0</v>
      </c>
      <c r="L22" s="8"/>
      <c r="M22" s="8">
        <f t="shared" si="10"/>
        <v>51704.649999999907</v>
      </c>
      <c r="N22" s="199"/>
      <c r="O22" s="1"/>
    </row>
    <row r="23" spans="1:15">
      <c r="A23" s="48">
        <v>20</v>
      </c>
      <c r="B23" s="209">
        <v>45920</v>
      </c>
      <c r="C23" s="10">
        <v>0</v>
      </c>
      <c r="D23" s="18"/>
      <c r="E23" s="8">
        <v>0</v>
      </c>
      <c r="F23" s="8">
        <v>0</v>
      </c>
      <c r="G23" s="16">
        <f t="shared" si="6"/>
        <v>0</v>
      </c>
      <c r="H23" s="7">
        <v>0</v>
      </c>
      <c r="I23" s="7">
        <v>0</v>
      </c>
      <c r="J23" s="21">
        <f t="shared" si="7"/>
        <v>0</v>
      </c>
      <c r="K23" s="8">
        <f t="shared" si="8"/>
        <v>0</v>
      </c>
      <c r="L23" s="8"/>
      <c r="M23" s="8">
        <f t="shared" si="10"/>
        <v>51704.649999999907</v>
      </c>
      <c r="N23" s="199"/>
      <c r="O23" s="1"/>
    </row>
    <row r="24" spans="1:15">
      <c r="A24" s="48">
        <v>21</v>
      </c>
      <c r="B24" s="209">
        <v>45921</v>
      </c>
      <c r="C24" s="10">
        <v>0</v>
      </c>
      <c r="D24" s="18"/>
      <c r="E24" s="8">
        <v>0</v>
      </c>
      <c r="F24" s="8">
        <v>0</v>
      </c>
      <c r="G24" s="16">
        <f t="shared" si="6"/>
        <v>0</v>
      </c>
      <c r="H24" s="7">
        <v>0</v>
      </c>
      <c r="I24" s="7">
        <v>0</v>
      </c>
      <c r="J24" s="21">
        <f t="shared" si="7"/>
        <v>0</v>
      </c>
      <c r="K24" s="8">
        <f t="shared" si="8"/>
        <v>0</v>
      </c>
      <c r="L24" s="8"/>
      <c r="M24" s="8">
        <f t="shared" si="10"/>
        <v>51704.649999999907</v>
      </c>
      <c r="N24" s="199"/>
      <c r="O24" s="1"/>
    </row>
    <row r="25" spans="1:15">
      <c r="A25" s="48">
        <v>22</v>
      </c>
      <c r="B25" s="209">
        <v>45922</v>
      </c>
      <c r="C25" s="10">
        <v>0</v>
      </c>
      <c r="D25" s="18"/>
      <c r="E25" s="8">
        <v>0</v>
      </c>
      <c r="F25" s="8">
        <v>0</v>
      </c>
      <c r="G25" s="16">
        <f t="shared" si="6"/>
        <v>0</v>
      </c>
      <c r="H25" s="7">
        <v>0</v>
      </c>
      <c r="I25" s="7">
        <v>0</v>
      </c>
      <c r="J25" s="21">
        <f t="shared" si="7"/>
        <v>0</v>
      </c>
      <c r="K25" s="8">
        <f t="shared" si="8"/>
        <v>0</v>
      </c>
      <c r="L25" s="8"/>
      <c r="M25" s="8">
        <f t="shared" si="10"/>
        <v>51704.649999999907</v>
      </c>
      <c r="N25" s="199"/>
      <c r="O25" s="1"/>
    </row>
    <row r="26" spans="1:15">
      <c r="A26" s="48">
        <v>23</v>
      </c>
      <c r="B26" s="209">
        <v>45923</v>
      </c>
      <c r="C26" s="10">
        <v>0</v>
      </c>
      <c r="D26" s="18"/>
      <c r="E26" s="8">
        <v>0</v>
      </c>
      <c r="F26" s="8">
        <v>0</v>
      </c>
      <c r="G26" s="16">
        <f t="shared" si="6"/>
        <v>0</v>
      </c>
      <c r="H26" s="7">
        <v>0</v>
      </c>
      <c r="I26" s="7">
        <v>0</v>
      </c>
      <c r="J26" s="21">
        <f t="shared" si="7"/>
        <v>0</v>
      </c>
      <c r="K26" s="8">
        <f t="shared" si="8"/>
        <v>0</v>
      </c>
      <c r="L26" s="8"/>
      <c r="M26" s="8">
        <f t="shared" si="10"/>
        <v>51704.649999999907</v>
      </c>
      <c r="N26" s="199"/>
      <c r="O26" s="1"/>
    </row>
    <row r="27" spans="1:15">
      <c r="A27" s="48">
        <v>24</v>
      </c>
      <c r="B27" s="209">
        <v>45924</v>
      </c>
      <c r="C27" s="10">
        <v>0</v>
      </c>
      <c r="D27" s="18"/>
      <c r="E27" s="8">
        <v>0</v>
      </c>
      <c r="F27" s="8">
        <v>0</v>
      </c>
      <c r="G27" s="16">
        <f t="shared" si="6"/>
        <v>0</v>
      </c>
      <c r="H27" s="7">
        <v>0</v>
      </c>
      <c r="I27" s="7">
        <v>0</v>
      </c>
      <c r="J27" s="21">
        <f t="shared" si="7"/>
        <v>0</v>
      </c>
      <c r="K27" s="8">
        <f t="shared" si="8"/>
        <v>0</v>
      </c>
      <c r="L27" s="8"/>
      <c r="M27" s="8">
        <f t="shared" si="10"/>
        <v>51704.649999999907</v>
      </c>
      <c r="N27" s="199"/>
      <c r="O27" s="1"/>
    </row>
    <row r="28" spans="1:15">
      <c r="A28" s="48">
        <v>25</v>
      </c>
      <c r="B28" s="209">
        <v>45925</v>
      </c>
      <c r="C28" s="10">
        <v>0</v>
      </c>
      <c r="D28" s="18"/>
      <c r="E28" s="8">
        <v>0</v>
      </c>
      <c r="F28" s="8">
        <v>0</v>
      </c>
      <c r="G28" s="16">
        <f t="shared" si="6"/>
        <v>0</v>
      </c>
      <c r="H28" s="7">
        <v>0</v>
      </c>
      <c r="I28" s="7">
        <v>0</v>
      </c>
      <c r="J28" s="21">
        <f t="shared" si="7"/>
        <v>0</v>
      </c>
      <c r="K28" s="8">
        <f t="shared" si="8"/>
        <v>0</v>
      </c>
      <c r="L28" s="8"/>
      <c r="M28" s="8">
        <f t="shared" si="10"/>
        <v>51704.649999999907</v>
      </c>
      <c r="N28" s="199"/>
      <c r="O28" s="1"/>
    </row>
    <row r="29" spans="1:15">
      <c r="A29" s="48">
        <v>26</v>
      </c>
      <c r="B29" s="209">
        <v>45926</v>
      </c>
      <c r="C29" s="10">
        <v>0</v>
      </c>
      <c r="D29" s="18"/>
      <c r="E29" s="8">
        <v>0</v>
      </c>
      <c r="F29" s="8">
        <v>0</v>
      </c>
      <c r="G29" s="16">
        <f t="shared" si="6"/>
        <v>0</v>
      </c>
      <c r="H29" s="7">
        <v>0</v>
      </c>
      <c r="I29" s="7">
        <v>0</v>
      </c>
      <c r="J29" s="21">
        <f t="shared" si="7"/>
        <v>0</v>
      </c>
      <c r="K29" s="8">
        <f t="shared" si="8"/>
        <v>0</v>
      </c>
      <c r="L29" s="8"/>
      <c r="M29" s="8">
        <f t="shared" si="10"/>
        <v>51704.649999999907</v>
      </c>
      <c r="N29" s="199"/>
      <c r="O29" s="1"/>
    </row>
    <row r="30" spans="1:15">
      <c r="A30" s="48">
        <v>27</v>
      </c>
      <c r="B30" s="209">
        <v>45927</v>
      </c>
      <c r="C30" s="10">
        <v>0</v>
      </c>
      <c r="D30" s="18"/>
      <c r="E30" s="8">
        <v>0</v>
      </c>
      <c r="F30" s="8">
        <v>0</v>
      </c>
      <c r="G30" s="16">
        <f t="shared" si="6"/>
        <v>0</v>
      </c>
      <c r="H30" s="7">
        <v>0</v>
      </c>
      <c r="I30" s="7">
        <v>0</v>
      </c>
      <c r="J30" s="21">
        <f t="shared" si="7"/>
        <v>0</v>
      </c>
      <c r="K30" s="8">
        <f t="shared" si="8"/>
        <v>0</v>
      </c>
      <c r="L30" s="8"/>
      <c r="M30" s="8">
        <f t="shared" si="10"/>
        <v>51704.649999999907</v>
      </c>
      <c r="N30" s="199"/>
      <c r="O30" s="1"/>
    </row>
    <row r="31" spans="1:15">
      <c r="A31" s="48">
        <v>28</v>
      </c>
      <c r="B31" s="209">
        <v>45928</v>
      </c>
      <c r="C31" s="10">
        <v>0</v>
      </c>
      <c r="D31" s="18"/>
      <c r="E31" s="8">
        <v>0</v>
      </c>
      <c r="F31" s="8">
        <v>0</v>
      </c>
      <c r="G31" s="16">
        <f t="shared" si="6"/>
        <v>0</v>
      </c>
      <c r="H31" s="7">
        <v>0</v>
      </c>
      <c r="I31" s="7">
        <v>0</v>
      </c>
      <c r="J31" s="21">
        <f t="shared" si="7"/>
        <v>0</v>
      </c>
      <c r="K31" s="8">
        <f t="shared" si="8"/>
        <v>0</v>
      </c>
      <c r="L31" s="8"/>
      <c r="M31" s="8">
        <f t="shared" si="10"/>
        <v>51704.649999999907</v>
      </c>
      <c r="N31" s="199"/>
      <c r="O31" s="1"/>
    </row>
    <row r="32" spans="1:15">
      <c r="A32" s="48">
        <v>29</v>
      </c>
      <c r="B32" s="209">
        <v>45929</v>
      </c>
      <c r="C32" s="10">
        <v>0</v>
      </c>
      <c r="D32" s="18"/>
      <c r="E32" s="8">
        <v>600</v>
      </c>
      <c r="F32" s="8">
        <v>91.14</v>
      </c>
      <c r="G32" s="16">
        <f t="shared" si="6"/>
        <v>54684</v>
      </c>
      <c r="H32" s="7">
        <v>20</v>
      </c>
      <c r="I32" s="7">
        <v>104.6</v>
      </c>
      <c r="J32" s="21">
        <f t="shared" si="7"/>
        <v>2092</v>
      </c>
      <c r="K32" s="8">
        <f t="shared" si="8"/>
        <v>56776</v>
      </c>
      <c r="L32" s="8"/>
      <c r="M32" s="8">
        <f t="shared" si="10"/>
        <v>108480.64999999991</v>
      </c>
      <c r="N32" s="199"/>
      <c r="O32" s="1"/>
    </row>
    <row r="33" spans="1:17">
      <c r="A33" s="48">
        <v>30</v>
      </c>
      <c r="B33" s="209">
        <v>45930</v>
      </c>
      <c r="C33" s="10">
        <v>0</v>
      </c>
      <c r="D33" s="18"/>
      <c r="E33" s="8">
        <v>80</v>
      </c>
      <c r="F33" s="8">
        <v>95.72</v>
      </c>
      <c r="G33" s="16">
        <f t="shared" si="6"/>
        <v>7657.6</v>
      </c>
      <c r="H33" s="7">
        <v>0</v>
      </c>
      <c r="I33" s="7">
        <v>0</v>
      </c>
      <c r="J33" s="21">
        <f t="shared" si="7"/>
        <v>0</v>
      </c>
      <c r="K33" s="8">
        <f t="shared" si="8"/>
        <v>7657.6</v>
      </c>
      <c r="L33" s="8">
        <v>7657.6</v>
      </c>
      <c r="M33" s="8">
        <f t="shared" si="10"/>
        <v>108480.64999999991</v>
      </c>
      <c r="N33" s="199"/>
      <c r="O33" s="1"/>
    </row>
    <row r="34" spans="1:17">
      <c r="A34" s="48">
        <v>31</v>
      </c>
      <c r="B34" s="209"/>
      <c r="C34" s="262">
        <v>0</v>
      </c>
      <c r="D34" s="263"/>
      <c r="E34" s="8">
        <v>0</v>
      </c>
      <c r="F34" s="8">
        <v>0</v>
      </c>
      <c r="G34" s="16">
        <f t="shared" si="6"/>
        <v>0</v>
      </c>
      <c r="H34" s="7">
        <v>0</v>
      </c>
      <c r="I34" s="7">
        <v>0</v>
      </c>
      <c r="J34" s="21">
        <f t="shared" si="7"/>
        <v>0</v>
      </c>
      <c r="K34" s="8">
        <f t="shared" si="8"/>
        <v>0</v>
      </c>
      <c r="L34" s="8"/>
      <c r="M34" s="8">
        <f t="shared" si="10"/>
        <v>108480.64999999991</v>
      </c>
      <c r="N34" s="199"/>
      <c r="O34" s="1"/>
    </row>
    <row r="35" spans="1:17">
      <c r="A35" s="48">
        <v>32</v>
      </c>
      <c r="B35" s="209"/>
      <c r="C35" s="25"/>
      <c r="D35" s="18"/>
      <c r="E35" s="8">
        <v>0</v>
      </c>
      <c r="F35" s="8">
        <v>0</v>
      </c>
      <c r="G35" s="16">
        <f t="shared" si="6"/>
        <v>0</v>
      </c>
      <c r="H35" s="7">
        <v>0</v>
      </c>
      <c r="I35" s="7">
        <v>0</v>
      </c>
      <c r="J35" s="21">
        <f t="shared" si="7"/>
        <v>0</v>
      </c>
      <c r="K35" s="8">
        <f t="shared" si="8"/>
        <v>0</v>
      </c>
      <c r="L35" s="8"/>
      <c r="M35" s="8">
        <f t="shared" si="10"/>
        <v>108480.64999999991</v>
      </c>
      <c r="N35" s="199"/>
      <c r="O35" s="1"/>
      <c r="P35">
        <v>1194597.71</v>
      </c>
      <c r="Q35" s="327">
        <f>P35-M35</f>
        <v>1086117.06</v>
      </c>
    </row>
    <row r="36" spans="1:17">
      <c r="A36" s="165"/>
      <c r="B36" s="165"/>
      <c r="C36" s="165"/>
      <c r="D36" s="165"/>
      <c r="E36" s="166">
        <f>SUM(E4:E35)</f>
        <v>3180</v>
      </c>
      <c r="F36" s="166"/>
      <c r="G36" s="166">
        <f>SUM(G4:G35)</f>
        <v>290191.59999999998</v>
      </c>
      <c r="H36" s="166">
        <f>SUM(H4:H35)</f>
        <v>60</v>
      </c>
      <c r="I36" s="166"/>
      <c r="J36" s="166">
        <f>SUM(J4:J35)</f>
        <v>6276</v>
      </c>
      <c r="K36" s="166">
        <f>SUM(K4:K35)</f>
        <v>296467.59999999998</v>
      </c>
      <c r="L36" s="166">
        <f>SUM(L4:L35)</f>
        <v>1529612.6</v>
      </c>
      <c r="M36" s="166"/>
      <c r="N36" s="67"/>
      <c r="O36" s="63"/>
    </row>
    <row r="37" spans="1:17">
      <c r="A37" s="2"/>
      <c r="B37" s="2"/>
      <c r="C37" s="2"/>
      <c r="D37" s="2"/>
      <c r="E37" s="4"/>
      <c r="F37" s="4"/>
      <c r="G37" s="4"/>
      <c r="H37" s="4"/>
      <c r="I37" s="4"/>
      <c r="J37" s="4"/>
      <c r="K37" s="4"/>
      <c r="L37" s="4"/>
      <c r="M37" s="4"/>
      <c r="N37" s="4"/>
      <c r="O37" s="1"/>
    </row>
    <row r="38" spans="1:17">
      <c r="A38" s="1"/>
      <c r="B38" s="388"/>
      <c r="C38" s="388"/>
      <c r="D38" s="388"/>
      <c r="E38" s="388"/>
      <c r="F38" s="1"/>
      <c r="G38" s="1"/>
      <c r="H38" s="1"/>
      <c r="I38" s="388"/>
      <c r="J38" s="388"/>
      <c r="K38" s="388"/>
      <c r="L38" s="388"/>
      <c r="M38" s="388"/>
      <c r="N38" s="388"/>
      <c r="O38" s="4"/>
    </row>
    <row r="39" spans="1:1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</row>
  </sheetData>
  <mergeCells count="3">
    <mergeCell ref="B38:E38"/>
    <mergeCell ref="I38:N38"/>
    <mergeCell ref="A1:N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BF21-978C-45C0-87AC-3079BCB517B4}">
  <dimension ref="A1:O44"/>
  <sheetViews>
    <sheetView workbookViewId="0">
      <pane ySplit="2" topLeftCell="A3" activePane="bottomLeft" state="frozen"/>
      <selection pane="bottomLeft" activeCell="L41" sqref="L41"/>
    </sheetView>
  </sheetViews>
  <sheetFormatPr defaultRowHeight="15"/>
  <cols>
    <col min="1" max="1" width="5.140625" bestFit="1" customWidth="1"/>
    <col min="2" max="2" width="9.5703125" bestFit="1" customWidth="1"/>
    <col min="3" max="3" width="8" bestFit="1" customWidth="1"/>
    <col min="4" max="4" width="13.28515625" bestFit="1" customWidth="1"/>
    <col min="5" max="5" width="10.7109375" bestFit="1" customWidth="1"/>
    <col min="6" max="6" width="9.7109375" bestFit="1" customWidth="1"/>
    <col min="7" max="7" width="13.140625" customWidth="1"/>
    <col min="8" max="8" width="10.7109375" bestFit="1" customWidth="1"/>
    <col min="9" max="9" width="7.140625" bestFit="1" customWidth="1"/>
    <col min="10" max="10" width="9.7109375" bestFit="1" customWidth="1"/>
    <col min="11" max="12" width="13.5703125" bestFit="1" customWidth="1"/>
    <col min="13" max="13" width="14.42578125" customWidth="1"/>
    <col min="14" max="14" width="16.42578125" bestFit="1" customWidth="1"/>
  </cols>
  <sheetData>
    <row r="1" spans="1:15" ht="15.75" customHeight="1">
      <c r="A1" s="399" t="s">
        <v>160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399"/>
      <c r="N1" s="399"/>
      <c r="O1" s="86"/>
    </row>
    <row r="2" spans="1:15" ht="16.5" customHeight="1">
      <c r="A2" s="102" t="s">
        <v>90</v>
      </c>
      <c r="B2" s="103" t="s">
        <v>91</v>
      </c>
      <c r="C2" s="103" t="s">
        <v>92</v>
      </c>
      <c r="D2" s="103" t="s">
        <v>107</v>
      </c>
      <c r="E2" s="103" t="s">
        <v>94</v>
      </c>
      <c r="F2" s="103" t="s">
        <v>95</v>
      </c>
      <c r="G2" s="103" t="s">
        <v>96</v>
      </c>
      <c r="H2" s="103" t="s">
        <v>97</v>
      </c>
      <c r="I2" s="103" t="s">
        <v>95</v>
      </c>
      <c r="J2" s="142" t="s">
        <v>96</v>
      </c>
      <c r="K2" s="104" t="s">
        <v>98</v>
      </c>
      <c r="L2" s="143" t="s">
        <v>99</v>
      </c>
      <c r="M2" s="147" t="s">
        <v>106</v>
      </c>
      <c r="N2" s="105" t="s">
        <v>101</v>
      </c>
      <c r="O2" s="63"/>
    </row>
    <row r="3" spans="1:15" ht="16.5" customHeight="1">
      <c r="A3" s="396" t="s">
        <v>102</v>
      </c>
      <c r="B3" s="400"/>
      <c r="C3" s="400"/>
      <c r="D3" s="400"/>
      <c r="E3" s="400"/>
      <c r="F3" s="400"/>
      <c r="G3" s="400"/>
      <c r="H3" s="400"/>
      <c r="I3" s="400"/>
      <c r="J3" s="400"/>
      <c r="K3" s="400"/>
      <c r="L3" s="401"/>
      <c r="M3" s="152">
        <v>0</v>
      </c>
      <c r="N3" s="161"/>
      <c r="O3" s="63"/>
    </row>
    <row r="4" spans="1:15">
      <c r="A4" s="204">
        <v>1</v>
      </c>
      <c r="B4" s="230">
        <v>45901</v>
      </c>
      <c r="C4" s="71"/>
      <c r="D4" s="164"/>
      <c r="E4" s="69">
        <v>0</v>
      </c>
      <c r="F4" s="69">
        <v>0</v>
      </c>
      <c r="G4" s="8">
        <f>E4*F4</f>
        <v>0</v>
      </c>
      <c r="H4" s="69">
        <v>0</v>
      </c>
      <c r="I4" s="70">
        <v>0</v>
      </c>
      <c r="J4" s="8">
        <f>H4*I4</f>
        <v>0</v>
      </c>
      <c r="K4" s="8">
        <f>G4+J4</f>
        <v>0</v>
      </c>
      <c r="L4" s="72">
        <f>+K4</f>
        <v>0</v>
      </c>
      <c r="M4" s="72">
        <v>0</v>
      </c>
      <c r="N4" s="8"/>
    </row>
    <row r="5" spans="1:15">
      <c r="A5" s="48">
        <v>2</v>
      </c>
      <c r="B5" s="230">
        <v>45902</v>
      </c>
      <c r="C5" s="71"/>
      <c r="D5" s="164"/>
      <c r="E5" s="69">
        <v>0</v>
      </c>
      <c r="F5" s="69">
        <v>0</v>
      </c>
      <c r="G5" s="8">
        <f t="shared" ref="G5:G34" si="0">E5*F5</f>
        <v>0</v>
      </c>
      <c r="H5" s="69">
        <v>0</v>
      </c>
      <c r="I5" s="70">
        <v>0</v>
      </c>
      <c r="J5" s="8">
        <f t="shared" ref="J5:J34" si="1">H5*I5</f>
        <v>0</v>
      </c>
      <c r="K5" s="8">
        <f t="shared" ref="K5:K33" si="2">G5+J5</f>
        <v>0</v>
      </c>
      <c r="L5" s="72">
        <f t="shared" ref="L5:L33" si="3">+K5</f>
        <v>0</v>
      </c>
      <c r="M5" s="72">
        <v>0</v>
      </c>
      <c r="N5" s="8"/>
    </row>
    <row r="6" spans="1:15">
      <c r="A6" s="48">
        <v>3</v>
      </c>
      <c r="B6" s="230">
        <v>45903</v>
      </c>
      <c r="C6" s="71"/>
      <c r="D6" s="164"/>
      <c r="E6" s="69">
        <v>0</v>
      </c>
      <c r="F6" s="69">
        <v>0</v>
      </c>
      <c r="G6" s="8">
        <f t="shared" si="0"/>
        <v>0</v>
      </c>
      <c r="H6" s="69">
        <v>0</v>
      </c>
      <c r="I6" s="70">
        <v>0</v>
      </c>
      <c r="J6" s="8">
        <f t="shared" si="1"/>
        <v>0</v>
      </c>
      <c r="K6" s="8">
        <f t="shared" si="2"/>
        <v>0</v>
      </c>
      <c r="L6" s="72">
        <f t="shared" si="3"/>
        <v>0</v>
      </c>
      <c r="M6" s="72">
        <v>0</v>
      </c>
      <c r="N6" s="8"/>
    </row>
    <row r="7" spans="1:15">
      <c r="A7" s="48">
        <v>4</v>
      </c>
      <c r="B7" s="230">
        <v>45904</v>
      </c>
      <c r="C7" s="71"/>
      <c r="D7" s="164"/>
      <c r="E7" s="69">
        <v>0</v>
      </c>
      <c r="F7" s="69">
        <v>0</v>
      </c>
      <c r="G7" s="8">
        <f t="shared" si="0"/>
        <v>0</v>
      </c>
      <c r="H7" s="69">
        <v>0</v>
      </c>
      <c r="I7" s="70">
        <v>0</v>
      </c>
      <c r="J7" s="8">
        <f t="shared" si="1"/>
        <v>0</v>
      </c>
      <c r="K7" s="8">
        <f t="shared" si="2"/>
        <v>0</v>
      </c>
      <c r="L7" s="72">
        <f t="shared" si="3"/>
        <v>0</v>
      </c>
      <c r="M7" s="72">
        <v>0</v>
      </c>
      <c r="N7" s="8"/>
    </row>
    <row r="8" spans="1:15">
      <c r="A8" s="48">
        <v>5</v>
      </c>
      <c r="B8" s="230">
        <v>45905</v>
      </c>
      <c r="C8" s="71"/>
      <c r="D8" s="164"/>
      <c r="E8" s="69">
        <v>0</v>
      </c>
      <c r="F8" s="69">
        <v>0</v>
      </c>
      <c r="G8" s="8">
        <f t="shared" si="0"/>
        <v>0</v>
      </c>
      <c r="H8" s="69">
        <v>14.74</v>
      </c>
      <c r="I8" s="70">
        <v>102.46</v>
      </c>
      <c r="J8" s="8">
        <f t="shared" si="1"/>
        <v>1510.2603999999999</v>
      </c>
      <c r="K8" s="8">
        <f t="shared" si="2"/>
        <v>1510.2603999999999</v>
      </c>
      <c r="L8" s="72">
        <f t="shared" si="3"/>
        <v>1510.2603999999999</v>
      </c>
      <c r="M8" s="72">
        <v>0</v>
      </c>
      <c r="N8" s="8"/>
      <c r="O8" s="73"/>
    </row>
    <row r="9" spans="1:15">
      <c r="A9" s="48">
        <v>6</v>
      </c>
      <c r="B9" s="230">
        <v>45906</v>
      </c>
      <c r="C9" s="71"/>
      <c r="D9" s="164"/>
      <c r="E9" s="69">
        <v>0</v>
      </c>
      <c r="F9" s="69">
        <v>0</v>
      </c>
      <c r="G9" s="8">
        <f t="shared" si="0"/>
        <v>0</v>
      </c>
      <c r="H9" s="69">
        <v>0</v>
      </c>
      <c r="I9" s="70">
        <v>0</v>
      </c>
      <c r="J9" s="8">
        <f t="shared" si="1"/>
        <v>0</v>
      </c>
      <c r="K9" s="8">
        <f t="shared" si="2"/>
        <v>0</v>
      </c>
      <c r="L9" s="72">
        <f t="shared" si="3"/>
        <v>0</v>
      </c>
      <c r="M9" s="72">
        <v>0</v>
      </c>
      <c r="N9" s="8"/>
      <c r="O9" s="73"/>
    </row>
    <row r="10" spans="1:15">
      <c r="A10" s="48">
        <v>7</v>
      </c>
      <c r="B10" s="230">
        <v>45907</v>
      </c>
      <c r="C10" s="71"/>
      <c r="D10" s="164"/>
      <c r="E10" s="69">
        <v>0</v>
      </c>
      <c r="F10" s="69">
        <v>0</v>
      </c>
      <c r="G10" s="8">
        <f t="shared" si="0"/>
        <v>0</v>
      </c>
      <c r="H10" s="69">
        <v>0</v>
      </c>
      <c r="I10" s="70">
        <v>0</v>
      </c>
      <c r="J10" s="8">
        <f t="shared" si="1"/>
        <v>0</v>
      </c>
      <c r="K10" s="8">
        <f t="shared" si="2"/>
        <v>0</v>
      </c>
      <c r="L10" s="72">
        <f t="shared" si="3"/>
        <v>0</v>
      </c>
      <c r="M10" s="72">
        <v>0</v>
      </c>
      <c r="N10" s="8"/>
      <c r="O10" s="73"/>
    </row>
    <row r="11" spans="1:15">
      <c r="A11" s="48">
        <v>8</v>
      </c>
      <c r="B11" s="230">
        <v>45908</v>
      </c>
      <c r="C11" s="71"/>
      <c r="D11" s="164"/>
      <c r="E11" s="69">
        <v>0</v>
      </c>
      <c r="F11" s="69">
        <v>0</v>
      </c>
      <c r="G11" s="8">
        <f t="shared" si="0"/>
        <v>0</v>
      </c>
      <c r="H11" s="69">
        <v>0</v>
      </c>
      <c r="I11" s="70">
        <v>0</v>
      </c>
      <c r="J11" s="8">
        <f t="shared" si="1"/>
        <v>0</v>
      </c>
      <c r="K11" s="8">
        <f t="shared" si="2"/>
        <v>0</v>
      </c>
      <c r="L11" s="72">
        <f t="shared" si="3"/>
        <v>0</v>
      </c>
      <c r="M11" s="72">
        <v>0</v>
      </c>
      <c r="N11" s="8"/>
      <c r="O11" s="73"/>
    </row>
    <row r="12" spans="1:15">
      <c r="A12" s="48">
        <v>9</v>
      </c>
      <c r="B12" s="230">
        <v>45909</v>
      </c>
      <c r="C12" s="71"/>
      <c r="D12" s="164"/>
      <c r="E12" s="69">
        <v>0</v>
      </c>
      <c r="F12" s="69">
        <v>0</v>
      </c>
      <c r="G12" s="8">
        <f t="shared" si="0"/>
        <v>0</v>
      </c>
      <c r="H12" s="69">
        <v>0</v>
      </c>
      <c r="I12" s="70">
        <v>0</v>
      </c>
      <c r="J12" s="8">
        <f t="shared" si="1"/>
        <v>0</v>
      </c>
      <c r="K12" s="8">
        <f t="shared" si="2"/>
        <v>0</v>
      </c>
      <c r="L12" s="72">
        <f t="shared" si="3"/>
        <v>0</v>
      </c>
      <c r="M12" s="72">
        <v>0</v>
      </c>
      <c r="N12" s="8"/>
      <c r="O12" s="73"/>
    </row>
    <row r="13" spans="1:15">
      <c r="A13" s="48">
        <v>10</v>
      </c>
      <c r="B13" s="230">
        <v>45910</v>
      </c>
      <c r="C13" s="71"/>
      <c r="D13" s="164"/>
      <c r="E13" s="69">
        <v>0</v>
      </c>
      <c r="F13" s="69">
        <v>0</v>
      </c>
      <c r="G13" s="8">
        <f t="shared" si="0"/>
        <v>0</v>
      </c>
      <c r="H13" s="69">
        <v>0</v>
      </c>
      <c r="I13" s="70">
        <v>0</v>
      </c>
      <c r="J13" s="8">
        <f t="shared" si="1"/>
        <v>0</v>
      </c>
      <c r="K13" s="8">
        <f t="shared" si="2"/>
        <v>0</v>
      </c>
      <c r="L13" s="72">
        <f t="shared" si="3"/>
        <v>0</v>
      </c>
      <c r="M13" s="72">
        <v>0</v>
      </c>
      <c r="N13" s="8"/>
      <c r="O13" s="73"/>
    </row>
    <row r="14" spans="1:15">
      <c r="A14" s="48">
        <v>11</v>
      </c>
      <c r="B14" s="230">
        <v>45911</v>
      </c>
      <c r="C14" s="71"/>
      <c r="D14" s="164"/>
      <c r="E14" s="69">
        <v>0</v>
      </c>
      <c r="F14" s="69">
        <v>0</v>
      </c>
      <c r="G14" s="8">
        <f t="shared" si="0"/>
        <v>0</v>
      </c>
      <c r="H14" s="69">
        <v>0</v>
      </c>
      <c r="I14" s="70">
        <v>0</v>
      </c>
      <c r="J14" s="8">
        <f t="shared" si="1"/>
        <v>0</v>
      </c>
      <c r="K14" s="8">
        <f t="shared" si="2"/>
        <v>0</v>
      </c>
      <c r="L14" s="72">
        <f t="shared" si="3"/>
        <v>0</v>
      </c>
      <c r="M14" s="72">
        <v>0</v>
      </c>
      <c r="N14" s="8"/>
      <c r="O14" s="73"/>
    </row>
    <row r="15" spans="1:15">
      <c r="A15" s="48">
        <v>12</v>
      </c>
      <c r="B15" s="230">
        <v>45912</v>
      </c>
      <c r="C15" s="71"/>
      <c r="D15" s="164"/>
      <c r="E15" s="69">
        <v>0</v>
      </c>
      <c r="F15" s="69">
        <v>0</v>
      </c>
      <c r="G15" s="8">
        <f t="shared" si="0"/>
        <v>0</v>
      </c>
      <c r="H15" s="69">
        <v>15.62</v>
      </c>
      <c r="I15" s="70">
        <v>102.46</v>
      </c>
      <c r="J15" s="8">
        <f t="shared" si="1"/>
        <v>1600.4251999999999</v>
      </c>
      <c r="K15" s="8">
        <f t="shared" si="2"/>
        <v>1600.4251999999999</v>
      </c>
      <c r="L15" s="72">
        <f t="shared" si="3"/>
        <v>1600.4251999999999</v>
      </c>
      <c r="M15" s="72">
        <v>0</v>
      </c>
      <c r="N15" s="8"/>
      <c r="O15" s="73"/>
    </row>
    <row r="16" spans="1:15">
      <c r="A16" s="48">
        <v>13</v>
      </c>
      <c r="B16" s="230">
        <v>45913</v>
      </c>
      <c r="C16" s="71"/>
      <c r="D16" s="164"/>
      <c r="E16" s="69">
        <v>0</v>
      </c>
      <c r="F16" s="69">
        <v>0</v>
      </c>
      <c r="G16" s="8">
        <f t="shared" si="0"/>
        <v>0</v>
      </c>
      <c r="H16" s="69">
        <v>0</v>
      </c>
      <c r="I16" s="70">
        <v>0</v>
      </c>
      <c r="J16" s="8">
        <f t="shared" si="1"/>
        <v>0</v>
      </c>
      <c r="K16" s="8">
        <f t="shared" si="2"/>
        <v>0</v>
      </c>
      <c r="L16" s="72">
        <f t="shared" si="3"/>
        <v>0</v>
      </c>
      <c r="M16" s="72">
        <v>0</v>
      </c>
      <c r="N16" s="8"/>
      <c r="O16" s="73"/>
    </row>
    <row r="17" spans="1:15">
      <c r="A17" s="48">
        <v>14</v>
      </c>
      <c r="B17" s="230">
        <v>45914</v>
      </c>
      <c r="C17" s="71"/>
      <c r="D17" s="164"/>
      <c r="E17" s="69">
        <v>0</v>
      </c>
      <c r="F17" s="69">
        <v>0</v>
      </c>
      <c r="G17" s="8">
        <f t="shared" si="0"/>
        <v>0</v>
      </c>
      <c r="H17" s="69">
        <v>0</v>
      </c>
      <c r="I17" s="70">
        <v>0</v>
      </c>
      <c r="J17" s="8">
        <f t="shared" si="1"/>
        <v>0</v>
      </c>
      <c r="K17" s="8">
        <f t="shared" si="2"/>
        <v>0</v>
      </c>
      <c r="L17" s="72">
        <f t="shared" si="3"/>
        <v>0</v>
      </c>
      <c r="M17" s="72">
        <v>0</v>
      </c>
      <c r="N17" s="8"/>
      <c r="O17" s="73"/>
    </row>
    <row r="18" spans="1:15">
      <c r="A18" s="48">
        <v>15</v>
      </c>
      <c r="B18" s="230">
        <v>45915</v>
      </c>
      <c r="C18" s="71"/>
      <c r="D18" s="164"/>
      <c r="E18" s="69">
        <v>0</v>
      </c>
      <c r="F18" s="69">
        <v>0</v>
      </c>
      <c r="G18" s="8">
        <f t="shared" si="0"/>
        <v>0</v>
      </c>
      <c r="H18" s="69">
        <v>0</v>
      </c>
      <c r="I18" s="70">
        <v>0</v>
      </c>
      <c r="J18" s="8">
        <f t="shared" si="1"/>
        <v>0</v>
      </c>
      <c r="K18" s="8">
        <f t="shared" si="2"/>
        <v>0</v>
      </c>
      <c r="L18" s="72">
        <f t="shared" si="3"/>
        <v>0</v>
      </c>
      <c r="M18" s="72">
        <v>0</v>
      </c>
      <c r="N18" s="8"/>
      <c r="O18" s="73"/>
    </row>
    <row r="19" spans="1:15">
      <c r="A19" s="48">
        <v>16</v>
      </c>
      <c r="B19" s="230">
        <v>45916</v>
      </c>
      <c r="C19" s="71"/>
      <c r="D19" s="164"/>
      <c r="E19" s="69">
        <v>0</v>
      </c>
      <c r="F19" s="69">
        <v>0</v>
      </c>
      <c r="G19" s="8">
        <f t="shared" si="0"/>
        <v>0</v>
      </c>
      <c r="H19" s="69">
        <v>0</v>
      </c>
      <c r="I19" s="70">
        <v>0</v>
      </c>
      <c r="J19" s="8">
        <f t="shared" si="1"/>
        <v>0</v>
      </c>
      <c r="K19" s="8">
        <f t="shared" si="2"/>
        <v>0</v>
      </c>
      <c r="L19" s="72">
        <f>+K19</f>
        <v>0</v>
      </c>
      <c r="M19" s="72">
        <v>0</v>
      </c>
      <c r="N19" s="8"/>
      <c r="O19" s="73"/>
    </row>
    <row r="20" spans="1:15">
      <c r="A20" s="48">
        <v>17</v>
      </c>
      <c r="B20" s="230">
        <v>45917</v>
      </c>
      <c r="C20" s="71"/>
      <c r="D20" s="164"/>
      <c r="E20" s="69">
        <v>0</v>
      </c>
      <c r="F20" s="69">
        <v>0</v>
      </c>
      <c r="G20" s="8">
        <f t="shared" si="0"/>
        <v>0</v>
      </c>
      <c r="H20" s="69">
        <v>0</v>
      </c>
      <c r="I20" s="70">
        <v>0</v>
      </c>
      <c r="J20" s="8">
        <f t="shared" si="1"/>
        <v>0</v>
      </c>
      <c r="K20" s="8">
        <f t="shared" si="2"/>
        <v>0</v>
      </c>
      <c r="L20" s="72">
        <f t="shared" si="3"/>
        <v>0</v>
      </c>
      <c r="M20" s="72">
        <v>0</v>
      </c>
      <c r="N20" s="8"/>
      <c r="O20" s="73"/>
    </row>
    <row r="21" spans="1:15">
      <c r="A21" s="48">
        <v>18</v>
      </c>
      <c r="B21" s="230">
        <v>45918</v>
      </c>
      <c r="C21" s="71"/>
      <c r="D21" s="164"/>
      <c r="E21" s="69">
        <v>0</v>
      </c>
      <c r="F21" s="69">
        <v>0</v>
      </c>
      <c r="G21" s="8">
        <f t="shared" si="0"/>
        <v>0</v>
      </c>
      <c r="H21" s="69">
        <v>9.76</v>
      </c>
      <c r="I21" s="70">
        <v>102.46</v>
      </c>
      <c r="J21" s="8">
        <f t="shared" si="1"/>
        <v>1000.0095999999999</v>
      </c>
      <c r="K21" s="8">
        <f t="shared" si="2"/>
        <v>1000.0095999999999</v>
      </c>
      <c r="L21" s="72">
        <f t="shared" si="3"/>
        <v>1000.0095999999999</v>
      </c>
      <c r="M21" s="72">
        <v>0</v>
      </c>
      <c r="N21" s="8"/>
      <c r="O21" s="73"/>
    </row>
    <row r="22" spans="1:15">
      <c r="A22" s="48">
        <v>19</v>
      </c>
      <c r="B22" s="230">
        <v>45919</v>
      </c>
      <c r="C22" s="71"/>
      <c r="D22" s="164"/>
      <c r="E22" s="69">
        <v>0</v>
      </c>
      <c r="F22" s="69">
        <v>0</v>
      </c>
      <c r="G22" s="8">
        <f t="shared" si="0"/>
        <v>0</v>
      </c>
      <c r="H22" s="69">
        <v>0</v>
      </c>
      <c r="I22" s="70">
        <v>0</v>
      </c>
      <c r="J22" s="8">
        <f t="shared" si="1"/>
        <v>0</v>
      </c>
      <c r="K22" s="8">
        <f t="shared" si="2"/>
        <v>0</v>
      </c>
      <c r="L22" s="72">
        <f t="shared" si="3"/>
        <v>0</v>
      </c>
      <c r="M22" s="72">
        <v>0</v>
      </c>
      <c r="N22" s="8"/>
      <c r="O22" s="73"/>
    </row>
    <row r="23" spans="1:15">
      <c r="A23" s="48">
        <v>20</v>
      </c>
      <c r="B23" s="230">
        <v>45920</v>
      </c>
      <c r="C23" s="71"/>
      <c r="D23" s="164"/>
      <c r="E23" s="69">
        <v>0</v>
      </c>
      <c r="F23" s="69">
        <v>0</v>
      </c>
      <c r="G23" s="8">
        <f t="shared" si="0"/>
        <v>0</v>
      </c>
      <c r="H23" s="69">
        <v>15.62</v>
      </c>
      <c r="I23" s="70">
        <v>102.46</v>
      </c>
      <c r="J23" s="8">
        <f t="shared" si="1"/>
        <v>1600.4251999999999</v>
      </c>
      <c r="K23" s="8">
        <f t="shared" si="2"/>
        <v>1600.4251999999999</v>
      </c>
      <c r="L23" s="72">
        <f t="shared" si="3"/>
        <v>1600.4251999999999</v>
      </c>
      <c r="M23" s="72">
        <v>0</v>
      </c>
      <c r="N23" s="8"/>
      <c r="O23" s="73"/>
    </row>
    <row r="24" spans="1:15">
      <c r="A24" s="48">
        <v>21</v>
      </c>
      <c r="B24" s="230">
        <v>45921</v>
      </c>
      <c r="C24" s="71"/>
      <c r="D24" s="164"/>
      <c r="E24" s="69">
        <v>0</v>
      </c>
      <c r="F24" s="69">
        <v>0</v>
      </c>
      <c r="G24" s="8">
        <f t="shared" si="0"/>
        <v>0</v>
      </c>
      <c r="H24" s="69">
        <v>0</v>
      </c>
      <c r="I24" s="70">
        <v>0</v>
      </c>
      <c r="J24" s="8">
        <f t="shared" si="1"/>
        <v>0</v>
      </c>
      <c r="K24" s="8">
        <f t="shared" si="2"/>
        <v>0</v>
      </c>
      <c r="L24" s="72">
        <f t="shared" si="3"/>
        <v>0</v>
      </c>
      <c r="M24" s="72">
        <v>0</v>
      </c>
      <c r="N24" s="8"/>
      <c r="O24" s="73"/>
    </row>
    <row r="25" spans="1:15">
      <c r="A25" s="48">
        <v>22</v>
      </c>
      <c r="B25" s="230">
        <v>45922</v>
      </c>
      <c r="C25" s="71"/>
      <c r="D25" s="164"/>
      <c r="E25" s="69">
        <v>0</v>
      </c>
      <c r="F25" s="69">
        <v>0</v>
      </c>
      <c r="G25" s="8">
        <f t="shared" si="0"/>
        <v>0</v>
      </c>
      <c r="H25" s="69">
        <v>0</v>
      </c>
      <c r="I25" s="70">
        <v>0</v>
      </c>
      <c r="J25" s="8">
        <f t="shared" si="1"/>
        <v>0</v>
      </c>
      <c r="K25" s="8">
        <f t="shared" si="2"/>
        <v>0</v>
      </c>
      <c r="L25" s="72">
        <f t="shared" si="3"/>
        <v>0</v>
      </c>
      <c r="M25" s="72">
        <v>0</v>
      </c>
      <c r="N25" s="8"/>
      <c r="O25" s="73"/>
    </row>
    <row r="26" spans="1:15">
      <c r="A26" s="48">
        <v>23</v>
      </c>
      <c r="B26" s="230">
        <v>45923</v>
      </c>
      <c r="C26" s="71"/>
      <c r="D26" s="164"/>
      <c r="E26" s="69">
        <v>0</v>
      </c>
      <c r="F26" s="69">
        <v>0</v>
      </c>
      <c r="G26" s="8">
        <f t="shared" si="0"/>
        <v>0</v>
      </c>
      <c r="H26" s="69">
        <v>0</v>
      </c>
      <c r="I26" s="70">
        <v>0</v>
      </c>
      <c r="J26" s="8">
        <f t="shared" si="1"/>
        <v>0</v>
      </c>
      <c r="K26" s="8">
        <f t="shared" si="2"/>
        <v>0</v>
      </c>
      <c r="L26" s="72">
        <f t="shared" si="3"/>
        <v>0</v>
      </c>
      <c r="M26" s="72">
        <v>0</v>
      </c>
      <c r="N26" s="8"/>
      <c r="O26" s="73"/>
    </row>
    <row r="27" spans="1:15">
      <c r="A27" s="48">
        <v>24</v>
      </c>
      <c r="B27" s="230">
        <v>45924</v>
      </c>
      <c r="C27" s="71"/>
      <c r="D27" s="164"/>
      <c r="E27" s="69">
        <v>0</v>
      </c>
      <c r="F27" s="69">
        <v>0</v>
      </c>
      <c r="G27" s="8">
        <f t="shared" si="0"/>
        <v>0</v>
      </c>
      <c r="H27" s="69">
        <v>0</v>
      </c>
      <c r="I27" s="70">
        <v>0</v>
      </c>
      <c r="J27" s="8">
        <f t="shared" si="1"/>
        <v>0</v>
      </c>
      <c r="K27" s="8">
        <f t="shared" si="2"/>
        <v>0</v>
      </c>
      <c r="L27" s="72">
        <f t="shared" si="3"/>
        <v>0</v>
      </c>
      <c r="M27" s="72">
        <v>0</v>
      </c>
      <c r="N27" s="8"/>
      <c r="O27" s="73"/>
    </row>
    <row r="28" spans="1:15">
      <c r="A28" s="232">
        <v>25</v>
      </c>
      <c r="B28" s="230">
        <v>45925</v>
      </c>
      <c r="C28" s="71"/>
      <c r="D28" s="164"/>
      <c r="E28" s="69">
        <v>0</v>
      </c>
      <c r="F28" s="69">
        <v>0</v>
      </c>
      <c r="G28" s="8">
        <f t="shared" si="0"/>
        <v>0</v>
      </c>
      <c r="H28" s="69">
        <v>0</v>
      </c>
      <c r="I28" s="70">
        <v>0</v>
      </c>
      <c r="J28" s="8">
        <f t="shared" si="1"/>
        <v>0</v>
      </c>
      <c r="K28" s="8">
        <f t="shared" si="2"/>
        <v>0</v>
      </c>
      <c r="L28" s="72">
        <f t="shared" si="3"/>
        <v>0</v>
      </c>
      <c r="M28" s="72">
        <v>0</v>
      </c>
      <c r="N28" s="8"/>
      <c r="O28" s="73"/>
    </row>
    <row r="29" spans="1:15">
      <c r="A29" s="232">
        <v>26</v>
      </c>
      <c r="B29" s="230">
        <v>45926</v>
      </c>
      <c r="C29" s="71"/>
      <c r="D29" s="164"/>
      <c r="E29" s="69">
        <v>0</v>
      </c>
      <c r="F29" s="69">
        <v>0</v>
      </c>
      <c r="G29" s="8">
        <f t="shared" si="0"/>
        <v>0</v>
      </c>
      <c r="H29" s="69">
        <v>0</v>
      </c>
      <c r="I29" s="70">
        <v>0</v>
      </c>
      <c r="J29" s="8">
        <f t="shared" si="1"/>
        <v>0</v>
      </c>
      <c r="K29" s="8">
        <f t="shared" si="2"/>
        <v>0</v>
      </c>
      <c r="L29" s="72">
        <f t="shared" si="3"/>
        <v>0</v>
      </c>
      <c r="M29" s="72">
        <v>0</v>
      </c>
      <c r="N29" s="8"/>
      <c r="O29" s="73"/>
    </row>
    <row r="30" spans="1:15">
      <c r="A30" s="232">
        <v>27</v>
      </c>
      <c r="B30" s="230">
        <v>45927</v>
      </c>
      <c r="C30" s="71"/>
      <c r="D30" s="164"/>
      <c r="E30" s="69">
        <v>0</v>
      </c>
      <c r="F30" s="69">
        <v>0</v>
      </c>
      <c r="G30" s="8">
        <f t="shared" si="0"/>
        <v>0</v>
      </c>
      <c r="H30" s="69">
        <v>9.76</v>
      </c>
      <c r="I30" s="70">
        <v>102.46</v>
      </c>
      <c r="J30" s="8">
        <f t="shared" si="1"/>
        <v>1000.0095999999999</v>
      </c>
      <c r="K30" s="8">
        <f t="shared" si="2"/>
        <v>1000.0095999999999</v>
      </c>
      <c r="L30" s="72">
        <f t="shared" si="3"/>
        <v>1000.0095999999999</v>
      </c>
      <c r="M30" s="72">
        <v>0</v>
      </c>
      <c r="N30" s="8"/>
      <c r="O30" s="73"/>
    </row>
    <row r="31" spans="1:15">
      <c r="A31" s="232">
        <v>28</v>
      </c>
      <c r="B31" s="230">
        <v>45928</v>
      </c>
      <c r="C31" s="71"/>
      <c r="D31" s="164"/>
      <c r="E31" s="69">
        <v>0</v>
      </c>
      <c r="F31" s="69">
        <v>0</v>
      </c>
      <c r="G31" s="8">
        <f t="shared" si="0"/>
        <v>0</v>
      </c>
      <c r="H31" s="69">
        <v>0</v>
      </c>
      <c r="I31" s="70">
        <v>102.46</v>
      </c>
      <c r="J31" s="8">
        <f t="shared" si="1"/>
        <v>0</v>
      </c>
      <c r="K31" s="8">
        <f t="shared" si="2"/>
        <v>0</v>
      </c>
      <c r="L31" s="72">
        <f t="shared" si="3"/>
        <v>0</v>
      </c>
      <c r="M31" s="72">
        <v>0</v>
      </c>
      <c r="N31" s="8"/>
      <c r="O31" s="73"/>
    </row>
    <row r="32" spans="1:15">
      <c r="A32" s="233">
        <v>29</v>
      </c>
      <c r="B32" s="230">
        <v>45929</v>
      </c>
      <c r="C32" s="71"/>
      <c r="D32" s="164"/>
      <c r="E32" s="69">
        <v>0</v>
      </c>
      <c r="F32" s="69">
        <v>0</v>
      </c>
      <c r="G32" s="8">
        <f t="shared" si="0"/>
        <v>0</v>
      </c>
      <c r="H32" s="69">
        <v>5.78</v>
      </c>
      <c r="I32" s="70">
        <v>102.46</v>
      </c>
      <c r="J32" s="8">
        <f t="shared" si="1"/>
        <v>592.21879999999999</v>
      </c>
      <c r="K32" s="8">
        <f t="shared" si="2"/>
        <v>592.21879999999999</v>
      </c>
      <c r="L32" s="72">
        <f t="shared" si="3"/>
        <v>592.21879999999999</v>
      </c>
      <c r="M32" s="72">
        <v>0</v>
      </c>
      <c r="N32" s="8"/>
      <c r="O32" s="73"/>
    </row>
    <row r="33" spans="1:15">
      <c r="A33" s="233">
        <v>30</v>
      </c>
      <c r="B33" s="230">
        <v>45930</v>
      </c>
      <c r="C33" s="71"/>
      <c r="D33" s="164"/>
      <c r="E33" s="69">
        <v>0</v>
      </c>
      <c r="F33" s="69">
        <v>0</v>
      </c>
      <c r="G33" s="8">
        <f t="shared" si="0"/>
        <v>0</v>
      </c>
      <c r="H33" s="69">
        <v>0</v>
      </c>
      <c r="I33" s="70">
        <v>0</v>
      </c>
      <c r="J33" s="8">
        <f t="shared" si="1"/>
        <v>0</v>
      </c>
      <c r="K33" s="8">
        <f t="shared" si="2"/>
        <v>0</v>
      </c>
      <c r="L33" s="72">
        <f t="shared" si="3"/>
        <v>0</v>
      </c>
      <c r="M33" s="72">
        <v>0</v>
      </c>
      <c r="N33" s="8"/>
      <c r="O33" s="73"/>
    </row>
    <row r="34" spans="1:15">
      <c r="A34" s="233">
        <v>31</v>
      </c>
      <c r="B34" s="230"/>
      <c r="C34" s="71"/>
      <c r="D34" s="164"/>
      <c r="E34" s="69">
        <v>0</v>
      </c>
      <c r="F34" s="69">
        <v>0</v>
      </c>
      <c r="G34" s="8">
        <f t="shared" si="0"/>
        <v>0</v>
      </c>
      <c r="H34" s="69">
        <v>0</v>
      </c>
      <c r="I34" s="70">
        <v>0</v>
      </c>
      <c r="J34" s="8">
        <f t="shared" si="1"/>
        <v>0</v>
      </c>
      <c r="K34" s="8">
        <f t="shared" ref="K5:K34" si="4">G34+J34</f>
        <v>0</v>
      </c>
      <c r="L34" s="72">
        <f t="shared" ref="L5:L34" si="5">+K34</f>
        <v>0</v>
      </c>
      <c r="M34" s="72">
        <v>0</v>
      </c>
      <c r="N34" s="8"/>
      <c r="O34" s="73"/>
    </row>
    <row r="35" spans="1:15">
      <c r="A35" s="66"/>
      <c r="B35" s="66"/>
      <c r="C35" s="66"/>
      <c r="D35" s="66"/>
      <c r="E35" s="67">
        <f>SUM(E4:E34)</f>
        <v>0</v>
      </c>
      <c r="F35" s="67"/>
      <c r="G35" s="67">
        <f>SUM(G4:G34)</f>
        <v>0</v>
      </c>
      <c r="H35" s="67">
        <f>SUM(H4:H34)</f>
        <v>71.28</v>
      </c>
      <c r="I35" s="67"/>
      <c r="J35" s="67">
        <f>SUM(J4:J34)</f>
        <v>7303.3487999999988</v>
      </c>
      <c r="K35" s="67">
        <f>SUM(K4:K34)</f>
        <v>7303.3487999999988</v>
      </c>
      <c r="L35" s="67">
        <f>SUM(L4:L34)</f>
        <v>7303.3487999999988</v>
      </c>
      <c r="M35" s="67"/>
      <c r="N35" s="67"/>
      <c r="O35" s="63"/>
    </row>
    <row r="36" spans="1:15">
      <c r="A36" s="76"/>
      <c r="B36" s="77"/>
      <c r="C36" s="76"/>
      <c r="D36" s="76"/>
      <c r="E36" s="78"/>
      <c r="F36" s="78"/>
      <c r="G36" s="78"/>
      <c r="H36" s="78"/>
      <c r="I36" s="78"/>
      <c r="J36" s="79"/>
      <c r="K36" s="79"/>
      <c r="L36" s="79"/>
      <c r="M36" s="79"/>
      <c r="N36" s="78"/>
      <c r="O36" s="73"/>
    </row>
    <row r="37" spans="1:15">
      <c r="O37" s="73"/>
    </row>
    <row r="38" spans="1:15">
      <c r="O38" s="73"/>
    </row>
    <row r="39" spans="1:15">
      <c r="O39" s="73"/>
    </row>
    <row r="40" spans="1:15">
      <c r="O40" s="73"/>
    </row>
    <row r="41" spans="1:15">
      <c r="O41" s="73"/>
    </row>
    <row r="42" spans="1:15">
      <c r="A42" s="73"/>
      <c r="B42" s="63"/>
      <c r="C42" s="73"/>
      <c r="D42" s="73"/>
      <c r="E42" s="73"/>
      <c r="F42" s="73"/>
      <c r="G42" s="80"/>
      <c r="H42" s="73"/>
      <c r="I42" s="73"/>
      <c r="J42" s="63"/>
      <c r="K42" s="63"/>
      <c r="L42" s="63"/>
      <c r="M42" s="63"/>
      <c r="N42" s="73"/>
      <c r="O42" s="78"/>
    </row>
    <row r="43" spans="1:15">
      <c r="A43" s="73"/>
      <c r="B43" s="402"/>
      <c r="C43" s="402"/>
      <c r="D43" s="402"/>
      <c r="E43" s="402"/>
      <c r="F43" s="73"/>
      <c r="G43" s="73"/>
      <c r="H43" s="73"/>
      <c r="I43" s="402"/>
      <c r="J43" s="402"/>
      <c r="K43" s="402"/>
      <c r="L43" s="402"/>
      <c r="M43" s="402"/>
      <c r="N43" s="402"/>
      <c r="O43" s="78"/>
    </row>
    <row r="44" spans="1:15">
      <c r="A44" s="73"/>
      <c r="B44" s="63"/>
      <c r="C44" s="73"/>
      <c r="D44" s="73"/>
      <c r="E44" s="73"/>
      <c r="F44" s="73"/>
      <c r="G44" s="73"/>
      <c r="H44" s="73"/>
      <c r="I44" s="73"/>
      <c r="J44" s="63"/>
      <c r="K44" s="63"/>
      <c r="L44" s="63"/>
      <c r="M44" s="63"/>
      <c r="N44" s="73"/>
      <c r="O44" s="78"/>
    </row>
  </sheetData>
  <mergeCells count="4">
    <mergeCell ref="B43:E43"/>
    <mergeCell ref="I43:N43"/>
    <mergeCell ref="A1:N1"/>
    <mergeCell ref="A3:L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D2F7-6414-430C-BFEC-3C7DCD1314CE}">
  <dimension ref="A1:V45"/>
  <sheetViews>
    <sheetView workbookViewId="0">
      <pane ySplit="2" topLeftCell="B14" activePane="bottomLeft" state="frozen"/>
      <selection pane="bottomLeft" activeCell="Q25" sqref="Q25"/>
    </sheetView>
  </sheetViews>
  <sheetFormatPr defaultRowHeight="15"/>
  <cols>
    <col min="1" max="1" width="5.28515625" bestFit="1" customWidth="1"/>
    <col min="2" max="2" width="11.5703125" bestFit="1" customWidth="1"/>
    <col min="3" max="3" width="8.140625" bestFit="1" customWidth="1"/>
    <col min="4" max="4" width="16" bestFit="1" customWidth="1"/>
    <col min="5" max="5" width="10.85546875" bestFit="1" customWidth="1"/>
    <col min="6" max="6" width="14.42578125" customWidth="1"/>
    <col min="7" max="7" width="11.85546875" bestFit="1" customWidth="1"/>
    <col min="8" max="8" width="10.85546875" bestFit="1" customWidth="1"/>
    <col min="9" max="9" width="7.140625" bestFit="1" customWidth="1"/>
    <col min="10" max="10" width="10.85546875" bestFit="1" customWidth="1"/>
    <col min="11" max="11" width="13.85546875" bestFit="1" customWidth="1"/>
    <col min="12" max="12" width="13.5703125" bestFit="1" customWidth="1"/>
    <col min="13" max="13" width="12.7109375" customWidth="1"/>
    <col min="14" max="14" width="17.7109375" bestFit="1" customWidth="1"/>
    <col min="16" max="16" width="12" bestFit="1" customWidth="1"/>
    <col min="19" max="19" width="12" bestFit="1" customWidth="1"/>
  </cols>
  <sheetData>
    <row r="1" spans="1:15">
      <c r="A1" s="429" t="s">
        <v>36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29"/>
      <c r="O1" s="86"/>
    </row>
    <row r="2" spans="1:15">
      <c r="A2" s="128" t="s">
        <v>90</v>
      </c>
      <c r="B2" s="129" t="s">
        <v>91</v>
      </c>
      <c r="C2" s="129" t="s">
        <v>92</v>
      </c>
      <c r="D2" s="129" t="s">
        <v>93</v>
      </c>
      <c r="E2" s="129" t="s">
        <v>94</v>
      </c>
      <c r="F2" s="129" t="s">
        <v>95</v>
      </c>
      <c r="G2" s="129" t="s">
        <v>96</v>
      </c>
      <c r="H2" s="129" t="s">
        <v>97</v>
      </c>
      <c r="I2" s="129" t="s">
        <v>95</v>
      </c>
      <c r="J2" s="130" t="s">
        <v>96</v>
      </c>
      <c r="K2" s="128" t="s">
        <v>98</v>
      </c>
      <c r="L2" s="131" t="s">
        <v>99</v>
      </c>
      <c r="M2" s="131" t="s">
        <v>106</v>
      </c>
      <c r="N2" s="129" t="s">
        <v>101</v>
      </c>
      <c r="O2" s="63"/>
    </row>
    <row r="3" spans="1:15">
      <c r="A3" s="396" t="s">
        <v>102</v>
      </c>
      <c r="B3" s="400"/>
      <c r="C3" s="400"/>
      <c r="D3" s="400"/>
      <c r="E3" s="400"/>
      <c r="F3" s="400"/>
      <c r="G3" s="400"/>
      <c r="H3" s="400"/>
      <c r="I3" s="400"/>
      <c r="J3" s="401"/>
      <c r="K3" s="100">
        <v>191809.51679999995</v>
      </c>
      <c r="L3" s="42"/>
      <c r="M3" s="42">
        <f>+K3</f>
        <v>191809.51679999995</v>
      </c>
      <c r="N3" s="17"/>
      <c r="O3" s="63">
        <v>46138.763999999966</v>
      </c>
    </row>
    <row r="4" spans="1:15">
      <c r="A4" s="26">
        <v>1</v>
      </c>
      <c r="B4" s="27">
        <v>45901</v>
      </c>
      <c r="C4" s="132"/>
      <c r="D4" s="133"/>
      <c r="E4" s="97">
        <v>500</v>
      </c>
      <c r="F4" s="97">
        <v>92.26</v>
      </c>
      <c r="G4" s="19">
        <f>E4*F4</f>
        <v>46130</v>
      </c>
      <c r="H4" s="97">
        <v>0</v>
      </c>
      <c r="I4" s="97"/>
      <c r="J4" s="19">
        <f>H4*I4</f>
        <v>0</v>
      </c>
      <c r="K4" s="19">
        <f>G4+J4</f>
        <v>46130</v>
      </c>
      <c r="L4" s="134">
        <v>191809.52</v>
      </c>
      <c r="M4" s="134">
        <f>M3+K4-L4</f>
        <v>46129.996799999964</v>
      </c>
      <c r="N4" s="46"/>
    </row>
    <row r="5" spans="1:15">
      <c r="A5" s="26">
        <v>2</v>
      </c>
      <c r="B5" s="27">
        <v>45902</v>
      </c>
      <c r="C5" s="132"/>
      <c r="D5" s="133"/>
      <c r="E5" s="97">
        <v>0</v>
      </c>
      <c r="F5" s="97">
        <v>0</v>
      </c>
      <c r="G5" s="19">
        <f t="shared" ref="G5:G35" si="0">E5*F5</f>
        <v>0</v>
      </c>
      <c r="H5" s="97">
        <v>0</v>
      </c>
      <c r="I5" s="97"/>
      <c r="J5" s="19">
        <f t="shared" ref="J5:J35" si="1">H5*I5</f>
        <v>0</v>
      </c>
      <c r="K5" s="19">
        <f t="shared" ref="K5:K35" si="2">G5+J5</f>
        <v>0</v>
      </c>
      <c r="L5" s="134">
        <v>0</v>
      </c>
      <c r="M5" s="134">
        <f>M4+K5-L5</f>
        <v>46129.996799999964</v>
      </c>
      <c r="N5" s="46"/>
    </row>
    <row r="6" spans="1:15">
      <c r="A6" s="26">
        <v>3</v>
      </c>
      <c r="B6" s="27">
        <v>45903</v>
      </c>
      <c r="C6" s="132"/>
      <c r="D6" s="133"/>
      <c r="E6" s="97">
        <v>0</v>
      </c>
      <c r="F6" s="97">
        <v>0</v>
      </c>
      <c r="G6" s="19">
        <f t="shared" si="0"/>
        <v>0</v>
      </c>
      <c r="H6" s="97">
        <v>0</v>
      </c>
      <c r="I6" s="97"/>
      <c r="J6" s="19">
        <f t="shared" si="1"/>
        <v>0</v>
      </c>
      <c r="K6" s="19">
        <f t="shared" si="2"/>
        <v>0</v>
      </c>
      <c r="L6" s="134">
        <v>0</v>
      </c>
      <c r="M6" s="134">
        <f>M5+K6-L6</f>
        <v>46129.996799999964</v>
      </c>
      <c r="N6" s="46"/>
    </row>
    <row r="7" spans="1:15">
      <c r="A7" s="26">
        <v>4</v>
      </c>
      <c r="B7" s="27">
        <v>45904</v>
      </c>
      <c r="C7" s="132"/>
      <c r="D7" s="133"/>
      <c r="E7" s="97">
        <v>0</v>
      </c>
      <c r="F7" s="97">
        <v>0</v>
      </c>
      <c r="G7" s="19">
        <f t="shared" si="0"/>
        <v>0</v>
      </c>
      <c r="H7" s="97">
        <v>0</v>
      </c>
      <c r="I7" s="97"/>
      <c r="J7" s="19">
        <f t="shared" si="1"/>
        <v>0</v>
      </c>
      <c r="K7" s="19">
        <f t="shared" si="2"/>
        <v>0</v>
      </c>
      <c r="L7" s="134">
        <v>0</v>
      </c>
      <c r="M7" s="134">
        <f>M6+K7-L7</f>
        <v>46129.996799999964</v>
      </c>
      <c r="N7" s="46"/>
    </row>
    <row r="8" spans="1:15">
      <c r="A8" s="26">
        <v>5</v>
      </c>
      <c r="B8" s="27">
        <v>45905</v>
      </c>
      <c r="C8" s="132"/>
      <c r="D8" s="133"/>
      <c r="E8" s="97">
        <v>500</v>
      </c>
      <c r="F8" s="97">
        <v>92.26</v>
      </c>
      <c r="G8" s="19">
        <f t="shared" si="0"/>
        <v>46130</v>
      </c>
      <c r="H8" s="97">
        <v>35</v>
      </c>
      <c r="I8" s="97">
        <v>104.13</v>
      </c>
      <c r="J8" s="19">
        <f t="shared" si="1"/>
        <v>3644.5499999999997</v>
      </c>
      <c r="K8" s="19">
        <f t="shared" si="2"/>
        <v>49774.55</v>
      </c>
      <c r="L8" s="134">
        <v>30000</v>
      </c>
      <c r="M8" s="134">
        <f t="shared" ref="M8:M34" si="3">M7+K8-L8</f>
        <v>65904.546799999967</v>
      </c>
      <c r="N8" s="46"/>
      <c r="O8" s="73"/>
    </row>
    <row r="9" spans="1:15">
      <c r="A9" s="26">
        <v>6</v>
      </c>
      <c r="B9" s="27">
        <v>45906</v>
      </c>
      <c r="C9" s="132"/>
      <c r="D9" s="133"/>
      <c r="E9" s="97">
        <v>433.56</v>
      </c>
      <c r="F9" s="97">
        <v>92.26</v>
      </c>
      <c r="G9" s="19">
        <f t="shared" si="0"/>
        <v>40000.245600000002</v>
      </c>
      <c r="H9" s="97">
        <v>0</v>
      </c>
      <c r="I9" s="97"/>
      <c r="J9" s="19">
        <f t="shared" si="1"/>
        <v>0</v>
      </c>
      <c r="K9" s="19">
        <f t="shared" si="2"/>
        <v>40000.245600000002</v>
      </c>
      <c r="L9" s="134">
        <v>40000</v>
      </c>
      <c r="M9" s="134">
        <f t="shared" si="3"/>
        <v>65904.792399999977</v>
      </c>
      <c r="N9" s="46"/>
      <c r="O9" s="73"/>
    </row>
    <row r="10" spans="1:15">
      <c r="A10" s="26">
        <v>7</v>
      </c>
      <c r="B10" s="27">
        <v>45907</v>
      </c>
      <c r="C10" s="132"/>
      <c r="D10" s="133"/>
      <c r="E10" s="97">
        <v>0</v>
      </c>
      <c r="F10" s="97">
        <v>0</v>
      </c>
      <c r="G10" s="19">
        <f t="shared" si="0"/>
        <v>0</v>
      </c>
      <c r="H10" s="97">
        <v>0</v>
      </c>
      <c r="I10" s="97"/>
      <c r="J10" s="19">
        <f t="shared" si="1"/>
        <v>0</v>
      </c>
      <c r="K10" s="19">
        <f t="shared" si="2"/>
        <v>0</v>
      </c>
      <c r="L10" s="134">
        <v>0</v>
      </c>
      <c r="M10" s="134">
        <f t="shared" si="3"/>
        <v>65904.792399999977</v>
      </c>
      <c r="N10" s="46"/>
      <c r="O10" s="73"/>
    </row>
    <row r="11" spans="1:15">
      <c r="A11" s="26">
        <v>8</v>
      </c>
      <c r="B11" s="27">
        <v>45908</v>
      </c>
      <c r="C11" s="132"/>
      <c r="D11" s="133"/>
      <c r="E11" s="97">
        <v>0</v>
      </c>
      <c r="F11" s="97">
        <v>0</v>
      </c>
      <c r="G11" s="19">
        <f t="shared" si="0"/>
        <v>0</v>
      </c>
      <c r="H11" s="97">
        <v>0</v>
      </c>
      <c r="I11" s="97"/>
      <c r="J11" s="19">
        <f t="shared" si="1"/>
        <v>0</v>
      </c>
      <c r="K11" s="19">
        <f t="shared" si="2"/>
        <v>0</v>
      </c>
      <c r="L11" s="134">
        <v>0</v>
      </c>
      <c r="M11" s="134">
        <f t="shared" si="3"/>
        <v>65904.792399999977</v>
      </c>
      <c r="N11" s="46"/>
      <c r="O11" s="73"/>
    </row>
    <row r="12" spans="1:15">
      <c r="A12" s="26">
        <v>9</v>
      </c>
      <c r="B12" s="27">
        <v>45909</v>
      </c>
      <c r="C12" s="132"/>
      <c r="D12" s="133"/>
      <c r="E12" s="97">
        <v>500</v>
      </c>
      <c r="F12" s="97">
        <v>92.26</v>
      </c>
      <c r="G12" s="19">
        <f t="shared" si="0"/>
        <v>46130</v>
      </c>
      <c r="H12" s="97">
        <v>35</v>
      </c>
      <c r="I12" s="97">
        <v>104.13</v>
      </c>
      <c r="J12" s="19">
        <f t="shared" si="1"/>
        <v>3644.5499999999997</v>
      </c>
      <c r="K12" s="19">
        <f t="shared" si="2"/>
        <v>49774.55</v>
      </c>
      <c r="L12" s="134">
        <v>65904</v>
      </c>
      <c r="M12" s="134">
        <f t="shared" si="3"/>
        <v>49775.34239999998</v>
      </c>
      <c r="N12" s="46"/>
      <c r="O12" s="73"/>
    </row>
    <row r="13" spans="1:15">
      <c r="A13" s="26">
        <v>10</v>
      </c>
      <c r="B13" s="27">
        <v>45910</v>
      </c>
      <c r="C13" s="132"/>
      <c r="D13" s="133"/>
      <c r="E13" s="97">
        <v>500</v>
      </c>
      <c r="F13" s="97">
        <v>92.26</v>
      </c>
      <c r="G13" s="19">
        <f t="shared" si="0"/>
        <v>46130</v>
      </c>
      <c r="H13" s="97">
        <v>0</v>
      </c>
      <c r="I13" s="97"/>
      <c r="J13" s="19">
        <f t="shared" si="1"/>
        <v>0</v>
      </c>
      <c r="K13" s="19">
        <f t="shared" si="2"/>
        <v>46130</v>
      </c>
      <c r="L13" s="134">
        <v>49774.55</v>
      </c>
      <c r="M13" s="134">
        <f t="shared" si="3"/>
        <v>46130.792399999977</v>
      </c>
      <c r="N13" s="46"/>
      <c r="O13" s="73"/>
    </row>
    <row r="14" spans="1:15">
      <c r="A14" s="26">
        <v>11</v>
      </c>
      <c r="B14" s="27">
        <v>45911</v>
      </c>
      <c r="C14" s="132"/>
      <c r="D14" s="133"/>
      <c r="E14" s="97">
        <v>500</v>
      </c>
      <c r="F14" s="97">
        <v>92.26</v>
      </c>
      <c r="G14" s="19">
        <f t="shared" si="0"/>
        <v>46130</v>
      </c>
      <c r="H14" s="97">
        <v>0</v>
      </c>
      <c r="I14" s="97"/>
      <c r="J14" s="19">
        <f t="shared" si="1"/>
        <v>0</v>
      </c>
      <c r="K14" s="19">
        <f t="shared" si="2"/>
        <v>46130</v>
      </c>
      <c r="L14" s="134">
        <v>46130</v>
      </c>
      <c r="M14" s="134">
        <f t="shared" si="3"/>
        <v>46130.792399999977</v>
      </c>
      <c r="N14" s="46"/>
      <c r="O14" s="73"/>
    </row>
    <row r="15" spans="1:15">
      <c r="A15" s="26">
        <v>12</v>
      </c>
      <c r="B15" s="27">
        <v>45912</v>
      </c>
      <c r="C15" s="132"/>
      <c r="D15" s="133"/>
      <c r="E15" s="97">
        <v>433.98</v>
      </c>
      <c r="F15" s="97">
        <v>92.17</v>
      </c>
      <c r="G15" s="19">
        <f t="shared" si="0"/>
        <v>39999.936600000001</v>
      </c>
      <c r="H15" s="97">
        <v>0</v>
      </c>
      <c r="I15" s="97"/>
      <c r="J15" s="19">
        <f t="shared" si="1"/>
        <v>0</v>
      </c>
      <c r="K15" s="19">
        <f t="shared" si="2"/>
        <v>39999.936600000001</v>
      </c>
      <c r="L15" s="134">
        <v>39999.94</v>
      </c>
      <c r="M15" s="134">
        <f t="shared" si="3"/>
        <v>46130.788999999975</v>
      </c>
      <c r="N15" s="46"/>
      <c r="O15" s="73"/>
    </row>
    <row r="16" spans="1:15">
      <c r="A16" s="26">
        <v>13</v>
      </c>
      <c r="B16" s="27">
        <v>45913</v>
      </c>
      <c r="C16" s="132"/>
      <c r="D16" s="133"/>
      <c r="E16" s="97">
        <v>433.98</v>
      </c>
      <c r="F16" s="97">
        <v>92.17</v>
      </c>
      <c r="G16" s="19">
        <f t="shared" si="0"/>
        <v>39999.936600000001</v>
      </c>
      <c r="H16" s="97">
        <v>0</v>
      </c>
      <c r="I16" s="97"/>
      <c r="J16" s="19">
        <f t="shared" si="1"/>
        <v>0</v>
      </c>
      <c r="K16" s="19">
        <f t="shared" si="2"/>
        <v>39999.936600000001</v>
      </c>
      <c r="L16" s="134">
        <v>39999.94</v>
      </c>
      <c r="M16" s="134">
        <f t="shared" si="3"/>
        <v>46130.785599999974</v>
      </c>
      <c r="N16" s="46"/>
      <c r="O16" s="73"/>
    </row>
    <row r="17" spans="1:22">
      <c r="A17" s="26">
        <v>14</v>
      </c>
      <c r="B17" s="27">
        <v>45914</v>
      </c>
      <c r="C17" s="132"/>
      <c r="D17" s="133"/>
      <c r="E17" s="97">
        <v>0</v>
      </c>
      <c r="F17" s="97">
        <v>0</v>
      </c>
      <c r="G17" s="19">
        <f t="shared" si="0"/>
        <v>0</v>
      </c>
      <c r="H17" s="97">
        <v>0</v>
      </c>
      <c r="I17" s="97"/>
      <c r="J17" s="19">
        <f t="shared" si="1"/>
        <v>0</v>
      </c>
      <c r="K17" s="19">
        <f t="shared" si="2"/>
        <v>0</v>
      </c>
      <c r="L17" s="134">
        <v>0</v>
      </c>
      <c r="M17" s="134">
        <f t="shared" si="3"/>
        <v>46130.785599999974</v>
      </c>
      <c r="N17" s="46"/>
      <c r="O17" s="73"/>
    </row>
    <row r="18" spans="1:22">
      <c r="A18" s="26">
        <v>15</v>
      </c>
      <c r="B18" s="27">
        <v>45915</v>
      </c>
      <c r="C18" s="132"/>
      <c r="D18" s="133"/>
      <c r="E18" s="97">
        <v>500</v>
      </c>
      <c r="F18" s="97">
        <v>92.17</v>
      </c>
      <c r="G18" s="19">
        <f t="shared" si="0"/>
        <v>46085</v>
      </c>
      <c r="H18" s="97">
        <v>35</v>
      </c>
      <c r="I18" s="97">
        <v>104.13</v>
      </c>
      <c r="J18" s="19">
        <f t="shared" si="1"/>
        <v>3644.5499999999997</v>
      </c>
      <c r="K18" s="19">
        <f t="shared" si="2"/>
        <v>49729.55</v>
      </c>
      <c r="L18" s="134">
        <v>46130.79</v>
      </c>
      <c r="M18" s="134">
        <f t="shared" si="3"/>
        <v>49729.545599999976</v>
      </c>
      <c r="N18" s="46"/>
      <c r="O18" s="73"/>
    </row>
    <row r="19" spans="1:22">
      <c r="A19" s="26">
        <v>16</v>
      </c>
      <c r="B19" s="27">
        <v>45916</v>
      </c>
      <c r="C19" s="132"/>
      <c r="D19" s="133"/>
      <c r="E19" s="97">
        <v>500</v>
      </c>
      <c r="F19" s="97">
        <v>92.17</v>
      </c>
      <c r="G19" s="19">
        <f t="shared" si="0"/>
        <v>46085</v>
      </c>
      <c r="H19" s="97">
        <v>35</v>
      </c>
      <c r="I19" s="97">
        <v>104.13</v>
      </c>
      <c r="J19" s="19">
        <f t="shared" si="1"/>
        <v>3644.5499999999997</v>
      </c>
      <c r="K19" s="19">
        <f t="shared" si="2"/>
        <v>49729.55</v>
      </c>
      <c r="L19" s="134">
        <v>49774.55</v>
      </c>
      <c r="M19" s="134">
        <f t="shared" si="3"/>
        <v>49684.545599999969</v>
      </c>
      <c r="N19" s="46"/>
      <c r="O19" s="73"/>
    </row>
    <row r="20" spans="1:22">
      <c r="A20" s="26">
        <v>17</v>
      </c>
      <c r="B20" s="27">
        <v>45917</v>
      </c>
      <c r="C20" s="132"/>
      <c r="D20" s="133"/>
      <c r="E20" s="97">
        <v>0</v>
      </c>
      <c r="F20" s="97">
        <v>0</v>
      </c>
      <c r="G20" s="19">
        <f t="shared" si="0"/>
        <v>0</v>
      </c>
      <c r="H20" s="97">
        <v>0</v>
      </c>
      <c r="I20" s="97">
        <v>104.13</v>
      </c>
      <c r="J20" s="19">
        <f t="shared" si="1"/>
        <v>0</v>
      </c>
      <c r="K20" s="19">
        <f t="shared" si="2"/>
        <v>0</v>
      </c>
      <c r="L20" s="134">
        <v>0</v>
      </c>
      <c r="M20" s="134">
        <f t="shared" si="3"/>
        <v>49684.545599999969</v>
      </c>
      <c r="N20" s="46"/>
      <c r="O20" s="73"/>
      <c r="V20">
        <f>400*90.23</f>
        <v>36092</v>
      </c>
    </row>
    <row r="21" spans="1:22">
      <c r="A21" s="26">
        <v>18</v>
      </c>
      <c r="B21" s="27">
        <v>45918</v>
      </c>
      <c r="C21" s="132"/>
      <c r="D21" s="133"/>
      <c r="E21" s="365">
        <v>433.56</v>
      </c>
      <c r="F21" s="365">
        <v>92.26</v>
      </c>
      <c r="G21" s="19">
        <f t="shared" si="0"/>
        <v>40000.245600000002</v>
      </c>
      <c r="H21" s="97">
        <v>0</v>
      </c>
      <c r="I21" s="97"/>
      <c r="J21" s="19">
        <f t="shared" si="1"/>
        <v>0</v>
      </c>
      <c r="K21" s="19">
        <f t="shared" si="2"/>
        <v>40000.245600000002</v>
      </c>
      <c r="L21" s="134">
        <v>40000.25</v>
      </c>
      <c r="M21" s="134">
        <f t="shared" si="3"/>
        <v>49684.541199999978</v>
      </c>
      <c r="N21" s="46"/>
      <c r="O21" s="73"/>
      <c r="V21">
        <f>35*104.14</f>
        <v>3644.9</v>
      </c>
    </row>
    <row r="22" spans="1:22">
      <c r="A22" s="26">
        <v>19</v>
      </c>
      <c r="B22" s="27">
        <v>45919</v>
      </c>
      <c r="C22" s="132"/>
      <c r="D22" s="133"/>
      <c r="E22" s="365">
        <v>433.56</v>
      </c>
      <c r="F22" s="365">
        <v>92.26</v>
      </c>
      <c r="G22" s="19">
        <f t="shared" si="0"/>
        <v>40000.245600000002</v>
      </c>
      <c r="H22" s="97">
        <v>0</v>
      </c>
      <c r="I22" s="97"/>
      <c r="J22" s="19">
        <f t="shared" si="1"/>
        <v>0</v>
      </c>
      <c r="K22" s="19">
        <f t="shared" si="2"/>
        <v>40000.245600000002</v>
      </c>
      <c r="L22" s="134">
        <v>40000.25</v>
      </c>
      <c r="M22" s="134">
        <f t="shared" si="3"/>
        <v>49684.536799999973</v>
      </c>
      <c r="N22" s="46"/>
      <c r="O22" s="73"/>
    </row>
    <row r="23" spans="1:22">
      <c r="A23" s="26">
        <v>20</v>
      </c>
      <c r="B23" s="27">
        <v>45920</v>
      </c>
      <c r="C23" s="132"/>
      <c r="D23" s="133"/>
      <c r="E23" s="97">
        <v>0</v>
      </c>
      <c r="F23" s="97">
        <v>0</v>
      </c>
      <c r="G23" s="19">
        <f t="shared" si="0"/>
        <v>0</v>
      </c>
      <c r="H23" s="97">
        <v>0</v>
      </c>
      <c r="I23" s="97"/>
      <c r="J23" s="19">
        <f t="shared" si="1"/>
        <v>0</v>
      </c>
      <c r="K23" s="19">
        <f t="shared" si="2"/>
        <v>0</v>
      </c>
      <c r="L23" s="134">
        <v>0</v>
      </c>
      <c r="M23" s="134">
        <f t="shared" si="3"/>
        <v>49684.536799999973</v>
      </c>
      <c r="N23" s="268"/>
      <c r="O23" s="254"/>
    </row>
    <row r="24" spans="1:22">
      <c r="A24" s="26">
        <v>21</v>
      </c>
      <c r="B24" s="27">
        <v>45921</v>
      </c>
      <c r="C24" s="132"/>
      <c r="D24" s="133"/>
      <c r="E24" s="97">
        <v>325.33999999999997</v>
      </c>
      <c r="F24" s="97">
        <v>92.21</v>
      </c>
      <c r="G24" s="19">
        <f t="shared" si="0"/>
        <v>29999.601399999996</v>
      </c>
      <c r="H24" s="97">
        <v>0</v>
      </c>
      <c r="I24" s="97"/>
      <c r="J24" s="19">
        <f t="shared" si="1"/>
        <v>0</v>
      </c>
      <c r="K24" s="19">
        <f t="shared" si="2"/>
        <v>29999.601399999996</v>
      </c>
      <c r="L24" s="134">
        <v>30000</v>
      </c>
      <c r="M24" s="134">
        <f t="shared" si="3"/>
        <v>49684.138199999972</v>
      </c>
      <c r="N24" s="46"/>
      <c r="O24" s="73"/>
    </row>
    <row r="25" spans="1:22">
      <c r="A25" s="26">
        <v>22</v>
      </c>
      <c r="B25" s="27">
        <v>45922</v>
      </c>
      <c r="C25" s="132"/>
      <c r="D25" s="133"/>
      <c r="E25" s="97">
        <v>194.2</v>
      </c>
      <c r="F25" s="365">
        <v>92.26</v>
      </c>
      <c r="G25" s="19">
        <f t="shared" si="0"/>
        <v>17916.892</v>
      </c>
      <c r="H25" s="97">
        <v>20</v>
      </c>
      <c r="I25" s="97">
        <v>104.13</v>
      </c>
      <c r="J25" s="19">
        <f t="shared" si="1"/>
        <v>2082.6</v>
      </c>
      <c r="K25" s="19">
        <f t="shared" si="2"/>
        <v>19999.491999999998</v>
      </c>
      <c r="L25" s="134">
        <v>0</v>
      </c>
      <c r="M25" s="134">
        <f t="shared" si="3"/>
        <v>69683.630199999971</v>
      </c>
      <c r="N25" s="46"/>
      <c r="O25" s="73"/>
    </row>
    <row r="26" spans="1:22">
      <c r="A26" s="26">
        <v>23</v>
      </c>
      <c r="B26" s="27">
        <v>45923</v>
      </c>
      <c r="C26" s="132"/>
      <c r="D26" s="133"/>
      <c r="E26" s="97">
        <v>394.05</v>
      </c>
      <c r="F26" s="365">
        <v>92.26</v>
      </c>
      <c r="G26" s="19">
        <f t="shared" si="0"/>
        <v>36355.053</v>
      </c>
      <c r="H26" s="97">
        <v>35</v>
      </c>
      <c r="I26" s="97">
        <v>104.13</v>
      </c>
      <c r="J26" s="19">
        <f t="shared" si="1"/>
        <v>3644.5499999999997</v>
      </c>
      <c r="K26" s="19">
        <f t="shared" si="2"/>
        <v>39999.603000000003</v>
      </c>
      <c r="L26" s="134">
        <v>0</v>
      </c>
      <c r="M26" s="134">
        <f t="shared" si="3"/>
        <v>109683.23319999997</v>
      </c>
      <c r="N26" s="46"/>
      <c r="O26" s="73"/>
    </row>
    <row r="27" spans="1:22">
      <c r="A27" s="26">
        <v>24</v>
      </c>
      <c r="B27" s="27">
        <v>45924</v>
      </c>
      <c r="C27" s="132"/>
      <c r="D27" s="133"/>
      <c r="E27" s="97">
        <v>0</v>
      </c>
      <c r="F27" s="97">
        <v>0</v>
      </c>
      <c r="G27" s="19">
        <f t="shared" si="0"/>
        <v>0</v>
      </c>
      <c r="H27" s="97">
        <v>0</v>
      </c>
      <c r="I27" s="97"/>
      <c r="J27" s="19">
        <f t="shared" si="1"/>
        <v>0</v>
      </c>
      <c r="K27" s="19">
        <f t="shared" si="2"/>
        <v>0</v>
      </c>
      <c r="L27" s="134">
        <v>80000</v>
      </c>
      <c r="M27" s="134">
        <f t="shared" si="3"/>
        <v>29683.233199999973</v>
      </c>
      <c r="N27" s="46"/>
      <c r="O27" s="73"/>
    </row>
    <row r="28" spans="1:22">
      <c r="A28" s="26">
        <v>25</v>
      </c>
      <c r="B28" s="27">
        <v>45925</v>
      </c>
      <c r="C28" s="132"/>
      <c r="D28" s="133"/>
      <c r="E28" s="97">
        <v>325.49</v>
      </c>
      <c r="F28" s="365">
        <v>92.17</v>
      </c>
      <c r="G28" s="19">
        <f t="shared" si="0"/>
        <v>30000.4133</v>
      </c>
      <c r="H28" s="97">
        <v>0</v>
      </c>
      <c r="I28" s="97"/>
      <c r="J28" s="19">
        <f t="shared" si="1"/>
        <v>0</v>
      </c>
      <c r="K28" s="19">
        <f t="shared" si="2"/>
        <v>30000.4133</v>
      </c>
      <c r="L28" s="134">
        <v>30000</v>
      </c>
      <c r="M28" s="134">
        <f t="shared" si="3"/>
        <v>29683.646499999973</v>
      </c>
      <c r="N28" s="46"/>
      <c r="O28" s="73"/>
    </row>
    <row r="29" spans="1:22">
      <c r="A29" s="26">
        <v>26</v>
      </c>
      <c r="B29" s="27">
        <v>45926</v>
      </c>
      <c r="C29" s="132"/>
      <c r="D29" s="133"/>
      <c r="E29" s="97">
        <v>216.9</v>
      </c>
      <c r="F29" s="365">
        <v>92.21</v>
      </c>
      <c r="G29" s="19">
        <f t="shared" si="0"/>
        <v>20000.348999999998</v>
      </c>
      <c r="H29" s="97">
        <v>0</v>
      </c>
      <c r="I29" s="97"/>
      <c r="J29" s="19">
        <f t="shared" si="1"/>
        <v>0</v>
      </c>
      <c r="K29" s="19">
        <f t="shared" si="2"/>
        <v>20000.348999999998</v>
      </c>
      <c r="L29" s="134">
        <v>20000</v>
      </c>
      <c r="M29" s="134">
        <f t="shared" si="3"/>
        <v>29683.995499999975</v>
      </c>
      <c r="N29" s="46"/>
      <c r="O29" s="73"/>
    </row>
    <row r="30" spans="1:22">
      <c r="A30" s="26">
        <v>27</v>
      </c>
      <c r="B30" s="27">
        <v>45927</v>
      </c>
      <c r="C30" s="132"/>
      <c r="D30" s="133"/>
      <c r="E30" s="97">
        <v>549.91</v>
      </c>
      <c r="F30" s="365">
        <v>92.17</v>
      </c>
      <c r="G30" s="19">
        <f t="shared" si="0"/>
        <v>50685.204699999995</v>
      </c>
      <c r="H30" s="97">
        <v>19.989999999999998</v>
      </c>
      <c r="I30" s="97">
        <v>103.03</v>
      </c>
      <c r="J30" s="19">
        <f t="shared" si="1"/>
        <v>2059.5697</v>
      </c>
      <c r="K30" s="19">
        <f t="shared" si="2"/>
        <v>52744.774399999995</v>
      </c>
      <c r="L30" s="134">
        <v>79774.14</v>
      </c>
      <c r="M30" s="134">
        <f t="shared" si="3"/>
        <v>2654.6298999999708</v>
      </c>
      <c r="N30" s="46"/>
      <c r="O30" s="73"/>
      <c r="P30" s="255">
        <v>29774.14</v>
      </c>
    </row>
    <row r="31" spans="1:22">
      <c r="A31" s="26">
        <v>28</v>
      </c>
      <c r="B31" s="27">
        <v>45928</v>
      </c>
      <c r="C31" s="132"/>
      <c r="D31" s="133"/>
      <c r="E31" s="97">
        <v>0</v>
      </c>
      <c r="F31" s="365">
        <v>92.26</v>
      </c>
      <c r="G31" s="19">
        <f t="shared" si="0"/>
        <v>0</v>
      </c>
      <c r="H31" s="97">
        <v>0</v>
      </c>
      <c r="I31" s="97"/>
      <c r="J31" s="19">
        <f t="shared" si="1"/>
        <v>0</v>
      </c>
      <c r="K31" s="19">
        <f t="shared" si="2"/>
        <v>0</v>
      </c>
      <c r="L31" s="134">
        <v>0</v>
      </c>
      <c r="M31" s="134">
        <f t="shared" si="3"/>
        <v>2654.6298999999708</v>
      </c>
      <c r="N31" s="46"/>
      <c r="O31" s="73"/>
      <c r="P31">
        <v>50000</v>
      </c>
    </row>
    <row r="32" spans="1:22">
      <c r="A32" s="26">
        <v>29</v>
      </c>
      <c r="B32" s="27">
        <v>45929</v>
      </c>
      <c r="C32" s="132"/>
      <c r="D32" s="133"/>
      <c r="E32" s="97">
        <v>433.98</v>
      </c>
      <c r="F32" s="365">
        <v>92.17</v>
      </c>
      <c r="G32" s="19">
        <f t="shared" si="0"/>
        <v>39999.936600000001</v>
      </c>
      <c r="H32" s="97">
        <v>0</v>
      </c>
      <c r="I32" s="97"/>
      <c r="J32" s="19">
        <f t="shared" si="1"/>
        <v>0</v>
      </c>
      <c r="K32" s="19">
        <f t="shared" si="2"/>
        <v>39999.936600000001</v>
      </c>
      <c r="L32" s="134">
        <v>39999.94</v>
      </c>
      <c r="M32" s="134">
        <f t="shared" si="3"/>
        <v>2654.6264999999694</v>
      </c>
      <c r="N32" s="46"/>
      <c r="O32" s="73"/>
      <c r="P32" s="255">
        <f>SUM(P30:P31)</f>
        <v>79774.14</v>
      </c>
    </row>
    <row r="33" spans="1:19">
      <c r="A33" s="26">
        <v>30</v>
      </c>
      <c r="B33" s="27">
        <v>45930</v>
      </c>
      <c r="C33" s="132"/>
      <c r="D33" s="133"/>
      <c r="E33" s="97">
        <v>195.07</v>
      </c>
      <c r="F33" s="365">
        <v>92.17</v>
      </c>
      <c r="G33" s="19">
        <f t="shared" si="0"/>
        <v>17979.601900000001</v>
      </c>
      <c r="H33" s="97">
        <v>20</v>
      </c>
      <c r="I33" s="97">
        <v>103.03</v>
      </c>
      <c r="J33" s="19">
        <f t="shared" si="1"/>
        <v>2060.6</v>
      </c>
      <c r="K33" s="19">
        <f t="shared" si="2"/>
        <v>20040.2019</v>
      </c>
      <c r="L33" s="134">
        <v>20060</v>
      </c>
      <c r="M33" s="134">
        <f t="shared" si="3"/>
        <v>2634.8283999999694</v>
      </c>
      <c r="N33" s="46"/>
      <c r="O33" s="73"/>
    </row>
    <row r="34" spans="1:19">
      <c r="A34" s="26">
        <v>31</v>
      </c>
      <c r="B34" s="27"/>
      <c r="C34" s="132"/>
      <c r="D34" s="133"/>
      <c r="E34" s="97">
        <v>0</v>
      </c>
      <c r="F34" s="97">
        <v>0</v>
      </c>
      <c r="G34" s="19">
        <f t="shared" si="0"/>
        <v>0</v>
      </c>
      <c r="H34" s="97">
        <v>0</v>
      </c>
      <c r="I34" s="97"/>
      <c r="J34" s="19">
        <f t="shared" si="1"/>
        <v>0</v>
      </c>
      <c r="K34" s="19">
        <f t="shared" si="2"/>
        <v>0</v>
      </c>
      <c r="L34" s="134">
        <v>0</v>
      </c>
      <c r="M34" s="134">
        <f t="shared" si="3"/>
        <v>2634.8283999999694</v>
      </c>
      <c r="N34" s="46"/>
      <c r="O34" s="73"/>
    </row>
    <row r="35" spans="1:19">
      <c r="A35" s="26"/>
      <c r="B35" s="27"/>
      <c r="C35" s="132"/>
      <c r="D35" s="133"/>
      <c r="E35" s="97">
        <v>0</v>
      </c>
      <c r="F35" s="97">
        <v>0</v>
      </c>
      <c r="G35" s="19">
        <f t="shared" si="0"/>
        <v>0</v>
      </c>
      <c r="H35" s="97">
        <v>0</v>
      </c>
      <c r="I35" s="97"/>
      <c r="J35" s="19">
        <f t="shared" si="1"/>
        <v>0</v>
      </c>
      <c r="K35" s="19">
        <f t="shared" si="2"/>
        <v>0</v>
      </c>
      <c r="L35" s="134">
        <v>0</v>
      </c>
      <c r="M35" s="134">
        <f t="shared" ref="M35" si="4">M34+K35-L35</f>
        <v>2634.8283999999694</v>
      </c>
      <c r="N35" s="46"/>
      <c r="O35" s="73"/>
    </row>
    <row r="36" spans="1:19">
      <c r="A36" s="44"/>
      <c r="B36" s="44"/>
      <c r="C36" s="44"/>
      <c r="D36" s="44"/>
      <c r="E36" s="45">
        <f>SUM(E4:E34)</f>
        <v>8303.58</v>
      </c>
      <c r="F36" s="45"/>
      <c r="G36" s="45">
        <f>SUM(G4:G34)</f>
        <v>765757.66190000018</v>
      </c>
      <c r="H36" s="45">
        <f>SUM(H4:H34)</f>
        <v>234.99</v>
      </c>
      <c r="I36" s="45"/>
      <c r="J36" s="45">
        <f>SUM(J4:J34)</f>
        <v>24425.519699999997</v>
      </c>
      <c r="K36" s="45">
        <f>SUM(K4:K34)</f>
        <v>790183.18160000013</v>
      </c>
      <c r="L36" s="45">
        <f>SUM(L4:L34)</f>
        <v>979357.87000000011</v>
      </c>
      <c r="M36" s="45"/>
      <c r="N36" s="45"/>
      <c r="O36" s="33"/>
    </row>
    <row r="37" spans="1:19">
      <c r="A37" s="76"/>
      <c r="B37" s="77"/>
      <c r="C37" s="76"/>
      <c r="D37" s="76"/>
      <c r="E37" s="78">
        <v>0</v>
      </c>
      <c r="F37" s="78"/>
      <c r="G37" s="78">
        <v>0</v>
      </c>
      <c r="H37" s="78">
        <v>0</v>
      </c>
      <c r="I37" s="78"/>
      <c r="J37" s="79">
        <v>0</v>
      </c>
      <c r="K37" s="79">
        <f>G37+J37</f>
        <v>0</v>
      </c>
      <c r="L37" s="79">
        <v>0</v>
      </c>
      <c r="M37" s="79"/>
      <c r="N37" s="78"/>
      <c r="O37" s="73"/>
    </row>
    <row r="38" spans="1:19">
      <c r="E38" s="139"/>
      <c r="F38" s="139"/>
      <c r="G38" s="139"/>
      <c r="H38" s="139"/>
      <c r="I38" s="139"/>
      <c r="J38" s="139"/>
      <c r="K38" s="139"/>
      <c r="L38" s="139"/>
      <c r="M38" s="255"/>
      <c r="O38" s="73"/>
    </row>
    <row r="39" spans="1:19">
      <c r="O39" s="73"/>
    </row>
    <row r="40" spans="1:19">
      <c r="M40" s="180"/>
      <c r="O40" s="73"/>
    </row>
    <row r="41" spans="1:19">
      <c r="O41" s="73"/>
    </row>
    <row r="42" spans="1:19">
      <c r="O42" s="73"/>
      <c r="S42">
        <v>9052944708</v>
      </c>
    </row>
    <row r="43" spans="1:19">
      <c r="A43" s="73"/>
      <c r="B43" s="63"/>
      <c r="C43" s="73"/>
      <c r="D43" s="73"/>
      <c r="E43" s="73"/>
      <c r="F43" s="73"/>
      <c r="G43" s="80"/>
      <c r="H43" s="73"/>
      <c r="I43" s="73"/>
      <c r="J43" s="63"/>
      <c r="K43" s="63"/>
      <c r="L43" s="63"/>
      <c r="M43" s="63"/>
      <c r="N43" s="73"/>
      <c r="O43" s="78"/>
    </row>
    <row r="44" spans="1:19">
      <c r="A44" s="73"/>
      <c r="B44" s="402"/>
      <c r="C44" s="402"/>
      <c r="D44" s="402"/>
      <c r="E44" s="402"/>
      <c r="F44" s="73"/>
      <c r="G44" s="73"/>
      <c r="H44" s="73"/>
      <c r="I44" s="402"/>
      <c r="J44" s="402"/>
      <c r="K44" s="402"/>
      <c r="L44" s="402"/>
      <c r="M44" s="402"/>
      <c r="N44" s="402"/>
      <c r="O44" s="78"/>
    </row>
    <row r="45" spans="1:19">
      <c r="A45" s="73"/>
      <c r="B45" s="63"/>
      <c r="C45" s="73"/>
      <c r="D45" s="73"/>
      <c r="E45" s="73"/>
      <c r="F45" s="73"/>
      <c r="G45" s="73"/>
      <c r="H45" s="73"/>
      <c r="I45" s="73"/>
      <c r="J45" s="63"/>
      <c r="K45" s="63"/>
      <c r="L45" s="63"/>
      <c r="M45" s="63"/>
      <c r="N45" s="73"/>
      <c r="O45" s="78"/>
    </row>
  </sheetData>
  <mergeCells count="4">
    <mergeCell ref="A1:N1"/>
    <mergeCell ref="B44:E44"/>
    <mergeCell ref="I44:N44"/>
    <mergeCell ref="A3:J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B0F2-641D-4F53-BA0F-B63DE3F29F26}">
  <dimension ref="A1:U86"/>
  <sheetViews>
    <sheetView workbookViewId="0">
      <pane ySplit="4" topLeftCell="A49" activePane="bottomLeft" state="frozen"/>
      <selection pane="bottomLeft" activeCell="L70" sqref="L70"/>
    </sheetView>
  </sheetViews>
  <sheetFormatPr defaultRowHeight="15"/>
  <cols>
    <col min="2" max="2" width="16.28515625" customWidth="1"/>
    <col min="3" max="3" width="38.85546875" bestFit="1" customWidth="1"/>
    <col min="4" max="4" width="15.5703125" customWidth="1"/>
    <col min="5" max="5" width="12.28515625" style="191" customWidth="1"/>
    <col min="6" max="6" width="12.85546875" style="191" customWidth="1"/>
    <col min="7" max="7" width="12.5703125" style="191" bestFit="1" customWidth="1"/>
    <col min="8" max="8" width="12.5703125" style="191" customWidth="1"/>
    <col min="9" max="10" width="9.140625" style="191"/>
    <col min="11" max="11" width="18.7109375" style="191" customWidth="1"/>
    <col min="12" max="12" width="24.140625" style="191" customWidth="1"/>
    <col min="13" max="13" width="16.5703125" style="191" customWidth="1"/>
    <col min="14" max="14" width="19.85546875" style="191" customWidth="1"/>
    <col min="15" max="15" width="13.42578125" style="191" customWidth="1"/>
    <col min="16" max="21" width="9.140625" style="191"/>
  </cols>
  <sheetData>
    <row r="1" spans="1:15" ht="15.75">
      <c r="A1" s="260" t="s">
        <v>161</v>
      </c>
      <c r="B1" s="260"/>
      <c r="C1" s="260"/>
      <c r="D1" s="260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</row>
    <row r="2" spans="1:15" ht="26.25" customHeight="1">
      <c r="A2" s="68" t="s">
        <v>90</v>
      </c>
      <c r="B2" s="87" t="s">
        <v>91</v>
      </c>
      <c r="C2" s="87" t="s">
        <v>162</v>
      </c>
      <c r="D2" s="87" t="s">
        <v>163</v>
      </c>
      <c r="E2" s="304" t="s">
        <v>94</v>
      </c>
      <c r="F2" s="304" t="s">
        <v>95</v>
      </c>
      <c r="G2" s="305" t="s">
        <v>96</v>
      </c>
      <c r="H2" s="304" t="s">
        <v>97</v>
      </c>
      <c r="I2" s="304" t="s">
        <v>95</v>
      </c>
      <c r="J2" s="305" t="s">
        <v>96</v>
      </c>
      <c r="K2" s="306" t="s">
        <v>98</v>
      </c>
      <c r="L2" s="307" t="s">
        <v>164</v>
      </c>
      <c r="M2" s="308" t="s">
        <v>106</v>
      </c>
      <c r="N2" s="304" t="s">
        <v>101</v>
      </c>
      <c r="O2" s="304" t="s">
        <v>165</v>
      </c>
    </row>
    <row r="3" spans="1:15" ht="15.75">
      <c r="A3" s="261" t="s">
        <v>102</v>
      </c>
      <c r="B3" s="261"/>
      <c r="C3" s="261"/>
      <c r="D3" s="261"/>
      <c r="E3" s="309"/>
      <c r="F3" s="309"/>
      <c r="G3" s="309"/>
      <c r="H3" s="309"/>
      <c r="I3" s="309"/>
      <c r="J3" s="309"/>
      <c r="K3" s="310">
        <v>16888.16</v>
      </c>
      <c r="L3" s="335"/>
      <c r="M3" s="310"/>
      <c r="N3" s="310"/>
      <c r="O3" s="311"/>
    </row>
    <row r="4" spans="1:15">
      <c r="A4" s="331">
        <v>1</v>
      </c>
      <c r="B4" s="234" t="s">
        <v>166</v>
      </c>
      <c r="C4" s="108" t="s">
        <v>167</v>
      </c>
      <c r="D4" s="172" t="s">
        <v>168</v>
      </c>
      <c r="E4" s="315">
        <v>6222.8</v>
      </c>
      <c r="F4" s="334">
        <v>96.42</v>
      </c>
      <c r="G4" s="312">
        <f>E4*F4</f>
        <v>600002.37600000005</v>
      </c>
      <c r="H4" s="108"/>
      <c r="I4" s="108"/>
      <c r="J4" s="312">
        <f>H4*I4</f>
        <v>0</v>
      </c>
      <c r="K4" s="312">
        <f>G4+J4</f>
        <v>600002.37600000005</v>
      </c>
      <c r="L4" s="313">
        <v>874300</v>
      </c>
      <c r="M4" s="330">
        <f>K3+L4-K4</f>
        <v>291185.78399999999</v>
      </c>
      <c r="N4" s="313"/>
      <c r="O4" s="313"/>
    </row>
    <row r="5" spans="1:15">
      <c r="A5" s="101">
        <v>2</v>
      </c>
      <c r="B5" s="234" t="s">
        <v>166</v>
      </c>
      <c r="C5" s="108" t="s">
        <v>169</v>
      </c>
      <c r="D5" s="172" t="s">
        <v>170</v>
      </c>
      <c r="E5" s="315">
        <v>52.26</v>
      </c>
      <c r="F5" s="334">
        <v>95.7</v>
      </c>
      <c r="G5" s="312">
        <f t="shared" ref="G5:G59" si="0">E5*F5</f>
        <v>5001.2820000000002</v>
      </c>
      <c r="H5" s="108"/>
      <c r="I5" s="108"/>
      <c r="J5" s="312">
        <f t="shared" ref="J5:J63" si="1">H5*I5</f>
        <v>0</v>
      </c>
      <c r="K5" s="312">
        <f t="shared" ref="K5:K63" si="2">G5+J5</f>
        <v>5001.2820000000002</v>
      </c>
      <c r="L5" s="313"/>
      <c r="M5" s="315">
        <f>M4+L5-K5</f>
        <v>286184.50199999998</v>
      </c>
      <c r="N5" s="312"/>
      <c r="O5" s="312"/>
    </row>
    <row r="6" spans="1:15">
      <c r="A6" s="101">
        <v>3</v>
      </c>
      <c r="B6" s="234" t="s">
        <v>166</v>
      </c>
      <c r="C6" s="172" t="s">
        <v>171</v>
      </c>
      <c r="D6" s="108" t="s">
        <v>172</v>
      </c>
      <c r="E6" s="315">
        <v>2628.13</v>
      </c>
      <c r="F6" s="334">
        <v>91.32</v>
      </c>
      <c r="G6" s="312">
        <f t="shared" si="0"/>
        <v>240000.8316</v>
      </c>
      <c r="H6" s="108"/>
      <c r="I6" s="108"/>
      <c r="J6" s="312">
        <f t="shared" si="1"/>
        <v>0</v>
      </c>
      <c r="K6" s="312">
        <f t="shared" si="2"/>
        <v>240000.8316</v>
      </c>
      <c r="L6" s="313"/>
      <c r="M6" s="315">
        <f t="shared" ref="M6:M76" si="3">M5+L6-K6</f>
        <v>46183.670399999974</v>
      </c>
      <c r="N6" s="312"/>
      <c r="O6" s="312"/>
    </row>
    <row r="7" spans="1:15">
      <c r="A7" s="331">
        <v>4</v>
      </c>
      <c r="B7" s="234" t="s">
        <v>166</v>
      </c>
      <c r="C7" t="s">
        <v>173</v>
      </c>
      <c r="D7" s="172" t="s">
        <v>174</v>
      </c>
      <c r="E7" s="315"/>
      <c r="F7" s="334"/>
      <c r="G7" s="312">
        <f t="shared" si="0"/>
        <v>0</v>
      </c>
      <c r="H7" s="338">
        <v>25</v>
      </c>
      <c r="I7" s="338">
        <v>109.01</v>
      </c>
      <c r="J7" s="314">
        <f t="shared" si="1"/>
        <v>2725.25</v>
      </c>
      <c r="K7" s="312">
        <f t="shared" si="2"/>
        <v>2725.25</v>
      </c>
      <c r="L7" s="313"/>
      <c r="M7" s="315">
        <f t="shared" si="3"/>
        <v>43458.420399999974</v>
      </c>
      <c r="N7" s="312"/>
      <c r="O7" s="312"/>
    </row>
    <row r="8" spans="1:15">
      <c r="A8" s="101">
        <v>5</v>
      </c>
      <c r="B8" s="234" t="s">
        <v>175</v>
      </c>
      <c r="C8" s="172" t="s">
        <v>176</v>
      </c>
      <c r="D8" s="172" t="s">
        <v>177</v>
      </c>
      <c r="E8" s="315"/>
      <c r="F8" s="334"/>
      <c r="G8" s="334">
        <f t="shared" si="0"/>
        <v>0</v>
      </c>
      <c r="H8" s="108">
        <v>3.81</v>
      </c>
      <c r="I8" s="108">
        <v>107.46</v>
      </c>
      <c r="J8" s="312">
        <f t="shared" si="1"/>
        <v>409.42259999999999</v>
      </c>
      <c r="K8" s="315">
        <f t="shared" si="2"/>
        <v>409.42259999999999</v>
      </c>
      <c r="L8" s="313"/>
      <c r="M8" s="315">
        <f t="shared" si="3"/>
        <v>43048.997799999976</v>
      </c>
      <c r="N8" s="312"/>
      <c r="O8" s="312"/>
    </row>
    <row r="9" spans="1:15">
      <c r="A9" s="101">
        <v>6</v>
      </c>
      <c r="B9" s="234" t="s">
        <v>175</v>
      </c>
      <c r="C9" s="172" t="s">
        <v>178</v>
      </c>
      <c r="D9" s="172" t="s">
        <v>179</v>
      </c>
      <c r="E9" s="315">
        <v>34.299999999999997</v>
      </c>
      <c r="F9" s="312">
        <v>96.83</v>
      </c>
      <c r="G9" s="337">
        <f t="shared" si="0"/>
        <v>3321.2689999999998</v>
      </c>
      <c r="H9" s="108"/>
      <c r="I9" s="108"/>
      <c r="J9" s="312">
        <f t="shared" si="1"/>
        <v>0</v>
      </c>
      <c r="K9" s="332">
        <f t="shared" si="2"/>
        <v>3321.2689999999998</v>
      </c>
      <c r="L9" s="336"/>
      <c r="M9" s="312">
        <f t="shared" si="3"/>
        <v>39727.728799999975</v>
      </c>
      <c r="N9" s="312"/>
      <c r="O9" s="312"/>
    </row>
    <row r="10" spans="1:15">
      <c r="A10" s="331">
        <v>7</v>
      </c>
      <c r="B10" s="234" t="s">
        <v>147</v>
      </c>
      <c r="C10" s="346" t="s">
        <v>180</v>
      </c>
      <c r="D10" s="346" t="s">
        <v>181</v>
      </c>
      <c r="E10" s="344">
        <v>31.35</v>
      </c>
      <c r="F10" s="314">
        <v>95.7</v>
      </c>
      <c r="G10" s="334">
        <f t="shared" si="0"/>
        <v>3000.1950000000002</v>
      </c>
      <c r="H10" s="108"/>
      <c r="I10" s="108"/>
      <c r="J10" s="312">
        <f t="shared" si="1"/>
        <v>0</v>
      </c>
      <c r="K10" s="315">
        <f t="shared" si="2"/>
        <v>3000.1950000000002</v>
      </c>
      <c r="L10" s="313"/>
      <c r="M10" s="314">
        <f t="shared" si="3"/>
        <v>36727.533799999976</v>
      </c>
      <c r="N10" s="314"/>
      <c r="O10" s="314"/>
    </row>
    <row r="11" spans="1:15">
      <c r="A11" s="101">
        <v>8</v>
      </c>
      <c r="B11" s="234" t="s">
        <v>148</v>
      </c>
      <c r="C11" s="108" t="s">
        <v>182</v>
      </c>
      <c r="D11" s="172" t="s">
        <v>183</v>
      </c>
      <c r="E11" s="345">
        <v>49.95</v>
      </c>
      <c r="F11" s="108">
        <v>95.82</v>
      </c>
      <c r="G11" s="343">
        <f t="shared" si="0"/>
        <v>4786.2089999999998</v>
      </c>
      <c r="H11" s="108"/>
      <c r="I11" s="108"/>
      <c r="J11" s="312">
        <f t="shared" si="1"/>
        <v>0</v>
      </c>
      <c r="K11" s="315">
        <f t="shared" si="2"/>
        <v>4786.2089999999998</v>
      </c>
      <c r="L11" s="313"/>
      <c r="M11" s="314">
        <f t="shared" si="3"/>
        <v>31941.324799999977</v>
      </c>
      <c r="N11" s="314"/>
      <c r="O11" s="314"/>
    </row>
    <row r="12" spans="1:15">
      <c r="A12" s="101">
        <v>9</v>
      </c>
      <c r="B12" s="234" t="s">
        <v>148</v>
      </c>
      <c r="C12" s="108" t="s">
        <v>167</v>
      </c>
      <c r="D12" s="172" t="s">
        <v>170</v>
      </c>
      <c r="E12" s="345">
        <v>60.67</v>
      </c>
      <c r="F12" s="108">
        <v>96.42</v>
      </c>
      <c r="G12" s="343">
        <f t="shared" si="0"/>
        <v>5849.8014000000003</v>
      </c>
      <c r="H12" s="108"/>
      <c r="I12" s="108"/>
      <c r="J12" s="312">
        <f t="shared" si="1"/>
        <v>0</v>
      </c>
      <c r="K12" s="315">
        <f t="shared" si="2"/>
        <v>5849.8014000000003</v>
      </c>
      <c r="L12" s="313"/>
      <c r="M12" s="314">
        <f t="shared" si="3"/>
        <v>26091.523399999976</v>
      </c>
      <c r="N12" s="314"/>
      <c r="O12" s="314"/>
    </row>
    <row r="13" spans="1:15">
      <c r="A13" s="331">
        <v>10</v>
      </c>
      <c r="B13" s="234" t="s">
        <v>148</v>
      </c>
      <c r="C13" s="108" t="s">
        <v>184</v>
      </c>
      <c r="D13" s="172" t="s">
        <v>185</v>
      </c>
      <c r="E13" s="345">
        <v>0</v>
      </c>
      <c r="F13" s="108">
        <v>0</v>
      </c>
      <c r="G13" s="343">
        <f t="shared" si="0"/>
        <v>0</v>
      </c>
      <c r="H13" s="108">
        <v>4.87</v>
      </c>
      <c r="I13" s="108">
        <v>102.77</v>
      </c>
      <c r="J13" s="313">
        <f t="shared" si="1"/>
        <v>500.48989999999998</v>
      </c>
      <c r="K13" s="330">
        <f t="shared" si="2"/>
        <v>500.48989999999998</v>
      </c>
      <c r="L13" s="313"/>
      <c r="M13" s="312">
        <f t="shared" si="3"/>
        <v>25591.033499999976</v>
      </c>
      <c r="N13" s="312"/>
      <c r="O13" s="312"/>
    </row>
    <row r="14" spans="1:15">
      <c r="A14" s="101">
        <v>11</v>
      </c>
      <c r="B14" s="234" t="s">
        <v>148</v>
      </c>
      <c r="C14" s="347" t="s">
        <v>186</v>
      </c>
      <c r="D14" s="346" t="s">
        <v>187</v>
      </c>
      <c r="E14" s="332">
        <v>108.42</v>
      </c>
      <c r="F14" s="316">
        <v>92.23</v>
      </c>
      <c r="G14" s="334">
        <f t="shared" si="0"/>
        <v>9999.5766000000003</v>
      </c>
      <c r="H14" s="108"/>
      <c r="I14" s="108"/>
      <c r="J14" s="313">
        <f t="shared" si="1"/>
        <v>0</v>
      </c>
      <c r="K14" s="330">
        <f t="shared" si="2"/>
        <v>9999.5766000000003</v>
      </c>
      <c r="L14" s="313"/>
      <c r="M14" s="312">
        <f t="shared" si="3"/>
        <v>15591.456899999976</v>
      </c>
      <c r="N14" s="312"/>
      <c r="O14" s="312"/>
    </row>
    <row r="15" spans="1:15">
      <c r="A15" s="101">
        <v>12</v>
      </c>
      <c r="B15" s="234" t="s">
        <v>149</v>
      </c>
      <c r="C15" s="108" t="s">
        <v>188</v>
      </c>
      <c r="D15" s="108" t="s">
        <v>177</v>
      </c>
      <c r="E15" s="315">
        <v>0</v>
      </c>
      <c r="F15" s="312">
        <v>0</v>
      </c>
      <c r="G15" s="334">
        <f t="shared" si="0"/>
        <v>0</v>
      </c>
      <c r="H15" s="108">
        <v>3.72</v>
      </c>
      <c r="I15" s="108">
        <v>107.51</v>
      </c>
      <c r="J15" s="313">
        <f t="shared" si="1"/>
        <v>399.93720000000002</v>
      </c>
      <c r="K15" s="330">
        <f t="shared" si="2"/>
        <v>399.93720000000002</v>
      </c>
      <c r="L15" s="313"/>
      <c r="M15" s="312">
        <f t="shared" si="3"/>
        <v>15191.519699999975</v>
      </c>
      <c r="N15" s="312"/>
      <c r="O15" s="312"/>
    </row>
    <row r="16" spans="1:15">
      <c r="A16" s="331">
        <v>13</v>
      </c>
      <c r="B16" s="234" t="s">
        <v>149</v>
      </c>
      <c r="C16" s="108" t="s">
        <v>186</v>
      </c>
      <c r="D16" s="108" t="s">
        <v>187</v>
      </c>
      <c r="E16" s="315">
        <v>271.06</v>
      </c>
      <c r="F16" s="312">
        <v>92.23</v>
      </c>
      <c r="G16" s="334">
        <f t="shared" si="0"/>
        <v>24999.863800000003</v>
      </c>
      <c r="H16" s="108"/>
      <c r="I16" s="108"/>
      <c r="J16" s="312">
        <f t="shared" si="1"/>
        <v>0</v>
      </c>
      <c r="K16" s="315">
        <f t="shared" si="2"/>
        <v>24999.863800000003</v>
      </c>
      <c r="L16" s="313">
        <v>27354</v>
      </c>
      <c r="M16" s="312">
        <f t="shared" si="3"/>
        <v>17545.655899999972</v>
      </c>
      <c r="N16" s="312"/>
      <c r="O16" s="312"/>
    </row>
    <row r="17" spans="1:15">
      <c r="A17" s="101">
        <v>14</v>
      </c>
      <c r="B17" s="234" t="s">
        <v>150</v>
      </c>
      <c r="C17" s="108" t="s">
        <v>189</v>
      </c>
      <c r="D17" s="108" t="s">
        <v>190</v>
      </c>
      <c r="E17" s="315"/>
      <c r="F17" s="312"/>
      <c r="G17" s="334">
        <f t="shared" si="0"/>
        <v>0</v>
      </c>
      <c r="H17" s="108">
        <v>10</v>
      </c>
      <c r="I17" s="108">
        <v>109.94</v>
      </c>
      <c r="J17" s="312">
        <f t="shared" si="1"/>
        <v>1099.4000000000001</v>
      </c>
      <c r="K17" s="315">
        <f t="shared" si="2"/>
        <v>1099.4000000000001</v>
      </c>
      <c r="L17" s="313">
        <v>50000</v>
      </c>
      <c r="M17" s="312">
        <f t="shared" si="3"/>
        <v>66446.255899999975</v>
      </c>
      <c r="N17" s="312"/>
      <c r="O17" s="312"/>
    </row>
    <row r="18" spans="1:15">
      <c r="A18" s="101">
        <v>15</v>
      </c>
      <c r="B18" s="234" t="s">
        <v>191</v>
      </c>
      <c r="C18" t="s">
        <v>192</v>
      </c>
      <c r="D18" s="172" t="s">
        <v>193</v>
      </c>
      <c r="E18" s="315">
        <v>16699.080000000002</v>
      </c>
      <c r="F18" s="312">
        <v>91.14</v>
      </c>
      <c r="G18" s="334">
        <f t="shared" si="0"/>
        <v>1521954.1512000002</v>
      </c>
      <c r="H18" s="108"/>
      <c r="I18" s="108"/>
      <c r="J18" s="312">
        <f t="shared" si="1"/>
        <v>0</v>
      </c>
      <c r="K18" s="315">
        <f t="shared" si="2"/>
        <v>1521954.1512000002</v>
      </c>
      <c r="L18" s="313">
        <v>6050000</v>
      </c>
      <c r="M18" s="312">
        <f t="shared" si="3"/>
        <v>4594492.1047</v>
      </c>
      <c r="N18" s="312"/>
      <c r="O18" s="312"/>
    </row>
    <row r="19" spans="1:15">
      <c r="A19" s="331">
        <v>16</v>
      </c>
      <c r="B19" s="234" t="s">
        <v>191</v>
      </c>
      <c r="C19" s="172" t="s">
        <v>167</v>
      </c>
      <c r="D19" s="172" t="s">
        <v>168</v>
      </c>
      <c r="E19" s="315">
        <v>35781.1</v>
      </c>
      <c r="F19" s="312">
        <v>96.42</v>
      </c>
      <c r="G19" s="334">
        <f t="shared" si="0"/>
        <v>3450013.662</v>
      </c>
      <c r="H19" s="108"/>
      <c r="I19" s="108"/>
      <c r="J19" s="312">
        <f t="shared" si="1"/>
        <v>0</v>
      </c>
      <c r="K19" s="315">
        <v>3450000</v>
      </c>
      <c r="L19" s="313"/>
      <c r="M19" s="312">
        <f t="shared" si="3"/>
        <v>1144492.1047</v>
      </c>
      <c r="N19" s="314"/>
      <c r="O19" s="314"/>
    </row>
    <row r="20" spans="1:15">
      <c r="A20" s="101">
        <v>17</v>
      </c>
      <c r="B20" s="234" t="s">
        <v>191</v>
      </c>
      <c r="C20" s="108" t="s">
        <v>194</v>
      </c>
      <c r="D20" s="108" t="s">
        <v>177</v>
      </c>
      <c r="E20" s="315"/>
      <c r="F20" s="312"/>
      <c r="G20" s="334">
        <f t="shared" si="0"/>
        <v>0</v>
      </c>
      <c r="H20" s="108">
        <v>4.28</v>
      </c>
      <c r="I20" s="108">
        <v>107.46</v>
      </c>
      <c r="J20" s="312">
        <f t="shared" si="1"/>
        <v>459.92880000000002</v>
      </c>
      <c r="K20" s="315">
        <f t="shared" si="2"/>
        <v>459.92880000000002</v>
      </c>
      <c r="L20" s="313"/>
      <c r="M20" s="312">
        <f t="shared" si="3"/>
        <v>1144032.1758999999</v>
      </c>
      <c r="N20" s="312"/>
      <c r="O20" s="312"/>
    </row>
    <row r="21" spans="1:15">
      <c r="A21" s="101">
        <v>18</v>
      </c>
      <c r="B21" s="234" t="s">
        <v>191</v>
      </c>
      <c r="C21" s="172" t="s">
        <v>195</v>
      </c>
      <c r="D21" s="346" t="s">
        <v>196</v>
      </c>
      <c r="E21" s="315">
        <v>45.18</v>
      </c>
      <c r="F21" s="312">
        <v>96.07</v>
      </c>
      <c r="G21" s="334">
        <f t="shared" si="0"/>
        <v>4340.4425999999994</v>
      </c>
      <c r="H21" s="108"/>
      <c r="I21" s="108"/>
      <c r="J21" s="312">
        <f t="shared" si="1"/>
        <v>0</v>
      </c>
      <c r="K21" s="315">
        <f t="shared" si="2"/>
        <v>4340.4425999999994</v>
      </c>
      <c r="L21" s="313"/>
      <c r="M21" s="312">
        <f t="shared" si="3"/>
        <v>1139691.7333</v>
      </c>
      <c r="N21" s="312"/>
      <c r="O21" s="312"/>
    </row>
    <row r="22" spans="1:15">
      <c r="A22" s="331">
        <v>19</v>
      </c>
      <c r="B22" s="234" t="s">
        <v>191</v>
      </c>
      <c r="C22" s="172" t="s">
        <v>197</v>
      </c>
      <c r="D22" s="172" t="s">
        <v>172</v>
      </c>
      <c r="E22" s="315">
        <v>4380.2</v>
      </c>
      <c r="F22" s="312">
        <v>91.32</v>
      </c>
      <c r="G22" s="334">
        <f t="shared" si="0"/>
        <v>399999.86399999994</v>
      </c>
      <c r="H22" s="108"/>
      <c r="I22" s="108"/>
      <c r="J22" s="312">
        <f t="shared" si="1"/>
        <v>0</v>
      </c>
      <c r="K22" s="315">
        <v>400000</v>
      </c>
      <c r="L22" s="313"/>
      <c r="M22" s="312">
        <f t="shared" si="3"/>
        <v>739691.73329999996</v>
      </c>
      <c r="N22" s="314"/>
      <c r="O22" s="314"/>
    </row>
    <row r="23" spans="1:15">
      <c r="A23" s="101">
        <v>20</v>
      </c>
      <c r="B23" s="234" t="s">
        <v>191</v>
      </c>
      <c r="C23" s="172" t="s">
        <v>184</v>
      </c>
      <c r="D23" s="108" t="s">
        <v>185</v>
      </c>
      <c r="E23" s="315"/>
      <c r="F23" s="312"/>
      <c r="G23" s="334">
        <f t="shared" si="0"/>
        <v>0</v>
      </c>
      <c r="H23" s="358">
        <v>7.5</v>
      </c>
      <c r="I23" s="358">
        <v>102.77</v>
      </c>
      <c r="J23" s="312">
        <f t="shared" si="1"/>
        <v>770.77499999999998</v>
      </c>
      <c r="K23" s="315">
        <f t="shared" si="2"/>
        <v>770.77499999999998</v>
      </c>
      <c r="L23" s="313"/>
      <c r="M23" s="312">
        <f t="shared" si="3"/>
        <v>738920.95829999994</v>
      </c>
      <c r="N23" s="312"/>
      <c r="O23" s="312"/>
    </row>
    <row r="24" spans="1:15">
      <c r="A24" s="101">
        <v>21</v>
      </c>
      <c r="B24" s="234" t="s">
        <v>191</v>
      </c>
      <c r="C24" s="172" t="s">
        <v>198</v>
      </c>
      <c r="D24" s="108" t="s">
        <v>187</v>
      </c>
      <c r="E24" s="315">
        <v>4383.78</v>
      </c>
      <c r="F24" s="312">
        <v>91.91</v>
      </c>
      <c r="G24" s="334">
        <f t="shared" si="0"/>
        <v>402913.21979999996</v>
      </c>
      <c r="H24" s="108"/>
      <c r="I24" s="108"/>
      <c r="J24" s="312">
        <f t="shared" si="1"/>
        <v>0</v>
      </c>
      <c r="K24" s="315">
        <f t="shared" si="2"/>
        <v>402913.21979999996</v>
      </c>
      <c r="L24" s="313"/>
      <c r="M24" s="312">
        <f>M23+L24-K24</f>
        <v>336007.73849999998</v>
      </c>
      <c r="N24" s="314"/>
      <c r="O24" s="314"/>
    </row>
    <row r="25" spans="1:15">
      <c r="A25" s="331">
        <v>22</v>
      </c>
      <c r="B25" s="359" t="s">
        <v>191</v>
      </c>
      <c r="C25" s="346" t="s">
        <v>199</v>
      </c>
      <c r="D25" s="338" t="s">
        <v>187</v>
      </c>
      <c r="E25" s="344">
        <v>617.91999999999996</v>
      </c>
      <c r="F25" s="314">
        <v>97.1</v>
      </c>
      <c r="G25" s="360">
        <f t="shared" si="0"/>
        <v>60000.031999999992</v>
      </c>
      <c r="H25" s="338"/>
      <c r="I25" s="338"/>
      <c r="J25" s="314">
        <f t="shared" si="1"/>
        <v>0</v>
      </c>
      <c r="K25" s="344">
        <f>G25+J25</f>
        <v>60000.031999999992</v>
      </c>
      <c r="L25" s="361"/>
      <c r="M25" s="314">
        <f t="shared" si="3"/>
        <v>276007.70649999997</v>
      </c>
      <c r="N25" s="314"/>
      <c r="O25" s="314"/>
    </row>
    <row r="26" spans="1:15">
      <c r="A26" s="101">
        <v>23</v>
      </c>
      <c r="B26" s="234" t="s">
        <v>191</v>
      </c>
      <c r="C26" s="17" t="s">
        <v>189</v>
      </c>
      <c r="D26" s="172" t="s">
        <v>174</v>
      </c>
      <c r="E26" s="312">
        <v>0</v>
      </c>
      <c r="F26" s="312"/>
      <c r="G26" s="312">
        <f t="shared" si="0"/>
        <v>0</v>
      </c>
      <c r="H26" s="108">
        <v>5</v>
      </c>
      <c r="I26" s="108">
        <v>109.94</v>
      </c>
      <c r="J26" s="312">
        <f t="shared" si="1"/>
        <v>549.70000000000005</v>
      </c>
      <c r="K26" s="312">
        <f t="shared" si="2"/>
        <v>549.70000000000005</v>
      </c>
      <c r="L26" s="313"/>
      <c r="M26" s="312">
        <f t="shared" si="3"/>
        <v>275458.00649999996</v>
      </c>
      <c r="N26" s="312"/>
      <c r="O26" s="312"/>
    </row>
    <row r="27" spans="1:15">
      <c r="A27" s="101">
        <v>24</v>
      </c>
      <c r="B27" s="234" t="s">
        <v>191</v>
      </c>
      <c r="C27" s="17" t="s">
        <v>200</v>
      </c>
      <c r="D27" s="172" t="s">
        <v>174</v>
      </c>
      <c r="E27" s="312">
        <v>0</v>
      </c>
      <c r="F27" s="312"/>
      <c r="G27" s="312">
        <f t="shared" si="0"/>
        <v>0</v>
      </c>
      <c r="H27" s="108">
        <v>5</v>
      </c>
      <c r="I27" s="108">
        <v>109.94</v>
      </c>
      <c r="J27" s="312">
        <f t="shared" si="1"/>
        <v>549.70000000000005</v>
      </c>
      <c r="K27" s="312">
        <f>G27+J27</f>
        <v>549.70000000000005</v>
      </c>
      <c r="L27" s="313"/>
      <c r="M27" s="312">
        <f t="shared" si="3"/>
        <v>274908.30649999995</v>
      </c>
      <c r="N27" s="312"/>
      <c r="O27" s="312"/>
    </row>
    <row r="28" spans="1:15">
      <c r="A28" s="331">
        <v>25</v>
      </c>
      <c r="B28" s="234" t="s">
        <v>152</v>
      </c>
      <c r="C28" s="108" t="s">
        <v>201</v>
      </c>
      <c r="D28" s="108" t="s">
        <v>174</v>
      </c>
      <c r="E28" s="312">
        <v>0</v>
      </c>
      <c r="F28" s="312"/>
      <c r="G28" s="312">
        <f t="shared" si="0"/>
        <v>0</v>
      </c>
      <c r="H28" s="108">
        <v>4.55</v>
      </c>
      <c r="I28" s="108">
        <v>109.94</v>
      </c>
      <c r="J28" s="312">
        <f t="shared" si="1"/>
        <v>500.22699999999998</v>
      </c>
      <c r="K28" s="312">
        <f t="shared" si="2"/>
        <v>500.22699999999998</v>
      </c>
      <c r="L28" s="313"/>
      <c r="M28" s="312">
        <f t="shared" si="3"/>
        <v>274408.07949999993</v>
      </c>
      <c r="N28" s="312"/>
      <c r="O28" s="312"/>
    </row>
    <row r="29" spans="1:15">
      <c r="A29" s="101">
        <v>26</v>
      </c>
      <c r="B29" s="234" t="s">
        <v>152</v>
      </c>
      <c r="C29" s="172" t="s">
        <v>202</v>
      </c>
      <c r="D29" s="108" t="s">
        <v>170</v>
      </c>
      <c r="E29" s="312">
        <v>53.91</v>
      </c>
      <c r="F29" s="312">
        <v>96.08</v>
      </c>
      <c r="G29" s="312">
        <f t="shared" si="0"/>
        <v>5179.6727999999994</v>
      </c>
      <c r="H29" s="108"/>
      <c r="I29" s="108"/>
      <c r="J29" s="312">
        <f t="shared" si="1"/>
        <v>0</v>
      </c>
      <c r="K29" s="312">
        <f t="shared" si="2"/>
        <v>5179.6727999999994</v>
      </c>
      <c r="L29" s="313"/>
      <c r="M29" s="312">
        <f t="shared" si="3"/>
        <v>269228.40669999993</v>
      </c>
      <c r="N29" s="312"/>
      <c r="O29" s="312"/>
    </row>
    <row r="30" spans="1:15" ht="14.25" customHeight="1">
      <c r="A30" s="101">
        <v>27</v>
      </c>
      <c r="B30" s="234" t="s">
        <v>125</v>
      </c>
      <c r="C30" s="172" t="s">
        <v>184</v>
      </c>
      <c r="D30" s="172" t="s">
        <v>185</v>
      </c>
      <c r="E30" s="312">
        <v>30</v>
      </c>
      <c r="F30" s="312">
        <v>90.88</v>
      </c>
      <c r="G30" s="312">
        <f t="shared" si="0"/>
        <v>2726.3999999999996</v>
      </c>
      <c r="H30" s="108">
        <v>4.87</v>
      </c>
      <c r="I30" s="108">
        <v>102.77</v>
      </c>
      <c r="J30" s="312">
        <f t="shared" si="1"/>
        <v>500.48989999999998</v>
      </c>
      <c r="K30" s="312">
        <f t="shared" si="2"/>
        <v>3226.8898999999997</v>
      </c>
      <c r="L30" s="313"/>
      <c r="M30" s="312">
        <f t="shared" si="3"/>
        <v>266001.51679999992</v>
      </c>
      <c r="N30" s="312"/>
      <c r="O30" s="312"/>
    </row>
    <row r="31" spans="1:15">
      <c r="A31" s="331">
        <v>28</v>
      </c>
      <c r="B31" s="234" t="s">
        <v>126</v>
      </c>
      <c r="C31" s="172" t="s">
        <v>203</v>
      </c>
      <c r="D31" s="108" t="s">
        <v>190</v>
      </c>
      <c r="E31" s="312">
        <v>36</v>
      </c>
      <c r="F31" s="312">
        <v>97.71</v>
      </c>
      <c r="G31" s="312">
        <f t="shared" si="0"/>
        <v>3517.56</v>
      </c>
      <c r="H31" s="108">
        <v>5</v>
      </c>
      <c r="I31" s="108">
        <v>109.94</v>
      </c>
      <c r="J31" s="312">
        <f t="shared" si="1"/>
        <v>549.70000000000005</v>
      </c>
      <c r="K31" s="312">
        <f t="shared" si="2"/>
        <v>4067.26</v>
      </c>
      <c r="L31" s="313"/>
      <c r="M31" s="312">
        <f t="shared" si="3"/>
        <v>261934.25679999992</v>
      </c>
      <c r="N31" s="312"/>
      <c r="O31" s="312"/>
    </row>
    <row r="32" spans="1:15">
      <c r="A32" s="101">
        <v>29</v>
      </c>
      <c r="B32" s="234" t="s">
        <v>126</v>
      </c>
      <c r="C32" s="172" t="s">
        <v>184</v>
      </c>
      <c r="D32" s="172" t="s">
        <v>185</v>
      </c>
      <c r="E32" s="312">
        <v>29.32</v>
      </c>
      <c r="F32" s="312">
        <v>90.88</v>
      </c>
      <c r="G32" s="312">
        <f t="shared" si="0"/>
        <v>2664.6016</v>
      </c>
      <c r="H32" s="108"/>
      <c r="I32" s="108"/>
      <c r="J32" s="312">
        <f t="shared" si="1"/>
        <v>0</v>
      </c>
      <c r="K32" s="312">
        <f t="shared" si="2"/>
        <v>2664.6016</v>
      </c>
      <c r="L32" s="313"/>
      <c r="M32" s="312">
        <f t="shared" si="3"/>
        <v>259269.65519999992</v>
      </c>
      <c r="N32" s="312"/>
      <c r="O32" s="312"/>
    </row>
    <row r="33" spans="1:15">
      <c r="A33" s="101">
        <v>30</v>
      </c>
      <c r="B33" s="234" t="s">
        <v>126</v>
      </c>
      <c r="C33" s="333" t="s">
        <v>199</v>
      </c>
      <c r="D33" s="333" t="s">
        <v>187</v>
      </c>
      <c r="E33" s="332">
        <v>600</v>
      </c>
      <c r="F33" s="314">
        <v>97.1</v>
      </c>
      <c r="G33" s="337">
        <f t="shared" si="0"/>
        <v>58260</v>
      </c>
      <c r="H33" s="333"/>
      <c r="I33" s="333"/>
      <c r="J33" s="316">
        <f t="shared" si="1"/>
        <v>0</v>
      </c>
      <c r="K33" s="332">
        <f t="shared" si="2"/>
        <v>58260</v>
      </c>
      <c r="L33" s="336"/>
      <c r="M33" s="316">
        <f t="shared" si="3"/>
        <v>201009.65519999992</v>
      </c>
      <c r="N33" s="316"/>
      <c r="O33" s="316"/>
    </row>
    <row r="34" spans="1:15">
      <c r="A34" s="331">
        <v>31</v>
      </c>
      <c r="B34" s="234" t="s">
        <v>127</v>
      </c>
      <c r="C34" s="172" t="s">
        <v>184</v>
      </c>
      <c r="D34" s="172" t="s">
        <v>185</v>
      </c>
      <c r="E34" s="315">
        <v>100</v>
      </c>
      <c r="F34" s="312">
        <v>90.88</v>
      </c>
      <c r="G34" s="334">
        <f t="shared" si="0"/>
        <v>9088</v>
      </c>
      <c r="H34" s="108">
        <v>5</v>
      </c>
      <c r="I34" s="108">
        <v>102.77</v>
      </c>
      <c r="J34" s="312">
        <f t="shared" si="1"/>
        <v>513.85</v>
      </c>
      <c r="K34" s="315">
        <f t="shared" si="2"/>
        <v>9601.85</v>
      </c>
      <c r="L34" s="313"/>
      <c r="M34" s="312">
        <f t="shared" si="3"/>
        <v>191407.80519999992</v>
      </c>
      <c r="N34" s="314"/>
      <c r="O34" s="314"/>
    </row>
    <row r="35" spans="1:15">
      <c r="A35" s="101">
        <v>32</v>
      </c>
      <c r="B35" s="234" t="s">
        <v>127</v>
      </c>
      <c r="C35" s="172" t="s">
        <v>204</v>
      </c>
      <c r="D35" s="172" t="s">
        <v>177</v>
      </c>
      <c r="E35" s="315">
        <v>0</v>
      </c>
      <c r="F35" s="312">
        <v>0</v>
      </c>
      <c r="G35" s="334">
        <f t="shared" si="0"/>
        <v>0</v>
      </c>
      <c r="H35" s="108">
        <v>3.72</v>
      </c>
      <c r="I35" s="108">
        <v>107.46</v>
      </c>
      <c r="J35" s="312">
        <f t="shared" si="1"/>
        <v>399.75119999999998</v>
      </c>
      <c r="K35" s="315">
        <f t="shared" si="2"/>
        <v>399.75119999999998</v>
      </c>
      <c r="L35" s="313"/>
      <c r="M35" s="312">
        <f t="shared" si="3"/>
        <v>191008.05399999992</v>
      </c>
      <c r="N35" s="314"/>
      <c r="O35" s="314"/>
    </row>
    <row r="36" spans="1:15">
      <c r="A36" s="101">
        <v>33</v>
      </c>
      <c r="B36" s="234" t="s">
        <v>127</v>
      </c>
      <c r="C36" s="172" t="s">
        <v>205</v>
      </c>
      <c r="D36" s="172" t="s">
        <v>187</v>
      </c>
      <c r="E36" s="315">
        <v>433.98</v>
      </c>
      <c r="F36" s="312">
        <v>92.17</v>
      </c>
      <c r="G36" s="334">
        <f t="shared" si="0"/>
        <v>39999.936600000001</v>
      </c>
      <c r="H36" s="108"/>
      <c r="I36" s="108"/>
      <c r="J36" s="312">
        <f t="shared" si="1"/>
        <v>0</v>
      </c>
      <c r="K36" s="315">
        <f t="shared" ref="K36:K40" si="4">G36+J36</f>
        <v>39999.936600000001</v>
      </c>
      <c r="L36" s="313"/>
      <c r="M36" s="312">
        <f t="shared" ref="M36:M73" si="5">M35+L36-K36</f>
        <v>151008.11739999993</v>
      </c>
      <c r="N36" s="314"/>
      <c r="O36" s="314"/>
    </row>
    <row r="37" spans="1:15">
      <c r="A37" s="331">
        <v>34</v>
      </c>
      <c r="B37" s="234" t="s">
        <v>127</v>
      </c>
      <c r="C37" s="172" t="s">
        <v>206</v>
      </c>
      <c r="D37" s="172" t="s">
        <v>187</v>
      </c>
      <c r="E37" s="315">
        <v>300</v>
      </c>
      <c r="F37" s="312">
        <v>92.23</v>
      </c>
      <c r="G37" s="360">
        <f t="shared" si="0"/>
        <v>27669</v>
      </c>
      <c r="H37" s="108">
        <v>20</v>
      </c>
      <c r="I37" s="108">
        <v>104.09</v>
      </c>
      <c r="J37" s="312">
        <f t="shared" si="1"/>
        <v>2081.8000000000002</v>
      </c>
      <c r="K37" s="315">
        <f t="shared" si="4"/>
        <v>29750.799999999999</v>
      </c>
      <c r="L37" s="313"/>
      <c r="M37" s="312">
        <f t="shared" si="5"/>
        <v>121257.31739999993</v>
      </c>
      <c r="N37" s="314"/>
      <c r="O37" s="314"/>
    </row>
    <row r="38" spans="1:15">
      <c r="A38" s="101">
        <v>35</v>
      </c>
      <c r="B38" s="234" t="s">
        <v>127</v>
      </c>
      <c r="C38" s="172" t="s">
        <v>207</v>
      </c>
      <c r="D38" s="172" t="s">
        <v>174</v>
      </c>
      <c r="E38" s="315">
        <v>0</v>
      </c>
      <c r="F38" s="334">
        <v>0</v>
      </c>
      <c r="G38" s="312">
        <f t="shared" si="0"/>
        <v>0</v>
      </c>
      <c r="H38" s="315">
        <v>25</v>
      </c>
      <c r="I38" s="312">
        <v>109.94</v>
      </c>
      <c r="J38" s="312">
        <f t="shared" si="1"/>
        <v>2748.5</v>
      </c>
      <c r="K38" s="315">
        <f t="shared" si="4"/>
        <v>2748.5</v>
      </c>
      <c r="L38" s="313"/>
      <c r="M38" s="312">
        <f t="shared" si="5"/>
        <v>118508.81739999993</v>
      </c>
      <c r="N38" s="314"/>
      <c r="O38" s="314"/>
    </row>
    <row r="39" spans="1:15">
      <c r="A39" s="101">
        <v>36</v>
      </c>
      <c r="B39" s="234" t="s">
        <v>128</v>
      </c>
      <c r="C39" s="172" t="s">
        <v>184</v>
      </c>
      <c r="D39" s="172" t="s">
        <v>185</v>
      </c>
      <c r="E39" s="315">
        <v>50</v>
      </c>
      <c r="F39" s="312">
        <v>90.88</v>
      </c>
      <c r="G39" s="337">
        <f t="shared" si="0"/>
        <v>4544</v>
      </c>
      <c r="H39" s="108"/>
      <c r="I39" s="108"/>
      <c r="J39" s="312">
        <f t="shared" si="1"/>
        <v>0</v>
      </c>
      <c r="K39" s="315">
        <f t="shared" si="4"/>
        <v>4544</v>
      </c>
      <c r="L39" s="313"/>
      <c r="M39" s="312">
        <f t="shared" si="5"/>
        <v>113964.81739999993</v>
      </c>
      <c r="N39" s="314"/>
      <c r="O39" s="314"/>
    </row>
    <row r="40" spans="1:15">
      <c r="A40" s="331">
        <v>37</v>
      </c>
      <c r="B40" s="234" t="s">
        <v>128</v>
      </c>
      <c r="C40" s="172" t="s">
        <v>205</v>
      </c>
      <c r="D40" s="172" t="s">
        <v>187</v>
      </c>
      <c r="E40" s="315">
        <v>433.98</v>
      </c>
      <c r="F40" s="312">
        <v>92.17</v>
      </c>
      <c r="G40" s="337">
        <f t="shared" si="0"/>
        <v>39999.936600000001</v>
      </c>
      <c r="H40" s="108"/>
      <c r="I40" s="108"/>
      <c r="J40" s="312">
        <f t="shared" si="1"/>
        <v>0</v>
      </c>
      <c r="K40" s="315">
        <f t="shared" si="4"/>
        <v>39999.936600000001</v>
      </c>
      <c r="L40" s="313"/>
      <c r="M40" s="312">
        <f t="shared" si="5"/>
        <v>73964.880799999926</v>
      </c>
      <c r="N40" s="314"/>
      <c r="O40" s="314"/>
    </row>
    <row r="41" spans="1:15">
      <c r="A41" s="101">
        <v>38</v>
      </c>
      <c r="B41" s="234" t="s">
        <v>129</v>
      </c>
      <c r="C41" s="172" t="s">
        <v>184</v>
      </c>
      <c r="D41" s="172" t="s">
        <v>185</v>
      </c>
      <c r="E41" s="315">
        <v>50</v>
      </c>
      <c r="F41" s="312">
        <v>90.88</v>
      </c>
      <c r="G41" s="334">
        <f t="shared" si="0"/>
        <v>4544</v>
      </c>
      <c r="H41" s="108"/>
      <c r="I41" s="108"/>
      <c r="J41" s="312">
        <f t="shared" si="1"/>
        <v>0</v>
      </c>
      <c r="K41" s="315">
        <f t="shared" si="2"/>
        <v>4544</v>
      </c>
      <c r="L41" s="313"/>
      <c r="M41" s="312">
        <f t="shared" si="5"/>
        <v>69420.880799999926</v>
      </c>
      <c r="N41" s="312"/>
      <c r="O41" s="312"/>
    </row>
    <row r="42" spans="1:15">
      <c r="A42" s="101">
        <v>39</v>
      </c>
      <c r="B42" s="234" t="s">
        <v>130</v>
      </c>
      <c r="C42" s="172" t="s">
        <v>184</v>
      </c>
      <c r="D42" s="172" t="s">
        <v>185</v>
      </c>
      <c r="E42" s="315">
        <v>172.01</v>
      </c>
      <c r="F42" s="312">
        <v>90.88</v>
      </c>
      <c r="G42" s="334">
        <f t="shared" si="0"/>
        <v>15632.268799999998</v>
      </c>
      <c r="H42" s="108"/>
      <c r="I42" s="108"/>
      <c r="J42" s="312">
        <f t="shared" si="1"/>
        <v>0</v>
      </c>
      <c r="K42" s="315">
        <f t="shared" si="2"/>
        <v>15632.268799999998</v>
      </c>
      <c r="L42" s="313"/>
      <c r="M42" s="312">
        <f t="shared" si="5"/>
        <v>53788.611999999928</v>
      </c>
      <c r="N42" s="312"/>
      <c r="O42" s="312"/>
    </row>
    <row r="43" spans="1:15">
      <c r="A43" s="331">
        <v>40</v>
      </c>
      <c r="B43" s="234" t="s">
        <v>130</v>
      </c>
      <c r="C43" s="172" t="s">
        <v>208</v>
      </c>
      <c r="D43" s="108" t="s">
        <v>177</v>
      </c>
      <c r="E43" s="315"/>
      <c r="F43" s="312"/>
      <c r="G43" s="334">
        <f t="shared" si="0"/>
        <v>0</v>
      </c>
      <c r="H43" s="108">
        <v>3.72</v>
      </c>
      <c r="I43" s="108">
        <v>107.46</v>
      </c>
      <c r="J43" s="312">
        <f>H43*I43</f>
        <v>399.75119999999998</v>
      </c>
      <c r="K43" s="315">
        <f t="shared" si="2"/>
        <v>399.75119999999998</v>
      </c>
      <c r="L43" s="313"/>
      <c r="M43" s="312">
        <f t="shared" si="5"/>
        <v>53388.860799999929</v>
      </c>
      <c r="N43" s="312"/>
      <c r="O43" s="312"/>
    </row>
    <row r="44" spans="1:15">
      <c r="A44" s="101">
        <v>41</v>
      </c>
      <c r="B44" s="234" t="s">
        <v>131</v>
      </c>
      <c r="C44" s="172" t="s">
        <v>209</v>
      </c>
      <c r="D44" s="172" t="s">
        <v>174</v>
      </c>
      <c r="E44" s="315"/>
      <c r="F44" s="312"/>
      <c r="G44" s="334">
        <f t="shared" si="0"/>
        <v>0</v>
      </c>
      <c r="H44" s="108">
        <v>15</v>
      </c>
      <c r="I44" s="108">
        <v>109.39</v>
      </c>
      <c r="J44" s="312">
        <f t="shared" si="1"/>
        <v>1640.85</v>
      </c>
      <c r="K44" s="315">
        <f t="shared" si="2"/>
        <v>1640.85</v>
      </c>
      <c r="L44" s="313"/>
      <c r="M44" s="312">
        <f t="shared" si="5"/>
        <v>51748.010799999931</v>
      </c>
      <c r="N44" s="312"/>
      <c r="O44" s="312"/>
    </row>
    <row r="45" spans="1:15">
      <c r="A45" s="101">
        <v>42</v>
      </c>
      <c r="B45" s="234" t="s">
        <v>131</v>
      </c>
      <c r="C45" s="172" t="s">
        <v>184</v>
      </c>
      <c r="D45" s="172" t="s">
        <v>185</v>
      </c>
      <c r="E45" s="315">
        <v>440</v>
      </c>
      <c r="F45" s="312">
        <v>90.88</v>
      </c>
      <c r="G45" s="334">
        <f t="shared" si="0"/>
        <v>39987.199999999997</v>
      </c>
      <c r="H45" s="108"/>
      <c r="I45" s="108"/>
      <c r="J45" s="312">
        <f t="shared" si="1"/>
        <v>0</v>
      </c>
      <c r="K45" s="315">
        <f t="shared" si="2"/>
        <v>39987.199999999997</v>
      </c>
      <c r="L45" s="313"/>
      <c r="M45" s="312">
        <f t="shared" si="5"/>
        <v>11760.810799999934</v>
      </c>
      <c r="N45" s="312"/>
      <c r="O45" s="312"/>
    </row>
    <row r="46" spans="1:15">
      <c r="A46" s="331">
        <v>43</v>
      </c>
      <c r="B46" s="234" t="s">
        <v>132</v>
      </c>
      <c r="C46" s="108" t="s">
        <v>210</v>
      </c>
      <c r="D46" s="108" t="s">
        <v>170</v>
      </c>
      <c r="E46" s="315">
        <v>49.5</v>
      </c>
      <c r="F46" s="312">
        <v>95.7</v>
      </c>
      <c r="G46" s="334">
        <f t="shared" si="0"/>
        <v>4737.1500000000005</v>
      </c>
      <c r="H46" s="108"/>
      <c r="I46" s="108"/>
      <c r="J46" s="312">
        <f t="shared" si="1"/>
        <v>0</v>
      </c>
      <c r="K46" s="315">
        <f t="shared" si="2"/>
        <v>4737.1500000000005</v>
      </c>
      <c r="L46" s="313"/>
      <c r="M46" s="312">
        <f t="shared" si="5"/>
        <v>7023.6607999999333</v>
      </c>
      <c r="N46" s="312"/>
      <c r="O46" s="312"/>
    </row>
    <row r="47" spans="1:15">
      <c r="A47" s="101">
        <v>44</v>
      </c>
      <c r="B47" s="234" t="s">
        <v>132</v>
      </c>
      <c r="C47" s="172" t="s">
        <v>184</v>
      </c>
      <c r="D47" s="172" t="s">
        <v>185</v>
      </c>
      <c r="E47" s="315"/>
      <c r="F47" s="312"/>
      <c r="G47" s="334">
        <f t="shared" si="0"/>
        <v>0</v>
      </c>
      <c r="H47" s="108">
        <v>16.68</v>
      </c>
      <c r="I47" s="108">
        <v>102.77</v>
      </c>
      <c r="J47" s="312">
        <f t="shared" si="1"/>
        <v>1714.2035999999998</v>
      </c>
      <c r="K47" s="315">
        <f t="shared" si="2"/>
        <v>1714.2035999999998</v>
      </c>
      <c r="L47" s="313"/>
      <c r="M47" s="312">
        <f t="shared" si="5"/>
        <v>5309.4571999999334</v>
      </c>
      <c r="N47" s="314"/>
      <c r="O47" s="314"/>
    </row>
    <row r="48" spans="1:15">
      <c r="A48" s="101">
        <v>45</v>
      </c>
      <c r="B48" s="234" t="s">
        <v>133</v>
      </c>
      <c r="C48" s="172" t="s">
        <v>204</v>
      </c>
      <c r="D48" s="172" t="s">
        <v>177</v>
      </c>
      <c r="E48" s="315"/>
      <c r="F48" s="312"/>
      <c r="G48" s="334">
        <f t="shared" si="0"/>
        <v>0</v>
      </c>
      <c r="H48" s="108">
        <v>4.1900000000000004</v>
      </c>
      <c r="I48" s="358">
        <v>107.46</v>
      </c>
      <c r="J48" s="312">
        <f t="shared" si="1"/>
        <v>450.25740000000002</v>
      </c>
      <c r="K48" s="315">
        <f t="shared" si="2"/>
        <v>450.25740000000002</v>
      </c>
      <c r="L48" s="313">
        <v>200000</v>
      </c>
      <c r="M48" s="312">
        <f t="shared" si="5"/>
        <v>204859.19979999994</v>
      </c>
      <c r="N48" s="314"/>
      <c r="O48" s="314"/>
    </row>
    <row r="49" spans="1:15">
      <c r="A49" s="331">
        <v>46</v>
      </c>
      <c r="B49" s="234" t="s">
        <v>133</v>
      </c>
      <c r="C49" s="172" t="s">
        <v>184</v>
      </c>
      <c r="D49" s="108" t="s">
        <v>185</v>
      </c>
      <c r="E49" s="315">
        <v>255</v>
      </c>
      <c r="F49" s="312">
        <v>90.88</v>
      </c>
      <c r="G49" s="334">
        <f t="shared" si="0"/>
        <v>23174.399999999998</v>
      </c>
      <c r="H49" s="315"/>
      <c r="I49" s="312"/>
      <c r="J49" s="312">
        <f t="shared" si="1"/>
        <v>0</v>
      </c>
      <c r="K49" s="315">
        <f t="shared" si="2"/>
        <v>23174.399999999998</v>
      </c>
      <c r="L49" s="313"/>
      <c r="M49" s="312">
        <f t="shared" si="5"/>
        <v>181684.79979999995</v>
      </c>
      <c r="N49" s="314"/>
      <c r="O49" s="314"/>
    </row>
    <row r="50" spans="1:15">
      <c r="A50" s="101">
        <v>47</v>
      </c>
      <c r="B50" s="234" t="s">
        <v>133</v>
      </c>
      <c r="C50" s="108" t="s">
        <v>211</v>
      </c>
      <c r="D50" s="108" t="s">
        <v>174</v>
      </c>
      <c r="E50" s="315"/>
      <c r="F50" s="312"/>
      <c r="G50" s="334">
        <f t="shared" si="0"/>
        <v>0</v>
      </c>
      <c r="H50" s="108">
        <v>20</v>
      </c>
      <c r="I50" s="108">
        <v>109.01</v>
      </c>
      <c r="J50" s="312">
        <f t="shared" si="1"/>
        <v>2180.2000000000003</v>
      </c>
      <c r="K50" s="315">
        <f t="shared" si="2"/>
        <v>2180.2000000000003</v>
      </c>
      <c r="L50" s="313"/>
      <c r="M50" s="312">
        <f t="shared" si="5"/>
        <v>179504.59979999994</v>
      </c>
      <c r="N50" s="314"/>
      <c r="O50" s="314"/>
    </row>
    <row r="51" spans="1:15">
      <c r="A51" s="101">
        <v>48</v>
      </c>
      <c r="B51" s="234" t="s">
        <v>105</v>
      </c>
      <c r="C51" s="108" t="s">
        <v>167</v>
      </c>
      <c r="D51" s="172" t="s">
        <v>168</v>
      </c>
      <c r="E51" s="315">
        <v>50.28</v>
      </c>
      <c r="F51" s="312">
        <v>96.42</v>
      </c>
      <c r="G51" s="334">
        <f t="shared" si="0"/>
        <v>4847.9976000000006</v>
      </c>
      <c r="H51" s="108"/>
      <c r="I51" s="108"/>
      <c r="J51" s="312">
        <f t="shared" si="1"/>
        <v>0</v>
      </c>
      <c r="K51" s="315">
        <f t="shared" si="2"/>
        <v>4847.9976000000006</v>
      </c>
      <c r="L51" s="313"/>
      <c r="M51" s="312">
        <f t="shared" si="5"/>
        <v>174656.60219999994</v>
      </c>
      <c r="N51" s="312"/>
      <c r="O51" s="312"/>
    </row>
    <row r="52" spans="1:15">
      <c r="A52" s="331">
        <v>49</v>
      </c>
      <c r="B52" s="234" t="s">
        <v>105</v>
      </c>
      <c r="C52" s="172" t="s">
        <v>197</v>
      </c>
      <c r="D52" s="172" t="s">
        <v>172</v>
      </c>
      <c r="E52" s="315">
        <v>1642.58</v>
      </c>
      <c r="F52" s="312">
        <v>91.32</v>
      </c>
      <c r="G52" s="334">
        <f t="shared" si="0"/>
        <v>150000.40559999997</v>
      </c>
      <c r="H52" s="108"/>
      <c r="I52" s="108"/>
      <c r="J52" s="312">
        <f t="shared" si="1"/>
        <v>0</v>
      </c>
      <c r="K52" s="315">
        <f t="shared" si="2"/>
        <v>150000.40559999997</v>
      </c>
      <c r="L52" s="313"/>
      <c r="M52" s="312">
        <f t="shared" si="5"/>
        <v>24656.196599999967</v>
      </c>
      <c r="N52" s="312"/>
      <c r="O52" s="312"/>
    </row>
    <row r="53" spans="1:15">
      <c r="A53" s="101">
        <v>50</v>
      </c>
      <c r="B53" s="234" t="s">
        <v>105</v>
      </c>
      <c r="C53" s="172" t="s">
        <v>184</v>
      </c>
      <c r="D53" s="108" t="s">
        <v>185</v>
      </c>
      <c r="E53" s="315">
        <v>150</v>
      </c>
      <c r="F53" s="312">
        <v>90.88</v>
      </c>
      <c r="G53" s="334">
        <f t="shared" si="0"/>
        <v>13632</v>
      </c>
      <c r="H53" s="108"/>
      <c r="I53" s="108"/>
      <c r="J53" s="312">
        <f t="shared" si="1"/>
        <v>0</v>
      </c>
      <c r="K53" s="315">
        <f t="shared" si="2"/>
        <v>13632</v>
      </c>
      <c r="L53" s="313"/>
      <c r="M53" s="312">
        <f t="shared" si="5"/>
        <v>11024.196599999967</v>
      </c>
      <c r="N53" s="312"/>
      <c r="O53" s="312"/>
    </row>
    <row r="54" spans="1:15">
      <c r="A54" s="101">
        <v>51</v>
      </c>
      <c r="B54" s="234" t="s">
        <v>105</v>
      </c>
      <c r="C54" s="172" t="s">
        <v>204</v>
      </c>
      <c r="D54" s="172" t="s">
        <v>181</v>
      </c>
      <c r="E54" s="358">
        <v>21.94</v>
      </c>
      <c r="F54" s="312">
        <v>95.7</v>
      </c>
      <c r="G54" s="334">
        <f t="shared" si="0"/>
        <v>2099.6580000000004</v>
      </c>
      <c r="H54" s="108"/>
      <c r="I54" s="108"/>
      <c r="J54" s="312">
        <f t="shared" si="1"/>
        <v>0</v>
      </c>
      <c r="K54" s="315">
        <f t="shared" si="2"/>
        <v>2099.6580000000004</v>
      </c>
      <c r="L54" s="313"/>
      <c r="M54" s="312">
        <f t="shared" si="5"/>
        <v>8924.5385999999671</v>
      </c>
      <c r="N54" s="312"/>
      <c r="O54" s="312"/>
    </row>
    <row r="55" spans="1:15">
      <c r="A55" s="331">
        <v>52</v>
      </c>
      <c r="B55" s="234" t="s">
        <v>212</v>
      </c>
      <c r="C55" s="108" t="s">
        <v>213</v>
      </c>
      <c r="D55" s="108" t="s">
        <v>196</v>
      </c>
      <c r="E55" s="315">
        <v>39.21</v>
      </c>
      <c r="F55" s="312">
        <v>96.83</v>
      </c>
      <c r="G55" s="334">
        <f t="shared" si="0"/>
        <v>3796.7042999999999</v>
      </c>
      <c r="H55" s="108"/>
      <c r="I55" s="108"/>
      <c r="J55" s="312">
        <f t="shared" si="1"/>
        <v>0</v>
      </c>
      <c r="K55" s="315">
        <f t="shared" si="2"/>
        <v>3796.7042999999999</v>
      </c>
      <c r="L55" s="313">
        <v>28971</v>
      </c>
      <c r="M55" s="312">
        <f t="shared" si="5"/>
        <v>34098.834299999973</v>
      </c>
      <c r="N55" s="314"/>
      <c r="O55" s="314"/>
    </row>
    <row r="56" spans="1:15">
      <c r="A56" s="101">
        <v>53</v>
      </c>
      <c r="B56" s="234" t="s">
        <v>212</v>
      </c>
      <c r="C56" s="172" t="s">
        <v>184</v>
      </c>
      <c r="D56" s="108" t="s">
        <v>185</v>
      </c>
      <c r="E56" s="315">
        <v>135.5</v>
      </c>
      <c r="F56" s="312">
        <v>90.88</v>
      </c>
      <c r="G56" s="334">
        <f t="shared" si="0"/>
        <v>12314.24</v>
      </c>
      <c r="H56" s="108"/>
      <c r="I56" s="108"/>
      <c r="J56" s="312">
        <f t="shared" si="1"/>
        <v>0</v>
      </c>
      <c r="K56" s="315">
        <f t="shared" si="2"/>
        <v>12314.24</v>
      </c>
      <c r="L56" s="313"/>
      <c r="M56" s="312">
        <f t="shared" si="5"/>
        <v>21784.594299999975</v>
      </c>
      <c r="N56" s="312"/>
      <c r="O56" s="312"/>
    </row>
    <row r="57" spans="1:15">
      <c r="A57" s="101">
        <v>54</v>
      </c>
      <c r="B57" s="234" t="s">
        <v>214</v>
      </c>
      <c r="C57" s="172" t="s">
        <v>215</v>
      </c>
      <c r="D57" s="172" t="s">
        <v>174</v>
      </c>
      <c r="E57" s="315">
        <v>41.31</v>
      </c>
      <c r="F57" s="312">
        <v>96.82</v>
      </c>
      <c r="G57" s="334">
        <f t="shared" si="0"/>
        <v>3999.6342</v>
      </c>
      <c r="H57" s="108">
        <v>10</v>
      </c>
      <c r="I57" s="108">
        <v>108.95</v>
      </c>
      <c r="J57" s="312">
        <f t="shared" si="1"/>
        <v>1089.5</v>
      </c>
      <c r="K57" s="315">
        <f t="shared" si="2"/>
        <v>5089.1342000000004</v>
      </c>
      <c r="L57" s="313"/>
      <c r="M57" s="312">
        <f t="shared" si="5"/>
        <v>16695.460099999975</v>
      </c>
      <c r="N57" s="314"/>
      <c r="O57" s="314"/>
    </row>
    <row r="58" spans="1:15">
      <c r="A58" s="331">
        <v>55</v>
      </c>
      <c r="B58" s="234" t="s">
        <v>216</v>
      </c>
      <c r="C58" s="172" t="s">
        <v>184</v>
      </c>
      <c r="D58" s="108" t="s">
        <v>185</v>
      </c>
      <c r="E58" s="315">
        <v>20</v>
      </c>
      <c r="F58" s="312">
        <v>90.88</v>
      </c>
      <c r="G58" s="334">
        <f t="shared" si="0"/>
        <v>1817.6</v>
      </c>
      <c r="H58" s="108">
        <v>5</v>
      </c>
      <c r="I58" s="108">
        <v>102.77</v>
      </c>
      <c r="J58" s="312">
        <f t="shared" si="1"/>
        <v>513.85</v>
      </c>
      <c r="K58" s="315">
        <f t="shared" si="2"/>
        <v>2331.4499999999998</v>
      </c>
      <c r="L58" s="313"/>
      <c r="M58" s="312">
        <f t="shared" si="5"/>
        <v>14364.010099999974</v>
      </c>
      <c r="N58" s="312"/>
      <c r="O58" s="312"/>
    </row>
    <row r="59" spans="1:15">
      <c r="A59" s="331"/>
      <c r="B59" s="234" t="s">
        <v>216</v>
      </c>
      <c r="C59" s="172" t="s">
        <v>215</v>
      </c>
      <c r="D59" s="108" t="s">
        <v>174</v>
      </c>
      <c r="E59" s="315">
        <v>20.66</v>
      </c>
      <c r="F59" s="312">
        <v>96.82</v>
      </c>
      <c r="G59" s="334">
        <f t="shared" si="0"/>
        <v>2000.3011999999999</v>
      </c>
      <c r="H59" s="108"/>
      <c r="I59" s="108"/>
      <c r="J59" s="312"/>
      <c r="K59" s="315">
        <f t="shared" si="2"/>
        <v>2000.3011999999999</v>
      </c>
      <c r="L59" s="313"/>
      <c r="M59" s="312">
        <f t="shared" si="5"/>
        <v>12363.708899999974</v>
      </c>
      <c r="N59" s="312"/>
      <c r="O59" s="312"/>
    </row>
    <row r="60" spans="1:15">
      <c r="A60" s="101">
        <v>56</v>
      </c>
      <c r="B60" s="234" t="s">
        <v>216</v>
      </c>
      <c r="C60" s="172" t="s">
        <v>217</v>
      </c>
      <c r="D60" s="172" t="s">
        <v>218</v>
      </c>
      <c r="E60" s="315">
        <v>0</v>
      </c>
      <c r="F60" s="312">
        <v>0</v>
      </c>
      <c r="G60" s="334">
        <f t="shared" ref="G5:G75" si="6">E60*F60</f>
        <v>0</v>
      </c>
      <c r="H60" s="108">
        <v>4.2</v>
      </c>
      <c r="I60" s="108">
        <v>107.46</v>
      </c>
      <c r="J60" s="312">
        <f t="shared" si="1"/>
        <v>451.33199999999999</v>
      </c>
      <c r="K60" s="315">
        <f t="shared" si="2"/>
        <v>451.33199999999999</v>
      </c>
      <c r="L60" s="313"/>
      <c r="M60" s="312">
        <f t="shared" si="5"/>
        <v>11912.376899999974</v>
      </c>
      <c r="N60" s="312"/>
      <c r="O60" s="312"/>
    </row>
    <row r="61" spans="1:15">
      <c r="A61" s="101">
        <v>57</v>
      </c>
      <c r="B61" s="234" t="s">
        <v>219</v>
      </c>
      <c r="C61" s="172" t="s">
        <v>184</v>
      </c>
      <c r="D61" s="172" t="s">
        <v>185</v>
      </c>
      <c r="E61" s="312">
        <v>110.04</v>
      </c>
      <c r="F61" s="312">
        <v>90.88</v>
      </c>
      <c r="G61" s="334">
        <f t="shared" si="6"/>
        <v>10000.4352</v>
      </c>
      <c r="H61" s="108"/>
      <c r="I61" s="108"/>
      <c r="J61" s="312">
        <f t="shared" si="1"/>
        <v>0</v>
      </c>
      <c r="K61" s="315">
        <f t="shared" si="2"/>
        <v>10000.4352</v>
      </c>
      <c r="L61" s="313">
        <v>100000</v>
      </c>
      <c r="M61" s="312">
        <f t="shared" si="5"/>
        <v>101911.94169999997</v>
      </c>
      <c r="N61" s="312"/>
      <c r="O61" s="312"/>
    </row>
    <row r="62" spans="1:15">
      <c r="A62" s="331">
        <v>58</v>
      </c>
      <c r="B62" s="359" t="s">
        <v>138</v>
      </c>
      <c r="C62" s="346" t="s">
        <v>176</v>
      </c>
      <c r="D62" s="346" t="s">
        <v>181</v>
      </c>
      <c r="E62" s="314">
        <v>32.39</v>
      </c>
      <c r="F62" s="314">
        <v>95.7</v>
      </c>
      <c r="G62" s="360">
        <f t="shared" si="6"/>
        <v>3099.723</v>
      </c>
      <c r="H62" s="338"/>
      <c r="I62" s="338"/>
      <c r="J62" s="314">
        <f t="shared" si="1"/>
        <v>0</v>
      </c>
      <c r="K62" s="344">
        <f t="shared" si="2"/>
        <v>3099.723</v>
      </c>
      <c r="L62" s="361"/>
      <c r="M62" s="314">
        <f t="shared" si="5"/>
        <v>98812.218699999969</v>
      </c>
      <c r="N62" s="190"/>
      <c r="O62" s="190"/>
    </row>
    <row r="63" spans="1:15">
      <c r="A63" s="101">
        <v>59</v>
      </c>
      <c r="B63" s="234" t="s">
        <v>139</v>
      </c>
      <c r="C63" s="108" t="s">
        <v>220</v>
      </c>
      <c r="D63" s="172" t="s">
        <v>170</v>
      </c>
      <c r="E63" s="108">
        <v>47.95</v>
      </c>
      <c r="F63" s="108">
        <v>95.7</v>
      </c>
      <c r="G63" s="312">
        <f t="shared" si="6"/>
        <v>4588.8150000000005</v>
      </c>
      <c r="H63" s="108"/>
      <c r="I63" s="108"/>
      <c r="J63" s="312">
        <f t="shared" si="1"/>
        <v>0</v>
      </c>
      <c r="K63" s="312">
        <f t="shared" si="2"/>
        <v>4588.8150000000005</v>
      </c>
      <c r="L63" s="313">
        <v>1100000</v>
      </c>
      <c r="M63" s="312">
        <f t="shared" si="5"/>
        <v>1194223.4037000001</v>
      </c>
      <c r="N63" s="374"/>
      <c r="O63" s="190"/>
    </row>
    <row r="64" spans="1:15">
      <c r="A64" s="101">
        <v>60</v>
      </c>
      <c r="B64" s="234" t="s">
        <v>139</v>
      </c>
      <c r="C64" s="108" t="s">
        <v>221</v>
      </c>
      <c r="D64" s="172" t="s">
        <v>177</v>
      </c>
      <c r="E64" s="108">
        <v>15.67</v>
      </c>
      <c r="F64" s="108">
        <v>95.7</v>
      </c>
      <c r="G64" s="312">
        <f t="shared" si="6"/>
        <v>1499.6190000000001</v>
      </c>
      <c r="H64" s="312"/>
      <c r="I64" s="312"/>
      <c r="J64" s="312">
        <f t="shared" ref="J64:J78" si="7">H64*I64</f>
        <v>0</v>
      </c>
      <c r="K64" s="312">
        <f t="shared" ref="K64:K78" si="8">G64+J64</f>
        <v>1499.6190000000001</v>
      </c>
      <c r="L64" s="313"/>
      <c r="M64" s="312">
        <f t="shared" si="5"/>
        <v>1192723.7847000002</v>
      </c>
      <c r="N64" s="374"/>
      <c r="O64" s="190"/>
    </row>
    <row r="65" spans="1:15">
      <c r="A65" s="331">
        <v>61</v>
      </c>
      <c r="B65" s="234" t="s">
        <v>139</v>
      </c>
      <c r="C65" s="108" t="s">
        <v>222</v>
      </c>
      <c r="D65" s="172" t="s">
        <v>187</v>
      </c>
      <c r="E65" s="108">
        <v>270</v>
      </c>
      <c r="F65" s="108">
        <v>92.23</v>
      </c>
      <c r="G65" s="312">
        <f t="shared" si="6"/>
        <v>24902.100000000002</v>
      </c>
      <c r="H65" s="312"/>
      <c r="I65" s="312"/>
      <c r="J65" s="312">
        <f t="shared" si="7"/>
        <v>0</v>
      </c>
      <c r="K65" s="312">
        <f t="shared" si="8"/>
        <v>24902.100000000002</v>
      </c>
      <c r="L65" s="313"/>
      <c r="M65" s="312">
        <f t="shared" si="5"/>
        <v>1167821.6847000001</v>
      </c>
      <c r="N65" s="374"/>
      <c r="O65" s="190"/>
    </row>
    <row r="66" spans="1:15">
      <c r="A66" s="101">
        <v>62</v>
      </c>
      <c r="B66" s="234" t="s">
        <v>139</v>
      </c>
      <c r="C66" s="108" t="s">
        <v>223</v>
      </c>
      <c r="D66" s="172" t="s">
        <v>187</v>
      </c>
      <c r="E66" s="108">
        <v>325.49</v>
      </c>
      <c r="F66" s="108">
        <v>92.17</v>
      </c>
      <c r="G66" s="312">
        <f t="shared" si="6"/>
        <v>30000.4133</v>
      </c>
      <c r="H66" s="312"/>
      <c r="I66" s="312"/>
      <c r="J66" s="312">
        <f t="shared" si="7"/>
        <v>0</v>
      </c>
      <c r="K66" s="312">
        <f t="shared" si="8"/>
        <v>30000.4133</v>
      </c>
      <c r="L66" s="313"/>
      <c r="M66" s="312">
        <f t="shared" si="5"/>
        <v>1137821.2714000002</v>
      </c>
      <c r="N66" s="375"/>
      <c r="O66" s="317"/>
    </row>
    <row r="67" spans="1:15">
      <c r="A67" s="101">
        <v>63</v>
      </c>
      <c r="B67" s="234" t="s">
        <v>140</v>
      </c>
      <c r="C67" s="172" t="s">
        <v>184</v>
      </c>
      <c r="D67" s="347" t="s">
        <v>185</v>
      </c>
      <c r="E67" s="316">
        <v>187.24</v>
      </c>
      <c r="F67" s="316">
        <v>90.88</v>
      </c>
      <c r="G67" s="316">
        <f t="shared" si="6"/>
        <v>17016.371200000001</v>
      </c>
      <c r="H67" s="316"/>
      <c r="I67" s="316"/>
      <c r="J67" s="316">
        <f t="shared" si="7"/>
        <v>0</v>
      </c>
      <c r="K67" s="316">
        <f t="shared" si="8"/>
        <v>17016.371200000001</v>
      </c>
      <c r="L67" s="336"/>
      <c r="M67" s="316">
        <f t="shared" si="5"/>
        <v>1120804.9002000003</v>
      </c>
      <c r="N67" s="190"/>
      <c r="O67" s="190"/>
    </row>
    <row r="68" spans="1:15">
      <c r="A68" s="331">
        <v>64</v>
      </c>
      <c r="B68" s="234" t="s">
        <v>140</v>
      </c>
      <c r="C68" s="108" t="s">
        <v>222</v>
      </c>
      <c r="D68" s="172" t="s">
        <v>187</v>
      </c>
      <c r="E68" s="312">
        <v>180</v>
      </c>
      <c r="F68" s="312">
        <v>92.23</v>
      </c>
      <c r="G68" s="312">
        <f t="shared" si="6"/>
        <v>16601.400000000001</v>
      </c>
      <c r="H68" s="358">
        <v>30</v>
      </c>
      <c r="I68" s="358">
        <v>104.09</v>
      </c>
      <c r="J68" s="312">
        <f t="shared" si="7"/>
        <v>3122.7000000000003</v>
      </c>
      <c r="K68" s="312">
        <f t="shared" si="8"/>
        <v>19724.100000000002</v>
      </c>
      <c r="L68" s="313"/>
      <c r="M68" s="312">
        <f t="shared" si="5"/>
        <v>1101080.8002000002</v>
      </c>
      <c r="N68" s="190"/>
      <c r="O68" s="190"/>
    </row>
    <row r="69" spans="1:15">
      <c r="A69" s="101">
        <v>65</v>
      </c>
      <c r="B69" s="234" t="s">
        <v>144</v>
      </c>
      <c r="C69" s="108" t="s">
        <v>167</v>
      </c>
      <c r="D69" s="172" t="s">
        <v>168</v>
      </c>
      <c r="E69" s="312">
        <v>5186.66</v>
      </c>
      <c r="F69" s="312">
        <v>96.42</v>
      </c>
      <c r="G69" s="312">
        <f t="shared" si="6"/>
        <v>500097.75719999999</v>
      </c>
      <c r="H69" s="312"/>
      <c r="I69" s="312"/>
      <c r="J69" s="312">
        <f t="shared" si="7"/>
        <v>0</v>
      </c>
      <c r="K69" s="312">
        <v>500000</v>
      </c>
      <c r="L69" s="313"/>
      <c r="M69" s="312">
        <f t="shared" si="5"/>
        <v>601080.80020000017</v>
      </c>
      <c r="N69" s="190"/>
      <c r="O69" s="190"/>
    </row>
    <row r="70" spans="1:15">
      <c r="A70" s="101">
        <v>66</v>
      </c>
      <c r="B70" s="234" t="s">
        <v>144</v>
      </c>
      <c r="C70" s="108" t="s">
        <v>167</v>
      </c>
      <c r="D70" s="172" t="s">
        <v>170</v>
      </c>
      <c r="E70" s="312">
        <v>43.35</v>
      </c>
      <c r="F70" s="312">
        <v>96.42</v>
      </c>
      <c r="G70" s="312">
        <f t="shared" si="6"/>
        <v>4179.8069999999998</v>
      </c>
      <c r="H70" s="312"/>
      <c r="I70" s="312"/>
      <c r="J70" s="312">
        <f t="shared" si="7"/>
        <v>0</v>
      </c>
      <c r="K70" s="312">
        <f t="shared" si="8"/>
        <v>4179.8069999999998</v>
      </c>
      <c r="L70" s="313"/>
      <c r="M70" s="312">
        <f t="shared" si="5"/>
        <v>596900.99320000014</v>
      </c>
      <c r="N70" s="317"/>
      <c r="O70" s="317"/>
    </row>
    <row r="71" spans="1:15">
      <c r="A71" s="331">
        <v>67</v>
      </c>
      <c r="B71" s="234" t="s">
        <v>144</v>
      </c>
      <c r="C71" s="172" t="s">
        <v>171</v>
      </c>
      <c r="D71" s="172" t="s">
        <v>172</v>
      </c>
      <c r="E71" s="312">
        <v>3285.7</v>
      </c>
      <c r="F71" s="312">
        <v>91.32</v>
      </c>
      <c r="G71" s="312">
        <f t="shared" si="6"/>
        <v>300050.12399999995</v>
      </c>
      <c r="H71" s="312"/>
      <c r="I71" s="312"/>
      <c r="J71" s="312">
        <f t="shared" si="7"/>
        <v>0</v>
      </c>
      <c r="K71" s="312">
        <f>G71+J71</f>
        <v>300050.12399999995</v>
      </c>
      <c r="L71" s="313"/>
      <c r="M71" s="312">
        <f t="shared" si="5"/>
        <v>296850.86920000019</v>
      </c>
      <c r="N71" s="190"/>
      <c r="O71" s="190"/>
    </row>
    <row r="72" spans="1:15">
      <c r="A72" s="101">
        <v>68</v>
      </c>
      <c r="B72" s="234" t="s">
        <v>144</v>
      </c>
      <c r="C72" s="108" t="s">
        <v>223</v>
      </c>
      <c r="D72" s="172" t="s">
        <v>187</v>
      </c>
      <c r="E72" s="312">
        <v>519.91</v>
      </c>
      <c r="F72" s="312">
        <v>92.17</v>
      </c>
      <c r="G72" s="312">
        <f t="shared" si="6"/>
        <v>47920.104699999996</v>
      </c>
      <c r="H72" s="312">
        <v>19.989999999999998</v>
      </c>
      <c r="I72" s="312">
        <v>104.03</v>
      </c>
      <c r="J72" s="312">
        <f t="shared" si="7"/>
        <v>2079.5596999999998</v>
      </c>
      <c r="K72" s="312">
        <f t="shared" si="8"/>
        <v>49999.664399999994</v>
      </c>
      <c r="L72" s="313"/>
      <c r="M72" s="312">
        <f t="shared" si="5"/>
        <v>246851.20480000018</v>
      </c>
      <c r="N72" s="317"/>
      <c r="O72" s="317"/>
    </row>
    <row r="73" spans="1:15">
      <c r="A73" s="101">
        <v>69</v>
      </c>
      <c r="B73" s="234" t="s">
        <v>142</v>
      </c>
      <c r="C73" s="172" t="s">
        <v>194</v>
      </c>
      <c r="D73" s="358" t="s">
        <v>177</v>
      </c>
      <c r="E73" s="312">
        <v>0</v>
      </c>
      <c r="F73" s="312"/>
      <c r="G73" s="312">
        <f t="shared" si="6"/>
        <v>0</v>
      </c>
      <c r="H73" s="358">
        <v>4.24</v>
      </c>
      <c r="I73" s="358">
        <v>107.46</v>
      </c>
      <c r="J73" s="312">
        <f t="shared" si="7"/>
        <v>455.63040000000001</v>
      </c>
      <c r="K73" s="312">
        <f t="shared" si="8"/>
        <v>455.63040000000001</v>
      </c>
      <c r="L73" s="313"/>
      <c r="M73" s="312">
        <f t="shared" si="5"/>
        <v>246395.57440000019</v>
      </c>
      <c r="N73" s="317"/>
      <c r="O73" s="317"/>
    </row>
    <row r="74" spans="1:15">
      <c r="A74" s="331">
        <v>70</v>
      </c>
      <c r="B74" s="234" t="s">
        <v>142</v>
      </c>
      <c r="C74" s="172" t="s">
        <v>224</v>
      </c>
      <c r="D74" s="172" t="s">
        <v>172</v>
      </c>
      <c r="E74" s="312">
        <v>427.35</v>
      </c>
      <c r="F74" s="312">
        <v>91.26</v>
      </c>
      <c r="G74" s="312">
        <f t="shared" si="6"/>
        <v>38999.961000000003</v>
      </c>
      <c r="H74" s="312">
        <v>3</v>
      </c>
      <c r="I74" s="312">
        <v>103.18</v>
      </c>
      <c r="J74" s="312">
        <f t="shared" si="7"/>
        <v>309.54000000000002</v>
      </c>
      <c r="K74" s="312">
        <f t="shared" si="8"/>
        <v>39309.501000000004</v>
      </c>
      <c r="L74" s="313"/>
      <c r="M74" s="312">
        <f t="shared" si="3"/>
        <v>207086.07340000017</v>
      </c>
      <c r="N74" s="190"/>
      <c r="O74" s="190"/>
    </row>
    <row r="75" spans="1:15">
      <c r="A75" s="101">
        <v>71</v>
      </c>
      <c r="B75" s="234" t="s">
        <v>142</v>
      </c>
      <c r="C75" s="172" t="s">
        <v>225</v>
      </c>
      <c r="D75" s="172" t="s">
        <v>187</v>
      </c>
      <c r="E75" s="312">
        <v>433.98</v>
      </c>
      <c r="F75" s="312">
        <v>92.17</v>
      </c>
      <c r="G75" s="312">
        <f t="shared" si="6"/>
        <v>39999.936600000001</v>
      </c>
      <c r="H75" s="312"/>
      <c r="I75" s="312"/>
      <c r="J75" s="312">
        <f t="shared" si="7"/>
        <v>0</v>
      </c>
      <c r="K75" s="312">
        <f t="shared" si="8"/>
        <v>39999.936600000001</v>
      </c>
      <c r="L75" s="313"/>
      <c r="M75" s="312">
        <f t="shared" si="3"/>
        <v>167086.13680000015</v>
      </c>
      <c r="N75" s="317"/>
      <c r="O75" s="317"/>
    </row>
    <row r="76" spans="1:15">
      <c r="A76" s="101">
        <v>72</v>
      </c>
      <c r="B76" s="234" t="s">
        <v>153</v>
      </c>
      <c r="C76" s="172" t="s">
        <v>224</v>
      </c>
      <c r="D76" s="172" t="s">
        <v>172</v>
      </c>
      <c r="E76" s="312">
        <v>317.77</v>
      </c>
      <c r="F76" s="312">
        <v>91.26</v>
      </c>
      <c r="G76" s="312">
        <f t="shared" ref="G76:G79" si="9">E76*F76</f>
        <v>28999.690200000001</v>
      </c>
      <c r="H76" s="312">
        <v>2.98</v>
      </c>
      <c r="I76" s="312">
        <v>103.18</v>
      </c>
      <c r="J76" s="312">
        <f t="shared" si="7"/>
        <v>307.47640000000001</v>
      </c>
      <c r="K76" s="312">
        <f t="shared" si="8"/>
        <v>29307.1666</v>
      </c>
      <c r="L76" s="313"/>
      <c r="M76" s="312">
        <f t="shared" si="3"/>
        <v>137778.97020000016</v>
      </c>
      <c r="N76" s="190"/>
      <c r="O76" s="190"/>
    </row>
    <row r="77" spans="1:15">
      <c r="A77" s="331">
        <v>73</v>
      </c>
      <c r="B77" s="234" t="s">
        <v>153</v>
      </c>
      <c r="C77" s="172" t="s">
        <v>226</v>
      </c>
      <c r="D77" s="172" t="s">
        <v>193</v>
      </c>
      <c r="E77" s="312">
        <v>80</v>
      </c>
      <c r="F77" s="312">
        <v>95.72</v>
      </c>
      <c r="G77" s="312">
        <f t="shared" si="9"/>
        <v>7657.6</v>
      </c>
      <c r="H77" s="312"/>
      <c r="I77" s="312"/>
      <c r="J77" s="312">
        <f t="shared" si="7"/>
        <v>0</v>
      </c>
      <c r="K77" s="312">
        <f t="shared" si="8"/>
        <v>7657.6</v>
      </c>
      <c r="L77" s="312"/>
      <c r="M77" s="312">
        <f t="shared" ref="M77:M86" si="10">M76+L77-K77</f>
        <v>130121.37020000015</v>
      </c>
      <c r="N77" s="190"/>
      <c r="O77" s="190"/>
    </row>
    <row r="78" spans="1:15">
      <c r="A78" s="101">
        <v>74</v>
      </c>
      <c r="B78" s="234" t="s">
        <v>153</v>
      </c>
      <c r="C78" s="172" t="s">
        <v>186</v>
      </c>
      <c r="D78" s="172" t="s">
        <v>187</v>
      </c>
      <c r="E78" s="312">
        <v>190</v>
      </c>
      <c r="F78" s="312">
        <v>92.23</v>
      </c>
      <c r="G78" s="312">
        <f t="shared" si="9"/>
        <v>17523.7</v>
      </c>
      <c r="H78" s="312">
        <v>20</v>
      </c>
      <c r="I78" s="312">
        <v>104.09</v>
      </c>
      <c r="J78" s="312">
        <f t="shared" si="7"/>
        <v>2081.8000000000002</v>
      </c>
      <c r="K78" s="312">
        <f t="shared" si="8"/>
        <v>19605.5</v>
      </c>
      <c r="L78" s="312"/>
      <c r="M78" s="312">
        <f t="shared" si="10"/>
        <v>110515.87020000015</v>
      </c>
      <c r="N78" s="190"/>
      <c r="O78" s="190"/>
    </row>
    <row r="79" spans="1:15">
      <c r="A79" s="101">
        <v>75</v>
      </c>
      <c r="B79" s="234" t="s">
        <v>153</v>
      </c>
      <c r="C79" s="172" t="s">
        <v>227</v>
      </c>
      <c r="D79" s="172" t="s">
        <v>187</v>
      </c>
      <c r="E79" s="312">
        <v>195.07</v>
      </c>
      <c r="F79" s="312">
        <v>92.17</v>
      </c>
      <c r="G79" s="312">
        <f t="shared" si="9"/>
        <v>17979.601900000001</v>
      </c>
      <c r="H79" s="312">
        <v>19.989999999999998</v>
      </c>
      <c r="I79" s="312">
        <v>104.09</v>
      </c>
      <c r="J79" s="312">
        <f t="shared" ref="J79:J86" si="11">H79*I79</f>
        <v>2080.7590999999998</v>
      </c>
      <c r="K79" s="312">
        <f t="shared" ref="K79:K86" si="12">G79+J79</f>
        <v>20060.361000000001</v>
      </c>
      <c r="L79" s="312"/>
      <c r="M79" s="312">
        <f t="shared" si="10"/>
        <v>90455.509200000146</v>
      </c>
      <c r="N79" s="190"/>
      <c r="O79" s="190"/>
    </row>
    <row r="80" spans="1:15">
      <c r="A80" s="331">
        <v>76</v>
      </c>
      <c r="B80" s="234"/>
      <c r="C80" s="172"/>
      <c r="D80" s="172"/>
      <c r="E80" s="312">
        <v>0</v>
      </c>
      <c r="F80" s="312">
        <v>0</v>
      </c>
      <c r="G80" s="312">
        <f t="shared" ref="G79:G86" si="13">E80*F80</f>
        <v>0</v>
      </c>
      <c r="H80" s="312"/>
      <c r="I80" s="312"/>
      <c r="J80" s="312">
        <f t="shared" si="11"/>
        <v>0</v>
      </c>
      <c r="K80" s="312">
        <f t="shared" si="12"/>
        <v>0</v>
      </c>
      <c r="L80" s="312"/>
      <c r="M80" s="312">
        <f t="shared" si="10"/>
        <v>90455.509200000146</v>
      </c>
      <c r="N80" s="190"/>
      <c r="O80" s="190"/>
    </row>
    <row r="81" spans="1:15">
      <c r="A81" s="101">
        <v>77</v>
      </c>
      <c r="B81" s="234"/>
      <c r="C81" s="172"/>
      <c r="D81" s="172"/>
      <c r="E81" s="312">
        <v>0</v>
      </c>
      <c r="F81" s="312">
        <v>0</v>
      </c>
      <c r="G81" s="312">
        <f t="shared" si="13"/>
        <v>0</v>
      </c>
      <c r="H81" s="312"/>
      <c r="I81" s="312"/>
      <c r="J81" s="312">
        <f t="shared" si="11"/>
        <v>0</v>
      </c>
      <c r="K81" s="312">
        <f t="shared" si="12"/>
        <v>0</v>
      </c>
      <c r="L81" s="312"/>
      <c r="M81" s="312">
        <f t="shared" si="10"/>
        <v>90455.509200000146</v>
      </c>
      <c r="N81" s="190"/>
      <c r="O81" s="190"/>
    </row>
    <row r="82" spans="1:15">
      <c r="A82" s="101">
        <v>78</v>
      </c>
      <c r="B82" s="234"/>
      <c r="C82" s="172"/>
      <c r="D82" s="172"/>
      <c r="E82" s="312">
        <v>0</v>
      </c>
      <c r="F82" s="312">
        <v>0</v>
      </c>
      <c r="G82" s="312">
        <f t="shared" si="13"/>
        <v>0</v>
      </c>
      <c r="H82" s="312"/>
      <c r="I82" s="312"/>
      <c r="J82" s="312">
        <f t="shared" si="11"/>
        <v>0</v>
      </c>
      <c r="K82" s="312">
        <f t="shared" si="12"/>
        <v>0</v>
      </c>
      <c r="L82" s="312"/>
      <c r="M82" s="312">
        <f t="shared" si="10"/>
        <v>90455.509200000146</v>
      </c>
      <c r="N82" s="190"/>
      <c r="O82" s="190"/>
    </row>
    <row r="83" spans="1:15">
      <c r="A83" s="331">
        <v>79</v>
      </c>
      <c r="B83" s="234"/>
      <c r="C83" s="172"/>
      <c r="D83" s="172"/>
      <c r="E83" s="312">
        <v>0</v>
      </c>
      <c r="F83" s="312">
        <v>0</v>
      </c>
      <c r="G83" s="312">
        <f t="shared" si="13"/>
        <v>0</v>
      </c>
      <c r="H83" s="312"/>
      <c r="I83" s="312"/>
      <c r="J83" s="312">
        <f t="shared" si="11"/>
        <v>0</v>
      </c>
      <c r="K83" s="312">
        <f t="shared" si="12"/>
        <v>0</v>
      </c>
      <c r="L83" s="312"/>
      <c r="M83" s="312">
        <f t="shared" si="10"/>
        <v>90455.509200000146</v>
      </c>
      <c r="N83" s="317"/>
      <c r="O83" s="317"/>
    </row>
    <row r="84" spans="1:15">
      <c r="A84" s="101">
        <v>80</v>
      </c>
      <c r="B84" s="234"/>
      <c r="C84" s="108"/>
      <c r="D84" s="108"/>
      <c r="E84" s="312">
        <v>0</v>
      </c>
      <c r="F84" s="312">
        <v>0</v>
      </c>
      <c r="G84" s="312">
        <f t="shared" si="13"/>
        <v>0</v>
      </c>
      <c r="H84" s="312"/>
      <c r="I84" s="312"/>
      <c r="J84" s="312">
        <f t="shared" si="11"/>
        <v>0</v>
      </c>
      <c r="K84" s="312">
        <f t="shared" si="12"/>
        <v>0</v>
      </c>
      <c r="L84" s="312"/>
      <c r="M84" s="312">
        <f t="shared" si="10"/>
        <v>90455.509200000146</v>
      </c>
      <c r="N84" s="190"/>
      <c r="O84" s="190"/>
    </row>
    <row r="85" spans="1:15">
      <c r="A85" s="101">
        <v>81</v>
      </c>
      <c r="B85" s="234"/>
      <c r="C85" s="244"/>
      <c r="D85" s="244"/>
      <c r="E85" s="312">
        <v>0</v>
      </c>
      <c r="F85" s="312">
        <v>0</v>
      </c>
      <c r="G85" s="312">
        <f t="shared" si="13"/>
        <v>0</v>
      </c>
      <c r="H85" s="312"/>
      <c r="I85" s="312"/>
      <c r="J85" s="312">
        <f t="shared" si="11"/>
        <v>0</v>
      </c>
      <c r="K85" s="312">
        <f t="shared" si="12"/>
        <v>0</v>
      </c>
      <c r="L85" s="312"/>
      <c r="M85" s="312">
        <f t="shared" si="10"/>
        <v>90455.509200000146</v>
      </c>
      <c r="N85" s="190"/>
      <c r="O85" s="190"/>
    </row>
    <row r="86" spans="1:15">
      <c r="A86" s="331">
        <v>82</v>
      </c>
      <c r="B86" s="17"/>
      <c r="C86" s="17"/>
      <c r="D86" s="17"/>
      <c r="E86" s="312">
        <v>0</v>
      </c>
      <c r="F86" s="312">
        <v>0</v>
      </c>
      <c r="G86" s="312">
        <f t="shared" si="13"/>
        <v>0</v>
      </c>
      <c r="H86" s="312"/>
      <c r="I86" s="312"/>
      <c r="J86" s="312">
        <f t="shared" si="11"/>
        <v>0</v>
      </c>
      <c r="K86" s="312">
        <f t="shared" si="12"/>
        <v>0</v>
      </c>
      <c r="L86" s="312"/>
      <c r="M86" s="312">
        <f t="shared" si="10"/>
        <v>90455.509200000146</v>
      </c>
      <c r="N86" s="190"/>
      <c r="O86" s="190"/>
    </row>
  </sheetData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BD2A-34DD-4CE3-849C-464A244C338A}">
  <dimension ref="A1:O22"/>
  <sheetViews>
    <sheetView workbookViewId="0">
      <selection activeCell="M17" sqref="M17"/>
    </sheetView>
  </sheetViews>
  <sheetFormatPr defaultRowHeight="15"/>
  <cols>
    <col min="2" max="2" width="11.5703125" customWidth="1"/>
    <col min="3" max="3" width="36.5703125" bestFit="1" customWidth="1"/>
    <col min="4" max="4" width="26.85546875" bestFit="1" customWidth="1"/>
    <col min="5" max="5" width="15.7109375" customWidth="1"/>
    <col min="7" max="7" width="22.42578125" customWidth="1"/>
    <col min="8" max="8" width="22.140625" customWidth="1"/>
    <col min="9" max="9" width="17.7109375" bestFit="1" customWidth="1"/>
    <col min="11" max="11" width="15.42578125" customWidth="1"/>
    <col min="12" max="12" width="17.7109375" customWidth="1"/>
    <col min="13" max="13" width="12.7109375" customWidth="1"/>
    <col min="14" max="14" width="15.140625" customWidth="1"/>
    <col min="15" max="15" width="20.5703125" customWidth="1"/>
  </cols>
  <sheetData>
    <row r="1" spans="1:15" ht="15.75">
      <c r="A1" s="397" t="s">
        <v>228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97"/>
      <c r="M1" s="397"/>
      <c r="N1" s="397"/>
      <c r="O1" s="397"/>
    </row>
    <row r="2" spans="1:15">
      <c r="A2" s="68" t="s">
        <v>90</v>
      </c>
      <c r="B2" s="87" t="s">
        <v>91</v>
      </c>
      <c r="C2" s="87" t="s">
        <v>162</v>
      </c>
      <c r="D2" s="87" t="s">
        <v>163</v>
      </c>
      <c r="E2" s="87" t="s">
        <v>94</v>
      </c>
      <c r="F2" s="87" t="s">
        <v>95</v>
      </c>
      <c r="G2" s="94" t="s">
        <v>96</v>
      </c>
      <c r="H2" s="87" t="s">
        <v>97</v>
      </c>
      <c r="I2" s="87" t="s">
        <v>95</v>
      </c>
      <c r="J2" s="94" t="s">
        <v>96</v>
      </c>
      <c r="K2" s="68" t="s">
        <v>98</v>
      </c>
      <c r="L2" s="95" t="s">
        <v>164</v>
      </c>
      <c r="M2" s="89" t="s">
        <v>106</v>
      </c>
      <c r="N2" s="87" t="s">
        <v>101</v>
      </c>
      <c r="O2" s="87" t="s">
        <v>165</v>
      </c>
    </row>
    <row r="3" spans="1:15">
      <c r="A3" s="392" t="s">
        <v>102</v>
      </c>
      <c r="B3" s="392"/>
      <c r="C3" s="392"/>
      <c r="D3" s="392"/>
      <c r="E3" s="392"/>
      <c r="F3" s="392"/>
      <c r="G3" s="392"/>
      <c r="H3" s="392"/>
      <c r="I3" s="392"/>
      <c r="J3" s="392"/>
      <c r="K3" s="22">
        <v>10220</v>
      </c>
      <c r="L3" s="173"/>
      <c r="M3" s="235">
        <f>+K3</f>
        <v>10220</v>
      </c>
      <c r="N3" s="98"/>
      <c r="O3" s="98"/>
    </row>
    <row r="4" spans="1:15">
      <c r="A4" s="98">
        <v>1</v>
      </c>
      <c r="B4" s="363" t="s">
        <v>166</v>
      </c>
      <c r="C4" s="356"/>
      <c r="D4" s="356"/>
      <c r="E4" s="356"/>
      <c r="F4" s="356"/>
      <c r="G4" s="356"/>
      <c r="H4" s="356"/>
      <c r="I4" s="356"/>
      <c r="J4" s="356"/>
      <c r="K4" s="42">
        <f>SUM(G4+J4)</f>
        <v>0</v>
      </c>
      <c r="L4" s="173">
        <v>230000</v>
      </c>
      <c r="M4" s="235">
        <f>SUM(M3+L4-K4)</f>
        <v>240220</v>
      </c>
      <c r="N4" s="98"/>
      <c r="O4" s="98"/>
    </row>
    <row r="5" spans="1:15">
      <c r="A5" s="17">
        <v>2</v>
      </c>
      <c r="B5" s="17" t="s">
        <v>175</v>
      </c>
      <c r="C5" s="362" t="s">
        <v>229</v>
      </c>
      <c r="D5" s="269" t="s">
        <v>230</v>
      </c>
      <c r="E5" s="42">
        <v>2518.36</v>
      </c>
      <c r="F5" s="42">
        <v>91.33</v>
      </c>
      <c r="G5" s="42">
        <f>SUM(E5*F5)</f>
        <v>230001.81880000001</v>
      </c>
      <c r="H5" s="42"/>
      <c r="I5" s="42"/>
      <c r="J5" s="42">
        <f>SUM(H5*I5)</f>
        <v>0</v>
      </c>
      <c r="K5" s="42">
        <v>230000</v>
      </c>
      <c r="L5" s="339"/>
      <c r="M5" s="235">
        <f t="shared" ref="M5:M19" si="0">SUM(M4+L5-K5)</f>
        <v>10220</v>
      </c>
      <c r="N5" s="17"/>
      <c r="O5" s="17"/>
    </row>
    <row r="6" spans="1:15">
      <c r="A6" s="17">
        <v>3</v>
      </c>
      <c r="B6" s="17" t="s">
        <v>149</v>
      </c>
      <c r="C6" s="362"/>
      <c r="D6" s="269"/>
      <c r="E6" s="42">
        <v>0</v>
      </c>
      <c r="F6" s="42">
        <v>0</v>
      </c>
      <c r="G6" s="42">
        <f>SUM(E6*F6)</f>
        <v>0</v>
      </c>
      <c r="H6" s="42"/>
      <c r="I6" s="42"/>
      <c r="J6" s="42"/>
      <c r="K6" s="42">
        <f>SUM(G6+J6)</f>
        <v>0</v>
      </c>
      <c r="L6" s="340">
        <v>29000</v>
      </c>
      <c r="M6" s="235">
        <f t="shared" si="0"/>
        <v>39220</v>
      </c>
      <c r="N6" s="17"/>
      <c r="O6" s="17"/>
    </row>
    <row r="7" spans="1:15">
      <c r="A7" s="98">
        <v>4</v>
      </c>
      <c r="B7" s="17" t="s">
        <v>151</v>
      </c>
      <c r="C7" s="362"/>
      <c r="D7" s="269"/>
      <c r="E7" s="42">
        <v>0</v>
      </c>
      <c r="F7" s="42">
        <v>0</v>
      </c>
      <c r="G7" s="42">
        <f>SUM(E7*F7)</f>
        <v>0</v>
      </c>
      <c r="H7" s="42"/>
      <c r="I7" s="42"/>
      <c r="J7" s="42"/>
      <c r="K7" s="42">
        <f>SUM(G7+J7)</f>
        <v>0</v>
      </c>
      <c r="L7" s="340">
        <v>20300</v>
      </c>
      <c r="M7" s="235">
        <f t="shared" si="0"/>
        <v>59520</v>
      </c>
      <c r="N7" s="17"/>
      <c r="O7" s="17"/>
    </row>
    <row r="8" spans="1:15">
      <c r="A8" s="17">
        <v>5</v>
      </c>
      <c r="B8" s="17" t="s">
        <v>191</v>
      </c>
      <c r="C8" s="362" t="s">
        <v>229</v>
      </c>
      <c r="D8" s="269" t="s">
        <v>230</v>
      </c>
      <c r="E8" s="42">
        <v>2518.36</v>
      </c>
      <c r="F8" s="42">
        <v>91.33</v>
      </c>
      <c r="G8" s="42">
        <f>E8*F8</f>
        <v>230001.81880000001</v>
      </c>
      <c r="H8" s="42"/>
      <c r="I8" s="42"/>
      <c r="J8" s="42">
        <f t="shared" ref="J8:J10" si="1">SUM(H8*I8)</f>
        <v>0</v>
      </c>
      <c r="K8" s="42">
        <v>230000</v>
      </c>
      <c r="L8">
        <v>8350000</v>
      </c>
      <c r="M8" s="235">
        <f t="shared" si="0"/>
        <v>8179520</v>
      </c>
      <c r="N8" s="17"/>
      <c r="O8" s="17"/>
    </row>
    <row r="9" spans="1:15">
      <c r="A9" s="17">
        <v>6</v>
      </c>
      <c r="B9" s="17" t="s">
        <v>191</v>
      </c>
      <c r="C9" s="362" t="s">
        <v>231</v>
      </c>
      <c r="D9" s="269" t="s">
        <v>232</v>
      </c>
      <c r="E9" s="42">
        <v>78387.350000000006</v>
      </c>
      <c r="F9" s="42">
        <v>95.68</v>
      </c>
      <c r="G9" s="42">
        <v>7500000</v>
      </c>
      <c r="H9" s="42"/>
      <c r="I9" s="42"/>
      <c r="J9" s="42">
        <f t="shared" si="1"/>
        <v>0</v>
      </c>
      <c r="K9" s="42">
        <f t="shared" ref="K8:K18" si="2">SUM(G9+J9)</f>
        <v>7500000</v>
      </c>
      <c r="L9" s="49"/>
      <c r="M9" s="235">
        <f t="shared" si="0"/>
        <v>679520</v>
      </c>
      <c r="N9" s="17"/>
      <c r="O9" s="17"/>
    </row>
    <row r="10" spans="1:15">
      <c r="A10" s="98">
        <v>7</v>
      </c>
      <c r="B10" s="17" t="s">
        <v>152</v>
      </c>
      <c r="C10" s="362" t="s">
        <v>233</v>
      </c>
      <c r="D10" s="269" t="s">
        <v>234</v>
      </c>
      <c r="E10" s="42">
        <v>6558.84</v>
      </c>
      <c r="F10" s="42">
        <v>91.48</v>
      </c>
      <c r="G10" s="42">
        <v>600000</v>
      </c>
      <c r="H10" s="42"/>
      <c r="I10" s="42"/>
      <c r="J10" s="42">
        <f t="shared" si="1"/>
        <v>0</v>
      </c>
      <c r="K10" s="42">
        <f t="shared" si="2"/>
        <v>600000</v>
      </c>
      <c r="L10" s="49"/>
      <c r="M10" s="235">
        <f t="shared" si="0"/>
        <v>79520</v>
      </c>
      <c r="N10" s="17"/>
      <c r="O10" s="17"/>
    </row>
    <row r="11" spans="1:15">
      <c r="A11" s="17">
        <v>8</v>
      </c>
      <c r="B11" s="17" t="s">
        <v>130</v>
      </c>
      <c r="C11" s="362" t="s">
        <v>233</v>
      </c>
      <c r="D11" s="269" t="s">
        <v>235</v>
      </c>
      <c r="E11" s="42">
        <v>240</v>
      </c>
      <c r="F11" s="42">
        <v>92.21</v>
      </c>
      <c r="G11" s="42">
        <v>22130.400000000001</v>
      </c>
      <c r="H11" s="42">
        <v>25</v>
      </c>
      <c r="I11" s="42">
        <v>104.08</v>
      </c>
      <c r="J11" s="42">
        <v>2602</v>
      </c>
      <c r="K11" s="42">
        <f t="shared" si="2"/>
        <v>24732.400000000001</v>
      </c>
      <c r="L11" s="49"/>
      <c r="M11" s="235">
        <f t="shared" si="0"/>
        <v>54787.6</v>
      </c>
      <c r="N11" s="17"/>
      <c r="O11" s="17"/>
    </row>
    <row r="12" spans="1:15">
      <c r="A12" s="17">
        <v>9</v>
      </c>
      <c r="B12" s="98" t="s">
        <v>105</v>
      </c>
      <c r="C12" s="362" t="s">
        <v>233</v>
      </c>
      <c r="D12" s="318" t="s">
        <v>236</v>
      </c>
      <c r="E12" s="221">
        <v>400</v>
      </c>
      <c r="F12" s="42">
        <v>92.21</v>
      </c>
      <c r="G12" s="42">
        <v>36884</v>
      </c>
      <c r="H12" s="221"/>
      <c r="I12" s="221"/>
      <c r="J12" s="221"/>
      <c r="K12" s="42">
        <f t="shared" si="2"/>
        <v>36884</v>
      </c>
      <c r="L12" s="173"/>
      <c r="M12" s="235">
        <f t="shared" si="0"/>
        <v>17903.599999999999</v>
      </c>
      <c r="N12" s="98"/>
      <c r="O12" s="98"/>
    </row>
    <row r="13" spans="1:15">
      <c r="A13" s="98">
        <v>10</v>
      </c>
      <c r="B13" s="98" t="s">
        <v>134</v>
      </c>
      <c r="C13" s="362"/>
      <c r="D13" s="318"/>
      <c r="E13" s="221"/>
      <c r="F13" s="42"/>
      <c r="G13" s="42"/>
      <c r="H13" s="221"/>
      <c r="I13" s="221"/>
      <c r="J13" s="221"/>
      <c r="K13" s="42"/>
      <c r="L13" s="366">
        <v>30000</v>
      </c>
      <c r="M13" s="235">
        <f t="shared" si="0"/>
        <v>47903.6</v>
      </c>
      <c r="N13" s="367"/>
      <c r="O13" s="98"/>
    </row>
    <row r="14" spans="1:15">
      <c r="A14" s="17">
        <v>11</v>
      </c>
      <c r="B14" s="98" t="s">
        <v>135</v>
      </c>
      <c r="C14" s="368" t="s">
        <v>233</v>
      </c>
      <c r="D14" s="318" t="s">
        <v>237</v>
      </c>
      <c r="E14" s="221">
        <v>325.33999999999997</v>
      </c>
      <c r="F14" s="221">
        <v>92.21</v>
      </c>
      <c r="G14" s="221">
        <v>30000</v>
      </c>
      <c r="H14" s="221"/>
      <c r="I14" s="221"/>
      <c r="J14" s="221"/>
      <c r="K14" s="221">
        <f t="shared" si="2"/>
        <v>30000</v>
      </c>
      <c r="L14" s="366"/>
      <c r="M14" s="235">
        <f t="shared" si="0"/>
        <v>17903.599999999999</v>
      </c>
      <c r="N14" s="367"/>
      <c r="O14" s="98"/>
    </row>
    <row r="15" spans="1:15">
      <c r="A15" s="98">
        <v>12</v>
      </c>
      <c r="B15" s="17" t="s">
        <v>138</v>
      </c>
      <c r="C15" s="362"/>
      <c r="D15" s="269"/>
      <c r="E15" s="42"/>
      <c r="F15" s="42"/>
      <c r="G15" s="221"/>
      <c r="H15" s="42"/>
      <c r="I15" s="42"/>
      <c r="J15" s="42"/>
      <c r="K15" s="221">
        <f t="shared" si="2"/>
        <v>0</v>
      </c>
      <c r="L15" s="49">
        <v>30000</v>
      </c>
      <c r="M15" s="364">
        <f t="shared" si="0"/>
        <v>47903.6</v>
      </c>
      <c r="N15" s="17"/>
      <c r="O15" s="17"/>
    </row>
    <row r="16" spans="1:15">
      <c r="A16" s="98"/>
      <c r="B16" s="247" t="s">
        <v>139</v>
      </c>
      <c r="C16" s="368" t="s">
        <v>233</v>
      </c>
      <c r="D16" s="269" t="s">
        <v>236</v>
      </c>
      <c r="E16" s="339">
        <v>215</v>
      </c>
      <c r="F16" s="339">
        <v>92.21</v>
      </c>
      <c r="G16" s="42">
        <f>SUM(E16*F16)</f>
        <v>19825.149999999998</v>
      </c>
      <c r="H16" s="42"/>
      <c r="I16" s="42"/>
      <c r="J16" s="42"/>
      <c r="K16" s="221">
        <f t="shared" si="2"/>
        <v>19825.149999999998</v>
      </c>
      <c r="L16" s="49"/>
      <c r="M16" s="364">
        <f t="shared" si="0"/>
        <v>28078.45</v>
      </c>
      <c r="N16" s="17"/>
      <c r="O16" s="17"/>
    </row>
    <row r="17" spans="1:15">
      <c r="A17" s="98"/>
      <c r="B17" s="247" t="s">
        <v>140</v>
      </c>
      <c r="C17" s="368" t="s">
        <v>233</v>
      </c>
      <c r="D17" s="269" t="s">
        <v>238</v>
      </c>
      <c r="E17" s="340">
        <v>216.9</v>
      </c>
      <c r="F17" s="339">
        <v>92.21</v>
      </c>
      <c r="G17" s="42">
        <f>SUM(E17*F17)</f>
        <v>20000.348999999998</v>
      </c>
      <c r="H17" s="42"/>
      <c r="I17" s="42"/>
      <c r="J17" s="42"/>
      <c r="K17" s="221">
        <f t="shared" si="2"/>
        <v>20000.348999999998</v>
      </c>
      <c r="L17" s="49">
        <v>300000</v>
      </c>
      <c r="M17" s="364">
        <f t="shared" si="0"/>
        <v>308078.10100000002</v>
      </c>
      <c r="N17" s="17"/>
      <c r="O17" s="17"/>
    </row>
    <row r="18" spans="1:15">
      <c r="A18" s="98"/>
      <c r="B18" s="247" t="s">
        <v>144</v>
      </c>
      <c r="C18" s="362" t="s">
        <v>229</v>
      </c>
      <c r="D18" s="269" t="s">
        <v>230</v>
      </c>
      <c r="E18" s="42">
        <v>3284.82</v>
      </c>
      <c r="F18" s="42">
        <v>91.33</v>
      </c>
      <c r="G18" s="42">
        <f>SUM(E18*F18)</f>
        <v>300002.61060000001</v>
      </c>
      <c r="H18" s="42"/>
      <c r="I18" s="42"/>
      <c r="J18" s="42"/>
      <c r="K18" s="221">
        <f t="shared" si="2"/>
        <v>300002.61060000001</v>
      </c>
      <c r="L18" s="49"/>
      <c r="M18" s="364">
        <f t="shared" si="0"/>
        <v>8075.4904000000097</v>
      </c>
      <c r="N18" s="17"/>
      <c r="O18" s="17"/>
    </row>
    <row r="19" spans="1:15">
      <c r="A19" s="17">
        <v>13</v>
      </c>
      <c r="B19" s="24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364">
        <f t="shared" si="0"/>
        <v>8075.4904000000097</v>
      </c>
      <c r="N19" s="17"/>
      <c r="O19" s="17"/>
    </row>
    <row r="22" spans="1:15">
      <c r="I22" s="242"/>
    </row>
  </sheetData>
  <mergeCells count="2">
    <mergeCell ref="A1:O1"/>
    <mergeCell ref="A3:J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MIS</cp:lastModifiedBy>
  <cp:revision/>
  <dcterms:created xsi:type="dcterms:W3CDTF">2015-06-05T18:17:20Z</dcterms:created>
  <dcterms:modified xsi:type="dcterms:W3CDTF">2026-10-07T11:52:58Z</dcterms:modified>
  <cp:category/>
  <cp:contentStatus/>
</cp:coreProperties>
</file>