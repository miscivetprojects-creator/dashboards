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26013" documentId="13_ncr:1_{8AE36FE3-86F3-4CF6-9A97-12266062BE40}" xr6:coauthVersionLast="47" xr6:coauthVersionMax="47" xr10:uidLastSave="{47A3B9BF-9C2C-4293-B0FB-4144367EDC58}"/>
  <bookViews>
    <workbookView xWindow="-120" yWindow="-120" windowWidth="24240" windowHeight="13020" firstSheet="20" xr2:uid="{00000000-000D-0000-FFFF-FFFF00000000}"/>
  </bookViews>
  <sheets>
    <sheet name="April-25" sheetId="53" r:id="rId1"/>
    <sheet name="Munavalli(KUWSDB)" sheetId="23" r:id="rId2"/>
    <sheet name="Kadur" sheetId="7" r:id="rId3"/>
    <sheet name="YG Gudda " sheetId="2" r:id="rId4"/>
    <sheet name="Khammam-2" sheetId="6" r:id="rId5"/>
    <sheet name="Khammam-3" sheetId="47" r:id="rId6"/>
    <sheet name="Khammam-5" sheetId="50" r:id="rId7"/>
    <sheet name="Jedcherla -1" sheetId="18" r:id="rId8"/>
    <sheet name="Jedcherla-3" sheetId="39" r:id="rId9"/>
    <sheet name="Jadcherla Cash Purchase" sheetId="49" r:id="rId10"/>
    <sheet name="Hiriyur(VJNL)" sheetId="3" r:id="rId11"/>
    <sheet name="Sangareddy" sheetId="32" r:id="rId12"/>
    <sheet name="Chellakere (KUWSDB)" sheetId="20" r:id="rId13"/>
    <sheet name="Malebenur(KUWSDB)" sheetId="16" r:id="rId14"/>
    <sheet name="Molakamuru(KUWSDB)" sheetId="21" r:id="rId15"/>
    <sheet name="Haveri" sheetId="15" r:id="rId16"/>
    <sheet name="Guttal" sheetId="36" r:id="rId17"/>
    <sheet name="Rattihali" sheetId="37" r:id="rId18"/>
    <sheet name="Gajendragada" sheetId="12" r:id="rId19"/>
    <sheet name="Jalgaon" sheetId="22" r:id="rId20"/>
    <sheet name="MKBD" sheetId="14" r:id="rId21"/>
    <sheet name="Srirangapatna" sheetId="19" r:id="rId22"/>
    <sheet name=" Talikote" sheetId="26" r:id="rId23"/>
    <sheet name="Chadchan" sheetId="9" r:id="rId24"/>
    <sheet name="Sindagi" sheetId="33" r:id="rId25"/>
    <sheet name="Alemela" sheetId="35" r:id="rId26"/>
    <sheet name="Nalatwad" sheetId="51" r:id="rId27"/>
    <sheet name="Muddebihal" sheetId="34" r:id="rId28"/>
    <sheet name="Khanapur" sheetId="24" r:id="rId29"/>
    <sheet name="Ghattaprabha" sheetId="8" r:id="rId30"/>
    <sheet name="Ankalgi" sheetId="38" r:id="rId31"/>
    <sheet name="Gokak Dharwad PKG 3" sheetId="41" r:id="rId32"/>
    <sheet name=" Gokak" sheetId="46" r:id="rId33"/>
    <sheet name=" Ghattaprabha-2" sheetId="42" r:id="rId34"/>
    <sheet name="kumta" sheetId="25" r:id="rId35"/>
    <sheet name="Borgaon" sheetId="10" r:id="rId36"/>
    <sheet name="Ugar,Khagwad,Kudichi" sheetId="11" r:id="rId37"/>
    <sheet name="Kabbur" sheetId="40" r:id="rId38"/>
    <sheet name="Hosadurga" sheetId="1" r:id="rId39"/>
    <sheet name="Hosadurga -2" sheetId="52" r:id="rId40"/>
    <sheet name="IOCL MARCH 25" sheetId="43" r:id="rId41"/>
    <sheet name="BPCL March 25" sheetId="44" r:id="rId42"/>
    <sheet name=" HPCL March 2025" sheetId="45" r:id="rId43"/>
    <sheet name="Khammam-1" sheetId="5" state="hidden" r:id="rId44"/>
    <sheet name="Khammam-4" sheetId="48" state="hidden" r:id="rId45"/>
    <sheet name="Jedcherla-2" sheetId="17" state="hidden" r:id="rId46"/>
  </sheets>
  <definedNames>
    <definedName name="_xlnm.Print_Area" localSheetId="38">Hosadurga!$A$2:$N$39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53" l="1"/>
  <c r="L12" i="53"/>
  <c r="L37" i="23"/>
  <c r="M12" i="23"/>
  <c r="L2" i="53"/>
  <c r="R29" i="23"/>
  <c r="I38" i="15"/>
  <c r="L21" i="24"/>
  <c r="R27" i="23"/>
  <c r="H35" i="24"/>
  <c r="E35" i="24"/>
  <c r="M5" i="24"/>
  <c r="M6" i="24"/>
  <c r="M7" i="24"/>
  <c r="M8" i="24"/>
  <c r="M9" i="24"/>
  <c r="M10" i="24"/>
  <c r="M11" i="24"/>
  <c r="M4" i="24"/>
  <c r="P12" i="24"/>
  <c r="M25" i="51"/>
  <c r="M24" i="51"/>
  <c r="M23" i="51"/>
  <c r="M22" i="51"/>
  <c r="M21" i="51"/>
  <c r="M20" i="51"/>
  <c r="M19" i="51"/>
  <c r="M7" i="51"/>
  <c r="P3" i="12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E40" i="18"/>
  <c r="E35" i="18"/>
  <c r="K4" i="45"/>
  <c r="F77" i="53"/>
  <c r="E77" i="53"/>
  <c r="J30" i="8"/>
  <c r="K30" i="8" s="1"/>
  <c r="F37" i="53"/>
  <c r="E37" i="53"/>
  <c r="I16" i="53"/>
  <c r="L16" i="53"/>
  <c r="L35" i="15"/>
  <c r="K35" i="15"/>
  <c r="E35" i="15"/>
  <c r="K37" i="53"/>
  <c r="J37" i="53"/>
  <c r="H37" i="53"/>
  <c r="G37" i="53"/>
  <c r="L43" i="51"/>
  <c r="J43" i="51"/>
  <c r="L36" i="53"/>
  <c r="H43" i="51"/>
  <c r="K43" i="51"/>
  <c r="G43" i="51"/>
  <c r="E43" i="51"/>
  <c r="J35" i="19"/>
  <c r="H35" i="19"/>
  <c r="H43" i="35"/>
  <c r="G43" i="35"/>
  <c r="E43" i="35"/>
  <c r="J46" i="34"/>
  <c r="H46" i="34"/>
  <c r="G46" i="34"/>
  <c r="E46" i="34"/>
  <c r="K35" i="9"/>
  <c r="J35" i="9"/>
  <c r="H35" i="9"/>
  <c r="G35" i="9"/>
  <c r="E35" i="9"/>
  <c r="L44" i="26"/>
  <c r="K44" i="26"/>
  <c r="J44" i="26"/>
  <c r="H44" i="26"/>
  <c r="G44" i="26"/>
  <c r="E44" i="26"/>
  <c r="J36" i="42"/>
  <c r="H36" i="42"/>
  <c r="G36" i="42"/>
  <c r="E36" i="42"/>
  <c r="J35" i="38"/>
  <c r="H35" i="38"/>
  <c r="L35" i="38"/>
  <c r="K35" i="38"/>
  <c r="G35" i="38"/>
  <c r="E35" i="38"/>
  <c r="K35" i="41"/>
  <c r="J35" i="41"/>
  <c r="E35" i="41"/>
  <c r="G35" i="41"/>
  <c r="L35" i="41"/>
  <c r="H35" i="41"/>
  <c r="H36" i="8"/>
  <c r="E36" i="8"/>
  <c r="J35" i="12"/>
  <c r="H35" i="12"/>
  <c r="G35" i="12"/>
  <c r="E35" i="12"/>
  <c r="H35" i="37"/>
  <c r="E35" i="37"/>
  <c r="J35" i="37"/>
  <c r="K35" i="37"/>
  <c r="L35" i="37"/>
  <c r="G35" i="37"/>
  <c r="J34" i="36"/>
  <c r="H34" i="36"/>
  <c r="G34" i="36"/>
  <c r="E34" i="36"/>
  <c r="L34" i="36"/>
  <c r="K34" i="36"/>
  <c r="M34" i="15"/>
  <c r="G35" i="15"/>
  <c r="H35" i="15"/>
  <c r="J35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4" i="15"/>
  <c r="K34" i="14"/>
  <c r="L34" i="14"/>
  <c r="J34" i="14"/>
  <c r="H34" i="14"/>
  <c r="G34" i="14"/>
  <c r="E34" i="14"/>
  <c r="L36" i="22"/>
  <c r="H36" i="22"/>
  <c r="J36" i="22"/>
  <c r="G36" i="22"/>
  <c r="K36" i="22"/>
  <c r="E36" i="22"/>
  <c r="J35" i="25"/>
  <c r="H35" i="25"/>
  <c r="L35" i="25"/>
  <c r="K35" i="25"/>
  <c r="G35" i="25"/>
  <c r="E35" i="25"/>
  <c r="K35" i="40"/>
  <c r="J35" i="40"/>
  <c r="H35" i="40"/>
  <c r="G35" i="40"/>
  <c r="E35" i="40"/>
  <c r="H35" i="11"/>
  <c r="E35" i="11"/>
  <c r="J35" i="10"/>
  <c r="H35" i="10"/>
  <c r="G35" i="10"/>
  <c r="E35" i="10"/>
  <c r="K35" i="10"/>
  <c r="H37" i="23"/>
  <c r="E37" i="23"/>
  <c r="J35" i="24"/>
  <c r="L35" i="20"/>
  <c r="K35" i="20"/>
  <c r="J35" i="20"/>
  <c r="H35" i="20"/>
  <c r="G35" i="20"/>
  <c r="E35" i="20"/>
  <c r="L35" i="3"/>
  <c r="J35" i="3"/>
  <c r="H35" i="3"/>
  <c r="G35" i="3"/>
  <c r="E35" i="3"/>
  <c r="K35" i="7"/>
  <c r="J35" i="7"/>
  <c r="H35" i="7"/>
  <c r="G35" i="7"/>
  <c r="E35" i="7"/>
  <c r="L35" i="16"/>
  <c r="H35" i="16"/>
  <c r="G35" i="16"/>
  <c r="E35" i="16"/>
  <c r="K35" i="52"/>
  <c r="J35" i="52"/>
  <c r="H35" i="52"/>
  <c r="G35" i="52"/>
  <c r="E35" i="52"/>
  <c r="L35" i="1"/>
  <c r="H35" i="1"/>
  <c r="I10" i="53"/>
  <c r="L10" i="53"/>
  <c r="K35" i="1"/>
  <c r="J35" i="1"/>
  <c r="G35" i="1"/>
  <c r="E35" i="1"/>
  <c r="L35" i="2"/>
  <c r="J35" i="2"/>
  <c r="K35" i="2"/>
  <c r="H35" i="2"/>
  <c r="G35" i="2"/>
  <c r="E35" i="2"/>
  <c r="J35" i="32"/>
  <c r="H35" i="32"/>
  <c r="G35" i="32"/>
  <c r="E35" i="32"/>
  <c r="G35" i="39"/>
  <c r="K35" i="39"/>
  <c r="E35" i="39"/>
  <c r="J35" i="18"/>
  <c r="H35" i="18"/>
  <c r="G35" i="18"/>
  <c r="I3" i="53"/>
  <c r="I4" i="53"/>
  <c r="I2" i="53"/>
  <c r="J35" i="47"/>
  <c r="H35" i="47"/>
  <c r="G35" i="47"/>
  <c r="E35" i="47"/>
  <c r="K35" i="47"/>
  <c r="H36" i="50"/>
  <c r="E36" i="6"/>
  <c r="I5" i="53"/>
  <c r="I6" i="53"/>
  <c r="I7" i="53"/>
  <c r="I8" i="53"/>
  <c r="I9" i="53"/>
  <c r="I11" i="53"/>
  <c r="I12" i="53"/>
  <c r="I13" i="53"/>
  <c r="I14" i="53"/>
  <c r="I15" i="53"/>
  <c r="I17" i="53"/>
  <c r="L18" i="53"/>
  <c r="I19" i="53"/>
  <c r="I20" i="53"/>
  <c r="I21" i="53"/>
  <c r="I22" i="53"/>
  <c r="I23" i="53"/>
  <c r="L23" i="53" s="1"/>
  <c r="I24" i="53"/>
  <c r="I25" i="53"/>
  <c r="I26" i="53"/>
  <c r="I27" i="53"/>
  <c r="I28" i="53"/>
  <c r="I29" i="53"/>
  <c r="I30" i="53"/>
  <c r="I31" i="53"/>
  <c r="I32" i="53"/>
  <c r="I33" i="53"/>
  <c r="I34" i="53"/>
  <c r="I35" i="53"/>
  <c r="L35" i="53"/>
  <c r="L34" i="53"/>
  <c r="L33" i="53"/>
  <c r="L32" i="53"/>
  <c r="L31" i="53"/>
  <c r="L30" i="53"/>
  <c r="L29" i="53"/>
  <c r="L28" i="53"/>
  <c r="L27" i="53"/>
  <c r="L26" i="53"/>
  <c r="L25" i="53"/>
  <c r="L24" i="53"/>
  <c r="L21" i="53"/>
  <c r="L20" i="53"/>
  <c r="L19" i="53"/>
  <c r="L17" i="53"/>
  <c r="L15" i="53"/>
  <c r="L14" i="53"/>
  <c r="L13" i="53"/>
  <c r="L11" i="53"/>
  <c r="L9" i="53"/>
  <c r="L8" i="53"/>
  <c r="L7" i="53"/>
  <c r="L6" i="53"/>
  <c r="L5" i="53"/>
  <c r="L3" i="53"/>
  <c r="L4" i="53"/>
  <c r="M8" i="44"/>
  <c r="M6" i="44"/>
  <c r="M5" i="44"/>
  <c r="M4" i="44"/>
  <c r="L33" i="23"/>
  <c r="K35" i="23"/>
  <c r="J35" i="23"/>
  <c r="G35" i="23"/>
  <c r="M3" i="2"/>
  <c r="G33" i="20"/>
  <c r="G33" i="12"/>
  <c r="E33" i="50"/>
  <c r="E32" i="50"/>
  <c r="E36" i="50" s="1"/>
  <c r="E31" i="47"/>
  <c r="Q26" i="23"/>
  <c r="H42" i="23"/>
  <c r="G29" i="2"/>
  <c r="G30" i="2"/>
  <c r="L35" i="19"/>
  <c r="K35" i="19"/>
  <c r="M28" i="22"/>
  <c r="J60" i="44"/>
  <c r="J61" i="44"/>
  <c r="J62" i="44"/>
  <c r="Q40" i="23"/>
  <c r="Q34" i="23"/>
  <c r="Q37" i="23" s="1"/>
  <c r="K6" i="23"/>
  <c r="M3" i="52"/>
  <c r="G4" i="52"/>
  <c r="J4" i="52"/>
  <c r="K4" i="52"/>
  <c r="M4" i="52"/>
  <c r="G5" i="52"/>
  <c r="J5" i="52"/>
  <c r="K5" i="52"/>
  <c r="M5" i="52"/>
  <c r="G6" i="52"/>
  <c r="J6" i="52"/>
  <c r="K6" i="52"/>
  <c r="M6" i="52"/>
  <c r="G7" i="52"/>
  <c r="J7" i="52"/>
  <c r="K7" i="52"/>
  <c r="M7" i="52"/>
  <c r="G8" i="52"/>
  <c r="J8" i="52"/>
  <c r="K8" i="52"/>
  <c r="M8" i="52"/>
  <c r="G9" i="52"/>
  <c r="J9" i="52"/>
  <c r="K9" i="52"/>
  <c r="M9" i="52"/>
  <c r="G10" i="52"/>
  <c r="J10" i="52"/>
  <c r="K10" i="52"/>
  <c r="M10" i="52"/>
  <c r="G11" i="52"/>
  <c r="J11" i="52"/>
  <c r="K11" i="52"/>
  <c r="M11" i="52"/>
  <c r="G12" i="52"/>
  <c r="J12" i="52"/>
  <c r="K12" i="52"/>
  <c r="M12" i="52"/>
  <c r="G13" i="52"/>
  <c r="J13" i="52"/>
  <c r="K13" i="52"/>
  <c r="M13" i="52"/>
  <c r="G14" i="52"/>
  <c r="J14" i="52"/>
  <c r="K14" i="52"/>
  <c r="M14" i="52"/>
  <c r="G15" i="52"/>
  <c r="J15" i="52"/>
  <c r="K15" i="52"/>
  <c r="M15" i="52"/>
  <c r="G16" i="52"/>
  <c r="J16" i="52"/>
  <c r="K16" i="52"/>
  <c r="M16" i="52"/>
  <c r="G17" i="52"/>
  <c r="J17" i="52"/>
  <c r="K17" i="52"/>
  <c r="M17" i="52"/>
  <c r="G18" i="52"/>
  <c r="J18" i="52"/>
  <c r="K18" i="52"/>
  <c r="M18" i="52"/>
  <c r="G19" i="52"/>
  <c r="J19" i="52"/>
  <c r="K19" i="52"/>
  <c r="M19" i="52"/>
  <c r="G20" i="52"/>
  <c r="J20" i="52"/>
  <c r="K20" i="52"/>
  <c r="M20" i="52"/>
  <c r="G21" i="52"/>
  <c r="J21" i="52"/>
  <c r="K21" i="52"/>
  <c r="M21" i="52"/>
  <c r="G22" i="52"/>
  <c r="J22" i="52"/>
  <c r="K22" i="52"/>
  <c r="M22" i="52"/>
  <c r="G23" i="52"/>
  <c r="J23" i="52"/>
  <c r="K23" i="52"/>
  <c r="M23" i="52"/>
  <c r="G24" i="52"/>
  <c r="J24" i="52"/>
  <c r="K24" i="52"/>
  <c r="M24" i="52"/>
  <c r="G25" i="52"/>
  <c r="J25" i="52"/>
  <c r="K25" i="52"/>
  <c r="M25" i="52"/>
  <c r="G26" i="52"/>
  <c r="J26" i="52"/>
  <c r="K26" i="52"/>
  <c r="M26" i="52"/>
  <c r="G27" i="52"/>
  <c r="J27" i="52"/>
  <c r="K27" i="52"/>
  <c r="M27" i="52"/>
  <c r="G28" i="52"/>
  <c r="J28" i="52"/>
  <c r="K28" i="52"/>
  <c r="M28" i="52"/>
  <c r="G29" i="52"/>
  <c r="J29" i="52"/>
  <c r="K29" i="52"/>
  <c r="M29" i="52"/>
  <c r="G30" i="52"/>
  <c r="J30" i="52"/>
  <c r="K30" i="52"/>
  <c r="M30" i="52"/>
  <c r="G31" i="52"/>
  <c r="J31" i="52"/>
  <c r="K31" i="52"/>
  <c r="M31" i="52"/>
  <c r="G32" i="52"/>
  <c r="J32" i="52"/>
  <c r="K32" i="52"/>
  <c r="G33" i="52"/>
  <c r="J33" i="52"/>
  <c r="K33" i="52"/>
  <c r="L35" i="52"/>
  <c r="J25" i="40"/>
  <c r="R30" i="23"/>
  <c r="Q13" i="23"/>
  <c r="E24" i="6"/>
  <c r="K30" i="41"/>
  <c r="K34" i="41"/>
  <c r="G25" i="41"/>
  <c r="G26" i="41"/>
  <c r="G27" i="41"/>
  <c r="G28" i="41"/>
  <c r="G29" i="41"/>
  <c r="G30" i="41"/>
  <c r="G31" i="41"/>
  <c r="G32" i="41"/>
  <c r="G33" i="41"/>
  <c r="G34" i="41"/>
  <c r="G24" i="41"/>
  <c r="J24" i="41"/>
  <c r="K24" i="41" s="1"/>
  <c r="J25" i="41"/>
  <c r="J26" i="41"/>
  <c r="J27" i="41"/>
  <c r="J28" i="41"/>
  <c r="J29" i="41"/>
  <c r="K29" i="41" s="1"/>
  <c r="J30" i="41"/>
  <c r="J31" i="41"/>
  <c r="J32" i="41"/>
  <c r="J33" i="41"/>
  <c r="J34" i="41"/>
  <c r="K23" i="41"/>
  <c r="J23" i="41"/>
  <c r="E22" i="47"/>
  <c r="L15" i="37"/>
  <c r="L16" i="37"/>
  <c r="L17" i="37"/>
  <c r="L18" i="37"/>
  <c r="L19" i="37"/>
  <c r="L20" i="37"/>
  <c r="L21" i="37"/>
  <c r="J23" i="22"/>
  <c r="G23" i="22"/>
  <c r="K23" i="22"/>
  <c r="L23" i="22" s="1"/>
  <c r="H101" i="43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17" i="26"/>
  <c r="K17" i="26"/>
  <c r="K17" i="41"/>
  <c r="K18" i="41"/>
  <c r="K11" i="41"/>
  <c r="K12" i="41"/>
  <c r="K13" i="41"/>
  <c r="K14" i="41"/>
  <c r="K15" i="41"/>
  <c r="K10" i="41"/>
  <c r="J11" i="41"/>
  <c r="J12" i="41"/>
  <c r="J13" i="41"/>
  <c r="J14" i="41"/>
  <c r="J15" i="41"/>
  <c r="J16" i="41"/>
  <c r="J17" i="41"/>
  <c r="J18" i="41"/>
  <c r="J19" i="41"/>
  <c r="J20" i="41"/>
  <c r="K20" i="41" s="1"/>
  <c r="J21" i="41"/>
  <c r="J22" i="41"/>
  <c r="G11" i="41"/>
  <c r="G12" i="41"/>
  <c r="G13" i="41"/>
  <c r="G14" i="41"/>
  <c r="G15" i="41"/>
  <c r="G16" i="41"/>
  <c r="G17" i="41"/>
  <c r="G18" i="41"/>
  <c r="G19" i="41"/>
  <c r="G21" i="41"/>
  <c r="K21" i="41" s="1"/>
  <c r="G22" i="41"/>
  <c r="K22" i="41" s="1"/>
  <c r="G23" i="41"/>
  <c r="H70" i="43"/>
  <c r="R81" i="43"/>
  <c r="K75" i="43"/>
  <c r="K76" i="43"/>
  <c r="K16" i="41"/>
  <c r="J16" i="47"/>
  <c r="J17" i="47"/>
  <c r="J18" i="47"/>
  <c r="J19" i="47"/>
  <c r="J20" i="47"/>
  <c r="J21" i="47"/>
  <c r="J22" i="47"/>
  <c r="J23" i="47"/>
  <c r="J24" i="47"/>
  <c r="J25" i="47"/>
  <c r="J26" i="47"/>
  <c r="J27" i="47"/>
  <c r="J28" i="47"/>
  <c r="J29" i="47"/>
  <c r="J30" i="47"/>
  <c r="J31" i="47"/>
  <c r="J32" i="47"/>
  <c r="J33" i="47"/>
  <c r="J10" i="47"/>
  <c r="J11" i="47"/>
  <c r="J12" i="47"/>
  <c r="J13" i="47"/>
  <c r="J14" i="47"/>
  <c r="J15" i="47"/>
  <c r="K15" i="47"/>
  <c r="G13" i="36"/>
  <c r="G14" i="36"/>
  <c r="J14" i="36"/>
  <c r="K14" i="36"/>
  <c r="G12" i="22"/>
  <c r="J12" i="22"/>
  <c r="G11" i="22"/>
  <c r="K12" i="22"/>
  <c r="J5" i="41"/>
  <c r="J6" i="41"/>
  <c r="J7" i="41"/>
  <c r="J8" i="41"/>
  <c r="J9" i="41"/>
  <c r="J10" i="41"/>
  <c r="G5" i="41"/>
  <c r="K5" i="41" s="1"/>
  <c r="G6" i="41"/>
  <c r="K6" i="41" s="1"/>
  <c r="G7" i="41"/>
  <c r="K7" i="41" s="1"/>
  <c r="G8" i="41"/>
  <c r="K8" i="41" s="1"/>
  <c r="G9" i="41"/>
  <c r="K9" i="41" s="1"/>
  <c r="G10" i="41"/>
  <c r="J11" i="19"/>
  <c r="H29" i="43"/>
  <c r="L8" i="38"/>
  <c r="G9" i="32"/>
  <c r="J8" i="50"/>
  <c r="J9" i="50"/>
  <c r="J10" i="50"/>
  <c r="J11" i="50"/>
  <c r="J12" i="50"/>
  <c r="J13" i="50"/>
  <c r="J14" i="50"/>
  <c r="J15" i="50"/>
  <c r="J16" i="50"/>
  <c r="J17" i="50"/>
  <c r="J18" i="50"/>
  <c r="J19" i="50"/>
  <c r="J20" i="50"/>
  <c r="J21" i="50"/>
  <c r="J22" i="50"/>
  <c r="J23" i="50"/>
  <c r="J24" i="50"/>
  <c r="J25" i="50"/>
  <c r="J26" i="50"/>
  <c r="J27" i="50"/>
  <c r="J28" i="50"/>
  <c r="J29" i="50"/>
  <c r="J30" i="50"/>
  <c r="J31" i="50"/>
  <c r="J32" i="50"/>
  <c r="J33" i="50"/>
  <c r="G8" i="50"/>
  <c r="G9" i="50"/>
  <c r="K9" i="50" s="1"/>
  <c r="G10" i="50"/>
  <c r="K10" i="50" s="1"/>
  <c r="G11" i="50"/>
  <c r="K11" i="50" s="1"/>
  <c r="G12" i="50"/>
  <c r="K12" i="50" s="1"/>
  <c r="G13" i="50"/>
  <c r="K13" i="50" s="1"/>
  <c r="G14" i="50"/>
  <c r="K14" i="50" s="1"/>
  <c r="G15" i="50"/>
  <c r="K15" i="50" s="1"/>
  <c r="G16" i="50"/>
  <c r="G17" i="50"/>
  <c r="K17" i="50" s="1"/>
  <c r="G18" i="50"/>
  <c r="G19" i="50"/>
  <c r="K19" i="50" s="1"/>
  <c r="G20" i="50"/>
  <c r="K20" i="50" s="1"/>
  <c r="G21" i="50"/>
  <c r="K21" i="50" s="1"/>
  <c r="G22" i="50"/>
  <c r="K22" i="50" s="1"/>
  <c r="G23" i="50"/>
  <c r="K23" i="50" s="1"/>
  <c r="G24" i="50"/>
  <c r="K24" i="50" s="1"/>
  <c r="G25" i="50"/>
  <c r="K25" i="50" s="1"/>
  <c r="G26" i="50"/>
  <c r="K26" i="50" s="1"/>
  <c r="G27" i="50"/>
  <c r="K27" i="50" s="1"/>
  <c r="G28" i="50"/>
  <c r="K28" i="50" s="1"/>
  <c r="G29" i="50"/>
  <c r="K29" i="50" s="1"/>
  <c r="G30" i="50"/>
  <c r="G31" i="50"/>
  <c r="G32" i="50"/>
  <c r="K32" i="50" s="1"/>
  <c r="G33" i="50"/>
  <c r="K33" i="50" s="1"/>
  <c r="J9" i="47"/>
  <c r="K9" i="47"/>
  <c r="E9" i="47"/>
  <c r="J7" i="50"/>
  <c r="J5" i="50"/>
  <c r="G7" i="50"/>
  <c r="G5" i="50"/>
  <c r="K7" i="50"/>
  <c r="F6" i="50"/>
  <c r="G6" i="50" s="1"/>
  <c r="J7" i="40"/>
  <c r="L4" i="26"/>
  <c r="M4" i="26"/>
  <c r="M5" i="26"/>
  <c r="J4" i="41"/>
  <c r="K4" i="41" s="1"/>
  <c r="G4" i="41"/>
  <c r="M5" i="38"/>
  <c r="M4" i="38"/>
  <c r="K5" i="50"/>
  <c r="M43" i="32"/>
  <c r="G5" i="20"/>
  <c r="J5" i="20"/>
  <c r="K5" i="20"/>
  <c r="L5" i="20"/>
  <c r="G6" i="20"/>
  <c r="J6" i="20"/>
  <c r="K6" i="20"/>
  <c r="L6" i="20"/>
  <c r="G7" i="20"/>
  <c r="J7" i="20"/>
  <c r="K7" i="20"/>
  <c r="L7" i="20"/>
  <c r="G8" i="20"/>
  <c r="J8" i="20"/>
  <c r="K8" i="20"/>
  <c r="L8" i="20"/>
  <c r="G9" i="20"/>
  <c r="J9" i="20"/>
  <c r="K9" i="20"/>
  <c r="L9" i="20"/>
  <c r="G10" i="20"/>
  <c r="J10" i="20"/>
  <c r="K10" i="20"/>
  <c r="L10" i="20"/>
  <c r="G11" i="20"/>
  <c r="J11" i="20"/>
  <c r="K11" i="20"/>
  <c r="L11" i="20"/>
  <c r="G12" i="20"/>
  <c r="J12" i="20"/>
  <c r="K12" i="20"/>
  <c r="L12" i="20"/>
  <c r="G13" i="20"/>
  <c r="J13" i="20"/>
  <c r="K13" i="20"/>
  <c r="L13" i="20"/>
  <c r="G14" i="20"/>
  <c r="J14" i="20"/>
  <c r="K14" i="20"/>
  <c r="L14" i="20"/>
  <c r="G15" i="20"/>
  <c r="J15" i="20"/>
  <c r="K15" i="20"/>
  <c r="L15" i="20"/>
  <c r="G16" i="20"/>
  <c r="J16" i="20"/>
  <c r="K16" i="20"/>
  <c r="L16" i="20"/>
  <c r="G17" i="20"/>
  <c r="J17" i="20"/>
  <c r="K17" i="20"/>
  <c r="L17" i="20"/>
  <c r="G18" i="20"/>
  <c r="J18" i="20"/>
  <c r="K18" i="20"/>
  <c r="L18" i="20"/>
  <c r="G19" i="20"/>
  <c r="J19" i="20"/>
  <c r="K19" i="20"/>
  <c r="L19" i="20"/>
  <c r="G20" i="20"/>
  <c r="J20" i="20"/>
  <c r="K20" i="20"/>
  <c r="L20" i="20"/>
  <c r="G21" i="20"/>
  <c r="J21" i="20"/>
  <c r="K21" i="20"/>
  <c r="L21" i="20"/>
  <c r="G22" i="20"/>
  <c r="J22" i="20"/>
  <c r="K22" i="20"/>
  <c r="L22" i="20"/>
  <c r="G23" i="20"/>
  <c r="J23" i="20"/>
  <c r="K23" i="20"/>
  <c r="L23" i="20"/>
  <c r="G24" i="20"/>
  <c r="J24" i="20"/>
  <c r="K24" i="20"/>
  <c r="L24" i="20"/>
  <c r="G25" i="20"/>
  <c r="J25" i="20"/>
  <c r="K25" i="20"/>
  <c r="L25" i="20"/>
  <c r="G26" i="20"/>
  <c r="J26" i="20"/>
  <c r="K26" i="20"/>
  <c r="L26" i="20"/>
  <c r="G27" i="20"/>
  <c r="J27" i="20"/>
  <c r="K27" i="20"/>
  <c r="L27" i="20"/>
  <c r="G28" i="20"/>
  <c r="J28" i="20"/>
  <c r="K28" i="20"/>
  <c r="L28" i="20"/>
  <c r="G29" i="20"/>
  <c r="J29" i="20"/>
  <c r="K29" i="20"/>
  <c r="L29" i="20"/>
  <c r="G30" i="20"/>
  <c r="J30" i="20"/>
  <c r="K30" i="20"/>
  <c r="L30" i="20"/>
  <c r="G31" i="20"/>
  <c r="J31" i="20"/>
  <c r="K31" i="20"/>
  <c r="L31" i="20"/>
  <c r="G32" i="20"/>
  <c r="J32" i="20"/>
  <c r="K32" i="20"/>
  <c r="L32" i="20"/>
  <c r="J33" i="20"/>
  <c r="K33" i="20"/>
  <c r="L33" i="20"/>
  <c r="J42" i="51"/>
  <c r="G42" i="51"/>
  <c r="K42" i="51" s="1"/>
  <c r="L42" i="51" s="1"/>
  <c r="J41" i="51"/>
  <c r="G41" i="51"/>
  <c r="K41" i="51" s="1"/>
  <c r="L41" i="51" s="1"/>
  <c r="J40" i="51"/>
  <c r="G40" i="51"/>
  <c r="K40" i="51" s="1"/>
  <c r="L40" i="51" s="1"/>
  <c r="J39" i="51"/>
  <c r="G39" i="51"/>
  <c r="K39" i="51" s="1"/>
  <c r="L39" i="51" s="1"/>
  <c r="J38" i="51"/>
  <c r="G38" i="51"/>
  <c r="K38" i="51" s="1"/>
  <c r="L38" i="51" s="1"/>
  <c r="J37" i="51"/>
  <c r="G37" i="51"/>
  <c r="K37" i="51" s="1"/>
  <c r="L37" i="51" s="1"/>
  <c r="J36" i="51"/>
  <c r="G36" i="51"/>
  <c r="K36" i="51" s="1"/>
  <c r="L36" i="51" s="1"/>
  <c r="J35" i="51"/>
  <c r="G35" i="51"/>
  <c r="K35" i="51" s="1"/>
  <c r="L35" i="51" s="1"/>
  <c r="J34" i="51"/>
  <c r="G34" i="51"/>
  <c r="K34" i="51" s="1"/>
  <c r="L34" i="51" s="1"/>
  <c r="J33" i="51"/>
  <c r="G33" i="51"/>
  <c r="K33" i="51" s="1"/>
  <c r="L33" i="51" s="1"/>
  <c r="J32" i="51"/>
  <c r="G32" i="51"/>
  <c r="K32" i="51" s="1"/>
  <c r="J31" i="51"/>
  <c r="G31" i="51"/>
  <c r="K31" i="51" s="1"/>
  <c r="J30" i="51"/>
  <c r="G30" i="51"/>
  <c r="K30" i="51" s="1"/>
  <c r="J29" i="51"/>
  <c r="G29" i="51"/>
  <c r="K29" i="51" s="1"/>
  <c r="J28" i="51"/>
  <c r="G28" i="51"/>
  <c r="K28" i="51" s="1"/>
  <c r="J27" i="51"/>
  <c r="G27" i="51"/>
  <c r="K27" i="51" s="1"/>
  <c r="L27" i="51" s="1"/>
  <c r="J26" i="51"/>
  <c r="G26" i="51"/>
  <c r="K26" i="51" s="1"/>
  <c r="J25" i="51"/>
  <c r="G25" i="51"/>
  <c r="K25" i="51" s="1"/>
  <c r="J24" i="51"/>
  <c r="G24" i="51"/>
  <c r="K24" i="51" s="1"/>
  <c r="J23" i="51"/>
  <c r="G23" i="51"/>
  <c r="K23" i="51" s="1"/>
  <c r="J22" i="51"/>
  <c r="G22" i="51"/>
  <c r="K22" i="51" s="1"/>
  <c r="L22" i="51" s="1"/>
  <c r="J21" i="51"/>
  <c r="G21" i="51"/>
  <c r="K21" i="51" s="1"/>
  <c r="L21" i="51" s="1"/>
  <c r="J20" i="51"/>
  <c r="G20" i="51"/>
  <c r="K20" i="51" s="1"/>
  <c r="J19" i="51"/>
  <c r="G19" i="51"/>
  <c r="K19" i="51" s="1"/>
  <c r="L19" i="51" s="1"/>
  <c r="J18" i="51"/>
  <c r="G18" i="51"/>
  <c r="K18" i="51" s="1"/>
  <c r="L18" i="51" s="1"/>
  <c r="J17" i="51"/>
  <c r="G17" i="51"/>
  <c r="K17" i="51" s="1"/>
  <c r="J16" i="51"/>
  <c r="G16" i="51"/>
  <c r="K16" i="51" s="1"/>
  <c r="J15" i="51"/>
  <c r="G15" i="51"/>
  <c r="K15" i="51" s="1"/>
  <c r="L15" i="51" s="1"/>
  <c r="J14" i="51"/>
  <c r="G14" i="51"/>
  <c r="K14" i="51" s="1"/>
  <c r="J13" i="51"/>
  <c r="G13" i="51"/>
  <c r="K13" i="51" s="1"/>
  <c r="L13" i="51" s="1"/>
  <c r="J12" i="51"/>
  <c r="G12" i="51"/>
  <c r="K12" i="51" s="1"/>
  <c r="L12" i="51" s="1"/>
  <c r="J11" i="51"/>
  <c r="G11" i="51"/>
  <c r="K11" i="51" s="1"/>
  <c r="J10" i="51"/>
  <c r="G10" i="51"/>
  <c r="K10" i="51" s="1"/>
  <c r="J9" i="51"/>
  <c r="G9" i="51"/>
  <c r="K9" i="51" s="1"/>
  <c r="J8" i="51"/>
  <c r="G8" i="51"/>
  <c r="K8" i="51" s="1"/>
  <c r="L8" i="51" s="1"/>
  <c r="J7" i="51"/>
  <c r="G7" i="51"/>
  <c r="K7" i="51" s="1"/>
  <c r="J6" i="51"/>
  <c r="G6" i="51"/>
  <c r="K6" i="51" s="1"/>
  <c r="L6" i="51" s="1"/>
  <c r="J5" i="51"/>
  <c r="G5" i="51"/>
  <c r="K5" i="51" s="1"/>
  <c r="L5" i="51" s="1"/>
  <c r="J4" i="51"/>
  <c r="G4" i="51"/>
  <c r="G5" i="45"/>
  <c r="G6" i="45"/>
  <c r="G7" i="45"/>
  <c r="G8" i="45"/>
  <c r="G6" i="44"/>
  <c r="J6" i="44"/>
  <c r="K6" i="44"/>
  <c r="G7" i="44"/>
  <c r="J7" i="44"/>
  <c r="K7" i="44"/>
  <c r="G8" i="44"/>
  <c r="J8" i="44"/>
  <c r="G9" i="44"/>
  <c r="J9" i="44"/>
  <c r="K9" i="44"/>
  <c r="G10" i="44"/>
  <c r="J10" i="44"/>
  <c r="K10" i="44"/>
  <c r="G11" i="44"/>
  <c r="J11" i="44"/>
  <c r="K11" i="44"/>
  <c r="G12" i="44"/>
  <c r="J12" i="44"/>
  <c r="K12" i="44"/>
  <c r="G13" i="44"/>
  <c r="J13" i="44"/>
  <c r="K13" i="44"/>
  <c r="G14" i="44"/>
  <c r="J14" i="44"/>
  <c r="K14" i="44"/>
  <c r="G15" i="44"/>
  <c r="J15" i="44"/>
  <c r="K15" i="44"/>
  <c r="G16" i="44"/>
  <c r="J16" i="44"/>
  <c r="K16" i="44"/>
  <c r="G17" i="44"/>
  <c r="J17" i="44"/>
  <c r="K17" i="44"/>
  <c r="G18" i="44"/>
  <c r="J18" i="44"/>
  <c r="K18" i="44"/>
  <c r="G19" i="44"/>
  <c r="J19" i="44"/>
  <c r="K19" i="44"/>
  <c r="G20" i="44"/>
  <c r="J20" i="44"/>
  <c r="K20" i="44"/>
  <c r="G21" i="44"/>
  <c r="J21" i="44"/>
  <c r="K21" i="44"/>
  <c r="G22" i="44"/>
  <c r="J22" i="44"/>
  <c r="K22" i="44"/>
  <c r="G23" i="44"/>
  <c r="J23" i="44"/>
  <c r="K23" i="44"/>
  <c r="G24" i="44"/>
  <c r="J24" i="44"/>
  <c r="K24" i="44"/>
  <c r="G25" i="44"/>
  <c r="J25" i="44"/>
  <c r="K25" i="44"/>
  <c r="G26" i="44"/>
  <c r="J26" i="44"/>
  <c r="K26" i="44"/>
  <c r="G27" i="44"/>
  <c r="J27" i="44"/>
  <c r="K27" i="44"/>
  <c r="G28" i="44"/>
  <c r="J28" i="44"/>
  <c r="K28" i="44"/>
  <c r="G29" i="44"/>
  <c r="J29" i="44"/>
  <c r="K29" i="44"/>
  <c r="G30" i="44"/>
  <c r="J30" i="44"/>
  <c r="K30" i="44"/>
  <c r="G31" i="44"/>
  <c r="J31" i="44"/>
  <c r="K31" i="44"/>
  <c r="G32" i="44"/>
  <c r="J32" i="44"/>
  <c r="K32" i="44"/>
  <c r="G33" i="44"/>
  <c r="J33" i="44"/>
  <c r="K33" i="44"/>
  <c r="G34" i="44"/>
  <c r="J34" i="44"/>
  <c r="K34" i="44"/>
  <c r="G35" i="44"/>
  <c r="J35" i="44"/>
  <c r="K35" i="44"/>
  <c r="G36" i="44"/>
  <c r="J36" i="44"/>
  <c r="K36" i="44"/>
  <c r="G37" i="44"/>
  <c r="J37" i="44"/>
  <c r="K37" i="44"/>
  <c r="G38" i="44"/>
  <c r="J38" i="44"/>
  <c r="K38" i="44"/>
  <c r="G39" i="44"/>
  <c r="J39" i="44"/>
  <c r="K39" i="44"/>
  <c r="G40" i="44"/>
  <c r="J40" i="44"/>
  <c r="K40" i="44"/>
  <c r="G41" i="44"/>
  <c r="J41" i="44"/>
  <c r="K41" i="44"/>
  <c r="G42" i="44"/>
  <c r="J42" i="44"/>
  <c r="K42" i="44"/>
  <c r="G43" i="44"/>
  <c r="J43" i="44"/>
  <c r="K43" i="44"/>
  <c r="G44" i="44"/>
  <c r="J44" i="44"/>
  <c r="K44" i="44"/>
  <c r="G45" i="44"/>
  <c r="J45" i="44"/>
  <c r="K45" i="44"/>
  <c r="G46" i="44"/>
  <c r="J46" i="44"/>
  <c r="K46" i="44"/>
  <c r="G47" i="44"/>
  <c r="J47" i="44"/>
  <c r="K47" i="44"/>
  <c r="G48" i="44"/>
  <c r="J48" i="44"/>
  <c r="K48" i="44"/>
  <c r="G49" i="44"/>
  <c r="J49" i="44"/>
  <c r="K49" i="44"/>
  <c r="G50" i="44"/>
  <c r="J50" i="44"/>
  <c r="K50" i="44"/>
  <c r="G51" i="44"/>
  <c r="J51" i="44"/>
  <c r="K51" i="44"/>
  <c r="G52" i="44"/>
  <c r="J52" i="44"/>
  <c r="K52" i="44"/>
  <c r="G53" i="44"/>
  <c r="J53" i="44"/>
  <c r="K53" i="44"/>
  <c r="G54" i="44"/>
  <c r="J54" i="44"/>
  <c r="K54" i="44"/>
  <c r="G55" i="44"/>
  <c r="J55" i="44"/>
  <c r="K55" i="44"/>
  <c r="G56" i="44"/>
  <c r="J56" i="44"/>
  <c r="K56" i="44"/>
  <c r="G57" i="44"/>
  <c r="J57" i="44"/>
  <c r="K57" i="44"/>
  <c r="G58" i="44"/>
  <c r="J58" i="44"/>
  <c r="K58" i="44"/>
  <c r="G59" i="44"/>
  <c r="J59" i="44"/>
  <c r="K59" i="44"/>
  <c r="G60" i="44"/>
  <c r="K60" i="44"/>
  <c r="G61" i="44"/>
  <c r="K61" i="44"/>
  <c r="G62" i="44"/>
  <c r="K62" i="44"/>
  <c r="G63" i="44"/>
  <c r="J63" i="44"/>
  <c r="K63" i="44"/>
  <c r="G64" i="44"/>
  <c r="J64" i="44"/>
  <c r="K64" i="44"/>
  <c r="G65" i="44"/>
  <c r="J65" i="44"/>
  <c r="K65" i="44"/>
  <c r="G66" i="44"/>
  <c r="J66" i="44"/>
  <c r="K66" i="44"/>
  <c r="G67" i="44"/>
  <c r="J67" i="44"/>
  <c r="K67" i="44"/>
  <c r="G68" i="44"/>
  <c r="J68" i="44"/>
  <c r="K68" i="44"/>
  <c r="G69" i="44"/>
  <c r="J69" i="44"/>
  <c r="K69" i="44"/>
  <c r="G70" i="44"/>
  <c r="J70" i="44"/>
  <c r="K70" i="44"/>
  <c r="G71" i="44"/>
  <c r="J71" i="44"/>
  <c r="K71" i="44"/>
  <c r="G72" i="44"/>
  <c r="J72" i="44"/>
  <c r="K72" i="44"/>
  <c r="G73" i="44"/>
  <c r="J73" i="44"/>
  <c r="K73" i="44"/>
  <c r="G74" i="44"/>
  <c r="J74" i="44"/>
  <c r="K74" i="44"/>
  <c r="G75" i="44"/>
  <c r="J75" i="44"/>
  <c r="K75" i="44"/>
  <c r="G76" i="44"/>
  <c r="J76" i="44"/>
  <c r="K76" i="44"/>
  <c r="G77" i="44"/>
  <c r="J77" i="44"/>
  <c r="K77" i="44"/>
  <c r="H6" i="43"/>
  <c r="K6" i="43"/>
  <c r="L6" i="43"/>
  <c r="H7" i="43"/>
  <c r="K7" i="43"/>
  <c r="L7" i="43"/>
  <c r="H8" i="43"/>
  <c r="K8" i="43"/>
  <c r="L8" i="43"/>
  <c r="H9" i="43"/>
  <c r="K9" i="43"/>
  <c r="L9" i="43"/>
  <c r="H10" i="43"/>
  <c r="K10" i="43"/>
  <c r="L10" i="43"/>
  <c r="H11" i="43"/>
  <c r="K11" i="43"/>
  <c r="L11" i="43"/>
  <c r="H12" i="43"/>
  <c r="K12" i="43"/>
  <c r="L12" i="43"/>
  <c r="H13" i="43"/>
  <c r="K13" i="43"/>
  <c r="L13" i="43"/>
  <c r="H14" i="43"/>
  <c r="K14" i="43"/>
  <c r="L14" i="43"/>
  <c r="H15" i="43"/>
  <c r="K15" i="43"/>
  <c r="L15" i="43"/>
  <c r="H16" i="43"/>
  <c r="K16" i="43"/>
  <c r="L16" i="43"/>
  <c r="H17" i="43"/>
  <c r="K17" i="43"/>
  <c r="L17" i="43"/>
  <c r="H18" i="43"/>
  <c r="K18" i="43"/>
  <c r="L18" i="43"/>
  <c r="H19" i="43"/>
  <c r="K19" i="43"/>
  <c r="L19" i="43"/>
  <c r="H20" i="43"/>
  <c r="K20" i="43"/>
  <c r="L20" i="43"/>
  <c r="H21" i="43"/>
  <c r="K21" i="43"/>
  <c r="L21" i="43"/>
  <c r="H22" i="43"/>
  <c r="K22" i="43"/>
  <c r="L22" i="43"/>
  <c r="H23" i="43"/>
  <c r="K23" i="43"/>
  <c r="L23" i="43"/>
  <c r="H24" i="43"/>
  <c r="K24" i="43"/>
  <c r="L24" i="43"/>
  <c r="H25" i="43"/>
  <c r="K25" i="43"/>
  <c r="L25" i="43"/>
  <c r="H26" i="43"/>
  <c r="K26" i="43"/>
  <c r="L26" i="43"/>
  <c r="H27" i="43"/>
  <c r="K27" i="43"/>
  <c r="L27" i="43"/>
  <c r="H28" i="43"/>
  <c r="K28" i="43"/>
  <c r="L28" i="43"/>
  <c r="K29" i="43"/>
  <c r="L29" i="43"/>
  <c r="H30" i="43"/>
  <c r="K30" i="43"/>
  <c r="L30" i="43"/>
  <c r="H31" i="43"/>
  <c r="K31" i="43"/>
  <c r="L31" i="43"/>
  <c r="H32" i="43"/>
  <c r="K32" i="43"/>
  <c r="L32" i="43"/>
  <c r="H33" i="43"/>
  <c r="K33" i="43"/>
  <c r="L33" i="43"/>
  <c r="H34" i="43"/>
  <c r="K34" i="43"/>
  <c r="L34" i="43"/>
  <c r="H35" i="43"/>
  <c r="K35" i="43"/>
  <c r="L35" i="43"/>
  <c r="H36" i="43"/>
  <c r="K36" i="43"/>
  <c r="L36" i="43"/>
  <c r="H37" i="43"/>
  <c r="K37" i="43"/>
  <c r="L37" i="43"/>
  <c r="H38" i="43"/>
  <c r="K38" i="43"/>
  <c r="L38" i="43"/>
  <c r="H39" i="43"/>
  <c r="K39" i="43"/>
  <c r="L39" i="43"/>
  <c r="H40" i="43"/>
  <c r="K40" i="43"/>
  <c r="L40" i="43"/>
  <c r="H41" i="43"/>
  <c r="K41" i="43"/>
  <c r="L41" i="43"/>
  <c r="H42" i="43"/>
  <c r="K42" i="43"/>
  <c r="L42" i="43"/>
  <c r="H43" i="43"/>
  <c r="K43" i="43"/>
  <c r="L43" i="43"/>
  <c r="H44" i="43"/>
  <c r="K44" i="43"/>
  <c r="L44" i="43"/>
  <c r="H45" i="43"/>
  <c r="K45" i="43"/>
  <c r="L45" i="43"/>
  <c r="H46" i="43"/>
  <c r="K46" i="43"/>
  <c r="L46" i="43"/>
  <c r="H47" i="43"/>
  <c r="K47" i="43"/>
  <c r="L47" i="43"/>
  <c r="H48" i="43"/>
  <c r="K48" i="43"/>
  <c r="L48" i="43"/>
  <c r="H49" i="43"/>
  <c r="K49" i="43"/>
  <c r="L49" i="43"/>
  <c r="H50" i="43"/>
  <c r="K50" i="43"/>
  <c r="L50" i="43"/>
  <c r="H51" i="43"/>
  <c r="K51" i="43"/>
  <c r="L51" i="43"/>
  <c r="H52" i="43"/>
  <c r="K52" i="43"/>
  <c r="L52" i="43"/>
  <c r="H53" i="43"/>
  <c r="K53" i="43"/>
  <c r="L53" i="43"/>
  <c r="H54" i="43"/>
  <c r="K54" i="43"/>
  <c r="L54" i="43"/>
  <c r="H55" i="43"/>
  <c r="K55" i="43"/>
  <c r="L55" i="43"/>
  <c r="H56" i="43"/>
  <c r="K56" i="43"/>
  <c r="L56" i="43"/>
  <c r="H57" i="43"/>
  <c r="K57" i="43"/>
  <c r="L57" i="43"/>
  <c r="K58" i="43"/>
  <c r="L58" i="43"/>
  <c r="H59" i="43"/>
  <c r="K59" i="43"/>
  <c r="L59" i="43"/>
  <c r="H60" i="43"/>
  <c r="K60" i="43"/>
  <c r="L60" i="43"/>
  <c r="H61" i="43"/>
  <c r="K61" i="43"/>
  <c r="L61" i="43"/>
  <c r="H62" i="43"/>
  <c r="K62" i="43"/>
  <c r="L62" i="43"/>
  <c r="H63" i="43"/>
  <c r="K63" i="43"/>
  <c r="L63" i="43"/>
  <c r="H64" i="43"/>
  <c r="K64" i="43"/>
  <c r="L64" i="43"/>
  <c r="H65" i="43"/>
  <c r="K65" i="43"/>
  <c r="L65" i="43"/>
  <c r="H66" i="43"/>
  <c r="K66" i="43"/>
  <c r="L66" i="43"/>
  <c r="H67" i="43"/>
  <c r="K67" i="43"/>
  <c r="L67" i="43"/>
  <c r="H68" i="43"/>
  <c r="K68" i="43"/>
  <c r="L68" i="43"/>
  <c r="H69" i="43"/>
  <c r="K69" i="43"/>
  <c r="L69" i="43"/>
  <c r="K70" i="43"/>
  <c r="L70" i="43" s="1"/>
  <c r="H71" i="43"/>
  <c r="K71" i="43"/>
  <c r="L71" i="43"/>
  <c r="H72" i="43"/>
  <c r="K72" i="43"/>
  <c r="L72" i="43"/>
  <c r="H73" i="43"/>
  <c r="K73" i="43"/>
  <c r="L73" i="43"/>
  <c r="H74" i="43"/>
  <c r="K74" i="43"/>
  <c r="L74" i="43"/>
  <c r="H75" i="43"/>
  <c r="L75" i="43"/>
  <c r="H76" i="43"/>
  <c r="L76" i="43"/>
  <c r="H77" i="43"/>
  <c r="K77" i="43"/>
  <c r="L77" i="43"/>
  <c r="H78" i="43"/>
  <c r="K78" i="43"/>
  <c r="L78" i="43"/>
  <c r="H79" i="43"/>
  <c r="K79" i="43"/>
  <c r="L79" i="43"/>
  <c r="H80" i="43"/>
  <c r="K80" i="43"/>
  <c r="L80" i="43"/>
  <c r="H81" i="43"/>
  <c r="K81" i="43"/>
  <c r="L81" i="43"/>
  <c r="H82" i="43"/>
  <c r="K82" i="43"/>
  <c r="L82" i="43"/>
  <c r="H83" i="43"/>
  <c r="K83" i="43"/>
  <c r="L83" i="43"/>
  <c r="H84" i="43"/>
  <c r="K84" i="43"/>
  <c r="L84" i="43"/>
  <c r="H85" i="43"/>
  <c r="K85" i="43"/>
  <c r="L85" i="43"/>
  <c r="H86" i="43"/>
  <c r="K86" i="43"/>
  <c r="L86" i="43"/>
  <c r="H87" i="43"/>
  <c r="K87" i="43"/>
  <c r="L87" i="43"/>
  <c r="H88" i="43"/>
  <c r="K88" i="43"/>
  <c r="L88" i="43"/>
  <c r="H89" i="43"/>
  <c r="K89" i="43"/>
  <c r="L89" i="43"/>
  <c r="H90" i="43"/>
  <c r="K90" i="43"/>
  <c r="L90" i="43"/>
  <c r="H91" i="43"/>
  <c r="K91" i="43"/>
  <c r="L91" i="43"/>
  <c r="H92" i="43"/>
  <c r="K92" i="43"/>
  <c r="L92" i="43"/>
  <c r="H93" i="43"/>
  <c r="K93" i="43"/>
  <c r="L93" i="43"/>
  <c r="H94" i="43"/>
  <c r="K94" i="43"/>
  <c r="L94" i="43"/>
  <c r="H95" i="43"/>
  <c r="K95" i="43"/>
  <c r="L95" i="43"/>
  <c r="H96" i="43"/>
  <c r="K96" i="43"/>
  <c r="L96" i="43"/>
  <c r="H97" i="43"/>
  <c r="K97" i="43"/>
  <c r="L97" i="43"/>
  <c r="H98" i="43"/>
  <c r="K98" i="43"/>
  <c r="H99" i="43"/>
  <c r="K99" i="43"/>
  <c r="H100" i="43"/>
  <c r="K100" i="43"/>
  <c r="K101" i="43"/>
  <c r="L101" i="43" s="1"/>
  <c r="H102" i="43"/>
  <c r="K102" i="43"/>
  <c r="H103" i="43"/>
  <c r="K103" i="43"/>
  <c r="H104" i="43"/>
  <c r="K104" i="43"/>
  <c r="H105" i="43"/>
  <c r="K105" i="43"/>
  <c r="H106" i="43"/>
  <c r="K106" i="43"/>
  <c r="L106" i="43"/>
  <c r="H107" i="43"/>
  <c r="K107" i="43"/>
  <c r="L107" i="43"/>
  <c r="H108" i="43"/>
  <c r="K108" i="43"/>
  <c r="L108" i="43"/>
  <c r="H109" i="43"/>
  <c r="K109" i="43"/>
  <c r="L109" i="43"/>
  <c r="H110" i="43"/>
  <c r="K110" i="43"/>
  <c r="L110" i="43"/>
  <c r="H111" i="43"/>
  <c r="K111" i="43"/>
  <c r="L111" i="43"/>
  <c r="H112" i="43"/>
  <c r="K112" i="43"/>
  <c r="L112" i="43"/>
  <c r="H113" i="43"/>
  <c r="K113" i="43"/>
  <c r="L113" i="43"/>
  <c r="H114" i="43"/>
  <c r="K114" i="43"/>
  <c r="L114" i="43"/>
  <c r="H115" i="43"/>
  <c r="K115" i="43"/>
  <c r="L115" i="43"/>
  <c r="H116" i="43"/>
  <c r="K116" i="43"/>
  <c r="L116" i="43"/>
  <c r="H117" i="43"/>
  <c r="K117" i="43"/>
  <c r="L117" i="43"/>
  <c r="H118" i="43"/>
  <c r="K118" i="43"/>
  <c r="L118" i="43"/>
  <c r="H119" i="43"/>
  <c r="K119" i="43"/>
  <c r="L119" i="43"/>
  <c r="H120" i="43"/>
  <c r="K120" i="43"/>
  <c r="L120" i="43"/>
  <c r="H121" i="43"/>
  <c r="K121" i="43"/>
  <c r="L121" i="43"/>
  <c r="H122" i="43"/>
  <c r="K122" i="43"/>
  <c r="L122" i="43"/>
  <c r="H123" i="43"/>
  <c r="K123" i="43"/>
  <c r="L123" i="43"/>
  <c r="H124" i="43"/>
  <c r="K124" i="43"/>
  <c r="L124" i="43"/>
  <c r="H125" i="43"/>
  <c r="K125" i="43"/>
  <c r="L125" i="43"/>
  <c r="H126" i="43"/>
  <c r="K126" i="43"/>
  <c r="L126" i="43"/>
  <c r="H127" i="43"/>
  <c r="K127" i="43"/>
  <c r="L127" i="43"/>
  <c r="H128" i="43"/>
  <c r="K128" i="43"/>
  <c r="L128" i="43"/>
  <c r="H129" i="43"/>
  <c r="K129" i="43"/>
  <c r="L129" i="43"/>
  <c r="H130" i="43"/>
  <c r="K130" i="43"/>
  <c r="L130" i="43"/>
  <c r="H131" i="43"/>
  <c r="K131" i="43"/>
  <c r="L131" i="43"/>
  <c r="H132" i="43"/>
  <c r="K132" i="43"/>
  <c r="L132" i="43"/>
  <c r="H133" i="43"/>
  <c r="K133" i="43"/>
  <c r="L133" i="43"/>
  <c r="H134" i="43"/>
  <c r="K134" i="43"/>
  <c r="L134" i="43"/>
  <c r="H135" i="43"/>
  <c r="K135" i="43"/>
  <c r="L135" i="43"/>
  <c r="H136" i="43"/>
  <c r="L136" i="43"/>
  <c r="H137" i="43"/>
  <c r="K137" i="43"/>
  <c r="L137" i="43"/>
  <c r="H138" i="43"/>
  <c r="K138" i="43"/>
  <c r="L138" i="43"/>
  <c r="H139" i="43"/>
  <c r="K139" i="43"/>
  <c r="L139" i="43"/>
  <c r="H140" i="43"/>
  <c r="K140" i="43"/>
  <c r="L140" i="43"/>
  <c r="H141" i="43"/>
  <c r="K141" i="43"/>
  <c r="L141" i="43"/>
  <c r="H142" i="43"/>
  <c r="K142" i="43"/>
  <c r="L142" i="43"/>
  <c r="H143" i="43"/>
  <c r="K143" i="43"/>
  <c r="L143" i="43"/>
  <c r="H144" i="43"/>
  <c r="K144" i="43"/>
  <c r="H145" i="43"/>
  <c r="K145" i="43"/>
  <c r="L145" i="43"/>
  <c r="H146" i="43"/>
  <c r="K146" i="43"/>
  <c r="L146" i="43"/>
  <c r="H147" i="43"/>
  <c r="K147" i="43"/>
  <c r="L147" i="43"/>
  <c r="H148" i="43"/>
  <c r="K148" i="43"/>
  <c r="L148" i="43"/>
  <c r="H149" i="43"/>
  <c r="K149" i="43"/>
  <c r="L149" i="43"/>
  <c r="H150" i="43"/>
  <c r="K150" i="43"/>
  <c r="L150" i="43"/>
  <c r="H151" i="43"/>
  <c r="K151" i="43"/>
  <c r="L151" i="43"/>
  <c r="H152" i="43"/>
  <c r="K152" i="43"/>
  <c r="L152" i="43"/>
  <c r="H153" i="43"/>
  <c r="K153" i="43"/>
  <c r="L153" i="43"/>
  <c r="H154" i="43"/>
  <c r="K154" i="43"/>
  <c r="L154" i="43"/>
  <c r="H155" i="43"/>
  <c r="K155" i="43"/>
  <c r="L155" i="43"/>
  <c r="H156" i="43"/>
  <c r="K156" i="43"/>
  <c r="L156" i="43"/>
  <c r="H157" i="43"/>
  <c r="K157" i="43"/>
  <c r="L157" i="43"/>
  <c r="H158" i="43"/>
  <c r="K158" i="43"/>
  <c r="L158" i="43"/>
  <c r="H159" i="43"/>
  <c r="K159" i="43"/>
  <c r="L159" i="43"/>
  <c r="H160" i="43"/>
  <c r="K160" i="43"/>
  <c r="L160" i="43"/>
  <c r="H161" i="43"/>
  <c r="K161" i="43"/>
  <c r="L161" i="43"/>
  <c r="H162" i="43"/>
  <c r="K162" i="43"/>
  <c r="L162" i="43"/>
  <c r="H163" i="43"/>
  <c r="K163" i="43"/>
  <c r="L163" i="43"/>
  <c r="H164" i="43"/>
  <c r="K164" i="43"/>
  <c r="L164" i="43"/>
  <c r="H165" i="43"/>
  <c r="K165" i="43"/>
  <c r="L165" i="43"/>
  <c r="H166" i="43"/>
  <c r="K166" i="43"/>
  <c r="L166" i="43"/>
  <c r="H167" i="43"/>
  <c r="K167" i="43"/>
  <c r="L167" i="43"/>
  <c r="H168" i="43"/>
  <c r="K168" i="43"/>
  <c r="L168" i="43"/>
  <c r="H169" i="43"/>
  <c r="K169" i="43"/>
  <c r="L169" i="43"/>
  <c r="H170" i="43"/>
  <c r="K170" i="43"/>
  <c r="L170" i="43"/>
  <c r="H171" i="43"/>
  <c r="K171" i="43"/>
  <c r="L171" i="43"/>
  <c r="H172" i="43"/>
  <c r="K172" i="43"/>
  <c r="L172" i="43"/>
  <c r="H173" i="43"/>
  <c r="K173" i="43"/>
  <c r="L173" i="43"/>
  <c r="H174" i="43"/>
  <c r="K174" i="43"/>
  <c r="L174" i="43"/>
  <c r="H175" i="43"/>
  <c r="K175" i="43"/>
  <c r="L175" i="43"/>
  <c r="H176" i="43"/>
  <c r="K176" i="43"/>
  <c r="L176" i="43"/>
  <c r="H177" i="43"/>
  <c r="K177" i="43"/>
  <c r="L177" i="43"/>
  <c r="H178" i="43"/>
  <c r="K178" i="43"/>
  <c r="L178" i="43"/>
  <c r="H179" i="43"/>
  <c r="K179" i="43"/>
  <c r="L179" i="43"/>
  <c r="H180" i="43"/>
  <c r="K180" i="43"/>
  <c r="L180" i="43"/>
  <c r="H181" i="43"/>
  <c r="K181" i="43"/>
  <c r="L181" i="43"/>
  <c r="G5" i="19"/>
  <c r="J5" i="19"/>
  <c r="K5" i="19"/>
  <c r="L5" i="19"/>
  <c r="G6" i="19"/>
  <c r="J6" i="19"/>
  <c r="K6" i="19"/>
  <c r="L6" i="19"/>
  <c r="G7" i="19"/>
  <c r="J7" i="19"/>
  <c r="K7" i="19"/>
  <c r="L7" i="19"/>
  <c r="G8" i="19"/>
  <c r="J8" i="19"/>
  <c r="K8" i="19"/>
  <c r="L8" i="19"/>
  <c r="G9" i="19"/>
  <c r="J9" i="19"/>
  <c r="K9" i="19"/>
  <c r="L9" i="19"/>
  <c r="G10" i="19"/>
  <c r="J10" i="19"/>
  <c r="K10" i="19"/>
  <c r="L10" i="19"/>
  <c r="G11" i="19"/>
  <c r="K11" i="19"/>
  <c r="L11" i="19"/>
  <c r="G12" i="19"/>
  <c r="J12" i="19"/>
  <c r="K12" i="19"/>
  <c r="L12" i="19"/>
  <c r="G13" i="19"/>
  <c r="J13" i="19"/>
  <c r="K13" i="19"/>
  <c r="L13" i="19"/>
  <c r="G14" i="19"/>
  <c r="J14" i="19"/>
  <c r="K14" i="19"/>
  <c r="L14" i="19"/>
  <c r="G15" i="19"/>
  <c r="J15" i="19"/>
  <c r="K15" i="19"/>
  <c r="L15" i="19"/>
  <c r="G16" i="19"/>
  <c r="J16" i="19"/>
  <c r="K16" i="19"/>
  <c r="L16" i="19"/>
  <c r="G17" i="19"/>
  <c r="J17" i="19"/>
  <c r="K17" i="19"/>
  <c r="L17" i="19"/>
  <c r="G18" i="19"/>
  <c r="J18" i="19"/>
  <c r="K18" i="19"/>
  <c r="L18" i="19"/>
  <c r="G19" i="19"/>
  <c r="J19" i="19"/>
  <c r="K19" i="19"/>
  <c r="L19" i="19"/>
  <c r="G20" i="19"/>
  <c r="J20" i="19"/>
  <c r="K20" i="19"/>
  <c r="L20" i="19"/>
  <c r="G21" i="19"/>
  <c r="J21" i="19"/>
  <c r="K21" i="19"/>
  <c r="L21" i="19"/>
  <c r="G22" i="19"/>
  <c r="J22" i="19"/>
  <c r="K22" i="19"/>
  <c r="L22" i="19"/>
  <c r="G23" i="19"/>
  <c r="J23" i="19"/>
  <c r="K23" i="19"/>
  <c r="L23" i="19"/>
  <c r="G24" i="19"/>
  <c r="J24" i="19"/>
  <c r="K24" i="19"/>
  <c r="L24" i="19"/>
  <c r="G25" i="19"/>
  <c r="J25" i="19"/>
  <c r="K25" i="19"/>
  <c r="L25" i="19"/>
  <c r="G26" i="19"/>
  <c r="J26" i="19"/>
  <c r="K26" i="19"/>
  <c r="L26" i="19"/>
  <c r="G27" i="19"/>
  <c r="J27" i="19"/>
  <c r="K27" i="19"/>
  <c r="L27" i="19"/>
  <c r="G28" i="19"/>
  <c r="J28" i="19"/>
  <c r="K28" i="19"/>
  <c r="L28" i="19"/>
  <c r="G29" i="19"/>
  <c r="J29" i="19"/>
  <c r="K29" i="19"/>
  <c r="L29" i="19"/>
  <c r="G30" i="19"/>
  <c r="J30" i="19"/>
  <c r="K30" i="19"/>
  <c r="L30" i="19"/>
  <c r="G31" i="19"/>
  <c r="J31" i="19"/>
  <c r="K31" i="19"/>
  <c r="L31" i="19"/>
  <c r="G32" i="19"/>
  <c r="J32" i="19"/>
  <c r="K32" i="19"/>
  <c r="L32" i="19"/>
  <c r="G5" i="35"/>
  <c r="J5" i="35"/>
  <c r="K5" i="35"/>
  <c r="L5" i="35"/>
  <c r="G6" i="35"/>
  <c r="J6" i="35"/>
  <c r="K6" i="35"/>
  <c r="L6" i="35"/>
  <c r="G7" i="35"/>
  <c r="J7" i="35"/>
  <c r="K7" i="35"/>
  <c r="L7" i="35"/>
  <c r="G8" i="35"/>
  <c r="J8" i="35"/>
  <c r="K8" i="35"/>
  <c r="L8" i="35"/>
  <c r="G9" i="35"/>
  <c r="J9" i="35"/>
  <c r="K9" i="35"/>
  <c r="L9" i="35"/>
  <c r="G10" i="35"/>
  <c r="J10" i="35"/>
  <c r="K10" i="35"/>
  <c r="L10" i="35"/>
  <c r="G11" i="35"/>
  <c r="J11" i="35"/>
  <c r="K11" i="35"/>
  <c r="L11" i="35"/>
  <c r="G12" i="35"/>
  <c r="J12" i="35"/>
  <c r="K12" i="35"/>
  <c r="L12" i="35"/>
  <c r="G13" i="35"/>
  <c r="J13" i="35"/>
  <c r="K13" i="35"/>
  <c r="L13" i="35"/>
  <c r="G14" i="35"/>
  <c r="J14" i="35"/>
  <c r="K14" i="35"/>
  <c r="L14" i="35"/>
  <c r="G15" i="35"/>
  <c r="J15" i="35"/>
  <c r="K15" i="35"/>
  <c r="L15" i="35"/>
  <c r="G16" i="35"/>
  <c r="J16" i="35"/>
  <c r="K16" i="35"/>
  <c r="L16" i="35"/>
  <c r="G17" i="35"/>
  <c r="J17" i="35"/>
  <c r="K17" i="35"/>
  <c r="L17" i="35"/>
  <c r="G18" i="35"/>
  <c r="J18" i="35"/>
  <c r="K18" i="35"/>
  <c r="L18" i="35"/>
  <c r="G19" i="35"/>
  <c r="J19" i="35"/>
  <c r="K19" i="35"/>
  <c r="L19" i="35"/>
  <c r="G20" i="35"/>
  <c r="J20" i="35"/>
  <c r="K20" i="35"/>
  <c r="L20" i="35"/>
  <c r="G21" i="35"/>
  <c r="J21" i="35"/>
  <c r="K21" i="35"/>
  <c r="L21" i="35"/>
  <c r="G22" i="35"/>
  <c r="J22" i="35"/>
  <c r="K22" i="35"/>
  <c r="L22" i="35"/>
  <c r="G23" i="35"/>
  <c r="J23" i="35"/>
  <c r="K23" i="35"/>
  <c r="L23" i="35"/>
  <c r="G24" i="35"/>
  <c r="J24" i="35"/>
  <c r="K24" i="35"/>
  <c r="L24" i="35"/>
  <c r="G25" i="35"/>
  <c r="J25" i="35"/>
  <c r="K25" i="35"/>
  <c r="L25" i="35"/>
  <c r="G26" i="35"/>
  <c r="J26" i="35"/>
  <c r="K26" i="35"/>
  <c r="L26" i="35"/>
  <c r="G27" i="35"/>
  <c r="J27" i="35"/>
  <c r="K27" i="35"/>
  <c r="L27" i="35"/>
  <c r="G28" i="35"/>
  <c r="J28" i="35"/>
  <c r="K28" i="35"/>
  <c r="L28" i="35"/>
  <c r="G29" i="35"/>
  <c r="J29" i="35"/>
  <c r="K29" i="35"/>
  <c r="L29" i="35"/>
  <c r="G30" i="35"/>
  <c r="J30" i="35"/>
  <c r="K30" i="35"/>
  <c r="L30" i="35"/>
  <c r="G31" i="35"/>
  <c r="J31" i="35"/>
  <c r="K31" i="35"/>
  <c r="L31" i="35"/>
  <c r="G32" i="35"/>
  <c r="J32" i="35"/>
  <c r="K32" i="35"/>
  <c r="L32" i="35"/>
  <c r="G33" i="35"/>
  <c r="J33" i="35"/>
  <c r="K33" i="35"/>
  <c r="L33" i="35"/>
  <c r="G34" i="35"/>
  <c r="J34" i="35"/>
  <c r="K34" i="35"/>
  <c r="L34" i="35"/>
  <c r="G35" i="35"/>
  <c r="J35" i="35"/>
  <c r="K35" i="35"/>
  <c r="L35" i="35"/>
  <c r="G36" i="35"/>
  <c r="J36" i="35"/>
  <c r="K36" i="35"/>
  <c r="L36" i="35"/>
  <c r="G37" i="35"/>
  <c r="J37" i="35"/>
  <c r="K37" i="35"/>
  <c r="L37" i="35"/>
  <c r="G38" i="35"/>
  <c r="J38" i="35"/>
  <c r="K38" i="35"/>
  <c r="L38" i="35"/>
  <c r="G39" i="35"/>
  <c r="J39" i="35"/>
  <c r="K39" i="35"/>
  <c r="L39" i="35"/>
  <c r="G40" i="35"/>
  <c r="J40" i="35"/>
  <c r="K40" i="35"/>
  <c r="L40" i="35"/>
  <c r="G41" i="35"/>
  <c r="J41" i="35"/>
  <c r="K41" i="35"/>
  <c r="L41" i="35"/>
  <c r="G5" i="34"/>
  <c r="J5" i="34"/>
  <c r="K5" i="34"/>
  <c r="L5" i="34"/>
  <c r="G6" i="34"/>
  <c r="J6" i="34"/>
  <c r="K6" i="34"/>
  <c r="L6" i="34"/>
  <c r="G7" i="34"/>
  <c r="J7" i="34"/>
  <c r="K7" i="34"/>
  <c r="L7" i="34"/>
  <c r="G8" i="34"/>
  <c r="J8" i="34"/>
  <c r="K8" i="34"/>
  <c r="L8" i="34"/>
  <c r="G9" i="34"/>
  <c r="J9" i="34"/>
  <c r="K9" i="34"/>
  <c r="L9" i="34"/>
  <c r="G10" i="34"/>
  <c r="J10" i="34"/>
  <c r="K10" i="34"/>
  <c r="L10" i="34"/>
  <c r="G11" i="34"/>
  <c r="J11" i="34"/>
  <c r="K11" i="34"/>
  <c r="L11" i="34"/>
  <c r="G12" i="34"/>
  <c r="J12" i="34"/>
  <c r="K12" i="34"/>
  <c r="L12" i="34"/>
  <c r="G13" i="34"/>
  <c r="J13" i="34"/>
  <c r="K13" i="34"/>
  <c r="L13" i="34"/>
  <c r="G14" i="34"/>
  <c r="J14" i="34"/>
  <c r="K14" i="34"/>
  <c r="L14" i="34"/>
  <c r="G15" i="34"/>
  <c r="J15" i="34"/>
  <c r="K15" i="34"/>
  <c r="L15" i="34"/>
  <c r="G16" i="34"/>
  <c r="J16" i="34"/>
  <c r="K16" i="34"/>
  <c r="L16" i="34"/>
  <c r="G17" i="34"/>
  <c r="J17" i="34"/>
  <c r="K17" i="34"/>
  <c r="L17" i="34"/>
  <c r="G18" i="34"/>
  <c r="J18" i="34"/>
  <c r="K18" i="34"/>
  <c r="L18" i="34"/>
  <c r="G19" i="34"/>
  <c r="J19" i="34"/>
  <c r="K19" i="34"/>
  <c r="L19" i="34"/>
  <c r="G20" i="34"/>
  <c r="J20" i="34"/>
  <c r="K20" i="34"/>
  <c r="L20" i="34"/>
  <c r="G21" i="34"/>
  <c r="J21" i="34"/>
  <c r="K21" i="34"/>
  <c r="L21" i="34"/>
  <c r="G22" i="34"/>
  <c r="J22" i="34"/>
  <c r="K22" i="34"/>
  <c r="L22" i="34"/>
  <c r="G23" i="34"/>
  <c r="J23" i="34"/>
  <c r="K23" i="34"/>
  <c r="L23" i="34"/>
  <c r="G24" i="34"/>
  <c r="J24" i="34"/>
  <c r="K24" i="34"/>
  <c r="L24" i="34"/>
  <c r="G25" i="34"/>
  <c r="J25" i="34"/>
  <c r="K25" i="34"/>
  <c r="L25" i="34"/>
  <c r="G26" i="34"/>
  <c r="J26" i="34"/>
  <c r="K26" i="34"/>
  <c r="L26" i="34"/>
  <c r="G27" i="34"/>
  <c r="J27" i="34"/>
  <c r="K27" i="34"/>
  <c r="L27" i="34"/>
  <c r="G28" i="34"/>
  <c r="J28" i="34"/>
  <c r="K28" i="34"/>
  <c r="L28" i="34"/>
  <c r="G29" i="34"/>
  <c r="J29" i="34"/>
  <c r="K29" i="34"/>
  <c r="L29" i="34"/>
  <c r="G30" i="34"/>
  <c r="J30" i="34"/>
  <c r="K30" i="34"/>
  <c r="L30" i="34"/>
  <c r="G31" i="34"/>
  <c r="J31" i="34"/>
  <c r="K31" i="34"/>
  <c r="L31" i="34"/>
  <c r="G32" i="34"/>
  <c r="J32" i="34"/>
  <c r="K32" i="34"/>
  <c r="L32" i="34"/>
  <c r="G33" i="34"/>
  <c r="J33" i="34"/>
  <c r="K33" i="34"/>
  <c r="L33" i="34"/>
  <c r="G34" i="34"/>
  <c r="J34" i="34"/>
  <c r="K34" i="34"/>
  <c r="L34" i="34"/>
  <c r="G35" i="34"/>
  <c r="J35" i="34"/>
  <c r="K35" i="34"/>
  <c r="L35" i="34"/>
  <c r="G36" i="34"/>
  <c r="J36" i="34"/>
  <c r="K36" i="34"/>
  <c r="L36" i="34"/>
  <c r="G37" i="34"/>
  <c r="J37" i="34"/>
  <c r="K37" i="34"/>
  <c r="L37" i="34"/>
  <c r="G38" i="34"/>
  <c r="J38" i="34"/>
  <c r="K38" i="34"/>
  <c r="L38" i="34"/>
  <c r="G39" i="34"/>
  <c r="J39" i="34"/>
  <c r="K39" i="34"/>
  <c r="L39" i="34"/>
  <c r="G40" i="34"/>
  <c r="J40" i="34"/>
  <c r="K40" i="34"/>
  <c r="L40" i="34"/>
  <c r="G41" i="34"/>
  <c r="J41" i="34"/>
  <c r="K41" i="34"/>
  <c r="L41" i="34"/>
  <c r="G42" i="34"/>
  <c r="J42" i="34"/>
  <c r="K42" i="34"/>
  <c r="L42" i="34"/>
  <c r="G4" i="34"/>
  <c r="G5" i="33"/>
  <c r="J5" i="33"/>
  <c r="K5" i="33"/>
  <c r="L5" i="33"/>
  <c r="G6" i="33"/>
  <c r="J6" i="33"/>
  <c r="K6" i="33"/>
  <c r="L6" i="33"/>
  <c r="G7" i="33"/>
  <c r="J7" i="33"/>
  <c r="K7" i="33"/>
  <c r="L7" i="33"/>
  <c r="G8" i="33"/>
  <c r="J8" i="33"/>
  <c r="K8" i="33"/>
  <c r="L8" i="33"/>
  <c r="G9" i="33"/>
  <c r="J9" i="33"/>
  <c r="K9" i="33"/>
  <c r="L9" i="33"/>
  <c r="G10" i="33"/>
  <c r="J10" i="33"/>
  <c r="K10" i="33"/>
  <c r="L10" i="33"/>
  <c r="G11" i="33"/>
  <c r="J11" i="33"/>
  <c r="K11" i="33"/>
  <c r="L11" i="33"/>
  <c r="G12" i="33"/>
  <c r="J12" i="33"/>
  <c r="K12" i="33"/>
  <c r="L12" i="33"/>
  <c r="G13" i="33"/>
  <c r="J13" i="33"/>
  <c r="K13" i="33"/>
  <c r="L13" i="33"/>
  <c r="G14" i="33"/>
  <c r="J14" i="33"/>
  <c r="K14" i="33"/>
  <c r="L14" i="33"/>
  <c r="G15" i="33"/>
  <c r="J15" i="33"/>
  <c r="K15" i="33"/>
  <c r="L15" i="33"/>
  <c r="G16" i="33"/>
  <c r="J16" i="33"/>
  <c r="K16" i="33"/>
  <c r="L16" i="33"/>
  <c r="G17" i="33"/>
  <c r="J17" i="33"/>
  <c r="K17" i="33"/>
  <c r="L17" i="33"/>
  <c r="G18" i="33"/>
  <c r="J18" i="33"/>
  <c r="K18" i="33"/>
  <c r="L18" i="33"/>
  <c r="G19" i="33"/>
  <c r="J19" i="33"/>
  <c r="K19" i="33"/>
  <c r="L19" i="33"/>
  <c r="G20" i="33"/>
  <c r="J20" i="33"/>
  <c r="K20" i="33"/>
  <c r="L20" i="33"/>
  <c r="G21" i="33"/>
  <c r="J21" i="33"/>
  <c r="K21" i="33"/>
  <c r="L21" i="33"/>
  <c r="G22" i="33"/>
  <c r="J22" i="33"/>
  <c r="K22" i="33"/>
  <c r="L22" i="33"/>
  <c r="G23" i="33"/>
  <c r="J23" i="33"/>
  <c r="K23" i="33"/>
  <c r="L23" i="33"/>
  <c r="G24" i="33"/>
  <c r="J24" i="33"/>
  <c r="K24" i="33"/>
  <c r="L24" i="33"/>
  <c r="G25" i="33"/>
  <c r="J25" i="33"/>
  <c r="K25" i="33"/>
  <c r="L25" i="33"/>
  <c r="G26" i="33"/>
  <c r="J26" i="33"/>
  <c r="K26" i="33"/>
  <c r="L26" i="33"/>
  <c r="G27" i="33"/>
  <c r="J27" i="33"/>
  <c r="K27" i="33"/>
  <c r="L27" i="33"/>
  <c r="G28" i="33"/>
  <c r="J28" i="33"/>
  <c r="K28" i="33"/>
  <c r="L28" i="33"/>
  <c r="G29" i="33"/>
  <c r="J29" i="33"/>
  <c r="K29" i="33"/>
  <c r="L29" i="33"/>
  <c r="G30" i="33"/>
  <c r="J30" i="33"/>
  <c r="K30" i="33"/>
  <c r="L30" i="33"/>
  <c r="G31" i="33"/>
  <c r="J31" i="33"/>
  <c r="K31" i="33"/>
  <c r="L31" i="33"/>
  <c r="G32" i="33"/>
  <c r="J32" i="33"/>
  <c r="K32" i="33"/>
  <c r="L32" i="33"/>
  <c r="G33" i="33"/>
  <c r="J33" i="33"/>
  <c r="K33" i="33"/>
  <c r="L33" i="33"/>
  <c r="G34" i="33"/>
  <c r="J34" i="33"/>
  <c r="K34" i="33"/>
  <c r="L34" i="33"/>
  <c r="G35" i="33"/>
  <c r="J35" i="33"/>
  <c r="K35" i="33"/>
  <c r="L35" i="33"/>
  <c r="G36" i="33"/>
  <c r="J36" i="33"/>
  <c r="K36" i="33"/>
  <c r="L36" i="33"/>
  <c r="G37" i="33"/>
  <c r="J37" i="33"/>
  <c r="K37" i="33"/>
  <c r="L37" i="33"/>
  <c r="G38" i="33"/>
  <c r="J38" i="33"/>
  <c r="K38" i="33"/>
  <c r="L38" i="33"/>
  <c r="G39" i="33"/>
  <c r="J39" i="33"/>
  <c r="K39" i="33"/>
  <c r="L39" i="33"/>
  <c r="G40" i="33"/>
  <c r="J40" i="33"/>
  <c r="K40" i="33"/>
  <c r="L40" i="33"/>
  <c r="G41" i="33"/>
  <c r="J41" i="33"/>
  <c r="K41" i="33"/>
  <c r="L41" i="33"/>
  <c r="G42" i="33"/>
  <c r="J42" i="33"/>
  <c r="K42" i="33"/>
  <c r="L42" i="33"/>
  <c r="G43" i="33"/>
  <c r="J43" i="33"/>
  <c r="K43" i="33"/>
  <c r="L43" i="33"/>
  <c r="G5" i="9"/>
  <c r="J5" i="9"/>
  <c r="K5" i="9"/>
  <c r="G6" i="9"/>
  <c r="J6" i="9"/>
  <c r="K6" i="9"/>
  <c r="G7" i="9"/>
  <c r="J7" i="9"/>
  <c r="K7" i="9"/>
  <c r="G8" i="9"/>
  <c r="J8" i="9"/>
  <c r="K8" i="9"/>
  <c r="G9" i="9"/>
  <c r="J9" i="9"/>
  <c r="K9" i="9"/>
  <c r="G10" i="9"/>
  <c r="J10" i="9"/>
  <c r="K10" i="9"/>
  <c r="G11" i="9"/>
  <c r="J11" i="9"/>
  <c r="K11" i="9"/>
  <c r="G12" i="9"/>
  <c r="J12" i="9"/>
  <c r="K12" i="9"/>
  <c r="G13" i="9"/>
  <c r="J13" i="9"/>
  <c r="K13" i="9"/>
  <c r="M13" i="9" s="1"/>
  <c r="G14" i="9"/>
  <c r="J14" i="9"/>
  <c r="K14" i="9"/>
  <c r="G15" i="9"/>
  <c r="J15" i="9"/>
  <c r="K15" i="9"/>
  <c r="G16" i="9"/>
  <c r="J16" i="9"/>
  <c r="K16" i="9"/>
  <c r="G17" i="9"/>
  <c r="J17" i="9"/>
  <c r="K17" i="9"/>
  <c r="G18" i="9"/>
  <c r="J18" i="9"/>
  <c r="K18" i="9"/>
  <c r="G19" i="9"/>
  <c r="J19" i="9"/>
  <c r="K19" i="9"/>
  <c r="G20" i="9"/>
  <c r="J20" i="9"/>
  <c r="K20" i="9"/>
  <c r="G21" i="9"/>
  <c r="J21" i="9"/>
  <c r="K21" i="9"/>
  <c r="G22" i="9"/>
  <c r="J22" i="9"/>
  <c r="K22" i="9"/>
  <c r="G23" i="9"/>
  <c r="J23" i="9"/>
  <c r="K23" i="9"/>
  <c r="G24" i="9"/>
  <c r="J24" i="9"/>
  <c r="K24" i="9"/>
  <c r="G25" i="9"/>
  <c r="J25" i="9"/>
  <c r="K25" i="9"/>
  <c r="G26" i="9"/>
  <c r="J26" i="9"/>
  <c r="K26" i="9"/>
  <c r="G27" i="9"/>
  <c r="J27" i="9"/>
  <c r="K27" i="9"/>
  <c r="G28" i="9"/>
  <c r="J28" i="9"/>
  <c r="K28" i="9"/>
  <c r="G29" i="9"/>
  <c r="J29" i="9"/>
  <c r="K29" i="9"/>
  <c r="G30" i="9"/>
  <c r="J30" i="9"/>
  <c r="K30" i="9"/>
  <c r="G31" i="9"/>
  <c r="J31" i="9"/>
  <c r="K31" i="9"/>
  <c r="G32" i="9"/>
  <c r="J32" i="9"/>
  <c r="K32" i="9"/>
  <c r="G33" i="9"/>
  <c r="J33" i="9"/>
  <c r="K33" i="9"/>
  <c r="G34" i="9"/>
  <c r="J34" i="9"/>
  <c r="K34" i="9"/>
  <c r="G5" i="26"/>
  <c r="J5" i="26"/>
  <c r="K5" i="26"/>
  <c r="L5" i="26"/>
  <c r="G6" i="26"/>
  <c r="J6" i="26"/>
  <c r="K6" i="26"/>
  <c r="L6" i="26"/>
  <c r="G7" i="26"/>
  <c r="J7" i="26"/>
  <c r="K7" i="26"/>
  <c r="L7" i="26"/>
  <c r="G8" i="26"/>
  <c r="J8" i="26"/>
  <c r="K8" i="26"/>
  <c r="L8" i="26"/>
  <c r="G9" i="26"/>
  <c r="J9" i="26"/>
  <c r="K9" i="26"/>
  <c r="L9" i="26"/>
  <c r="G10" i="26"/>
  <c r="J10" i="26"/>
  <c r="K10" i="26"/>
  <c r="L10" i="26"/>
  <c r="G11" i="26"/>
  <c r="J11" i="26"/>
  <c r="K11" i="26"/>
  <c r="L11" i="26"/>
  <c r="G12" i="26"/>
  <c r="J12" i="26"/>
  <c r="K12" i="26"/>
  <c r="L12" i="26"/>
  <c r="G13" i="26"/>
  <c r="J13" i="26"/>
  <c r="K13" i="26"/>
  <c r="L13" i="26"/>
  <c r="G14" i="26"/>
  <c r="J14" i="26"/>
  <c r="K14" i="26"/>
  <c r="L14" i="26"/>
  <c r="G15" i="26"/>
  <c r="J15" i="26"/>
  <c r="K15" i="26"/>
  <c r="L15" i="26"/>
  <c r="G16" i="26"/>
  <c r="J16" i="26"/>
  <c r="K16" i="26"/>
  <c r="L16" i="26"/>
  <c r="G17" i="26"/>
  <c r="L17" i="26"/>
  <c r="G18" i="26"/>
  <c r="K18" i="26"/>
  <c r="L18" i="26"/>
  <c r="G19" i="26"/>
  <c r="K19" i="26"/>
  <c r="L19" i="26"/>
  <c r="G20" i="26"/>
  <c r="K20" i="26"/>
  <c r="L20" i="26"/>
  <c r="G21" i="26"/>
  <c r="K21" i="26"/>
  <c r="L21" i="26"/>
  <c r="G22" i="26"/>
  <c r="K22" i="26"/>
  <c r="L22" i="26"/>
  <c r="G23" i="26"/>
  <c r="K23" i="26"/>
  <c r="L23" i="26"/>
  <c r="G24" i="26"/>
  <c r="K24" i="26"/>
  <c r="L24" i="26"/>
  <c r="G25" i="26"/>
  <c r="K25" i="26"/>
  <c r="L25" i="26"/>
  <c r="G26" i="26"/>
  <c r="K26" i="26"/>
  <c r="L26" i="26"/>
  <c r="G27" i="26"/>
  <c r="K27" i="26"/>
  <c r="L27" i="26"/>
  <c r="G28" i="26"/>
  <c r="K28" i="26"/>
  <c r="L28" i="26"/>
  <c r="G29" i="26"/>
  <c r="K29" i="26"/>
  <c r="L29" i="26"/>
  <c r="G30" i="26"/>
  <c r="K30" i="26"/>
  <c r="L30" i="26"/>
  <c r="G31" i="26"/>
  <c r="K31" i="26"/>
  <c r="L31" i="26"/>
  <c r="G32" i="26"/>
  <c r="K32" i="26"/>
  <c r="L32" i="26"/>
  <c r="G33" i="26"/>
  <c r="K33" i="26"/>
  <c r="L33" i="26"/>
  <c r="G34" i="26"/>
  <c r="K34" i="26"/>
  <c r="L34" i="26"/>
  <c r="G35" i="26"/>
  <c r="K35" i="26"/>
  <c r="L35" i="26"/>
  <c r="G36" i="26"/>
  <c r="K36" i="26"/>
  <c r="L36" i="26"/>
  <c r="G37" i="26"/>
  <c r="K37" i="26"/>
  <c r="L37" i="26"/>
  <c r="G38" i="26"/>
  <c r="K38" i="26"/>
  <c r="L38" i="26"/>
  <c r="G39" i="26"/>
  <c r="K39" i="26"/>
  <c r="L39" i="26"/>
  <c r="G40" i="26"/>
  <c r="K40" i="26"/>
  <c r="L40" i="26"/>
  <c r="G41" i="26"/>
  <c r="K41" i="26"/>
  <c r="L41" i="26"/>
  <c r="G42" i="26"/>
  <c r="K42" i="26"/>
  <c r="L42" i="26"/>
  <c r="G43" i="26"/>
  <c r="K43" i="26"/>
  <c r="L43" i="26"/>
  <c r="G5" i="42"/>
  <c r="J5" i="42"/>
  <c r="K5" i="42"/>
  <c r="L5" i="42"/>
  <c r="G6" i="42"/>
  <c r="J6" i="42"/>
  <c r="K6" i="42"/>
  <c r="L6" i="42"/>
  <c r="G7" i="42"/>
  <c r="J7" i="42"/>
  <c r="K7" i="42"/>
  <c r="L7" i="42"/>
  <c r="G8" i="42"/>
  <c r="J8" i="42"/>
  <c r="K8" i="42"/>
  <c r="L8" i="42"/>
  <c r="G9" i="42"/>
  <c r="J9" i="42"/>
  <c r="K9" i="42"/>
  <c r="L9" i="42"/>
  <c r="G10" i="42"/>
  <c r="J10" i="42"/>
  <c r="K10" i="42"/>
  <c r="L10" i="42"/>
  <c r="G11" i="42"/>
  <c r="J11" i="42"/>
  <c r="K11" i="42"/>
  <c r="L11" i="42"/>
  <c r="G12" i="42"/>
  <c r="J12" i="42"/>
  <c r="K12" i="42"/>
  <c r="L12" i="42"/>
  <c r="G13" i="42"/>
  <c r="J13" i="42"/>
  <c r="K13" i="42"/>
  <c r="L13" i="42"/>
  <c r="G14" i="42"/>
  <c r="J14" i="42"/>
  <c r="K14" i="42"/>
  <c r="L14" i="42"/>
  <c r="G15" i="42"/>
  <c r="J15" i="42"/>
  <c r="K15" i="42"/>
  <c r="L15" i="42"/>
  <c r="G16" i="42"/>
  <c r="J16" i="42"/>
  <c r="K16" i="42"/>
  <c r="L16" i="42"/>
  <c r="G17" i="42"/>
  <c r="J17" i="42"/>
  <c r="K17" i="42"/>
  <c r="L17" i="42"/>
  <c r="G18" i="42"/>
  <c r="J18" i="42"/>
  <c r="K18" i="42"/>
  <c r="L18" i="42"/>
  <c r="G19" i="42"/>
  <c r="J19" i="42"/>
  <c r="K19" i="42"/>
  <c r="L19" i="42"/>
  <c r="G20" i="42"/>
  <c r="J20" i="42"/>
  <c r="K20" i="42"/>
  <c r="L20" i="42"/>
  <c r="G21" i="42"/>
  <c r="J21" i="42"/>
  <c r="K21" i="42"/>
  <c r="L21" i="42"/>
  <c r="G22" i="42"/>
  <c r="J22" i="42"/>
  <c r="K22" i="42"/>
  <c r="L22" i="42"/>
  <c r="G23" i="42"/>
  <c r="J23" i="42"/>
  <c r="K23" i="42"/>
  <c r="L23" i="42"/>
  <c r="G24" i="42"/>
  <c r="J24" i="42"/>
  <c r="K24" i="42"/>
  <c r="L24" i="42"/>
  <c r="G25" i="42"/>
  <c r="J25" i="42"/>
  <c r="K25" i="42"/>
  <c r="L25" i="42"/>
  <c r="G26" i="42"/>
  <c r="J26" i="42"/>
  <c r="K26" i="42"/>
  <c r="L26" i="42"/>
  <c r="G27" i="42"/>
  <c r="J27" i="42"/>
  <c r="K27" i="42"/>
  <c r="L27" i="42"/>
  <c r="G28" i="42"/>
  <c r="J28" i="42"/>
  <c r="K28" i="42"/>
  <c r="L28" i="42"/>
  <c r="G29" i="42"/>
  <c r="J29" i="42"/>
  <c r="K29" i="42"/>
  <c r="L29" i="42"/>
  <c r="H5" i="46"/>
  <c r="K5" i="46"/>
  <c r="L5" i="46"/>
  <c r="M5" i="46"/>
  <c r="H6" i="46"/>
  <c r="K6" i="46"/>
  <c r="L6" i="46"/>
  <c r="M6" i="46"/>
  <c r="H7" i="46"/>
  <c r="K7" i="46"/>
  <c r="L7" i="46"/>
  <c r="M7" i="46"/>
  <c r="H8" i="46"/>
  <c r="K8" i="46"/>
  <c r="L8" i="46"/>
  <c r="M8" i="46"/>
  <c r="H9" i="46"/>
  <c r="K9" i="46"/>
  <c r="L9" i="46"/>
  <c r="M9" i="46"/>
  <c r="H10" i="46"/>
  <c r="K10" i="46"/>
  <c r="L10" i="46"/>
  <c r="M10" i="46"/>
  <c r="H11" i="46"/>
  <c r="K11" i="46"/>
  <c r="L11" i="46"/>
  <c r="M11" i="46"/>
  <c r="H12" i="46"/>
  <c r="K12" i="46"/>
  <c r="L12" i="46"/>
  <c r="M12" i="46"/>
  <c r="H13" i="46"/>
  <c r="K13" i="46"/>
  <c r="L13" i="46"/>
  <c r="M13" i="46"/>
  <c r="H14" i="46"/>
  <c r="K14" i="46"/>
  <c r="L14" i="46"/>
  <c r="M14" i="46"/>
  <c r="H15" i="46"/>
  <c r="K15" i="46"/>
  <c r="L15" i="46"/>
  <c r="M15" i="46"/>
  <c r="H16" i="46"/>
  <c r="K16" i="46"/>
  <c r="L16" i="46"/>
  <c r="M16" i="46"/>
  <c r="H17" i="46"/>
  <c r="K17" i="46"/>
  <c r="L17" i="46"/>
  <c r="M17" i="46"/>
  <c r="H18" i="46"/>
  <c r="K18" i="46"/>
  <c r="L18" i="46"/>
  <c r="M18" i="46"/>
  <c r="H19" i="46"/>
  <c r="K19" i="46"/>
  <c r="L19" i="46"/>
  <c r="M19" i="46"/>
  <c r="H20" i="46"/>
  <c r="K20" i="46"/>
  <c r="L20" i="46"/>
  <c r="M20" i="46"/>
  <c r="H21" i="46"/>
  <c r="K21" i="46"/>
  <c r="L21" i="46"/>
  <c r="M21" i="46"/>
  <c r="H22" i="46"/>
  <c r="K22" i="46"/>
  <c r="L22" i="46"/>
  <c r="M22" i="46"/>
  <c r="H23" i="46"/>
  <c r="K23" i="46"/>
  <c r="L23" i="46"/>
  <c r="M23" i="46"/>
  <c r="H24" i="46"/>
  <c r="K24" i="46"/>
  <c r="L24" i="46"/>
  <c r="M24" i="46"/>
  <c r="H25" i="46"/>
  <c r="K25" i="46"/>
  <c r="L25" i="46"/>
  <c r="M25" i="46"/>
  <c r="H26" i="46"/>
  <c r="K26" i="46"/>
  <c r="L26" i="46"/>
  <c r="M26" i="46"/>
  <c r="H27" i="46"/>
  <c r="K27" i="46"/>
  <c r="L27" i="46"/>
  <c r="M27" i="46"/>
  <c r="H28" i="46"/>
  <c r="K28" i="46"/>
  <c r="L28" i="46"/>
  <c r="M28" i="46"/>
  <c r="H29" i="46"/>
  <c r="K29" i="46"/>
  <c r="L29" i="46"/>
  <c r="M29" i="46"/>
  <c r="H30" i="46"/>
  <c r="K30" i="46"/>
  <c r="L30" i="46"/>
  <c r="M30" i="46"/>
  <c r="H31" i="46"/>
  <c r="K31" i="46"/>
  <c r="L31" i="46"/>
  <c r="M31" i="46"/>
  <c r="H32" i="46"/>
  <c r="K32" i="46"/>
  <c r="L32" i="46"/>
  <c r="M32" i="46"/>
  <c r="H33" i="46"/>
  <c r="K33" i="46"/>
  <c r="L33" i="46"/>
  <c r="M33" i="46"/>
  <c r="G5" i="38"/>
  <c r="J5" i="38"/>
  <c r="K5" i="38"/>
  <c r="G6" i="38"/>
  <c r="J6" i="38"/>
  <c r="K6" i="38"/>
  <c r="G7" i="38"/>
  <c r="J7" i="38"/>
  <c r="K7" i="38"/>
  <c r="G8" i="38"/>
  <c r="J8" i="38"/>
  <c r="K8" i="38"/>
  <c r="G9" i="38"/>
  <c r="J9" i="38"/>
  <c r="K9" i="38"/>
  <c r="G10" i="38"/>
  <c r="J10" i="38"/>
  <c r="K10" i="38"/>
  <c r="G11" i="38"/>
  <c r="J11" i="38"/>
  <c r="K11" i="38"/>
  <c r="G12" i="38"/>
  <c r="J12" i="38"/>
  <c r="K12" i="38"/>
  <c r="G13" i="38"/>
  <c r="J13" i="38"/>
  <c r="K13" i="38"/>
  <c r="G14" i="38"/>
  <c r="J14" i="38"/>
  <c r="K14" i="38"/>
  <c r="G15" i="38"/>
  <c r="J15" i="38"/>
  <c r="K15" i="38"/>
  <c r="G16" i="38"/>
  <c r="J16" i="38"/>
  <c r="K16" i="38"/>
  <c r="G17" i="38"/>
  <c r="J17" i="38"/>
  <c r="K17" i="38"/>
  <c r="G18" i="38"/>
  <c r="J18" i="38"/>
  <c r="K18" i="38"/>
  <c r="G19" i="38"/>
  <c r="J19" i="38"/>
  <c r="K19" i="38"/>
  <c r="G20" i="38"/>
  <c r="J20" i="38"/>
  <c r="K20" i="38"/>
  <c r="G21" i="38"/>
  <c r="J21" i="38"/>
  <c r="K21" i="38"/>
  <c r="G22" i="38"/>
  <c r="J22" i="38"/>
  <c r="K22" i="38"/>
  <c r="G23" i="38"/>
  <c r="J23" i="38"/>
  <c r="K23" i="38"/>
  <c r="G24" i="38"/>
  <c r="J24" i="38"/>
  <c r="K24" i="38"/>
  <c r="G25" i="38"/>
  <c r="J25" i="38"/>
  <c r="K25" i="38"/>
  <c r="G26" i="38"/>
  <c r="J26" i="38"/>
  <c r="K26" i="38"/>
  <c r="G27" i="38"/>
  <c r="J27" i="38"/>
  <c r="K27" i="38"/>
  <c r="G28" i="38"/>
  <c r="J28" i="38"/>
  <c r="K28" i="38"/>
  <c r="G29" i="38"/>
  <c r="K29" i="38"/>
  <c r="G30" i="38"/>
  <c r="J30" i="38"/>
  <c r="K30" i="38"/>
  <c r="G31" i="38"/>
  <c r="J31" i="38"/>
  <c r="K31" i="38"/>
  <c r="G32" i="38"/>
  <c r="J32" i="38"/>
  <c r="K32" i="38"/>
  <c r="G33" i="38"/>
  <c r="J33" i="38"/>
  <c r="K33" i="38"/>
  <c r="G34" i="38"/>
  <c r="J34" i="38"/>
  <c r="K34" i="38"/>
  <c r="G5" i="8"/>
  <c r="J5" i="8"/>
  <c r="K5" i="8"/>
  <c r="G6" i="8"/>
  <c r="J6" i="8"/>
  <c r="K6" i="8"/>
  <c r="G7" i="8"/>
  <c r="J7" i="8"/>
  <c r="K7" i="8"/>
  <c r="G8" i="8"/>
  <c r="J8" i="8"/>
  <c r="K8" i="8"/>
  <c r="G9" i="8"/>
  <c r="J9" i="8"/>
  <c r="K9" i="8"/>
  <c r="G10" i="8"/>
  <c r="J10" i="8"/>
  <c r="K10" i="8"/>
  <c r="G11" i="8"/>
  <c r="J11" i="8"/>
  <c r="K11" i="8"/>
  <c r="G12" i="8"/>
  <c r="J12" i="8"/>
  <c r="K12" i="8"/>
  <c r="G13" i="8"/>
  <c r="J13" i="8"/>
  <c r="K13" i="8"/>
  <c r="G14" i="8"/>
  <c r="J14" i="8"/>
  <c r="K14" i="8"/>
  <c r="G15" i="8"/>
  <c r="J15" i="8"/>
  <c r="K15" i="8"/>
  <c r="G16" i="8"/>
  <c r="J16" i="8"/>
  <c r="K16" i="8"/>
  <c r="G17" i="8"/>
  <c r="J17" i="8"/>
  <c r="K17" i="8"/>
  <c r="G18" i="8"/>
  <c r="J18" i="8"/>
  <c r="K18" i="8"/>
  <c r="G19" i="8"/>
  <c r="J19" i="8"/>
  <c r="K19" i="8"/>
  <c r="G20" i="8"/>
  <c r="J20" i="8"/>
  <c r="K20" i="8"/>
  <c r="G21" i="8"/>
  <c r="J21" i="8"/>
  <c r="K21" i="8"/>
  <c r="G22" i="8"/>
  <c r="J22" i="8"/>
  <c r="K22" i="8"/>
  <c r="G23" i="8"/>
  <c r="J23" i="8"/>
  <c r="K23" i="8"/>
  <c r="G24" i="8"/>
  <c r="J24" i="8"/>
  <c r="K24" i="8"/>
  <c r="G25" i="8"/>
  <c r="J25" i="8"/>
  <c r="K25" i="8"/>
  <c r="G26" i="8"/>
  <c r="J26" i="8"/>
  <c r="K26" i="8"/>
  <c r="G27" i="8"/>
  <c r="J27" i="8"/>
  <c r="K27" i="8"/>
  <c r="G28" i="8"/>
  <c r="J28" i="8"/>
  <c r="K28" i="8"/>
  <c r="G29" i="8"/>
  <c r="J29" i="8"/>
  <c r="K29" i="8"/>
  <c r="G31" i="8"/>
  <c r="J31" i="8"/>
  <c r="K31" i="8"/>
  <c r="G32" i="8"/>
  <c r="J32" i="8"/>
  <c r="K32" i="8"/>
  <c r="G33" i="8"/>
  <c r="J33" i="8"/>
  <c r="K33" i="8"/>
  <c r="G34" i="8"/>
  <c r="J34" i="8"/>
  <c r="K34" i="8"/>
  <c r="G5" i="12"/>
  <c r="J5" i="12"/>
  <c r="K5" i="12"/>
  <c r="G6" i="12"/>
  <c r="J6" i="12"/>
  <c r="K6" i="12"/>
  <c r="G7" i="12"/>
  <c r="J7" i="12"/>
  <c r="K7" i="12"/>
  <c r="G8" i="12"/>
  <c r="J8" i="12"/>
  <c r="K8" i="12"/>
  <c r="G9" i="12"/>
  <c r="J9" i="12"/>
  <c r="K9" i="12"/>
  <c r="G10" i="12"/>
  <c r="J10" i="12"/>
  <c r="K10" i="12"/>
  <c r="G11" i="12"/>
  <c r="J11" i="12"/>
  <c r="K11" i="12"/>
  <c r="G12" i="12"/>
  <c r="J12" i="12"/>
  <c r="K12" i="12"/>
  <c r="G13" i="12"/>
  <c r="J13" i="12"/>
  <c r="K13" i="12"/>
  <c r="G14" i="12"/>
  <c r="J14" i="12"/>
  <c r="K14" i="12"/>
  <c r="G15" i="12"/>
  <c r="J15" i="12"/>
  <c r="K15" i="12"/>
  <c r="J16" i="12"/>
  <c r="K16" i="12"/>
  <c r="K35" i="12" s="1"/>
  <c r="G17" i="12"/>
  <c r="J17" i="12"/>
  <c r="K17" i="12"/>
  <c r="G18" i="12"/>
  <c r="J18" i="12"/>
  <c r="K18" i="12"/>
  <c r="G19" i="12"/>
  <c r="J19" i="12"/>
  <c r="K19" i="12"/>
  <c r="G20" i="12"/>
  <c r="J20" i="12"/>
  <c r="K20" i="12"/>
  <c r="G21" i="12"/>
  <c r="J21" i="12"/>
  <c r="K21" i="12"/>
  <c r="G22" i="12"/>
  <c r="J22" i="12"/>
  <c r="K22" i="12"/>
  <c r="G23" i="12"/>
  <c r="J23" i="12"/>
  <c r="K23" i="12"/>
  <c r="G24" i="12"/>
  <c r="J24" i="12"/>
  <c r="K24" i="12"/>
  <c r="G25" i="12"/>
  <c r="J25" i="12"/>
  <c r="K25" i="12"/>
  <c r="G26" i="12"/>
  <c r="J26" i="12"/>
  <c r="K26" i="12"/>
  <c r="G27" i="12"/>
  <c r="J27" i="12"/>
  <c r="K27" i="12"/>
  <c r="G28" i="12"/>
  <c r="J28" i="12"/>
  <c r="K28" i="12"/>
  <c r="G29" i="12"/>
  <c r="J29" i="12"/>
  <c r="K29" i="12"/>
  <c r="G30" i="12"/>
  <c r="J30" i="12"/>
  <c r="K30" i="12"/>
  <c r="G31" i="12"/>
  <c r="J31" i="12"/>
  <c r="K31" i="12"/>
  <c r="G32" i="12"/>
  <c r="J32" i="12"/>
  <c r="K32" i="12"/>
  <c r="G28" i="37"/>
  <c r="J28" i="37"/>
  <c r="K28" i="37"/>
  <c r="G29" i="37"/>
  <c r="J29" i="37"/>
  <c r="K29" i="37"/>
  <c r="G30" i="37"/>
  <c r="J30" i="37"/>
  <c r="K30" i="37"/>
  <c r="G31" i="37"/>
  <c r="J31" i="37"/>
  <c r="K31" i="37"/>
  <c r="G32" i="37"/>
  <c r="J32" i="37"/>
  <c r="K32" i="37"/>
  <c r="G33" i="37"/>
  <c r="J33" i="37"/>
  <c r="K33" i="37"/>
  <c r="G5" i="37"/>
  <c r="J5" i="37"/>
  <c r="K5" i="37"/>
  <c r="G6" i="37"/>
  <c r="J6" i="37"/>
  <c r="K6" i="37"/>
  <c r="G7" i="37"/>
  <c r="J7" i="37"/>
  <c r="K7" i="37"/>
  <c r="G8" i="37"/>
  <c r="J8" i="37"/>
  <c r="K8" i="37"/>
  <c r="G9" i="37"/>
  <c r="J9" i="37"/>
  <c r="K9" i="37"/>
  <c r="G10" i="37"/>
  <c r="J10" i="37"/>
  <c r="K10" i="37"/>
  <c r="G11" i="37"/>
  <c r="J11" i="37"/>
  <c r="K11" i="37"/>
  <c r="G12" i="37"/>
  <c r="J12" i="37"/>
  <c r="K12" i="37"/>
  <c r="G13" i="37"/>
  <c r="J13" i="37"/>
  <c r="K13" i="37"/>
  <c r="G14" i="37"/>
  <c r="J14" i="37"/>
  <c r="K14" i="37"/>
  <c r="G15" i="37"/>
  <c r="J15" i="37"/>
  <c r="K15" i="37"/>
  <c r="G16" i="37"/>
  <c r="J16" i="37"/>
  <c r="K16" i="37"/>
  <c r="G17" i="37"/>
  <c r="J17" i="37"/>
  <c r="K17" i="37"/>
  <c r="G18" i="37"/>
  <c r="J18" i="37"/>
  <c r="K18" i="37"/>
  <c r="G19" i="37"/>
  <c r="J19" i="37"/>
  <c r="K19" i="37"/>
  <c r="G20" i="37"/>
  <c r="J20" i="37"/>
  <c r="K20" i="37"/>
  <c r="G21" i="37"/>
  <c r="J21" i="37"/>
  <c r="K21" i="37"/>
  <c r="G22" i="37"/>
  <c r="J22" i="37"/>
  <c r="K22" i="37"/>
  <c r="G23" i="37"/>
  <c r="J23" i="37"/>
  <c r="K23" i="37"/>
  <c r="G6" i="36"/>
  <c r="J6" i="36"/>
  <c r="K6" i="36"/>
  <c r="L6" i="36" s="1"/>
  <c r="G7" i="36"/>
  <c r="J7" i="36"/>
  <c r="K7" i="36"/>
  <c r="L7" i="36" s="1"/>
  <c r="G8" i="36"/>
  <c r="J8" i="36"/>
  <c r="K8" i="36"/>
  <c r="G9" i="36"/>
  <c r="J9" i="36"/>
  <c r="K9" i="36"/>
  <c r="G10" i="36"/>
  <c r="J10" i="36"/>
  <c r="K10" i="36"/>
  <c r="L10" i="36" s="1"/>
  <c r="G11" i="36"/>
  <c r="J11" i="36"/>
  <c r="K11" i="36"/>
  <c r="G12" i="36"/>
  <c r="J12" i="36"/>
  <c r="K12" i="36"/>
  <c r="G15" i="36"/>
  <c r="J15" i="36"/>
  <c r="K15" i="36"/>
  <c r="L15" i="36" s="1"/>
  <c r="G16" i="36"/>
  <c r="J16" i="36"/>
  <c r="K16" i="36"/>
  <c r="G17" i="36"/>
  <c r="J17" i="36"/>
  <c r="K17" i="36"/>
  <c r="L17" i="36" s="1"/>
  <c r="G18" i="36"/>
  <c r="J18" i="36"/>
  <c r="K18" i="36"/>
  <c r="G19" i="36"/>
  <c r="J19" i="36"/>
  <c r="K19" i="36"/>
  <c r="L19" i="36" s="1"/>
  <c r="G20" i="36"/>
  <c r="J20" i="36"/>
  <c r="K20" i="36"/>
  <c r="G21" i="36"/>
  <c r="J21" i="36"/>
  <c r="K21" i="36"/>
  <c r="G22" i="36"/>
  <c r="J22" i="36"/>
  <c r="K22" i="36"/>
  <c r="G23" i="36"/>
  <c r="J23" i="36"/>
  <c r="K23" i="36"/>
  <c r="G24" i="36"/>
  <c r="J24" i="36"/>
  <c r="K24" i="36"/>
  <c r="G25" i="36"/>
  <c r="J25" i="36"/>
  <c r="K25" i="36"/>
  <c r="L25" i="36" s="1"/>
  <c r="G26" i="36"/>
  <c r="J26" i="36"/>
  <c r="K26" i="36"/>
  <c r="L26" i="36" s="1"/>
  <c r="G27" i="36"/>
  <c r="J27" i="36"/>
  <c r="K27" i="36"/>
  <c r="G28" i="36"/>
  <c r="J28" i="36"/>
  <c r="K28" i="36"/>
  <c r="G29" i="36"/>
  <c r="J29" i="36"/>
  <c r="K29" i="36"/>
  <c r="G30" i="36"/>
  <c r="J30" i="36"/>
  <c r="K30" i="36"/>
  <c r="G31" i="36"/>
  <c r="J31" i="36"/>
  <c r="K31" i="36"/>
  <c r="G32" i="36"/>
  <c r="J32" i="36"/>
  <c r="K32" i="36"/>
  <c r="L32" i="36" s="1"/>
  <c r="G33" i="36"/>
  <c r="J33" i="36"/>
  <c r="K33" i="36"/>
  <c r="G5" i="15"/>
  <c r="J5" i="15"/>
  <c r="K5" i="15"/>
  <c r="G6" i="15"/>
  <c r="J6" i="15"/>
  <c r="K6" i="15"/>
  <c r="G7" i="15"/>
  <c r="J7" i="15"/>
  <c r="K7" i="15"/>
  <c r="G8" i="15"/>
  <c r="J8" i="15"/>
  <c r="K8" i="15"/>
  <c r="G9" i="15"/>
  <c r="J9" i="15"/>
  <c r="K9" i="15"/>
  <c r="G10" i="15"/>
  <c r="J10" i="15"/>
  <c r="K10" i="15"/>
  <c r="G11" i="15"/>
  <c r="J11" i="15"/>
  <c r="K11" i="15"/>
  <c r="G12" i="15"/>
  <c r="J12" i="15"/>
  <c r="K12" i="15"/>
  <c r="G13" i="15"/>
  <c r="J13" i="15"/>
  <c r="K13" i="15"/>
  <c r="G14" i="15"/>
  <c r="J14" i="15"/>
  <c r="K14" i="15"/>
  <c r="G15" i="15"/>
  <c r="J15" i="15"/>
  <c r="K15" i="15"/>
  <c r="G16" i="15"/>
  <c r="J16" i="15"/>
  <c r="K16" i="15"/>
  <c r="G17" i="15"/>
  <c r="J17" i="15"/>
  <c r="K17" i="15"/>
  <c r="G18" i="15"/>
  <c r="J18" i="15"/>
  <c r="K18" i="15"/>
  <c r="G19" i="15"/>
  <c r="J19" i="15"/>
  <c r="K19" i="15"/>
  <c r="G20" i="15"/>
  <c r="J20" i="15"/>
  <c r="K20" i="15"/>
  <c r="G21" i="15"/>
  <c r="J21" i="15"/>
  <c r="K21" i="15"/>
  <c r="G22" i="15"/>
  <c r="J22" i="15"/>
  <c r="K22" i="15"/>
  <c r="G23" i="15"/>
  <c r="J23" i="15"/>
  <c r="K23" i="15"/>
  <c r="G24" i="15"/>
  <c r="J24" i="15"/>
  <c r="K24" i="15"/>
  <c r="G25" i="15"/>
  <c r="J25" i="15"/>
  <c r="K25" i="15"/>
  <c r="G26" i="15"/>
  <c r="J26" i="15"/>
  <c r="K26" i="15"/>
  <c r="G27" i="15"/>
  <c r="J27" i="15"/>
  <c r="K27" i="15"/>
  <c r="G28" i="15"/>
  <c r="J28" i="15"/>
  <c r="K28" i="15"/>
  <c r="G29" i="15"/>
  <c r="J29" i="15"/>
  <c r="K29" i="15"/>
  <c r="J30" i="15"/>
  <c r="K30" i="15"/>
  <c r="G31" i="15"/>
  <c r="J31" i="15"/>
  <c r="K31" i="15"/>
  <c r="G32" i="15"/>
  <c r="J32" i="15"/>
  <c r="K32" i="15"/>
  <c r="G33" i="15"/>
  <c r="J33" i="15"/>
  <c r="K33" i="15"/>
  <c r="G34" i="15"/>
  <c r="J34" i="15"/>
  <c r="K34" i="15"/>
  <c r="G7" i="14"/>
  <c r="J7" i="14"/>
  <c r="K7" i="14"/>
  <c r="G8" i="14"/>
  <c r="J8" i="14"/>
  <c r="K8" i="14"/>
  <c r="G9" i="14"/>
  <c r="J9" i="14"/>
  <c r="K9" i="14"/>
  <c r="G10" i="14"/>
  <c r="J10" i="14"/>
  <c r="K10" i="14"/>
  <c r="G11" i="14"/>
  <c r="J11" i="14"/>
  <c r="K11" i="14"/>
  <c r="G12" i="14"/>
  <c r="J12" i="14"/>
  <c r="K12" i="14"/>
  <c r="G13" i="14"/>
  <c r="J13" i="14"/>
  <c r="K13" i="14"/>
  <c r="G14" i="14"/>
  <c r="J14" i="14"/>
  <c r="K14" i="14"/>
  <c r="G15" i="14"/>
  <c r="J15" i="14"/>
  <c r="K15" i="14"/>
  <c r="G16" i="14"/>
  <c r="J16" i="14"/>
  <c r="K16" i="14"/>
  <c r="G17" i="14"/>
  <c r="J17" i="14"/>
  <c r="K17" i="14"/>
  <c r="G18" i="14"/>
  <c r="J18" i="14"/>
  <c r="K18" i="14"/>
  <c r="G19" i="14"/>
  <c r="J19" i="14"/>
  <c r="K19" i="14"/>
  <c r="G20" i="14"/>
  <c r="J20" i="14"/>
  <c r="K20" i="14"/>
  <c r="G21" i="14"/>
  <c r="J21" i="14"/>
  <c r="K21" i="14"/>
  <c r="G22" i="14"/>
  <c r="J22" i="14"/>
  <c r="K22" i="14"/>
  <c r="G23" i="14"/>
  <c r="J23" i="14"/>
  <c r="K23" i="14"/>
  <c r="G24" i="14"/>
  <c r="J24" i="14"/>
  <c r="K24" i="14"/>
  <c r="G25" i="14"/>
  <c r="J25" i="14"/>
  <c r="K25" i="14"/>
  <c r="G26" i="14"/>
  <c r="J26" i="14"/>
  <c r="K26" i="14"/>
  <c r="G27" i="14"/>
  <c r="J27" i="14"/>
  <c r="K27" i="14"/>
  <c r="G28" i="14"/>
  <c r="J28" i="14"/>
  <c r="K28" i="14"/>
  <c r="G29" i="14"/>
  <c r="J29" i="14"/>
  <c r="K29" i="14"/>
  <c r="G30" i="14"/>
  <c r="J30" i="14"/>
  <c r="K30" i="14"/>
  <c r="G31" i="14"/>
  <c r="J31" i="14"/>
  <c r="G32" i="14"/>
  <c r="J32" i="14"/>
  <c r="K32" i="14"/>
  <c r="G33" i="14"/>
  <c r="J33" i="14"/>
  <c r="K33" i="14"/>
  <c r="G5" i="22"/>
  <c r="J5" i="22"/>
  <c r="G6" i="22"/>
  <c r="J6" i="22"/>
  <c r="G7" i="22"/>
  <c r="J7" i="22"/>
  <c r="G8" i="22"/>
  <c r="J8" i="22"/>
  <c r="G9" i="22"/>
  <c r="J9" i="22"/>
  <c r="G10" i="22"/>
  <c r="J10" i="22"/>
  <c r="J11" i="22"/>
  <c r="G13" i="22"/>
  <c r="J13" i="22"/>
  <c r="G14" i="22"/>
  <c r="J14" i="22"/>
  <c r="G15" i="22"/>
  <c r="J15" i="22"/>
  <c r="G16" i="22"/>
  <c r="J16" i="22"/>
  <c r="G17" i="22"/>
  <c r="J17" i="22"/>
  <c r="G18" i="22"/>
  <c r="J18" i="22"/>
  <c r="G19" i="22"/>
  <c r="J19" i="22"/>
  <c r="G20" i="22"/>
  <c r="J20" i="22"/>
  <c r="G21" i="22"/>
  <c r="J21" i="22"/>
  <c r="G22" i="22"/>
  <c r="J22" i="22"/>
  <c r="G24" i="22"/>
  <c r="J24" i="22"/>
  <c r="G25" i="22"/>
  <c r="J25" i="22"/>
  <c r="G26" i="22"/>
  <c r="J26" i="22"/>
  <c r="G27" i="22"/>
  <c r="J27" i="22"/>
  <c r="G28" i="22"/>
  <c r="J28" i="22"/>
  <c r="G29" i="22"/>
  <c r="J29" i="22"/>
  <c r="G30" i="22"/>
  <c r="J30" i="22"/>
  <c r="G31" i="22"/>
  <c r="J31" i="22"/>
  <c r="G32" i="22"/>
  <c r="J32" i="22"/>
  <c r="G33" i="22"/>
  <c r="J33" i="22"/>
  <c r="G34" i="22"/>
  <c r="J34" i="22"/>
  <c r="G35" i="22"/>
  <c r="J35" i="22"/>
  <c r="G5" i="25"/>
  <c r="J5" i="25"/>
  <c r="K5" i="25"/>
  <c r="L5" i="25"/>
  <c r="G6" i="25"/>
  <c r="J6" i="25"/>
  <c r="K6" i="25"/>
  <c r="L6" i="25"/>
  <c r="G7" i="25"/>
  <c r="J7" i="25"/>
  <c r="K7" i="25"/>
  <c r="L7" i="25"/>
  <c r="G8" i="25"/>
  <c r="J8" i="25"/>
  <c r="K8" i="25"/>
  <c r="L8" i="25"/>
  <c r="G9" i="25"/>
  <c r="J9" i="25"/>
  <c r="K9" i="25"/>
  <c r="L9" i="25"/>
  <c r="G10" i="25"/>
  <c r="J10" i="25"/>
  <c r="K10" i="25"/>
  <c r="L10" i="25"/>
  <c r="G11" i="25"/>
  <c r="J11" i="25"/>
  <c r="K11" i="25"/>
  <c r="L11" i="25"/>
  <c r="G12" i="25"/>
  <c r="J12" i="25"/>
  <c r="K12" i="25"/>
  <c r="L12" i="25"/>
  <c r="G13" i="25"/>
  <c r="J13" i="25"/>
  <c r="K13" i="25"/>
  <c r="L13" i="25"/>
  <c r="G14" i="25"/>
  <c r="J14" i="25"/>
  <c r="K14" i="25"/>
  <c r="L14" i="25"/>
  <c r="G15" i="25"/>
  <c r="J15" i="25"/>
  <c r="K15" i="25"/>
  <c r="L15" i="25"/>
  <c r="G16" i="25"/>
  <c r="J16" i="25"/>
  <c r="K16" i="25"/>
  <c r="L16" i="25"/>
  <c r="G17" i="25"/>
  <c r="J17" i="25"/>
  <c r="K17" i="25"/>
  <c r="L17" i="25"/>
  <c r="G18" i="25"/>
  <c r="J18" i="25"/>
  <c r="K18" i="25"/>
  <c r="L18" i="25"/>
  <c r="G19" i="25"/>
  <c r="J19" i="25"/>
  <c r="K19" i="25"/>
  <c r="L19" i="25"/>
  <c r="G20" i="25"/>
  <c r="J20" i="25"/>
  <c r="K20" i="25"/>
  <c r="L20" i="25"/>
  <c r="G21" i="25"/>
  <c r="J21" i="25"/>
  <c r="K21" i="25"/>
  <c r="L21" i="25"/>
  <c r="G22" i="25"/>
  <c r="J22" i="25"/>
  <c r="K22" i="25"/>
  <c r="L22" i="25"/>
  <c r="G23" i="25"/>
  <c r="J23" i="25"/>
  <c r="K23" i="25"/>
  <c r="L23" i="25"/>
  <c r="G24" i="25"/>
  <c r="J24" i="25"/>
  <c r="K24" i="25"/>
  <c r="L24" i="25"/>
  <c r="G25" i="25"/>
  <c r="J25" i="25"/>
  <c r="K25" i="25"/>
  <c r="L25" i="25"/>
  <c r="G26" i="25"/>
  <c r="J26" i="25"/>
  <c r="K26" i="25"/>
  <c r="L26" i="25"/>
  <c r="G27" i="25"/>
  <c r="J27" i="25"/>
  <c r="K27" i="25"/>
  <c r="L27" i="25"/>
  <c r="G28" i="25"/>
  <c r="J28" i="25"/>
  <c r="K28" i="25"/>
  <c r="L28" i="25"/>
  <c r="G29" i="25"/>
  <c r="J29" i="25"/>
  <c r="K29" i="25"/>
  <c r="L29" i="25"/>
  <c r="G30" i="25"/>
  <c r="J30" i="25"/>
  <c r="K30" i="25"/>
  <c r="L30" i="25"/>
  <c r="G31" i="25"/>
  <c r="J31" i="25"/>
  <c r="K31" i="25"/>
  <c r="L31" i="25"/>
  <c r="G32" i="25"/>
  <c r="J32" i="25"/>
  <c r="K32" i="25"/>
  <c r="L32" i="25"/>
  <c r="G33" i="25"/>
  <c r="J33" i="25"/>
  <c r="K33" i="25"/>
  <c r="L33" i="25"/>
  <c r="G34" i="25"/>
  <c r="J34" i="25"/>
  <c r="K34" i="25"/>
  <c r="L34" i="25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5" i="11"/>
  <c r="J5" i="11"/>
  <c r="K5" i="11"/>
  <c r="G6" i="11"/>
  <c r="J6" i="11"/>
  <c r="K6" i="11"/>
  <c r="G7" i="11"/>
  <c r="J7" i="11"/>
  <c r="K7" i="11"/>
  <c r="G8" i="11"/>
  <c r="J8" i="11"/>
  <c r="K8" i="11"/>
  <c r="G9" i="11"/>
  <c r="J9" i="11"/>
  <c r="K9" i="11"/>
  <c r="G10" i="11"/>
  <c r="J10" i="11"/>
  <c r="K10" i="11"/>
  <c r="G11" i="11"/>
  <c r="J11" i="11"/>
  <c r="K11" i="11"/>
  <c r="G12" i="11"/>
  <c r="J12" i="11"/>
  <c r="K12" i="11"/>
  <c r="G13" i="11"/>
  <c r="J13" i="11"/>
  <c r="K13" i="11"/>
  <c r="G14" i="11"/>
  <c r="J14" i="11"/>
  <c r="K14" i="11"/>
  <c r="G15" i="11"/>
  <c r="J15" i="11"/>
  <c r="K15" i="11"/>
  <c r="G16" i="11"/>
  <c r="J16" i="11"/>
  <c r="K16" i="11"/>
  <c r="G17" i="11"/>
  <c r="J17" i="11"/>
  <c r="K17" i="11"/>
  <c r="G18" i="11"/>
  <c r="J18" i="11"/>
  <c r="K18" i="11"/>
  <c r="G19" i="11"/>
  <c r="J19" i="11"/>
  <c r="K19" i="11"/>
  <c r="G20" i="11"/>
  <c r="J20" i="11"/>
  <c r="J35" i="11" s="1"/>
  <c r="K20" i="11"/>
  <c r="G21" i="11"/>
  <c r="J21" i="11"/>
  <c r="K21" i="11"/>
  <c r="G22" i="11"/>
  <c r="J22" i="11"/>
  <c r="K22" i="11"/>
  <c r="G23" i="11"/>
  <c r="J23" i="11"/>
  <c r="K23" i="11"/>
  <c r="G24" i="11"/>
  <c r="J24" i="11"/>
  <c r="K24" i="11"/>
  <c r="G25" i="11"/>
  <c r="J25" i="11"/>
  <c r="K25" i="11"/>
  <c r="G26" i="11"/>
  <c r="J26" i="11"/>
  <c r="K26" i="11"/>
  <c r="G27" i="11"/>
  <c r="J27" i="11"/>
  <c r="K27" i="11"/>
  <c r="G28" i="11"/>
  <c r="J28" i="11"/>
  <c r="K28" i="11"/>
  <c r="G29" i="11"/>
  <c r="J29" i="11"/>
  <c r="K29" i="11"/>
  <c r="G30" i="11"/>
  <c r="J30" i="11"/>
  <c r="K30" i="11"/>
  <c r="G31" i="11"/>
  <c r="J31" i="11"/>
  <c r="K31" i="11"/>
  <c r="G32" i="11"/>
  <c r="J32" i="11"/>
  <c r="G33" i="11"/>
  <c r="J33" i="11"/>
  <c r="K33" i="11"/>
  <c r="G34" i="11"/>
  <c r="J34" i="11"/>
  <c r="K34" i="11"/>
  <c r="G5" i="10"/>
  <c r="J5" i="10"/>
  <c r="K5" i="10"/>
  <c r="G6" i="10"/>
  <c r="J6" i="10"/>
  <c r="K6" i="10"/>
  <c r="G7" i="10"/>
  <c r="J7" i="10"/>
  <c r="K7" i="10"/>
  <c r="G8" i="10"/>
  <c r="J8" i="10"/>
  <c r="K8" i="10"/>
  <c r="G9" i="10"/>
  <c r="J9" i="10"/>
  <c r="K9" i="10"/>
  <c r="G10" i="10"/>
  <c r="J10" i="10"/>
  <c r="K10" i="10"/>
  <c r="G11" i="10"/>
  <c r="J11" i="10"/>
  <c r="K11" i="10"/>
  <c r="G12" i="10"/>
  <c r="J12" i="10"/>
  <c r="K12" i="10"/>
  <c r="G13" i="10"/>
  <c r="J13" i="10"/>
  <c r="K13" i="10"/>
  <c r="G14" i="10"/>
  <c r="J14" i="10"/>
  <c r="K14" i="10"/>
  <c r="G15" i="10"/>
  <c r="J15" i="10"/>
  <c r="K15" i="10"/>
  <c r="G16" i="10"/>
  <c r="J16" i="10"/>
  <c r="K16" i="10"/>
  <c r="G17" i="10"/>
  <c r="J17" i="10"/>
  <c r="K17" i="10"/>
  <c r="G18" i="10"/>
  <c r="J18" i="10"/>
  <c r="K18" i="10"/>
  <c r="G19" i="10"/>
  <c r="J19" i="10"/>
  <c r="K19" i="10"/>
  <c r="G20" i="10"/>
  <c r="J20" i="10"/>
  <c r="K20" i="10"/>
  <c r="G21" i="10"/>
  <c r="J21" i="10"/>
  <c r="K21" i="10"/>
  <c r="G22" i="10"/>
  <c r="J22" i="10"/>
  <c r="K22" i="10"/>
  <c r="G23" i="10"/>
  <c r="J23" i="10"/>
  <c r="K23" i="10"/>
  <c r="G24" i="10"/>
  <c r="J24" i="10"/>
  <c r="K24" i="10"/>
  <c r="G25" i="10"/>
  <c r="J25" i="10"/>
  <c r="K25" i="10"/>
  <c r="G26" i="10"/>
  <c r="J26" i="10"/>
  <c r="K26" i="10"/>
  <c r="G27" i="10"/>
  <c r="J27" i="10"/>
  <c r="K27" i="10"/>
  <c r="G28" i="10"/>
  <c r="J28" i="10"/>
  <c r="K28" i="10"/>
  <c r="G29" i="10"/>
  <c r="J29" i="10"/>
  <c r="K29" i="10"/>
  <c r="G30" i="10"/>
  <c r="J30" i="10"/>
  <c r="K30" i="10"/>
  <c r="G31" i="10"/>
  <c r="J31" i="10"/>
  <c r="K31" i="10"/>
  <c r="G32" i="10"/>
  <c r="J32" i="10"/>
  <c r="K32" i="10"/>
  <c r="G33" i="10"/>
  <c r="J33" i="10"/>
  <c r="K33" i="10"/>
  <c r="G34" i="10"/>
  <c r="J34" i="10"/>
  <c r="K34" i="10"/>
  <c r="G5" i="23"/>
  <c r="J5" i="23"/>
  <c r="K5" i="23"/>
  <c r="L5" i="23" s="1"/>
  <c r="G7" i="23"/>
  <c r="J7" i="23"/>
  <c r="K7" i="23"/>
  <c r="L7" i="23" s="1"/>
  <c r="G8" i="23"/>
  <c r="J8" i="23"/>
  <c r="K8" i="23"/>
  <c r="L8" i="23" s="1"/>
  <c r="G9" i="23"/>
  <c r="J9" i="23"/>
  <c r="K9" i="23"/>
  <c r="L9" i="23" s="1"/>
  <c r="G10" i="23"/>
  <c r="J10" i="23"/>
  <c r="K10" i="23"/>
  <c r="L10" i="23" s="1"/>
  <c r="G11" i="23"/>
  <c r="J11" i="23"/>
  <c r="K11" i="23"/>
  <c r="L11" i="23" s="1"/>
  <c r="G12" i="23"/>
  <c r="J12" i="23"/>
  <c r="K12" i="23"/>
  <c r="L12" i="23" s="1"/>
  <c r="G13" i="23"/>
  <c r="G37" i="23" s="1"/>
  <c r="J13" i="23"/>
  <c r="K13" i="23"/>
  <c r="G14" i="23"/>
  <c r="J14" i="23"/>
  <c r="K14" i="23"/>
  <c r="L14" i="23" s="1"/>
  <c r="G15" i="23"/>
  <c r="J15" i="23"/>
  <c r="K15" i="23"/>
  <c r="L15" i="23" s="1"/>
  <c r="G16" i="23"/>
  <c r="J16" i="23"/>
  <c r="K16" i="23"/>
  <c r="L16" i="23" s="1"/>
  <c r="G17" i="23"/>
  <c r="J17" i="23"/>
  <c r="K17" i="23"/>
  <c r="L17" i="23" s="1"/>
  <c r="G18" i="23"/>
  <c r="J18" i="23"/>
  <c r="K18" i="23"/>
  <c r="L18" i="23" s="1"/>
  <c r="G19" i="23"/>
  <c r="J19" i="23"/>
  <c r="K19" i="23"/>
  <c r="L19" i="23" s="1"/>
  <c r="G20" i="23"/>
  <c r="J20" i="23"/>
  <c r="K20" i="23"/>
  <c r="L20" i="23" s="1"/>
  <c r="G21" i="23"/>
  <c r="J21" i="23"/>
  <c r="K21" i="23"/>
  <c r="L21" i="23" s="1"/>
  <c r="G22" i="23"/>
  <c r="J22" i="23"/>
  <c r="K22" i="23"/>
  <c r="G23" i="23"/>
  <c r="J23" i="23"/>
  <c r="K23" i="23"/>
  <c r="L23" i="23" s="1"/>
  <c r="G24" i="23"/>
  <c r="J24" i="23"/>
  <c r="J37" i="23" s="1"/>
  <c r="K24" i="23"/>
  <c r="G25" i="23"/>
  <c r="J25" i="23"/>
  <c r="K25" i="23"/>
  <c r="G26" i="23"/>
  <c r="J26" i="23"/>
  <c r="K26" i="23"/>
  <c r="G27" i="23"/>
  <c r="J27" i="23"/>
  <c r="K27" i="23"/>
  <c r="G28" i="23"/>
  <c r="J28" i="23"/>
  <c r="K28" i="23"/>
  <c r="G29" i="23"/>
  <c r="J29" i="23"/>
  <c r="K29" i="23"/>
  <c r="G30" i="23"/>
  <c r="J30" i="23"/>
  <c r="K30" i="23"/>
  <c r="G31" i="23"/>
  <c r="J31" i="23"/>
  <c r="K31" i="23"/>
  <c r="L31" i="23" s="1"/>
  <c r="G32" i="23"/>
  <c r="J32" i="23"/>
  <c r="K32" i="23"/>
  <c r="G33" i="23"/>
  <c r="J33" i="23"/>
  <c r="K33" i="23"/>
  <c r="G34" i="23"/>
  <c r="J34" i="23"/>
  <c r="K34" i="23"/>
  <c r="G5" i="24"/>
  <c r="J5" i="24"/>
  <c r="K5" i="24"/>
  <c r="L5" i="24"/>
  <c r="G6" i="24"/>
  <c r="J6" i="24"/>
  <c r="K6" i="24"/>
  <c r="L6" i="24"/>
  <c r="G7" i="24"/>
  <c r="J7" i="24"/>
  <c r="K7" i="24"/>
  <c r="L7" i="24"/>
  <c r="G8" i="24"/>
  <c r="J8" i="24"/>
  <c r="K8" i="24"/>
  <c r="L8" i="24"/>
  <c r="G9" i="24"/>
  <c r="J9" i="24"/>
  <c r="K9" i="24"/>
  <c r="L9" i="24"/>
  <c r="G10" i="24"/>
  <c r="J10" i="24"/>
  <c r="K10" i="24"/>
  <c r="L10" i="24"/>
  <c r="G11" i="24"/>
  <c r="J11" i="24"/>
  <c r="K11" i="24"/>
  <c r="L11" i="24" s="1"/>
  <c r="G12" i="24"/>
  <c r="J12" i="24"/>
  <c r="K12" i="24"/>
  <c r="L12" i="24"/>
  <c r="G13" i="24"/>
  <c r="J13" i="24"/>
  <c r="K13" i="24"/>
  <c r="L13" i="24"/>
  <c r="G14" i="24"/>
  <c r="J14" i="24"/>
  <c r="K14" i="24"/>
  <c r="L14" i="24"/>
  <c r="G15" i="24"/>
  <c r="J15" i="24"/>
  <c r="K15" i="24"/>
  <c r="L15" i="24"/>
  <c r="G16" i="24"/>
  <c r="J16" i="24"/>
  <c r="K16" i="24"/>
  <c r="L16" i="24"/>
  <c r="G17" i="24"/>
  <c r="J17" i="24"/>
  <c r="K17" i="24"/>
  <c r="L17" i="24"/>
  <c r="G18" i="24"/>
  <c r="J18" i="24"/>
  <c r="K18" i="24"/>
  <c r="L18" i="24"/>
  <c r="G19" i="24"/>
  <c r="J19" i="24"/>
  <c r="K19" i="24"/>
  <c r="L19" i="24"/>
  <c r="G20" i="24"/>
  <c r="J20" i="24"/>
  <c r="K20" i="24"/>
  <c r="L20" i="24"/>
  <c r="G21" i="24"/>
  <c r="J21" i="24"/>
  <c r="K21" i="24"/>
  <c r="G22" i="24"/>
  <c r="J22" i="24"/>
  <c r="K22" i="24"/>
  <c r="L22" i="24"/>
  <c r="G23" i="24"/>
  <c r="J23" i="24"/>
  <c r="K23" i="24"/>
  <c r="L23" i="24"/>
  <c r="G24" i="24"/>
  <c r="J24" i="24"/>
  <c r="K24" i="24"/>
  <c r="L24" i="24"/>
  <c r="G25" i="24"/>
  <c r="J25" i="24"/>
  <c r="K25" i="24"/>
  <c r="L25" i="24"/>
  <c r="G26" i="24"/>
  <c r="J26" i="24"/>
  <c r="K26" i="24"/>
  <c r="L26" i="24"/>
  <c r="G27" i="24"/>
  <c r="J27" i="24"/>
  <c r="K27" i="24"/>
  <c r="L27" i="24"/>
  <c r="G28" i="24"/>
  <c r="J28" i="24"/>
  <c r="K28" i="24"/>
  <c r="L28" i="24"/>
  <c r="G29" i="24"/>
  <c r="J29" i="24"/>
  <c r="K29" i="24"/>
  <c r="L29" i="24"/>
  <c r="G30" i="24"/>
  <c r="J30" i="24"/>
  <c r="K30" i="24"/>
  <c r="L30" i="24"/>
  <c r="G31" i="24"/>
  <c r="J31" i="24"/>
  <c r="K31" i="24"/>
  <c r="L31" i="24"/>
  <c r="G32" i="24"/>
  <c r="J32" i="24"/>
  <c r="K32" i="24"/>
  <c r="L32" i="24"/>
  <c r="G33" i="24"/>
  <c r="J33" i="24"/>
  <c r="K33" i="24"/>
  <c r="L33" i="24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G21" i="3"/>
  <c r="J21" i="3"/>
  <c r="K21" i="3"/>
  <c r="G22" i="3"/>
  <c r="J22" i="3"/>
  <c r="K22" i="3"/>
  <c r="G23" i="3"/>
  <c r="J23" i="3"/>
  <c r="K23" i="3"/>
  <c r="G24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34" i="3"/>
  <c r="J34" i="3"/>
  <c r="K34" i="3"/>
  <c r="G5" i="7"/>
  <c r="J5" i="7"/>
  <c r="K5" i="7"/>
  <c r="G6" i="7"/>
  <c r="J6" i="7"/>
  <c r="K6" i="7"/>
  <c r="G7" i="7"/>
  <c r="J7" i="7"/>
  <c r="K7" i="7"/>
  <c r="G8" i="7"/>
  <c r="J8" i="7"/>
  <c r="K8" i="7"/>
  <c r="G9" i="7"/>
  <c r="J9" i="7"/>
  <c r="K9" i="7"/>
  <c r="G10" i="7"/>
  <c r="J10" i="7"/>
  <c r="K10" i="7"/>
  <c r="G11" i="7"/>
  <c r="J11" i="7"/>
  <c r="K11" i="7"/>
  <c r="G12" i="7"/>
  <c r="J12" i="7"/>
  <c r="K12" i="7"/>
  <c r="G13" i="7"/>
  <c r="J13" i="7"/>
  <c r="K13" i="7"/>
  <c r="G14" i="7"/>
  <c r="J14" i="7"/>
  <c r="K14" i="7"/>
  <c r="G15" i="7"/>
  <c r="J15" i="7"/>
  <c r="K15" i="7"/>
  <c r="G16" i="7"/>
  <c r="J16" i="7"/>
  <c r="K16" i="7"/>
  <c r="G17" i="7"/>
  <c r="J17" i="7"/>
  <c r="K17" i="7"/>
  <c r="G18" i="7"/>
  <c r="J18" i="7"/>
  <c r="K18" i="7"/>
  <c r="G19" i="7"/>
  <c r="J19" i="7"/>
  <c r="K19" i="7"/>
  <c r="G20" i="7"/>
  <c r="J20" i="7"/>
  <c r="K20" i="7"/>
  <c r="G21" i="7"/>
  <c r="J21" i="7"/>
  <c r="K21" i="7"/>
  <c r="G22" i="7"/>
  <c r="J22" i="7"/>
  <c r="K22" i="7"/>
  <c r="G23" i="7"/>
  <c r="J23" i="7"/>
  <c r="K23" i="7"/>
  <c r="G24" i="7"/>
  <c r="J24" i="7"/>
  <c r="K24" i="7"/>
  <c r="G25" i="7"/>
  <c r="J25" i="7"/>
  <c r="K25" i="7"/>
  <c r="G26" i="7"/>
  <c r="J26" i="7"/>
  <c r="K26" i="7"/>
  <c r="G27" i="7"/>
  <c r="J27" i="7"/>
  <c r="K27" i="7"/>
  <c r="G28" i="7"/>
  <c r="J28" i="7"/>
  <c r="K28" i="7"/>
  <c r="G29" i="7"/>
  <c r="J29" i="7"/>
  <c r="K29" i="7"/>
  <c r="G30" i="7"/>
  <c r="J30" i="7"/>
  <c r="K30" i="7"/>
  <c r="G31" i="7"/>
  <c r="J31" i="7"/>
  <c r="K31" i="7"/>
  <c r="G32" i="7"/>
  <c r="J32" i="7"/>
  <c r="K32" i="7"/>
  <c r="G33" i="7"/>
  <c r="J33" i="7"/>
  <c r="K33" i="7"/>
  <c r="G34" i="7"/>
  <c r="J34" i="7"/>
  <c r="K34" i="7"/>
  <c r="G5" i="16"/>
  <c r="J5" i="16"/>
  <c r="K5" i="16"/>
  <c r="G6" i="16"/>
  <c r="J6" i="16"/>
  <c r="K6" i="16"/>
  <c r="G7" i="16"/>
  <c r="J7" i="16"/>
  <c r="K7" i="16"/>
  <c r="G8" i="16"/>
  <c r="J8" i="16"/>
  <c r="K8" i="16"/>
  <c r="G9" i="16"/>
  <c r="J9" i="16"/>
  <c r="K9" i="16"/>
  <c r="G10" i="16"/>
  <c r="J10" i="16"/>
  <c r="K10" i="16"/>
  <c r="G11" i="16"/>
  <c r="J11" i="16"/>
  <c r="K11" i="16"/>
  <c r="G12" i="16"/>
  <c r="J12" i="16"/>
  <c r="K12" i="16"/>
  <c r="G13" i="16"/>
  <c r="J13" i="16"/>
  <c r="K13" i="16"/>
  <c r="G14" i="16"/>
  <c r="J14" i="16"/>
  <c r="K14" i="16"/>
  <c r="G15" i="16"/>
  <c r="J15" i="16"/>
  <c r="K15" i="16"/>
  <c r="G16" i="16"/>
  <c r="J16" i="16"/>
  <c r="K16" i="16"/>
  <c r="G17" i="16"/>
  <c r="J17" i="16"/>
  <c r="K17" i="16"/>
  <c r="G18" i="16"/>
  <c r="J18" i="16"/>
  <c r="K18" i="16"/>
  <c r="G19" i="16"/>
  <c r="J19" i="16"/>
  <c r="K19" i="16"/>
  <c r="G20" i="16"/>
  <c r="J20" i="16"/>
  <c r="K20" i="16"/>
  <c r="G21" i="16"/>
  <c r="J21" i="16"/>
  <c r="K21" i="16"/>
  <c r="G22" i="16"/>
  <c r="J22" i="16"/>
  <c r="K22" i="16"/>
  <c r="G23" i="16"/>
  <c r="J23" i="16"/>
  <c r="K23" i="16"/>
  <c r="G24" i="16"/>
  <c r="J24" i="16"/>
  <c r="K24" i="16"/>
  <c r="G25" i="16"/>
  <c r="J25" i="16"/>
  <c r="K25" i="16"/>
  <c r="G26" i="16"/>
  <c r="J26" i="16"/>
  <c r="K26" i="16"/>
  <c r="G27" i="16"/>
  <c r="J27" i="16"/>
  <c r="K27" i="16"/>
  <c r="G28" i="16"/>
  <c r="J28" i="16"/>
  <c r="K28" i="16"/>
  <c r="G29" i="16"/>
  <c r="J29" i="16"/>
  <c r="K29" i="16"/>
  <c r="G30" i="16"/>
  <c r="J30" i="16"/>
  <c r="K30" i="16"/>
  <c r="G31" i="16"/>
  <c r="J31" i="16"/>
  <c r="K31" i="16"/>
  <c r="G32" i="16"/>
  <c r="J32" i="16"/>
  <c r="K32" i="16"/>
  <c r="G33" i="16"/>
  <c r="J33" i="16"/>
  <c r="K33" i="16"/>
  <c r="G34" i="16"/>
  <c r="J34" i="16"/>
  <c r="K34" i="16"/>
  <c r="G5" i="1"/>
  <c r="J5" i="1"/>
  <c r="K5" i="1"/>
  <c r="G6" i="1"/>
  <c r="J6" i="1"/>
  <c r="K6" i="1"/>
  <c r="G7" i="1"/>
  <c r="J7" i="1"/>
  <c r="K7" i="1"/>
  <c r="G8" i="1"/>
  <c r="J8" i="1"/>
  <c r="K8" i="1"/>
  <c r="G9" i="1"/>
  <c r="J9" i="1"/>
  <c r="K9" i="1"/>
  <c r="G10" i="1"/>
  <c r="J10" i="1"/>
  <c r="K10" i="1"/>
  <c r="G11" i="1"/>
  <c r="J11" i="1"/>
  <c r="K11" i="1"/>
  <c r="G12" i="1"/>
  <c r="J12" i="1"/>
  <c r="K12" i="1"/>
  <c r="G13" i="1"/>
  <c r="J13" i="1"/>
  <c r="K13" i="1"/>
  <c r="G14" i="1"/>
  <c r="J14" i="1"/>
  <c r="K14" i="1"/>
  <c r="G15" i="1"/>
  <c r="J15" i="1"/>
  <c r="K15" i="1"/>
  <c r="G16" i="1"/>
  <c r="J16" i="1"/>
  <c r="K16" i="1"/>
  <c r="G17" i="1"/>
  <c r="J17" i="1"/>
  <c r="K17" i="1"/>
  <c r="G18" i="1"/>
  <c r="J18" i="1"/>
  <c r="K18" i="1"/>
  <c r="G19" i="1"/>
  <c r="J19" i="1"/>
  <c r="K19" i="1"/>
  <c r="G20" i="1"/>
  <c r="J20" i="1"/>
  <c r="K20" i="1"/>
  <c r="G21" i="1"/>
  <c r="J21" i="1"/>
  <c r="K21" i="1"/>
  <c r="G22" i="1"/>
  <c r="J22" i="1"/>
  <c r="K22" i="1"/>
  <c r="G23" i="1"/>
  <c r="J23" i="1"/>
  <c r="K23" i="1"/>
  <c r="G24" i="1"/>
  <c r="J24" i="1"/>
  <c r="K24" i="1"/>
  <c r="G25" i="1"/>
  <c r="J25" i="1"/>
  <c r="K25" i="1"/>
  <c r="G26" i="1"/>
  <c r="J26" i="1"/>
  <c r="K26" i="1"/>
  <c r="G27" i="1"/>
  <c r="J27" i="1"/>
  <c r="K27" i="1"/>
  <c r="G28" i="1"/>
  <c r="J28" i="1"/>
  <c r="K28" i="1"/>
  <c r="G29" i="1"/>
  <c r="J29" i="1"/>
  <c r="K29" i="1"/>
  <c r="G30" i="1"/>
  <c r="J30" i="1"/>
  <c r="K30" i="1"/>
  <c r="G31" i="1"/>
  <c r="J31" i="1"/>
  <c r="K31" i="1"/>
  <c r="G32" i="1"/>
  <c r="J32" i="1"/>
  <c r="K32" i="1"/>
  <c r="G33" i="1"/>
  <c r="J33" i="1"/>
  <c r="K33" i="1"/>
  <c r="G5" i="2"/>
  <c r="J5" i="2"/>
  <c r="K5" i="2"/>
  <c r="G6" i="2"/>
  <c r="J6" i="2"/>
  <c r="K6" i="2"/>
  <c r="G7" i="2"/>
  <c r="J7" i="2"/>
  <c r="K7" i="2"/>
  <c r="G8" i="2"/>
  <c r="J8" i="2"/>
  <c r="K8" i="2"/>
  <c r="G9" i="2"/>
  <c r="J9" i="2"/>
  <c r="K9" i="2"/>
  <c r="G10" i="2"/>
  <c r="J10" i="2"/>
  <c r="K10" i="2"/>
  <c r="G11" i="2"/>
  <c r="J11" i="2"/>
  <c r="K11" i="2"/>
  <c r="G12" i="2"/>
  <c r="J12" i="2"/>
  <c r="K12" i="2"/>
  <c r="G13" i="2"/>
  <c r="J13" i="2"/>
  <c r="K13" i="2"/>
  <c r="G14" i="2"/>
  <c r="J14" i="2"/>
  <c r="K14" i="2"/>
  <c r="G15" i="2"/>
  <c r="J15" i="2"/>
  <c r="K15" i="2"/>
  <c r="G16" i="2"/>
  <c r="J16" i="2"/>
  <c r="K16" i="2"/>
  <c r="G17" i="2"/>
  <c r="J17" i="2"/>
  <c r="K17" i="2"/>
  <c r="G18" i="2"/>
  <c r="J18" i="2"/>
  <c r="K18" i="2"/>
  <c r="G19" i="2"/>
  <c r="J19" i="2"/>
  <c r="K19" i="2"/>
  <c r="G20" i="2"/>
  <c r="J20" i="2"/>
  <c r="K20" i="2"/>
  <c r="G21" i="2"/>
  <c r="J21" i="2"/>
  <c r="K21" i="2"/>
  <c r="G22" i="2"/>
  <c r="J22" i="2"/>
  <c r="K22" i="2"/>
  <c r="G23" i="2"/>
  <c r="J23" i="2"/>
  <c r="K23" i="2"/>
  <c r="G24" i="2"/>
  <c r="J24" i="2"/>
  <c r="K24" i="2"/>
  <c r="G25" i="2"/>
  <c r="J25" i="2"/>
  <c r="K25" i="2"/>
  <c r="G26" i="2"/>
  <c r="J26" i="2"/>
  <c r="K26" i="2"/>
  <c r="G27" i="2"/>
  <c r="J27" i="2"/>
  <c r="K27" i="2"/>
  <c r="G28" i="2"/>
  <c r="J28" i="2"/>
  <c r="K28" i="2"/>
  <c r="J29" i="2"/>
  <c r="K29" i="2"/>
  <c r="J30" i="2"/>
  <c r="K30" i="2"/>
  <c r="G31" i="2"/>
  <c r="J31" i="2"/>
  <c r="K31" i="2"/>
  <c r="G32" i="2"/>
  <c r="J32" i="2"/>
  <c r="K32" i="2"/>
  <c r="G33" i="2"/>
  <c r="J33" i="2"/>
  <c r="K33" i="2"/>
  <c r="G34" i="2"/>
  <c r="J34" i="2"/>
  <c r="K34" i="2"/>
  <c r="G5" i="32"/>
  <c r="J5" i="32"/>
  <c r="G6" i="32"/>
  <c r="J6" i="32"/>
  <c r="G7" i="32"/>
  <c r="J7" i="32"/>
  <c r="G8" i="32"/>
  <c r="J8" i="32"/>
  <c r="J9" i="32"/>
  <c r="G10" i="32"/>
  <c r="J10" i="32"/>
  <c r="G11" i="32"/>
  <c r="J11" i="32"/>
  <c r="G12" i="32"/>
  <c r="J12" i="32"/>
  <c r="G13" i="32"/>
  <c r="J13" i="32"/>
  <c r="G14" i="32"/>
  <c r="J14" i="32"/>
  <c r="G15" i="32"/>
  <c r="J15" i="32"/>
  <c r="G16" i="32"/>
  <c r="J16" i="32"/>
  <c r="G17" i="32"/>
  <c r="J17" i="32"/>
  <c r="G18" i="32"/>
  <c r="J18" i="32"/>
  <c r="G19" i="32"/>
  <c r="J19" i="32"/>
  <c r="G20" i="32"/>
  <c r="J20" i="32"/>
  <c r="G21" i="32"/>
  <c r="J21" i="32"/>
  <c r="G22" i="32"/>
  <c r="J22" i="32"/>
  <c r="G23" i="32"/>
  <c r="J23" i="32"/>
  <c r="G24" i="32"/>
  <c r="J24" i="32"/>
  <c r="G25" i="32"/>
  <c r="J25" i="32"/>
  <c r="G26" i="32"/>
  <c r="J26" i="32"/>
  <c r="G27" i="32"/>
  <c r="J27" i="32"/>
  <c r="G28" i="32"/>
  <c r="J28" i="32"/>
  <c r="G29" i="32"/>
  <c r="J29" i="32"/>
  <c r="G30" i="32"/>
  <c r="J30" i="32"/>
  <c r="G31" i="32"/>
  <c r="J31" i="32"/>
  <c r="G32" i="32"/>
  <c r="J32" i="32"/>
  <c r="G33" i="32"/>
  <c r="J33" i="32"/>
  <c r="G34" i="32"/>
  <c r="J34" i="32"/>
  <c r="G5" i="18"/>
  <c r="J5" i="18"/>
  <c r="K5" i="18"/>
  <c r="G6" i="18"/>
  <c r="J6" i="18"/>
  <c r="K6" i="18"/>
  <c r="G7" i="18"/>
  <c r="J7" i="18"/>
  <c r="K7" i="18"/>
  <c r="G8" i="18"/>
  <c r="J8" i="18"/>
  <c r="K8" i="18"/>
  <c r="G9" i="18"/>
  <c r="J9" i="18"/>
  <c r="K9" i="18"/>
  <c r="G10" i="18"/>
  <c r="J10" i="18"/>
  <c r="K10" i="18"/>
  <c r="G11" i="18"/>
  <c r="J11" i="18"/>
  <c r="K11" i="18"/>
  <c r="G12" i="18"/>
  <c r="J12" i="18"/>
  <c r="K12" i="18"/>
  <c r="G13" i="18"/>
  <c r="J13" i="18"/>
  <c r="K13" i="18"/>
  <c r="G14" i="18"/>
  <c r="J14" i="18"/>
  <c r="K14" i="18"/>
  <c r="G15" i="18"/>
  <c r="J15" i="18"/>
  <c r="K15" i="18"/>
  <c r="G16" i="18"/>
  <c r="J16" i="18"/>
  <c r="K16" i="18"/>
  <c r="G17" i="18"/>
  <c r="J17" i="18"/>
  <c r="K17" i="18"/>
  <c r="G18" i="18"/>
  <c r="J18" i="18"/>
  <c r="K18" i="18"/>
  <c r="G19" i="18"/>
  <c r="J19" i="18"/>
  <c r="K19" i="18"/>
  <c r="G20" i="18"/>
  <c r="J20" i="18"/>
  <c r="K20" i="18"/>
  <c r="G21" i="18"/>
  <c r="J21" i="18"/>
  <c r="K21" i="18"/>
  <c r="G22" i="18"/>
  <c r="J22" i="18"/>
  <c r="K22" i="18"/>
  <c r="G23" i="18"/>
  <c r="J23" i="18"/>
  <c r="K23" i="18"/>
  <c r="G24" i="18"/>
  <c r="J24" i="18"/>
  <c r="K24" i="18"/>
  <c r="G25" i="18"/>
  <c r="J25" i="18"/>
  <c r="K25" i="18"/>
  <c r="G26" i="18"/>
  <c r="J26" i="18"/>
  <c r="K26" i="18"/>
  <c r="G27" i="18"/>
  <c r="J27" i="18"/>
  <c r="K27" i="18"/>
  <c r="G28" i="18"/>
  <c r="J28" i="18"/>
  <c r="K28" i="18"/>
  <c r="G29" i="18"/>
  <c r="J29" i="18"/>
  <c r="K29" i="18"/>
  <c r="G30" i="18"/>
  <c r="J30" i="18"/>
  <c r="K30" i="18"/>
  <c r="G31" i="18"/>
  <c r="J31" i="18"/>
  <c r="K31" i="18"/>
  <c r="G32" i="18"/>
  <c r="J32" i="18"/>
  <c r="K32" i="18"/>
  <c r="G33" i="18"/>
  <c r="J33" i="18"/>
  <c r="K33" i="18"/>
  <c r="G34" i="18"/>
  <c r="J34" i="18"/>
  <c r="K34" i="18"/>
  <c r="L36" i="50"/>
  <c r="G5" i="48"/>
  <c r="J5" i="48"/>
  <c r="K5" i="48"/>
  <c r="G6" i="48"/>
  <c r="J6" i="48"/>
  <c r="K6" i="48"/>
  <c r="G7" i="48"/>
  <c r="J7" i="48"/>
  <c r="K7" i="48"/>
  <c r="G8" i="48"/>
  <c r="J8" i="48"/>
  <c r="K8" i="48"/>
  <c r="G9" i="48"/>
  <c r="J9" i="48"/>
  <c r="K9" i="48"/>
  <c r="G10" i="48"/>
  <c r="J10" i="48"/>
  <c r="K10" i="48"/>
  <c r="G11" i="48"/>
  <c r="J11" i="48"/>
  <c r="K11" i="48"/>
  <c r="G12" i="48"/>
  <c r="J12" i="48"/>
  <c r="K12" i="48"/>
  <c r="G13" i="48"/>
  <c r="J13" i="48"/>
  <c r="K13" i="48"/>
  <c r="G14" i="48"/>
  <c r="J14" i="48"/>
  <c r="K14" i="48"/>
  <c r="G15" i="48"/>
  <c r="J15" i="48"/>
  <c r="K15" i="48"/>
  <c r="G16" i="48"/>
  <c r="J16" i="48"/>
  <c r="K16" i="48"/>
  <c r="G17" i="48"/>
  <c r="J17" i="48"/>
  <c r="K17" i="48"/>
  <c r="G18" i="48"/>
  <c r="J18" i="48"/>
  <c r="K18" i="48"/>
  <c r="G19" i="48"/>
  <c r="J19" i="48"/>
  <c r="K19" i="48"/>
  <c r="G20" i="48"/>
  <c r="J20" i="48"/>
  <c r="K20" i="48"/>
  <c r="G21" i="48"/>
  <c r="J21" i="48"/>
  <c r="K21" i="48"/>
  <c r="G22" i="48"/>
  <c r="J22" i="48"/>
  <c r="K22" i="48"/>
  <c r="G23" i="48"/>
  <c r="J23" i="48"/>
  <c r="K23" i="48"/>
  <c r="G24" i="48"/>
  <c r="J24" i="48"/>
  <c r="K24" i="48"/>
  <c r="G25" i="48"/>
  <c r="J25" i="48"/>
  <c r="K25" i="48"/>
  <c r="G26" i="48"/>
  <c r="J26" i="48"/>
  <c r="K26" i="48"/>
  <c r="G27" i="48"/>
  <c r="J27" i="48"/>
  <c r="K27" i="48"/>
  <c r="G28" i="48"/>
  <c r="J28" i="48"/>
  <c r="K28" i="48"/>
  <c r="G29" i="48"/>
  <c r="J29" i="48"/>
  <c r="K29" i="48"/>
  <c r="G30" i="48"/>
  <c r="J30" i="48"/>
  <c r="K30" i="48"/>
  <c r="G31" i="48"/>
  <c r="J31" i="48"/>
  <c r="K31" i="48"/>
  <c r="G32" i="48"/>
  <c r="J32" i="48"/>
  <c r="K32" i="48"/>
  <c r="G33" i="48"/>
  <c r="J33" i="48"/>
  <c r="K33" i="48"/>
  <c r="G34" i="48"/>
  <c r="J34" i="48"/>
  <c r="K34" i="48"/>
  <c r="G35" i="48"/>
  <c r="J35" i="48"/>
  <c r="K35" i="48"/>
  <c r="K11" i="47"/>
  <c r="K20" i="47"/>
  <c r="K21" i="47"/>
  <c r="G5" i="47"/>
  <c r="K5" i="47" s="1"/>
  <c r="G6" i="47"/>
  <c r="K6" i="47" s="1"/>
  <c r="G7" i="47"/>
  <c r="K7" i="47" s="1"/>
  <c r="G8" i="47"/>
  <c r="K8" i="47" s="1"/>
  <c r="G9" i="47"/>
  <c r="G10" i="47"/>
  <c r="K10" i="47" s="1"/>
  <c r="G11" i="47"/>
  <c r="G12" i="47"/>
  <c r="K12" i="47" s="1"/>
  <c r="G13" i="47"/>
  <c r="K13" i="47" s="1"/>
  <c r="G14" i="47"/>
  <c r="K14" i="47" s="1"/>
  <c r="G15" i="47"/>
  <c r="G16" i="47"/>
  <c r="K16" i="47" s="1"/>
  <c r="G17" i="47"/>
  <c r="K17" i="47" s="1"/>
  <c r="G18" i="47"/>
  <c r="K18" i="47" s="1"/>
  <c r="G19" i="47"/>
  <c r="K19" i="47" s="1"/>
  <c r="G20" i="47"/>
  <c r="G21" i="47"/>
  <c r="G22" i="47"/>
  <c r="K22" i="47" s="1"/>
  <c r="G23" i="47"/>
  <c r="K23" i="47" s="1"/>
  <c r="G24" i="47"/>
  <c r="K24" i="47" s="1"/>
  <c r="G25" i="47"/>
  <c r="K25" i="47" s="1"/>
  <c r="G26" i="47"/>
  <c r="K26" i="47" s="1"/>
  <c r="G27" i="47"/>
  <c r="K27" i="47" s="1"/>
  <c r="G28" i="47"/>
  <c r="K28" i="47" s="1"/>
  <c r="G29" i="47"/>
  <c r="K29" i="47" s="1"/>
  <c r="G30" i="47"/>
  <c r="K30" i="47" s="1"/>
  <c r="G31" i="47"/>
  <c r="K31" i="47" s="1"/>
  <c r="G32" i="47"/>
  <c r="K32" i="47" s="1"/>
  <c r="G33" i="47"/>
  <c r="K33" i="47" s="1"/>
  <c r="G4" i="47"/>
  <c r="N185" i="43"/>
  <c r="J4" i="50"/>
  <c r="G4" i="50"/>
  <c r="G36" i="50" s="1"/>
  <c r="M3" i="50"/>
  <c r="L31" i="38"/>
  <c r="L32" i="38"/>
  <c r="L33" i="38"/>
  <c r="L34" i="38"/>
  <c r="Q33" i="15"/>
  <c r="K31" i="40"/>
  <c r="L31" i="40"/>
  <c r="K32" i="40"/>
  <c r="L32" i="40"/>
  <c r="K33" i="40"/>
  <c r="L33" i="40"/>
  <c r="G11" i="49"/>
  <c r="K11" i="49" s="1"/>
  <c r="L11" i="49" s="1"/>
  <c r="L30" i="38"/>
  <c r="K30" i="40"/>
  <c r="L30" i="40"/>
  <c r="K8" i="45"/>
  <c r="J29" i="6"/>
  <c r="L28" i="38"/>
  <c r="L29" i="38"/>
  <c r="K29" i="40"/>
  <c r="L29" i="40" s="1"/>
  <c r="K27" i="40"/>
  <c r="L27" i="40"/>
  <c r="K28" i="40"/>
  <c r="L28" i="40"/>
  <c r="G9" i="49"/>
  <c r="K9" i="49" s="1"/>
  <c r="L9" i="49" s="1"/>
  <c r="G10" i="49"/>
  <c r="K10" i="49" s="1"/>
  <c r="L10" i="49" s="1"/>
  <c r="L26" i="38"/>
  <c r="L27" i="38"/>
  <c r="G8" i="49"/>
  <c r="G4" i="49"/>
  <c r="K4" i="49" s="1"/>
  <c r="L4" i="49" s="1"/>
  <c r="G5" i="49"/>
  <c r="K5" i="49" s="1"/>
  <c r="L5" i="49" s="1"/>
  <c r="G6" i="49"/>
  <c r="K6" i="49" s="1"/>
  <c r="L6" i="49" s="1"/>
  <c r="G7" i="49"/>
  <c r="K7" i="49" s="1"/>
  <c r="L7" i="49" s="1"/>
  <c r="G3" i="49"/>
  <c r="K3" i="49" s="1"/>
  <c r="L3" i="49" s="1"/>
  <c r="L25" i="38"/>
  <c r="K25" i="40"/>
  <c r="L25" i="40"/>
  <c r="K26" i="40"/>
  <c r="L26" i="40"/>
  <c r="K22" i="40"/>
  <c r="L22" i="40"/>
  <c r="K23" i="40"/>
  <c r="L23" i="40"/>
  <c r="K24" i="40"/>
  <c r="L24" i="40"/>
  <c r="L24" i="38"/>
  <c r="L22" i="38"/>
  <c r="L23" i="38"/>
  <c r="L20" i="38"/>
  <c r="L21" i="38"/>
  <c r="K21" i="40"/>
  <c r="L21" i="40" s="1"/>
  <c r="P24" i="18"/>
  <c r="P30" i="39"/>
  <c r="X16" i="1"/>
  <c r="K18" i="40"/>
  <c r="L18" i="40"/>
  <c r="K19" i="40"/>
  <c r="L19" i="40"/>
  <c r="K20" i="40"/>
  <c r="L20" i="40"/>
  <c r="V21" i="16"/>
  <c r="V20" i="16"/>
  <c r="G4" i="48"/>
  <c r="J4" i="48"/>
  <c r="L36" i="48"/>
  <c r="J36" i="48"/>
  <c r="H36" i="48"/>
  <c r="E36" i="48"/>
  <c r="M3" i="48"/>
  <c r="L18" i="38"/>
  <c r="L19" i="38"/>
  <c r="L16" i="38"/>
  <c r="L17" i="38"/>
  <c r="L12" i="37"/>
  <c r="L13" i="37"/>
  <c r="L14" i="37"/>
  <c r="K14" i="40"/>
  <c r="K15" i="40"/>
  <c r="K16" i="40"/>
  <c r="K17" i="40"/>
  <c r="L14" i="40"/>
  <c r="L15" i="40"/>
  <c r="L16" i="40"/>
  <c r="L17" i="40"/>
  <c r="K6" i="45"/>
  <c r="K7" i="45"/>
  <c r="K12" i="40"/>
  <c r="L12" i="40" s="1"/>
  <c r="K13" i="40"/>
  <c r="L13" i="40" s="1"/>
  <c r="L9" i="37"/>
  <c r="L10" i="37"/>
  <c r="L11" i="37"/>
  <c r="K11" i="40"/>
  <c r="L11" i="40" s="1"/>
  <c r="L10" i="38"/>
  <c r="L35" i="47"/>
  <c r="M3" i="47"/>
  <c r="K10" i="40"/>
  <c r="L10" i="40" s="1"/>
  <c r="E35" i="5"/>
  <c r="K9" i="40"/>
  <c r="L9" i="40" s="1"/>
  <c r="I35" i="46"/>
  <c r="F35" i="46"/>
  <c r="K4" i="46"/>
  <c r="K35" i="46" s="1"/>
  <c r="H4" i="46"/>
  <c r="L7" i="37"/>
  <c r="L8" i="37"/>
  <c r="K6" i="40"/>
  <c r="L6" i="40" s="1"/>
  <c r="K7" i="40"/>
  <c r="L7" i="40" s="1"/>
  <c r="K8" i="40"/>
  <c r="L8" i="40" s="1"/>
  <c r="L6" i="37"/>
  <c r="G4" i="40"/>
  <c r="K4" i="40" s="1"/>
  <c r="L4" i="40" s="1"/>
  <c r="J5" i="45"/>
  <c r="K5" i="45"/>
  <c r="J4" i="45"/>
  <c r="M4" i="45"/>
  <c r="M5" i="45" s="1"/>
  <c r="M6" i="45" s="1"/>
  <c r="M7" i="45" s="1"/>
  <c r="M8" i="45" s="1"/>
  <c r="J5" i="44"/>
  <c r="G5" i="44"/>
  <c r="K5" i="44" s="1"/>
  <c r="M7" i="44"/>
  <c r="K5" i="43"/>
  <c r="H5" i="43"/>
  <c r="L5" i="43" s="1"/>
  <c r="N5" i="43" s="1"/>
  <c r="L5" i="37"/>
  <c r="J4" i="25"/>
  <c r="G4" i="25"/>
  <c r="K5" i="40"/>
  <c r="L5" i="40" s="1"/>
  <c r="J4" i="24"/>
  <c r="G33" i="19"/>
  <c r="J33" i="19"/>
  <c r="K33" i="19"/>
  <c r="L33" i="19"/>
  <c r="G34" i="19"/>
  <c r="J34" i="19"/>
  <c r="K34" i="19"/>
  <c r="L34" i="19"/>
  <c r="J4" i="42"/>
  <c r="G4" i="42"/>
  <c r="L5" i="38"/>
  <c r="L9" i="38"/>
  <c r="L11" i="38"/>
  <c r="L12" i="38"/>
  <c r="L13" i="38"/>
  <c r="L14" i="38"/>
  <c r="L15" i="38"/>
  <c r="M3" i="41"/>
  <c r="M4" i="41" s="1"/>
  <c r="M5" i="41" s="1"/>
  <c r="M6" i="41" s="1"/>
  <c r="M7" i="41" s="1"/>
  <c r="M8" i="41" s="1"/>
  <c r="M9" i="41" s="1"/>
  <c r="M10" i="41" s="1"/>
  <c r="M11" i="41" s="1"/>
  <c r="M12" i="41" s="1"/>
  <c r="M13" i="41" s="1"/>
  <c r="M14" i="41" s="1"/>
  <c r="M15" i="41" s="1"/>
  <c r="M16" i="41" s="1"/>
  <c r="M17" i="41" s="1"/>
  <c r="M18" i="41" s="1"/>
  <c r="G35" i="8"/>
  <c r="J35" i="8"/>
  <c r="K35" i="8"/>
  <c r="G4" i="12"/>
  <c r="G24" i="37"/>
  <c r="J24" i="37"/>
  <c r="K24" i="37"/>
  <c r="G25" i="37"/>
  <c r="J25" i="37"/>
  <c r="K25" i="37"/>
  <c r="G26" i="37"/>
  <c r="J26" i="37"/>
  <c r="K26" i="37"/>
  <c r="G27" i="37"/>
  <c r="J27" i="37"/>
  <c r="K27" i="37"/>
  <c r="G5" i="14"/>
  <c r="J5" i="14"/>
  <c r="K5" i="14"/>
  <c r="G6" i="14"/>
  <c r="J6" i="14"/>
  <c r="K6" i="14"/>
  <c r="L35" i="40"/>
  <c r="E40" i="23"/>
  <c r="G40" i="23" s="1"/>
  <c r="M3" i="16"/>
  <c r="L35" i="32"/>
  <c r="K34" i="32"/>
  <c r="K33" i="32"/>
  <c r="K32" i="32"/>
  <c r="K31" i="32"/>
  <c r="K30" i="32"/>
  <c r="K29" i="32"/>
  <c r="K28" i="32"/>
  <c r="K27" i="32"/>
  <c r="K26" i="32"/>
  <c r="K25" i="32"/>
  <c r="K24" i="32"/>
  <c r="K23" i="32"/>
  <c r="K22" i="32"/>
  <c r="K21" i="32"/>
  <c r="K20" i="32"/>
  <c r="K19" i="32"/>
  <c r="K18" i="32"/>
  <c r="K17" i="32"/>
  <c r="K16" i="32"/>
  <c r="K15" i="32"/>
  <c r="K14" i="32"/>
  <c r="K13" i="32"/>
  <c r="K12" i="32"/>
  <c r="K11" i="32"/>
  <c r="K10" i="32"/>
  <c r="K9" i="32"/>
  <c r="K8" i="32"/>
  <c r="K7" i="32"/>
  <c r="K6" i="32"/>
  <c r="K5" i="32"/>
  <c r="J4" i="32"/>
  <c r="G4" i="32"/>
  <c r="M3" i="32"/>
  <c r="L35" i="39"/>
  <c r="H35" i="39"/>
  <c r="M3" i="39"/>
  <c r="G18" i="39"/>
  <c r="J18" i="39"/>
  <c r="K18" i="39"/>
  <c r="G19" i="39"/>
  <c r="J19" i="39"/>
  <c r="K19" i="39"/>
  <c r="G20" i="39"/>
  <c r="J20" i="39"/>
  <c r="K20" i="39"/>
  <c r="G21" i="39"/>
  <c r="J21" i="39"/>
  <c r="K21" i="39"/>
  <c r="G22" i="39"/>
  <c r="J22" i="39"/>
  <c r="K22" i="39"/>
  <c r="G23" i="39"/>
  <c r="J23" i="39"/>
  <c r="K23" i="39"/>
  <c r="G24" i="39"/>
  <c r="J24" i="39"/>
  <c r="K24" i="39"/>
  <c r="G25" i="39"/>
  <c r="J25" i="39"/>
  <c r="K25" i="39"/>
  <c r="G26" i="39"/>
  <c r="J26" i="39"/>
  <c r="K26" i="39"/>
  <c r="G27" i="39"/>
  <c r="J27" i="39"/>
  <c r="K27" i="39"/>
  <c r="G28" i="39"/>
  <c r="J28" i="39"/>
  <c r="K28" i="39"/>
  <c r="G29" i="39"/>
  <c r="J29" i="39"/>
  <c r="K29" i="39"/>
  <c r="G30" i="39"/>
  <c r="J30" i="39"/>
  <c r="K30" i="39"/>
  <c r="G31" i="39"/>
  <c r="J31" i="39"/>
  <c r="K31" i="39"/>
  <c r="G32" i="39"/>
  <c r="J32" i="39"/>
  <c r="K32" i="39"/>
  <c r="G33" i="39"/>
  <c r="J33" i="39"/>
  <c r="K33" i="39"/>
  <c r="G34" i="39"/>
  <c r="J34" i="39"/>
  <c r="K34" i="39"/>
  <c r="G5" i="17"/>
  <c r="J5" i="17"/>
  <c r="K5" i="17"/>
  <c r="G6" i="17"/>
  <c r="J6" i="17"/>
  <c r="K6" i="17"/>
  <c r="G7" i="17"/>
  <c r="J7" i="17"/>
  <c r="K7" i="17"/>
  <c r="G8" i="17"/>
  <c r="J8" i="17"/>
  <c r="K8" i="17"/>
  <c r="G9" i="17"/>
  <c r="J9" i="17"/>
  <c r="K9" i="17"/>
  <c r="G10" i="17"/>
  <c r="J10" i="17"/>
  <c r="K10" i="17"/>
  <c r="G11" i="17"/>
  <c r="J11" i="17"/>
  <c r="K11" i="17"/>
  <c r="G12" i="17"/>
  <c r="J12" i="17"/>
  <c r="K12" i="17"/>
  <c r="G13" i="17"/>
  <c r="J13" i="17"/>
  <c r="K13" i="17"/>
  <c r="G14" i="17"/>
  <c r="J14" i="17"/>
  <c r="K14" i="17"/>
  <c r="G15" i="17"/>
  <c r="J15" i="17"/>
  <c r="K15" i="17"/>
  <c r="G16" i="17"/>
  <c r="J16" i="17"/>
  <c r="K16" i="17"/>
  <c r="G17" i="17"/>
  <c r="J17" i="17"/>
  <c r="K17" i="17"/>
  <c r="G18" i="17"/>
  <c r="J18" i="17"/>
  <c r="K18" i="17"/>
  <c r="G19" i="17"/>
  <c r="J19" i="17"/>
  <c r="K19" i="17"/>
  <c r="G20" i="17"/>
  <c r="J20" i="17"/>
  <c r="K20" i="17"/>
  <c r="G21" i="17"/>
  <c r="J21" i="17"/>
  <c r="K21" i="17"/>
  <c r="G22" i="17"/>
  <c r="J22" i="17"/>
  <c r="K22" i="17"/>
  <c r="G23" i="17"/>
  <c r="J23" i="17"/>
  <c r="K23" i="17"/>
  <c r="G24" i="17"/>
  <c r="J24" i="17"/>
  <c r="K24" i="17"/>
  <c r="G25" i="17"/>
  <c r="J25" i="17"/>
  <c r="K25" i="17"/>
  <c r="G26" i="17"/>
  <c r="J26" i="17"/>
  <c r="K26" i="17"/>
  <c r="G27" i="17"/>
  <c r="J27" i="17"/>
  <c r="K27" i="17"/>
  <c r="G28" i="17"/>
  <c r="J28" i="17"/>
  <c r="K28" i="17"/>
  <c r="G29" i="17"/>
  <c r="J29" i="17"/>
  <c r="K29" i="17"/>
  <c r="G30" i="17"/>
  <c r="J30" i="17"/>
  <c r="K30" i="17"/>
  <c r="G31" i="17"/>
  <c r="J31" i="17"/>
  <c r="K31" i="17"/>
  <c r="G32" i="17"/>
  <c r="J32" i="17"/>
  <c r="K32" i="17"/>
  <c r="G33" i="17"/>
  <c r="J33" i="17"/>
  <c r="K33" i="17"/>
  <c r="G34" i="17"/>
  <c r="J34" i="17"/>
  <c r="K34" i="17"/>
  <c r="L35" i="17"/>
  <c r="H35" i="17"/>
  <c r="E35" i="17"/>
  <c r="L35" i="18"/>
  <c r="L36" i="6"/>
  <c r="H36" i="6"/>
  <c r="E41" i="6"/>
  <c r="G5" i="6"/>
  <c r="J5" i="6"/>
  <c r="K5" i="6"/>
  <c r="G6" i="6"/>
  <c r="J6" i="6"/>
  <c r="K6" i="6"/>
  <c r="G7" i="6"/>
  <c r="J7" i="6"/>
  <c r="K7" i="6"/>
  <c r="G8" i="6"/>
  <c r="J8" i="6"/>
  <c r="K8" i="6"/>
  <c r="G9" i="6"/>
  <c r="J9" i="6"/>
  <c r="K9" i="6"/>
  <c r="G10" i="6"/>
  <c r="J10" i="6"/>
  <c r="K10" i="6"/>
  <c r="G11" i="6"/>
  <c r="J11" i="6"/>
  <c r="K11" i="6"/>
  <c r="G12" i="6"/>
  <c r="J12" i="6"/>
  <c r="K12" i="6"/>
  <c r="G13" i="6"/>
  <c r="J13" i="6"/>
  <c r="K13" i="6"/>
  <c r="G14" i="6"/>
  <c r="J14" i="6"/>
  <c r="K14" i="6"/>
  <c r="G15" i="6"/>
  <c r="J15" i="6"/>
  <c r="K15" i="6"/>
  <c r="G16" i="6"/>
  <c r="J16" i="6"/>
  <c r="K16" i="6"/>
  <c r="G17" i="6"/>
  <c r="J17" i="6"/>
  <c r="K17" i="6"/>
  <c r="G18" i="6"/>
  <c r="J18" i="6"/>
  <c r="K18" i="6"/>
  <c r="G19" i="6"/>
  <c r="J19" i="6"/>
  <c r="K19" i="6"/>
  <c r="G20" i="6"/>
  <c r="J20" i="6"/>
  <c r="K20" i="6"/>
  <c r="G21" i="6"/>
  <c r="J21" i="6"/>
  <c r="K21" i="6"/>
  <c r="G22" i="6"/>
  <c r="J22" i="6"/>
  <c r="K22" i="6"/>
  <c r="G23" i="6"/>
  <c r="J23" i="6"/>
  <c r="K23" i="6"/>
  <c r="G24" i="6"/>
  <c r="J24" i="6"/>
  <c r="K24" i="6"/>
  <c r="G25" i="6"/>
  <c r="J25" i="6"/>
  <c r="G26" i="6"/>
  <c r="J26" i="6"/>
  <c r="G27" i="6"/>
  <c r="J27" i="6"/>
  <c r="G28" i="6"/>
  <c r="J28" i="6"/>
  <c r="G29" i="6"/>
  <c r="K29" i="6" s="1"/>
  <c r="G30" i="6"/>
  <c r="J30" i="6"/>
  <c r="K30" i="6"/>
  <c r="G31" i="6"/>
  <c r="J31" i="6"/>
  <c r="K31" i="6"/>
  <c r="G32" i="6"/>
  <c r="J32" i="6"/>
  <c r="K32" i="6"/>
  <c r="G33" i="6"/>
  <c r="J33" i="6"/>
  <c r="K33" i="6"/>
  <c r="G34" i="6"/>
  <c r="J34" i="6"/>
  <c r="K34" i="6"/>
  <c r="G5" i="5"/>
  <c r="J5" i="5"/>
  <c r="G6" i="5"/>
  <c r="J6" i="5"/>
  <c r="G7" i="5"/>
  <c r="J7" i="5"/>
  <c r="G8" i="5"/>
  <c r="J8" i="5"/>
  <c r="G9" i="5"/>
  <c r="J9" i="5"/>
  <c r="G10" i="5"/>
  <c r="J10" i="5"/>
  <c r="G11" i="5"/>
  <c r="J11" i="5"/>
  <c r="G12" i="5"/>
  <c r="J12" i="5"/>
  <c r="G13" i="5"/>
  <c r="J13" i="5"/>
  <c r="G14" i="5"/>
  <c r="J14" i="5"/>
  <c r="G15" i="5"/>
  <c r="J15" i="5"/>
  <c r="G16" i="5"/>
  <c r="J16" i="5"/>
  <c r="G17" i="5"/>
  <c r="J17" i="5"/>
  <c r="G18" i="5"/>
  <c r="J18" i="5"/>
  <c r="G19" i="5"/>
  <c r="J19" i="5"/>
  <c r="G20" i="5"/>
  <c r="J20" i="5"/>
  <c r="G21" i="5"/>
  <c r="J21" i="5"/>
  <c r="G22" i="5"/>
  <c r="J22" i="5"/>
  <c r="G23" i="5"/>
  <c r="J23" i="5"/>
  <c r="G24" i="5"/>
  <c r="J24" i="5"/>
  <c r="G25" i="5"/>
  <c r="J25" i="5"/>
  <c r="G26" i="5"/>
  <c r="J26" i="5"/>
  <c r="G27" i="5"/>
  <c r="J27" i="5"/>
  <c r="G28" i="5"/>
  <c r="J28" i="5"/>
  <c r="G29" i="5"/>
  <c r="J29" i="5"/>
  <c r="G30" i="5"/>
  <c r="J30" i="5"/>
  <c r="G31" i="5"/>
  <c r="J31" i="5"/>
  <c r="G32" i="5"/>
  <c r="J32" i="5"/>
  <c r="G33" i="5"/>
  <c r="J33" i="5"/>
  <c r="G34" i="5"/>
  <c r="J34" i="5"/>
  <c r="M3" i="40"/>
  <c r="L35" i="9"/>
  <c r="J5" i="39"/>
  <c r="J6" i="39"/>
  <c r="J7" i="39"/>
  <c r="J8" i="39"/>
  <c r="J9" i="39"/>
  <c r="J10" i="39"/>
  <c r="J11" i="39"/>
  <c r="J12" i="39"/>
  <c r="J13" i="39"/>
  <c r="J14" i="39"/>
  <c r="J15" i="39"/>
  <c r="J16" i="39"/>
  <c r="J17" i="39"/>
  <c r="G5" i="39"/>
  <c r="K5" i="39" s="1"/>
  <c r="G6" i="39"/>
  <c r="K6" i="39" s="1"/>
  <c r="G7" i="39"/>
  <c r="K7" i="39" s="1"/>
  <c r="G8" i="39"/>
  <c r="K8" i="39" s="1"/>
  <c r="G9" i="39"/>
  <c r="K9" i="39" s="1"/>
  <c r="G10" i="39"/>
  <c r="K10" i="39" s="1"/>
  <c r="G11" i="39"/>
  <c r="K11" i="39" s="1"/>
  <c r="G12" i="39"/>
  <c r="K12" i="39" s="1"/>
  <c r="G13" i="39"/>
  <c r="K13" i="39" s="1"/>
  <c r="G14" i="39"/>
  <c r="K14" i="39" s="1"/>
  <c r="G15" i="39"/>
  <c r="K15" i="39" s="1"/>
  <c r="G16" i="39"/>
  <c r="K16" i="39" s="1"/>
  <c r="G17" i="39"/>
  <c r="K17" i="39" s="1"/>
  <c r="J4" i="39"/>
  <c r="J35" i="39" s="1"/>
  <c r="G4" i="39"/>
  <c r="J4" i="38"/>
  <c r="G4" i="38"/>
  <c r="M42" i="17"/>
  <c r="M3" i="12"/>
  <c r="I38" i="37"/>
  <c r="J4" i="37"/>
  <c r="G4" i="37"/>
  <c r="M3" i="37"/>
  <c r="G5" i="36"/>
  <c r="J5" i="36"/>
  <c r="K5" i="36"/>
  <c r="L5" i="36" s="1"/>
  <c r="I37" i="36"/>
  <c r="J4" i="36"/>
  <c r="G4" i="36"/>
  <c r="M3" i="36"/>
  <c r="J42" i="35"/>
  <c r="G42" i="35"/>
  <c r="K42" i="35" s="1"/>
  <c r="L42" i="35" s="1"/>
  <c r="J4" i="35"/>
  <c r="J43" i="35" s="1"/>
  <c r="G4" i="35"/>
  <c r="J45" i="34"/>
  <c r="G45" i="34"/>
  <c r="K45" i="34" s="1"/>
  <c r="L45" i="34" s="1"/>
  <c r="J44" i="34"/>
  <c r="G44" i="34"/>
  <c r="K44" i="34" s="1"/>
  <c r="L44" i="34" s="1"/>
  <c r="J43" i="34"/>
  <c r="G43" i="34"/>
  <c r="K43" i="34" s="1"/>
  <c r="L43" i="34" s="1"/>
  <c r="J4" i="34"/>
  <c r="H44" i="33"/>
  <c r="E44" i="33"/>
  <c r="J4" i="33"/>
  <c r="J44" i="33" s="1"/>
  <c r="G4" i="33"/>
  <c r="K8" i="5"/>
  <c r="J4" i="10"/>
  <c r="M3" i="9"/>
  <c r="M3" i="14"/>
  <c r="J4" i="22"/>
  <c r="G4" i="22"/>
  <c r="M3" i="10"/>
  <c r="L35" i="7"/>
  <c r="M3" i="1"/>
  <c r="J4" i="17"/>
  <c r="J35" i="17" s="1"/>
  <c r="G4" i="17"/>
  <c r="M3" i="18"/>
  <c r="J4" i="18"/>
  <c r="G4" i="18"/>
  <c r="H35" i="5"/>
  <c r="M3" i="6"/>
  <c r="J4" i="6"/>
  <c r="G4" i="6"/>
  <c r="G36" i="6" s="1"/>
  <c r="K28" i="5"/>
  <c r="K27" i="5"/>
  <c r="K25" i="5"/>
  <c r="K26" i="5"/>
  <c r="K24" i="5"/>
  <c r="E35" i="19"/>
  <c r="L35" i="12"/>
  <c r="L35" i="11"/>
  <c r="K23" i="5"/>
  <c r="K21" i="5"/>
  <c r="K22" i="5"/>
  <c r="L35" i="5"/>
  <c r="K20" i="5"/>
  <c r="K18" i="5"/>
  <c r="K19" i="5"/>
  <c r="L36" i="8"/>
  <c r="K17" i="5"/>
  <c r="K16" i="5"/>
  <c r="K15" i="5"/>
  <c r="M3" i="24"/>
  <c r="K14" i="5"/>
  <c r="K13" i="5"/>
  <c r="J4" i="26"/>
  <c r="G4" i="26"/>
  <c r="J4" i="9"/>
  <c r="J4" i="15"/>
  <c r="G4" i="15"/>
  <c r="M3" i="11"/>
  <c r="M3" i="8"/>
  <c r="M3" i="20"/>
  <c r="M3" i="22"/>
  <c r="M3" i="25"/>
  <c r="G4" i="7"/>
  <c r="M3" i="7"/>
  <c r="M3" i="23"/>
  <c r="M3" i="3"/>
  <c r="M3" i="17"/>
  <c r="J36" i="6"/>
  <c r="K4" i="6"/>
  <c r="G4" i="5"/>
  <c r="J4" i="5"/>
  <c r="K4" i="5"/>
  <c r="G4" i="24"/>
  <c r="G4" i="23"/>
  <c r="J4" i="23"/>
  <c r="J4" i="20"/>
  <c r="G4" i="20"/>
  <c r="G4" i="19"/>
  <c r="J4" i="19"/>
  <c r="K4" i="19"/>
  <c r="J4" i="16"/>
  <c r="G4" i="16"/>
  <c r="J4" i="14"/>
  <c r="G4" i="14"/>
  <c r="K4" i="14"/>
  <c r="J4" i="7"/>
  <c r="J4" i="12"/>
  <c r="K4" i="12" s="1"/>
  <c r="G4" i="11"/>
  <c r="J4" i="11"/>
  <c r="K4" i="11"/>
  <c r="G4" i="10"/>
  <c r="L35" i="10"/>
  <c r="G4" i="9"/>
  <c r="J4" i="3"/>
  <c r="G4" i="3"/>
  <c r="J4" i="8"/>
  <c r="J36" i="8" s="1"/>
  <c r="K6" i="5"/>
  <c r="K9" i="5"/>
  <c r="K10" i="5"/>
  <c r="K11" i="5"/>
  <c r="K12" i="5"/>
  <c r="G4" i="8"/>
  <c r="J4" i="2"/>
  <c r="G4" i="2"/>
  <c r="J4" i="1"/>
  <c r="G4" i="1"/>
  <c r="K4" i="1"/>
  <c r="K37" i="23" l="1"/>
  <c r="M13" i="23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L35" i="24"/>
  <c r="G35" i="24"/>
  <c r="M12" i="24"/>
  <c r="M13" i="24" s="1"/>
  <c r="M14" i="24" s="1"/>
  <c r="M15" i="24" s="1"/>
  <c r="M16" i="24" s="1"/>
  <c r="M17" i="24" s="1"/>
  <c r="M18" i="24" s="1"/>
  <c r="M19" i="24" s="1"/>
  <c r="M20" i="24" s="1"/>
  <c r="M21" i="24" s="1"/>
  <c r="M22" i="24" s="1"/>
  <c r="M23" i="24" s="1"/>
  <c r="M24" i="24" s="1"/>
  <c r="M25" i="24" s="1"/>
  <c r="M26" i="24" s="1"/>
  <c r="M27" i="24" s="1"/>
  <c r="M28" i="24" s="1"/>
  <c r="M29" i="24" s="1"/>
  <c r="M30" i="24" s="1"/>
  <c r="M31" i="24" s="1"/>
  <c r="M32" i="24" s="1"/>
  <c r="M33" i="24" s="1"/>
  <c r="K35" i="24"/>
  <c r="K31" i="50"/>
  <c r="K30" i="50"/>
  <c r="K18" i="50"/>
  <c r="K16" i="50"/>
  <c r="K8" i="50"/>
  <c r="G36" i="8"/>
  <c r="K32" i="11"/>
  <c r="G35" i="11"/>
  <c r="K35" i="11"/>
  <c r="I37" i="53"/>
  <c r="L37" i="53" s="1"/>
  <c r="L105" i="43"/>
  <c r="L104" i="43"/>
  <c r="L103" i="43"/>
  <c r="L102" i="43"/>
  <c r="L100" i="43"/>
  <c r="L99" i="43"/>
  <c r="L98" i="43"/>
  <c r="K33" i="41"/>
  <c r="K32" i="41"/>
  <c r="K31" i="14"/>
  <c r="K31" i="41"/>
  <c r="K28" i="41"/>
  <c r="K27" i="41"/>
  <c r="K26" i="41"/>
  <c r="K25" i="41"/>
  <c r="K4" i="22"/>
  <c r="K19" i="4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K35" i="22"/>
  <c r="L35" i="22" s="1"/>
  <c r="K34" i="22"/>
  <c r="L34" i="22" s="1"/>
  <c r="K33" i="22"/>
  <c r="L33" i="22" s="1"/>
  <c r="K32" i="22"/>
  <c r="L32" i="22" s="1"/>
  <c r="K31" i="22"/>
  <c r="L31" i="22" s="1"/>
  <c r="K30" i="22"/>
  <c r="L30" i="22" s="1"/>
  <c r="K29" i="22"/>
  <c r="L29" i="22" s="1"/>
  <c r="K28" i="22"/>
  <c r="K27" i="22"/>
  <c r="L27" i="22" s="1"/>
  <c r="K26" i="22"/>
  <c r="K25" i="22"/>
  <c r="K24" i="22"/>
  <c r="L24" i="22" s="1"/>
  <c r="K22" i="22"/>
  <c r="L22" i="22" s="1"/>
  <c r="K21" i="22"/>
  <c r="L21" i="22" s="1"/>
  <c r="K20" i="22"/>
  <c r="L20" i="22" s="1"/>
  <c r="K19" i="22"/>
  <c r="L19" i="22" s="1"/>
  <c r="K18" i="22"/>
  <c r="K17" i="22"/>
  <c r="L17" i="22" s="1"/>
  <c r="K16" i="22"/>
  <c r="L16" i="22" s="1"/>
  <c r="K15" i="22"/>
  <c r="K14" i="22"/>
  <c r="K13" i="22"/>
  <c r="K11" i="22"/>
  <c r="K10" i="22"/>
  <c r="L10" i="22" s="1"/>
  <c r="K9" i="22"/>
  <c r="L9" i="22" s="1"/>
  <c r="K8" i="22"/>
  <c r="L8" i="22" s="1"/>
  <c r="K7" i="22"/>
  <c r="L7" i="22" s="1"/>
  <c r="K6" i="22"/>
  <c r="L6" i="22" s="1"/>
  <c r="K5" i="22"/>
  <c r="L5" i="22" s="1"/>
  <c r="K8" i="44"/>
  <c r="M9" i="44" s="1"/>
  <c r="M10" i="44" s="1"/>
  <c r="I6" i="50"/>
  <c r="J6" i="50" s="1"/>
  <c r="M6" i="26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6" i="38"/>
  <c r="M7" i="38" s="1"/>
  <c r="M8" i="38" s="1"/>
  <c r="M9" i="38" s="1"/>
  <c r="M10" i="38" s="1"/>
  <c r="M11" i="38" s="1"/>
  <c r="M12" i="38" s="1"/>
  <c r="M13" i="38" s="1"/>
  <c r="M14" i="38" s="1"/>
  <c r="M15" i="38" s="1"/>
  <c r="M16" i="38" s="1"/>
  <c r="K4" i="51"/>
  <c r="K4" i="24"/>
  <c r="L4" i="24" s="1"/>
  <c r="M11" i="44"/>
  <c r="M12" i="44" s="1"/>
  <c r="M13" i="44" s="1"/>
  <c r="M14" i="44" s="1"/>
  <c r="M15" i="44" s="1"/>
  <c r="M16" i="44"/>
  <c r="K8" i="49"/>
  <c r="L8" i="49" s="1"/>
  <c r="K4" i="50"/>
  <c r="K4" i="47"/>
  <c r="M4" i="47"/>
  <c r="K28" i="6"/>
  <c r="K27" i="6"/>
  <c r="K26" i="6"/>
  <c r="K25" i="6"/>
  <c r="K36" i="6" s="1"/>
  <c r="G36" i="48"/>
  <c r="K4" i="48"/>
  <c r="K35" i="3"/>
  <c r="J35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25" i="47" s="1"/>
  <c r="M26" i="47" s="1"/>
  <c r="M27" i="47" s="1"/>
  <c r="M28" i="47" s="1"/>
  <c r="M29" i="47" s="1"/>
  <c r="M30" i="47" s="1"/>
  <c r="M31" i="47" s="1"/>
  <c r="M32" i="47" s="1"/>
  <c r="M33" i="47" s="1"/>
  <c r="H35" i="46"/>
  <c r="L4" i="46"/>
  <c r="M17" i="44"/>
  <c r="M18" i="44" s="1"/>
  <c r="M19" i="44" s="1"/>
  <c r="M20" i="44" s="1"/>
  <c r="M21" i="44" s="1"/>
  <c r="M22" i="44" s="1"/>
  <c r="M23" i="44" s="1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N6" i="43"/>
  <c r="N7" i="43" s="1"/>
  <c r="N8" i="43" s="1"/>
  <c r="N9" i="43" s="1"/>
  <c r="N10" i="43" s="1"/>
  <c r="N11" i="43" s="1"/>
  <c r="K4" i="42"/>
  <c r="K36" i="42" s="1"/>
  <c r="K4" i="38"/>
  <c r="M4" i="12"/>
  <c r="K4" i="18"/>
  <c r="K35" i="18" s="1"/>
  <c r="K4" i="32"/>
  <c r="K4" i="39"/>
  <c r="K4" i="17"/>
  <c r="K35" i="17" s="1"/>
  <c r="G35" i="17"/>
  <c r="M4" i="18"/>
  <c r="M4" i="6"/>
  <c r="K4" i="37"/>
  <c r="L4" i="37" s="1"/>
  <c r="K4" i="36"/>
  <c r="K4" i="35"/>
  <c r="K4" i="34"/>
  <c r="G44" i="33"/>
  <c r="K4" i="33"/>
  <c r="J35" i="5"/>
  <c r="K7" i="5"/>
  <c r="G35" i="5"/>
  <c r="L4" i="19"/>
  <c r="G35" i="19"/>
  <c r="K4" i="7"/>
  <c r="M4" i="11"/>
  <c r="M4" i="14"/>
  <c r="M5" i="14" s="1"/>
  <c r="M6" i="14" s="1"/>
  <c r="M7" i="14" s="1"/>
  <c r="M8" i="14" s="1"/>
  <c r="M9" i="14" s="1"/>
  <c r="M10" i="14" s="1"/>
  <c r="K4" i="16"/>
  <c r="K4" i="9"/>
  <c r="K4" i="10"/>
  <c r="K4" i="8"/>
  <c r="K36" i="8" s="1"/>
  <c r="K4" i="2"/>
  <c r="K4" i="26"/>
  <c r="K5" i="5"/>
  <c r="M11" i="14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5" i="11"/>
  <c r="M6" i="11" s="1"/>
  <c r="M7" i="11" s="1"/>
  <c r="M8" i="11" s="1"/>
  <c r="M9" i="11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K4" i="20"/>
  <c r="K4" i="25"/>
  <c r="M5" i="6"/>
  <c r="M6" i="6" s="1"/>
  <c r="M7" i="6" s="1"/>
  <c r="M8" i="6" s="1"/>
  <c r="K4" i="23"/>
  <c r="M4" i="17"/>
  <c r="M5" i="17" s="1"/>
  <c r="M6" i="17" s="1"/>
  <c r="M7" i="17" s="1"/>
  <c r="M8" i="17" s="1"/>
  <c r="M9" i="17" s="1"/>
  <c r="M10" i="17" s="1"/>
  <c r="M11" i="17" s="1"/>
  <c r="M12" i="17" s="1"/>
  <c r="M13" i="17" s="1"/>
  <c r="M14" i="17" s="1"/>
  <c r="M15" i="17" s="1"/>
  <c r="M16" i="17" s="1"/>
  <c r="M17" i="17" s="1"/>
  <c r="M18" i="17" s="1"/>
  <c r="M19" i="17" s="1"/>
  <c r="M20" i="17" s="1"/>
  <c r="M21" i="17" s="1"/>
  <c r="M22" i="17" s="1"/>
  <c r="M23" i="17" s="1"/>
  <c r="M24" i="17" s="1"/>
  <c r="M25" i="17" s="1"/>
  <c r="M26" i="17" s="1"/>
  <c r="M27" i="17" s="1"/>
  <c r="M28" i="17" s="1"/>
  <c r="M4" i="5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K4" i="15"/>
  <c r="K4" i="3"/>
  <c r="J36" i="50" l="1"/>
  <c r="K6" i="50"/>
  <c r="K36" i="50" s="1"/>
  <c r="M41" i="44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59" i="44" s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L4" i="22"/>
  <c r="M4" i="50"/>
  <c r="M5" i="50" s="1"/>
  <c r="M6" i="50" s="1"/>
  <c r="M7" i="50" s="1"/>
  <c r="M8" i="50" s="1"/>
  <c r="M9" i="50" s="1"/>
  <c r="M10" i="50" s="1"/>
  <c r="M11" i="50" s="1"/>
  <c r="M12" i="50" s="1"/>
  <c r="M13" i="50" s="1"/>
  <c r="M14" i="50" s="1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31" i="50" s="1"/>
  <c r="M32" i="50" s="1"/>
  <c r="M33" i="50" s="1"/>
  <c r="L4" i="51"/>
  <c r="L4" i="25"/>
  <c r="M4" i="25"/>
  <c r="M4" i="16"/>
  <c r="M5" i="16" s="1"/>
  <c r="M6" i="16" s="1"/>
  <c r="K35" i="16"/>
  <c r="K36" i="48"/>
  <c r="M4" i="48"/>
  <c r="M5" i="48" s="1"/>
  <c r="M6" i="48" s="1"/>
  <c r="M7" i="48" s="1"/>
  <c r="M8" i="48" s="1"/>
  <c r="M9" i="48" s="1"/>
  <c r="M10" i="48" s="1"/>
  <c r="M11" i="48" s="1"/>
  <c r="M12" i="48" s="1"/>
  <c r="M13" i="48" s="1"/>
  <c r="M14" i="48" s="1"/>
  <c r="M15" i="48" s="1"/>
  <c r="M16" i="48" s="1"/>
  <c r="M17" i="48" s="1"/>
  <c r="M18" i="48" s="1"/>
  <c r="M19" i="48" s="1"/>
  <c r="M20" i="48" s="1"/>
  <c r="M21" i="48" s="1"/>
  <c r="M22" i="48" s="1"/>
  <c r="M23" i="48" s="1"/>
  <c r="M24" i="48" s="1"/>
  <c r="M25" i="48" s="1"/>
  <c r="M26" i="48" s="1"/>
  <c r="M27" i="48" s="1"/>
  <c r="M28" i="48" s="1"/>
  <c r="M29" i="48" s="1"/>
  <c r="M30" i="48" s="1"/>
  <c r="M31" i="48" s="1"/>
  <c r="M32" i="48" s="1"/>
  <c r="M33" i="48" s="1"/>
  <c r="M34" i="48" s="1"/>
  <c r="M35" i="48" s="1"/>
  <c r="N12" i="43"/>
  <c r="N13" i="43" s="1"/>
  <c r="N14" i="43" s="1"/>
  <c r="N15" i="43" s="1"/>
  <c r="N16" i="43" s="1"/>
  <c r="N17" i="43" s="1"/>
  <c r="N18" i="43" s="1"/>
  <c r="N19" i="43" s="1"/>
  <c r="N20" i="43" s="1"/>
  <c r="N21" i="43" s="1"/>
  <c r="N22" i="43" s="1"/>
  <c r="N23" i="43" s="1"/>
  <c r="N24" i="43" s="1"/>
  <c r="N25" i="43" s="1"/>
  <c r="N26" i="43" s="1"/>
  <c r="N27" i="43" s="1"/>
  <c r="N28" i="43" s="1"/>
  <c r="N29" i="43" s="1"/>
  <c r="N30" i="43" s="1"/>
  <c r="N31" i="43" s="1"/>
  <c r="N32" i="43" s="1"/>
  <c r="N33" i="43" s="1"/>
  <c r="N34" i="43" s="1"/>
  <c r="N35" i="43" s="1"/>
  <c r="N36" i="43" s="1"/>
  <c r="N37" i="43" s="1"/>
  <c r="N38" i="43" s="1"/>
  <c r="N39" i="43"/>
  <c r="N40" i="43" s="1"/>
  <c r="N41" i="43" s="1"/>
  <c r="N42" i="43" s="1"/>
  <c r="N43" i="43" s="1"/>
  <c r="N44" i="43" s="1"/>
  <c r="N45" i="43" s="1"/>
  <c r="N46" i="43" s="1"/>
  <c r="N47" i="43" s="1"/>
  <c r="N48" i="43" s="1"/>
  <c r="N49" i="43" s="1"/>
  <c r="N50" i="43" s="1"/>
  <c r="N51" i="43" s="1"/>
  <c r="N52" i="43" s="1"/>
  <c r="N53" i="43" s="1"/>
  <c r="N54" i="43" s="1"/>
  <c r="N55" i="43" s="1"/>
  <c r="N56" i="43" s="1"/>
  <c r="N57" i="43" s="1"/>
  <c r="N58" i="43" s="1"/>
  <c r="N59" i="43" s="1"/>
  <c r="N60" i="43" s="1"/>
  <c r="N61" i="43" s="1"/>
  <c r="N62" i="43" s="1"/>
  <c r="N63" i="43" s="1"/>
  <c r="N64" i="43" s="1"/>
  <c r="N65" i="43" s="1"/>
  <c r="N66" i="43" s="1"/>
  <c r="N67" i="43" s="1"/>
  <c r="N68" i="43" s="1"/>
  <c r="N69" i="43" s="1"/>
  <c r="N70" i="43" s="1"/>
  <c r="N71" i="43" s="1"/>
  <c r="N72" i="43" s="1"/>
  <c r="N73" i="43" s="1"/>
  <c r="N74" i="43" s="1"/>
  <c r="N75" i="43" s="1"/>
  <c r="N76" i="43" s="1"/>
  <c r="N77" i="43" s="1"/>
  <c r="N78" i="43" s="1"/>
  <c r="N79" i="43" s="1"/>
  <c r="N80" i="43" s="1"/>
  <c r="N81" i="43" s="1"/>
  <c r="N82" i="43" s="1"/>
  <c r="N83" i="43" s="1"/>
  <c r="N84" i="43" s="1"/>
  <c r="N85" i="43" s="1"/>
  <c r="N86" i="43" s="1"/>
  <c r="N87" i="43" s="1"/>
  <c r="N88" i="43" s="1"/>
  <c r="N89" i="43" s="1"/>
  <c r="N90" i="43" s="1"/>
  <c r="N91" i="43" s="1"/>
  <c r="N92" i="43" s="1"/>
  <c r="N93" i="43" s="1"/>
  <c r="N94" i="43" s="1"/>
  <c r="N95" i="43" s="1"/>
  <c r="N96" i="43" s="1"/>
  <c r="N97" i="43" s="1"/>
  <c r="N98" i="43" s="1"/>
  <c r="N99" i="43" s="1"/>
  <c r="N100" i="43" s="1"/>
  <c r="N101" i="43" s="1"/>
  <c r="N102" i="43" s="1"/>
  <c r="N103" i="43" s="1"/>
  <c r="N104" i="43" s="1"/>
  <c r="N105" i="43" s="1"/>
  <c r="N106" i="43" s="1"/>
  <c r="L35" i="46"/>
  <c r="M4" i="46"/>
  <c r="M35" i="4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L4" i="23"/>
  <c r="L4" i="42"/>
  <c r="L36" i="42" s="1"/>
  <c r="K35" i="32"/>
  <c r="M4" i="32"/>
  <c r="M5" i="32" s="1"/>
  <c r="M6" i="32" s="1"/>
  <c r="M7" i="32" s="1"/>
  <c r="M8" i="32" s="1"/>
  <c r="M9" i="32" s="1"/>
  <c r="M10" i="32" s="1"/>
  <c r="M11" i="32" s="1"/>
  <c r="M12" i="32" s="1"/>
  <c r="M13" i="32" s="1"/>
  <c r="M14" i="32" s="1"/>
  <c r="M15" i="32" s="1"/>
  <c r="M16" i="32" s="1"/>
  <c r="M17" i="32" s="1"/>
  <c r="M18" i="32" s="1"/>
  <c r="M19" i="32" s="1"/>
  <c r="M20" i="32" s="1"/>
  <c r="M21" i="32" s="1"/>
  <c r="M22" i="32" s="1"/>
  <c r="M23" i="32" s="1"/>
  <c r="M24" i="32" s="1"/>
  <c r="M25" i="32" s="1"/>
  <c r="M26" i="32" s="1"/>
  <c r="M27" i="32" s="1"/>
  <c r="M28" i="32" s="1"/>
  <c r="M29" i="32" s="1"/>
  <c r="M30" i="32" s="1"/>
  <c r="M31" i="32" s="1"/>
  <c r="M32" i="32" s="1"/>
  <c r="M33" i="32" s="1"/>
  <c r="M34" i="32" s="1"/>
  <c r="M4" i="39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M16" i="39" s="1"/>
  <c r="M17" i="39" s="1"/>
  <c r="M18" i="39" s="1"/>
  <c r="M19" i="39" s="1"/>
  <c r="M20" i="39" s="1"/>
  <c r="M21" i="39" s="1"/>
  <c r="M22" i="39" s="1"/>
  <c r="M23" i="39" s="1"/>
  <c r="M24" i="39" s="1"/>
  <c r="M25" i="39" s="1"/>
  <c r="M26" i="39" s="1"/>
  <c r="M27" i="39" s="1"/>
  <c r="M28" i="39" s="1"/>
  <c r="M29" i="39" s="1"/>
  <c r="M30" i="39" s="1"/>
  <c r="M31" i="39" s="1"/>
  <c r="P31" i="39" s="1"/>
  <c r="M29" i="17"/>
  <c r="M30" i="17" s="1"/>
  <c r="M31" i="17" s="1"/>
  <c r="M32" i="17" s="1"/>
  <c r="M33" i="17" s="1"/>
  <c r="M34" i="17" s="1"/>
  <c r="M29" i="8"/>
  <c r="M30" i="8" s="1"/>
  <c r="M31" i="8" s="1"/>
  <c r="M32" i="8" s="1"/>
  <c r="M33" i="8" s="1"/>
  <c r="M34" i="8" s="1"/>
  <c r="M35" i="8" s="1"/>
  <c r="M25" i="5"/>
  <c r="M26" i="5" s="1"/>
  <c r="M27" i="5" s="1"/>
  <c r="M28" i="5" s="1"/>
  <c r="M29" i="5" s="1"/>
  <c r="M30" i="5" s="1"/>
  <c r="M31" i="5" s="1"/>
  <c r="M32" i="5" s="1"/>
  <c r="M33" i="5" s="1"/>
  <c r="M34" i="5" s="1"/>
  <c r="K35" i="5"/>
  <c r="M4" i="37"/>
  <c r="M5" i="37" s="1"/>
  <c r="M6" i="37" s="1"/>
  <c r="M7" i="37" s="1"/>
  <c r="M8" i="37" s="1"/>
  <c r="M9" i="37" s="1"/>
  <c r="M10" i="37" s="1"/>
  <c r="M11" i="37" s="1"/>
  <c r="M12" i="37" s="1"/>
  <c r="M13" i="37" s="1"/>
  <c r="M14" i="37" s="1"/>
  <c r="M15" i="37" s="1"/>
  <c r="M16" i="37" s="1"/>
  <c r="M17" i="37" s="1"/>
  <c r="M18" i="37" s="1"/>
  <c r="M19" i="37" s="1"/>
  <c r="M20" i="37" s="1"/>
  <c r="M21" i="37" s="1"/>
  <c r="M22" i="37" s="1"/>
  <c r="M23" i="37" s="1"/>
  <c r="M24" i="37" s="1"/>
  <c r="M25" i="37" s="1"/>
  <c r="M26" i="37" s="1"/>
  <c r="M27" i="37" s="1"/>
  <c r="M28" i="37" s="1"/>
  <c r="M29" i="37" s="1"/>
  <c r="M30" i="37" s="1"/>
  <c r="M31" i="37" s="1"/>
  <c r="M4" i="36"/>
  <c r="M5" i="36" s="1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6" i="36" s="1"/>
  <c r="M27" i="36" s="1"/>
  <c r="M28" i="36" s="1"/>
  <c r="M29" i="36" s="1"/>
  <c r="M30" i="36" s="1"/>
  <c r="M31" i="36" s="1"/>
  <c r="K43" i="35"/>
  <c r="L4" i="35"/>
  <c r="K46" i="34"/>
  <c r="L4" i="34"/>
  <c r="L46" i="34" s="1"/>
  <c r="K44" i="33"/>
  <c r="L4" i="33"/>
  <c r="L44" i="33" s="1"/>
  <c r="M9" i="6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10" i="1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5" i="25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4" i="9"/>
  <c r="M5" i="9" s="1"/>
  <c r="M6" i="9" s="1"/>
  <c r="M7" i="9" s="1"/>
  <c r="M8" i="9" s="1"/>
  <c r="M9" i="9" s="1"/>
  <c r="M10" i="9" s="1"/>
  <c r="M11" i="9" s="1"/>
  <c r="M12" i="9" s="1"/>
  <c r="M14" i="9" s="1"/>
  <c r="M15" i="9" s="1"/>
  <c r="M16" i="9" s="1"/>
  <c r="M17" i="9" s="1"/>
  <c r="M18" i="9" s="1"/>
  <c r="M19" i="9" s="1"/>
  <c r="M4" i="10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20" i="9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4" i="22"/>
  <c r="M5" i="22" s="1"/>
  <c r="M6" i="22" s="1"/>
  <c r="M7" i="22" s="1"/>
  <c r="M8" i="22" s="1"/>
  <c r="M9" i="22" s="1"/>
  <c r="M10" i="22" s="1"/>
  <c r="M11" i="22" s="1"/>
  <c r="M13" i="22" s="1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L4" i="20"/>
  <c r="M4" i="23" l="1"/>
  <c r="M5" i="23" s="1"/>
  <c r="M6" i="23" s="1"/>
  <c r="M7" i="23" s="1"/>
  <c r="M8" i="23" s="1"/>
  <c r="M9" i="23" s="1"/>
  <c r="M10" i="23" s="1"/>
  <c r="M11" i="23" s="1"/>
  <c r="N107" i="43"/>
  <c r="N108" i="43" s="1"/>
  <c r="N109" i="43" s="1"/>
  <c r="N110" i="43" s="1"/>
  <c r="N111" i="43" s="1"/>
  <c r="M14" i="22"/>
  <c r="M15" i="22" s="1"/>
  <c r="M12" i="22"/>
  <c r="M4" i="51"/>
  <c r="M5" i="51" s="1"/>
  <c r="M6" i="51" s="1"/>
  <c r="M8" i="51" s="1"/>
  <c r="M9" i="51" s="1"/>
  <c r="M10" i="51" s="1"/>
  <c r="M11" i="51" s="1"/>
  <c r="M12" i="51" s="1"/>
  <c r="M13" i="51" s="1"/>
  <c r="M14" i="51" s="1"/>
  <c r="M15" i="51" s="1"/>
  <c r="M16" i="51" s="1"/>
  <c r="M17" i="51" s="1"/>
  <c r="M18" i="51" s="1"/>
  <c r="M26" i="51" s="1"/>
  <c r="M27" i="51" s="1"/>
  <c r="M28" i="51" s="1"/>
  <c r="M29" i="51" s="1"/>
  <c r="M30" i="51" s="1"/>
  <c r="M31" i="51" s="1"/>
  <c r="M32" i="51" s="1"/>
  <c r="L43" i="35"/>
  <c r="L47" i="35" s="1"/>
  <c r="M4" i="35"/>
  <c r="M5" i="35" s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K42" i="48"/>
  <c r="M10" i="6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16" i="22"/>
  <c r="M17" i="22" s="1"/>
  <c r="M18" i="22" s="1"/>
  <c r="M19" i="22" s="1"/>
  <c r="M20" i="22" s="1"/>
  <c r="M21" i="22" s="1"/>
  <c r="M22" i="22" s="1"/>
  <c r="M4" i="20"/>
  <c r="P25" i="23" l="1"/>
  <c r="N112" i="43"/>
  <c r="N113" i="43" s="1"/>
  <c r="N114" i="43" s="1"/>
  <c r="N115" i="43" s="1"/>
  <c r="N116" i="43" s="1"/>
  <c r="N117" i="43" s="1"/>
  <c r="N118" i="43" s="1"/>
  <c r="N119" i="43" s="1"/>
  <c r="N120" i="43" s="1"/>
  <c r="N121" i="43" s="1"/>
  <c r="N122" i="43" s="1"/>
  <c r="N123" i="43" s="1"/>
  <c r="N124" i="43" s="1"/>
  <c r="N125" i="43" s="1"/>
  <c r="N126" i="43" s="1"/>
  <c r="N127" i="43" s="1"/>
  <c r="N128" i="43" s="1"/>
  <c r="N129" i="43" s="1"/>
  <c r="N130" i="43" s="1"/>
  <c r="N131" i="43" s="1"/>
  <c r="N132" i="43" s="1"/>
  <c r="N133" i="43" s="1"/>
  <c r="N134" i="43" s="1"/>
  <c r="N135" i="43" s="1"/>
  <c r="N136" i="43" s="1"/>
  <c r="N137" i="43" s="1"/>
  <c r="N138" i="43" s="1"/>
  <c r="N139" i="43" s="1"/>
  <c r="N140" i="43" s="1"/>
  <c r="N141" i="43" s="1"/>
  <c r="N142" i="43" s="1"/>
  <c r="N143" i="43" s="1"/>
  <c r="N144" i="43" s="1"/>
  <c r="N145" i="43" s="1"/>
  <c r="N146" i="43" s="1"/>
  <c r="N147" i="43" s="1"/>
  <c r="N148" i="43" s="1"/>
  <c r="N149" i="43" s="1"/>
  <c r="N150" i="43" s="1"/>
  <c r="N151" i="43" s="1"/>
  <c r="N152" i="43" s="1"/>
  <c r="N153" i="43" s="1"/>
  <c r="N154" i="43" s="1"/>
  <c r="N155" i="43" s="1"/>
  <c r="N156" i="43" s="1"/>
  <c r="N157" i="43" s="1"/>
  <c r="N158" i="43" s="1"/>
  <c r="N159" i="43" s="1"/>
  <c r="N160" i="43" s="1"/>
  <c r="N161" i="43" s="1"/>
  <c r="N162" i="43" s="1"/>
  <c r="N163" i="43" s="1"/>
  <c r="N164" i="43" s="1"/>
  <c r="N165" i="43" s="1"/>
  <c r="N166" i="43" s="1"/>
  <c r="N167" i="43" s="1"/>
  <c r="N168" i="43" s="1"/>
  <c r="N169" i="43" s="1"/>
  <c r="N170" i="43" s="1"/>
  <c r="N171" i="43" s="1"/>
  <c r="N172" i="43" s="1"/>
  <c r="N173" i="43" s="1"/>
  <c r="N174" i="43" s="1"/>
  <c r="N175" i="43" s="1"/>
  <c r="N176" i="43" s="1"/>
  <c r="N177" i="43" s="1"/>
  <c r="N178" i="43" s="1"/>
  <c r="N179" i="43" s="1"/>
  <c r="N180" i="43" s="1"/>
  <c r="N181" i="43" s="1"/>
  <c r="M24" i="22"/>
  <c r="M25" i="22" s="1"/>
  <c r="M26" i="22" s="1"/>
  <c r="M27" i="22" s="1"/>
  <c r="M29" i="22" s="1"/>
  <c r="M30" i="22" s="1"/>
  <c r="M31" i="22" s="1"/>
  <c r="M32" i="22" s="1"/>
  <c r="M33" i="22" s="1"/>
  <c r="M34" i="22" s="1"/>
  <c r="M35" i="22" s="1"/>
  <c r="M23" i="22"/>
  <c r="M5" i="20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27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H24" authorId="0" shapeId="0" xr:uid="{6BAA9C7C-6DE9-4011-9FF3-B2E037648F89}">
      <text>
        <r>
          <rPr>
            <sz val="11"/>
            <color theme="1"/>
            <rFont val="Calibri"/>
            <family val="2"/>
            <scheme val="minor"/>
          </rPr>
          <t>MIS:
Previous quantity was 13.67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tc={314004E9-1CD9-4A75-847B-598F9C9CA6A5}</author>
  </authors>
  <commentList>
    <comment ref="E11" authorId="0" shapeId="0" xr:uid="{314004E9-1CD9-4A75-847B-598F9C9CA6A5}">
      <text>
        <t>[Threaded comment]
Your version of Excel allows you to read this threaded comment; however, any edits to it will get removed if the file is opened in a newer version of Excel. Learn more: https://go.microsoft.com/fwlink/?linkid=870924
Comment:
    fuel send to Hosadurga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tc={D76A3085-B4A7-4189-80EE-3EABD4A10957}</author>
    <author>tc={7B09E8D3-6C5F-4A29-812A-098C8FB0FC71}</author>
  </authors>
  <commentList>
    <comment ref="L4" authorId="0" shapeId="0" xr:uid="{D76A3085-B4A7-4189-80EE-3EABD4A10957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discount</t>
      </text>
    </comment>
    <comment ref="L20" authorId="1" shapeId="0" xr:uid="{7B09E8D3-6C5F-4A29-812A-098C8FB0FC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Discount amount </t>
      </text>
    </comment>
  </commentList>
</comments>
</file>

<file path=xl/sharedStrings.xml><?xml version="1.0" encoding="utf-8"?>
<sst xmlns="http://schemas.openxmlformats.org/spreadsheetml/2006/main" count="1999" uniqueCount="264">
  <si>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</si>
  <si>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</si>
  <si>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</si>
  <si>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</si>
  <si>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</si>
  <si>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</si>
  <si>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</si>
  <si>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</si>
  <si>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</si>
  <si>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</si>
  <si>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</si>
  <si>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</si>
  <si>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>Sri Ramakotaiah Fuel Point</t>
  </si>
  <si>
    <t>Khammam-2</t>
  </si>
  <si>
    <t>Jayasai union bunk</t>
  </si>
  <si>
    <t>Khammam-3</t>
  </si>
  <si>
    <t xml:space="preserve">Divya laxmi ganapathi </t>
  </si>
  <si>
    <t>Jadcherla-1</t>
  </si>
  <si>
    <t>Sai Baba Fuel Station</t>
  </si>
  <si>
    <t>Jadcherla-2</t>
  </si>
  <si>
    <t xml:space="preserve">Uttara Enterprises </t>
  </si>
  <si>
    <t>Sangareddy</t>
  </si>
  <si>
    <t>YG Gudda</t>
  </si>
  <si>
    <t>Pallavi Petrolium</t>
  </si>
  <si>
    <t>Hosadurga-1</t>
  </si>
  <si>
    <t>Merchant Petroliums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</si>
  <si>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</si>
  <si>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</si>
  <si>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</si>
  <si>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</si>
  <si>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</si>
  <si>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</si>
  <si>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</si>
  <si>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</si>
  <si>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</si>
  <si>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Sri Vishnu Baba Petroleum</t>
  </si>
  <si>
    <t>Khanapur(PKG-3)</t>
  </si>
  <si>
    <t>J K Makavi</t>
  </si>
  <si>
    <t>Munavalli(PKG-3)</t>
  </si>
  <si>
    <t>Shahapur Petroleum</t>
  </si>
  <si>
    <t>Borgaon(PKG-3)</t>
  </si>
  <si>
    <t>Aadisagar Petrolium</t>
  </si>
  <si>
    <t>Ugar,Kudichi(PKG-3)</t>
  </si>
  <si>
    <t>Shiri Bhrhmanath Petrolium</t>
  </si>
  <si>
    <t>Kabbur(PKG-3)</t>
  </si>
  <si>
    <t>Shri Jai Hanuman Petrolium</t>
  </si>
  <si>
    <t>Kumta (PKG-1)</t>
  </si>
  <si>
    <t>Krishma fuel station</t>
  </si>
  <si>
    <t>Jalgaon</t>
  </si>
  <si>
    <t>Sri Sai Petrol Pump</t>
  </si>
  <si>
    <t>MKBD</t>
  </si>
  <si>
    <t>Shree Sai Samarth Petroleum</t>
  </si>
  <si>
    <t>Haveri</t>
  </si>
  <si>
    <t>Shivalingeshwar Petroleum</t>
  </si>
  <si>
    <t>Guttal</t>
  </si>
  <si>
    <t>Taware filling station</t>
  </si>
  <si>
    <t>Rattihali</t>
  </si>
  <si>
    <t xml:space="preserve">  Shree Siri Gowari petroliam</t>
  </si>
  <si>
    <t>Gajendragada</t>
  </si>
  <si>
    <t>Vanasri Petrol Pump</t>
  </si>
  <si>
    <t>Ghattaprabha(PKG-3)</t>
  </si>
  <si>
    <t>Vivek Petrol Pump</t>
  </si>
  <si>
    <t xml:space="preserve"> Gokak(PKG-3)</t>
  </si>
  <si>
    <t>AJ Petrolinks</t>
  </si>
  <si>
    <t>Ghattaprabha-2(PKG-3)</t>
  </si>
  <si>
    <t>Shri Deshpande Petrolum</t>
  </si>
  <si>
    <t>Ankalgi(PKG-3)</t>
  </si>
  <si>
    <t>Nirwani Petroleums</t>
  </si>
  <si>
    <t>Talikote(PKG-1)</t>
  </si>
  <si>
    <t>Raykar Oil Agencies</t>
  </si>
  <si>
    <t>Chadchan(PKG-1)</t>
  </si>
  <si>
    <t>Khavekar Petrolium</t>
  </si>
  <si>
    <t>Muddebihal(PKG-1)</t>
  </si>
  <si>
    <t xml:space="preserve"> Bhosle Service Station</t>
  </si>
  <si>
    <t>Almela(PKG-1)</t>
  </si>
  <si>
    <t>Shiddeshwar Petroleums</t>
  </si>
  <si>
    <t>Srirangapatna</t>
  </si>
  <si>
    <t>Sri Chakra Fuel Station</t>
  </si>
  <si>
    <t>Nalatwad(PKG-1)</t>
  </si>
  <si>
    <t>Shri Pawad Basaweshwar Petroleums</t>
  </si>
  <si>
    <t>Total</t>
  </si>
  <si>
    <t>S.No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</si>
  <si>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</si>
  <si>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</si>
  <si>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</si>
  <si>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</si>
  <si>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</si>
  <si>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</si>
  <si>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</si>
  <si>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</si>
  <si>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</si>
  <si>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</si>
  <si>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</si>
  <si>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</si>
  <si>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Using IOCL Card  420 Ltr</t>
  </si>
  <si>
    <t>Using IOCL Card  262 Ltr</t>
  </si>
  <si>
    <t>Using IOCL Card  540Ltr</t>
  </si>
  <si>
    <t>As on Date</t>
  </si>
  <si>
    <t> </t>
  </si>
  <si>
    <t>As 0n Date</t>
  </si>
  <si>
    <t>.</t>
  </si>
  <si>
    <t>15 Leaters updated later(8th April)</t>
  </si>
  <si>
    <t>Changed</t>
  </si>
  <si>
    <t>Cash Purchase</t>
  </si>
  <si>
    <t>Name of the bunk</t>
  </si>
  <si>
    <t>Shree Lakshmi Ganapathi Filling Station</t>
  </si>
  <si>
    <t>Sreenithya Petroleum</t>
  </si>
  <si>
    <t>Date of payment</t>
  </si>
  <si>
    <t>Ind no/Bill No</t>
  </si>
  <si>
    <t>raja bhakshi</t>
  </si>
  <si>
    <t>Talikote</t>
  </si>
  <si>
    <t>01.04.2025</t>
  </si>
  <si>
    <t>IOCL Card</t>
  </si>
  <si>
    <t>03.04.2025</t>
  </si>
  <si>
    <t>04.04.2025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</si>
  <si>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</si>
  <si>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</si>
  <si>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</si>
  <si>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</si>
  <si>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</si>
  <si>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</si>
  <si>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</si>
  <si>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</si>
  <si>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</si>
  <si>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</si>
  <si>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</si>
  <si>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</si>
  <si>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20.04.2025</t>
  </si>
  <si>
    <t>22.04.2025</t>
  </si>
  <si>
    <t>23.04.2025</t>
  </si>
  <si>
    <t>24.04.2025</t>
  </si>
  <si>
    <t>25.04.2025</t>
  </si>
  <si>
    <t>26.04.2025</t>
  </si>
  <si>
    <t>30.04.2025</t>
  </si>
  <si>
    <t>G.P.PORWAL</t>
  </si>
  <si>
    <t>NA</t>
  </si>
  <si>
    <t>AS On Date</t>
  </si>
  <si>
    <t>Manikeri Petroleums</t>
  </si>
  <si>
    <t>Cash Transfer</t>
  </si>
  <si>
    <t xml:space="preserve"> </t>
  </si>
  <si>
    <t>1562/1563</t>
  </si>
  <si>
    <t>IOCL Card Ledger</t>
  </si>
  <si>
    <t>Petrol Bunk Name</t>
  </si>
  <si>
    <t>Location</t>
  </si>
  <si>
    <t>Card No</t>
  </si>
  <si>
    <t>Recharge Amount</t>
  </si>
  <si>
    <t>Redeem</t>
  </si>
  <si>
    <t>SIDDESWARA PETROLEUMS</t>
  </si>
  <si>
    <t>SINDGI</t>
  </si>
  <si>
    <t>RAYKAR OIL AGENCIES</t>
  </si>
  <si>
    <t>2.04.2025</t>
  </si>
  <si>
    <t>KRISHNA FUEL STATION</t>
  </si>
  <si>
    <t>KUMTA</t>
  </si>
  <si>
    <t>7126022478060039</t>
  </si>
  <si>
    <t>NIRWANI PETROLEUMS</t>
  </si>
  <si>
    <t>Ankalgi</t>
  </si>
  <si>
    <t>7126022478060047</t>
  </si>
  <si>
    <t>SRI KRISHNA SERVO CENTRE</t>
  </si>
  <si>
    <t>JALGAON CITY</t>
  </si>
  <si>
    <t>7126022478060062</t>
  </si>
  <si>
    <t>SREE VISHNUBABA PETROLEUM</t>
  </si>
  <si>
    <t>NAGAREMGERE</t>
  </si>
  <si>
    <t>7126022478060146</t>
  </si>
  <si>
    <t>7126022478060237</t>
  </si>
  <si>
    <t>TAWARE FILLING STATION</t>
  </si>
  <si>
    <t>Guital</t>
  </si>
  <si>
    <t>7126022478060278</t>
  </si>
  <si>
    <t>7126022478060252</t>
  </si>
  <si>
    <t>SHREE SIRI GOWRI PETROLEUM</t>
  </si>
  <si>
    <t>MASUR</t>
  </si>
  <si>
    <t>7126022478060286</t>
  </si>
  <si>
    <t>04.03.2025</t>
  </si>
  <si>
    <t>SRI RAMANJANEYA SERVICE STN</t>
  </si>
  <si>
    <t xml:space="preserve">NITTUR CROSS  </t>
  </si>
  <si>
    <t>7126022478060120</t>
  </si>
  <si>
    <t>SHRI JAI HANUMAN PETROLEUMS</t>
  </si>
  <si>
    <t>KABBUR</t>
  </si>
  <si>
    <t>7126022478060195</t>
  </si>
  <si>
    <t>05.04.2025</t>
  </si>
  <si>
    <t>SHRI SAI PETROL PUMP</t>
  </si>
  <si>
    <t>MALKAPUR CITY</t>
  </si>
  <si>
    <t>BHOSLE SERVICE STATION</t>
  </si>
  <si>
    <t>Muddebihal</t>
  </si>
  <si>
    <t>7126022478060245</t>
  </si>
  <si>
    <t>SHRI PAWAD BASAWESHWAR PETROLEUMS</t>
  </si>
  <si>
    <t>NALATWAD</t>
  </si>
  <si>
    <t>7161000000114843</t>
  </si>
  <si>
    <t>BAJAJ PETROLEUM</t>
  </si>
  <si>
    <t>LALING</t>
  </si>
  <si>
    <t>ANUPAMA FUEL STATION</t>
  </si>
  <si>
    <t>Srirangapatana</t>
  </si>
  <si>
    <t>7126022478060104</t>
  </si>
  <si>
    <t>JAYARAM FUEL STATION</t>
  </si>
  <si>
    <t>MYSORE</t>
  </si>
  <si>
    <t>7126022478060179</t>
  </si>
  <si>
    <t>PALLAVI PETROLEUM</t>
  </si>
  <si>
    <t>Ramanagaram</t>
  </si>
  <si>
    <t>7126022478060138</t>
  </si>
  <si>
    <t>Hiriyur</t>
  </si>
  <si>
    <t>7126022478060161</t>
  </si>
  <si>
    <t>MERCHANT PETROLEUMS</t>
  </si>
  <si>
    <t>HOSADURGA</t>
  </si>
  <si>
    <t>7126022478060187</t>
  </si>
  <si>
    <t xml:space="preserve">NITTUR CROSS    </t>
  </si>
  <si>
    <t>SHIVALINGESHWAR PETROLEUM</t>
  </si>
  <si>
    <t>Guttal Road</t>
  </si>
  <si>
    <t>7126022478060096</t>
  </si>
  <si>
    <t>Minerva Service Station</t>
  </si>
  <si>
    <t>Honnalli</t>
  </si>
  <si>
    <t>SRI CHAKRA FUEL STATION</t>
  </si>
  <si>
    <t>18.04.2025</t>
  </si>
  <si>
    <t>SMB AUTO FUEL</t>
  </si>
  <si>
    <t>MAHATMA NAGAR</t>
  </si>
  <si>
    <t>19.04.2025</t>
  </si>
  <si>
    <t>21.04.2025</t>
  </si>
  <si>
    <t xml:space="preserve">S R PATIL </t>
  </si>
  <si>
    <t>Sankeshwar</t>
  </si>
  <si>
    <t>SHREE SAUNDATTI RENUKA DEVI</t>
  </si>
  <si>
    <t>SAUNDATTI</t>
  </si>
  <si>
    <t>7126022478060260</t>
  </si>
  <si>
    <t>SHREE LAKSHMI GANAPATHI FILLING STATION</t>
  </si>
  <si>
    <t>Pulkal Mandal</t>
  </si>
  <si>
    <t>7161000000114868</t>
  </si>
  <si>
    <t>27.04.2025</t>
  </si>
  <si>
    <t>SHREE SIDDHIVINAYAKA PETROLEUM</t>
  </si>
  <si>
    <t>28.04.2025</t>
  </si>
  <si>
    <t>Shree Veerabhadreshwara Service station</t>
  </si>
  <si>
    <t>Malebennur</t>
  </si>
  <si>
    <t>29.04.2025</t>
  </si>
  <si>
    <t>BPCL Card Ledger</t>
  </si>
  <si>
    <t>SHAHAPUR PETROLEUM</t>
  </si>
  <si>
    <t>FC8000207648</t>
  </si>
  <si>
    <t>02.04.2025</t>
  </si>
  <si>
    <t>R.T.PATIL PETROLEUM</t>
  </si>
  <si>
    <t>BHADRADRI POLICE WELFARE SER.</t>
  </si>
  <si>
    <t>FC8000207658</t>
  </si>
  <si>
    <t xml:space="preserve">V.V.VARDE BHARAT PETROLEUM </t>
  </si>
  <si>
    <t>FC8000207649</t>
  </si>
  <si>
    <t xml:space="preserve">MAHMOOD FILLING STATION </t>
  </si>
  <si>
    <t>FC3450563999</t>
  </si>
  <si>
    <t xml:space="preserve">SANDHYA FUEL STATION </t>
  </si>
  <si>
    <t xml:space="preserve">R.T.PATIL PETROLEUM </t>
  </si>
  <si>
    <t>MAHMOOD FILLING STATION</t>
  </si>
  <si>
    <t xml:space="preserve"> FC3450563999</t>
  </si>
  <si>
    <t>AL MEHBOOB PETROLEUM</t>
  </si>
  <si>
    <t>FC8000207650</t>
  </si>
  <si>
    <t xml:space="preserve">AL MEHBOOB PETROLEUM BHARAT  </t>
  </si>
  <si>
    <t xml:space="preserve">SHRI DESHPANDE PETROLEUM  </t>
  </si>
  <si>
    <t>SANDHYA FUEL STATION</t>
  </si>
  <si>
    <t xml:space="preserve">AL MEHBOOB PETROLEUM </t>
  </si>
  <si>
    <t xml:space="preserve">YESHWANTH FILLING </t>
  </si>
  <si>
    <t>SHREE SAI SAMARTH PETROLEUM</t>
  </si>
  <si>
    <t>FC0323247261</t>
  </si>
  <si>
    <t xml:space="preserve">SANDHYA FUEL STATION BHARAT  </t>
  </si>
  <si>
    <t xml:space="preserve">SAI PRIYA FILLING STATION   </t>
  </si>
  <si>
    <t>PREMIUM FUELS BHARAT</t>
  </si>
  <si>
    <t xml:space="preserve"> FC3450676134</t>
  </si>
  <si>
    <t xml:space="preserve"> FC8000207648</t>
  </si>
  <si>
    <t xml:space="preserve">MAHMOOD FILLING STATION  </t>
  </si>
  <si>
    <t>HPCL Card Ledger</t>
  </si>
  <si>
    <t>DIVYA LAXMI GANAPATHI AUTO SERVICES</t>
  </si>
  <si>
    <t>Lakshmi Manikanta Filling Station</t>
  </si>
  <si>
    <t xml:space="preserve">Balaji Service Station </t>
  </si>
  <si>
    <t>Bhavani Filling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</si>
</sst>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[$-409]d\-mmm\-yyyy;@"/>
  </numFmts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charset val="134"/>
    </font>
    <font>
      <b/>
      <sz val="11"/>
      <color rgb="FF000000"/>
      <name val="Calibri"/>
    </font>
    <font>
      <sz val="11"/>
      <color theme="1"/>
      <name val="Calibri"/>
      <family val="2"/>
    </font>
    <font>
      <sz val="11"/>
      <color rgb="FF242424"/>
      <name val="Aptos Narrow"/>
      <charset val="1"/>
    </font>
    <font>
      <sz val="8"/>
      <color rgb="FF212529"/>
      <name val="Roboto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59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4" fillId="0" borderId="0" xfId="0" applyFont="1"/>
    <xf numFmtId="0" fontId="4" fillId="0" borderId="7" xfId="0" applyFont="1" applyBorder="1"/>
    <xf numFmtId="164" fontId="4" fillId="0" borderId="2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2" xfId="1" applyFont="1" applyBorder="1" applyAlignment="1">
      <alignment vertical="center"/>
    </xf>
    <xf numFmtId="164" fontId="4" fillId="0" borderId="8" xfId="1" applyFont="1" applyBorder="1" applyAlignment="1">
      <alignment vertical="center"/>
    </xf>
    <xf numFmtId="0" fontId="6" fillId="0" borderId="9" xfId="0" applyFont="1" applyBorder="1" applyAlignment="1">
      <alignment horizontal="center"/>
    </xf>
    <xf numFmtId="164" fontId="4" fillId="0" borderId="2" xfId="1" applyFont="1" applyBorder="1" applyAlignment="1">
      <alignment horizontal="center" vertical="top"/>
    </xf>
    <xf numFmtId="164" fontId="4" fillId="0" borderId="8" xfId="1" applyFont="1" applyBorder="1" applyAlignment="1">
      <alignment horizontal="center" vertical="top"/>
    </xf>
    <xf numFmtId="164" fontId="4" fillId="0" borderId="6" xfId="1" applyFont="1" applyBorder="1" applyAlignment="1">
      <alignment horizontal="center" vertical="center"/>
    </xf>
    <xf numFmtId="0" fontId="0" fillId="0" borderId="7" xfId="0" applyBorder="1"/>
    <xf numFmtId="0" fontId="4" fillId="0" borderId="7" xfId="0" applyFont="1" applyBorder="1" applyAlignment="1">
      <alignment horizontal="center" vertical="center" wrapText="1"/>
    </xf>
    <xf numFmtId="164" fontId="4" fillId="0" borderId="16" xfId="1" applyFont="1" applyBorder="1" applyAlignment="1">
      <alignment horizontal="center" vertical="center"/>
    </xf>
    <xf numFmtId="164" fontId="4" fillId="0" borderId="9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2" fontId="0" fillId="0" borderId="0" xfId="0" applyNumberFormat="1"/>
    <xf numFmtId="0" fontId="8" fillId="0" borderId="2" xfId="3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2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4" fontId="11" fillId="0" borderId="7" xfId="1" applyFont="1" applyFill="1" applyBorder="1" applyAlignment="1">
      <alignment horizontal="center" vertical="center"/>
    </xf>
    <xf numFmtId="164" fontId="11" fillId="0" borderId="7" xfId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1" applyFont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 wrapText="1"/>
    </xf>
    <xf numFmtId="2" fontId="13" fillId="0" borderId="7" xfId="0" applyNumberFormat="1" applyFont="1" applyBorder="1" applyAlignment="1">
      <alignment horizontal="right" vertical="center"/>
    </xf>
    <xf numFmtId="2" fontId="0" fillId="0" borderId="7" xfId="0" applyNumberFormat="1" applyBorder="1"/>
    <xf numFmtId="164" fontId="4" fillId="0" borderId="7" xfId="1" applyFont="1" applyBorder="1" applyAlignment="1">
      <alignment horizontal="left" vertical="top"/>
    </xf>
    <xf numFmtId="164" fontId="4" fillId="0" borderId="7" xfId="1" applyFont="1" applyBorder="1" applyAlignment="1">
      <alignment vertical="center"/>
    </xf>
    <xf numFmtId="2" fontId="4" fillId="0" borderId="7" xfId="0" applyNumberFormat="1" applyFont="1" applyBorder="1" applyAlignment="1">
      <alignment horizontal="right" vertical="center" wrapText="1"/>
    </xf>
    <xf numFmtId="164" fontId="10" fillId="4" borderId="10" xfId="1" applyFont="1" applyFill="1" applyBorder="1" applyAlignment="1">
      <alignment horizontal="center" vertical="center"/>
    </xf>
    <xf numFmtId="164" fontId="10" fillId="4" borderId="11" xfId="1" applyFont="1" applyFill="1" applyBorder="1" applyAlignment="1">
      <alignment horizontal="center" vertical="center"/>
    </xf>
    <xf numFmtId="2" fontId="10" fillId="4" borderId="7" xfId="0" applyNumberFormat="1" applyFont="1" applyFill="1" applyBorder="1" applyAlignment="1">
      <alignment horizontal="center" vertical="center"/>
    </xf>
    <xf numFmtId="164" fontId="10" fillId="4" borderId="7" xfId="1" applyFont="1" applyFill="1" applyBorder="1" applyAlignment="1">
      <alignment horizontal="center" vertical="center"/>
    </xf>
    <xf numFmtId="0" fontId="6" fillId="0" borderId="7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43" fontId="4" fillId="0" borderId="7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43" fontId="4" fillId="0" borderId="0" xfId="0" applyNumberFormat="1" applyFont="1" applyAlignment="1">
      <alignment horizontal="center"/>
    </xf>
    <xf numFmtId="0" fontId="7" fillId="0" borderId="7" xfId="0" applyFont="1" applyBorder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4" fontId="14" fillId="0" borderId="7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43" fontId="15" fillId="3" borderId="2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43" fontId="15" fillId="3" borderId="2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1" fillId="0" borderId="0" xfId="0" applyFont="1"/>
    <xf numFmtId="2" fontId="5" fillId="4" borderId="7" xfId="0" applyNumberFormat="1" applyFont="1" applyFill="1" applyBorder="1" applyAlignment="1">
      <alignment horizontal="center" vertical="center"/>
    </xf>
    <xf numFmtId="164" fontId="5" fillId="4" borderId="7" xfId="1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166" fontId="4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0" fontId="4" fillId="0" borderId="7" xfId="0" applyFont="1" applyBorder="1" applyAlignment="1">
      <alignment vertical="center"/>
    </xf>
    <xf numFmtId="164" fontId="4" fillId="0" borderId="7" xfId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164" fontId="4" fillId="4" borderId="7" xfId="1" applyFont="1" applyFill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64" fontId="4" fillId="0" borderId="7" xfId="1" applyFont="1" applyBorder="1" applyAlignment="1">
      <alignment horizontal="center" indent="1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43" fontId="15" fillId="3" borderId="7" xfId="0" applyNumberFormat="1" applyFont="1" applyFill="1" applyBorder="1" applyAlignment="1">
      <alignment horizontal="center" vertical="center" wrapText="1"/>
    </xf>
    <xf numFmtId="43" fontId="15" fillId="3" borderId="7" xfId="0" applyNumberFormat="1" applyFont="1" applyFill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2" fontId="15" fillId="3" borderId="7" xfId="0" applyNumberFormat="1" applyFont="1" applyFill="1" applyBorder="1" applyAlignment="1">
      <alignment horizontal="center" vertical="center" wrapText="1"/>
    </xf>
    <xf numFmtId="2" fontId="15" fillId="3" borderId="7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6" xfId="0" applyFont="1" applyBorder="1"/>
    <xf numFmtId="0" fontId="0" fillId="0" borderId="17" xfId="0" applyBorder="1"/>
    <xf numFmtId="0" fontId="19" fillId="0" borderId="7" xfId="0" applyFont="1" applyBorder="1"/>
    <xf numFmtId="2" fontId="19" fillId="0" borderId="7" xfId="0" applyNumberFormat="1" applyFont="1" applyBorder="1"/>
    <xf numFmtId="0" fontId="0" fillId="0" borderId="14" xfId="0" applyBorder="1"/>
    <xf numFmtId="0" fontId="15" fillId="3" borderId="1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12" fillId="3" borderId="7" xfId="0" applyFont="1" applyFill="1" applyBorder="1" applyAlignment="1">
      <alignment horizontal="center" vertical="center"/>
    </xf>
    <xf numFmtId="43" fontId="4" fillId="0" borderId="7" xfId="0" applyNumberFormat="1" applyFont="1" applyBorder="1" applyAlignment="1">
      <alignment horizontal="center" vertical="center" wrapText="1"/>
    </xf>
    <xf numFmtId="0" fontId="20" fillId="0" borderId="7" xfId="0" applyFont="1" applyBorder="1"/>
    <xf numFmtId="164" fontId="10" fillId="4" borderId="22" xfId="1" applyFont="1" applyFill="1" applyBorder="1" applyAlignment="1">
      <alignment horizontal="center" vertical="center"/>
    </xf>
    <xf numFmtId="164" fontId="0" fillId="0" borderId="7" xfId="0" applyNumberFormat="1" applyBorder="1"/>
    <xf numFmtId="0" fontId="12" fillId="3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43" fontId="4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64" fontId="4" fillId="0" borderId="23" xfId="1" applyFont="1" applyFill="1" applyBorder="1" applyAlignment="1">
      <alignment horizontal="center" vertical="center"/>
    </xf>
    <xf numFmtId="43" fontId="12" fillId="3" borderId="21" xfId="0" applyNumberFormat="1" applyFont="1" applyFill="1" applyBorder="1" applyAlignment="1">
      <alignment horizontal="center" vertical="center" wrapText="1"/>
    </xf>
    <xf numFmtId="43" fontId="12" fillId="3" borderId="8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43" fontId="12" fillId="3" borderId="8" xfId="0" applyNumberFormat="1" applyFont="1" applyFill="1" applyBorder="1" applyAlignment="1">
      <alignment horizontal="center" vertical="center"/>
    </xf>
    <xf numFmtId="43" fontId="12" fillId="3" borderId="21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4" fillId="0" borderId="9" xfId="3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" fontId="7" fillId="0" borderId="7" xfId="0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4" fontId="7" fillId="0" borderId="16" xfId="0" applyNumberFormat="1" applyFont="1" applyBorder="1" applyAlignment="1">
      <alignment horizontal="center"/>
    </xf>
    <xf numFmtId="0" fontId="15" fillId="3" borderId="17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 wrapText="1"/>
    </xf>
    <xf numFmtId="43" fontId="15" fillId="3" borderId="17" xfId="0" applyNumberFormat="1" applyFont="1" applyFill="1" applyBorder="1" applyAlignment="1">
      <alignment horizontal="center" vertical="center" wrapText="1"/>
    </xf>
    <xf numFmtId="43" fontId="15" fillId="3" borderId="17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164" fontId="4" fillId="0" borderId="16" xfId="0" applyNumberFormat="1" applyFont="1" applyBorder="1" applyAlignment="1">
      <alignment vertical="center"/>
    </xf>
    <xf numFmtId="164" fontId="4" fillId="0" borderId="16" xfId="1" applyFont="1" applyBorder="1" applyAlignment="1">
      <alignment horizontal="center" vertical="top"/>
    </xf>
    <xf numFmtId="4" fontId="4" fillId="0" borderId="7" xfId="0" applyNumberFormat="1" applyFont="1" applyBorder="1" applyAlignment="1">
      <alignment horizontal="right"/>
    </xf>
    <xf numFmtId="164" fontId="4" fillId="0" borderId="7" xfId="1" applyFont="1" applyBorder="1" applyAlignment="1">
      <alignment horizontal="right" vertical="top"/>
    </xf>
    <xf numFmtId="164" fontId="10" fillId="0" borderId="7" xfId="1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164" fontId="0" fillId="0" borderId="0" xfId="0" applyNumberFormat="1"/>
    <xf numFmtId="43" fontId="0" fillId="0" borderId="7" xfId="0" applyNumberFormat="1" applyBorder="1"/>
    <xf numFmtId="164" fontId="22" fillId="0" borderId="27" xfId="1" applyFont="1" applyBorder="1" applyAlignment="1">
      <alignment horizontal="center"/>
    </xf>
    <xf numFmtId="0" fontId="0" fillId="0" borderId="16" xfId="0" applyBorder="1"/>
    <xf numFmtId="43" fontId="15" fillId="3" borderId="8" xfId="0" applyNumberFormat="1" applyFont="1" applyFill="1" applyBorder="1" applyAlignment="1">
      <alignment horizontal="center" vertical="center" wrapText="1"/>
    </xf>
    <xf numFmtId="43" fontId="15" fillId="3" borderId="8" xfId="0" applyNumberFormat="1" applyFont="1" applyFill="1" applyBorder="1" applyAlignment="1">
      <alignment horizontal="center" vertical="center"/>
    </xf>
    <xf numFmtId="164" fontId="4" fillId="0" borderId="12" xfId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4" fillId="0" borderId="9" xfId="1" applyFont="1" applyBorder="1" applyAlignment="1">
      <alignment horizontal="center" vertical="top"/>
    </xf>
    <xf numFmtId="164" fontId="4" fillId="0" borderId="9" xfId="1" applyFont="1" applyBorder="1" applyAlignment="1">
      <alignment vertical="center"/>
    </xf>
    <xf numFmtId="43" fontId="15" fillId="3" borderId="21" xfId="0" applyNumberFormat="1" applyFont="1" applyFill="1" applyBorder="1" applyAlignment="1">
      <alignment horizontal="center" vertical="center"/>
    </xf>
    <xf numFmtId="4" fontId="21" fillId="0" borderId="7" xfId="0" applyNumberFormat="1" applyFont="1" applyBorder="1"/>
    <xf numFmtId="43" fontId="4" fillId="0" borderId="16" xfId="0" applyNumberFormat="1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43" fontId="4" fillId="0" borderId="16" xfId="0" applyNumberFormat="1" applyFont="1" applyBorder="1" applyAlignment="1">
      <alignment horizontal="center" vertical="center" wrapText="1"/>
    </xf>
    <xf numFmtId="164" fontId="0" fillId="0" borderId="15" xfId="0" applyNumberFormat="1" applyBorder="1"/>
    <xf numFmtId="0" fontId="12" fillId="3" borderId="1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43" fontId="4" fillId="2" borderId="7" xfId="0" applyNumberFormat="1" applyFont="1" applyFill="1" applyBorder="1" applyAlignment="1">
      <alignment horizontal="center" vertical="center" wrapText="1"/>
    </xf>
    <xf numFmtId="43" fontId="4" fillId="2" borderId="7" xfId="0" applyNumberFormat="1" applyFont="1" applyFill="1" applyBorder="1" applyAlignment="1">
      <alignment horizontal="center" vertical="center"/>
    </xf>
    <xf numFmtId="43" fontId="6" fillId="2" borderId="7" xfId="0" applyNumberFormat="1" applyFont="1" applyFill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166" fontId="4" fillId="0" borderId="16" xfId="0" applyNumberFormat="1" applyFont="1" applyBorder="1" applyAlignment="1">
      <alignment horizontal="center"/>
    </xf>
    <xf numFmtId="2" fontId="4" fillId="0" borderId="16" xfId="0" applyNumberFormat="1" applyFont="1" applyBorder="1"/>
    <xf numFmtId="0" fontId="15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43" fontId="15" fillId="2" borderId="7" xfId="0" applyNumberFormat="1" applyFont="1" applyFill="1" applyBorder="1" applyAlignment="1">
      <alignment horizontal="center" vertical="center" wrapText="1"/>
    </xf>
    <xf numFmtId="43" fontId="15" fillId="2" borderId="7" xfId="0" applyNumberFormat="1" applyFont="1" applyFill="1" applyBorder="1" applyAlignment="1">
      <alignment horizontal="center" vertical="center"/>
    </xf>
    <xf numFmtId="164" fontId="4" fillId="0" borderId="7" xfId="0" applyNumberFormat="1" applyFont="1" applyBorder="1" applyAlignment="1">
      <alignment vertical="center"/>
    </xf>
    <xf numFmtId="2" fontId="5" fillId="4" borderId="16" xfId="0" applyNumberFormat="1" applyFont="1" applyFill="1" applyBorder="1" applyAlignment="1">
      <alignment horizontal="center" vertical="center"/>
    </xf>
    <xf numFmtId="164" fontId="5" fillId="4" borderId="16" xfId="1" applyFont="1" applyFill="1" applyBorder="1" applyAlignment="1">
      <alignment horizontal="center" vertical="center"/>
    </xf>
    <xf numFmtId="2" fontId="4" fillId="0" borderId="7" xfId="0" applyNumberFormat="1" applyFont="1" applyBorder="1" applyAlignment="1">
      <alignment horizontal="right"/>
    </xf>
    <xf numFmtId="164" fontId="5" fillId="0" borderId="7" xfId="1" applyFont="1" applyBorder="1" applyAlignment="1">
      <alignment horizontal="center" vertical="center" indent="1"/>
    </xf>
    <xf numFmtId="0" fontId="6" fillId="0" borderId="7" xfId="0" applyFont="1" applyBorder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3" fontId="12" fillId="3" borderId="7" xfId="0" applyNumberFormat="1" applyFont="1" applyFill="1" applyBorder="1" applyAlignment="1">
      <alignment horizontal="center" vertical="center"/>
    </xf>
    <xf numFmtId="0" fontId="0" fillId="2" borderId="7" xfId="0" applyFill="1" applyBorder="1"/>
    <xf numFmtId="0" fontId="20" fillId="2" borderId="7" xfId="0" applyFont="1" applyFill="1" applyBorder="1"/>
    <xf numFmtId="2" fontId="0" fillId="2" borderId="7" xfId="0" applyNumberFormat="1" applyFill="1" applyBorder="1"/>
    <xf numFmtId="0" fontId="6" fillId="0" borderId="17" xfId="0" applyFont="1" applyBorder="1" applyAlignment="1">
      <alignment horizontal="center"/>
    </xf>
    <xf numFmtId="0" fontId="11" fillId="0" borderId="21" xfId="0" applyFont="1" applyBorder="1" applyAlignment="1">
      <alignment horizontal="center" vertical="center"/>
    </xf>
    <xf numFmtId="0" fontId="4" fillId="0" borderId="17" xfId="0" applyFont="1" applyBorder="1"/>
    <xf numFmtId="14" fontId="4" fillId="0" borderId="17" xfId="0" applyNumberFormat="1" applyFont="1" applyBorder="1" applyAlignment="1">
      <alignment horizontal="center"/>
    </xf>
    <xf numFmtId="2" fontId="4" fillId="0" borderId="17" xfId="0" applyNumberFormat="1" applyFont="1" applyBorder="1"/>
    <xf numFmtId="2" fontId="4" fillId="0" borderId="17" xfId="0" applyNumberFormat="1" applyFont="1" applyBorder="1" applyAlignment="1">
      <alignment horizontal="right"/>
    </xf>
    <xf numFmtId="43" fontId="6" fillId="2" borderId="17" xfId="0" applyNumberFormat="1" applyFont="1" applyFill="1" applyBorder="1" applyAlignment="1">
      <alignment horizontal="center" vertical="center"/>
    </xf>
    <xf numFmtId="43" fontId="0" fillId="0" borderId="0" xfId="0" applyNumberFormat="1"/>
    <xf numFmtId="0" fontId="4" fillId="0" borderId="16" xfId="0" applyFont="1" applyBorder="1" applyAlignment="1">
      <alignment horizontal="center" vertical="center"/>
    </xf>
    <xf numFmtId="2" fontId="15" fillId="3" borderId="17" xfId="0" applyNumberFormat="1" applyFont="1" applyFill="1" applyBorder="1" applyAlignment="1">
      <alignment horizontal="center" vertical="center"/>
    </xf>
    <xf numFmtId="0" fontId="4" fillId="0" borderId="7" xfId="1" applyNumberFormat="1" applyFont="1" applyBorder="1" applyAlignment="1">
      <alignment vertical="center"/>
    </xf>
    <xf numFmtId="0" fontId="4" fillId="0" borderId="15" xfId="0" applyFont="1" applyBorder="1"/>
    <xf numFmtId="2" fontId="5" fillId="0" borderId="0" xfId="0" applyNumberFormat="1" applyFont="1"/>
    <xf numFmtId="2" fontId="10" fillId="4" borderId="10" xfId="0" applyNumberFormat="1" applyFont="1" applyFill="1" applyBorder="1" applyAlignment="1">
      <alignment horizontal="center" vertical="center"/>
    </xf>
    <xf numFmtId="2" fontId="10" fillId="4" borderId="0" xfId="0" applyNumberFormat="1" applyFont="1" applyFill="1" applyAlignment="1">
      <alignment horizontal="center" vertical="center"/>
    </xf>
    <xf numFmtId="164" fontId="10" fillId="4" borderId="0" xfId="1" applyFont="1" applyFill="1" applyBorder="1" applyAlignment="1">
      <alignment horizontal="center" vertical="center"/>
    </xf>
    <xf numFmtId="2" fontId="0" fillId="0" borderId="16" xfId="0" applyNumberFormat="1" applyBorder="1"/>
    <xf numFmtId="0" fontId="11" fillId="0" borderId="17" xfId="0" applyFont="1" applyBorder="1" applyAlignment="1">
      <alignment horizontal="center" vertical="center"/>
    </xf>
    <xf numFmtId="2" fontId="10" fillId="4" borderId="32" xfId="0" applyNumberFormat="1" applyFont="1" applyFill="1" applyBorder="1" applyAlignment="1">
      <alignment horizontal="center" vertical="center"/>
    </xf>
    <xf numFmtId="164" fontId="4" fillId="0" borderId="15" xfId="1" applyFont="1" applyBorder="1" applyAlignment="1">
      <alignment vertical="center"/>
    </xf>
    <xf numFmtId="164" fontId="4" fillId="0" borderId="17" xfId="1" applyFont="1" applyBorder="1" applyAlignment="1">
      <alignment horizontal="center" vertical="center"/>
    </xf>
    <xf numFmtId="164" fontId="4" fillId="4" borderId="16" xfId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right" vertical="center" wrapText="1"/>
    </xf>
    <xf numFmtId="0" fontId="0" fillId="0" borderId="7" xfId="0" applyBorder="1" applyAlignment="1">
      <alignment horizontal="right"/>
    </xf>
    <xf numFmtId="164" fontId="4" fillId="0" borderId="12" xfId="1" applyFont="1" applyBorder="1" applyAlignment="1">
      <alignment horizontal="right" vertical="center"/>
    </xf>
    <xf numFmtId="164" fontId="4" fillId="0" borderId="0" xfId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43" fontId="15" fillId="3" borderId="8" xfId="0" applyNumberFormat="1" applyFont="1" applyFill="1" applyBorder="1" applyAlignment="1">
      <alignment horizontal="right" vertical="center" wrapText="1"/>
    </xf>
    <xf numFmtId="164" fontId="4" fillId="0" borderId="9" xfId="1" applyFont="1" applyBorder="1" applyAlignment="1">
      <alignment horizontal="right" vertical="center"/>
    </xf>
    <xf numFmtId="0" fontId="4" fillId="0" borderId="7" xfId="3" applyNumberFormat="1" applyFont="1" applyBorder="1" applyAlignment="1">
      <alignment vertical="center"/>
    </xf>
    <xf numFmtId="3" fontId="4" fillId="0" borderId="7" xfId="3" applyNumberFormat="1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17" xfId="0" applyFont="1" applyBorder="1" applyAlignment="1">
      <alignment vertical="center" wrapText="1"/>
    </xf>
    <xf numFmtId="2" fontId="4" fillId="4" borderId="16" xfId="0" applyNumberFormat="1" applyFont="1" applyFill="1" applyBorder="1" applyAlignment="1">
      <alignment horizontal="center" vertical="center"/>
    </xf>
    <xf numFmtId="164" fontId="4" fillId="0" borderId="17" xfId="1" applyFont="1" applyBorder="1" applyAlignment="1">
      <alignment vertical="center"/>
    </xf>
    <xf numFmtId="164" fontId="4" fillId="0" borderId="15" xfId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2" fillId="3" borderId="7" xfId="0" applyFont="1" applyFill="1" applyBorder="1" applyAlignment="1">
      <alignment horizontal="right" vertical="center" wrapText="1"/>
    </xf>
    <xf numFmtId="164" fontId="11" fillId="0" borderId="7" xfId="1" applyFont="1" applyBorder="1" applyAlignment="1">
      <alignment horizontal="right" vertical="center"/>
    </xf>
    <xf numFmtId="164" fontId="10" fillId="4" borderId="7" xfId="1" applyFont="1" applyFill="1" applyBorder="1" applyAlignment="1">
      <alignment horizontal="right" vertical="center"/>
    </xf>
    <xf numFmtId="164" fontId="10" fillId="4" borderId="0" xfId="1" applyFont="1" applyFill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6" xfId="0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164" fontId="11" fillId="0" borderId="14" xfId="1" applyFont="1" applyBorder="1" applyAlignment="1">
      <alignment horizontal="center" vertical="center"/>
    </xf>
    <xf numFmtId="164" fontId="11" fillId="0" borderId="15" xfId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right" vertical="center"/>
    </xf>
    <xf numFmtId="164" fontId="11" fillId="0" borderId="7" xfId="1" applyFont="1" applyBorder="1" applyAlignment="1">
      <alignment horizontal="left" vertical="top"/>
    </xf>
    <xf numFmtId="165" fontId="4" fillId="0" borderId="14" xfId="0" applyNumberFormat="1" applyFont="1" applyBorder="1" applyAlignment="1">
      <alignment horizontal="center"/>
    </xf>
    <xf numFmtId="164" fontId="10" fillId="0" borderId="17" xfId="1" applyFont="1" applyBorder="1" applyAlignment="1">
      <alignment horizontal="center" vertical="center"/>
    </xf>
    <xf numFmtId="0" fontId="11" fillId="0" borderId="17" xfId="0" applyFont="1" applyBorder="1"/>
    <xf numFmtId="164" fontId="11" fillId="0" borderId="17" xfId="0" applyNumberFormat="1" applyFont="1" applyBorder="1"/>
    <xf numFmtId="2" fontId="10" fillId="4" borderId="16" xfId="0" applyNumberFormat="1" applyFont="1" applyFill="1" applyBorder="1" applyAlignment="1">
      <alignment horizontal="center" vertical="center"/>
    </xf>
    <xf numFmtId="164" fontId="10" fillId="4" borderId="16" xfId="1" applyFont="1" applyFill="1" applyBorder="1" applyAlignment="1">
      <alignment horizontal="center" vertical="center"/>
    </xf>
    <xf numFmtId="0" fontId="14" fillId="0" borderId="7" xfId="3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4" fillId="0" borderId="21" xfId="3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0" fontId="4" fillId="0" borderId="16" xfId="1" applyNumberFormat="1" applyFont="1" applyBorder="1" applyAlignment="1">
      <alignment vertical="center"/>
    </xf>
    <xf numFmtId="164" fontId="4" fillId="0" borderId="16" xfId="1" applyFont="1" applyBorder="1" applyAlignment="1">
      <alignment vertical="center"/>
    </xf>
    <xf numFmtId="2" fontId="6" fillId="2" borderId="7" xfId="0" applyNumberFormat="1" applyFont="1" applyFill="1" applyBorder="1" applyAlignment="1">
      <alignment horizontal="center" vertical="center"/>
    </xf>
    <xf numFmtId="166" fontId="24" fillId="0" borderId="7" xfId="0" applyNumberFormat="1" applyFont="1" applyBorder="1" applyAlignment="1">
      <alignment horizontal="center"/>
    </xf>
    <xf numFmtId="164" fontId="4" fillId="0" borderId="33" xfId="1" applyFont="1" applyBorder="1" applyAlignment="1">
      <alignment horizontal="center" vertical="center"/>
    </xf>
    <xf numFmtId="164" fontId="4" fillId="0" borderId="12" xfId="1" applyFont="1" applyBorder="1" applyAlignment="1">
      <alignment horizontal="center" vertical="top"/>
    </xf>
    <xf numFmtId="164" fontId="4" fillId="0" borderId="13" xfId="1" applyFont="1" applyBorder="1" applyAlignment="1">
      <alignment horizontal="center" vertical="top"/>
    </xf>
    <xf numFmtId="0" fontId="4" fillId="0" borderId="8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2" fontId="0" fillId="0" borderId="17" xfId="0" applyNumberFormat="1" applyBorder="1"/>
    <xf numFmtId="0" fontId="15" fillId="2" borderId="4" xfId="0" applyFont="1" applyFill="1" applyBorder="1" applyAlignment="1">
      <alignment horizontal="center" vertical="center"/>
    </xf>
    <xf numFmtId="2" fontId="15" fillId="3" borderId="17" xfId="0" applyNumberFormat="1" applyFont="1" applyFill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/>
    </xf>
    <xf numFmtId="0" fontId="15" fillId="2" borderId="17" xfId="0" applyFont="1" applyFill="1" applyBorder="1" applyAlignment="1">
      <alignment horizontal="center"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164" fontId="10" fillId="0" borderId="17" xfId="1" applyFont="1" applyBorder="1" applyAlignment="1">
      <alignment vertical="center"/>
    </xf>
    <xf numFmtId="164" fontId="0" fillId="0" borderId="17" xfId="0" applyNumberFormat="1" applyBorder="1"/>
    <xf numFmtId="0" fontId="19" fillId="0" borderId="7" xfId="0" applyFont="1" applyBorder="1" applyAlignment="1">
      <alignment horizontal="center"/>
    </xf>
    <xf numFmtId="164" fontId="11" fillId="0" borderId="16" xfId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165" fontId="4" fillId="0" borderId="29" xfId="0" applyNumberFormat="1" applyFont="1" applyBorder="1" applyAlignment="1">
      <alignment horizontal="center"/>
    </xf>
    <xf numFmtId="164" fontId="4" fillId="0" borderId="5" xfId="1" applyFont="1" applyBorder="1" applyAlignment="1">
      <alignment vertical="center"/>
    </xf>
    <xf numFmtId="165" fontId="4" fillId="0" borderId="34" xfId="0" applyNumberFormat="1" applyFont="1" applyBorder="1" applyAlignment="1">
      <alignment horizontal="center"/>
    </xf>
    <xf numFmtId="0" fontId="0" fillId="0" borderId="26" xfId="0" applyBorder="1"/>
    <xf numFmtId="0" fontId="4" fillId="0" borderId="14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43" fontId="23" fillId="0" borderId="7" xfId="0" applyNumberFormat="1" applyFont="1" applyBorder="1"/>
    <xf numFmtId="165" fontId="15" fillId="3" borderId="17" xfId="0" applyNumberFormat="1" applyFont="1" applyFill="1" applyBorder="1" applyAlignment="1">
      <alignment horizontal="center" vertical="center" wrapText="1"/>
    </xf>
    <xf numFmtId="0" fontId="20" fillId="0" borderId="16" xfId="0" applyFont="1" applyBorder="1"/>
    <xf numFmtId="15" fontId="20" fillId="2" borderId="7" xfId="0" applyNumberFormat="1" applyFont="1" applyFill="1" applyBorder="1"/>
    <xf numFmtId="2" fontId="20" fillId="0" borderId="17" xfId="0" applyNumberFormat="1" applyFont="1" applyBorder="1"/>
    <xf numFmtId="1" fontId="0" fillId="0" borderId="7" xfId="0" applyNumberFormat="1" applyBorder="1"/>
    <xf numFmtId="0" fontId="20" fillId="0" borderId="17" xfId="0" applyFont="1" applyBorder="1"/>
    <xf numFmtId="0" fontId="6" fillId="0" borderId="17" xfId="0" applyFont="1" applyBorder="1"/>
    <xf numFmtId="0" fontId="0" fillId="5" borderId="0" xfId="0" applyFill="1"/>
    <xf numFmtId="0" fontId="25" fillId="0" borderId="0" xfId="0" applyFont="1"/>
    <xf numFmtId="2" fontId="12" fillId="3" borderId="7" xfId="0" applyNumberFormat="1" applyFont="1" applyFill="1" applyBorder="1" applyAlignment="1">
      <alignment horizontal="center" vertical="center" wrapText="1"/>
    </xf>
    <xf numFmtId="2" fontId="10" fillId="0" borderId="17" xfId="1" applyNumberFormat="1" applyFont="1" applyBorder="1" applyAlignment="1">
      <alignment vertical="center"/>
    </xf>
    <xf numFmtId="2" fontId="10" fillId="4" borderId="7" xfId="1" applyNumberFormat="1" applyFont="1" applyFill="1" applyBorder="1" applyAlignment="1">
      <alignment horizontal="right" vertical="center"/>
    </xf>
    <xf numFmtId="2" fontId="15" fillId="3" borderId="8" xfId="0" applyNumberFormat="1" applyFont="1" applyFill="1" applyBorder="1" applyAlignment="1">
      <alignment horizontal="center" vertical="center" wrapText="1"/>
    </xf>
    <xf numFmtId="2" fontId="15" fillId="3" borderId="8" xfId="0" applyNumberFormat="1" applyFont="1" applyFill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/>
    </xf>
    <xf numFmtId="0" fontId="19" fillId="0" borderId="17" xfId="0" applyFont="1" applyBorder="1"/>
    <xf numFmtId="0" fontId="26" fillId="0" borderId="0" xfId="0" applyFont="1"/>
    <xf numFmtId="0" fontId="0" fillId="0" borderId="30" xfId="0" applyBorder="1"/>
    <xf numFmtId="2" fontId="12" fillId="3" borderId="7" xfId="0" applyNumberFormat="1" applyFont="1" applyFill="1" applyBorder="1" applyAlignment="1">
      <alignment horizontal="right" vertical="center" wrapText="1"/>
    </xf>
    <xf numFmtId="2" fontId="10" fillId="4" borderId="7" xfId="1" applyNumberFormat="1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right" vertical="center" wrapText="1"/>
    </xf>
    <xf numFmtId="0" fontId="0" fillId="0" borderId="29" xfId="0" applyBorder="1"/>
    <xf numFmtId="0" fontId="0" fillId="0" borderId="7" xfId="0" applyBorder="1" applyAlignment="1">
      <alignment wrapText="1"/>
    </xf>
    <xf numFmtId="0" fontId="20" fillId="0" borderId="7" xfId="0" applyFont="1" applyBorder="1" applyAlignment="1">
      <alignment wrapText="1"/>
    </xf>
    <xf numFmtId="0" fontId="0" fillId="0" borderId="17" xfId="0" applyBorder="1" applyAlignment="1">
      <alignment wrapText="1"/>
    </xf>
    <xf numFmtId="1" fontId="0" fillId="0" borderId="17" xfId="0" applyNumberFormat="1" applyBorder="1"/>
    <xf numFmtId="2" fontId="0" fillId="0" borderId="29" xfId="0" applyNumberFormat="1" applyBorder="1"/>
    <xf numFmtId="164" fontId="10" fillId="0" borderId="14" xfId="1" applyFont="1" applyBorder="1" applyAlignment="1">
      <alignment vertical="center"/>
    </xf>
    <xf numFmtId="0" fontId="0" fillId="0" borderId="15" xfId="0" applyBorder="1"/>
    <xf numFmtId="164" fontId="11" fillId="0" borderId="12" xfId="1" applyFont="1" applyBorder="1" applyAlignment="1">
      <alignment horizontal="center" vertical="center"/>
    </xf>
    <xf numFmtId="164" fontId="11" fillId="0" borderId="6" xfId="1" applyFont="1" applyBorder="1" applyAlignment="1">
      <alignment horizontal="center" vertical="center"/>
    </xf>
    <xf numFmtId="164" fontId="11" fillId="0" borderId="23" xfId="1" applyFont="1" applyBorder="1" applyAlignment="1">
      <alignment horizontal="center" vertical="center"/>
    </xf>
    <xf numFmtId="164" fontId="11" fillId="0" borderId="30" xfId="1" applyFont="1" applyBorder="1" applyAlignment="1">
      <alignment horizontal="center" vertical="center"/>
    </xf>
    <xf numFmtId="2" fontId="0" fillId="0" borderId="14" xfId="0" applyNumberFormat="1" applyBorder="1"/>
    <xf numFmtId="2" fontId="0" fillId="0" borderId="15" xfId="0" applyNumberFormat="1" applyBorder="1"/>
    <xf numFmtId="2" fontId="0" fillId="0" borderId="30" xfId="0" applyNumberFormat="1" applyBorder="1"/>
    <xf numFmtId="167" fontId="0" fillId="0" borderId="0" xfId="0" applyNumberFormat="1"/>
    <xf numFmtId="4" fontId="4" fillId="0" borderId="0" xfId="0" applyNumberFormat="1" applyFont="1" applyAlignment="1">
      <alignment vertical="center" wrapText="1"/>
    </xf>
    <xf numFmtId="43" fontId="4" fillId="0" borderId="0" xfId="0" applyNumberFormat="1" applyFont="1" applyAlignment="1">
      <alignment vertical="center"/>
    </xf>
    <xf numFmtId="4" fontId="0" fillId="0" borderId="0" xfId="0" applyNumberFormat="1"/>
    <xf numFmtId="0" fontId="15" fillId="3" borderId="17" xfId="0" applyFont="1" applyFill="1" applyBorder="1" applyAlignment="1">
      <alignment horizontal="right" vertical="center" wrapText="1"/>
    </xf>
    <xf numFmtId="0" fontId="19" fillId="0" borderId="7" xfId="0" applyFont="1" applyBorder="1" applyAlignment="1">
      <alignment horizontal="right"/>
    </xf>
    <xf numFmtId="1" fontId="20" fillId="0" borderId="16" xfId="0" quotePrefix="1" applyNumberFormat="1" applyFont="1" applyBorder="1" applyAlignment="1">
      <alignment horizontal="right"/>
    </xf>
    <xf numFmtId="0" fontId="20" fillId="0" borderId="7" xfId="0" quotePrefix="1" applyFont="1" applyBorder="1" applyAlignment="1">
      <alignment horizontal="right"/>
    </xf>
    <xf numFmtId="0" fontId="20" fillId="0" borderId="17" xfId="0" quotePrefix="1" applyFont="1" applyBorder="1" applyAlignment="1">
      <alignment horizontal="right"/>
    </xf>
    <xf numFmtId="0" fontId="0" fillId="0" borderId="7" xfId="0" quotePrefix="1" applyBorder="1" applyAlignment="1">
      <alignment horizontal="right"/>
    </xf>
    <xf numFmtId="0" fontId="0" fillId="0" borderId="17" xfId="0" quotePrefix="1" applyBorder="1" applyAlignment="1">
      <alignment horizontal="right"/>
    </xf>
    <xf numFmtId="0" fontId="0" fillId="0" borderId="16" xfId="0" quotePrefix="1" applyBorder="1" applyAlignment="1">
      <alignment horizontal="right"/>
    </xf>
    <xf numFmtId="0" fontId="20" fillId="0" borderId="0" xfId="0" applyFont="1"/>
    <xf numFmtId="0" fontId="20" fillId="0" borderId="0" xfId="0" quotePrefix="1" applyFont="1" applyAlignment="1">
      <alignment horizontal="right"/>
    </xf>
    <xf numFmtId="164" fontId="4" fillId="0" borderId="7" xfId="1" applyFont="1" applyBorder="1"/>
    <xf numFmtId="1" fontId="4" fillId="0" borderId="9" xfId="1" applyNumberFormat="1" applyFont="1" applyBorder="1" applyAlignment="1">
      <alignment horizontal="center" vertical="center"/>
    </xf>
    <xf numFmtId="168" fontId="4" fillId="0" borderId="2" xfId="1" applyNumberFormat="1" applyFont="1" applyBorder="1" applyAlignment="1">
      <alignment horizontal="center" vertical="top"/>
    </xf>
    <xf numFmtId="4" fontId="0" fillId="0" borderId="7" xfId="0" applyNumberFormat="1" applyBorder="1"/>
    <xf numFmtId="0" fontId="20" fillId="0" borderId="29" xfId="0" applyFont="1" applyBorder="1"/>
    <xf numFmtId="0" fontId="20" fillId="0" borderId="14" xfId="0" applyFont="1" applyBorder="1"/>
    <xf numFmtId="164" fontId="11" fillId="7" borderId="7" xfId="1" applyFont="1" applyFill="1" applyBorder="1" applyAlignment="1">
      <alignment horizontal="center" vertical="center"/>
    </xf>
    <xf numFmtId="4" fontId="0" fillId="0" borderId="17" xfId="0" applyNumberFormat="1" applyBorder="1"/>
    <xf numFmtId="0" fontId="5" fillId="8" borderId="0" xfId="0" applyFont="1" applyFill="1" applyAlignment="1">
      <alignment vertical="center"/>
    </xf>
    <xf numFmtId="0" fontId="19" fillId="8" borderId="0" xfId="0" applyFont="1" applyFill="1"/>
    <xf numFmtId="0" fontId="6" fillId="0" borderId="29" xfId="0" applyFont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6" fillId="7" borderId="7" xfId="0" applyFont="1" applyFill="1" applyBorder="1"/>
    <xf numFmtId="164" fontId="11" fillId="9" borderId="7" xfId="1" applyFont="1" applyFill="1" applyBorder="1" applyAlignment="1">
      <alignment horizontal="center" vertical="center"/>
    </xf>
    <xf numFmtId="0" fontId="20" fillId="0" borderId="0" xfId="0" applyFont="1" applyAlignment="1">
      <alignment wrapText="1"/>
    </xf>
    <xf numFmtId="0" fontId="0" fillId="7" borderId="14" xfId="0" applyFill="1" applyBorder="1"/>
    <xf numFmtId="0" fontId="0" fillId="7" borderId="7" xfId="0" applyFill="1" applyBorder="1"/>
    <xf numFmtId="0" fontId="20" fillId="7" borderId="7" xfId="0" applyFont="1" applyFill="1" applyBorder="1"/>
    <xf numFmtId="0" fontId="20" fillId="7" borderId="7" xfId="0" quotePrefix="1" applyFont="1" applyFill="1" applyBorder="1" applyAlignment="1">
      <alignment horizontal="right"/>
    </xf>
    <xf numFmtId="2" fontId="0" fillId="7" borderId="16" xfId="0" applyNumberFormat="1" applyFill="1" applyBorder="1"/>
    <xf numFmtId="0" fontId="6" fillId="7" borderId="7" xfId="0" applyFont="1" applyFill="1" applyBorder="1" applyAlignment="1">
      <alignment horizontal="center"/>
    </xf>
    <xf numFmtId="2" fontId="0" fillId="7" borderId="17" xfId="0" applyNumberFormat="1" applyFill="1" applyBorder="1"/>
    <xf numFmtId="0" fontId="0" fillId="7" borderId="0" xfId="0" applyFill="1"/>
    <xf numFmtId="0" fontId="0" fillId="7" borderId="7" xfId="0" quotePrefix="1" applyFill="1" applyBorder="1" applyAlignment="1">
      <alignment horizontal="right"/>
    </xf>
    <xf numFmtId="2" fontId="0" fillId="7" borderId="7" xfId="0" applyNumberFormat="1" applyFill="1" applyBorder="1"/>
    <xf numFmtId="0" fontId="0" fillId="2" borderId="14" xfId="0" applyFill="1" applyBorder="1"/>
    <xf numFmtId="0" fontId="20" fillId="2" borderId="0" xfId="0" applyFont="1" applyFill="1"/>
    <xf numFmtId="0" fontId="0" fillId="2" borderId="7" xfId="0" quotePrefix="1" applyFill="1" applyBorder="1" applyAlignment="1">
      <alignment horizontal="right"/>
    </xf>
    <xf numFmtId="2" fontId="0" fillId="2" borderId="16" xfId="0" applyNumberFormat="1" applyFill="1" applyBorder="1"/>
    <xf numFmtId="0" fontId="6" fillId="2" borderId="7" xfId="0" applyFont="1" applyFill="1" applyBorder="1" applyAlignment="1">
      <alignment horizontal="center"/>
    </xf>
    <xf numFmtId="2" fontId="0" fillId="2" borderId="17" xfId="0" applyNumberFormat="1" applyFill="1" applyBorder="1"/>
    <xf numFmtId="4" fontId="0" fillId="2" borderId="7" xfId="0" applyNumberFormat="1" applyFill="1" applyBorder="1"/>
    <xf numFmtId="0" fontId="0" fillId="2" borderId="0" xfId="0" applyFill="1"/>
    <xf numFmtId="0" fontId="20" fillId="2" borderId="7" xfId="0" quotePrefix="1" applyFont="1" applyFill="1" applyBorder="1" applyAlignment="1">
      <alignment horizontal="right"/>
    </xf>
    <xf numFmtId="0" fontId="0" fillId="2" borderId="29" xfId="0" applyFill="1" applyBorder="1"/>
    <xf numFmtId="0" fontId="20" fillId="2" borderId="17" xfId="0" applyFont="1" applyFill="1" applyBorder="1"/>
    <xf numFmtId="0" fontId="20" fillId="2" borderId="17" xfId="0" quotePrefix="1" applyFont="1" applyFill="1" applyBorder="1" applyAlignment="1">
      <alignment horizontal="right"/>
    </xf>
    <xf numFmtId="0" fontId="0" fillId="2" borderId="17" xfId="0" applyFill="1" applyBorder="1"/>
    <xf numFmtId="0" fontId="16" fillId="5" borderId="7" xfId="0" applyFont="1" applyFill="1" applyBorder="1" applyAlignment="1">
      <alignment horizontal="center" vertical="center"/>
    </xf>
    <xf numFmtId="0" fontId="28" fillId="6" borderId="17" xfId="0" applyFont="1" applyFill="1" applyBorder="1" applyAlignment="1">
      <alignment horizontal="center"/>
    </xf>
    <xf numFmtId="2" fontId="27" fillId="6" borderId="14" xfId="0" applyNumberFormat="1" applyFont="1" applyFill="1" applyBorder="1" applyAlignment="1">
      <alignment horizontal="center"/>
    </xf>
    <xf numFmtId="2" fontId="27" fillId="6" borderId="26" xfId="0" applyNumberFormat="1" applyFont="1" applyFill="1" applyBorder="1" applyAlignment="1">
      <alignment horizontal="center"/>
    </xf>
    <xf numFmtId="2" fontId="27" fillId="6" borderId="15" xfId="0" applyNumberFormat="1" applyFont="1" applyFill="1" applyBorder="1" applyAlignment="1">
      <alignment horizontal="center"/>
    </xf>
    <xf numFmtId="0" fontId="6" fillId="2" borderId="7" xfId="0" applyFont="1" applyFill="1" applyBorder="1"/>
    <xf numFmtId="0" fontId="20" fillId="0" borderId="35" xfId="0" applyFont="1" applyBorder="1"/>
    <xf numFmtId="0" fontId="0" fillId="0" borderId="34" xfId="0" applyBorder="1"/>
    <xf numFmtId="0" fontId="0" fillId="0" borderId="7" xfId="0" applyBorder="1" applyAlignment="1">
      <alignment horizontal="left"/>
    </xf>
    <xf numFmtId="2" fontId="0" fillId="0" borderId="35" xfId="0" applyNumberFormat="1" applyBorder="1"/>
    <xf numFmtId="0" fontId="29" fillId="10" borderId="36" xfId="0" applyFont="1" applyFill="1" applyBorder="1"/>
    <xf numFmtId="0" fontId="29" fillId="10" borderId="37" xfId="0" applyFont="1" applyFill="1" applyBorder="1"/>
    <xf numFmtId="2" fontId="29" fillId="10" borderId="37" xfId="0" applyNumberFormat="1" applyFont="1" applyFill="1" applyBorder="1"/>
    <xf numFmtId="2" fontId="29" fillId="10" borderId="38" xfId="0" applyNumberFormat="1" applyFont="1" applyFill="1" applyBorder="1"/>
    <xf numFmtId="2" fontId="4" fillId="2" borderId="7" xfId="0" applyNumberFormat="1" applyFont="1" applyFill="1" applyBorder="1" applyAlignment="1">
      <alignment horizontal="center" vertical="center"/>
    </xf>
    <xf numFmtId="1" fontId="0" fillId="0" borderId="0" xfId="0" applyNumberFormat="1"/>
    <xf numFmtId="2" fontId="30" fillId="11" borderId="44" xfId="0" applyNumberFormat="1" applyFont="1" applyFill="1" applyBorder="1"/>
    <xf numFmtId="1" fontId="30" fillId="11" borderId="45" xfId="0" applyNumberFormat="1" applyFont="1" applyFill="1" applyBorder="1"/>
    <xf numFmtId="4" fontId="11" fillId="0" borderId="0" xfId="0" applyNumberFormat="1" applyFont="1" applyAlignment="1">
      <alignment horizontal="center" vertical="center"/>
    </xf>
    <xf numFmtId="169" fontId="4" fillId="0" borderId="7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5" borderId="13" xfId="0" applyFont="1" applyFill="1" applyBorder="1" applyAlignment="1">
      <alignment horizontal="center"/>
    </xf>
    <xf numFmtId="0" fontId="30" fillId="11" borderId="41" xfId="0" applyFont="1" applyFill="1" applyBorder="1" applyAlignment="1">
      <alignment horizontal="center"/>
    </xf>
    <xf numFmtId="0" fontId="30" fillId="11" borderId="42" xfId="0" applyFont="1" applyFill="1" applyBorder="1" applyAlignment="1">
      <alignment horizontal="center"/>
    </xf>
    <xf numFmtId="0" fontId="30" fillId="11" borderId="43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15" fillId="5" borderId="1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6" fillId="5" borderId="0" xfId="0" applyFont="1" applyFill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7" fillId="5" borderId="13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5" fillId="5" borderId="7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5" fillId="5" borderId="17" xfId="0" applyFont="1" applyFill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43" fontId="5" fillId="2" borderId="14" xfId="0" applyNumberFormat="1" applyFont="1" applyFill="1" applyBorder="1" applyAlignment="1">
      <alignment horizontal="center" vertical="center"/>
    </xf>
    <xf numFmtId="43" fontId="5" fillId="2" borderId="15" xfId="0" applyNumberFormat="1" applyFont="1" applyFill="1" applyBorder="1" applyAlignment="1">
      <alignment horizontal="center" vertical="center"/>
    </xf>
    <xf numFmtId="2" fontId="16" fillId="5" borderId="7" xfId="0" applyNumberFormat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wrapText="1"/>
    </xf>
    <xf numFmtId="0" fontId="5" fillId="0" borderId="2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28" fillId="6" borderId="7" xfId="0" applyFont="1" applyFill="1" applyBorder="1" applyAlignment="1">
      <alignment horizontal="center"/>
    </xf>
    <xf numFmtId="43" fontId="27" fillId="6" borderId="14" xfId="0" applyNumberFormat="1" applyFont="1" applyFill="1" applyBorder="1" applyAlignment="1">
      <alignment horizontal="center" indent="1"/>
    </xf>
    <xf numFmtId="43" fontId="27" fillId="6" borderId="26" xfId="0" applyNumberFormat="1" applyFont="1" applyFill="1" applyBorder="1" applyAlignment="1">
      <alignment horizontal="center" indent="1"/>
    </xf>
    <xf numFmtId="43" fontId="27" fillId="6" borderId="15" xfId="0" applyNumberFormat="1" applyFont="1" applyFill="1" applyBorder="1" applyAlignment="1">
      <alignment horizontal="center" indent="1"/>
    </xf>
    <xf numFmtId="0" fontId="5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" fillId="0" borderId="39" xfId="0" applyFont="1" applyBorder="1"/>
    <xf numFmtId="0" fontId="1" fillId="0" borderId="7" xfId="0" applyFont="1" applyBorder="1"/>
    <xf numFmtId="2" fontId="1" fillId="0" borderId="7" xfId="0" applyNumberFormat="1" applyFont="1" applyBorder="1"/>
    <xf numFmtId="1" fontId="1" fillId="0" borderId="40" xfId="0" applyNumberFormat="1" applyFont="1" applyBorder="1"/>
    <xf numFmtId="1" fontId="1" fillId="2" borderId="40" xfId="0" applyNumberFormat="1" applyFont="1" applyFill="1" applyBorder="1"/>
    <xf numFmtId="0" fontId="1" fillId="0" borderId="7" xfId="0" applyFont="1" applyBorder="1" applyAlignment="1">
      <alignment wrapText="1"/>
    </xf>
    <xf numFmtId="1" fontId="1" fillId="7" borderId="40" xfId="0" applyNumberFormat="1" applyFont="1" applyFill="1" applyBorder="1"/>
    <xf numFmtId="1" fontId="1" fillId="0" borderId="7" xfId="0" applyNumberFormat="1" applyFont="1" applyBorder="1"/>
  </cellXfs>
  <cellStyles count="4">
    <cellStyle name="Comma" xfId="1" builtinId="3"/>
    <cellStyle name="Comma 3" xfId="2" xr:uid="{00000000-0005-0000-0000-000001000000}"/>
    <cellStyle name="Comma 4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45EE16EE-A7DD-4CC1-B5D4-5C213C4B5B28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" dT="2025-04-09T05:59:20.33" personId="{45EE16EE-A7DD-4CC1-B5D4-5C213C4B5B28}" id="{314004E9-1CD9-4A75-847B-598F9C9CA6A5}">
    <text>fuel send to Hosadurga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4" dT="2025-04-02T06:54:39.11" personId="{45EE16EE-A7DD-4CC1-B5D4-5C213C4B5B28}" id="{D76A3085-B4A7-4189-80EE-3EABD4A10957}">
    <text>discount</text>
  </threadedComment>
  <threadedComment ref="L20" dT="2025-04-24T05:00:51.68" personId="{45EE16EE-A7DD-4CC1-B5D4-5C213C4B5B28}" id="{7B09E8D3-6C5F-4A29-812A-098C8FB0FC71}">
    <text xml:space="preserve">Discount amount 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6879-6B09-418A-958A-6EDF8EE2DC28}">
  <dimension ref="B1:N77"/>
  <sheetViews>
    <sheetView tabSelected="1" workbookViewId="0">
      <selection activeCell="K12" sqref="K12"/>
    </sheetView>
  </sheetViews>
  <sheetFormatPr defaultRowHeight="15"/>
  <cols>
    <col min="2" max="2" width="5" bestFit="1" customWidth="1"/>
    <col min="3" max="3" width="23.85546875" customWidth="1"/>
    <col min="4" max="4" width="32.140625" customWidth="1"/>
    <col min="5" max="5" width="12.85546875" customWidth="1"/>
    <col min="6" max="6" width="14.42578125" bestFit="1" customWidth="1"/>
    <col min="7" max="7" width="12.7109375" bestFit="1" customWidth="1"/>
    <col min="8" max="8" width="14.42578125" bestFit="1" customWidth="1"/>
    <col min="9" max="9" width="12.140625" customWidth="1"/>
    <col min="10" max="10" width="16.7109375" customWidth="1"/>
    <col min="11" max="11" width="12.140625" customWidth="1"/>
    <col min="12" max="12" width="15.5703125" customWidth="1"/>
    <col min="14" max="14" width="16.5703125" customWidth="1"/>
  </cols>
  <sheetData>
    <row r="1" spans="2:14">
      <c r="B1" s="389" t="s">
        <v>0</v>
      </c>
      <c r="C1" s="390" t="s">
        <v>1</v>
      </c>
      <c r="D1" s="390" t="s">
        <v>2</v>
      </c>
      <c r="E1" s="391" t="s">
        <v>3</v>
      </c>
      <c r="F1" s="391" t="s">
        <v>4</v>
      </c>
      <c r="G1" s="391" t="s">
        <v>5</v>
      </c>
      <c r="H1" s="391" t="s">
        <v>6</v>
      </c>
      <c r="I1" s="391" t="s">
        <v>7</v>
      </c>
      <c r="J1" s="391" t="s">
        <v>8</v>
      </c>
      <c r="K1" s="391" t="s">
        <v>9</v>
      </c>
      <c r="L1" s="392" t="s">
        <v>10</v>
      </c>
    </row>
    <row r="2" spans="2:14" ht="15" customHeight="1">
      <c r="B2" s="451">
        <v>1</v>
      </c>
      <c r="C2" s="452" t="s">
        <v>11</v>
      </c>
      <c r="D2" s="452" t="s">
        <v>12</v>
      </c>
      <c r="E2" s="453">
        <v>50997.73</v>
      </c>
      <c r="F2" s="453">
        <v>4879462.806400001</v>
      </c>
      <c r="G2" s="453">
        <v>380</v>
      </c>
      <c r="H2" s="453">
        <v>40834.799999999988</v>
      </c>
      <c r="I2" s="453">
        <f>F2+H2</f>
        <v>4920297.6064000009</v>
      </c>
      <c r="J2" s="453">
        <v>220299.06</v>
      </c>
      <c r="K2" s="453">
        <v>0</v>
      </c>
      <c r="L2" s="454">
        <f>J2+I2-K2</f>
        <v>5140596.6664000005</v>
      </c>
    </row>
    <row r="3" spans="2:14" ht="15" customHeight="1">
      <c r="B3" s="451">
        <v>2</v>
      </c>
      <c r="C3" s="452" t="s">
        <v>13</v>
      </c>
      <c r="D3" s="452" t="s">
        <v>14</v>
      </c>
      <c r="E3" s="453">
        <v>87686.7</v>
      </c>
      <c r="F3" s="453">
        <v>8391617.1899999995</v>
      </c>
      <c r="G3" s="453">
        <v>160</v>
      </c>
      <c r="H3" s="453">
        <v>17196.8</v>
      </c>
      <c r="I3" s="453">
        <f>F3+H3</f>
        <v>8408813.9900000002</v>
      </c>
      <c r="J3" s="453">
        <v>482261.45</v>
      </c>
      <c r="K3" s="453">
        <v>0</v>
      </c>
      <c r="L3" s="455">
        <f>J3+I3-K3</f>
        <v>8891075.4399999995</v>
      </c>
    </row>
    <row r="4" spans="2:14" ht="15" customHeight="1">
      <c r="B4" s="451">
        <v>3</v>
      </c>
      <c r="C4" s="452" t="s">
        <v>15</v>
      </c>
      <c r="D4" s="452" t="s">
        <v>16</v>
      </c>
      <c r="E4" s="453">
        <v>51622.9</v>
      </c>
      <c r="F4" s="453">
        <v>4939279.0720000006</v>
      </c>
      <c r="G4" s="453">
        <v>553.01</v>
      </c>
      <c r="H4" s="453">
        <v>59426.454599999997</v>
      </c>
      <c r="I4" s="453">
        <f>F4+H4</f>
        <v>4998705.5266000004</v>
      </c>
      <c r="J4" s="453">
        <v>231715.1</v>
      </c>
      <c r="K4" s="453">
        <v>1500000</v>
      </c>
      <c r="L4" s="454">
        <f>J4+I4-K4</f>
        <v>3730420.6266000001</v>
      </c>
    </row>
    <row r="5" spans="2:14" ht="15" customHeight="1">
      <c r="B5" s="451">
        <v>4</v>
      </c>
      <c r="C5" s="452" t="s">
        <v>17</v>
      </c>
      <c r="D5" s="452" t="s">
        <v>18</v>
      </c>
      <c r="E5" s="453">
        <v>19613.09</v>
      </c>
      <c r="F5" s="453">
        <v>1891094.1377999999</v>
      </c>
      <c r="G5" s="453">
        <v>433.21</v>
      </c>
      <c r="H5" s="453">
        <v>46886.318299999999</v>
      </c>
      <c r="I5" s="453">
        <f t="shared" ref="I5:I35" si="0">F5+H5</f>
        <v>1937980.4560999998</v>
      </c>
      <c r="J5" s="453">
        <v>28856.57</v>
      </c>
      <c r="K5" s="453">
        <v>0</v>
      </c>
      <c r="L5" s="454">
        <f>J5+I5-K5</f>
        <v>1966837.0260999999</v>
      </c>
      <c r="N5" s="452"/>
    </row>
    <row r="6" spans="2:14" ht="15" customHeight="1">
      <c r="B6" s="451">
        <v>5</v>
      </c>
      <c r="C6" s="452" t="s">
        <v>19</v>
      </c>
      <c r="D6" s="452" t="s">
        <v>20</v>
      </c>
      <c r="E6" s="453">
        <v>19050.510000000002</v>
      </c>
      <c r="F6" s="453">
        <v>1831699.5263</v>
      </c>
      <c r="G6" s="453">
        <v>0</v>
      </c>
      <c r="H6" s="453">
        <v>0</v>
      </c>
      <c r="I6" s="453">
        <f t="shared" si="0"/>
        <v>1831699.5263</v>
      </c>
      <c r="J6" s="453">
        <v>0</v>
      </c>
      <c r="K6" s="453">
        <v>0</v>
      </c>
      <c r="L6" s="454">
        <f>J6+I6-K6</f>
        <v>1831699.5263</v>
      </c>
    </row>
    <row r="7" spans="2:14" ht="15" customHeight="1">
      <c r="B7" s="451">
        <v>6</v>
      </c>
      <c r="C7" s="452" t="s">
        <v>21</v>
      </c>
      <c r="D7" s="452" t="s">
        <v>21</v>
      </c>
      <c r="E7" s="453">
        <v>20611.100000000002</v>
      </c>
      <c r="F7" s="453">
        <v>1986085.5960000001</v>
      </c>
      <c r="G7" s="453">
        <v>167</v>
      </c>
      <c r="H7" s="453">
        <v>18064.390000000007</v>
      </c>
      <c r="I7" s="453">
        <f t="shared" si="0"/>
        <v>2004149.986</v>
      </c>
      <c r="J7" s="453">
        <v>100381.99860000022</v>
      </c>
      <c r="K7" s="453">
        <v>1100000</v>
      </c>
      <c r="L7" s="454">
        <f>J7+I7-K7</f>
        <v>1004531.9846000001</v>
      </c>
    </row>
    <row r="8" spans="2:14" ht="15" customHeight="1">
      <c r="B8" s="451">
        <v>7</v>
      </c>
      <c r="C8" s="452" t="s">
        <v>22</v>
      </c>
      <c r="D8" s="452" t="s">
        <v>23</v>
      </c>
      <c r="E8" s="453">
        <v>5830</v>
      </c>
      <c r="F8" s="453">
        <v>532269.69999999995</v>
      </c>
      <c r="G8" s="453">
        <v>505</v>
      </c>
      <c r="H8" s="453">
        <v>52136.2</v>
      </c>
      <c r="I8" s="453">
        <f t="shared" si="0"/>
        <v>584405.89999999991</v>
      </c>
      <c r="J8" s="453">
        <v>162636.67999999996</v>
      </c>
      <c r="K8" s="453">
        <v>502676.7</v>
      </c>
      <c r="L8" s="454">
        <f>J8+I8-K8</f>
        <v>244365.87999999983</v>
      </c>
    </row>
    <row r="9" spans="2:14" ht="15" customHeight="1">
      <c r="B9" s="451">
        <v>8</v>
      </c>
      <c r="C9" s="452" t="s">
        <v>24</v>
      </c>
      <c r="D9" s="452" t="s">
        <v>25</v>
      </c>
      <c r="E9" s="453">
        <v>2761.9700000000003</v>
      </c>
      <c r="F9" s="453">
        <v>249999.3358</v>
      </c>
      <c r="G9" s="453">
        <v>200</v>
      </c>
      <c r="H9" s="453">
        <v>20744</v>
      </c>
      <c r="I9" s="453">
        <f t="shared" si="0"/>
        <v>270743.3358</v>
      </c>
      <c r="J9" s="453">
        <v>0</v>
      </c>
      <c r="K9" s="453">
        <v>270743.94</v>
      </c>
      <c r="L9" s="454">
        <f>J9+I9-K9</f>
        <v>-0.60420000000158325</v>
      </c>
    </row>
    <row r="10" spans="2:14" ht="15" customHeight="1">
      <c r="B10" s="451">
        <v>9</v>
      </c>
      <c r="C10" s="452" t="s">
        <v>26</v>
      </c>
      <c r="D10" s="452" t="s">
        <v>27</v>
      </c>
      <c r="E10" s="453">
        <v>1500</v>
      </c>
      <c r="F10" s="453">
        <v>137085</v>
      </c>
      <c r="G10" s="453">
        <v>140</v>
      </c>
      <c r="H10" s="453">
        <v>14484.4</v>
      </c>
      <c r="I10" s="453">
        <f t="shared" ref="I10" si="1">F10+H10</f>
        <v>151569.4</v>
      </c>
      <c r="J10" s="453">
        <v>0</v>
      </c>
      <c r="K10" s="453">
        <v>0</v>
      </c>
      <c r="L10" s="454">
        <f>J10+I10-K10</f>
        <v>151569.4</v>
      </c>
    </row>
    <row r="11" spans="2:14" ht="15" customHeight="1">
      <c r="B11" s="451">
        <v>10</v>
      </c>
      <c r="C11" s="456" t="s">
        <v>28</v>
      </c>
      <c r="D11" s="456" t="s">
        <v>29</v>
      </c>
      <c r="E11" s="453">
        <v>4136.8999999999996</v>
      </c>
      <c r="F11" s="453">
        <v>380195.04</v>
      </c>
      <c r="G11" s="453">
        <v>175</v>
      </c>
      <c r="H11" s="453">
        <v>18175.5</v>
      </c>
      <c r="I11" s="453">
        <f t="shared" si="0"/>
        <v>398370.54</v>
      </c>
      <c r="J11" s="453">
        <v>20804.110899999978</v>
      </c>
      <c r="K11" s="453">
        <v>322518.78999999998</v>
      </c>
      <c r="L11" s="454">
        <f>J11+I11-K11</f>
        <v>96655.860899999971</v>
      </c>
    </row>
    <row r="12" spans="2:14" ht="15" customHeight="1">
      <c r="B12" s="451">
        <v>11</v>
      </c>
      <c r="C12" s="452" t="s">
        <v>30</v>
      </c>
      <c r="D12" s="452" t="s">
        <v>31</v>
      </c>
      <c r="E12" s="453">
        <v>4200</v>
      </c>
      <c r="F12" s="453">
        <v>385030</v>
      </c>
      <c r="G12" s="453">
        <v>135</v>
      </c>
      <c r="H12" s="453">
        <v>14076.45</v>
      </c>
      <c r="I12" s="453">
        <f t="shared" si="0"/>
        <v>399106.45</v>
      </c>
      <c r="J12" s="453">
        <v>377321.2</v>
      </c>
      <c r="K12" s="453">
        <v>0</v>
      </c>
      <c r="L12" s="454">
        <f>J12+I12-K12</f>
        <v>776427.65</v>
      </c>
    </row>
    <row r="13" spans="2:14" ht="15" customHeight="1">
      <c r="B13" s="451">
        <v>12</v>
      </c>
      <c r="C13" s="452" t="s">
        <v>32</v>
      </c>
      <c r="D13" s="452" t="s">
        <v>33</v>
      </c>
      <c r="E13" s="453">
        <v>5000</v>
      </c>
      <c r="F13" s="453">
        <v>460500</v>
      </c>
      <c r="G13" s="453">
        <v>280</v>
      </c>
      <c r="H13" s="453">
        <v>29080.799999999999</v>
      </c>
      <c r="I13" s="453">
        <f t="shared" si="0"/>
        <v>489580.79999999999</v>
      </c>
      <c r="J13" s="453">
        <v>0</v>
      </c>
      <c r="K13" s="453">
        <v>252060</v>
      </c>
      <c r="L13" s="454">
        <f>J13+I13-K13</f>
        <v>237520.8</v>
      </c>
    </row>
    <row r="14" spans="2:14" ht="15" customHeight="1">
      <c r="B14" s="451">
        <v>13</v>
      </c>
      <c r="C14" s="452" t="s">
        <v>34</v>
      </c>
      <c r="D14" s="452" t="s">
        <v>35</v>
      </c>
      <c r="E14" s="453">
        <v>2651</v>
      </c>
      <c r="F14" s="453">
        <v>244248.29</v>
      </c>
      <c r="G14" s="453">
        <v>415</v>
      </c>
      <c r="H14" s="453">
        <v>39453.199999999997</v>
      </c>
      <c r="I14" s="453">
        <f t="shared" si="0"/>
        <v>283701.49</v>
      </c>
      <c r="J14" s="453">
        <v>0</v>
      </c>
      <c r="K14" s="453">
        <v>283701.49</v>
      </c>
      <c r="L14" s="454">
        <f>J14+I14-K14</f>
        <v>0</v>
      </c>
    </row>
    <row r="15" spans="2:14" ht="15" customHeight="1">
      <c r="B15" s="451">
        <v>14</v>
      </c>
      <c r="C15" s="452" t="s">
        <v>36</v>
      </c>
      <c r="D15" s="452" t="s">
        <v>37</v>
      </c>
      <c r="E15" s="453">
        <v>671.88000000000011</v>
      </c>
      <c r="F15" s="453">
        <v>56516.454399999988</v>
      </c>
      <c r="G15" s="453">
        <v>45</v>
      </c>
      <c r="H15" s="453">
        <v>4624.6500000000005</v>
      </c>
      <c r="I15" s="453">
        <f t="shared" si="0"/>
        <v>61141.104399999989</v>
      </c>
      <c r="J15" s="453">
        <v>0</v>
      </c>
      <c r="K15" s="453">
        <v>61141.104399999989</v>
      </c>
      <c r="L15" s="454">
        <f>J15+I15-K15</f>
        <v>0</v>
      </c>
    </row>
    <row r="16" spans="2:14" ht="15" customHeight="1">
      <c r="B16" s="451">
        <v>15</v>
      </c>
      <c r="C16" s="452" t="s">
        <v>38</v>
      </c>
      <c r="D16" s="452" t="s">
        <v>39</v>
      </c>
      <c r="E16" s="453">
        <v>11264.130000000001</v>
      </c>
      <c r="F16" s="453">
        <v>1027695.8012000001</v>
      </c>
      <c r="G16" s="453">
        <v>146.34</v>
      </c>
      <c r="H16" s="453">
        <v>15099.361199999999</v>
      </c>
      <c r="I16" s="453">
        <f t="shared" si="0"/>
        <v>1042795.1624000001</v>
      </c>
      <c r="J16" s="453">
        <v>0</v>
      </c>
      <c r="K16" s="453">
        <v>983938.90619999997</v>
      </c>
      <c r="L16" s="457">
        <f>J16+I16-K16</f>
        <v>58856.256200000178</v>
      </c>
    </row>
    <row r="17" spans="2:12" ht="15" customHeight="1">
      <c r="B17" s="451">
        <v>16</v>
      </c>
      <c r="C17" s="452" t="s">
        <v>40</v>
      </c>
      <c r="D17" s="452" t="s">
        <v>41</v>
      </c>
      <c r="E17" s="453">
        <v>2416.33</v>
      </c>
      <c r="F17" s="453">
        <v>221712.22370000003</v>
      </c>
      <c r="G17" s="453">
        <v>32</v>
      </c>
      <c r="H17" s="453">
        <v>3319.36</v>
      </c>
      <c r="I17" s="453">
        <f t="shared" si="0"/>
        <v>225031.58370000002</v>
      </c>
      <c r="J17" s="453">
        <v>9494.547499999986</v>
      </c>
      <c r="K17" s="453">
        <v>0</v>
      </c>
      <c r="L17" s="454">
        <f>J17+I17-K17</f>
        <v>234526.1312</v>
      </c>
    </row>
    <row r="18" spans="2:12" ht="15" customHeight="1">
      <c r="B18" s="451">
        <v>17</v>
      </c>
      <c r="C18" s="452" t="s">
        <v>42</v>
      </c>
      <c r="D18" s="452" t="s">
        <v>43</v>
      </c>
      <c r="E18" s="453">
        <v>2391.84</v>
      </c>
      <c r="F18" s="453">
        <v>219275.8512</v>
      </c>
      <c r="G18" s="453">
        <v>203</v>
      </c>
      <c r="H18" s="453">
        <v>21089.670000000002</v>
      </c>
      <c r="I18" s="453">
        <v>240971.52119999999</v>
      </c>
      <c r="J18" s="458">
        <v>32208</v>
      </c>
      <c r="K18" s="453">
        <v>0</v>
      </c>
      <c r="L18" s="455">
        <f>J18+I18-K18</f>
        <v>273179.52119999996</v>
      </c>
    </row>
    <row r="19" spans="2:12" ht="15" customHeight="1">
      <c r="B19" s="451">
        <v>18</v>
      </c>
      <c r="C19" s="452" t="s">
        <v>44</v>
      </c>
      <c r="D19" s="452" t="s">
        <v>45</v>
      </c>
      <c r="E19" s="453">
        <v>206</v>
      </c>
      <c r="F19" s="453">
        <v>18867.54</v>
      </c>
      <c r="G19" s="453">
        <v>11.6</v>
      </c>
      <c r="H19" s="453">
        <v>1199.3206</v>
      </c>
      <c r="I19" s="453">
        <f t="shared" si="0"/>
        <v>20066.8606</v>
      </c>
      <c r="J19" s="453">
        <v>0</v>
      </c>
      <c r="K19" s="453">
        <v>20066.860600000004</v>
      </c>
      <c r="L19" s="454">
        <f>J19+I19-K19</f>
        <v>0</v>
      </c>
    </row>
    <row r="20" spans="2:12" ht="15" customHeight="1">
      <c r="B20" s="451">
        <v>19</v>
      </c>
      <c r="C20" s="452" t="s">
        <v>46</v>
      </c>
      <c r="D20" s="452" t="s">
        <v>47</v>
      </c>
      <c r="E20" s="453">
        <v>1404.9</v>
      </c>
      <c r="F20" s="453">
        <v>129137.70800000003</v>
      </c>
      <c r="G20" s="453">
        <v>86.36</v>
      </c>
      <c r="H20" s="453">
        <v>8977.9855999999982</v>
      </c>
      <c r="I20" s="453">
        <f t="shared" si="0"/>
        <v>138115.69360000003</v>
      </c>
      <c r="J20" s="453">
        <v>0</v>
      </c>
      <c r="K20" s="453">
        <v>138115.69360000003</v>
      </c>
      <c r="L20" s="454">
        <f>J20+I20-K20</f>
        <v>0</v>
      </c>
    </row>
    <row r="21" spans="2:12" ht="15" customHeight="1">
      <c r="B21" s="451">
        <v>20</v>
      </c>
      <c r="C21" s="452" t="s">
        <v>48</v>
      </c>
      <c r="D21" s="452" t="s">
        <v>49</v>
      </c>
      <c r="E21" s="453">
        <v>700.38000000000011</v>
      </c>
      <c r="F21" s="453">
        <v>64056.402200000004</v>
      </c>
      <c r="G21" s="453">
        <v>20.23</v>
      </c>
      <c r="H21" s="453">
        <v>2122.9362000000001</v>
      </c>
      <c r="I21" s="453">
        <f t="shared" si="0"/>
        <v>66179.338400000008</v>
      </c>
      <c r="J21" s="453">
        <v>786.79</v>
      </c>
      <c r="K21" s="453">
        <v>62426.625799999994</v>
      </c>
      <c r="L21" s="454">
        <f>J21+I21-K21</f>
        <v>4539.5026000000071</v>
      </c>
    </row>
    <row r="22" spans="2:12" ht="15" customHeight="1">
      <c r="B22" s="451">
        <v>21</v>
      </c>
      <c r="C22" s="452" t="s">
        <v>50</v>
      </c>
      <c r="D22" s="452" t="s">
        <v>51</v>
      </c>
      <c r="E22" s="453">
        <v>25100</v>
      </c>
      <c r="F22" s="453">
        <v>2287614</v>
      </c>
      <c r="G22" s="453">
        <v>140</v>
      </c>
      <c r="H22" s="453">
        <v>14644</v>
      </c>
      <c r="I22" s="453">
        <f t="shared" si="0"/>
        <v>2302258</v>
      </c>
      <c r="J22" s="453">
        <v>368223.66999999993</v>
      </c>
      <c r="K22" s="453">
        <v>1000000</v>
      </c>
      <c r="L22" s="454">
        <f>J22+I22-K22</f>
        <v>1670481.67</v>
      </c>
    </row>
    <row r="23" spans="2:12" ht="15" customHeight="1">
      <c r="B23" s="451">
        <v>22</v>
      </c>
      <c r="C23" s="452" t="s">
        <v>52</v>
      </c>
      <c r="D23" s="452" t="s">
        <v>53</v>
      </c>
      <c r="E23" s="453">
        <v>1538.6799999999998</v>
      </c>
      <c r="F23" s="453">
        <v>140786.45960000003</v>
      </c>
      <c r="G23" s="453">
        <v>60</v>
      </c>
      <c r="H23" s="453">
        <v>6206.76</v>
      </c>
      <c r="I23" s="453">
        <f t="shared" si="0"/>
        <v>146993.21960000004</v>
      </c>
      <c r="J23" s="453">
        <v>0</v>
      </c>
      <c r="K23" s="453">
        <v>56935.6</v>
      </c>
      <c r="L23" s="455">
        <f>J23+I23-K23</f>
        <v>90057.619600000035</v>
      </c>
    </row>
    <row r="24" spans="2:12" ht="15" customHeight="1">
      <c r="B24" s="451">
        <v>23</v>
      </c>
      <c r="C24" s="452" t="s">
        <v>54</v>
      </c>
      <c r="D24" s="452" t="s">
        <v>55</v>
      </c>
      <c r="E24" s="453">
        <v>1953.13</v>
      </c>
      <c r="F24" s="453">
        <v>179297.334</v>
      </c>
      <c r="G24" s="453">
        <v>67</v>
      </c>
      <c r="H24" s="453">
        <v>6951.920000000001</v>
      </c>
      <c r="I24" s="453">
        <f t="shared" si="0"/>
        <v>186249.25400000002</v>
      </c>
      <c r="J24" s="453">
        <v>0</v>
      </c>
      <c r="K24" s="453">
        <v>186249.25399999999</v>
      </c>
      <c r="L24" s="454">
        <f>J24+I24-K24</f>
        <v>0</v>
      </c>
    </row>
    <row r="25" spans="2:12" ht="15" customHeight="1">
      <c r="B25" s="451">
        <v>24</v>
      </c>
      <c r="C25" s="452" t="s">
        <v>56</v>
      </c>
      <c r="D25" s="452" t="s">
        <v>57</v>
      </c>
      <c r="E25" s="453">
        <v>656.58</v>
      </c>
      <c r="F25" s="453">
        <v>60371.023200000003</v>
      </c>
      <c r="G25" s="453">
        <v>55.51</v>
      </c>
      <c r="H25" s="453">
        <v>5774.1502</v>
      </c>
      <c r="I25" s="453">
        <f t="shared" si="0"/>
        <v>66145.1734</v>
      </c>
      <c r="J25" s="453">
        <v>0</v>
      </c>
      <c r="K25" s="453">
        <v>66145.170199999993</v>
      </c>
      <c r="L25" s="454">
        <f>J25+I25-K25</f>
        <v>3.2000000064726919E-3</v>
      </c>
    </row>
    <row r="26" spans="2:12" ht="15" customHeight="1">
      <c r="B26" s="451">
        <v>25</v>
      </c>
      <c r="C26" s="452" t="s">
        <v>58</v>
      </c>
      <c r="D26" s="452" t="s">
        <v>59</v>
      </c>
      <c r="E26" s="453">
        <v>279.12</v>
      </c>
      <c r="F26" s="453">
        <v>25651.589600000007</v>
      </c>
      <c r="G26" s="453">
        <v>30</v>
      </c>
      <c r="H26" s="453">
        <v>3114</v>
      </c>
      <c r="I26" s="453">
        <f t="shared" si="0"/>
        <v>28765.589600000007</v>
      </c>
      <c r="J26" s="453">
        <v>1556.9985000000015</v>
      </c>
      <c r="K26" s="453">
        <v>0</v>
      </c>
      <c r="L26" s="454">
        <f>J26+I26-K26</f>
        <v>30322.588100000008</v>
      </c>
    </row>
    <row r="27" spans="2:12" ht="15" customHeight="1">
      <c r="B27" s="451">
        <v>26</v>
      </c>
      <c r="C27" s="453" t="s">
        <v>60</v>
      </c>
      <c r="D27" s="453" t="s">
        <v>61</v>
      </c>
      <c r="E27" s="453">
        <v>10254.580000000002</v>
      </c>
      <c r="F27" s="453">
        <v>936569.91209999996</v>
      </c>
      <c r="G27" s="453">
        <v>236</v>
      </c>
      <c r="H27" s="453">
        <v>24422.660000000007</v>
      </c>
      <c r="I27" s="453">
        <f t="shared" si="0"/>
        <v>960992.57209999999</v>
      </c>
      <c r="J27" s="453">
        <v>75354.745799999917</v>
      </c>
      <c r="K27" s="453">
        <v>0</v>
      </c>
      <c r="L27" s="455">
        <f>J27+I27-K27</f>
        <v>1036347.3178999999</v>
      </c>
    </row>
    <row r="28" spans="2:12" ht="15" customHeight="1">
      <c r="B28" s="451">
        <v>27</v>
      </c>
      <c r="C28" s="453" t="s">
        <v>62</v>
      </c>
      <c r="D28" s="453" t="s">
        <v>63</v>
      </c>
      <c r="E28" s="453">
        <v>4805.1400000000012</v>
      </c>
      <c r="F28" s="453">
        <v>439574.20720000012</v>
      </c>
      <c r="G28" s="453">
        <v>161</v>
      </c>
      <c r="H28" s="453">
        <v>16649.009999999998</v>
      </c>
      <c r="I28" s="453">
        <f t="shared" si="0"/>
        <v>456223.21720000013</v>
      </c>
      <c r="J28" s="453">
        <v>17566.777600000001</v>
      </c>
      <c r="K28" s="453">
        <v>0</v>
      </c>
      <c r="L28" s="454">
        <f>J28+I28-K28</f>
        <v>473789.9948000001</v>
      </c>
    </row>
    <row r="29" spans="2:12" ht="15" customHeight="1">
      <c r="B29" s="451">
        <v>28</v>
      </c>
      <c r="C29" s="453" t="s">
        <v>64</v>
      </c>
      <c r="D29" s="453" t="s">
        <v>65</v>
      </c>
      <c r="E29" s="453">
        <v>155</v>
      </c>
      <c r="F29" s="453">
        <v>14210.499999999998</v>
      </c>
      <c r="G29" s="453">
        <v>5</v>
      </c>
      <c r="H29" s="453">
        <v>518.65</v>
      </c>
      <c r="I29" s="453">
        <f t="shared" si="0"/>
        <v>14729.149999999998</v>
      </c>
      <c r="J29" s="453">
        <v>0</v>
      </c>
      <c r="K29" s="453">
        <v>14729.15</v>
      </c>
      <c r="L29" s="454">
        <f>J29+I29-K29</f>
        <v>0</v>
      </c>
    </row>
    <row r="30" spans="2:12" ht="15" customHeight="1">
      <c r="B30" s="451">
        <v>29</v>
      </c>
      <c r="C30" s="453" t="s">
        <v>66</v>
      </c>
      <c r="D30" s="453" t="s">
        <v>67</v>
      </c>
      <c r="E30" s="453">
        <v>551.37000000000012</v>
      </c>
      <c r="F30" s="453">
        <v>50139.681800000006</v>
      </c>
      <c r="G30" s="453">
        <v>53.9</v>
      </c>
      <c r="H30" s="453">
        <v>5554.3950000000004</v>
      </c>
      <c r="I30" s="453">
        <f t="shared" si="0"/>
        <v>55694.07680000001</v>
      </c>
      <c r="J30" s="453">
        <v>0</v>
      </c>
      <c r="K30" s="453">
        <v>55694.076799999995</v>
      </c>
      <c r="L30" s="454">
        <f>J30+I30-K30</f>
        <v>0</v>
      </c>
    </row>
    <row r="31" spans="2:12" ht="15" customHeight="1">
      <c r="B31" s="451">
        <v>30</v>
      </c>
      <c r="C31" s="453" t="s">
        <v>68</v>
      </c>
      <c r="D31" s="453" t="s">
        <v>69</v>
      </c>
      <c r="E31" s="453">
        <v>1107.6599999999999</v>
      </c>
      <c r="F31" s="453">
        <v>101277.98729999999</v>
      </c>
      <c r="G31" s="453">
        <v>83.6</v>
      </c>
      <c r="H31" s="453">
        <v>8647.5840000000007</v>
      </c>
      <c r="I31" s="453">
        <f t="shared" si="0"/>
        <v>109925.5713</v>
      </c>
      <c r="J31" s="453">
        <v>0</v>
      </c>
      <c r="K31" s="453">
        <v>109925.5713</v>
      </c>
      <c r="L31" s="454">
        <f>J31+I31-K31</f>
        <v>0</v>
      </c>
    </row>
    <row r="32" spans="2:12" ht="15" customHeight="1">
      <c r="B32" s="451">
        <v>31</v>
      </c>
      <c r="C32" s="453" t="s">
        <v>70</v>
      </c>
      <c r="D32" s="453" t="s">
        <v>71</v>
      </c>
      <c r="E32" s="453">
        <v>1929.37</v>
      </c>
      <c r="F32" s="453">
        <v>174679.78510000001</v>
      </c>
      <c r="G32" s="453">
        <v>73.64</v>
      </c>
      <c r="H32" s="453">
        <v>7552.6924000000008</v>
      </c>
      <c r="I32" s="453">
        <f t="shared" si="0"/>
        <v>182232.47750000001</v>
      </c>
      <c r="J32" s="453">
        <v>10504.914400000018</v>
      </c>
      <c r="K32" s="453">
        <v>0</v>
      </c>
      <c r="L32" s="454">
        <f>J32+I32-K32</f>
        <v>192737.39190000002</v>
      </c>
    </row>
    <row r="33" spans="2:12" ht="15" customHeight="1">
      <c r="B33" s="451">
        <v>32</v>
      </c>
      <c r="C33" s="453" t="s">
        <v>72</v>
      </c>
      <c r="D33" s="453" t="s">
        <v>73</v>
      </c>
      <c r="E33" s="453">
        <v>496.09000000000003</v>
      </c>
      <c r="F33" s="453">
        <v>45367.430500000002</v>
      </c>
      <c r="G33" s="453">
        <v>33.81</v>
      </c>
      <c r="H33" s="453">
        <v>3495.6158999999998</v>
      </c>
      <c r="I33" s="453">
        <f t="shared" si="0"/>
        <v>48863.046399999999</v>
      </c>
      <c r="J33" s="453">
        <v>0</v>
      </c>
      <c r="K33" s="453">
        <v>48863.046399999999</v>
      </c>
      <c r="L33" s="454">
        <f>J33+I33-K33</f>
        <v>0</v>
      </c>
    </row>
    <row r="34" spans="2:12" ht="15" customHeight="1">
      <c r="B34" s="451">
        <v>33</v>
      </c>
      <c r="C34" s="453" t="s">
        <v>74</v>
      </c>
      <c r="D34" s="453" t="s">
        <v>75</v>
      </c>
      <c r="E34" s="453">
        <v>583.29999999999995</v>
      </c>
      <c r="F34" s="453">
        <v>53212.789000000004</v>
      </c>
      <c r="G34" s="453">
        <v>43.47</v>
      </c>
      <c r="H34" s="453">
        <v>4488.7121999999999</v>
      </c>
      <c r="I34" s="453">
        <f t="shared" si="0"/>
        <v>57701.501200000006</v>
      </c>
      <c r="J34" s="453">
        <v>0</v>
      </c>
      <c r="K34" s="453">
        <v>57701.501199999999</v>
      </c>
      <c r="L34" s="454">
        <f>J34+I34-K34</f>
        <v>0</v>
      </c>
    </row>
    <row r="35" spans="2:12" ht="15" customHeight="1">
      <c r="B35" s="451">
        <v>34</v>
      </c>
      <c r="C35" s="453" t="s">
        <v>76</v>
      </c>
      <c r="D35" s="453" t="s">
        <v>77</v>
      </c>
      <c r="E35" s="453">
        <v>0</v>
      </c>
      <c r="F35" s="453">
        <v>0</v>
      </c>
      <c r="G35" s="453">
        <v>28.89</v>
      </c>
      <c r="H35" s="453">
        <v>2960.0694000000003</v>
      </c>
      <c r="I35" s="453">
        <f t="shared" si="0"/>
        <v>2960.0694000000003</v>
      </c>
      <c r="J35" s="453">
        <v>0</v>
      </c>
      <c r="K35" s="453">
        <v>2960.0694000000003</v>
      </c>
      <c r="L35" s="454">
        <f>J35+I35-K35</f>
        <v>0</v>
      </c>
    </row>
    <row r="36" spans="2:12" ht="15" customHeight="1">
      <c r="B36" s="451">
        <v>35</v>
      </c>
      <c r="C36" s="453" t="s">
        <v>78</v>
      </c>
      <c r="D36" s="453" t="s">
        <v>79</v>
      </c>
      <c r="E36" s="453">
        <v>865</v>
      </c>
      <c r="F36" s="453">
        <v>79352.100000000006</v>
      </c>
      <c r="G36" s="453">
        <v>29.019999999999996</v>
      </c>
      <c r="H36" s="453">
        <v>3005.3598999999999</v>
      </c>
      <c r="I36" s="453">
        <v>82357.459900000031</v>
      </c>
      <c r="J36" s="453">
        <v>0</v>
      </c>
      <c r="K36" s="453">
        <v>34042.340000000004</v>
      </c>
      <c r="L36" s="455">
        <f>J36+I36-K36</f>
        <v>48315.119900000027</v>
      </c>
    </row>
    <row r="37" spans="2:12" ht="15" customHeight="1">
      <c r="B37" s="402" t="s">
        <v>80</v>
      </c>
      <c r="C37" s="403"/>
      <c r="D37" s="404"/>
      <c r="E37" s="395">
        <f>SUM(E2:E36)</f>
        <v>344992.38000000012</v>
      </c>
      <c r="F37" s="395">
        <f>SUM(F2:F36)</f>
        <v>32633932.474400006</v>
      </c>
      <c r="G37" s="395">
        <f>SUM(G2:G36)</f>
        <v>5188.590000000002</v>
      </c>
      <c r="H37" s="395">
        <f>SUM(H2:H36)</f>
        <v>540978.17550000001</v>
      </c>
      <c r="I37" s="395">
        <f>SUM(I2:I36)</f>
        <v>33175516.649899989</v>
      </c>
      <c r="J37" s="395">
        <f>SUM(J2:J36)</f>
        <v>2139972.6133000003</v>
      </c>
      <c r="K37" s="395">
        <f>SUM(K2:K36)</f>
        <v>7130635.8898999989</v>
      </c>
      <c r="L37" s="396">
        <f>I37+J37-K37</f>
        <v>28184853.373299994</v>
      </c>
    </row>
    <row r="40" spans="2:12">
      <c r="L40" s="394"/>
    </row>
    <row r="41" spans="2:12">
      <c r="B41" s="389" t="s">
        <v>0</v>
      </c>
      <c r="C41" s="390" t="s">
        <v>1</v>
      </c>
      <c r="D41" s="390" t="s">
        <v>2</v>
      </c>
      <c r="E41" s="391" t="s">
        <v>3</v>
      </c>
      <c r="F41" s="391" t="s">
        <v>5</v>
      </c>
    </row>
    <row r="42" spans="2:12">
      <c r="B42" s="451">
        <v>1</v>
      </c>
      <c r="C42" s="452" t="s">
        <v>11</v>
      </c>
      <c r="D42" s="452" t="s">
        <v>12</v>
      </c>
      <c r="E42" s="453">
        <v>50997.73</v>
      </c>
      <c r="F42" s="453">
        <v>380</v>
      </c>
      <c r="L42" s="24"/>
    </row>
    <row r="43" spans="2:12">
      <c r="B43" s="451">
        <v>2</v>
      </c>
      <c r="C43" s="452" t="s">
        <v>13</v>
      </c>
      <c r="D43" s="452" t="s">
        <v>16</v>
      </c>
      <c r="E43" s="453">
        <v>87686.7</v>
      </c>
      <c r="F43" s="453">
        <v>160</v>
      </c>
    </row>
    <row r="44" spans="2:12">
      <c r="B44" s="451">
        <v>3</v>
      </c>
      <c r="C44" s="452" t="s">
        <v>15</v>
      </c>
      <c r="D44" s="452" t="s">
        <v>14</v>
      </c>
      <c r="E44" s="453">
        <v>51622.9</v>
      </c>
      <c r="F44" s="453">
        <v>553.01</v>
      </c>
    </row>
    <row r="45" spans="2:12">
      <c r="B45" s="451">
        <v>4</v>
      </c>
      <c r="C45" s="452" t="s">
        <v>17</v>
      </c>
      <c r="D45" s="452" t="s">
        <v>18</v>
      </c>
      <c r="E45" s="453">
        <v>19613.09</v>
      </c>
      <c r="F45" s="453">
        <v>433.21</v>
      </c>
    </row>
    <row r="46" spans="2:12">
      <c r="B46" s="451">
        <v>5</v>
      </c>
      <c r="C46" s="452" t="s">
        <v>19</v>
      </c>
      <c r="D46" s="452" t="s">
        <v>20</v>
      </c>
      <c r="E46" s="453">
        <v>19050.510000000002</v>
      </c>
      <c r="F46" s="453">
        <v>0</v>
      </c>
    </row>
    <row r="47" spans="2:12">
      <c r="B47" s="451">
        <v>6</v>
      </c>
      <c r="C47" s="452" t="s">
        <v>21</v>
      </c>
      <c r="D47" s="452" t="s">
        <v>21</v>
      </c>
      <c r="E47" s="453">
        <v>20611.100000000002</v>
      </c>
      <c r="F47" s="453">
        <v>167</v>
      </c>
    </row>
    <row r="48" spans="2:12">
      <c r="B48" s="451">
        <v>7</v>
      </c>
      <c r="C48" s="452" t="s">
        <v>22</v>
      </c>
      <c r="D48" s="452" t="s">
        <v>23</v>
      </c>
      <c r="E48" s="453">
        <v>5830</v>
      </c>
      <c r="F48" s="453">
        <v>505</v>
      </c>
    </row>
    <row r="49" spans="2:6">
      <c r="B49" s="451">
        <v>8</v>
      </c>
      <c r="C49" s="452" t="s">
        <v>24</v>
      </c>
      <c r="D49" s="452" t="s">
        <v>25</v>
      </c>
      <c r="E49" s="453">
        <v>2761.9700000000003</v>
      </c>
      <c r="F49" s="453">
        <v>200</v>
      </c>
    </row>
    <row r="50" spans="2:6">
      <c r="B50" s="451">
        <v>9</v>
      </c>
      <c r="C50" s="452" t="s">
        <v>26</v>
      </c>
      <c r="D50" s="452" t="s">
        <v>27</v>
      </c>
      <c r="E50" s="453">
        <v>1500</v>
      </c>
      <c r="F50" s="453">
        <v>140</v>
      </c>
    </row>
    <row r="51" spans="2:6">
      <c r="B51" s="451">
        <v>10</v>
      </c>
      <c r="C51" s="456" t="s">
        <v>28</v>
      </c>
      <c r="D51" s="456" t="s">
        <v>29</v>
      </c>
      <c r="E51" s="453">
        <v>4136.8999999999996</v>
      </c>
      <c r="F51" s="453">
        <v>175</v>
      </c>
    </row>
    <row r="52" spans="2:6">
      <c r="B52" s="451">
        <v>11</v>
      </c>
      <c r="C52" s="452" t="s">
        <v>30</v>
      </c>
      <c r="D52" s="452" t="s">
        <v>31</v>
      </c>
      <c r="E52" s="453">
        <v>4200</v>
      </c>
      <c r="F52" s="453">
        <v>135</v>
      </c>
    </row>
    <row r="53" spans="2:6">
      <c r="B53" s="451">
        <v>12</v>
      </c>
      <c r="C53" s="452" t="s">
        <v>32</v>
      </c>
      <c r="D53" s="452" t="s">
        <v>33</v>
      </c>
      <c r="E53" s="453">
        <v>5000</v>
      </c>
      <c r="F53" s="453">
        <v>280</v>
      </c>
    </row>
    <row r="54" spans="2:6">
      <c r="B54" s="451">
        <v>13</v>
      </c>
      <c r="C54" s="452" t="s">
        <v>34</v>
      </c>
      <c r="D54" s="452" t="s">
        <v>35</v>
      </c>
      <c r="E54" s="453">
        <v>2651</v>
      </c>
      <c r="F54" s="453">
        <v>415</v>
      </c>
    </row>
    <row r="55" spans="2:6">
      <c r="B55" s="451">
        <v>14</v>
      </c>
      <c r="C55" s="452" t="s">
        <v>36</v>
      </c>
      <c r="D55" s="452" t="s">
        <v>37</v>
      </c>
      <c r="E55" s="453">
        <v>671.88000000000011</v>
      </c>
      <c r="F55" s="453">
        <v>45</v>
      </c>
    </row>
    <row r="56" spans="2:6">
      <c r="B56" s="451">
        <v>15</v>
      </c>
      <c r="C56" s="452" t="s">
        <v>38</v>
      </c>
      <c r="D56" s="452" t="s">
        <v>39</v>
      </c>
      <c r="E56" s="453">
        <v>11264.12</v>
      </c>
      <c r="F56" s="453">
        <v>142.21</v>
      </c>
    </row>
    <row r="57" spans="2:6">
      <c r="B57" s="451">
        <v>16</v>
      </c>
      <c r="C57" s="452" t="s">
        <v>40</v>
      </c>
      <c r="D57" s="452" t="s">
        <v>41</v>
      </c>
      <c r="E57" s="453">
        <v>2416.33</v>
      </c>
      <c r="F57" s="453">
        <v>32</v>
      </c>
    </row>
    <row r="58" spans="2:6">
      <c r="B58" s="451">
        <v>17</v>
      </c>
      <c r="C58" s="452" t="s">
        <v>42</v>
      </c>
      <c r="D58" s="452" t="s">
        <v>43</v>
      </c>
      <c r="E58" s="453">
        <v>2391.84</v>
      </c>
      <c r="F58" s="453">
        <v>202</v>
      </c>
    </row>
    <row r="59" spans="2:6">
      <c r="B59" s="451">
        <v>18</v>
      </c>
      <c r="C59" s="452" t="s">
        <v>44</v>
      </c>
      <c r="D59" s="452" t="s">
        <v>45</v>
      </c>
      <c r="E59" s="453">
        <v>206</v>
      </c>
      <c r="F59" s="453">
        <v>11.6</v>
      </c>
    </row>
    <row r="60" spans="2:6">
      <c r="B60" s="451">
        <v>19</v>
      </c>
      <c r="C60" s="452" t="s">
        <v>46</v>
      </c>
      <c r="D60" s="452" t="s">
        <v>47</v>
      </c>
      <c r="E60" s="453">
        <v>1404.9</v>
      </c>
      <c r="F60" s="453">
        <v>86.36</v>
      </c>
    </row>
    <row r="61" spans="2:6">
      <c r="B61" s="451">
        <v>20</v>
      </c>
      <c r="C61" s="452" t="s">
        <v>48</v>
      </c>
      <c r="D61" s="452" t="s">
        <v>49</v>
      </c>
      <c r="E61" s="453">
        <v>700.38000000000011</v>
      </c>
      <c r="F61" s="453">
        <v>20.23</v>
      </c>
    </row>
    <row r="62" spans="2:6">
      <c r="B62" s="451">
        <v>21</v>
      </c>
      <c r="C62" s="452" t="s">
        <v>50</v>
      </c>
      <c r="D62" s="452" t="s">
        <v>51</v>
      </c>
      <c r="E62" s="453">
        <v>25100</v>
      </c>
      <c r="F62" s="453">
        <v>140</v>
      </c>
    </row>
    <row r="63" spans="2:6">
      <c r="B63" s="451">
        <v>22</v>
      </c>
      <c r="C63" s="452" t="s">
        <v>52</v>
      </c>
      <c r="D63" s="452" t="s">
        <v>53</v>
      </c>
      <c r="E63" s="453">
        <v>1538.6799999999998</v>
      </c>
      <c r="F63" s="453">
        <v>60</v>
      </c>
    </row>
    <row r="64" spans="2:6">
      <c r="B64" s="451">
        <v>23</v>
      </c>
      <c r="C64" s="452" t="s">
        <v>54</v>
      </c>
      <c r="D64" s="452" t="s">
        <v>55</v>
      </c>
      <c r="E64" s="453">
        <v>1953.13</v>
      </c>
      <c r="F64" s="453">
        <v>67</v>
      </c>
    </row>
    <row r="65" spans="2:6">
      <c r="B65" s="451">
        <v>24</v>
      </c>
      <c r="C65" s="452" t="s">
        <v>56</v>
      </c>
      <c r="D65" s="452" t="s">
        <v>57</v>
      </c>
      <c r="E65" s="453">
        <v>656.58</v>
      </c>
      <c r="F65" s="453">
        <v>55.51</v>
      </c>
    </row>
    <row r="66" spans="2:6">
      <c r="B66" s="451">
        <v>25</v>
      </c>
      <c r="C66" s="452" t="s">
        <v>58</v>
      </c>
      <c r="D66" s="452" t="s">
        <v>59</v>
      </c>
      <c r="E66" s="453">
        <v>279.12</v>
      </c>
      <c r="F66" s="453">
        <v>30</v>
      </c>
    </row>
    <row r="67" spans="2:6">
      <c r="B67" s="451">
        <v>26</v>
      </c>
      <c r="C67" s="453" t="s">
        <v>60</v>
      </c>
      <c r="D67" s="453" t="s">
        <v>61</v>
      </c>
      <c r="E67" s="453">
        <v>10247.500000000002</v>
      </c>
      <c r="F67" s="453">
        <v>236</v>
      </c>
    </row>
    <row r="68" spans="2:6">
      <c r="B68" s="451">
        <v>27</v>
      </c>
      <c r="C68" s="453" t="s">
        <v>62</v>
      </c>
      <c r="D68" s="453" t="s">
        <v>63</v>
      </c>
      <c r="E68" s="453">
        <v>4805.1400000000012</v>
      </c>
      <c r="F68" s="453">
        <v>161</v>
      </c>
    </row>
    <row r="69" spans="2:6">
      <c r="B69" s="451">
        <v>28</v>
      </c>
      <c r="C69" s="453" t="s">
        <v>64</v>
      </c>
      <c r="D69" s="453" t="s">
        <v>65</v>
      </c>
      <c r="E69" s="453">
        <v>155</v>
      </c>
      <c r="F69" s="453">
        <v>5</v>
      </c>
    </row>
    <row r="70" spans="2:6">
      <c r="B70" s="451">
        <v>29</v>
      </c>
      <c r="C70" s="453" t="s">
        <v>66</v>
      </c>
      <c r="D70" s="453" t="s">
        <v>67</v>
      </c>
      <c r="E70" s="453">
        <v>551.37000000000012</v>
      </c>
      <c r="F70" s="453">
        <v>53.9</v>
      </c>
    </row>
    <row r="71" spans="2:6">
      <c r="B71" s="451">
        <v>30</v>
      </c>
      <c r="C71" s="453" t="s">
        <v>68</v>
      </c>
      <c r="D71" s="453" t="s">
        <v>69</v>
      </c>
      <c r="E71" s="453">
        <v>1107.6599999999999</v>
      </c>
      <c r="F71" s="453">
        <v>83.6</v>
      </c>
    </row>
    <row r="72" spans="2:6">
      <c r="B72" s="451">
        <v>31</v>
      </c>
      <c r="C72" s="453" t="s">
        <v>70</v>
      </c>
      <c r="D72" s="453" t="s">
        <v>71</v>
      </c>
      <c r="E72" s="453">
        <v>1929.37</v>
      </c>
      <c r="F72" s="453">
        <v>73.64</v>
      </c>
    </row>
    <row r="73" spans="2:6">
      <c r="B73" s="451">
        <v>32</v>
      </c>
      <c r="C73" s="453" t="s">
        <v>72</v>
      </c>
      <c r="D73" s="453" t="s">
        <v>73</v>
      </c>
      <c r="E73" s="453">
        <v>496.09000000000003</v>
      </c>
      <c r="F73" s="453">
        <v>33.81</v>
      </c>
    </row>
    <row r="74" spans="2:6">
      <c r="B74" s="451">
        <v>33</v>
      </c>
      <c r="C74" s="453" t="s">
        <v>74</v>
      </c>
      <c r="D74" s="453" t="s">
        <v>75</v>
      </c>
      <c r="E74" s="453">
        <v>583.29999999999995</v>
      </c>
      <c r="F74" s="453">
        <v>43.47</v>
      </c>
    </row>
    <row r="75" spans="2:6">
      <c r="B75" s="451">
        <v>34</v>
      </c>
      <c r="C75" s="453" t="s">
        <v>76</v>
      </c>
      <c r="D75" s="453" t="s">
        <v>77</v>
      </c>
      <c r="E75" s="453">
        <v>0</v>
      </c>
      <c r="F75" s="453">
        <v>28.89</v>
      </c>
    </row>
    <row r="76" spans="2:6">
      <c r="B76" s="451">
        <v>35</v>
      </c>
      <c r="C76" s="453" t="s">
        <v>78</v>
      </c>
      <c r="D76" s="453" t="s">
        <v>79</v>
      </c>
      <c r="E76" s="453">
        <v>865</v>
      </c>
      <c r="F76" s="453">
        <v>29.019999999999996</v>
      </c>
    </row>
    <row r="77" spans="2:6">
      <c r="B77" s="402" t="s">
        <v>80</v>
      </c>
      <c r="C77" s="403"/>
      <c r="D77" s="404"/>
      <c r="E77" s="395">
        <f>SUM(E42:E76)</f>
        <v>344985.2900000001</v>
      </c>
      <c r="F77" s="395">
        <f>SUM(F42:F76)</f>
        <v>5183.4600000000028</v>
      </c>
    </row>
  </sheetData>
  <mergeCells count="2">
    <mergeCell ref="B37:D37"/>
    <mergeCell ref="B77:D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F7BF-4A84-4ADB-87E5-5334AC31BAFD}">
  <dimension ref="A1:R42"/>
  <sheetViews>
    <sheetView workbookViewId="0">
      <pane ySplit="2" topLeftCell="A25" activePane="bottomLeft" state="frozen"/>
      <selection pane="bottomLeft" activeCell="J37" sqref="J37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25.42578125" customWidth="1"/>
    <col min="5" max="5" width="10.7109375" bestFit="1" customWidth="1"/>
    <col min="6" max="6" width="11.85546875" customWidth="1"/>
    <col min="7" max="7" width="12.140625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3" width="15" customWidth="1"/>
    <col min="14" max="14" width="22.5703125" customWidth="1"/>
    <col min="17" max="17" width="9.5703125" bestFit="1" customWidth="1"/>
    <col min="18" max="18" width="9.28515625" bestFit="1" customWidth="1"/>
  </cols>
  <sheetData>
    <row r="1" spans="1:17" s="108" customFormat="1" ht="15.75" customHeight="1">
      <c r="A1" s="405" t="s">
        <v>39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</row>
    <row r="2" spans="1:17">
      <c r="A2" s="78" t="s">
        <v>81</v>
      </c>
      <c r="B2" s="78" t="s">
        <v>82</v>
      </c>
      <c r="C2" s="78" t="s">
        <v>83</v>
      </c>
      <c r="D2" s="78" t="s">
        <v>84</v>
      </c>
      <c r="E2" s="107" t="s">
        <v>85</v>
      </c>
      <c r="F2" s="107" t="s">
        <v>86</v>
      </c>
      <c r="G2" s="107" t="s">
        <v>87</v>
      </c>
      <c r="H2" s="107" t="s">
        <v>88</v>
      </c>
      <c r="I2" s="107" t="s">
        <v>86</v>
      </c>
      <c r="J2" s="107" t="s">
        <v>87</v>
      </c>
      <c r="K2" s="107" t="s">
        <v>89</v>
      </c>
      <c r="L2" s="100" t="s">
        <v>90</v>
      </c>
      <c r="M2" s="100" t="s">
        <v>91</v>
      </c>
      <c r="N2" s="78" t="s">
        <v>92</v>
      </c>
    </row>
    <row r="3" spans="1:17">
      <c r="A3" s="19"/>
      <c r="B3" s="19"/>
      <c r="C3" s="19"/>
      <c r="D3" s="19" t="s">
        <v>93</v>
      </c>
      <c r="E3" s="19"/>
      <c r="F3" s="19"/>
      <c r="G3" s="19"/>
      <c r="H3" s="19"/>
      <c r="I3" s="19"/>
      <c r="J3" s="19"/>
      <c r="K3" s="46">
        <v>0</v>
      </c>
      <c r="L3" s="19"/>
      <c r="M3" s="46">
        <f>+K3</f>
        <v>0</v>
      </c>
      <c r="N3" s="19"/>
    </row>
    <row r="4" spans="1:17">
      <c r="A4" s="28">
        <v>1</v>
      </c>
      <c r="B4" s="29">
        <v>45748</v>
      </c>
      <c r="C4" s="19"/>
      <c r="D4" s="19"/>
      <c r="E4" s="109">
        <v>90</v>
      </c>
      <c r="F4" s="109">
        <v>89.26</v>
      </c>
      <c r="G4" s="46">
        <f>E4*F4</f>
        <v>8033.4000000000005</v>
      </c>
      <c r="H4" s="54">
        <v>6</v>
      </c>
      <c r="I4" s="54">
        <v>103.18</v>
      </c>
      <c r="J4" s="46">
        <f>H4*I4</f>
        <v>619.08000000000004</v>
      </c>
      <c r="K4" s="46">
        <f>G4+J4</f>
        <v>8652.4800000000014</v>
      </c>
      <c r="L4" s="46">
        <f>+K4</f>
        <v>8652.4800000000014</v>
      </c>
      <c r="M4" s="46">
        <f>M3+K4-L4</f>
        <v>0</v>
      </c>
      <c r="N4" s="19"/>
    </row>
    <row r="5" spans="1:17">
      <c r="A5" s="28">
        <v>2</v>
      </c>
      <c r="B5" s="29">
        <v>45749</v>
      </c>
      <c r="C5" s="19"/>
      <c r="D5" s="19"/>
      <c r="E5" s="54">
        <v>60</v>
      </c>
      <c r="F5" s="54">
        <v>91.26</v>
      </c>
      <c r="G5" s="46">
        <f t="shared" ref="G5:G35" si="0">E5*F5</f>
        <v>5475.6</v>
      </c>
      <c r="H5" s="54">
        <v>0</v>
      </c>
      <c r="I5" s="54">
        <v>0</v>
      </c>
      <c r="J5" s="46">
        <f t="shared" ref="J5:J35" si="1">H5*I5</f>
        <v>0</v>
      </c>
      <c r="K5" s="46">
        <f t="shared" ref="K5:K35" si="2">G5+J5</f>
        <v>5475.6</v>
      </c>
      <c r="L5" s="46">
        <f t="shared" ref="L5:L35" si="3">+K5</f>
        <v>5475.6</v>
      </c>
      <c r="M5" s="46">
        <f t="shared" ref="M5:M36" si="4">M4+K5-L5</f>
        <v>0</v>
      </c>
      <c r="N5" s="19"/>
    </row>
    <row r="6" spans="1:17">
      <c r="A6" s="28">
        <v>3</v>
      </c>
      <c r="B6" s="29">
        <v>45749</v>
      </c>
      <c r="C6" s="19"/>
      <c r="D6" s="19"/>
      <c r="E6" s="54">
        <v>20</v>
      </c>
      <c r="F6" s="54">
        <v>91.41</v>
      </c>
      <c r="G6" s="46">
        <v>1828.2</v>
      </c>
      <c r="H6" s="54"/>
      <c r="I6" s="54"/>
      <c r="J6" s="46"/>
      <c r="K6" s="46">
        <f t="shared" si="2"/>
        <v>1828.2</v>
      </c>
      <c r="L6" s="46">
        <v>1828.2</v>
      </c>
      <c r="M6" s="46">
        <f>M5+K6-L6</f>
        <v>0</v>
      </c>
      <c r="N6" s="19"/>
    </row>
    <row r="7" spans="1:17">
      <c r="A7" s="28">
        <v>4</v>
      </c>
      <c r="B7" s="29">
        <v>45750</v>
      </c>
      <c r="C7" s="19"/>
      <c r="D7" s="19"/>
      <c r="E7" s="54">
        <v>105.99</v>
      </c>
      <c r="F7" s="54">
        <v>91.26</v>
      </c>
      <c r="G7" s="46">
        <f t="shared" si="0"/>
        <v>9672.6473999999998</v>
      </c>
      <c r="H7" s="54">
        <v>0</v>
      </c>
      <c r="I7" s="54">
        <v>0</v>
      </c>
      <c r="J7" s="46">
        <f t="shared" si="1"/>
        <v>0</v>
      </c>
      <c r="K7" s="46">
        <f t="shared" si="2"/>
        <v>9672.6473999999998</v>
      </c>
      <c r="L7" s="46">
        <f t="shared" si="3"/>
        <v>9672.6473999999998</v>
      </c>
      <c r="M7" s="46">
        <f t="shared" si="4"/>
        <v>0</v>
      </c>
      <c r="N7" s="19"/>
    </row>
    <row r="8" spans="1:17">
      <c r="A8" s="28">
        <v>5</v>
      </c>
      <c r="B8" s="29">
        <v>45751</v>
      </c>
      <c r="C8" s="19"/>
      <c r="D8" s="19"/>
      <c r="E8" s="54">
        <v>294.98</v>
      </c>
      <c r="F8" s="54">
        <v>91.26</v>
      </c>
      <c r="G8" s="46">
        <f t="shared" si="0"/>
        <v>26919.874800000001</v>
      </c>
      <c r="H8" s="54">
        <v>10</v>
      </c>
      <c r="I8" s="54">
        <v>103.18</v>
      </c>
      <c r="J8" s="46">
        <f t="shared" si="1"/>
        <v>1031.8000000000002</v>
      </c>
      <c r="K8" s="46">
        <f t="shared" si="2"/>
        <v>27951.674800000001</v>
      </c>
      <c r="L8" s="46">
        <f t="shared" si="3"/>
        <v>27951.674800000001</v>
      </c>
      <c r="M8" s="46">
        <f t="shared" si="4"/>
        <v>0</v>
      </c>
      <c r="N8" s="19"/>
    </row>
    <row r="9" spans="1:17">
      <c r="A9" s="28">
        <v>6</v>
      </c>
      <c r="B9" s="29">
        <v>45752</v>
      </c>
      <c r="C9" s="19"/>
      <c r="D9" s="19"/>
      <c r="E9" s="54">
        <v>154</v>
      </c>
      <c r="F9" s="54">
        <v>91.26</v>
      </c>
      <c r="G9" s="46">
        <f t="shared" si="0"/>
        <v>14054.04</v>
      </c>
      <c r="H9" s="54">
        <v>0</v>
      </c>
      <c r="I9" s="54">
        <v>103.18</v>
      </c>
      <c r="J9" s="46">
        <f t="shared" si="1"/>
        <v>0</v>
      </c>
      <c r="K9" s="46">
        <f t="shared" si="2"/>
        <v>14054.04</v>
      </c>
      <c r="L9" s="46">
        <f t="shared" si="3"/>
        <v>14054.04</v>
      </c>
      <c r="M9" s="46">
        <f t="shared" si="4"/>
        <v>0</v>
      </c>
      <c r="N9" s="19"/>
    </row>
    <row r="10" spans="1:17">
      <c r="A10" s="28">
        <v>7</v>
      </c>
      <c r="B10" s="29">
        <v>45753</v>
      </c>
      <c r="C10" s="19"/>
      <c r="D10" s="19"/>
      <c r="E10" s="54">
        <v>25.01</v>
      </c>
      <c r="F10" s="54">
        <v>91.26</v>
      </c>
      <c r="G10" s="46">
        <f t="shared" si="0"/>
        <v>2282.4126000000001</v>
      </c>
      <c r="H10" s="54">
        <v>0</v>
      </c>
      <c r="I10" s="54">
        <v>0</v>
      </c>
      <c r="J10" s="46">
        <f t="shared" si="1"/>
        <v>0</v>
      </c>
      <c r="K10" s="46">
        <f t="shared" si="2"/>
        <v>2282.4126000000001</v>
      </c>
      <c r="L10" s="46">
        <f t="shared" si="3"/>
        <v>2282.4126000000001</v>
      </c>
      <c r="M10" s="46">
        <f t="shared" si="4"/>
        <v>0</v>
      </c>
      <c r="N10" s="19"/>
    </row>
    <row r="11" spans="1:17">
      <c r="A11" s="28">
        <v>8</v>
      </c>
      <c r="B11" s="29">
        <v>45754</v>
      </c>
      <c r="C11" s="19"/>
      <c r="D11" s="19"/>
      <c r="E11" s="54">
        <v>314.99</v>
      </c>
      <c r="F11" s="54">
        <v>91.26</v>
      </c>
      <c r="G11" s="46">
        <f t="shared" si="0"/>
        <v>28745.987400000002</v>
      </c>
      <c r="H11" s="54">
        <v>4.8499999999999996</v>
      </c>
      <c r="I11" s="54">
        <v>103.18</v>
      </c>
      <c r="J11" s="46">
        <f t="shared" si="1"/>
        <v>500.423</v>
      </c>
      <c r="K11" s="46">
        <f t="shared" si="2"/>
        <v>29246.410400000001</v>
      </c>
      <c r="L11" s="46">
        <f t="shared" si="3"/>
        <v>29246.410400000001</v>
      </c>
      <c r="M11" s="46">
        <f t="shared" si="4"/>
        <v>0</v>
      </c>
      <c r="N11" s="19"/>
      <c r="Q11">
        <v>4019</v>
      </c>
    </row>
    <row r="12" spans="1:17">
      <c r="A12" s="28">
        <v>9</v>
      </c>
      <c r="B12" s="29">
        <v>45755</v>
      </c>
      <c r="C12" s="19"/>
      <c r="D12" s="19"/>
      <c r="E12" s="384">
        <v>190</v>
      </c>
      <c r="F12" s="54">
        <v>91.26</v>
      </c>
      <c r="G12" s="46">
        <f t="shared" si="0"/>
        <v>17339.400000000001</v>
      </c>
      <c r="H12" s="54">
        <v>0</v>
      </c>
      <c r="I12" s="54">
        <v>0</v>
      </c>
      <c r="J12" s="46">
        <f t="shared" si="1"/>
        <v>0</v>
      </c>
      <c r="K12" s="46">
        <f t="shared" si="2"/>
        <v>17339.400000000001</v>
      </c>
      <c r="L12" s="46">
        <f t="shared" si="3"/>
        <v>17339.400000000001</v>
      </c>
      <c r="M12" s="46">
        <f t="shared" si="4"/>
        <v>0</v>
      </c>
      <c r="N12" s="19"/>
      <c r="Q12">
        <v>4208</v>
      </c>
    </row>
    <row r="13" spans="1:17">
      <c r="A13" s="28">
        <v>10</v>
      </c>
      <c r="B13" s="29">
        <v>45756</v>
      </c>
      <c r="C13" s="19"/>
      <c r="D13" s="19">
        <v>390.31</v>
      </c>
      <c r="E13" s="54">
        <v>390.31</v>
      </c>
      <c r="F13" s="54">
        <v>91.26</v>
      </c>
      <c r="G13" s="46">
        <f t="shared" si="0"/>
        <v>35619.690600000002</v>
      </c>
      <c r="H13" s="54">
        <v>17.04</v>
      </c>
      <c r="I13" s="54">
        <v>103.18</v>
      </c>
      <c r="J13" s="46">
        <f t="shared" si="1"/>
        <v>1758.1872000000001</v>
      </c>
      <c r="K13" s="46">
        <f t="shared" si="2"/>
        <v>37377.877800000002</v>
      </c>
      <c r="L13" s="46">
        <v>37377</v>
      </c>
      <c r="M13" s="46">
        <f t="shared" si="4"/>
        <v>0.87780000000202563</v>
      </c>
      <c r="N13" s="19"/>
      <c r="Q13">
        <f>Q12-Q11</f>
        <v>189</v>
      </c>
    </row>
    <row r="14" spans="1:17">
      <c r="A14" s="28">
        <v>11</v>
      </c>
      <c r="B14" s="29">
        <v>45757</v>
      </c>
      <c r="C14" s="19"/>
      <c r="D14" s="19"/>
      <c r="E14" s="54">
        <v>355</v>
      </c>
      <c r="F14" s="54">
        <v>91.26</v>
      </c>
      <c r="G14" s="46">
        <f t="shared" si="0"/>
        <v>32397.300000000003</v>
      </c>
      <c r="H14" s="54">
        <v>6</v>
      </c>
      <c r="I14" s="54">
        <v>103.18</v>
      </c>
      <c r="J14" s="46">
        <f t="shared" si="1"/>
        <v>619.08000000000004</v>
      </c>
      <c r="K14" s="46">
        <f t="shared" si="2"/>
        <v>33016.380000000005</v>
      </c>
      <c r="L14" s="46">
        <f t="shared" si="3"/>
        <v>33016.380000000005</v>
      </c>
      <c r="M14" s="46">
        <f t="shared" si="4"/>
        <v>0.87780000000202563</v>
      </c>
      <c r="N14" s="19"/>
    </row>
    <row r="15" spans="1:17">
      <c r="A15" s="28">
        <v>12</v>
      </c>
      <c r="B15" s="29">
        <v>45758</v>
      </c>
      <c r="C15" s="19"/>
      <c r="D15" s="19"/>
      <c r="E15" s="353">
        <v>432</v>
      </c>
      <c r="F15" s="54">
        <v>91.26</v>
      </c>
      <c r="G15" s="46">
        <f t="shared" si="0"/>
        <v>39424.32</v>
      </c>
      <c r="H15" s="54">
        <v>0</v>
      </c>
      <c r="I15" s="54">
        <v>0</v>
      </c>
      <c r="J15" s="46">
        <f t="shared" si="1"/>
        <v>0</v>
      </c>
      <c r="K15" s="46">
        <f t="shared" si="2"/>
        <v>39424.32</v>
      </c>
      <c r="L15" s="46">
        <f t="shared" si="3"/>
        <v>39424.32</v>
      </c>
      <c r="M15" s="46">
        <f t="shared" si="4"/>
        <v>0.87780000000202563</v>
      </c>
      <c r="N15" s="19"/>
    </row>
    <row r="16" spans="1:17">
      <c r="A16" s="28">
        <v>13</v>
      </c>
      <c r="B16" s="29">
        <v>45759</v>
      </c>
      <c r="C16" s="19"/>
      <c r="D16" s="19"/>
      <c r="E16" s="353">
        <v>335</v>
      </c>
      <c r="F16" s="54">
        <v>91.26</v>
      </c>
      <c r="G16" s="46">
        <f t="shared" si="0"/>
        <v>30572.100000000002</v>
      </c>
      <c r="H16" s="54">
        <v>0</v>
      </c>
      <c r="I16" s="54">
        <v>0</v>
      </c>
      <c r="J16" s="46">
        <f t="shared" si="1"/>
        <v>0</v>
      </c>
      <c r="K16" s="46">
        <f t="shared" si="2"/>
        <v>30572.100000000002</v>
      </c>
      <c r="L16" s="46">
        <f t="shared" si="3"/>
        <v>30572.100000000002</v>
      </c>
      <c r="M16" s="46">
        <f t="shared" si="4"/>
        <v>0.87780000000202563</v>
      </c>
      <c r="N16" s="19"/>
    </row>
    <row r="17" spans="1:18">
      <c r="A17" s="28">
        <v>14</v>
      </c>
      <c r="B17" s="29">
        <v>45760</v>
      </c>
      <c r="C17" s="19"/>
      <c r="D17" s="19"/>
      <c r="E17" s="353">
        <v>45</v>
      </c>
      <c r="F17" s="54">
        <v>91.26</v>
      </c>
      <c r="G17" s="46">
        <f t="shared" si="0"/>
        <v>4106.7</v>
      </c>
      <c r="H17" s="54">
        <v>4.95</v>
      </c>
      <c r="I17" s="54">
        <v>103.18</v>
      </c>
      <c r="J17" s="46">
        <f t="shared" si="1"/>
        <v>510.74100000000004</v>
      </c>
      <c r="K17" s="46">
        <f t="shared" si="2"/>
        <v>4617.4409999999998</v>
      </c>
      <c r="L17" s="46">
        <f t="shared" si="3"/>
        <v>4617.4409999999998</v>
      </c>
      <c r="M17" s="46">
        <f t="shared" si="4"/>
        <v>0.87780000000202563</v>
      </c>
      <c r="N17" s="19"/>
    </row>
    <row r="18" spans="1:18">
      <c r="A18" s="28">
        <v>15</v>
      </c>
      <c r="B18" s="29">
        <v>45761</v>
      </c>
      <c r="C18" s="19"/>
      <c r="D18" s="19"/>
      <c r="E18" s="353">
        <v>390</v>
      </c>
      <c r="F18" s="54">
        <v>91.26</v>
      </c>
      <c r="G18" s="46">
        <f t="shared" si="0"/>
        <v>35591.4</v>
      </c>
      <c r="H18" s="54">
        <v>6</v>
      </c>
      <c r="I18" s="54">
        <v>103.18</v>
      </c>
      <c r="J18" s="46">
        <f t="shared" si="1"/>
        <v>619.08000000000004</v>
      </c>
      <c r="K18" s="46">
        <f t="shared" si="2"/>
        <v>36210.480000000003</v>
      </c>
      <c r="L18" s="46">
        <f t="shared" si="3"/>
        <v>36210.480000000003</v>
      </c>
      <c r="M18" s="46">
        <f t="shared" si="4"/>
        <v>0.87780000000202563</v>
      </c>
      <c r="N18" s="19"/>
    </row>
    <row r="19" spans="1:18">
      <c r="A19" s="28">
        <v>16</v>
      </c>
      <c r="B19" s="29">
        <v>45762</v>
      </c>
      <c r="C19" s="19"/>
      <c r="D19" s="19"/>
      <c r="E19" s="353">
        <v>390</v>
      </c>
      <c r="F19" s="54">
        <v>91.26</v>
      </c>
      <c r="G19" s="46">
        <f t="shared" si="0"/>
        <v>35591.4</v>
      </c>
      <c r="H19" s="54">
        <v>6</v>
      </c>
      <c r="I19" s="54">
        <v>103.18</v>
      </c>
      <c r="J19" s="46">
        <f t="shared" si="1"/>
        <v>619.08000000000004</v>
      </c>
      <c r="K19" s="46">
        <f t="shared" si="2"/>
        <v>36210.480000000003</v>
      </c>
      <c r="L19" s="46">
        <f t="shared" si="3"/>
        <v>36210.480000000003</v>
      </c>
      <c r="M19" s="46">
        <f t="shared" si="4"/>
        <v>0.87780000000202563</v>
      </c>
      <c r="N19" s="19"/>
    </row>
    <row r="20" spans="1:18">
      <c r="A20" s="28">
        <v>17</v>
      </c>
      <c r="B20" s="29">
        <v>45763</v>
      </c>
      <c r="C20" s="19"/>
      <c r="D20" s="19"/>
      <c r="E20" s="54">
        <v>425</v>
      </c>
      <c r="F20" s="54">
        <v>91.26</v>
      </c>
      <c r="G20" s="46">
        <f t="shared" si="0"/>
        <v>38785.5</v>
      </c>
      <c r="H20" s="54">
        <v>0</v>
      </c>
      <c r="I20" s="54">
        <v>0</v>
      </c>
      <c r="J20" s="46">
        <f t="shared" si="1"/>
        <v>0</v>
      </c>
      <c r="K20" s="46">
        <f t="shared" si="2"/>
        <v>38785.5</v>
      </c>
      <c r="L20" s="46">
        <f t="shared" si="3"/>
        <v>38785.5</v>
      </c>
      <c r="M20" s="46">
        <f t="shared" si="4"/>
        <v>0.87780000000202563</v>
      </c>
      <c r="N20" s="19"/>
    </row>
    <row r="21" spans="1:18">
      <c r="A21" s="28">
        <v>18</v>
      </c>
      <c r="B21" s="29">
        <v>45764</v>
      </c>
      <c r="C21" s="19"/>
      <c r="D21" s="19"/>
      <c r="E21" s="54">
        <v>185</v>
      </c>
      <c r="F21" s="54">
        <v>91.26</v>
      </c>
      <c r="G21" s="46">
        <f t="shared" si="0"/>
        <v>16883.100000000002</v>
      </c>
      <c r="H21" s="54">
        <v>9</v>
      </c>
      <c r="I21" s="54">
        <v>103.18</v>
      </c>
      <c r="J21" s="46">
        <f t="shared" si="1"/>
        <v>928.62000000000012</v>
      </c>
      <c r="K21" s="46">
        <f t="shared" si="2"/>
        <v>17811.72</v>
      </c>
      <c r="L21" s="46">
        <f t="shared" si="3"/>
        <v>17811.72</v>
      </c>
      <c r="M21" s="46">
        <f t="shared" si="4"/>
        <v>0.87780000000202563</v>
      </c>
      <c r="N21" s="19"/>
    </row>
    <row r="22" spans="1:18">
      <c r="A22" s="28">
        <v>19</v>
      </c>
      <c r="B22" s="29">
        <v>45765</v>
      </c>
      <c r="C22" s="19"/>
      <c r="D22" s="19"/>
      <c r="E22" s="54">
        <v>335</v>
      </c>
      <c r="F22" s="54">
        <v>91.26</v>
      </c>
      <c r="G22" s="46">
        <f t="shared" si="0"/>
        <v>30572.100000000002</v>
      </c>
      <c r="H22" s="54">
        <v>0</v>
      </c>
      <c r="I22" s="54">
        <v>0</v>
      </c>
      <c r="J22" s="46">
        <f t="shared" si="1"/>
        <v>0</v>
      </c>
      <c r="K22" s="46">
        <f t="shared" si="2"/>
        <v>30572.100000000002</v>
      </c>
      <c r="L22" s="46">
        <v>30572.1</v>
      </c>
      <c r="M22" s="46">
        <f t="shared" si="4"/>
        <v>0.87780000000566361</v>
      </c>
      <c r="N22" s="19"/>
    </row>
    <row r="23" spans="1:18">
      <c r="A23" s="28">
        <v>20</v>
      </c>
      <c r="B23" s="29">
        <v>45766</v>
      </c>
      <c r="C23" s="19"/>
      <c r="D23" s="19"/>
      <c r="E23" s="54">
        <v>650</v>
      </c>
      <c r="F23" s="54">
        <v>91.26</v>
      </c>
      <c r="G23" s="46">
        <f t="shared" si="0"/>
        <v>59319</v>
      </c>
      <c r="H23" s="54">
        <v>0</v>
      </c>
      <c r="I23" s="54">
        <v>0</v>
      </c>
      <c r="J23" s="46">
        <f t="shared" si="1"/>
        <v>0</v>
      </c>
      <c r="K23" s="46">
        <f t="shared" si="2"/>
        <v>59319</v>
      </c>
      <c r="L23" s="46">
        <f t="shared" si="3"/>
        <v>59319</v>
      </c>
      <c r="M23" s="46">
        <f t="shared" si="4"/>
        <v>0.87780000000202563</v>
      </c>
      <c r="N23" s="19"/>
    </row>
    <row r="24" spans="1:18">
      <c r="A24" s="28">
        <v>21</v>
      </c>
      <c r="B24" s="29">
        <v>45767</v>
      </c>
      <c r="C24" s="19"/>
      <c r="D24" s="19"/>
      <c r="E24" s="54">
        <v>722.35</v>
      </c>
      <c r="F24" s="54">
        <v>91.26</v>
      </c>
      <c r="G24" s="46">
        <f t="shared" si="0"/>
        <v>65921.661000000007</v>
      </c>
      <c r="H24" s="54">
        <v>17.8</v>
      </c>
      <c r="I24" s="54">
        <v>103.18</v>
      </c>
      <c r="J24" s="46">
        <f t="shared" si="1"/>
        <v>1836.6040000000003</v>
      </c>
      <c r="K24" s="46">
        <f t="shared" si="2"/>
        <v>67758.265000000014</v>
      </c>
      <c r="L24" s="46">
        <v>50000</v>
      </c>
      <c r="M24" s="46">
        <f>M23+K24-L24</f>
        <v>17759.142800000016</v>
      </c>
      <c r="N24" s="19"/>
    </row>
    <row r="25" spans="1:18">
      <c r="A25" s="28">
        <v>22</v>
      </c>
      <c r="B25" s="29">
        <v>45768</v>
      </c>
      <c r="C25" s="19"/>
      <c r="D25" s="19"/>
      <c r="E25" s="54">
        <v>775</v>
      </c>
      <c r="F25" s="54">
        <v>91.26</v>
      </c>
      <c r="G25" s="46">
        <f t="shared" si="0"/>
        <v>70726.5</v>
      </c>
      <c r="H25" s="54">
        <v>0</v>
      </c>
      <c r="I25" s="54">
        <v>0</v>
      </c>
      <c r="J25" s="46">
        <f t="shared" si="1"/>
        <v>0</v>
      </c>
      <c r="K25" s="46">
        <f t="shared" si="2"/>
        <v>70726.5</v>
      </c>
      <c r="L25" s="46">
        <v>50000</v>
      </c>
      <c r="M25" s="46">
        <f t="shared" si="4"/>
        <v>38485.642800000016</v>
      </c>
      <c r="N25" s="19"/>
      <c r="O25">
        <v>37901</v>
      </c>
      <c r="P25" s="24">
        <f>M25-O25</f>
        <v>584.642800000016</v>
      </c>
    </row>
    <row r="26" spans="1:18">
      <c r="A26" s="28">
        <v>23</v>
      </c>
      <c r="B26" s="29">
        <v>45769</v>
      </c>
      <c r="C26" s="19"/>
      <c r="D26" s="19"/>
      <c r="E26" s="54">
        <v>551</v>
      </c>
      <c r="F26" s="54">
        <v>91.26</v>
      </c>
      <c r="G26" s="46">
        <f t="shared" si="0"/>
        <v>50284.26</v>
      </c>
      <c r="H26" s="54">
        <v>0</v>
      </c>
      <c r="I26" s="54">
        <v>0</v>
      </c>
      <c r="J26" s="46">
        <f t="shared" si="1"/>
        <v>0</v>
      </c>
      <c r="K26" s="46">
        <f t="shared" si="2"/>
        <v>50284.26</v>
      </c>
      <c r="L26" s="46">
        <v>39726</v>
      </c>
      <c r="M26" s="46">
        <f t="shared" si="4"/>
        <v>49043.902800000011</v>
      </c>
      <c r="N26" s="19"/>
      <c r="Q26">
        <f>86895-38295</f>
        <v>48600</v>
      </c>
    </row>
    <row r="27" spans="1:18">
      <c r="A27" s="28">
        <v>24</v>
      </c>
      <c r="B27" s="29">
        <v>45770</v>
      </c>
      <c r="C27" s="19"/>
      <c r="D27" s="312" t="s">
        <v>94</v>
      </c>
      <c r="E27" s="54">
        <v>420</v>
      </c>
      <c r="F27" s="54">
        <v>91.18</v>
      </c>
      <c r="G27" s="46">
        <f t="shared" si="0"/>
        <v>38295.600000000006</v>
      </c>
      <c r="H27" s="54">
        <v>0</v>
      </c>
      <c r="I27" s="54">
        <v>0</v>
      </c>
      <c r="J27" s="46">
        <f t="shared" si="1"/>
        <v>0</v>
      </c>
      <c r="K27" s="46">
        <f t="shared" si="2"/>
        <v>38295.600000000006</v>
      </c>
      <c r="L27" s="46">
        <v>86895</v>
      </c>
      <c r="M27" s="46">
        <f t="shared" si="4"/>
        <v>444.50280000001658</v>
      </c>
      <c r="N27" s="19"/>
      <c r="R27">
        <f>2462.35*91.26</f>
        <v>224714.06100000002</v>
      </c>
    </row>
    <row r="28" spans="1:18">
      <c r="A28" s="28">
        <v>25</v>
      </c>
      <c r="B28" s="29">
        <v>45771</v>
      </c>
      <c r="C28" s="19"/>
      <c r="D28" s="19"/>
      <c r="E28" s="54">
        <v>563</v>
      </c>
      <c r="F28" s="54">
        <v>91.26</v>
      </c>
      <c r="G28" s="46">
        <f t="shared" si="0"/>
        <v>51379.380000000005</v>
      </c>
      <c r="H28" s="54">
        <v>18</v>
      </c>
      <c r="I28" s="54">
        <v>103.18</v>
      </c>
      <c r="J28" s="46">
        <f t="shared" si="1"/>
        <v>1857.2400000000002</v>
      </c>
      <c r="K28" s="46">
        <f t="shared" si="2"/>
        <v>53236.62</v>
      </c>
      <c r="L28" s="46">
        <v>51895.28</v>
      </c>
      <c r="M28" s="46">
        <f t="shared" si="4"/>
        <v>1785.8428000000204</v>
      </c>
      <c r="N28" s="19"/>
      <c r="R28">
        <v>188065.9</v>
      </c>
    </row>
    <row r="29" spans="1:18">
      <c r="A29" s="28">
        <v>26</v>
      </c>
      <c r="B29" s="29">
        <v>45772</v>
      </c>
      <c r="C29" s="19"/>
      <c r="D29" s="19"/>
      <c r="E29" s="54">
        <v>355</v>
      </c>
      <c r="F29" s="54">
        <v>91.26</v>
      </c>
      <c r="G29" s="46">
        <f t="shared" si="0"/>
        <v>32397.300000000003</v>
      </c>
      <c r="H29" s="54">
        <v>10</v>
      </c>
      <c r="I29" s="54">
        <v>103.18</v>
      </c>
      <c r="J29" s="46">
        <f t="shared" si="1"/>
        <v>1031.8000000000002</v>
      </c>
      <c r="K29" s="46">
        <f t="shared" si="2"/>
        <v>33429.100000000006</v>
      </c>
      <c r="L29" s="46">
        <v>51912.74</v>
      </c>
      <c r="M29" s="46">
        <f t="shared" si="4"/>
        <v>-16697.797199999972</v>
      </c>
      <c r="N29" s="19"/>
      <c r="R29">
        <f>R27-R28</f>
        <v>36648.161000000022</v>
      </c>
    </row>
    <row r="30" spans="1:18">
      <c r="A30" s="28">
        <v>27</v>
      </c>
      <c r="B30" s="29">
        <v>45773</v>
      </c>
      <c r="C30" s="19"/>
      <c r="D30" s="19"/>
      <c r="E30" s="54">
        <v>512</v>
      </c>
      <c r="F30" s="54">
        <v>91.26</v>
      </c>
      <c r="G30" s="46">
        <f t="shared" si="0"/>
        <v>46725.120000000003</v>
      </c>
      <c r="H30" s="54">
        <v>15.7</v>
      </c>
      <c r="I30" s="54">
        <v>103.18</v>
      </c>
      <c r="J30" s="46">
        <f t="shared" si="1"/>
        <v>1619.9259999999999</v>
      </c>
      <c r="K30" s="46">
        <f t="shared" si="2"/>
        <v>48345.046000000002</v>
      </c>
      <c r="L30" s="46">
        <v>34460</v>
      </c>
      <c r="M30" s="46">
        <f t="shared" si="4"/>
        <v>-2812.7511999999697</v>
      </c>
      <c r="N30" s="19"/>
      <c r="R30">
        <f>38058.6-R29</f>
        <v>1410.4389999999767</v>
      </c>
    </row>
    <row r="31" spans="1:18">
      <c r="A31" s="28">
        <v>28</v>
      </c>
      <c r="B31" s="29">
        <v>45774</v>
      </c>
      <c r="C31" s="19"/>
      <c r="D31" s="19" t="s">
        <v>95</v>
      </c>
      <c r="E31" s="54">
        <v>277</v>
      </c>
      <c r="F31" s="54">
        <v>91.19</v>
      </c>
      <c r="G31" s="46">
        <f t="shared" si="0"/>
        <v>25259.63</v>
      </c>
      <c r="H31" s="54">
        <v>15</v>
      </c>
      <c r="I31" s="54">
        <v>103.18</v>
      </c>
      <c r="J31" s="46">
        <f t="shared" si="1"/>
        <v>1547.7</v>
      </c>
      <c r="K31" s="46">
        <f t="shared" si="2"/>
        <v>26807.33</v>
      </c>
      <c r="L31" s="46">
        <f t="shared" si="3"/>
        <v>26807.33</v>
      </c>
      <c r="M31" s="46">
        <f t="shared" si="4"/>
        <v>-2812.7511999999697</v>
      </c>
      <c r="N31" s="19"/>
      <c r="Q31" s="46">
        <v>48616.856800000001</v>
      </c>
    </row>
    <row r="32" spans="1:18">
      <c r="A32" s="28">
        <v>29</v>
      </c>
      <c r="B32" s="29">
        <v>45775</v>
      </c>
      <c r="C32" s="19"/>
      <c r="D32" s="19"/>
      <c r="E32" s="54">
        <v>717</v>
      </c>
      <c r="F32" s="54">
        <v>91.26</v>
      </c>
      <c r="G32" s="46">
        <f t="shared" si="0"/>
        <v>65433.420000000006</v>
      </c>
      <c r="H32" s="54">
        <v>0</v>
      </c>
      <c r="I32" s="54">
        <v>0</v>
      </c>
      <c r="J32" s="46">
        <f t="shared" si="1"/>
        <v>0</v>
      </c>
      <c r="K32" s="46">
        <f t="shared" si="2"/>
        <v>65433.420000000006</v>
      </c>
      <c r="L32" s="46">
        <v>54375</v>
      </c>
      <c r="M32" s="46">
        <f t="shared" si="4"/>
        <v>8245.6688000000358</v>
      </c>
      <c r="N32" s="19"/>
    </row>
    <row r="33" spans="1:17">
      <c r="A33" s="28">
        <v>30</v>
      </c>
      <c r="B33" s="29">
        <v>45776</v>
      </c>
      <c r="C33" s="19"/>
      <c r="D33" s="19"/>
      <c r="E33" s="54">
        <v>629.5</v>
      </c>
      <c r="F33" s="54">
        <v>91.26</v>
      </c>
      <c r="G33" s="46">
        <f t="shared" si="0"/>
        <v>57448.170000000006</v>
      </c>
      <c r="H33" s="54">
        <v>0</v>
      </c>
      <c r="I33" s="54">
        <v>0</v>
      </c>
      <c r="J33" s="46">
        <f t="shared" si="1"/>
        <v>0</v>
      </c>
      <c r="K33" s="46">
        <f t="shared" si="2"/>
        <v>57448.170000000006</v>
      </c>
      <c r="L33" s="46">
        <f>+K33</f>
        <v>57448.170000000006</v>
      </c>
      <c r="M33" s="46">
        <f t="shared" si="4"/>
        <v>8245.6688000000358</v>
      </c>
      <c r="N33" s="19"/>
      <c r="Q33" s="329">
        <v>50284.26</v>
      </c>
    </row>
    <row r="34" spans="1:17">
      <c r="A34" s="28">
        <v>31</v>
      </c>
      <c r="B34" s="29">
        <v>45777</v>
      </c>
      <c r="C34" s="19"/>
      <c r="D34" s="19" t="s">
        <v>96</v>
      </c>
      <c r="E34" s="54">
        <v>540</v>
      </c>
      <c r="F34" s="54">
        <v>91.19</v>
      </c>
      <c r="G34" s="46">
        <f t="shared" si="0"/>
        <v>49242.6</v>
      </c>
      <c r="H34" s="54">
        <v>0</v>
      </c>
      <c r="I34" s="54">
        <v>0</v>
      </c>
      <c r="J34" s="46">
        <f t="shared" si="1"/>
        <v>0</v>
      </c>
      <c r="K34" s="46">
        <f t="shared" si="2"/>
        <v>49242.6</v>
      </c>
      <c r="L34" s="46"/>
      <c r="M34" s="46">
        <f>M33+K34-L34</f>
        <v>57488.268800000034</v>
      </c>
      <c r="N34" s="19"/>
      <c r="Q34" s="329">
        <f>Q33-Q31</f>
        <v>1667.4032000000007</v>
      </c>
    </row>
    <row r="35" spans="1:17">
      <c r="A35" s="28"/>
      <c r="B35" s="29">
        <v>45777</v>
      </c>
      <c r="C35" s="19"/>
      <c r="D35" s="19"/>
      <c r="E35" s="54">
        <v>15</v>
      </c>
      <c r="F35" s="54">
        <v>91.26</v>
      </c>
      <c r="G35" s="46">
        <f t="shared" si="0"/>
        <v>1368.9</v>
      </c>
      <c r="H35" s="54">
        <v>0</v>
      </c>
      <c r="I35" s="54">
        <v>0</v>
      </c>
      <c r="J35" s="46">
        <f t="shared" si="1"/>
        <v>0</v>
      </c>
      <c r="K35" s="46">
        <f t="shared" si="2"/>
        <v>1368.9</v>
      </c>
      <c r="L35" s="46"/>
      <c r="M35" s="46">
        <f t="shared" si="4"/>
        <v>58857.168800000036</v>
      </c>
      <c r="N35" s="19"/>
      <c r="Q35" s="329"/>
    </row>
    <row r="36" spans="1:17">
      <c r="A36" s="28">
        <v>32</v>
      </c>
      <c r="B36" s="29"/>
      <c r="C36" s="19"/>
      <c r="D36" s="19"/>
      <c r="E36" s="54"/>
      <c r="F36" s="54"/>
      <c r="G36" s="46"/>
      <c r="H36" s="54"/>
      <c r="I36" s="54"/>
      <c r="J36" s="46"/>
      <c r="K36" s="46"/>
      <c r="L36" s="19"/>
      <c r="M36" s="46">
        <f>M35+K36-L36</f>
        <v>58857.168800000036</v>
      </c>
      <c r="N36" s="19"/>
    </row>
    <row r="37" spans="1:17">
      <c r="A37" s="52"/>
      <c r="B37" s="52"/>
      <c r="C37" s="52"/>
      <c r="D37" s="52"/>
      <c r="E37" s="52">
        <f>SUM(E4:E36)</f>
        <v>11264.130000000001</v>
      </c>
      <c r="F37" s="52"/>
      <c r="G37" s="52">
        <f>SUM(G4:G36)</f>
        <v>1027696.7138000001</v>
      </c>
      <c r="H37" s="52">
        <f>SUM(H4:H36)</f>
        <v>146.34</v>
      </c>
      <c r="I37" s="52"/>
      <c r="J37" s="52">
        <f>SUM(J4:J36)</f>
        <v>15099.361199999999</v>
      </c>
      <c r="K37" s="52">
        <f>SUM(K4:K36)</f>
        <v>1042796.075</v>
      </c>
      <c r="L37" s="52">
        <f>SUM(L4:L36)</f>
        <v>983938.90619999997</v>
      </c>
      <c r="M37" s="52"/>
      <c r="N37" s="52"/>
      <c r="Q37" s="329">
        <f>Q34+Q31</f>
        <v>50284.26</v>
      </c>
    </row>
    <row r="39" spans="1:17">
      <c r="E39">
        <v>6315.86</v>
      </c>
    </row>
    <row r="40" spans="1:17">
      <c r="E40" s="24">
        <f>E37-E39</f>
        <v>4948.2700000000013</v>
      </c>
      <c r="F40">
        <v>91.26</v>
      </c>
      <c r="G40">
        <f>E40*F40</f>
        <v>451579.12020000012</v>
      </c>
      <c r="M40" s="24"/>
      <c r="Q40">
        <f>50284-48600</f>
        <v>1684</v>
      </c>
    </row>
    <row r="42" spans="1:17">
      <c r="H42">
        <f>93*91.19</f>
        <v>8480.67</v>
      </c>
    </row>
  </sheetData>
  <mergeCells count="1">
    <mergeCell ref="A1:N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P39"/>
  <sheetViews>
    <sheetView workbookViewId="0">
      <pane ySplit="2" topLeftCell="A14" activePane="bottomLeft" state="frozen"/>
      <selection pane="bottomLeft" activeCell="Q25" sqref="Q25"/>
    </sheetView>
  </sheetViews>
  <sheetFormatPr defaultColWidth="12.28515625" defaultRowHeight="12.75"/>
  <cols>
    <col min="1" max="1" width="8.42578125" style="75" customWidth="1"/>
    <col min="2" max="3" width="12.28515625" style="75"/>
    <col min="4" max="4" width="13.5703125" style="75" customWidth="1"/>
    <col min="5" max="5" width="12.28515625" style="75"/>
    <col min="6" max="6" width="13.7109375" style="75" bestFit="1" customWidth="1"/>
    <col min="7" max="16384" width="12.28515625" style="75"/>
  </cols>
  <sheetData>
    <row r="1" spans="1:16" ht="15.75" customHeight="1">
      <c r="A1" s="401" t="s">
        <v>31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74"/>
    </row>
    <row r="2" spans="1:16" ht="15.75" customHeight="1">
      <c r="A2" s="103" t="s">
        <v>81</v>
      </c>
      <c r="B2" s="104" t="s">
        <v>82</v>
      </c>
      <c r="C2" s="104" t="s">
        <v>83</v>
      </c>
      <c r="D2" s="104" t="s">
        <v>84</v>
      </c>
      <c r="E2" s="104" t="s">
        <v>85</v>
      </c>
      <c r="F2" s="104" t="s">
        <v>86</v>
      </c>
      <c r="G2" s="104" t="s">
        <v>87</v>
      </c>
      <c r="H2" s="104" t="s">
        <v>88</v>
      </c>
      <c r="I2" s="104" t="s">
        <v>86</v>
      </c>
      <c r="J2" s="130" t="s">
        <v>87</v>
      </c>
      <c r="K2" s="132" t="s">
        <v>89</v>
      </c>
      <c r="L2" s="133" t="s">
        <v>90</v>
      </c>
      <c r="M2" s="134" t="s">
        <v>97</v>
      </c>
      <c r="N2" s="105" t="s">
        <v>92</v>
      </c>
      <c r="O2" s="35"/>
    </row>
    <row r="3" spans="1:16" ht="15.75" customHeight="1">
      <c r="A3" s="407" t="s">
        <v>93</v>
      </c>
      <c r="B3" s="408"/>
      <c r="C3" s="409"/>
      <c r="D3" s="409"/>
      <c r="E3" s="409"/>
      <c r="F3" s="409"/>
      <c r="G3" s="409"/>
      <c r="H3" s="409"/>
      <c r="I3" s="409"/>
      <c r="J3" s="410"/>
      <c r="K3" s="252">
        <v>377321.2</v>
      </c>
      <c r="L3" s="253"/>
      <c r="M3" s="254">
        <f>+K3</f>
        <v>377321.2</v>
      </c>
      <c r="N3" s="253"/>
      <c r="O3" s="35"/>
      <c r="P3" s="75">
        <v>1142944.1099999999</v>
      </c>
    </row>
    <row r="4" spans="1:16" ht="15">
      <c r="A4" s="28">
        <v>1</v>
      </c>
      <c r="B4" s="29">
        <v>45748</v>
      </c>
      <c r="C4" s="125"/>
      <c r="D4" s="125"/>
      <c r="E4" s="39"/>
      <c r="F4" s="39">
        <v>0</v>
      </c>
      <c r="G4" s="39">
        <f>E4*F4</f>
        <v>0</v>
      </c>
      <c r="H4" s="249">
        <v>0</v>
      </c>
      <c r="I4" s="249">
        <v>104.27</v>
      </c>
      <c r="J4" s="39">
        <f>H4*I4</f>
        <v>0</v>
      </c>
      <c r="K4" s="39">
        <f>G4+J4</f>
        <v>0</v>
      </c>
      <c r="L4" s="253"/>
      <c r="M4" s="250">
        <f>M3+K4-L4</f>
        <v>377321.2</v>
      </c>
      <c r="N4" s="39"/>
      <c r="O4" s="30"/>
    </row>
    <row r="5" spans="1:16" ht="15">
      <c r="A5" s="28">
        <v>2</v>
      </c>
      <c r="B5" s="29">
        <v>45749</v>
      </c>
      <c r="C5" s="125"/>
      <c r="D5" s="125"/>
      <c r="E5" s="39"/>
      <c r="F5" s="39">
        <v>0</v>
      </c>
      <c r="G5" s="39">
        <f t="shared" ref="G5:G34" si="0">E5*F5</f>
        <v>0</v>
      </c>
      <c r="H5" s="249"/>
      <c r="I5" s="249"/>
      <c r="J5" s="39">
        <f t="shared" ref="J5:J34" si="1">H5*I5</f>
        <v>0</v>
      </c>
      <c r="K5" s="39">
        <f t="shared" ref="K5:K34" si="2">G5+J5</f>
        <v>0</v>
      </c>
      <c r="L5" s="253"/>
      <c r="M5" s="250">
        <f>M4+K5-L5</f>
        <v>377321.2</v>
      </c>
      <c r="N5" s="39"/>
      <c r="O5" s="30"/>
    </row>
    <row r="6" spans="1:16" ht="15">
      <c r="A6" s="28">
        <v>3</v>
      </c>
      <c r="B6" s="29">
        <v>45750</v>
      </c>
      <c r="C6" s="125"/>
      <c r="D6" s="125"/>
      <c r="E6" s="39"/>
      <c r="F6" s="39">
        <v>0</v>
      </c>
      <c r="G6" s="39">
        <f t="shared" si="0"/>
        <v>0</v>
      </c>
      <c r="H6" s="249"/>
      <c r="I6" s="249"/>
      <c r="J6" s="39">
        <f t="shared" si="1"/>
        <v>0</v>
      </c>
      <c r="K6" s="39">
        <f t="shared" si="2"/>
        <v>0</v>
      </c>
      <c r="L6" s="253"/>
      <c r="M6" s="250">
        <f>M5+K6-L6</f>
        <v>377321.2</v>
      </c>
      <c r="N6" s="39"/>
      <c r="O6" s="30"/>
    </row>
    <row r="7" spans="1:16" ht="15">
      <c r="A7" s="28">
        <v>4</v>
      </c>
      <c r="B7" s="29">
        <v>45751</v>
      </c>
      <c r="C7" s="125"/>
      <c r="D7" s="125"/>
      <c r="E7" s="39"/>
      <c r="F7" s="39">
        <v>0</v>
      </c>
      <c r="G7" s="39">
        <f t="shared" si="0"/>
        <v>0</v>
      </c>
      <c r="H7" s="249"/>
      <c r="I7" s="249"/>
      <c r="J7" s="39">
        <f t="shared" si="1"/>
        <v>0</v>
      </c>
      <c r="K7" s="39">
        <f t="shared" si="2"/>
        <v>0</v>
      </c>
      <c r="L7" s="253"/>
      <c r="M7" s="250">
        <f>M6+K7-L7</f>
        <v>377321.2</v>
      </c>
      <c r="N7" s="39"/>
      <c r="O7" s="30"/>
    </row>
    <row r="8" spans="1:16" ht="15">
      <c r="A8" s="28">
        <v>5</v>
      </c>
      <c r="B8" s="29">
        <v>45752</v>
      </c>
      <c r="C8" s="125"/>
      <c r="D8" s="125"/>
      <c r="E8" s="39"/>
      <c r="F8" s="39">
        <v>0</v>
      </c>
      <c r="G8" s="39">
        <f t="shared" si="0"/>
        <v>0</v>
      </c>
      <c r="H8" s="249"/>
      <c r="I8" s="249"/>
      <c r="J8" s="39">
        <f t="shared" si="1"/>
        <v>0</v>
      </c>
      <c r="K8" s="39">
        <f t="shared" si="2"/>
        <v>0</v>
      </c>
      <c r="L8" s="253"/>
      <c r="M8" s="250">
        <f>M7+K8-L8</f>
        <v>377321.2</v>
      </c>
      <c r="N8" s="39"/>
      <c r="O8" s="30"/>
    </row>
    <row r="9" spans="1:16" ht="15">
      <c r="A9" s="28">
        <v>6</v>
      </c>
      <c r="B9" s="29">
        <v>45753</v>
      </c>
      <c r="C9" s="125"/>
      <c r="D9" s="125"/>
      <c r="E9" s="39"/>
      <c r="F9" s="39">
        <v>0</v>
      </c>
      <c r="G9" s="39">
        <f t="shared" si="0"/>
        <v>0</v>
      </c>
      <c r="H9" s="249"/>
      <c r="I9" s="249"/>
      <c r="J9" s="39">
        <f t="shared" si="1"/>
        <v>0</v>
      </c>
      <c r="K9" s="39">
        <f t="shared" si="2"/>
        <v>0</v>
      </c>
      <c r="L9" s="253"/>
      <c r="M9" s="250">
        <f t="shared" ref="M9:M33" si="3">M8+K9-L9</f>
        <v>377321.2</v>
      </c>
      <c r="N9" s="39"/>
      <c r="O9" s="30"/>
    </row>
    <row r="10" spans="1:16" ht="15">
      <c r="A10" s="28">
        <v>7</v>
      </c>
      <c r="B10" s="29">
        <v>45754</v>
      </c>
      <c r="C10" s="125"/>
      <c r="D10" s="125"/>
      <c r="E10" s="39"/>
      <c r="F10" s="39">
        <v>0</v>
      </c>
      <c r="G10" s="39">
        <f t="shared" si="0"/>
        <v>0</v>
      </c>
      <c r="H10" s="249"/>
      <c r="I10" s="249"/>
      <c r="J10" s="39">
        <f t="shared" si="1"/>
        <v>0</v>
      </c>
      <c r="K10" s="39">
        <f t="shared" si="2"/>
        <v>0</v>
      </c>
      <c r="L10" s="253"/>
      <c r="M10" s="250">
        <f t="shared" si="3"/>
        <v>377321.2</v>
      </c>
      <c r="N10" s="39"/>
      <c r="O10" s="30"/>
    </row>
    <row r="11" spans="1:16" ht="15">
      <c r="A11" s="28">
        <v>8</v>
      </c>
      <c r="B11" s="29">
        <v>45755</v>
      </c>
      <c r="C11" s="125"/>
      <c r="D11" s="125"/>
      <c r="E11" s="39">
        <v>2200</v>
      </c>
      <c r="F11" s="39">
        <v>92.15</v>
      </c>
      <c r="G11" s="39">
        <f t="shared" si="0"/>
        <v>202730</v>
      </c>
      <c r="H11" s="249"/>
      <c r="I11" s="249"/>
      <c r="J11" s="39">
        <f t="shared" si="1"/>
        <v>0</v>
      </c>
      <c r="K11" s="39">
        <f t="shared" si="2"/>
        <v>202730</v>
      </c>
      <c r="L11" s="253"/>
      <c r="M11" s="250">
        <f t="shared" si="3"/>
        <v>580051.19999999995</v>
      </c>
      <c r="N11" s="39"/>
      <c r="O11" s="30"/>
    </row>
    <row r="12" spans="1:16" ht="15">
      <c r="A12" s="28">
        <v>9</v>
      </c>
      <c r="B12" s="29">
        <v>45756</v>
      </c>
      <c r="C12" s="125"/>
      <c r="D12" s="125"/>
      <c r="E12" s="39"/>
      <c r="F12" s="39">
        <v>0</v>
      </c>
      <c r="G12" s="39">
        <f t="shared" si="0"/>
        <v>0</v>
      </c>
      <c r="H12" s="249"/>
      <c r="I12" s="249"/>
      <c r="J12" s="39">
        <f t="shared" si="1"/>
        <v>0</v>
      </c>
      <c r="K12" s="39">
        <f t="shared" si="2"/>
        <v>0</v>
      </c>
      <c r="L12" s="253"/>
      <c r="M12" s="250">
        <f t="shared" si="3"/>
        <v>580051.19999999995</v>
      </c>
      <c r="N12" s="39"/>
      <c r="O12" s="30"/>
    </row>
    <row r="13" spans="1:16" ht="15">
      <c r="A13" s="28">
        <v>10</v>
      </c>
      <c r="B13" s="29">
        <v>45757</v>
      </c>
      <c r="C13" s="125"/>
      <c r="D13" s="125"/>
      <c r="E13" s="39"/>
      <c r="F13" s="39">
        <v>0</v>
      </c>
      <c r="G13" s="39">
        <f t="shared" si="0"/>
        <v>0</v>
      </c>
      <c r="H13" s="249"/>
      <c r="I13" s="249"/>
      <c r="J13" s="39">
        <f t="shared" si="1"/>
        <v>0</v>
      </c>
      <c r="K13" s="39">
        <f t="shared" si="2"/>
        <v>0</v>
      </c>
      <c r="L13" s="253"/>
      <c r="M13" s="250">
        <f t="shared" si="3"/>
        <v>580051.19999999995</v>
      </c>
      <c r="N13" s="39"/>
      <c r="O13" s="30"/>
    </row>
    <row r="14" spans="1:16" ht="15">
      <c r="A14" s="28">
        <v>11</v>
      </c>
      <c r="B14" s="29">
        <v>45758</v>
      </c>
      <c r="C14" s="125"/>
      <c r="D14" s="125"/>
      <c r="E14" s="39"/>
      <c r="F14" s="39">
        <v>0</v>
      </c>
      <c r="G14" s="39">
        <f t="shared" si="0"/>
        <v>0</v>
      </c>
      <c r="H14" s="249">
        <v>100</v>
      </c>
      <c r="I14" s="249">
        <v>104.27</v>
      </c>
      <c r="J14" s="39">
        <f t="shared" si="1"/>
        <v>10427</v>
      </c>
      <c r="K14" s="39">
        <f t="shared" si="2"/>
        <v>10427</v>
      </c>
      <c r="L14" s="253"/>
      <c r="M14" s="250">
        <f t="shared" si="3"/>
        <v>590478.19999999995</v>
      </c>
      <c r="N14" s="39"/>
      <c r="O14" s="30"/>
    </row>
    <row r="15" spans="1:16" ht="15">
      <c r="A15" s="28">
        <v>12</v>
      </c>
      <c r="B15" s="29">
        <v>45759</v>
      </c>
      <c r="C15" s="125"/>
      <c r="D15" s="125"/>
      <c r="E15" s="39"/>
      <c r="F15" s="39">
        <v>0</v>
      </c>
      <c r="G15" s="39">
        <f t="shared" si="0"/>
        <v>0</v>
      </c>
      <c r="H15" s="249"/>
      <c r="I15" s="249"/>
      <c r="J15" s="39">
        <f t="shared" si="1"/>
        <v>0</v>
      </c>
      <c r="K15" s="39">
        <f t="shared" si="2"/>
        <v>0</v>
      </c>
      <c r="L15" s="253"/>
      <c r="M15" s="250">
        <f t="shared" si="3"/>
        <v>590478.19999999995</v>
      </c>
      <c r="N15" s="39"/>
      <c r="O15" s="30"/>
    </row>
    <row r="16" spans="1:16" ht="15">
      <c r="A16" s="28">
        <v>13</v>
      </c>
      <c r="B16" s="29">
        <v>45760</v>
      </c>
      <c r="C16" s="125"/>
      <c r="D16" s="125"/>
      <c r="E16" s="39"/>
      <c r="F16" s="39">
        <v>0</v>
      </c>
      <c r="G16" s="39">
        <f t="shared" si="0"/>
        <v>0</v>
      </c>
      <c r="H16" s="249"/>
      <c r="I16" s="249"/>
      <c r="J16" s="39">
        <f t="shared" si="1"/>
        <v>0</v>
      </c>
      <c r="K16" s="39">
        <f t="shared" si="2"/>
        <v>0</v>
      </c>
      <c r="L16" s="253"/>
      <c r="M16" s="250">
        <f t="shared" si="3"/>
        <v>590478.19999999995</v>
      </c>
      <c r="N16" s="39"/>
      <c r="O16" s="30"/>
    </row>
    <row r="17" spans="1:15" ht="15">
      <c r="A17" s="28">
        <v>14</v>
      </c>
      <c r="B17" s="29">
        <v>45761</v>
      </c>
      <c r="C17" s="125"/>
      <c r="D17" s="125"/>
      <c r="E17" s="39"/>
      <c r="F17" s="39">
        <v>0</v>
      </c>
      <c r="G17" s="39">
        <f t="shared" si="0"/>
        <v>0</v>
      </c>
      <c r="H17" s="249"/>
      <c r="I17" s="249"/>
      <c r="J17" s="39">
        <f t="shared" si="1"/>
        <v>0</v>
      </c>
      <c r="K17" s="39">
        <f t="shared" si="2"/>
        <v>0</v>
      </c>
      <c r="L17" s="253"/>
      <c r="M17" s="250">
        <f t="shared" si="3"/>
        <v>590478.19999999995</v>
      </c>
      <c r="N17" s="39"/>
      <c r="O17" s="30"/>
    </row>
    <row r="18" spans="1:15" ht="15">
      <c r="A18" s="28">
        <v>15</v>
      </c>
      <c r="B18" s="29">
        <v>45762</v>
      </c>
      <c r="C18" s="125"/>
      <c r="D18" s="125"/>
      <c r="E18" s="39"/>
      <c r="F18" s="39">
        <v>0</v>
      </c>
      <c r="G18" s="39">
        <f t="shared" si="0"/>
        <v>0</v>
      </c>
      <c r="H18" s="249"/>
      <c r="I18" s="249"/>
      <c r="J18" s="39">
        <f t="shared" si="1"/>
        <v>0</v>
      </c>
      <c r="K18" s="39">
        <f t="shared" si="2"/>
        <v>0</v>
      </c>
      <c r="L18" s="253"/>
      <c r="M18" s="250">
        <f t="shared" si="3"/>
        <v>590478.19999999995</v>
      </c>
      <c r="N18" s="39"/>
      <c r="O18" s="30"/>
    </row>
    <row r="19" spans="1:15" ht="15">
      <c r="A19" s="28">
        <v>16</v>
      </c>
      <c r="B19" s="29">
        <v>45763</v>
      </c>
      <c r="C19" s="125"/>
      <c r="D19" s="125"/>
      <c r="E19" s="39"/>
      <c r="F19" s="39">
        <v>0</v>
      </c>
      <c r="G19" s="39">
        <f t="shared" si="0"/>
        <v>0</v>
      </c>
      <c r="H19" s="249"/>
      <c r="I19" s="249"/>
      <c r="J19" s="39">
        <f t="shared" si="1"/>
        <v>0</v>
      </c>
      <c r="K19" s="39">
        <f t="shared" si="2"/>
        <v>0</v>
      </c>
      <c r="L19" s="253"/>
      <c r="M19" s="250">
        <f t="shared" si="3"/>
        <v>590478.19999999995</v>
      </c>
      <c r="N19" s="39"/>
      <c r="O19" s="30"/>
    </row>
    <row r="20" spans="1:15" ht="15">
      <c r="A20" s="28">
        <v>17</v>
      </c>
      <c r="B20" s="29">
        <v>45764</v>
      </c>
      <c r="C20" s="125"/>
      <c r="D20" s="125"/>
      <c r="E20" s="39"/>
      <c r="F20" s="39">
        <v>0</v>
      </c>
      <c r="G20" s="39">
        <f t="shared" si="0"/>
        <v>0</v>
      </c>
      <c r="H20" s="249"/>
      <c r="I20" s="249"/>
      <c r="J20" s="39">
        <f t="shared" si="1"/>
        <v>0</v>
      </c>
      <c r="K20" s="39">
        <f t="shared" si="2"/>
        <v>0</v>
      </c>
      <c r="L20" s="253"/>
      <c r="M20" s="250">
        <f t="shared" si="3"/>
        <v>590478.19999999995</v>
      </c>
      <c r="N20" s="39"/>
      <c r="O20" s="30"/>
    </row>
    <row r="21" spans="1:15" ht="15">
      <c r="A21" s="28">
        <v>18</v>
      </c>
      <c r="B21" s="29">
        <v>45765</v>
      </c>
      <c r="C21" s="125"/>
      <c r="D21" s="125"/>
      <c r="E21" s="39">
        <v>2000</v>
      </c>
      <c r="F21" s="39">
        <v>91.15</v>
      </c>
      <c r="G21" s="39">
        <f t="shared" si="0"/>
        <v>182300</v>
      </c>
      <c r="H21" s="249">
        <v>35</v>
      </c>
      <c r="I21" s="249">
        <v>104.27</v>
      </c>
      <c r="J21" s="39">
        <f t="shared" si="1"/>
        <v>3649.45</v>
      </c>
      <c r="K21" s="39">
        <f t="shared" si="2"/>
        <v>185949.45</v>
      </c>
      <c r="L21" s="253"/>
      <c r="M21" s="250">
        <f t="shared" si="3"/>
        <v>776427.64999999991</v>
      </c>
      <c r="N21" s="39"/>
      <c r="O21" s="30"/>
    </row>
    <row r="22" spans="1:15" ht="15">
      <c r="A22" s="28">
        <v>19</v>
      </c>
      <c r="B22" s="29">
        <v>45766</v>
      </c>
      <c r="C22" s="125"/>
      <c r="D22" s="125"/>
      <c r="E22" s="39"/>
      <c r="F22" s="39">
        <v>0</v>
      </c>
      <c r="G22" s="39">
        <f t="shared" si="0"/>
        <v>0</v>
      </c>
      <c r="H22" s="249"/>
      <c r="I22" s="249"/>
      <c r="J22" s="39">
        <f t="shared" si="1"/>
        <v>0</v>
      </c>
      <c r="K22" s="39">
        <f t="shared" si="2"/>
        <v>0</v>
      </c>
      <c r="L22" s="253"/>
      <c r="M22" s="250">
        <f t="shared" si="3"/>
        <v>776427.64999999991</v>
      </c>
      <c r="N22" s="39"/>
      <c r="O22" s="30"/>
    </row>
    <row r="23" spans="1:15" ht="15">
      <c r="A23" s="28">
        <v>20</v>
      </c>
      <c r="B23" s="29">
        <v>45767</v>
      </c>
      <c r="C23" s="125"/>
      <c r="D23" s="125"/>
      <c r="E23" s="39"/>
      <c r="F23" s="39">
        <v>0</v>
      </c>
      <c r="G23" s="39">
        <f t="shared" si="0"/>
        <v>0</v>
      </c>
      <c r="H23" s="249"/>
      <c r="I23" s="249"/>
      <c r="J23" s="39">
        <f t="shared" si="1"/>
        <v>0</v>
      </c>
      <c r="K23" s="39">
        <f t="shared" si="2"/>
        <v>0</v>
      </c>
      <c r="L23" s="253"/>
      <c r="M23" s="250">
        <f t="shared" si="3"/>
        <v>776427.64999999991</v>
      </c>
      <c r="N23" s="39"/>
      <c r="O23" s="30"/>
    </row>
    <row r="24" spans="1:15" ht="15">
      <c r="A24" s="28">
        <v>21</v>
      </c>
      <c r="B24" s="29">
        <v>45768</v>
      </c>
      <c r="C24" s="125"/>
      <c r="D24" s="125"/>
      <c r="E24" s="39"/>
      <c r="F24" s="39">
        <v>0</v>
      </c>
      <c r="G24" s="39">
        <f t="shared" si="0"/>
        <v>0</v>
      </c>
      <c r="H24" s="249"/>
      <c r="I24" s="249"/>
      <c r="J24" s="39">
        <f t="shared" si="1"/>
        <v>0</v>
      </c>
      <c r="K24" s="39">
        <f t="shared" si="2"/>
        <v>0</v>
      </c>
      <c r="L24" s="253"/>
      <c r="M24" s="250">
        <f t="shared" si="3"/>
        <v>776427.64999999991</v>
      </c>
      <c r="N24" s="39"/>
      <c r="O24" s="30"/>
    </row>
    <row r="25" spans="1:15" ht="15">
      <c r="A25" s="28">
        <v>22</v>
      </c>
      <c r="B25" s="29">
        <v>45769</v>
      </c>
      <c r="C25" s="125"/>
      <c r="D25" s="125"/>
      <c r="E25" s="39"/>
      <c r="F25" s="39">
        <v>0</v>
      </c>
      <c r="G25" s="39">
        <f t="shared" si="0"/>
        <v>0</v>
      </c>
      <c r="H25" s="249"/>
      <c r="I25" s="249"/>
      <c r="J25" s="39">
        <f t="shared" si="1"/>
        <v>0</v>
      </c>
      <c r="K25" s="39">
        <f t="shared" si="2"/>
        <v>0</v>
      </c>
      <c r="L25" s="253"/>
      <c r="M25" s="250">
        <f t="shared" si="3"/>
        <v>776427.64999999991</v>
      </c>
      <c r="N25" s="39"/>
      <c r="O25" s="30"/>
    </row>
    <row r="26" spans="1:15" ht="15">
      <c r="A26" s="28">
        <v>23</v>
      </c>
      <c r="B26" s="29">
        <v>45770</v>
      </c>
      <c r="C26" s="125"/>
      <c r="D26" s="125"/>
      <c r="E26" s="39"/>
      <c r="F26" s="39">
        <v>0</v>
      </c>
      <c r="G26" s="39">
        <f t="shared" si="0"/>
        <v>0</v>
      </c>
      <c r="H26" s="249"/>
      <c r="I26" s="249"/>
      <c r="J26" s="39">
        <f t="shared" si="1"/>
        <v>0</v>
      </c>
      <c r="K26" s="39">
        <f t="shared" si="2"/>
        <v>0</v>
      </c>
      <c r="L26" s="253"/>
      <c r="M26" s="250">
        <f t="shared" si="3"/>
        <v>776427.64999999991</v>
      </c>
      <c r="N26" s="39"/>
      <c r="O26" s="30"/>
    </row>
    <row r="27" spans="1:15" ht="15">
      <c r="A27" s="28">
        <v>24</v>
      </c>
      <c r="B27" s="29">
        <v>45771</v>
      </c>
      <c r="C27" s="125"/>
      <c r="D27" s="125"/>
      <c r="E27" s="39"/>
      <c r="F27" s="39">
        <v>0</v>
      </c>
      <c r="G27" s="39">
        <f t="shared" si="0"/>
        <v>0</v>
      </c>
      <c r="H27" s="249"/>
      <c r="I27" s="249"/>
      <c r="J27" s="39">
        <f t="shared" si="1"/>
        <v>0</v>
      </c>
      <c r="K27" s="39">
        <f t="shared" si="2"/>
        <v>0</v>
      </c>
      <c r="L27" s="253"/>
      <c r="M27" s="250">
        <f t="shared" si="3"/>
        <v>776427.64999999991</v>
      </c>
      <c r="N27" s="39"/>
      <c r="O27" s="30"/>
    </row>
    <row r="28" spans="1:15" ht="15">
      <c r="A28" s="28">
        <v>25</v>
      </c>
      <c r="B28" s="29">
        <v>45772</v>
      </c>
      <c r="C28" s="125"/>
      <c r="D28" s="125"/>
      <c r="E28" s="39"/>
      <c r="F28" s="39">
        <v>0</v>
      </c>
      <c r="G28" s="39">
        <f t="shared" si="0"/>
        <v>0</v>
      </c>
      <c r="H28" s="249"/>
      <c r="I28" s="249"/>
      <c r="J28" s="39">
        <f t="shared" si="1"/>
        <v>0</v>
      </c>
      <c r="K28" s="39">
        <f t="shared" si="2"/>
        <v>0</v>
      </c>
      <c r="L28" s="253"/>
      <c r="M28" s="250">
        <f t="shared" si="3"/>
        <v>776427.64999999991</v>
      </c>
      <c r="N28" s="39"/>
      <c r="O28" s="30"/>
    </row>
    <row r="29" spans="1:15" ht="15">
      <c r="A29" s="28">
        <v>26</v>
      </c>
      <c r="B29" s="29">
        <v>45773</v>
      </c>
      <c r="C29" s="125"/>
      <c r="D29" s="125"/>
      <c r="E29" s="39"/>
      <c r="F29" s="39">
        <v>0</v>
      </c>
      <c r="G29" s="39">
        <f t="shared" si="0"/>
        <v>0</v>
      </c>
      <c r="H29" s="249"/>
      <c r="I29" s="249"/>
      <c r="J29" s="39">
        <f t="shared" si="1"/>
        <v>0</v>
      </c>
      <c r="K29" s="39">
        <f t="shared" si="2"/>
        <v>0</v>
      </c>
      <c r="L29" s="253"/>
      <c r="M29" s="250">
        <f t="shared" si="3"/>
        <v>776427.64999999991</v>
      </c>
      <c r="N29" s="39"/>
      <c r="O29" s="30"/>
    </row>
    <row r="30" spans="1:15" ht="15">
      <c r="A30" s="28">
        <v>27</v>
      </c>
      <c r="B30" s="29">
        <v>45774</v>
      </c>
      <c r="C30" s="125"/>
      <c r="D30" s="125"/>
      <c r="E30" s="39"/>
      <c r="F30" s="39">
        <v>0</v>
      </c>
      <c r="G30" s="39">
        <f t="shared" si="0"/>
        <v>0</v>
      </c>
      <c r="H30" s="249"/>
      <c r="I30" s="249"/>
      <c r="J30" s="39">
        <f t="shared" si="1"/>
        <v>0</v>
      </c>
      <c r="K30" s="39">
        <f t="shared" si="2"/>
        <v>0</v>
      </c>
      <c r="L30" s="253"/>
      <c r="M30" s="250">
        <f t="shared" si="3"/>
        <v>776427.64999999991</v>
      </c>
      <c r="N30" s="39"/>
      <c r="O30" s="30"/>
    </row>
    <row r="31" spans="1:15" ht="15">
      <c r="A31" s="28">
        <v>28</v>
      </c>
      <c r="B31" s="29">
        <v>45775</v>
      </c>
      <c r="C31" s="125"/>
      <c r="D31" s="125"/>
      <c r="E31" s="39"/>
      <c r="F31" s="39">
        <v>0</v>
      </c>
      <c r="G31" s="39">
        <f t="shared" si="0"/>
        <v>0</v>
      </c>
      <c r="H31" s="249"/>
      <c r="I31" s="249"/>
      <c r="J31" s="39">
        <f t="shared" si="1"/>
        <v>0</v>
      </c>
      <c r="K31" s="39">
        <f t="shared" si="2"/>
        <v>0</v>
      </c>
      <c r="L31" s="253"/>
      <c r="M31" s="250">
        <f t="shared" si="3"/>
        <v>776427.64999999991</v>
      </c>
      <c r="N31" s="39"/>
      <c r="O31" s="30"/>
    </row>
    <row r="32" spans="1:15" ht="15">
      <c r="A32" s="28">
        <v>29</v>
      </c>
      <c r="B32" s="29">
        <v>45776</v>
      </c>
      <c r="C32" s="125"/>
      <c r="D32" s="125"/>
      <c r="E32" s="39"/>
      <c r="F32" s="39">
        <v>0</v>
      </c>
      <c r="G32" s="39">
        <f t="shared" si="0"/>
        <v>0</v>
      </c>
      <c r="H32" s="249"/>
      <c r="I32" s="249"/>
      <c r="J32" s="39">
        <f t="shared" si="1"/>
        <v>0</v>
      </c>
      <c r="K32" s="39">
        <f t="shared" si="2"/>
        <v>0</v>
      </c>
      <c r="L32" s="253"/>
      <c r="M32" s="250">
        <f t="shared" si="3"/>
        <v>776427.64999999991</v>
      </c>
      <c r="N32" s="279"/>
      <c r="O32" s="30"/>
    </row>
    <row r="33" spans="1:15" ht="15">
      <c r="A33" s="28">
        <v>30</v>
      </c>
      <c r="B33" s="29">
        <v>45777</v>
      </c>
      <c r="C33" s="125"/>
      <c r="D33" s="125"/>
      <c r="E33" s="39"/>
      <c r="F33" s="39">
        <v>0</v>
      </c>
      <c r="G33" s="39">
        <f t="shared" si="0"/>
        <v>0</v>
      </c>
      <c r="H33" s="249"/>
      <c r="I33" s="249"/>
      <c r="J33" s="39">
        <f t="shared" si="1"/>
        <v>0</v>
      </c>
      <c r="K33" s="39">
        <f t="shared" si="2"/>
        <v>0</v>
      </c>
      <c r="L33" s="253"/>
      <c r="M33" s="250">
        <f>M32+K33-L33</f>
        <v>776427.64999999991</v>
      </c>
      <c r="N33" s="279"/>
      <c r="O33" s="30"/>
    </row>
    <row r="34" spans="1:15" ht="15">
      <c r="A34" s="28">
        <v>31</v>
      </c>
      <c r="B34" s="29"/>
      <c r="C34" s="125"/>
      <c r="D34" s="125"/>
      <c r="E34" s="39"/>
      <c r="F34" s="39">
        <v>0</v>
      </c>
      <c r="G34" s="39">
        <f t="shared" si="0"/>
        <v>0</v>
      </c>
      <c r="H34" s="249"/>
      <c r="I34" s="249"/>
      <c r="J34" s="39">
        <f t="shared" si="1"/>
        <v>0</v>
      </c>
      <c r="K34" s="39">
        <f t="shared" si="2"/>
        <v>0</v>
      </c>
      <c r="L34" s="253"/>
      <c r="M34" s="279"/>
      <c r="N34" s="279"/>
      <c r="O34" s="30"/>
    </row>
    <row r="35" spans="1:15">
      <c r="A35" s="52"/>
      <c r="B35" s="52"/>
      <c r="C35" s="255"/>
      <c r="D35" s="255"/>
      <c r="E35" s="256">
        <f>SUM(E4:E31)</f>
        <v>4200</v>
      </c>
      <c r="F35" s="256"/>
      <c r="G35" s="256">
        <f>SUM(G4:G31)</f>
        <v>385030</v>
      </c>
      <c r="H35" s="256">
        <f>SUM(H4:H31)</f>
        <v>135</v>
      </c>
      <c r="I35" s="256"/>
      <c r="J35" s="256">
        <f>SUM(J4:J31)</f>
        <v>14076.45</v>
      </c>
      <c r="K35" s="256">
        <f>SUM(K4:K31)</f>
        <v>399106.45</v>
      </c>
      <c r="L35" s="256">
        <f>SUM(L4:L31)</f>
        <v>0</v>
      </c>
      <c r="M35" s="256"/>
      <c r="N35" s="256"/>
      <c r="O35" s="35"/>
    </row>
    <row r="36" spans="1:15">
      <c r="A36" s="32"/>
      <c r="B36" s="32"/>
      <c r="C36" s="32"/>
      <c r="D36" s="32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0"/>
    </row>
    <row r="37" spans="1:15">
      <c r="A37" s="30"/>
      <c r="B37" s="30"/>
      <c r="C37" s="30"/>
      <c r="D37" s="30"/>
      <c r="E37" s="30"/>
      <c r="F37" s="30"/>
      <c r="G37" s="33"/>
      <c r="H37" s="30"/>
      <c r="I37" s="30"/>
      <c r="J37" s="30"/>
      <c r="K37" s="30"/>
      <c r="L37" s="30"/>
      <c r="M37" s="30"/>
      <c r="N37" s="30"/>
      <c r="O37" s="34"/>
    </row>
    <row r="38" spans="1:15">
      <c r="A38" s="30"/>
      <c r="B38" s="406"/>
      <c r="C38" s="406"/>
      <c r="D38" s="406"/>
      <c r="E38" s="406"/>
      <c r="F38" s="30"/>
      <c r="G38" s="30"/>
      <c r="H38" s="30"/>
      <c r="I38" s="406"/>
      <c r="J38" s="406"/>
      <c r="K38" s="406"/>
      <c r="L38" s="406"/>
      <c r="M38" s="406"/>
      <c r="N38" s="406"/>
      <c r="O38" s="34"/>
    </row>
    <row r="39" spans="1:1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4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681-750A-402D-B1B7-693CAD315F78}">
  <dimension ref="A1:AH37"/>
  <sheetViews>
    <sheetView workbookViewId="0">
      <pane ySplit="2" topLeftCell="A28" activePane="bottomLeft" state="frozen"/>
      <selection pane="bottomLeft" activeCell="P38" sqref="P38"/>
    </sheetView>
  </sheetViews>
  <sheetFormatPr defaultRowHeight="15"/>
  <cols>
    <col min="1" max="1" width="4.7109375" style="55" bestFit="1" customWidth="1"/>
    <col min="2" max="2" width="10.42578125" style="55" bestFit="1" customWidth="1"/>
    <col min="3" max="3" width="7.140625" style="55" bestFit="1" customWidth="1"/>
    <col min="4" max="4" width="16" style="55" bestFit="1" customWidth="1"/>
    <col min="5" max="5" width="9.7109375" style="55" bestFit="1" customWidth="1"/>
    <col min="6" max="6" width="11.5703125" style="55" bestFit="1" customWidth="1"/>
    <col min="7" max="7" width="11.85546875" style="55" bestFit="1" customWidth="1"/>
    <col min="8" max="8" width="10.42578125" style="55" bestFit="1" customWidth="1"/>
    <col min="9" max="9" width="7.140625" style="55" bestFit="1" customWidth="1"/>
    <col min="10" max="10" width="10.85546875" style="61" bestFit="1" customWidth="1"/>
    <col min="11" max="11" width="11.85546875" style="55" bestFit="1" customWidth="1"/>
    <col min="12" max="12" width="12.42578125" style="61" bestFit="1" customWidth="1"/>
    <col min="13" max="13" width="12.42578125" style="61" customWidth="1"/>
    <col min="14" max="14" width="17.7109375" style="55" bestFit="1" customWidth="1"/>
    <col min="15" max="15" width="9.140625" style="55"/>
    <col min="16" max="16" width="11.85546875" style="55" bestFit="1" customWidth="1"/>
    <col min="17" max="16384" width="9.140625" style="55"/>
  </cols>
  <sheetData>
    <row r="1" spans="1:16">
      <c r="A1" s="411" t="s">
        <v>23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</row>
    <row r="2" spans="1:16">
      <c r="A2" s="103" t="s">
        <v>81</v>
      </c>
      <c r="B2" s="104" t="s">
        <v>82</v>
      </c>
      <c r="C2" s="104" t="s">
        <v>83</v>
      </c>
      <c r="D2" s="104" t="s">
        <v>84</v>
      </c>
      <c r="E2" s="104" t="s">
        <v>85</v>
      </c>
      <c r="F2" s="104" t="s">
        <v>86</v>
      </c>
      <c r="G2" s="104" t="s">
        <v>87</v>
      </c>
      <c r="H2" s="104" t="s">
        <v>88</v>
      </c>
      <c r="I2" s="104" t="s">
        <v>86</v>
      </c>
      <c r="J2" s="130" t="s">
        <v>87</v>
      </c>
      <c r="K2" s="104" t="s">
        <v>89</v>
      </c>
      <c r="L2" s="130" t="s">
        <v>90</v>
      </c>
      <c r="M2" s="129" t="s">
        <v>97</v>
      </c>
      <c r="N2" s="105" t="s">
        <v>92</v>
      </c>
      <c r="O2" s="35"/>
    </row>
    <row r="3" spans="1:16">
      <c r="A3" s="407" t="s">
        <v>93</v>
      </c>
      <c r="B3" s="408"/>
      <c r="C3" s="408"/>
      <c r="D3" s="408"/>
      <c r="E3" s="408"/>
      <c r="F3" s="408"/>
      <c r="G3" s="408"/>
      <c r="H3" s="408"/>
      <c r="I3" s="408"/>
      <c r="J3" s="412"/>
      <c r="K3" s="31">
        <v>162636.67999999996</v>
      </c>
      <c r="L3" s="56"/>
      <c r="M3" s="131">
        <f>+K3</f>
        <v>162636.67999999996</v>
      </c>
      <c r="N3" s="56"/>
      <c r="O3" s="35"/>
      <c r="P3" s="59"/>
    </row>
    <row r="4" spans="1:16">
      <c r="A4" s="28">
        <v>1</v>
      </c>
      <c r="B4" s="29">
        <v>45748</v>
      </c>
      <c r="C4" s="57" t="s">
        <v>98</v>
      </c>
      <c r="D4" s="58" t="s">
        <v>98</v>
      </c>
      <c r="E4" s="57">
        <v>0</v>
      </c>
      <c r="F4" s="57"/>
      <c r="G4" s="56">
        <f t="shared" ref="G4:G18" si="0">E4*F4</f>
        <v>0</v>
      </c>
      <c r="H4" s="57">
        <v>0</v>
      </c>
      <c r="I4" s="57"/>
      <c r="J4" s="59">
        <f t="shared" ref="J4:J18" si="1">H4*I4</f>
        <v>0</v>
      </c>
      <c r="K4" s="56">
        <f t="shared" ref="K4:K18" si="2">G4+J4</f>
        <v>0</v>
      </c>
      <c r="L4" s="126"/>
      <c r="M4" s="59">
        <f>M3+K4-L4</f>
        <v>162636.67999999996</v>
      </c>
      <c r="N4" s="121"/>
    </row>
    <row r="5" spans="1:16">
      <c r="A5" s="28">
        <v>2</v>
      </c>
      <c r="B5" s="29">
        <v>45749</v>
      </c>
      <c r="C5" s="57" t="s">
        <v>98</v>
      </c>
      <c r="D5" s="58" t="s">
        <v>98</v>
      </c>
      <c r="E5" s="57">
        <v>0</v>
      </c>
      <c r="F5" s="57"/>
      <c r="G5" s="56">
        <f t="shared" ref="G5:G34" si="3">E5*F5</f>
        <v>0</v>
      </c>
      <c r="H5" s="57">
        <v>0</v>
      </c>
      <c r="I5" s="57"/>
      <c r="J5" s="59">
        <f t="shared" ref="J5:J34" si="4">H5*I5</f>
        <v>0</v>
      </c>
      <c r="K5" s="56">
        <f t="shared" ref="K5:K34" si="5">G5+J5</f>
        <v>0</v>
      </c>
      <c r="L5" s="126"/>
      <c r="M5" s="59">
        <f t="shared" ref="M5:M34" si="6">M4+K5-L5</f>
        <v>162636.67999999996</v>
      </c>
      <c r="N5" s="121"/>
    </row>
    <row r="6" spans="1:16">
      <c r="A6" s="28">
        <v>3</v>
      </c>
      <c r="B6" s="29">
        <v>45750</v>
      </c>
      <c r="C6" s="57" t="s">
        <v>98</v>
      </c>
      <c r="D6" s="58" t="s">
        <v>98</v>
      </c>
      <c r="E6" s="57">
        <v>0</v>
      </c>
      <c r="F6" s="57"/>
      <c r="G6" s="56">
        <f t="shared" si="3"/>
        <v>0</v>
      </c>
      <c r="H6" s="57">
        <v>0</v>
      </c>
      <c r="I6" s="57"/>
      <c r="J6" s="59">
        <f t="shared" si="4"/>
        <v>0</v>
      </c>
      <c r="K6" s="56">
        <f t="shared" si="5"/>
        <v>0</v>
      </c>
      <c r="L6" s="126"/>
      <c r="M6" s="59">
        <f t="shared" si="6"/>
        <v>162636.67999999996</v>
      </c>
      <c r="N6" s="128"/>
    </row>
    <row r="7" spans="1:16">
      <c r="A7" s="28">
        <v>4</v>
      </c>
      <c r="B7" s="29">
        <v>45751</v>
      </c>
      <c r="C7" s="57" t="s">
        <v>98</v>
      </c>
      <c r="D7" s="58" t="s">
        <v>98</v>
      </c>
      <c r="E7" s="57">
        <v>0</v>
      </c>
      <c r="F7" s="57"/>
      <c r="G7" s="56">
        <f t="shared" si="3"/>
        <v>0</v>
      </c>
      <c r="H7" s="57">
        <v>0</v>
      </c>
      <c r="I7" s="57"/>
      <c r="J7" s="59">
        <f t="shared" si="4"/>
        <v>0</v>
      </c>
      <c r="K7" s="56">
        <f t="shared" si="5"/>
        <v>0</v>
      </c>
      <c r="L7" s="126"/>
      <c r="M7" s="59">
        <f t="shared" si="6"/>
        <v>162636.67999999996</v>
      </c>
      <c r="N7" s="128"/>
    </row>
    <row r="8" spans="1:16">
      <c r="A8" s="28">
        <v>5</v>
      </c>
      <c r="B8" s="29">
        <v>45752</v>
      </c>
      <c r="C8" s="57" t="s">
        <v>98</v>
      </c>
      <c r="D8" s="58" t="s">
        <v>98</v>
      </c>
      <c r="E8" s="57">
        <v>0</v>
      </c>
      <c r="F8" s="57"/>
      <c r="G8" s="56">
        <f t="shared" si="3"/>
        <v>0</v>
      </c>
      <c r="H8" s="57">
        <v>0</v>
      </c>
      <c r="I8" s="57"/>
      <c r="J8" s="59">
        <f t="shared" si="4"/>
        <v>0</v>
      </c>
      <c r="K8" s="56">
        <f t="shared" si="5"/>
        <v>0</v>
      </c>
      <c r="L8" s="126"/>
      <c r="M8" s="59">
        <f t="shared" si="6"/>
        <v>162636.67999999996</v>
      </c>
      <c r="N8" s="121"/>
    </row>
    <row r="9" spans="1:16">
      <c r="A9" s="28">
        <v>6</v>
      </c>
      <c r="B9" s="29">
        <v>45753</v>
      </c>
      <c r="C9" s="57" t="s">
        <v>98</v>
      </c>
      <c r="D9" s="58" t="s">
        <v>98</v>
      </c>
      <c r="E9" s="57">
        <v>0</v>
      </c>
      <c r="F9" s="57"/>
      <c r="G9" s="56">
        <f t="shared" si="3"/>
        <v>0</v>
      </c>
      <c r="H9" s="57">
        <v>0</v>
      </c>
      <c r="I9" s="57"/>
      <c r="J9" s="59">
        <f t="shared" si="4"/>
        <v>0</v>
      </c>
      <c r="K9" s="56">
        <f t="shared" si="5"/>
        <v>0</v>
      </c>
      <c r="L9" s="126"/>
      <c r="M9" s="59">
        <f t="shared" si="6"/>
        <v>162636.67999999996</v>
      </c>
      <c r="N9" s="128"/>
    </row>
    <row r="10" spans="1:16">
      <c r="A10" s="28">
        <v>7</v>
      </c>
      <c r="B10" s="29">
        <v>45754</v>
      </c>
      <c r="C10" s="57" t="s">
        <v>98</v>
      </c>
      <c r="D10" s="58" t="s">
        <v>98</v>
      </c>
      <c r="E10" s="57">
        <v>1800</v>
      </c>
      <c r="F10" s="57">
        <v>91.3</v>
      </c>
      <c r="G10" s="56">
        <f t="shared" si="3"/>
        <v>164340</v>
      </c>
      <c r="H10" s="57">
        <v>120</v>
      </c>
      <c r="I10" s="57">
        <v>103.24</v>
      </c>
      <c r="J10" s="59">
        <f t="shared" si="4"/>
        <v>12388.8</v>
      </c>
      <c r="K10" s="56">
        <f t="shared" si="5"/>
        <v>176728.8</v>
      </c>
      <c r="L10" s="126"/>
      <c r="M10" s="59">
        <f t="shared" si="6"/>
        <v>339365.48</v>
      </c>
      <c r="N10" s="121"/>
    </row>
    <row r="11" spans="1:16">
      <c r="A11" s="28">
        <v>8</v>
      </c>
      <c r="B11" s="29">
        <v>45755</v>
      </c>
      <c r="C11" s="57" t="s">
        <v>98</v>
      </c>
      <c r="D11" s="58" t="s">
        <v>98</v>
      </c>
      <c r="E11" s="57">
        <v>30</v>
      </c>
      <c r="F11" s="57">
        <v>90.99</v>
      </c>
      <c r="G11" s="56">
        <f t="shared" si="3"/>
        <v>2729.7</v>
      </c>
      <c r="H11" s="57">
        <v>0</v>
      </c>
      <c r="I11" s="57"/>
      <c r="J11" s="59">
        <f t="shared" si="4"/>
        <v>0</v>
      </c>
      <c r="K11" s="56">
        <f t="shared" si="5"/>
        <v>2729.7</v>
      </c>
      <c r="L11" s="126">
        <v>2729.7</v>
      </c>
      <c r="M11" s="59">
        <f t="shared" si="6"/>
        <v>339365.48</v>
      </c>
      <c r="N11" s="127"/>
    </row>
    <row r="12" spans="1:16">
      <c r="A12" s="28">
        <v>9</v>
      </c>
      <c r="B12" s="29">
        <v>45756</v>
      </c>
      <c r="C12" s="57" t="s">
        <v>98</v>
      </c>
      <c r="D12" s="58" t="s">
        <v>98</v>
      </c>
      <c r="E12" s="57">
        <v>0</v>
      </c>
      <c r="F12" s="57"/>
      <c r="G12" s="56">
        <f t="shared" si="3"/>
        <v>0</v>
      </c>
      <c r="H12" s="57">
        <v>0</v>
      </c>
      <c r="I12" s="57"/>
      <c r="J12" s="59">
        <f t="shared" si="4"/>
        <v>0</v>
      </c>
      <c r="K12" s="56">
        <f t="shared" si="5"/>
        <v>0</v>
      </c>
      <c r="L12" s="126"/>
      <c r="M12" s="59">
        <f t="shared" si="6"/>
        <v>339365.48</v>
      </c>
      <c r="N12" s="121"/>
    </row>
    <row r="13" spans="1:16">
      <c r="A13" s="28">
        <v>10</v>
      </c>
      <c r="B13" s="29">
        <v>45757</v>
      </c>
      <c r="C13" s="57" t="s">
        <v>98</v>
      </c>
      <c r="D13" s="58" t="s">
        <v>98</v>
      </c>
      <c r="E13" s="57">
        <v>0</v>
      </c>
      <c r="F13" s="57"/>
      <c r="G13" s="56">
        <f t="shared" si="3"/>
        <v>0</v>
      </c>
      <c r="H13" s="57">
        <v>0</v>
      </c>
      <c r="I13" s="57"/>
      <c r="J13" s="59">
        <f t="shared" si="4"/>
        <v>0</v>
      </c>
      <c r="K13" s="56">
        <f t="shared" si="5"/>
        <v>0</v>
      </c>
      <c r="L13" s="126">
        <v>300000</v>
      </c>
      <c r="M13" s="59">
        <f t="shared" si="6"/>
        <v>39365.479999999981</v>
      </c>
      <c r="N13" s="121"/>
    </row>
    <row r="14" spans="1:16">
      <c r="A14" s="28">
        <v>11</v>
      </c>
      <c r="B14" s="29">
        <v>45758</v>
      </c>
      <c r="C14" s="57" t="s">
        <v>98</v>
      </c>
      <c r="D14" s="58" t="s">
        <v>98</v>
      </c>
      <c r="E14" s="57">
        <v>0</v>
      </c>
      <c r="F14" s="57"/>
      <c r="G14" s="56">
        <f t="shared" si="3"/>
        <v>0</v>
      </c>
      <c r="H14" s="57">
        <v>105</v>
      </c>
      <c r="I14" s="57">
        <v>103.24</v>
      </c>
      <c r="J14" s="59">
        <f t="shared" si="4"/>
        <v>10840.199999999999</v>
      </c>
      <c r="K14" s="56">
        <f t="shared" si="5"/>
        <v>10840.199999999999</v>
      </c>
      <c r="L14" s="126"/>
      <c r="M14" s="59">
        <f t="shared" si="6"/>
        <v>50205.679999999978</v>
      </c>
      <c r="N14" s="121"/>
    </row>
    <row r="15" spans="1:16">
      <c r="A15" s="28">
        <v>12</v>
      </c>
      <c r="B15" s="29">
        <v>45759</v>
      </c>
      <c r="C15" s="57" t="s">
        <v>98</v>
      </c>
      <c r="D15" s="58" t="s">
        <v>98</v>
      </c>
      <c r="E15" s="57">
        <v>0</v>
      </c>
      <c r="F15" s="57"/>
      <c r="G15" s="56">
        <f t="shared" si="3"/>
        <v>0</v>
      </c>
      <c r="H15" s="57">
        <v>0</v>
      </c>
      <c r="I15" s="57"/>
      <c r="J15" s="59">
        <f t="shared" si="4"/>
        <v>0</v>
      </c>
      <c r="K15" s="56">
        <f t="shared" si="5"/>
        <v>0</v>
      </c>
      <c r="L15" s="126"/>
      <c r="M15" s="59">
        <f t="shared" si="6"/>
        <v>50205.679999999978</v>
      </c>
      <c r="N15" s="121"/>
    </row>
    <row r="16" spans="1:16">
      <c r="A16" s="28">
        <v>13</v>
      </c>
      <c r="B16" s="29">
        <v>45760</v>
      </c>
      <c r="C16" s="57" t="s">
        <v>98</v>
      </c>
      <c r="D16" s="58" t="s">
        <v>98</v>
      </c>
      <c r="E16" s="57">
        <v>0</v>
      </c>
      <c r="F16" s="57"/>
      <c r="G16" s="56">
        <f t="shared" si="3"/>
        <v>0</v>
      </c>
      <c r="H16" s="57">
        <v>0</v>
      </c>
      <c r="I16" s="57"/>
      <c r="J16" s="59">
        <f t="shared" si="4"/>
        <v>0</v>
      </c>
      <c r="K16" s="56">
        <f t="shared" si="5"/>
        <v>0</v>
      </c>
      <c r="L16" s="126"/>
      <c r="M16" s="59">
        <f t="shared" si="6"/>
        <v>50205.679999999978</v>
      </c>
      <c r="N16" s="121"/>
    </row>
    <row r="17" spans="1:14">
      <c r="A17" s="28">
        <v>14</v>
      </c>
      <c r="B17" s="29">
        <v>45761</v>
      </c>
      <c r="C17" s="57" t="s">
        <v>98</v>
      </c>
      <c r="D17" s="58" t="s">
        <v>98</v>
      </c>
      <c r="E17" s="57">
        <v>0</v>
      </c>
      <c r="F17" s="57"/>
      <c r="G17" s="56">
        <f t="shared" si="3"/>
        <v>0</v>
      </c>
      <c r="H17" s="57">
        <v>0</v>
      </c>
      <c r="I17" s="57"/>
      <c r="J17" s="59">
        <f t="shared" si="4"/>
        <v>0</v>
      </c>
      <c r="K17" s="56">
        <f t="shared" si="5"/>
        <v>0</v>
      </c>
      <c r="L17" s="126"/>
      <c r="M17" s="59">
        <f t="shared" si="6"/>
        <v>50205.679999999978</v>
      </c>
      <c r="N17" s="121"/>
    </row>
    <row r="18" spans="1:14">
      <c r="A18" s="28">
        <v>15</v>
      </c>
      <c r="B18" s="29">
        <v>45762</v>
      </c>
      <c r="C18" s="57" t="s">
        <v>98</v>
      </c>
      <c r="D18" s="58" t="s">
        <v>98</v>
      </c>
      <c r="E18" s="57">
        <v>0</v>
      </c>
      <c r="F18" s="57"/>
      <c r="G18" s="56">
        <f t="shared" si="3"/>
        <v>0</v>
      </c>
      <c r="H18" s="57">
        <v>0</v>
      </c>
      <c r="I18" s="57"/>
      <c r="J18" s="59">
        <f t="shared" si="4"/>
        <v>0</v>
      </c>
      <c r="K18" s="56">
        <f t="shared" si="5"/>
        <v>0</v>
      </c>
      <c r="L18" s="126"/>
      <c r="M18" s="59">
        <f t="shared" si="6"/>
        <v>50205.679999999978</v>
      </c>
      <c r="N18" s="121"/>
    </row>
    <row r="19" spans="1:14">
      <c r="A19" s="28">
        <v>16</v>
      </c>
      <c r="B19" s="29">
        <v>45763</v>
      </c>
      <c r="C19" s="57" t="s">
        <v>98</v>
      </c>
      <c r="D19" s="58" t="s">
        <v>98</v>
      </c>
      <c r="E19" s="57">
        <v>2000</v>
      </c>
      <c r="F19" s="57">
        <v>91.3</v>
      </c>
      <c r="G19" s="56">
        <f t="shared" si="3"/>
        <v>182600</v>
      </c>
      <c r="H19" s="57">
        <v>105</v>
      </c>
      <c r="I19" s="57">
        <v>103.24</v>
      </c>
      <c r="J19" s="59">
        <f t="shared" si="4"/>
        <v>10840.199999999999</v>
      </c>
      <c r="K19" s="56">
        <f t="shared" si="5"/>
        <v>193440.2</v>
      </c>
      <c r="L19" s="126"/>
      <c r="M19" s="59">
        <f t="shared" si="6"/>
        <v>243645.88</v>
      </c>
      <c r="N19" s="121"/>
    </row>
    <row r="20" spans="1:14">
      <c r="A20" s="28">
        <v>17</v>
      </c>
      <c r="B20" s="29">
        <v>45764</v>
      </c>
      <c r="C20" s="57" t="s">
        <v>98</v>
      </c>
      <c r="D20" s="58" t="s">
        <v>98</v>
      </c>
      <c r="E20" s="57">
        <v>0</v>
      </c>
      <c r="F20" s="57"/>
      <c r="G20" s="56">
        <f t="shared" si="3"/>
        <v>0</v>
      </c>
      <c r="H20" s="57">
        <v>0</v>
      </c>
      <c r="I20" s="57"/>
      <c r="J20" s="59">
        <f t="shared" si="4"/>
        <v>0</v>
      </c>
      <c r="K20" s="56">
        <f t="shared" si="5"/>
        <v>0</v>
      </c>
      <c r="L20" s="126"/>
      <c r="M20" s="59">
        <f t="shared" si="6"/>
        <v>243645.88</v>
      </c>
      <c r="N20" s="121"/>
    </row>
    <row r="21" spans="1:14">
      <c r="A21" s="28">
        <v>18</v>
      </c>
      <c r="B21" s="29">
        <v>45765</v>
      </c>
      <c r="C21" s="57" t="s">
        <v>98</v>
      </c>
      <c r="D21" s="58" t="s">
        <v>98</v>
      </c>
      <c r="E21" s="57">
        <v>0</v>
      </c>
      <c r="F21" s="57"/>
      <c r="G21" s="56">
        <f t="shared" si="3"/>
        <v>0</v>
      </c>
      <c r="H21" s="57">
        <v>0</v>
      </c>
      <c r="I21" s="57"/>
      <c r="J21" s="59">
        <f t="shared" si="4"/>
        <v>0</v>
      </c>
      <c r="K21" s="56">
        <f t="shared" si="5"/>
        <v>0</v>
      </c>
      <c r="L21" s="126"/>
      <c r="M21" s="59">
        <f t="shared" si="6"/>
        <v>243645.88</v>
      </c>
      <c r="N21" s="121"/>
    </row>
    <row r="22" spans="1:14">
      <c r="A22" s="28">
        <v>19</v>
      </c>
      <c r="B22" s="29">
        <v>45766</v>
      </c>
      <c r="C22" s="57" t="s">
        <v>98</v>
      </c>
      <c r="D22" s="58" t="s">
        <v>98</v>
      </c>
      <c r="E22" s="57">
        <v>0</v>
      </c>
      <c r="F22" s="57"/>
      <c r="G22" s="56">
        <f t="shared" si="3"/>
        <v>0</v>
      </c>
      <c r="H22" s="57">
        <v>0</v>
      </c>
      <c r="I22" s="57"/>
      <c r="J22" s="59">
        <f t="shared" si="4"/>
        <v>0</v>
      </c>
      <c r="K22" s="56">
        <f t="shared" si="5"/>
        <v>0</v>
      </c>
      <c r="L22" s="126"/>
      <c r="M22" s="59">
        <f t="shared" si="6"/>
        <v>243645.88</v>
      </c>
      <c r="N22" s="121"/>
    </row>
    <row r="23" spans="1:14">
      <c r="A23" s="28">
        <v>20</v>
      </c>
      <c r="B23" s="29">
        <v>45767</v>
      </c>
      <c r="C23" s="57" t="s">
        <v>98</v>
      </c>
      <c r="D23" s="58" t="s">
        <v>98</v>
      </c>
      <c r="E23" s="57">
        <v>0</v>
      </c>
      <c r="F23" s="57"/>
      <c r="G23" s="56">
        <f t="shared" si="3"/>
        <v>0</v>
      </c>
      <c r="H23" s="57">
        <v>0</v>
      </c>
      <c r="I23" s="57"/>
      <c r="J23" s="59">
        <f t="shared" si="4"/>
        <v>0</v>
      </c>
      <c r="K23" s="56">
        <f t="shared" si="5"/>
        <v>0</v>
      </c>
      <c r="L23" s="126"/>
      <c r="M23" s="59">
        <f t="shared" si="6"/>
        <v>243645.88</v>
      </c>
      <c r="N23" s="121"/>
    </row>
    <row r="24" spans="1:14">
      <c r="A24" s="28">
        <v>21</v>
      </c>
      <c r="B24" s="29">
        <v>45768</v>
      </c>
      <c r="C24" s="57" t="s">
        <v>98</v>
      </c>
      <c r="D24" s="58" t="s">
        <v>98</v>
      </c>
      <c r="E24" s="57">
        <v>0</v>
      </c>
      <c r="F24" s="57"/>
      <c r="G24" s="56">
        <f t="shared" si="3"/>
        <v>0</v>
      </c>
      <c r="H24" s="57">
        <v>0</v>
      </c>
      <c r="I24" s="57"/>
      <c r="J24" s="59">
        <f t="shared" si="4"/>
        <v>0</v>
      </c>
      <c r="K24" s="56">
        <f t="shared" si="5"/>
        <v>0</v>
      </c>
      <c r="L24" s="126"/>
      <c r="M24" s="59">
        <f t="shared" si="6"/>
        <v>243645.88</v>
      </c>
      <c r="N24" s="121"/>
    </row>
    <row r="25" spans="1:14">
      <c r="A25" s="28">
        <v>22</v>
      </c>
      <c r="B25" s="29">
        <v>45769</v>
      </c>
      <c r="C25" s="57" t="s">
        <v>98</v>
      </c>
      <c r="D25" s="58" t="s">
        <v>98</v>
      </c>
      <c r="E25" s="57">
        <v>0</v>
      </c>
      <c r="F25" s="57"/>
      <c r="G25" s="56">
        <f t="shared" si="3"/>
        <v>0</v>
      </c>
      <c r="H25" s="57">
        <v>0</v>
      </c>
      <c r="I25" s="57"/>
      <c r="J25" s="59">
        <f t="shared" si="4"/>
        <v>0</v>
      </c>
      <c r="K25" s="56">
        <f t="shared" si="5"/>
        <v>0</v>
      </c>
      <c r="L25" s="126"/>
      <c r="M25" s="59">
        <f t="shared" si="6"/>
        <v>243645.88</v>
      </c>
      <c r="N25" s="121"/>
    </row>
    <row r="26" spans="1:14">
      <c r="A26" s="28">
        <v>23</v>
      </c>
      <c r="B26" s="29">
        <v>45770</v>
      </c>
      <c r="C26" s="57" t="s">
        <v>98</v>
      </c>
      <c r="D26" s="58" t="s">
        <v>98</v>
      </c>
      <c r="E26" s="57">
        <v>0</v>
      </c>
      <c r="F26" s="57"/>
      <c r="G26" s="56">
        <f t="shared" si="3"/>
        <v>0</v>
      </c>
      <c r="H26" s="57">
        <v>105</v>
      </c>
      <c r="I26" s="57">
        <v>103.24</v>
      </c>
      <c r="J26" s="59">
        <f t="shared" si="4"/>
        <v>10840.199999999999</v>
      </c>
      <c r="K26" s="56">
        <f t="shared" si="5"/>
        <v>10840.199999999999</v>
      </c>
      <c r="L26" s="126">
        <v>199947</v>
      </c>
      <c r="M26" s="59">
        <f t="shared" si="6"/>
        <v>54539.080000000016</v>
      </c>
      <c r="N26" s="121"/>
    </row>
    <row r="27" spans="1:14">
      <c r="A27" s="28">
        <v>24</v>
      </c>
      <c r="B27" s="29">
        <v>45771</v>
      </c>
      <c r="C27" s="57" t="s">
        <v>98</v>
      </c>
      <c r="D27" s="58" t="s">
        <v>98</v>
      </c>
      <c r="E27" s="57">
        <v>0</v>
      </c>
      <c r="F27" s="57"/>
      <c r="G27" s="56">
        <f t="shared" si="3"/>
        <v>0</v>
      </c>
      <c r="H27" s="57">
        <v>0</v>
      </c>
      <c r="I27" s="57"/>
      <c r="J27" s="59">
        <f t="shared" si="4"/>
        <v>0</v>
      </c>
      <c r="K27" s="56">
        <f t="shared" si="5"/>
        <v>0</v>
      </c>
      <c r="L27" s="126"/>
      <c r="M27" s="59">
        <f t="shared" si="6"/>
        <v>54539.080000000016</v>
      </c>
      <c r="N27" s="121"/>
    </row>
    <row r="28" spans="1:14">
      <c r="A28" s="28">
        <v>25</v>
      </c>
      <c r="B28" s="29">
        <v>45772</v>
      </c>
      <c r="C28" s="57" t="s">
        <v>98</v>
      </c>
      <c r="D28" s="58" t="s">
        <v>98</v>
      </c>
      <c r="E28" s="57">
        <v>0</v>
      </c>
      <c r="F28" s="57"/>
      <c r="G28" s="56">
        <f t="shared" si="3"/>
        <v>0</v>
      </c>
      <c r="H28" s="57">
        <v>0</v>
      </c>
      <c r="I28" s="57"/>
      <c r="J28" s="59">
        <f t="shared" si="4"/>
        <v>0</v>
      </c>
      <c r="K28" s="56">
        <f t="shared" si="5"/>
        <v>0</v>
      </c>
      <c r="L28" s="126"/>
      <c r="M28" s="59">
        <f t="shared" si="6"/>
        <v>54539.080000000016</v>
      </c>
      <c r="N28" s="121"/>
    </row>
    <row r="29" spans="1:14">
      <c r="A29" s="28">
        <v>26</v>
      </c>
      <c r="B29" s="29">
        <v>45773</v>
      </c>
      <c r="C29" s="57" t="s">
        <v>98</v>
      </c>
      <c r="D29" s="58" t="s">
        <v>98</v>
      </c>
      <c r="E29" s="57">
        <v>2000</v>
      </c>
      <c r="F29" s="57">
        <v>91.3</v>
      </c>
      <c r="G29" s="56">
        <f>E29*F29</f>
        <v>182600</v>
      </c>
      <c r="H29" s="57">
        <v>70</v>
      </c>
      <c r="I29" s="57">
        <v>103.24</v>
      </c>
      <c r="J29" s="59">
        <f t="shared" si="4"/>
        <v>7226.7999999999993</v>
      </c>
      <c r="K29" s="56">
        <f t="shared" si="5"/>
        <v>189826.8</v>
      </c>
      <c r="L29" s="126"/>
      <c r="M29" s="59">
        <f t="shared" si="6"/>
        <v>244365.88</v>
      </c>
      <c r="N29" s="121"/>
    </row>
    <row r="30" spans="1:14">
      <c r="A30" s="28">
        <v>27</v>
      </c>
      <c r="B30" s="29">
        <v>45774</v>
      </c>
      <c r="C30" s="57" t="s">
        <v>98</v>
      </c>
      <c r="D30" s="58" t="s">
        <v>98</v>
      </c>
      <c r="E30" s="57">
        <v>0</v>
      </c>
      <c r="F30" s="57"/>
      <c r="G30" s="56">
        <f t="shared" si="3"/>
        <v>0</v>
      </c>
      <c r="H30" s="57">
        <v>0</v>
      </c>
      <c r="I30" s="57"/>
      <c r="J30" s="59">
        <f t="shared" si="4"/>
        <v>0</v>
      </c>
      <c r="K30" s="56">
        <f t="shared" si="5"/>
        <v>0</v>
      </c>
      <c r="L30" s="126"/>
      <c r="M30" s="59">
        <f t="shared" si="6"/>
        <v>244365.88</v>
      </c>
      <c r="N30" s="121"/>
    </row>
    <row r="31" spans="1:14">
      <c r="A31" s="28">
        <v>28</v>
      </c>
      <c r="B31" s="29">
        <v>45775</v>
      </c>
      <c r="C31" s="56"/>
      <c r="D31" s="56"/>
      <c r="E31" s="57">
        <v>0</v>
      </c>
      <c r="F31" s="57"/>
      <c r="G31" s="56">
        <f t="shared" si="3"/>
        <v>0</v>
      </c>
      <c r="H31" s="57">
        <v>0</v>
      </c>
      <c r="I31" s="57"/>
      <c r="J31" s="59">
        <f t="shared" si="4"/>
        <v>0</v>
      </c>
      <c r="K31" s="56">
        <f t="shared" si="5"/>
        <v>0</v>
      </c>
      <c r="L31" s="126"/>
      <c r="M31" s="59">
        <f t="shared" si="6"/>
        <v>244365.88</v>
      </c>
      <c r="N31" s="121"/>
    </row>
    <row r="32" spans="1:14">
      <c r="A32" s="28">
        <v>29</v>
      </c>
      <c r="B32" s="29">
        <v>45776</v>
      </c>
      <c r="C32" s="56"/>
      <c r="D32" s="56"/>
      <c r="E32" s="57">
        <v>0</v>
      </c>
      <c r="F32" s="57"/>
      <c r="G32" s="56">
        <f t="shared" si="3"/>
        <v>0</v>
      </c>
      <c r="H32" s="57">
        <v>0</v>
      </c>
      <c r="I32" s="57"/>
      <c r="J32" s="59">
        <f t="shared" si="4"/>
        <v>0</v>
      </c>
      <c r="K32" s="56">
        <f t="shared" si="5"/>
        <v>0</v>
      </c>
      <c r="L32" s="126"/>
      <c r="M32" s="59">
        <f t="shared" si="6"/>
        <v>244365.88</v>
      </c>
      <c r="N32" s="121"/>
    </row>
    <row r="33" spans="1:34">
      <c r="A33" s="28">
        <v>30</v>
      </c>
      <c r="B33" s="29">
        <v>45777</v>
      </c>
      <c r="C33" s="56"/>
      <c r="D33" s="56"/>
      <c r="E33" s="57">
        <v>0</v>
      </c>
      <c r="F33" s="57"/>
      <c r="G33" s="56">
        <f t="shared" si="3"/>
        <v>0</v>
      </c>
      <c r="H33" s="57">
        <v>0</v>
      </c>
      <c r="I33" s="57"/>
      <c r="J33" s="59">
        <f t="shared" si="4"/>
        <v>0</v>
      </c>
      <c r="K33" s="56">
        <f t="shared" si="5"/>
        <v>0</v>
      </c>
      <c r="L33" s="126"/>
      <c r="M33" s="59">
        <f t="shared" si="6"/>
        <v>244365.88</v>
      </c>
      <c r="N33" s="121"/>
    </row>
    <row r="34" spans="1:34">
      <c r="A34" s="28">
        <v>31</v>
      </c>
      <c r="B34" s="29"/>
      <c r="C34" s="56"/>
      <c r="D34" s="56"/>
      <c r="E34" s="57">
        <v>0</v>
      </c>
      <c r="F34" s="57"/>
      <c r="G34" s="56">
        <f t="shared" si="3"/>
        <v>0</v>
      </c>
      <c r="H34" s="57">
        <v>0</v>
      </c>
      <c r="I34" s="57"/>
      <c r="J34" s="59">
        <f t="shared" si="4"/>
        <v>0</v>
      </c>
      <c r="K34" s="56">
        <f t="shared" si="5"/>
        <v>0</v>
      </c>
      <c r="L34" s="126"/>
      <c r="M34" s="59">
        <f t="shared" si="6"/>
        <v>244365.88</v>
      </c>
      <c r="N34" s="121"/>
    </row>
    <row r="35" spans="1:34">
      <c r="A35" s="52"/>
      <c r="B35" s="52"/>
      <c r="C35" s="52"/>
      <c r="D35" s="52"/>
      <c r="E35" s="53">
        <f>SUM(E4:E34)</f>
        <v>5830</v>
      </c>
      <c r="F35" s="53"/>
      <c r="G35" s="53">
        <f>SUM(G4:G34)</f>
        <v>532269.69999999995</v>
      </c>
      <c r="H35" s="53">
        <f>SUM(H4:H34)</f>
        <v>505</v>
      </c>
      <c r="I35" s="53"/>
      <c r="J35" s="53">
        <f>SUM(J4:J34)</f>
        <v>52136.2</v>
      </c>
      <c r="K35" s="53">
        <f>SUM(K4:K34)</f>
        <v>584405.9</v>
      </c>
      <c r="L35" s="53">
        <f>SUM(L4:L34)</f>
        <v>502676.7</v>
      </c>
      <c r="M35" s="53"/>
      <c r="N35" s="53"/>
      <c r="O35" s="35"/>
    </row>
    <row r="36" spans="1:34" s="60" customFormat="1" ht="20.2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</row>
    <row r="37" spans="1:34">
      <c r="J37" s="55"/>
      <c r="L37" s="55"/>
      <c r="M37" s="55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5961-9A19-4008-9D9A-8602856AE5E6}">
  <sheetPr>
    <tabColor rgb="FF00B050"/>
  </sheetPr>
  <dimension ref="A1:R41"/>
  <sheetViews>
    <sheetView workbookViewId="0">
      <pane ySplit="2" topLeftCell="A3" activePane="bottomLeft" state="frozen"/>
      <selection pane="bottomLeft" activeCell="R12" sqref="R12"/>
    </sheetView>
  </sheetViews>
  <sheetFormatPr defaultRowHeight="15"/>
  <cols>
    <col min="1" max="1" width="5.140625" bestFit="1" customWidth="1"/>
    <col min="2" max="2" width="13" customWidth="1"/>
    <col min="3" max="3" width="16.85546875" bestFit="1" customWidth="1"/>
    <col min="4" max="4" width="16" bestFit="1" customWidth="1"/>
    <col min="5" max="5" width="10.7109375" customWidth="1"/>
    <col min="6" max="6" width="15.140625" customWidth="1"/>
    <col min="7" max="7" width="13.7109375" customWidth="1"/>
    <col min="8" max="8" width="10.5703125" customWidth="1"/>
    <col min="9" max="9" width="9.140625" style="24"/>
    <col min="11" max="11" width="15.28515625" customWidth="1"/>
    <col min="12" max="13" width="14.28515625" customWidth="1"/>
    <col min="14" max="14" width="18.28515625" bestFit="1" customWidth="1"/>
    <col min="16" max="16" width="11.42578125" bestFit="1" customWidth="1"/>
  </cols>
  <sheetData>
    <row r="1" spans="1:16" ht="15.75" customHeight="1">
      <c r="A1" s="413" t="s">
        <v>12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66"/>
    </row>
    <row r="2" spans="1:16">
      <c r="A2" s="78" t="s">
        <v>81</v>
      </c>
      <c r="B2" s="98" t="s">
        <v>82</v>
      </c>
      <c r="C2" s="98" t="s">
        <v>83</v>
      </c>
      <c r="D2" s="98" t="s">
        <v>84</v>
      </c>
      <c r="E2" s="98" t="s">
        <v>85</v>
      </c>
      <c r="F2" s="98" t="s">
        <v>86</v>
      </c>
      <c r="G2" s="98" t="s">
        <v>87</v>
      </c>
      <c r="H2" s="98" t="s">
        <v>88</v>
      </c>
      <c r="I2" s="98" t="s">
        <v>86</v>
      </c>
      <c r="J2" s="99" t="s">
        <v>87</v>
      </c>
      <c r="K2" s="142" t="s">
        <v>89</v>
      </c>
      <c r="L2" s="145" t="s">
        <v>90</v>
      </c>
      <c r="M2" s="145" t="s">
        <v>99</v>
      </c>
      <c r="N2" s="143" t="s">
        <v>92</v>
      </c>
      <c r="O2" s="73"/>
    </row>
    <row r="3" spans="1:16">
      <c r="A3" s="407" t="s">
        <v>93</v>
      </c>
      <c r="B3" s="408"/>
      <c r="C3" s="408"/>
      <c r="D3" s="408"/>
      <c r="E3" s="408"/>
      <c r="F3" s="408"/>
      <c r="G3" s="408"/>
      <c r="H3" s="408"/>
      <c r="I3" s="408"/>
      <c r="J3" s="408"/>
      <c r="K3" s="246">
        <v>220299.06</v>
      </c>
      <c r="L3" s="111"/>
      <c r="M3" s="46">
        <f>+K3</f>
        <v>220299.06</v>
      </c>
      <c r="N3" s="19"/>
      <c r="O3" s="1"/>
      <c r="P3" s="24">
        <v>220299.06</v>
      </c>
    </row>
    <row r="4" spans="1:16" ht="15.75">
      <c r="A4" s="28">
        <v>1</v>
      </c>
      <c r="B4" s="29">
        <v>45748</v>
      </c>
      <c r="C4" s="20"/>
      <c r="D4" s="20"/>
      <c r="E4" s="49">
        <v>2200</v>
      </c>
      <c r="F4" s="45">
        <v>95.68</v>
      </c>
      <c r="G4" s="49">
        <f>E4*F4</f>
        <v>210496.00000000003</v>
      </c>
      <c r="H4" s="20">
        <v>35</v>
      </c>
      <c r="I4" s="44">
        <v>107.46</v>
      </c>
      <c r="J4" s="20">
        <f>H4*I4</f>
        <v>3761.1</v>
      </c>
      <c r="K4" s="167">
        <f>G4+J4</f>
        <v>214257.10000000003</v>
      </c>
      <c r="L4" s="168">
        <v>0</v>
      </c>
      <c r="M4" s="169">
        <f>M3+K4-L4</f>
        <v>434556.16000000003</v>
      </c>
      <c r="N4" s="168"/>
      <c r="O4" s="1"/>
    </row>
    <row r="5" spans="1:16" ht="15.75">
      <c r="A5" s="28">
        <v>2</v>
      </c>
      <c r="B5" s="29">
        <v>45749</v>
      </c>
      <c r="C5" s="20"/>
      <c r="D5" s="20"/>
      <c r="E5" s="49"/>
      <c r="F5" s="45"/>
      <c r="G5" s="49">
        <f t="shared" ref="G5:G34" si="0">E5*F5</f>
        <v>0</v>
      </c>
      <c r="H5" s="20">
        <v>0</v>
      </c>
      <c r="I5" s="44">
        <v>0</v>
      </c>
      <c r="J5" s="20">
        <f t="shared" ref="J5:J34" si="1">H5*I5</f>
        <v>0</v>
      </c>
      <c r="K5" s="167">
        <f t="shared" ref="K5:K34" si="2">G5+J5</f>
        <v>0</v>
      </c>
      <c r="L5" s="168">
        <v>0</v>
      </c>
      <c r="M5" s="120">
        <f>M4+K5-L5</f>
        <v>434556.16000000003</v>
      </c>
      <c r="N5" s="20"/>
      <c r="O5" s="1"/>
    </row>
    <row r="6" spans="1:16" ht="15.75">
      <c r="A6" s="28">
        <v>3</v>
      </c>
      <c r="B6" s="29">
        <v>45750</v>
      </c>
      <c r="C6" s="20"/>
      <c r="D6" s="20"/>
      <c r="E6" s="49">
        <v>2500</v>
      </c>
      <c r="F6" s="45">
        <v>95.68</v>
      </c>
      <c r="G6" s="49">
        <f t="shared" si="0"/>
        <v>239200.00000000003</v>
      </c>
      <c r="H6" s="20">
        <v>55</v>
      </c>
      <c r="I6" s="44">
        <v>107.46</v>
      </c>
      <c r="J6" s="20">
        <f t="shared" si="1"/>
        <v>5910.2999999999993</v>
      </c>
      <c r="K6" s="167">
        <f t="shared" si="2"/>
        <v>245110.30000000002</v>
      </c>
      <c r="L6" s="168">
        <v>0</v>
      </c>
      <c r="M6" s="120">
        <f t="shared" ref="M6:M34" si="3">M5+K6-L6</f>
        <v>679666.46000000008</v>
      </c>
      <c r="N6" s="20"/>
      <c r="O6" s="1"/>
    </row>
    <row r="7" spans="1:16" ht="15.75">
      <c r="A7" s="28">
        <v>4</v>
      </c>
      <c r="B7" s="29">
        <v>45751</v>
      </c>
      <c r="C7" s="27"/>
      <c r="D7" s="20"/>
      <c r="E7" s="49"/>
      <c r="F7" s="45"/>
      <c r="G7" s="49">
        <f t="shared" si="0"/>
        <v>0</v>
      </c>
      <c r="H7" s="20">
        <v>0</v>
      </c>
      <c r="I7" s="44">
        <v>0</v>
      </c>
      <c r="J7" s="20">
        <f t="shared" si="1"/>
        <v>0</v>
      </c>
      <c r="K7" s="167">
        <f t="shared" si="2"/>
        <v>0</v>
      </c>
      <c r="L7" s="168">
        <v>0</v>
      </c>
      <c r="M7" s="120">
        <f t="shared" si="3"/>
        <v>679666.46000000008</v>
      </c>
      <c r="N7" s="8"/>
      <c r="O7" s="1"/>
    </row>
    <row r="8" spans="1:16" ht="15.75">
      <c r="A8" s="28">
        <v>5</v>
      </c>
      <c r="B8" s="29">
        <v>45752</v>
      </c>
      <c r="C8" s="27"/>
      <c r="D8" s="20"/>
      <c r="E8" s="49">
        <v>2450</v>
      </c>
      <c r="F8" s="45">
        <v>95.68</v>
      </c>
      <c r="G8" s="49">
        <f t="shared" si="0"/>
        <v>234416.00000000003</v>
      </c>
      <c r="H8" s="20">
        <v>35</v>
      </c>
      <c r="I8" s="44">
        <v>107.46</v>
      </c>
      <c r="J8" s="20">
        <f t="shared" si="1"/>
        <v>3761.1</v>
      </c>
      <c r="K8" s="167">
        <f t="shared" si="2"/>
        <v>238177.10000000003</v>
      </c>
      <c r="L8" s="168">
        <v>0</v>
      </c>
      <c r="M8" s="120">
        <f t="shared" si="3"/>
        <v>917843.56</v>
      </c>
      <c r="N8" s="8"/>
      <c r="O8" s="1"/>
    </row>
    <row r="9" spans="1:16" ht="15.75">
      <c r="A9" s="28">
        <v>6</v>
      </c>
      <c r="B9" s="29">
        <v>45753</v>
      </c>
      <c r="C9" s="27"/>
      <c r="D9" s="20"/>
      <c r="E9" s="49"/>
      <c r="F9" s="45"/>
      <c r="G9" s="49">
        <f t="shared" si="0"/>
        <v>0</v>
      </c>
      <c r="H9" s="20">
        <v>0</v>
      </c>
      <c r="I9" s="44">
        <v>0</v>
      </c>
      <c r="J9" s="20">
        <f t="shared" si="1"/>
        <v>0</v>
      </c>
      <c r="K9" s="167">
        <f t="shared" si="2"/>
        <v>0</v>
      </c>
      <c r="L9" s="168">
        <v>0</v>
      </c>
      <c r="M9" s="120">
        <f t="shared" si="3"/>
        <v>917843.56</v>
      </c>
      <c r="N9" s="8"/>
      <c r="O9" s="1"/>
    </row>
    <row r="10" spans="1:16" ht="15.75">
      <c r="A10" s="28">
        <v>7</v>
      </c>
      <c r="B10" s="29">
        <v>45754</v>
      </c>
      <c r="C10" s="27"/>
      <c r="D10" s="20"/>
      <c r="E10" s="49"/>
      <c r="F10" s="45"/>
      <c r="G10" s="49">
        <f t="shared" si="0"/>
        <v>0</v>
      </c>
      <c r="H10" s="20">
        <v>0</v>
      </c>
      <c r="I10" s="44">
        <v>0</v>
      </c>
      <c r="J10" s="20">
        <f t="shared" si="1"/>
        <v>0</v>
      </c>
      <c r="K10" s="167">
        <f t="shared" si="2"/>
        <v>0</v>
      </c>
      <c r="L10" s="168">
        <v>0</v>
      </c>
      <c r="M10" s="120">
        <f>M9+K10-L10</f>
        <v>917843.56</v>
      </c>
      <c r="N10" s="8"/>
      <c r="O10" s="1"/>
    </row>
    <row r="11" spans="1:16" ht="15.75">
      <c r="A11" s="28">
        <v>8</v>
      </c>
      <c r="B11" s="29">
        <v>45755</v>
      </c>
      <c r="C11" s="243"/>
      <c r="D11" s="20"/>
      <c r="E11" s="49">
        <v>2505.6799999999998</v>
      </c>
      <c r="F11" s="45">
        <v>95.68</v>
      </c>
      <c r="G11" s="49">
        <f t="shared" si="0"/>
        <v>239743.46239999999</v>
      </c>
      <c r="H11" s="20">
        <v>35</v>
      </c>
      <c r="I11" s="44">
        <v>107.46</v>
      </c>
      <c r="J11" s="20">
        <f t="shared" si="1"/>
        <v>3761.1</v>
      </c>
      <c r="K11" s="167">
        <f t="shared" si="2"/>
        <v>243504.5624</v>
      </c>
      <c r="L11" s="168">
        <v>0</v>
      </c>
      <c r="M11" s="120">
        <f t="shared" si="3"/>
        <v>1161348.1224</v>
      </c>
      <c r="N11" s="8"/>
      <c r="O11" s="1"/>
    </row>
    <row r="12" spans="1:16" ht="15.75">
      <c r="A12" s="28">
        <v>9</v>
      </c>
      <c r="B12" s="29">
        <v>45756</v>
      </c>
      <c r="C12" s="27"/>
      <c r="D12" s="20"/>
      <c r="E12" s="49">
        <v>2499.96</v>
      </c>
      <c r="F12" s="45">
        <v>95.68</v>
      </c>
      <c r="G12" s="49">
        <f t="shared" si="0"/>
        <v>239196.17280000003</v>
      </c>
      <c r="H12" s="20">
        <v>35</v>
      </c>
      <c r="I12" s="44">
        <v>107.46</v>
      </c>
      <c r="J12" s="20">
        <f t="shared" si="1"/>
        <v>3761.1</v>
      </c>
      <c r="K12" s="167">
        <f t="shared" si="2"/>
        <v>242957.27280000004</v>
      </c>
      <c r="L12" s="168">
        <v>0</v>
      </c>
      <c r="M12" s="120">
        <f t="shared" si="3"/>
        <v>1404305.3952000001</v>
      </c>
      <c r="N12" s="8"/>
      <c r="O12" s="1"/>
    </row>
    <row r="13" spans="1:16" ht="15.75">
      <c r="A13" s="28">
        <v>10</v>
      </c>
      <c r="B13" s="29">
        <v>45757</v>
      </c>
      <c r="C13" s="27"/>
      <c r="D13" s="20"/>
      <c r="E13" s="49">
        <v>2500</v>
      </c>
      <c r="F13" s="45">
        <v>95.68</v>
      </c>
      <c r="G13" s="49">
        <f t="shared" si="0"/>
        <v>239200.00000000003</v>
      </c>
      <c r="H13" s="20">
        <v>20</v>
      </c>
      <c r="I13" s="44">
        <v>107.46</v>
      </c>
      <c r="J13" s="20">
        <f t="shared" si="1"/>
        <v>2149.1999999999998</v>
      </c>
      <c r="K13" s="167">
        <f t="shared" si="2"/>
        <v>241349.20000000004</v>
      </c>
      <c r="L13" s="168">
        <v>0</v>
      </c>
      <c r="M13" s="120">
        <f t="shared" si="3"/>
        <v>1645654.5952000001</v>
      </c>
      <c r="N13" s="8"/>
      <c r="O13" s="1"/>
    </row>
    <row r="14" spans="1:16" ht="15.75">
      <c r="A14" s="28">
        <v>11</v>
      </c>
      <c r="B14" s="29">
        <v>45758</v>
      </c>
      <c r="C14" s="27"/>
      <c r="D14" s="20"/>
      <c r="E14" s="49"/>
      <c r="F14" s="45"/>
      <c r="G14" s="49">
        <f t="shared" si="0"/>
        <v>0</v>
      </c>
      <c r="H14" s="20">
        <v>0</v>
      </c>
      <c r="I14" s="44">
        <v>0</v>
      </c>
      <c r="J14" s="20">
        <f t="shared" si="1"/>
        <v>0</v>
      </c>
      <c r="K14" s="167">
        <f t="shared" si="2"/>
        <v>0</v>
      </c>
      <c r="L14" s="168">
        <v>0</v>
      </c>
      <c r="M14" s="120">
        <f t="shared" si="3"/>
        <v>1645654.5952000001</v>
      </c>
      <c r="N14" s="8"/>
      <c r="O14" s="1"/>
    </row>
    <row r="15" spans="1:16" ht="15.75">
      <c r="A15" s="28">
        <v>12</v>
      </c>
      <c r="B15" s="29">
        <v>45759</v>
      </c>
      <c r="C15" s="27"/>
      <c r="D15" s="20"/>
      <c r="E15" s="49"/>
      <c r="F15" s="45"/>
      <c r="G15" s="49">
        <f t="shared" si="0"/>
        <v>0</v>
      </c>
      <c r="H15" s="20">
        <v>0</v>
      </c>
      <c r="I15" s="44">
        <v>0</v>
      </c>
      <c r="J15" s="20">
        <f t="shared" si="1"/>
        <v>0</v>
      </c>
      <c r="K15" s="167">
        <f t="shared" si="2"/>
        <v>0</v>
      </c>
      <c r="L15" s="168">
        <v>0</v>
      </c>
      <c r="M15" s="120">
        <f t="shared" si="3"/>
        <v>1645654.5952000001</v>
      </c>
      <c r="N15" s="8"/>
      <c r="O15" s="1"/>
    </row>
    <row r="16" spans="1:16" ht="15.75">
      <c r="A16" s="28">
        <v>13</v>
      </c>
      <c r="B16" s="29">
        <v>45760</v>
      </c>
      <c r="D16" s="20"/>
      <c r="E16" s="49">
        <v>2300</v>
      </c>
      <c r="F16" s="45">
        <v>95.68</v>
      </c>
      <c r="G16" s="49">
        <f t="shared" si="0"/>
        <v>220064.00000000003</v>
      </c>
      <c r="H16" s="20">
        <v>0</v>
      </c>
      <c r="I16" s="44">
        <v>0</v>
      </c>
      <c r="J16" s="20">
        <f t="shared" si="1"/>
        <v>0</v>
      </c>
      <c r="K16" s="167">
        <f t="shared" si="2"/>
        <v>220064.00000000003</v>
      </c>
      <c r="L16" s="168">
        <v>0</v>
      </c>
      <c r="M16" s="120">
        <f t="shared" si="3"/>
        <v>1865718.5952000001</v>
      </c>
      <c r="N16" s="8"/>
      <c r="O16" s="1"/>
    </row>
    <row r="17" spans="1:15" ht="15.75">
      <c r="A17" s="28">
        <v>14</v>
      </c>
      <c r="B17" s="29">
        <v>45761</v>
      </c>
      <c r="C17" s="27"/>
      <c r="D17" s="20"/>
      <c r="E17" s="49"/>
      <c r="F17" s="45"/>
      <c r="G17" s="49">
        <f t="shared" si="0"/>
        <v>0</v>
      </c>
      <c r="H17" s="20">
        <v>0</v>
      </c>
      <c r="I17" s="44">
        <v>0</v>
      </c>
      <c r="J17" s="20">
        <f t="shared" si="1"/>
        <v>0</v>
      </c>
      <c r="K17" s="167">
        <f t="shared" si="2"/>
        <v>0</v>
      </c>
      <c r="L17" s="168">
        <v>0</v>
      </c>
      <c r="M17" s="120">
        <f t="shared" si="3"/>
        <v>1865718.5952000001</v>
      </c>
      <c r="N17" s="121"/>
      <c r="O17" s="1"/>
    </row>
    <row r="18" spans="1:15" ht="15.75">
      <c r="A18" s="28">
        <v>15</v>
      </c>
      <c r="B18" s="29">
        <v>45762</v>
      </c>
      <c r="C18" s="206"/>
      <c r="D18" s="20"/>
      <c r="E18" s="49"/>
      <c r="F18" s="45"/>
      <c r="G18" s="49">
        <f t="shared" si="0"/>
        <v>0</v>
      </c>
      <c r="H18" s="20">
        <v>0</v>
      </c>
      <c r="I18" s="44">
        <v>0</v>
      </c>
      <c r="J18" s="20">
        <f t="shared" si="1"/>
        <v>0</v>
      </c>
      <c r="K18" s="167">
        <f t="shared" si="2"/>
        <v>0</v>
      </c>
      <c r="L18" s="168">
        <v>0</v>
      </c>
      <c r="M18" s="120">
        <f t="shared" si="3"/>
        <v>1865718.5952000001</v>
      </c>
      <c r="N18" s="8"/>
      <c r="O18" s="1"/>
    </row>
    <row r="19" spans="1:15" ht="15.75">
      <c r="A19" s="28">
        <v>16</v>
      </c>
      <c r="B19" s="29">
        <v>45763</v>
      </c>
      <c r="C19" s="27"/>
      <c r="D19" s="20"/>
      <c r="E19" s="49">
        <v>1915.03</v>
      </c>
      <c r="F19" s="45">
        <v>95.68</v>
      </c>
      <c r="G19" s="49">
        <f t="shared" si="0"/>
        <v>183230.0704</v>
      </c>
      <c r="H19" s="20">
        <v>35</v>
      </c>
      <c r="I19" s="44">
        <v>107.46</v>
      </c>
      <c r="J19" s="20">
        <f t="shared" si="1"/>
        <v>3761.1</v>
      </c>
      <c r="K19" s="167">
        <f t="shared" si="2"/>
        <v>186991.1704</v>
      </c>
      <c r="L19" s="168">
        <v>0</v>
      </c>
      <c r="M19" s="120">
        <f t="shared" si="3"/>
        <v>2052709.7656</v>
      </c>
      <c r="N19" s="8"/>
      <c r="O19" s="1" t="s">
        <v>100</v>
      </c>
    </row>
    <row r="20" spans="1:15" ht="15.75">
      <c r="A20" s="28">
        <v>17</v>
      </c>
      <c r="B20" s="29">
        <v>45764</v>
      </c>
      <c r="C20" s="27"/>
      <c r="D20" s="20"/>
      <c r="E20" s="49">
        <v>5000</v>
      </c>
      <c r="F20" s="45">
        <v>95.68</v>
      </c>
      <c r="G20" s="49">
        <f t="shared" si="0"/>
        <v>478400.00000000006</v>
      </c>
      <c r="H20" s="20">
        <v>35</v>
      </c>
      <c r="I20" s="44">
        <v>107.46</v>
      </c>
      <c r="J20" s="20">
        <f t="shared" si="1"/>
        <v>3761.1</v>
      </c>
      <c r="K20" s="167">
        <f t="shared" si="2"/>
        <v>482161.10000000003</v>
      </c>
      <c r="L20" s="168">
        <v>0</v>
      </c>
      <c r="M20" s="120">
        <f t="shared" si="3"/>
        <v>2534870.8656000001</v>
      </c>
      <c r="N20" s="8"/>
      <c r="O20" s="1"/>
    </row>
    <row r="21" spans="1:15" ht="15.75">
      <c r="A21" s="28">
        <v>18</v>
      </c>
      <c r="B21" s="29">
        <v>45765</v>
      </c>
      <c r="C21" s="27"/>
      <c r="D21" s="20"/>
      <c r="E21" s="49">
        <v>2500</v>
      </c>
      <c r="F21" s="45">
        <v>95.68</v>
      </c>
      <c r="G21" s="49">
        <f t="shared" si="0"/>
        <v>239200.00000000003</v>
      </c>
      <c r="H21" s="20">
        <v>0</v>
      </c>
      <c r="I21" s="44">
        <v>0</v>
      </c>
      <c r="J21" s="20">
        <f t="shared" si="1"/>
        <v>0</v>
      </c>
      <c r="K21" s="167">
        <f t="shared" si="2"/>
        <v>239200.00000000003</v>
      </c>
      <c r="L21" s="168">
        <v>0</v>
      </c>
      <c r="M21" s="120">
        <f t="shared" si="3"/>
        <v>2774070.8656000001</v>
      </c>
      <c r="N21" s="8"/>
      <c r="O21" s="1"/>
    </row>
    <row r="22" spans="1:15" ht="15.75">
      <c r="A22" s="28">
        <v>19</v>
      </c>
      <c r="B22" s="29">
        <v>45766</v>
      </c>
      <c r="C22" s="27"/>
      <c r="D22" s="20"/>
      <c r="E22" s="49"/>
      <c r="F22" s="45"/>
      <c r="G22" s="49">
        <f t="shared" si="0"/>
        <v>0</v>
      </c>
      <c r="H22" s="20">
        <v>0</v>
      </c>
      <c r="I22" s="44">
        <v>0</v>
      </c>
      <c r="J22" s="20">
        <f t="shared" si="1"/>
        <v>0</v>
      </c>
      <c r="K22" s="167">
        <f t="shared" si="2"/>
        <v>0</v>
      </c>
      <c r="L22" s="168">
        <v>0</v>
      </c>
      <c r="M22" s="120">
        <f t="shared" si="3"/>
        <v>2774070.8656000001</v>
      </c>
      <c r="N22" s="8"/>
      <c r="O22" s="1"/>
    </row>
    <row r="23" spans="1:15" ht="15.75">
      <c r="A23" s="28">
        <v>20</v>
      </c>
      <c r="B23" s="29">
        <v>45767</v>
      </c>
      <c r="C23" s="27"/>
      <c r="D23" s="20"/>
      <c r="E23" s="49"/>
      <c r="F23" s="45"/>
      <c r="G23" s="49">
        <f t="shared" si="0"/>
        <v>0</v>
      </c>
      <c r="H23" s="20">
        <v>0</v>
      </c>
      <c r="I23" s="44">
        <v>0</v>
      </c>
      <c r="J23" s="20">
        <f t="shared" si="1"/>
        <v>0</v>
      </c>
      <c r="K23" s="167">
        <f t="shared" si="2"/>
        <v>0</v>
      </c>
      <c r="L23" s="168">
        <v>0</v>
      </c>
      <c r="M23" s="120">
        <f t="shared" si="3"/>
        <v>2774070.8656000001</v>
      </c>
      <c r="N23" s="8"/>
      <c r="O23" s="1"/>
    </row>
    <row r="24" spans="1:15" ht="15.75">
      <c r="A24" s="28">
        <v>21</v>
      </c>
      <c r="B24" s="29">
        <v>45768</v>
      </c>
      <c r="C24" s="27"/>
      <c r="D24" s="20"/>
      <c r="E24" s="49">
        <f>2550+2500</f>
        <v>5050</v>
      </c>
      <c r="F24" s="45">
        <v>95.68</v>
      </c>
      <c r="G24" s="49">
        <f t="shared" si="0"/>
        <v>483184.00000000006</v>
      </c>
      <c r="H24" s="20">
        <v>20</v>
      </c>
      <c r="I24" s="44">
        <v>107.46</v>
      </c>
      <c r="J24" s="20">
        <f t="shared" si="1"/>
        <v>2149.1999999999998</v>
      </c>
      <c r="K24" s="167">
        <f t="shared" si="2"/>
        <v>485333.20000000007</v>
      </c>
      <c r="L24" s="168">
        <v>0</v>
      </c>
      <c r="M24" s="120">
        <f t="shared" si="3"/>
        <v>3259404.0656000003</v>
      </c>
      <c r="N24" s="8"/>
      <c r="O24" s="1"/>
    </row>
    <row r="25" spans="1:15" ht="15.75">
      <c r="A25" s="28">
        <v>22</v>
      </c>
      <c r="B25" s="29">
        <v>45769</v>
      </c>
      <c r="C25" s="27"/>
      <c r="D25" s="20"/>
      <c r="E25" s="49"/>
      <c r="F25" s="45"/>
      <c r="G25" s="49">
        <f t="shared" si="0"/>
        <v>0</v>
      </c>
      <c r="H25" s="20">
        <v>0</v>
      </c>
      <c r="I25" s="44">
        <v>0</v>
      </c>
      <c r="J25" s="20">
        <f t="shared" si="1"/>
        <v>0</v>
      </c>
      <c r="K25" s="167">
        <f t="shared" si="2"/>
        <v>0</v>
      </c>
      <c r="L25" s="168">
        <v>0</v>
      </c>
      <c r="M25" s="120">
        <f t="shared" si="3"/>
        <v>3259404.0656000003</v>
      </c>
      <c r="N25" s="8"/>
      <c r="O25" s="1"/>
    </row>
    <row r="26" spans="1:15" ht="15.75">
      <c r="A26" s="28">
        <v>23</v>
      </c>
      <c r="B26" s="29">
        <v>45770</v>
      </c>
      <c r="C26" s="27"/>
      <c r="D26" s="20"/>
      <c r="E26" s="49">
        <v>2450</v>
      </c>
      <c r="F26" s="45">
        <v>95.68</v>
      </c>
      <c r="G26" s="49">
        <f t="shared" si="0"/>
        <v>234416.00000000003</v>
      </c>
      <c r="H26" s="20">
        <v>0</v>
      </c>
      <c r="I26" s="44">
        <v>0</v>
      </c>
      <c r="J26" s="20">
        <f t="shared" si="1"/>
        <v>0</v>
      </c>
      <c r="K26" s="167">
        <f t="shared" si="2"/>
        <v>234416.00000000003</v>
      </c>
      <c r="L26" s="168">
        <v>0</v>
      </c>
      <c r="M26" s="120">
        <f t="shared" si="3"/>
        <v>3493820.0656000003</v>
      </c>
      <c r="N26" s="8"/>
      <c r="O26" s="1"/>
    </row>
    <row r="27" spans="1:15" ht="15.75">
      <c r="A27" s="28">
        <v>24</v>
      </c>
      <c r="B27" s="29">
        <v>45771</v>
      </c>
      <c r="C27" s="27"/>
      <c r="D27" s="20"/>
      <c r="E27" s="49">
        <v>2450</v>
      </c>
      <c r="F27" s="45">
        <v>95.68</v>
      </c>
      <c r="G27" s="49">
        <f t="shared" si="0"/>
        <v>234416.00000000003</v>
      </c>
      <c r="H27" s="20">
        <v>20</v>
      </c>
      <c r="I27" s="44">
        <v>107.46</v>
      </c>
      <c r="J27" s="20">
        <f t="shared" si="1"/>
        <v>2149.1999999999998</v>
      </c>
      <c r="K27" s="167">
        <f t="shared" si="2"/>
        <v>236565.20000000004</v>
      </c>
      <c r="L27" s="168">
        <v>0</v>
      </c>
      <c r="M27" s="120">
        <f t="shared" si="3"/>
        <v>3730385.2656000005</v>
      </c>
      <c r="N27" s="8"/>
      <c r="O27" s="1"/>
    </row>
    <row r="28" spans="1:15" ht="15.75">
      <c r="A28" s="28">
        <v>25</v>
      </c>
      <c r="B28" s="29">
        <v>45772</v>
      </c>
      <c r="C28" s="27"/>
      <c r="D28" s="20"/>
      <c r="E28" s="49">
        <v>2300</v>
      </c>
      <c r="F28" s="45">
        <v>95.68</v>
      </c>
      <c r="G28" s="49">
        <f t="shared" si="0"/>
        <v>220064.00000000003</v>
      </c>
      <c r="H28" s="20">
        <v>35</v>
      </c>
      <c r="I28" s="44">
        <v>107.46</v>
      </c>
      <c r="J28" s="20">
        <f t="shared" si="1"/>
        <v>3761.1</v>
      </c>
      <c r="K28" s="167">
        <f t="shared" si="2"/>
        <v>223825.10000000003</v>
      </c>
      <c r="L28" s="168">
        <v>0</v>
      </c>
      <c r="M28" s="120">
        <f t="shared" si="3"/>
        <v>3954210.3656000006</v>
      </c>
      <c r="N28" s="8"/>
      <c r="O28" s="1"/>
    </row>
    <row r="29" spans="1:15" ht="15.75">
      <c r="A29" s="28">
        <v>26</v>
      </c>
      <c r="B29" s="29">
        <v>45773</v>
      </c>
      <c r="C29" s="27"/>
      <c r="D29" s="20"/>
      <c r="E29" s="49">
        <v>5077.08</v>
      </c>
      <c r="F29" s="45">
        <v>95.68</v>
      </c>
      <c r="G29" s="49">
        <f t="shared" si="0"/>
        <v>485775.01440000004</v>
      </c>
      <c r="H29" s="20">
        <v>0</v>
      </c>
      <c r="I29" s="44">
        <v>0</v>
      </c>
      <c r="J29" s="20">
        <f>H29*I29</f>
        <v>0</v>
      </c>
      <c r="K29" s="167">
        <f t="shared" si="2"/>
        <v>485775.01440000004</v>
      </c>
      <c r="L29" s="168">
        <v>0</v>
      </c>
      <c r="M29" s="120">
        <f t="shared" si="3"/>
        <v>4439985.3800000008</v>
      </c>
      <c r="N29" s="8"/>
      <c r="O29" s="1"/>
    </row>
    <row r="30" spans="1:15" ht="15.75">
      <c r="A30" s="28">
        <v>27</v>
      </c>
      <c r="B30" s="29">
        <v>45774</v>
      </c>
      <c r="C30" s="27"/>
      <c r="D30" s="20"/>
      <c r="E30" s="49"/>
      <c r="F30" s="45"/>
      <c r="G30" s="49">
        <f t="shared" si="0"/>
        <v>0</v>
      </c>
      <c r="H30" s="20">
        <v>0</v>
      </c>
      <c r="I30" s="44">
        <v>0</v>
      </c>
      <c r="J30" s="20">
        <f t="shared" si="1"/>
        <v>0</v>
      </c>
      <c r="K30" s="167">
        <f t="shared" si="2"/>
        <v>0</v>
      </c>
      <c r="L30" s="168">
        <v>0</v>
      </c>
      <c r="M30" s="120">
        <f t="shared" si="3"/>
        <v>4439985.3800000008</v>
      </c>
      <c r="N30" s="8"/>
      <c r="O30" s="1"/>
    </row>
    <row r="31" spans="1:15" ht="15.75">
      <c r="A31" s="28">
        <v>28</v>
      </c>
      <c r="B31" s="29">
        <v>45775</v>
      </c>
      <c r="C31" s="27"/>
      <c r="D31" s="20"/>
      <c r="E31" s="49">
        <v>4500</v>
      </c>
      <c r="F31" s="45">
        <v>95.68</v>
      </c>
      <c r="G31" s="49">
        <f t="shared" si="0"/>
        <v>430560.00000000006</v>
      </c>
      <c r="H31" s="20">
        <v>20</v>
      </c>
      <c r="I31" s="44">
        <v>107.46</v>
      </c>
      <c r="J31" s="20">
        <f t="shared" si="1"/>
        <v>2149.1999999999998</v>
      </c>
      <c r="K31" s="167">
        <f t="shared" si="2"/>
        <v>432709.20000000007</v>
      </c>
      <c r="L31" s="168">
        <v>0</v>
      </c>
      <c r="M31" s="120">
        <f t="shared" si="3"/>
        <v>4872694.580000001</v>
      </c>
      <c r="N31" s="8"/>
      <c r="O31" s="1"/>
    </row>
    <row r="32" spans="1:15" ht="15.75">
      <c r="A32" s="28">
        <v>29</v>
      </c>
      <c r="B32" s="29">
        <v>45776</v>
      </c>
      <c r="C32" s="27"/>
      <c r="D32" s="20"/>
      <c r="E32" s="49"/>
      <c r="F32" s="45"/>
      <c r="G32" s="49">
        <f t="shared" si="0"/>
        <v>0</v>
      </c>
      <c r="H32" s="20">
        <v>0</v>
      </c>
      <c r="I32" s="44">
        <v>0</v>
      </c>
      <c r="J32" s="20">
        <f t="shared" si="1"/>
        <v>0</v>
      </c>
      <c r="K32" s="167">
        <f t="shared" si="2"/>
        <v>0</v>
      </c>
      <c r="L32" s="168">
        <v>0</v>
      </c>
      <c r="M32" s="120">
        <f t="shared" si="3"/>
        <v>4872694.580000001</v>
      </c>
      <c r="N32" s="8"/>
      <c r="O32" s="1"/>
    </row>
    <row r="33" spans="1:18" ht="15.75">
      <c r="A33" s="28">
        <v>30</v>
      </c>
      <c r="B33" s="29">
        <v>45777</v>
      </c>
      <c r="C33" s="27"/>
      <c r="D33" s="20"/>
      <c r="E33" s="49">
        <v>2799.98</v>
      </c>
      <c r="F33" s="45">
        <v>95.68</v>
      </c>
      <c r="G33" s="49">
        <f t="shared" si="0"/>
        <v>267902.08640000003</v>
      </c>
      <c r="H33" s="20">
        <v>0</v>
      </c>
      <c r="I33" s="44">
        <v>0</v>
      </c>
      <c r="J33" s="20">
        <f t="shared" si="1"/>
        <v>0</v>
      </c>
      <c r="K33" s="167">
        <f t="shared" si="2"/>
        <v>267902.08640000003</v>
      </c>
      <c r="L33" s="168">
        <v>0</v>
      </c>
      <c r="M33" s="120">
        <f t="shared" si="3"/>
        <v>5140596.6664000014</v>
      </c>
      <c r="N33" s="8"/>
      <c r="O33" s="1"/>
      <c r="R33">
        <v>2584221.6967999996</v>
      </c>
    </row>
    <row r="34" spans="1:18" ht="15.75">
      <c r="A34" s="28">
        <v>31</v>
      </c>
      <c r="B34" s="29"/>
      <c r="C34" s="27"/>
      <c r="D34" s="20"/>
      <c r="E34" s="49"/>
      <c r="F34" s="45"/>
      <c r="G34" s="49">
        <f t="shared" si="0"/>
        <v>0</v>
      </c>
      <c r="H34" s="20">
        <v>0</v>
      </c>
      <c r="I34" s="44">
        <v>0</v>
      </c>
      <c r="J34" s="20">
        <f t="shared" si="1"/>
        <v>0</v>
      </c>
      <c r="K34" s="167">
        <f t="shared" si="2"/>
        <v>0</v>
      </c>
      <c r="L34" s="168">
        <v>0</v>
      </c>
      <c r="M34" s="120">
        <f t="shared" si="3"/>
        <v>5140596.6664000014</v>
      </c>
      <c r="N34" s="8"/>
      <c r="O34" s="1"/>
    </row>
    <row r="35" spans="1:18" ht="15.75">
      <c r="A35" s="27"/>
      <c r="B35" s="29"/>
      <c r="C35" s="27"/>
      <c r="D35" s="20"/>
      <c r="E35" s="49"/>
      <c r="F35" s="45"/>
      <c r="G35" s="8"/>
      <c r="H35" s="20">
        <v>0</v>
      </c>
      <c r="I35" s="44">
        <v>0</v>
      </c>
      <c r="J35" s="20"/>
      <c r="K35" s="8"/>
      <c r="L35" s="8"/>
      <c r="M35" s="120"/>
      <c r="N35" s="8"/>
      <c r="O35" s="1"/>
    </row>
    <row r="36" spans="1:18">
      <c r="A36" s="52"/>
      <c r="B36" s="52"/>
      <c r="C36" s="52"/>
      <c r="D36" s="52"/>
      <c r="E36" s="53">
        <f>SUM(E4:E35)</f>
        <v>50997.73</v>
      </c>
      <c r="F36" s="53"/>
      <c r="G36" s="53">
        <f>SUM(G4:G35)</f>
        <v>4879462.806400001</v>
      </c>
      <c r="H36" s="53">
        <f>SUM(H4:H35)</f>
        <v>380</v>
      </c>
      <c r="I36" s="53"/>
      <c r="J36" s="53">
        <f>SUM(J3:J35)</f>
        <v>40834.799999999988</v>
      </c>
      <c r="K36" s="53">
        <f>SUM(K4:K35)</f>
        <v>4920297.6064000009</v>
      </c>
      <c r="L36" s="53">
        <f>SUM(L4:L35)</f>
        <v>0</v>
      </c>
      <c r="M36" s="53"/>
      <c r="N36" s="53"/>
      <c r="O36" s="35"/>
    </row>
    <row r="37" spans="1:18">
      <c r="A37" s="1"/>
      <c r="B37" s="1"/>
      <c r="C37" s="1"/>
      <c r="D37" s="1"/>
      <c r="E37" s="1"/>
      <c r="F37" s="1"/>
      <c r="G37" s="3"/>
      <c r="H37" s="1"/>
      <c r="I37" s="2"/>
      <c r="J37" s="1"/>
      <c r="K37" s="1"/>
      <c r="L37" s="1"/>
      <c r="M37" s="1"/>
      <c r="N37" s="1"/>
      <c r="O37" s="4"/>
    </row>
    <row r="38" spans="1:18">
      <c r="A38" s="1"/>
      <c r="B38" s="400"/>
      <c r="C38" s="400"/>
      <c r="D38" s="400"/>
      <c r="E38" s="400"/>
      <c r="F38" s="63"/>
      <c r="G38" s="1"/>
      <c r="H38" s="1"/>
      <c r="I38" s="400"/>
      <c r="J38" s="400"/>
      <c r="K38" s="400"/>
      <c r="L38" s="400"/>
      <c r="M38" s="400"/>
      <c r="N38" s="400"/>
      <c r="O38" s="4"/>
    </row>
    <row r="39" spans="1:18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4"/>
    </row>
    <row r="41" spans="1:18">
      <c r="E41" s="205">
        <f>E36+H36</f>
        <v>51377.73</v>
      </c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N39"/>
  <sheetViews>
    <sheetView workbookViewId="0">
      <selection activeCell="N38" sqref="N38"/>
    </sheetView>
  </sheetViews>
  <sheetFormatPr defaultRowHeight="15"/>
  <cols>
    <col min="2" max="2" width="12.140625" customWidth="1"/>
    <col min="4" max="4" width="20.85546875" customWidth="1"/>
    <col min="5" max="5" width="23.42578125" customWidth="1"/>
    <col min="7" max="7" width="14.42578125" customWidth="1"/>
    <col min="11" max="11" width="15.5703125" customWidth="1"/>
    <col min="12" max="12" width="16.7109375" customWidth="1"/>
    <col min="13" max="13" width="16" customWidth="1"/>
    <col min="14" max="14" width="34.5703125" customWidth="1"/>
  </cols>
  <sheetData>
    <row r="1" spans="1:14" ht="15.75">
      <c r="A1" s="413" t="s">
        <v>14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</row>
    <row r="2" spans="1:14" ht="30.75">
      <c r="A2" s="78" t="s">
        <v>81</v>
      </c>
      <c r="B2" s="98" t="s">
        <v>82</v>
      </c>
      <c r="C2" s="98" t="s">
        <v>83</v>
      </c>
      <c r="D2" s="98" t="s">
        <v>84</v>
      </c>
      <c r="E2" s="98" t="s">
        <v>85</v>
      </c>
      <c r="F2" s="98" t="s">
        <v>86</v>
      </c>
      <c r="G2" s="98" t="s">
        <v>87</v>
      </c>
      <c r="H2" s="98" t="s">
        <v>88</v>
      </c>
      <c r="I2" s="98" t="s">
        <v>86</v>
      </c>
      <c r="J2" s="99" t="s">
        <v>87</v>
      </c>
      <c r="K2" s="142" t="s">
        <v>89</v>
      </c>
      <c r="L2" s="145" t="s">
        <v>90</v>
      </c>
      <c r="M2" s="145" t="s">
        <v>99</v>
      </c>
      <c r="N2" s="143" t="s">
        <v>92</v>
      </c>
    </row>
    <row r="3" spans="1:14">
      <c r="A3" s="414" t="s">
        <v>93</v>
      </c>
      <c r="B3" s="409"/>
      <c r="C3" s="409"/>
      <c r="D3" s="409"/>
      <c r="E3" s="409"/>
      <c r="F3" s="409"/>
      <c r="G3" s="409"/>
      <c r="H3" s="409"/>
      <c r="I3" s="409"/>
      <c r="J3" s="409"/>
      <c r="K3" s="303">
        <v>482261.45</v>
      </c>
      <c r="L3" s="304"/>
      <c r="M3" s="270">
        <f>+K3</f>
        <v>482261.45</v>
      </c>
      <c r="N3" s="110"/>
    </row>
    <row r="4" spans="1:14">
      <c r="A4" s="28">
        <v>1</v>
      </c>
      <c r="B4" s="29">
        <v>45748</v>
      </c>
      <c r="C4" s="19"/>
      <c r="D4" s="19"/>
      <c r="E4" s="19">
        <v>3243</v>
      </c>
      <c r="F4" s="19">
        <v>95.7</v>
      </c>
      <c r="G4" s="19">
        <f>E4*F4</f>
        <v>310355.10000000003</v>
      </c>
      <c r="H4" s="19">
        <v>0</v>
      </c>
      <c r="I4" s="19">
        <v>0</v>
      </c>
      <c r="J4" s="19">
        <v>0</v>
      </c>
      <c r="K4" s="19">
        <f>G4+J4</f>
        <v>310355.10000000003</v>
      </c>
      <c r="L4" s="19"/>
      <c r="M4" s="46">
        <f>M3+K4-L4</f>
        <v>792616.55</v>
      </c>
      <c r="N4" s="19"/>
    </row>
    <row r="5" spans="1:14">
      <c r="A5" s="28">
        <v>2</v>
      </c>
      <c r="B5" s="29">
        <v>45749</v>
      </c>
      <c r="C5" s="19"/>
      <c r="D5" s="19"/>
      <c r="E5" s="19">
        <v>4829.16</v>
      </c>
      <c r="F5" s="19">
        <v>95.7</v>
      </c>
      <c r="G5" s="19">
        <f t="shared" ref="G5:G33" si="0">E5*F5</f>
        <v>462150.61200000002</v>
      </c>
      <c r="H5" s="19">
        <v>0</v>
      </c>
      <c r="I5" s="19">
        <v>0</v>
      </c>
      <c r="J5" s="19">
        <v>0</v>
      </c>
      <c r="K5" s="19">
        <f t="shared" ref="K5:K33" si="1">G5+J5</f>
        <v>462150.61200000002</v>
      </c>
      <c r="L5" s="19"/>
      <c r="M5" s="46">
        <f t="shared" ref="M5:M17" si="2">M4+K5-L5</f>
        <v>1254767.162</v>
      </c>
      <c r="N5" s="19"/>
    </row>
    <row r="6" spans="1:14">
      <c r="A6" s="28">
        <v>3</v>
      </c>
      <c r="B6" s="29">
        <v>45750</v>
      </c>
      <c r="C6" s="19"/>
      <c r="D6" s="19"/>
      <c r="E6" s="19">
        <v>1500</v>
      </c>
      <c r="F6" s="19">
        <v>95.7</v>
      </c>
      <c r="G6" s="19">
        <f t="shared" si="0"/>
        <v>143550</v>
      </c>
      <c r="H6" s="19">
        <v>0</v>
      </c>
      <c r="I6" s="19">
        <v>0</v>
      </c>
      <c r="J6" s="19">
        <v>0</v>
      </c>
      <c r="K6" s="19">
        <f t="shared" si="1"/>
        <v>143550</v>
      </c>
      <c r="L6" s="19"/>
      <c r="M6" s="46">
        <f t="shared" si="2"/>
        <v>1398317.162</v>
      </c>
      <c r="N6" s="19"/>
    </row>
    <row r="7" spans="1:14">
      <c r="A7" s="28">
        <v>4</v>
      </c>
      <c r="B7" s="29">
        <v>45751</v>
      </c>
      <c r="C7" s="19"/>
      <c r="D7" s="19"/>
      <c r="E7" s="19">
        <v>2424.0500000000002</v>
      </c>
      <c r="F7" s="19">
        <v>95.7</v>
      </c>
      <c r="G7" s="19">
        <f t="shared" si="0"/>
        <v>231981.58500000002</v>
      </c>
      <c r="H7" s="19">
        <v>0</v>
      </c>
      <c r="I7" s="19">
        <v>0</v>
      </c>
      <c r="J7" s="19">
        <v>0</v>
      </c>
      <c r="K7" s="19">
        <f t="shared" si="1"/>
        <v>231981.58500000002</v>
      </c>
      <c r="L7" s="19"/>
      <c r="M7" s="46">
        <f t="shared" si="2"/>
        <v>1630298.747</v>
      </c>
      <c r="N7" s="19"/>
    </row>
    <row r="8" spans="1:14">
      <c r="A8" s="28">
        <v>5</v>
      </c>
      <c r="B8" s="29">
        <v>45752</v>
      </c>
      <c r="C8" s="19"/>
      <c r="D8" s="19"/>
      <c r="E8" s="19">
        <v>2000</v>
      </c>
      <c r="F8" s="19">
        <v>95.7</v>
      </c>
      <c r="G8" s="19">
        <f t="shared" si="0"/>
        <v>191400</v>
      </c>
      <c r="H8" s="19">
        <v>0</v>
      </c>
      <c r="I8" s="19">
        <v>0</v>
      </c>
      <c r="J8" s="19">
        <v>0</v>
      </c>
      <c r="K8" s="19">
        <f t="shared" si="1"/>
        <v>191400</v>
      </c>
      <c r="L8" s="19"/>
      <c r="M8" s="46">
        <f t="shared" si="2"/>
        <v>1821698.747</v>
      </c>
      <c r="N8" s="19"/>
    </row>
    <row r="9" spans="1:14">
      <c r="A9" s="28">
        <v>6</v>
      </c>
      <c r="B9" s="29">
        <v>45753</v>
      </c>
      <c r="C9" s="19"/>
      <c r="D9" s="19"/>
      <c r="E9" s="19">
        <f>2500+659.31</f>
        <v>3159.31</v>
      </c>
      <c r="F9" s="19">
        <v>95.7</v>
      </c>
      <c r="G9" s="19">
        <f t="shared" si="0"/>
        <v>302345.967</v>
      </c>
      <c r="H9" s="19">
        <v>35</v>
      </c>
      <c r="I9" s="19">
        <v>107.48</v>
      </c>
      <c r="J9" s="19">
        <f>H9*I9</f>
        <v>3761.8</v>
      </c>
      <c r="K9" s="19">
        <f>G9+J9</f>
        <v>306107.76699999999</v>
      </c>
      <c r="L9" s="19"/>
      <c r="M9" s="46">
        <f t="shared" si="2"/>
        <v>2127806.514</v>
      </c>
      <c r="N9" s="312" t="s">
        <v>101</v>
      </c>
    </row>
    <row r="10" spans="1:14">
      <c r="A10" s="28">
        <v>7</v>
      </c>
      <c r="B10" s="29">
        <v>45754</v>
      </c>
      <c r="C10" s="19"/>
      <c r="D10" s="19"/>
      <c r="E10" s="19">
        <v>1800</v>
      </c>
      <c r="F10" s="19">
        <v>95.7</v>
      </c>
      <c r="G10" s="19">
        <f t="shared" si="0"/>
        <v>172260</v>
      </c>
      <c r="H10" s="19">
        <v>0</v>
      </c>
      <c r="I10" s="19">
        <v>0</v>
      </c>
      <c r="J10" s="19">
        <f>H10*I10</f>
        <v>0</v>
      </c>
      <c r="K10" s="19">
        <f t="shared" si="1"/>
        <v>172260</v>
      </c>
      <c r="L10" s="19"/>
      <c r="M10" s="46">
        <f t="shared" si="2"/>
        <v>2300066.514</v>
      </c>
      <c r="N10" s="19"/>
    </row>
    <row r="11" spans="1:14">
      <c r="A11" s="28">
        <v>8</v>
      </c>
      <c r="B11" s="29">
        <v>45755</v>
      </c>
      <c r="C11" s="19"/>
      <c r="D11" s="19"/>
      <c r="E11" s="19">
        <v>0</v>
      </c>
      <c r="F11" s="19">
        <v>0</v>
      </c>
      <c r="G11" s="19">
        <f t="shared" si="0"/>
        <v>0</v>
      </c>
      <c r="H11" s="19">
        <v>0</v>
      </c>
      <c r="I11" s="19">
        <v>0</v>
      </c>
      <c r="J11" s="19">
        <f>H11*I11</f>
        <v>0</v>
      </c>
      <c r="K11" s="19">
        <f t="shared" si="1"/>
        <v>0</v>
      </c>
      <c r="L11" s="19"/>
      <c r="M11" s="46">
        <f t="shared" si="2"/>
        <v>2300066.514</v>
      </c>
      <c r="N11" s="19"/>
    </row>
    <row r="12" spans="1:14">
      <c r="A12" s="28">
        <v>9</v>
      </c>
      <c r="B12" s="29">
        <v>45756</v>
      </c>
      <c r="C12" s="19"/>
      <c r="D12" s="19"/>
      <c r="E12" s="19">
        <v>2681.92</v>
      </c>
      <c r="F12" s="19">
        <v>95.7</v>
      </c>
      <c r="G12" s="19">
        <f t="shared" si="0"/>
        <v>256659.74400000001</v>
      </c>
      <c r="H12" s="19">
        <v>0</v>
      </c>
      <c r="I12" s="19">
        <v>0</v>
      </c>
      <c r="J12" s="19">
        <f>H12*I12</f>
        <v>0</v>
      </c>
      <c r="K12" s="19">
        <f t="shared" si="1"/>
        <v>256659.74400000001</v>
      </c>
      <c r="L12" s="19"/>
      <c r="M12" s="46">
        <f t="shared" si="2"/>
        <v>2556726.2579999999</v>
      </c>
      <c r="N12" s="19"/>
    </row>
    <row r="13" spans="1:14">
      <c r="A13" s="28">
        <v>10</v>
      </c>
      <c r="B13" s="29">
        <v>45757</v>
      </c>
      <c r="C13" s="19"/>
      <c r="D13" s="19"/>
      <c r="E13" s="19">
        <v>5447.53</v>
      </c>
      <c r="F13" s="19">
        <v>95.7</v>
      </c>
      <c r="G13" s="19">
        <f t="shared" si="0"/>
        <v>521328.62099999998</v>
      </c>
      <c r="H13" s="19">
        <v>0</v>
      </c>
      <c r="I13" s="19">
        <v>0</v>
      </c>
      <c r="J13" s="19">
        <f>H13*I13</f>
        <v>0</v>
      </c>
      <c r="K13" s="19">
        <f t="shared" si="1"/>
        <v>521328.62099999998</v>
      </c>
      <c r="L13" s="19"/>
      <c r="M13" s="46">
        <f t="shared" si="2"/>
        <v>3078054.8789999997</v>
      </c>
      <c r="N13" s="19"/>
    </row>
    <row r="14" spans="1:14">
      <c r="A14" s="28">
        <v>11</v>
      </c>
      <c r="B14" s="29">
        <v>45758</v>
      </c>
      <c r="C14" s="19"/>
      <c r="D14" s="19"/>
      <c r="E14" s="19">
        <v>1847.4</v>
      </c>
      <c r="F14" s="19">
        <v>95.7</v>
      </c>
      <c r="G14" s="19">
        <f t="shared" si="0"/>
        <v>176796.18000000002</v>
      </c>
      <c r="H14" s="19">
        <v>0</v>
      </c>
      <c r="I14" s="19">
        <v>0</v>
      </c>
      <c r="J14" s="19">
        <f>H14*I14</f>
        <v>0</v>
      </c>
      <c r="K14" s="19">
        <f t="shared" si="1"/>
        <v>176796.18000000002</v>
      </c>
      <c r="L14" s="19"/>
      <c r="M14" s="46">
        <f t="shared" si="2"/>
        <v>3254851.0589999999</v>
      </c>
      <c r="N14" s="19"/>
    </row>
    <row r="15" spans="1:14">
      <c r="A15" s="28">
        <v>12</v>
      </c>
      <c r="B15" s="29">
        <v>45759</v>
      </c>
      <c r="C15" s="19"/>
      <c r="D15" s="19"/>
      <c r="E15" s="19">
        <v>2499.7800000000002</v>
      </c>
      <c r="F15" s="19">
        <v>95.7</v>
      </c>
      <c r="G15" s="19">
        <f t="shared" si="0"/>
        <v>239228.94600000003</v>
      </c>
      <c r="H15" s="19">
        <v>20</v>
      </c>
      <c r="I15" s="19">
        <v>107.48</v>
      </c>
      <c r="J15" s="19">
        <f>H15*I15</f>
        <v>2149.6</v>
      </c>
      <c r="K15" s="19">
        <f>G15+J15</f>
        <v>241378.54600000003</v>
      </c>
      <c r="L15" s="19"/>
      <c r="M15" s="46">
        <f t="shared" si="2"/>
        <v>3496229.605</v>
      </c>
      <c r="N15" s="19"/>
    </row>
    <row r="16" spans="1:14">
      <c r="A16" s="28">
        <v>13</v>
      </c>
      <c r="B16" s="29">
        <v>45760</v>
      </c>
      <c r="C16" s="19"/>
      <c r="D16" s="19"/>
      <c r="E16" s="19">
        <v>3098</v>
      </c>
      <c r="F16" s="19">
        <v>95.7</v>
      </c>
      <c r="G16" s="19">
        <f t="shared" si="0"/>
        <v>296478.60000000003</v>
      </c>
      <c r="H16" s="19">
        <v>0</v>
      </c>
      <c r="I16" s="19">
        <v>0</v>
      </c>
      <c r="J16" s="19">
        <f>H16*I16</f>
        <v>0</v>
      </c>
      <c r="K16" s="19">
        <f t="shared" si="1"/>
        <v>296478.60000000003</v>
      </c>
      <c r="L16" s="19"/>
      <c r="M16" s="46">
        <f t="shared" si="2"/>
        <v>3792708.2050000001</v>
      </c>
      <c r="N16" s="19"/>
    </row>
    <row r="17" spans="1:14">
      <c r="A17" s="28">
        <v>14</v>
      </c>
      <c r="B17" s="29">
        <v>45761</v>
      </c>
      <c r="C17" s="19"/>
      <c r="D17" s="19"/>
      <c r="E17" s="19">
        <v>2835.03</v>
      </c>
      <c r="F17" s="19">
        <v>95.7</v>
      </c>
      <c r="G17" s="19">
        <f t="shared" si="0"/>
        <v>271312.37100000004</v>
      </c>
      <c r="H17" s="19">
        <v>0</v>
      </c>
      <c r="I17" s="19">
        <v>0</v>
      </c>
      <c r="J17" s="19">
        <f>H17*I17</f>
        <v>0</v>
      </c>
      <c r="K17" s="19">
        <f t="shared" si="1"/>
        <v>271312.37100000004</v>
      </c>
      <c r="L17" s="19"/>
      <c r="M17" s="46">
        <f>M16+K17-L17</f>
        <v>4064020.5760000004</v>
      </c>
      <c r="N17" s="19"/>
    </row>
    <row r="18" spans="1:14">
      <c r="A18" s="28">
        <v>15</v>
      </c>
      <c r="B18" s="29">
        <v>45762</v>
      </c>
      <c r="C18" s="19"/>
      <c r="D18" s="19"/>
      <c r="E18" s="19">
        <v>222</v>
      </c>
      <c r="F18" s="19">
        <v>95.7</v>
      </c>
      <c r="G18" s="19">
        <f t="shared" si="0"/>
        <v>21245.4</v>
      </c>
      <c r="H18" s="19">
        <v>0</v>
      </c>
      <c r="I18" s="19">
        <v>0</v>
      </c>
      <c r="J18" s="19">
        <f>H18*I18</f>
        <v>0</v>
      </c>
      <c r="K18" s="19">
        <f t="shared" si="1"/>
        <v>21245.4</v>
      </c>
      <c r="L18" s="19"/>
      <c r="M18" s="46">
        <f>M17+K18-L18</f>
        <v>4085265.9760000003</v>
      </c>
      <c r="N18" s="19"/>
    </row>
    <row r="19" spans="1:14">
      <c r="A19" s="28">
        <v>16</v>
      </c>
      <c r="B19" s="29">
        <v>45763</v>
      </c>
      <c r="C19" s="19"/>
      <c r="D19" s="19"/>
      <c r="E19" s="19">
        <v>2620.98</v>
      </c>
      <c r="F19" s="19">
        <v>95.7</v>
      </c>
      <c r="G19" s="19">
        <f t="shared" si="0"/>
        <v>250827.78600000002</v>
      </c>
      <c r="H19" s="19">
        <v>0</v>
      </c>
      <c r="I19" s="19">
        <v>0</v>
      </c>
      <c r="J19" s="19">
        <f>H19*I19</f>
        <v>0</v>
      </c>
      <c r="K19" s="19">
        <f t="shared" si="1"/>
        <v>250827.78600000002</v>
      </c>
      <c r="L19" s="19"/>
      <c r="M19" s="46">
        <f>M18+K19-L19</f>
        <v>4336093.7620000001</v>
      </c>
      <c r="N19" s="19"/>
    </row>
    <row r="20" spans="1:14">
      <c r="A20" s="28">
        <v>17</v>
      </c>
      <c r="B20" s="29">
        <v>45764</v>
      </c>
      <c r="C20" s="19"/>
      <c r="D20" s="19"/>
      <c r="E20" s="19">
        <v>0</v>
      </c>
      <c r="F20" s="19">
        <v>0</v>
      </c>
      <c r="G20" s="19">
        <f t="shared" si="0"/>
        <v>0</v>
      </c>
      <c r="H20" s="19">
        <v>0</v>
      </c>
      <c r="I20" s="19">
        <v>0</v>
      </c>
      <c r="J20" s="19">
        <f>H20*I20</f>
        <v>0</v>
      </c>
      <c r="K20" s="19">
        <f t="shared" si="1"/>
        <v>0</v>
      </c>
      <c r="L20" s="19"/>
      <c r="M20" s="46">
        <f>M19+K20-L20</f>
        <v>4336093.7620000001</v>
      </c>
      <c r="N20" s="19"/>
    </row>
    <row r="21" spans="1:14">
      <c r="A21" s="28">
        <v>18</v>
      </c>
      <c r="B21" s="29">
        <v>45765</v>
      </c>
      <c r="C21" s="19"/>
      <c r="D21" s="19"/>
      <c r="E21" s="19">
        <v>0</v>
      </c>
      <c r="F21" s="19">
        <v>0</v>
      </c>
      <c r="G21" s="19">
        <f t="shared" si="0"/>
        <v>0</v>
      </c>
      <c r="H21" s="19">
        <v>0</v>
      </c>
      <c r="I21" s="19">
        <v>0</v>
      </c>
      <c r="J21" s="19">
        <f>H21*I21</f>
        <v>0</v>
      </c>
      <c r="K21" s="19">
        <f t="shared" si="1"/>
        <v>0</v>
      </c>
      <c r="L21" s="19"/>
      <c r="M21" s="46">
        <f>M20+K21-L21</f>
        <v>4336093.7620000001</v>
      </c>
      <c r="N21" s="19"/>
    </row>
    <row r="22" spans="1:14">
      <c r="A22" s="28">
        <v>19</v>
      </c>
      <c r="B22" s="29">
        <v>45766</v>
      </c>
      <c r="C22" s="19"/>
      <c r="D22" s="19"/>
      <c r="E22" s="19">
        <f>1016.45+2425.89</f>
        <v>3442.34</v>
      </c>
      <c r="F22" s="19">
        <v>95.7</v>
      </c>
      <c r="G22" s="19">
        <f t="shared" si="0"/>
        <v>329431.93800000002</v>
      </c>
      <c r="H22" s="19">
        <v>35</v>
      </c>
      <c r="I22" s="19">
        <v>107.48</v>
      </c>
      <c r="J22" s="19">
        <f>H22*I22</f>
        <v>3761.8</v>
      </c>
      <c r="K22" s="19">
        <f t="shared" si="1"/>
        <v>333193.73800000001</v>
      </c>
      <c r="L22" s="19"/>
      <c r="M22" s="46">
        <f>M21+K22-L22</f>
        <v>4669287.5</v>
      </c>
      <c r="N22" s="19"/>
    </row>
    <row r="23" spans="1:14">
      <c r="A23" s="28">
        <v>20</v>
      </c>
      <c r="B23" s="29">
        <v>45767</v>
      </c>
      <c r="C23" s="19"/>
      <c r="D23" s="19"/>
      <c r="E23" s="19">
        <v>1800</v>
      </c>
      <c r="F23" s="19">
        <v>95.7</v>
      </c>
      <c r="G23" s="19">
        <f t="shared" si="0"/>
        <v>172260</v>
      </c>
      <c r="H23" s="19">
        <v>0</v>
      </c>
      <c r="I23" s="19">
        <v>0</v>
      </c>
      <c r="J23" s="19">
        <f>H23*I23</f>
        <v>0</v>
      </c>
      <c r="K23" s="19">
        <f t="shared" si="1"/>
        <v>172260</v>
      </c>
      <c r="L23" s="19"/>
      <c r="M23" s="46">
        <f>M22+K23-L23</f>
        <v>4841547.5</v>
      </c>
      <c r="N23" s="19"/>
    </row>
    <row r="24" spans="1:14">
      <c r="A24" s="28">
        <v>21</v>
      </c>
      <c r="B24" s="29">
        <v>45768</v>
      </c>
      <c r="C24" s="19"/>
      <c r="D24" s="19"/>
      <c r="E24" s="19">
        <v>1764.06</v>
      </c>
      <c r="F24" s="19">
        <v>95.7</v>
      </c>
      <c r="G24" s="19">
        <f t="shared" si="0"/>
        <v>168820.54199999999</v>
      </c>
      <c r="H24" s="19">
        <v>0</v>
      </c>
      <c r="I24" s="19">
        <v>0</v>
      </c>
      <c r="J24" s="19">
        <f>H24*I24</f>
        <v>0</v>
      </c>
      <c r="K24" s="19">
        <f t="shared" si="1"/>
        <v>168820.54199999999</v>
      </c>
      <c r="L24" s="19"/>
      <c r="M24" s="46">
        <f>M23+K24-L24</f>
        <v>5010368.0420000004</v>
      </c>
      <c r="N24" s="19"/>
    </row>
    <row r="25" spans="1:14">
      <c r="A25" s="28">
        <v>22</v>
      </c>
      <c r="B25" s="29">
        <v>45769</v>
      </c>
      <c r="C25" s="19"/>
      <c r="D25" s="19"/>
      <c r="E25" s="19">
        <v>5043.1899999999996</v>
      </c>
      <c r="F25" s="19">
        <v>95.7</v>
      </c>
      <c r="G25" s="19">
        <f t="shared" si="0"/>
        <v>482633.283</v>
      </c>
      <c r="H25" s="19">
        <v>0</v>
      </c>
      <c r="I25" s="19">
        <v>0</v>
      </c>
      <c r="J25" s="19">
        <f>H25*I25</f>
        <v>0</v>
      </c>
      <c r="K25" s="19">
        <f t="shared" si="1"/>
        <v>482633.283</v>
      </c>
      <c r="L25" s="19"/>
      <c r="M25" s="46">
        <f>M24+K25-L25</f>
        <v>5493001.3250000002</v>
      </c>
      <c r="N25" s="19"/>
    </row>
    <row r="26" spans="1:14">
      <c r="A26" s="28">
        <v>23</v>
      </c>
      <c r="B26" s="29">
        <v>45770</v>
      </c>
      <c r="C26" s="19"/>
      <c r="D26" s="19"/>
      <c r="E26" s="19">
        <v>2594.84</v>
      </c>
      <c r="F26" s="19">
        <v>95.7</v>
      </c>
      <c r="G26" s="19">
        <f t="shared" si="0"/>
        <v>248326.18800000002</v>
      </c>
      <c r="H26" s="19">
        <v>35</v>
      </c>
      <c r="I26" s="19">
        <v>107.48</v>
      </c>
      <c r="J26" s="19">
        <f>H26*I26</f>
        <v>3761.8</v>
      </c>
      <c r="K26" s="19">
        <f t="shared" si="1"/>
        <v>252087.98800000001</v>
      </c>
      <c r="L26" s="19"/>
      <c r="M26" s="46">
        <f>M25+K26-L26</f>
        <v>5745089.3130000001</v>
      </c>
      <c r="N26" s="19"/>
    </row>
    <row r="27" spans="1:14">
      <c r="A27" s="28">
        <v>24</v>
      </c>
      <c r="B27" s="29">
        <v>45771</v>
      </c>
      <c r="C27" s="19"/>
      <c r="D27" s="19"/>
      <c r="E27" s="19">
        <v>3422.82</v>
      </c>
      <c r="F27" s="19">
        <v>95.7</v>
      </c>
      <c r="G27" s="19">
        <f t="shared" si="0"/>
        <v>327563.87400000001</v>
      </c>
      <c r="H27" s="19">
        <v>0</v>
      </c>
      <c r="I27" s="19">
        <v>0</v>
      </c>
      <c r="J27" s="19">
        <f>H27*I27</f>
        <v>0</v>
      </c>
      <c r="K27" s="19">
        <f t="shared" si="1"/>
        <v>327563.87400000001</v>
      </c>
      <c r="L27" s="19"/>
      <c r="M27" s="46">
        <f>M26+K27-L27</f>
        <v>6072653.1869999999</v>
      </c>
      <c r="N27" s="19"/>
    </row>
    <row r="28" spans="1:14">
      <c r="A28" s="28">
        <v>25</v>
      </c>
      <c r="B28" s="29">
        <v>45772</v>
      </c>
      <c r="C28" s="19"/>
      <c r="D28" s="19"/>
      <c r="E28" s="19">
        <v>4267.4399999999996</v>
      </c>
      <c r="F28" s="19">
        <v>95.7</v>
      </c>
      <c r="G28" s="19">
        <f t="shared" si="0"/>
        <v>408394.00799999997</v>
      </c>
      <c r="H28" s="19">
        <v>0</v>
      </c>
      <c r="I28" s="19">
        <v>0</v>
      </c>
      <c r="J28" s="19">
        <f>H28*I28</f>
        <v>0</v>
      </c>
      <c r="K28" s="19">
        <f t="shared" si="1"/>
        <v>408394.00799999997</v>
      </c>
      <c r="L28" s="19"/>
      <c r="M28" s="46">
        <f>M27+K28-L28</f>
        <v>6481047.1950000003</v>
      </c>
      <c r="N28" s="19"/>
    </row>
    <row r="29" spans="1:14">
      <c r="A29" s="28">
        <v>26</v>
      </c>
      <c r="B29" s="29">
        <v>45773</v>
      </c>
      <c r="C29" s="19"/>
      <c r="D29" s="19"/>
      <c r="E29" s="19">
        <v>5281.27</v>
      </c>
      <c r="F29" s="19">
        <v>95.7</v>
      </c>
      <c r="G29" s="19">
        <f t="shared" si="0"/>
        <v>505417.53900000005</v>
      </c>
      <c r="H29" s="19">
        <v>0</v>
      </c>
      <c r="I29" s="19">
        <v>0</v>
      </c>
      <c r="J29" s="19">
        <f>H29*I29</f>
        <v>0</v>
      </c>
      <c r="K29" s="19">
        <f t="shared" si="1"/>
        <v>505417.53900000005</v>
      </c>
      <c r="L29" s="19"/>
      <c r="M29" s="46">
        <f t="shared" ref="M29:M33" si="3">M28+K29-L29</f>
        <v>6986464.7340000002</v>
      </c>
      <c r="N29" s="19"/>
    </row>
    <row r="30" spans="1:14">
      <c r="A30" s="28">
        <v>27</v>
      </c>
      <c r="B30" s="29">
        <v>45774</v>
      </c>
      <c r="C30" s="19"/>
      <c r="D30" s="19"/>
      <c r="E30" s="19">
        <v>6434.47</v>
      </c>
      <c r="F30" s="19">
        <v>95.7</v>
      </c>
      <c r="G30" s="19">
        <f t="shared" si="0"/>
        <v>615778.7790000001</v>
      </c>
      <c r="H30" s="19">
        <v>35</v>
      </c>
      <c r="I30" s="19">
        <v>107.48</v>
      </c>
      <c r="J30" s="19">
        <f>H30*I30</f>
        <v>3761.8</v>
      </c>
      <c r="K30" s="19">
        <f t="shared" si="1"/>
        <v>619540.57900000014</v>
      </c>
      <c r="L30" s="19"/>
      <c r="M30" s="46">
        <f t="shared" si="3"/>
        <v>7606005.3130000001</v>
      </c>
      <c r="N30" s="19"/>
    </row>
    <row r="31" spans="1:14">
      <c r="A31" s="28">
        <v>28</v>
      </c>
      <c r="B31" s="29">
        <v>45775</v>
      </c>
      <c r="C31" s="19"/>
      <c r="D31" s="19"/>
      <c r="E31" s="46">
        <f>2000+973.86+2201.44+1400</f>
        <v>6575.3</v>
      </c>
      <c r="F31" s="46">
        <v>95.7</v>
      </c>
      <c r="G31" s="19">
        <f t="shared" si="0"/>
        <v>629256.21000000008</v>
      </c>
      <c r="H31" s="19">
        <v>0</v>
      </c>
      <c r="I31" s="19">
        <v>0</v>
      </c>
      <c r="J31" s="19">
        <f>H31*I31</f>
        <v>0</v>
      </c>
      <c r="K31" s="19">
        <f t="shared" si="1"/>
        <v>629256.21000000008</v>
      </c>
      <c r="L31" s="19"/>
      <c r="M31" s="46">
        <f t="shared" si="3"/>
        <v>8235261.523</v>
      </c>
      <c r="N31" s="19"/>
    </row>
    <row r="32" spans="1:14">
      <c r="A32" s="28">
        <v>29</v>
      </c>
      <c r="B32" s="29">
        <v>45776</v>
      </c>
      <c r="C32" s="19"/>
      <c r="D32" s="19"/>
      <c r="E32" s="19">
        <v>3049.9</v>
      </c>
      <c r="F32" s="46">
        <v>95.7</v>
      </c>
      <c r="G32" s="19">
        <f t="shared" si="0"/>
        <v>291875.43</v>
      </c>
      <c r="H32" s="19">
        <v>0</v>
      </c>
      <c r="I32" s="19">
        <v>0</v>
      </c>
      <c r="J32" s="19">
        <f>H32*I32</f>
        <v>0</v>
      </c>
      <c r="K32" s="19">
        <f t="shared" si="1"/>
        <v>291875.43</v>
      </c>
      <c r="L32" s="19"/>
      <c r="M32" s="46">
        <f t="shared" si="3"/>
        <v>8527136.9529999997</v>
      </c>
      <c r="N32" s="19"/>
    </row>
    <row r="33" spans="1:14">
      <c r="A33" s="28">
        <v>30</v>
      </c>
      <c r="B33" s="29">
        <v>45777</v>
      </c>
      <c r="C33" s="19"/>
      <c r="D33" s="19"/>
      <c r="E33" s="19">
        <v>3802.91</v>
      </c>
      <c r="F33" s="46">
        <v>95.7</v>
      </c>
      <c r="G33" s="19">
        <f t="shared" si="0"/>
        <v>363938.48700000002</v>
      </c>
      <c r="H33" s="19">
        <v>0</v>
      </c>
      <c r="I33" s="19">
        <v>0</v>
      </c>
      <c r="J33" s="19">
        <f>H33*I33</f>
        <v>0</v>
      </c>
      <c r="K33" s="19">
        <f t="shared" si="1"/>
        <v>363938.48700000002</v>
      </c>
      <c r="L33" s="19"/>
      <c r="M33" s="46">
        <f t="shared" si="3"/>
        <v>8891075.4399999995</v>
      </c>
      <c r="N33" s="19"/>
    </row>
    <row r="34" spans="1:14">
      <c r="A34" s="28">
        <v>31</v>
      </c>
      <c r="B34" s="2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>
      <c r="A35" s="52"/>
      <c r="B35" s="52"/>
      <c r="C35" s="52"/>
      <c r="D35" s="52"/>
      <c r="E35" s="53">
        <f>SUM(E4:E34)</f>
        <v>87686.7</v>
      </c>
      <c r="F35" s="53"/>
      <c r="G35" s="53">
        <f>SUM(G4:G34)</f>
        <v>8391617.1899999995</v>
      </c>
      <c r="H35" s="53">
        <f>SUM(H4:H34)</f>
        <v>160</v>
      </c>
      <c r="I35" s="53"/>
      <c r="J35" s="53">
        <f>SUM(J4:J34)</f>
        <v>17196.8</v>
      </c>
      <c r="K35" s="53">
        <f>SUM(K4:K34)</f>
        <v>8408813.9900000002</v>
      </c>
      <c r="L35" s="53">
        <f>SUM(L3:L34)</f>
        <v>0</v>
      </c>
      <c r="M35" s="53"/>
      <c r="N35" s="53"/>
    </row>
    <row r="39" spans="1:14">
      <c r="M39" s="24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N36"/>
  <sheetViews>
    <sheetView topLeftCell="A18" workbookViewId="0">
      <selection activeCell="L41" sqref="L41"/>
    </sheetView>
  </sheetViews>
  <sheetFormatPr defaultRowHeight="15"/>
  <cols>
    <col min="2" max="2" width="10.5703125" bestFit="1" customWidth="1"/>
    <col min="4" max="4" width="16.7109375" customWidth="1"/>
    <col min="5" max="5" width="16.85546875" customWidth="1"/>
    <col min="7" max="7" width="10.42578125" customWidth="1"/>
    <col min="11" max="11" width="13" customWidth="1"/>
    <col min="12" max="12" width="16.42578125" customWidth="1"/>
    <col min="13" max="13" width="12.28515625" bestFit="1" customWidth="1"/>
  </cols>
  <sheetData>
    <row r="1" spans="1:14" ht="15.75">
      <c r="A1" s="413" t="s">
        <v>16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</row>
    <row r="2" spans="1:14" ht="30.75">
      <c r="A2" s="142" t="s">
        <v>81</v>
      </c>
      <c r="B2" s="143" t="s">
        <v>82</v>
      </c>
      <c r="C2" s="143" t="s">
        <v>83</v>
      </c>
      <c r="D2" s="143" t="s">
        <v>84</v>
      </c>
      <c r="E2" s="143" t="s">
        <v>85</v>
      </c>
      <c r="F2" s="143" t="s">
        <v>86</v>
      </c>
      <c r="G2" s="143" t="s">
        <v>87</v>
      </c>
      <c r="H2" s="143" t="s">
        <v>88</v>
      </c>
      <c r="I2" s="143" t="s">
        <v>86</v>
      </c>
      <c r="J2" s="144" t="s">
        <v>87</v>
      </c>
      <c r="K2" s="142" t="s">
        <v>89</v>
      </c>
      <c r="L2" s="145" t="s">
        <v>90</v>
      </c>
      <c r="M2" s="145" t="s">
        <v>99</v>
      </c>
      <c r="N2" s="143" t="s">
        <v>92</v>
      </c>
    </row>
    <row r="3" spans="1:14">
      <c r="A3" s="415" t="s">
        <v>93</v>
      </c>
      <c r="B3" s="415"/>
      <c r="C3" s="415"/>
      <c r="D3" s="415"/>
      <c r="E3" s="415"/>
      <c r="F3" s="415"/>
      <c r="G3" s="415"/>
      <c r="H3" s="415"/>
      <c r="I3" s="415"/>
      <c r="J3" s="415"/>
      <c r="K3" s="303">
        <v>231715.1</v>
      </c>
      <c r="L3" s="304"/>
      <c r="M3" s="270">
        <f>+K3</f>
        <v>231715.1</v>
      </c>
      <c r="N3" s="110"/>
    </row>
    <row r="4" spans="1:14">
      <c r="A4" s="28">
        <v>1</v>
      </c>
      <c r="B4" s="29">
        <v>45748</v>
      </c>
      <c r="C4" s="19"/>
      <c r="D4" s="19"/>
      <c r="E4" s="19">
        <v>0</v>
      </c>
      <c r="F4" s="19">
        <v>0</v>
      </c>
      <c r="G4" s="19">
        <f>E4*F4</f>
        <v>0</v>
      </c>
      <c r="H4" s="19">
        <v>0</v>
      </c>
      <c r="I4" s="19">
        <v>0</v>
      </c>
      <c r="J4" s="19">
        <f>H4*I4</f>
        <v>0</v>
      </c>
      <c r="K4" s="19">
        <f>G4+J4</f>
        <v>0</v>
      </c>
      <c r="L4" s="19"/>
      <c r="M4" s="46">
        <f>M3+K4-L4</f>
        <v>231715.1</v>
      </c>
      <c r="N4" s="19"/>
    </row>
    <row r="5" spans="1:14">
      <c r="A5" s="28">
        <v>2</v>
      </c>
      <c r="B5" s="29">
        <v>45749</v>
      </c>
      <c r="C5" s="19"/>
      <c r="D5" s="19"/>
      <c r="E5">
        <v>2090.3000000000002</v>
      </c>
      <c r="F5" s="19">
        <v>95.68</v>
      </c>
      <c r="G5" s="19">
        <f>E5*F5</f>
        <v>199999.90400000004</v>
      </c>
      <c r="H5" s="19">
        <v>20</v>
      </c>
      <c r="I5" s="19">
        <v>107.46</v>
      </c>
      <c r="J5" s="19">
        <f>H5*I5</f>
        <v>2149.1999999999998</v>
      </c>
      <c r="K5" s="19">
        <f>G5+J5</f>
        <v>202149.10400000005</v>
      </c>
      <c r="L5" s="19"/>
      <c r="M5" s="46">
        <f t="shared" ref="M5:M8" si="0">M4+K5-L5</f>
        <v>433864.20400000003</v>
      </c>
      <c r="N5" s="19"/>
    </row>
    <row r="6" spans="1:14">
      <c r="A6" s="28">
        <v>3</v>
      </c>
      <c r="B6" s="29">
        <v>45750</v>
      </c>
      <c r="C6" s="19"/>
      <c r="D6" s="19"/>
      <c r="E6" s="19"/>
      <c r="F6" s="19">
        <f t="shared" ref="F6:F7" si="1">D6*E6</f>
        <v>0</v>
      </c>
      <c r="G6" s="19">
        <f t="shared" ref="G6:G7" si="2">E6*F6</f>
        <v>0</v>
      </c>
      <c r="H6" s="19"/>
      <c r="I6" s="19">
        <f t="shared" ref="I6:I7" si="3">G6*H6</f>
        <v>0</v>
      </c>
      <c r="J6" s="19">
        <f t="shared" ref="J6:J7" si="4">H6*I6</f>
        <v>0</v>
      </c>
      <c r="K6" s="19">
        <f t="shared" ref="K6:K7" si="5">G6+J6</f>
        <v>0</v>
      </c>
      <c r="L6" s="19"/>
      <c r="M6" s="46">
        <f t="shared" si="0"/>
        <v>433864.20400000003</v>
      </c>
      <c r="N6" s="19"/>
    </row>
    <row r="7" spans="1:14">
      <c r="A7" s="28">
        <v>4</v>
      </c>
      <c r="B7" s="29">
        <v>45751</v>
      </c>
      <c r="C7" s="19"/>
      <c r="D7" s="19"/>
      <c r="E7" s="19">
        <v>2500</v>
      </c>
      <c r="F7" s="19">
        <v>95.68</v>
      </c>
      <c r="G7" s="19">
        <f t="shared" si="2"/>
        <v>239200.00000000003</v>
      </c>
      <c r="H7" s="19">
        <v>20</v>
      </c>
      <c r="I7" s="19">
        <v>107.46</v>
      </c>
      <c r="J7" s="19">
        <f t="shared" si="4"/>
        <v>2149.1999999999998</v>
      </c>
      <c r="K7" s="19">
        <f t="shared" si="5"/>
        <v>241349.20000000004</v>
      </c>
      <c r="L7" s="19"/>
      <c r="M7" s="46">
        <f t="shared" si="0"/>
        <v>675213.4040000001</v>
      </c>
      <c r="N7" s="19"/>
    </row>
    <row r="8" spans="1:14">
      <c r="A8" s="28">
        <v>5</v>
      </c>
      <c r="B8" s="29">
        <v>45752</v>
      </c>
      <c r="C8" s="19"/>
      <c r="D8" s="19"/>
      <c r="E8" s="19">
        <v>2500</v>
      </c>
      <c r="F8" s="19">
        <v>95.68</v>
      </c>
      <c r="G8" s="19">
        <f>E8*F8</f>
        <v>239200.00000000003</v>
      </c>
      <c r="H8" s="19">
        <v>20</v>
      </c>
      <c r="I8" s="19">
        <v>107.46</v>
      </c>
      <c r="J8" s="19">
        <f>H8*I8</f>
        <v>2149.1999999999998</v>
      </c>
      <c r="K8" s="19">
        <f>G8+J8</f>
        <v>241349.20000000004</v>
      </c>
      <c r="L8" s="19"/>
      <c r="M8" s="46">
        <f t="shared" si="0"/>
        <v>916562.60400000017</v>
      </c>
      <c r="N8" s="19"/>
    </row>
    <row r="9" spans="1:14">
      <c r="A9" s="28">
        <v>6</v>
      </c>
      <c r="B9" s="29">
        <v>45753</v>
      </c>
      <c r="C9" s="19"/>
      <c r="D9" s="19"/>
      <c r="E9" s="19"/>
      <c r="F9" s="19"/>
      <c r="G9" s="19">
        <f>E9*F9</f>
        <v>0</v>
      </c>
      <c r="H9" s="19"/>
      <c r="I9" s="19"/>
      <c r="J9" s="19">
        <f>H9*I9</f>
        <v>0</v>
      </c>
      <c r="K9" s="19">
        <f>G9+J9</f>
        <v>0</v>
      </c>
      <c r="L9" s="19"/>
      <c r="M9" s="46">
        <f>M8+K9-L9</f>
        <v>916562.60400000017</v>
      </c>
      <c r="N9" s="19"/>
    </row>
    <row r="10" spans="1:14">
      <c r="A10" s="28">
        <v>7</v>
      </c>
      <c r="B10" s="29">
        <v>45754</v>
      </c>
      <c r="C10" s="19"/>
      <c r="D10" s="19"/>
      <c r="E10" s="19">
        <v>2500</v>
      </c>
      <c r="F10" s="19">
        <v>95.68</v>
      </c>
      <c r="G10" s="19">
        <f>E10*F10</f>
        <v>239200.00000000003</v>
      </c>
      <c r="H10" s="19">
        <v>35</v>
      </c>
      <c r="I10" s="19">
        <v>107.46</v>
      </c>
      <c r="J10" s="19">
        <f>H10*I10</f>
        <v>3761.1</v>
      </c>
      <c r="K10" s="19">
        <f>G10+J10</f>
        <v>242961.10000000003</v>
      </c>
      <c r="L10" s="19"/>
      <c r="M10" s="46">
        <f>M9+K10-L10</f>
        <v>1159523.7040000001</v>
      </c>
      <c r="N10" s="19"/>
    </row>
    <row r="11" spans="1:14">
      <c r="A11" s="28">
        <v>8</v>
      </c>
      <c r="B11" s="29">
        <v>45755</v>
      </c>
      <c r="C11" s="19"/>
      <c r="D11" s="19"/>
      <c r="E11" s="19">
        <v>2500</v>
      </c>
      <c r="F11" s="19">
        <v>95.68</v>
      </c>
      <c r="G11" s="19">
        <f>E11*F11</f>
        <v>239200.00000000003</v>
      </c>
      <c r="H11" s="19">
        <v>20</v>
      </c>
      <c r="I11" s="19">
        <v>107.46</v>
      </c>
      <c r="J11" s="19">
        <f>H11*I11</f>
        <v>2149.1999999999998</v>
      </c>
      <c r="K11" s="19">
        <f>G11+J11</f>
        <v>241349.20000000004</v>
      </c>
      <c r="L11" s="19"/>
      <c r="M11" s="46">
        <f>M10+K11-L11</f>
        <v>1400872.9040000001</v>
      </c>
      <c r="N11" s="19"/>
    </row>
    <row r="12" spans="1:14">
      <c r="A12" s="28">
        <v>9</v>
      </c>
      <c r="B12" s="29">
        <v>45756</v>
      </c>
      <c r="C12" s="19"/>
      <c r="D12" s="19"/>
      <c r="E12" s="19"/>
      <c r="F12" s="19"/>
      <c r="G12" s="19">
        <f>E12*F12</f>
        <v>0</v>
      </c>
      <c r="H12" s="19"/>
      <c r="I12" s="19"/>
      <c r="J12" s="19">
        <f>H12*I12</f>
        <v>0</v>
      </c>
      <c r="K12" s="19">
        <f>G12+J12</f>
        <v>0</v>
      </c>
      <c r="L12" s="19"/>
      <c r="M12" s="46">
        <f>M11+K12-L12</f>
        <v>1400872.9040000001</v>
      </c>
      <c r="N12" s="19"/>
    </row>
    <row r="13" spans="1:14">
      <c r="A13" s="28">
        <v>10</v>
      </c>
      <c r="B13" s="29">
        <v>45757</v>
      </c>
      <c r="C13" s="19"/>
      <c r="D13" s="19"/>
      <c r="E13" s="19">
        <v>2500</v>
      </c>
      <c r="F13" s="19">
        <v>95.68</v>
      </c>
      <c r="G13" s="19">
        <f>E13*F13</f>
        <v>239200.00000000003</v>
      </c>
      <c r="H13" s="19">
        <v>55</v>
      </c>
      <c r="I13" s="19">
        <v>107.46</v>
      </c>
      <c r="J13" s="19">
        <f>H13*I13</f>
        <v>5910.2999999999993</v>
      </c>
      <c r="K13" s="19">
        <f>G13+J13</f>
        <v>245110.30000000002</v>
      </c>
      <c r="L13" s="19"/>
      <c r="M13" s="46">
        <f>M12+K13-L13</f>
        <v>1645983.2040000001</v>
      </c>
      <c r="N13" s="19"/>
    </row>
    <row r="14" spans="1:14">
      <c r="A14" s="28">
        <v>11</v>
      </c>
      <c r="B14" s="29">
        <v>45758</v>
      </c>
      <c r="C14" s="19"/>
      <c r="D14" s="19"/>
      <c r="E14" s="19"/>
      <c r="F14" s="19"/>
      <c r="G14" s="19">
        <f>E14*F14</f>
        <v>0</v>
      </c>
      <c r="H14" s="19"/>
      <c r="I14" s="19"/>
      <c r="J14" s="19">
        <f>H14*I14</f>
        <v>0</v>
      </c>
      <c r="K14" s="19">
        <f>G14+J14</f>
        <v>0</v>
      </c>
      <c r="L14" s="19"/>
      <c r="M14" s="46">
        <f>M13+K14-L14</f>
        <v>1645983.2040000001</v>
      </c>
      <c r="N14" s="19"/>
    </row>
    <row r="15" spans="1:14">
      <c r="A15" s="28">
        <v>12</v>
      </c>
      <c r="B15" s="29">
        <v>45759</v>
      </c>
      <c r="C15" s="19"/>
      <c r="D15" s="19"/>
      <c r="E15" s="19">
        <v>2500</v>
      </c>
      <c r="F15" s="19">
        <v>95.68</v>
      </c>
      <c r="G15" s="19">
        <f>E15*F15</f>
        <v>239200.00000000003</v>
      </c>
      <c r="H15" s="19">
        <v>35</v>
      </c>
      <c r="I15" s="19">
        <v>107.46</v>
      </c>
      <c r="J15" s="19">
        <f>H15*I15</f>
        <v>3761.1</v>
      </c>
      <c r="K15" s="19">
        <f>G15+J15</f>
        <v>242961.10000000003</v>
      </c>
      <c r="L15" s="19"/>
      <c r="M15" s="46">
        <f>M14+K15-L15</f>
        <v>1888944.3040000002</v>
      </c>
      <c r="N15" s="19"/>
    </row>
    <row r="16" spans="1:14">
      <c r="A16" s="28">
        <v>13</v>
      </c>
      <c r="B16" s="29">
        <v>45760</v>
      </c>
      <c r="C16" s="19"/>
      <c r="D16" s="19"/>
      <c r="E16" s="19"/>
      <c r="F16" s="19"/>
      <c r="G16" s="19">
        <f>E16*F16</f>
        <v>0</v>
      </c>
      <c r="H16" s="19"/>
      <c r="I16" s="19"/>
      <c r="J16" s="19">
        <f>H16*I16</f>
        <v>0</v>
      </c>
      <c r="K16" s="19">
        <f>G16+J16</f>
        <v>0</v>
      </c>
      <c r="L16" s="19"/>
      <c r="M16" s="46">
        <f>M15+K16-L16</f>
        <v>1888944.3040000002</v>
      </c>
      <c r="N16" s="19"/>
    </row>
    <row r="17" spans="1:14">
      <c r="A17" s="28">
        <v>14</v>
      </c>
      <c r="B17" s="29">
        <v>45761</v>
      </c>
      <c r="C17" s="19"/>
      <c r="D17" s="19"/>
      <c r="E17" s="19">
        <v>2376.25</v>
      </c>
      <c r="F17" s="19">
        <v>95.68</v>
      </c>
      <c r="G17" s="19">
        <f>E17*F17</f>
        <v>227359.6</v>
      </c>
      <c r="H17" s="19">
        <v>35</v>
      </c>
      <c r="I17" s="19">
        <v>107.46</v>
      </c>
      <c r="J17" s="19">
        <f>H17*I17</f>
        <v>3761.1</v>
      </c>
      <c r="K17" s="19">
        <f>G17+J17</f>
        <v>231120.7</v>
      </c>
      <c r="L17" s="19"/>
      <c r="M17" s="46">
        <f>M16+K17-L17</f>
        <v>2120065.0040000002</v>
      </c>
      <c r="N17" s="19"/>
    </row>
    <row r="18" spans="1:14">
      <c r="A18" s="28">
        <v>15</v>
      </c>
      <c r="B18" s="29">
        <v>45762</v>
      </c>
      <c r="C18" s="19"/>
      <c r="D18" s="19"/>
      <c r="E18" s="19"/>
      <c r="F18" s="19"/>
      <c r="G18" s="19">
        <f>E18*F18</f>
        <v>0</v>
      </c>
      <c r="H18" s="19">
        <v>55</v>
      </c>
      <c r="I18" s="19">
        <v>107.46</v>
      </c>
      <c r="J18" s="19">
        <f>H18*I18</f>
        <v>5910.2999999999993</v>
      </c>
      <c r="K18" s="19">
        <f>G18+J18</f>
        <v>5910.2999999999993</v>
      </c>
      <c r="L18" s="19">
        <v>1500000</v>
      </c>
      <c r="M18" s="46">
        <f>M17+K18-L18</f>
        <v>625975.304</v>
      </c>
      <c r="N18" s="19"/>
    </row>
    <row r="19" spans="1:14">
      <c r="A19" s="28">
        <v>16</v>
      </c>
      <c r="B19" s="29">
        <v>45763</v>
      </c>
      <c r="C19" s="19"/>
      <c r="D19" s="19"/>
      <c r="E19" s="19">
        <v>2500</v>
      </c>
      <c r="F19" s="19">
        <v>95.68</v>
      </c>
      <c r="G19" s="19">
        <f>E19*F19</f>
        <v>239200.00000000003</v>
      </c>
      <c r="H19" s="19"/>
      <c r="I19" s="19"/>
      <c r="J19" s="19">
        <f>H19*I19</f>
        <v>0</v>
      </c>
      <c r="K19" s="19">
        <f>G19+J19</f>
        <v>239200.00000000003</v>
      </c>
      <c r="L19" s="19"/>
      <c r="M19" s="46">
        <f>M18+K19-L19</f>
        <v>865175.304</v>
      </c>
      <c r="N19" s="19"/>
    </row>
    <row r="20" spans="1:14">
      <c r="A20" s="28">
        <v>17</v>
      </c>
      <c r="B20" s="29">
        <v>45764</v>
      </c>
      <c r="C20" s="19"/>
      <c r="D20" s="19"/>
      <c r="E20" s="19"/>
      <c r="F20" s="19"/>
      <c r="G20" s="19">
        <f>E20*F20</f>
        <v>0</v>
      </c>
      <c r="H20" s="19"/>
      <c r="I20" s="19"/>
      <c r="J20" s="19">
        <f>H20*I20</f>
        <v>0</v>
      </c>
      <c r="K20" s="19">
        <f>G20+J20</f>
        <v>0</v>
      </c>
      <c r="L20" s="19"/>
      <c r="M20" s="46">
        <f>M19+K20-L20</f>
        <v>865175.304</v>
      </c>
      <c r="N20" s="19"/>
    </row>
    <row r="21" spans="1:14">
      <c r="A21" s="28">
        <v>18</v>
      </c>
      <c r="B21" s="29">
        <v>45765</v>
      </c>
      <c r="C21" s="19"/>
      <c r="D21" s="19"/>
      <c r="E21" s="19">
        <v>2506.14</v>
      </c>
      <c r="F21" s="19">
        <v>95.68</v>
      </c>
      <c r="G21" s="19">
        <f>E21*F21</f>
        <v>239787.47520000002</v>
      </c>
      <c r="H21" s="19">
        <v>35</v>
      </c>
      <c r="I21" s="19">
        <v>107.46</v>
      </c>
      <c r="J21" s="19">
        <f>H21*I21</f>
        <v>3761.1</v>
      </c>
      <c r="K21" s="19">
        <f>G21+J21</f>
        <v>243548.57520000002</v>
      </c>
      <c r="L21" s="19"/>
      <c r="M21" s="46">
        <f>M20+K21-L21</f>
        <v>1108723.8792000001</v>
      </c>
      <c r="N21" s="19"/>
    </row>
    <row r="22" spans="1:14">
      <c r="A22" s="28">
        <v>19</v>
      </c>
      <c r="B22" s="29">
        <v>45766</v>
      </c>
      <c r="C22" s="19"/>
      <c r="D22" s="19"/>
      <c r="E22" s="19"/>
      <c r="F22" s="19"/>
      <c r="G22" s="19">
        <f>E22*F22</f>
        <v>0</v>
      </c>
      <c r="H22" s="19"/>
      <c r="I22" s="19"/>
      <c r="J22" s="19">
        <f>H22*I22</f>
        <v>0</v>
      </c>
      <c r="K22" s="19">
        <f>G22+J22</f>
        <v>0</v>
      </c>
      <c r="L22" s="19"/>
      <c r="M22" s="46">
        <f>M21+K22-L22</f>
        <v>1108723.8792000001</v>
      </c>
      <c r="N22" s="19"/>
    </row>
    <row r="23" spans="1:14">
      <c r="A23" s="28">
        <v>20</v>
      </c>
      <c r="B23" s="29">
        <v>45767</v>
      </c>
      <c r="C23" s="19"/>
      <c r="D23" s="19"/>
      <c r="E23" s="19">
        <v>2500</v>
      </c>
      <c r="F23" s="19">
        <v>95.68</v>
      </c>
      <c r="G23" s="19">
        <f>E23*F23</f>
        <v>239200.00000000003</v>
      </c>
      <c r="H23" s="19">
        <v>35</v>
      </c>
      <c r="I23" s="19">
        <v>107.46</v>
      </c>
      <c r="J23" s="19">
        <f>H23*I23</f>
        <v>3761.1</v>
      </c>
      <c r="K23" s="19">
        <f>G23+J23</f>
        <v>242961.10000000003</v>
      </c>
      <c r="L23" s="19"/>
      <c r="M23" s="46">
        <f>M22+K23-L23</f>
        <v>1351684.9792000002</v>
      </c>
      <c r="N23" s="19"/>
    </row>
    <row r="24" spans="1:14">
      <c r="A24" s="28">
        <v>21</v>
      </c>
      <c r="B24" s="29">
        <v>45768</v>
      </c>
      <c r="C24" s="19"/>
      <c r="D24" s="19"/>
      <c r="E24" s="19"/>
      <c r="F24" s="19"/>
      <c r="G24" s="19">
        <f>E24*F24</f>
        <v>0</v>
      </c>
      <c r="H24" s="19"/>
      <c r="I24" s="19"/>
      <c r="J24" s="19">
        <f>H24*I24</f>
        <v>0</v>
      </c>
      <c r="K24" s="19">
        <f>G24+J24</f>
        <v>0</v>
      </c>
      <c r="L24" s="19"/>
      <c r="M24" s="46">
        <f>M23+K24-L24</f>
        <v>1351684.9792000002</v>
      </c>
      <c r="N24" s="19"/>
    </row>
    <row r="25" spans="1:14">
      <c r="A25" s="28">
        <v>22</v>
      </c>
      <c r="B25" s="29">
        <v>45769</v>
      </c>
      <c r="C25" s="19"/>
      <c r="D25" s="19"/>
      <c r="E25" s="19">
        <v>2400</v>
      </c>
      <c r="F25" s="19">
        <v>95.68</v>
      </c>
      <c r="G25" s="19">
        <f>E25*F25</f>
        <v>229632.00000000003</v>
      </c>
      <c r="H25" s="19">
        <v>35</v>
      </c>
      <c r="I25" s="19">
        <v>107.46</v>
      </c>
      <c r="J25" s="19">
        <f>H25*I25</f>
        <v>3761.1</v>
      </c>
      <c r="K25" s="19">
        <f>G25+J25</f>
        <v>233393.10000000003</v>
      </c>
      <c r="L25" s="19"/>
      <c r="M25" s="46">
        <f>M24+K25-L25</f>
        <v>1585078.0792000003</v>
      </c>
      <c r="N25" s="19"/>
    </row>
    <row r="26" spans="1:14">
      <c r="A26" s="28">
        <v>23</v>
      </c>
      <c r="B26" s="29">
        <v>45770</v>
      </c>
      <c r="C26" s="19"/>
      <c r="D26" s="19"/>
      <c r="E26" s="19">
        <v>5000</v>
      </c>
      <c r="F26" s="19">
        <v>95.68</v>
      </c>
      <c r="G26" s="19">
        <f>E26*F26</f>
        <v>478400.00000000006</v>
      </c>
      <c r="H26" s="19">
        <v>20</v>
      </c>
      <c r="I26" s="19">
        <v>107.46</v>
      </c>
      <c r="J26" s="19">
        <f>H26*I26</f>
        <v>2149.1999999999998</v>
      </c>
      <c r="K26" s="19">
        <f>G26+J26</f>
        <v>480549.20000000007</v>
      </c>
      <c r="L26" s="19"/>
      <c r="M26" s="46">
        <f>M25+K26-L26</f>
        <v>2065627.2792000002</v>
      </c>
      <c r="N26" s="19"/>
    </row>
    <row r="27" spans="1:14">
      <c r="A27" s="28">
        <v>24</v>
      </c>
      <c r="B27" s="29">
        <v>45771</v>
      </c>
      <c r="C27" s="19"/>
      <c r="D27" s="19"/>
      <c r="E27" s="19">
        <v>3000</v>
      </c>
      <c r="F27" s="19">
        <v>95.68</v>
      </c>
      <c r="G27" s="19">
        <f>E27*F27</f>
        <v>287040</v>
      </c>
      <c r="H27" s="19">
        <v>0</v>
      </c>
      <c r="I27" s="19">
        <v>0</v>
      </c>
      <c r="J27" s="19">
        <f>H27*I27</f>
        <v>0</v>
      </c>
      <c r="K27" s="19">
        <f>G27+J27</f>
        <v>287040</v>
      </c>
      <c r="L27" s="19"/>
      <c r="M27" s="46">
        <f>M26+K27-L27</f>
        <v>2352667.2792000002</v>
      </c>
      <c r="N27" s="19"/>
    </row>
    <row r="28" spans="1:14">
      <c r="A28" s="28">
        <v>25</v>
      </c>
      <c r="B28" s="29">
        <v>45772</v>
      </c>
      <c r="C28" s="19"/>
      <c r="D28" s="19"/>
      <c r="E28" s="19">
        <v>2500</v>
      </c>
      <c r="F28" s="19">
        <v>95.68</v>
      </c>
      <c r="G28" s="19">
        <f>E28*F28</f>
        <v>239200.00000000003</v>
      </c>
      <c r="H28" s="19">
        <v>20</v>
      </c>
      <c r="I28" s="19">
        <v>107.46</v>
      </c>
      <c r="J28" s="19">
        <f>H28*I28</f>
        <v>2149.1999999999998</v>
      </c>
      <c r="K28" s="19">
        <f>G28+J28</f>
        <v>241349.20000000004</v>
      </c>
      <c r="L28" s="19"/>
      <c r="M28" s="46">
        <f>M27+K28-L28</f>
        <v>2594016.4792000004</v>
      </c>
      <c r="N28" s="19"/>
    </row>
    <row r="29" spans="1:14">
      <c r="A29" s="28">
        <v>26</v>
      </c>
      <c r="B29" s="29">
        <v>45773</v>
      </c>
      <c r="C29" s="19"/>
      <c r="D29" s="19"/>
      <c r="E29" s="19">
        <v>1918.68</v>
      </c>
      <c r="F29" s="19">
        <v>95.68</v>
      </c>
      <c r="G29" s="19">
        <f>E29*F29</f>
        <v>183579.30240000002</v>
      </c>
      <c r="H29" s="19">
        <v>23.01</v>
      </c>
      <c r="I29" s="19">
        <v>107.46</v>
      </c>
      <c r="J29" s="46">
        <f>H29*I29</f>
        <v>2472.6545999999998</v>
      </c>
      <c r="K29" s="46">
        <f>G29+J29</f>
        <v>186051.95700000002</v>
      </c>
      <c r="L29" s="19"/>
      <c r="M29" s="46">
        <f>M28+K29-L29</f>
        <v>2780068.4362000003</v>
      </c>
      <c r="N29" s="19"/>
    </row>
    <row r="30" spans="1:14">
      <c r="A30" s="28">
        <v>27</v>
      </c>
      <c r="B30" s="29">
        <v>45774</v>
      </c>
      <c r="C30" s="19"/>
      <c r="D30" s="19"/>
      <c r="E30" s="19"/>
      <c r="F30" s="19"/>
      <c r="G30" s="19">
        <f>E30*F30</f>
        <v>0</v>
      </c>
      <c r="H30" s="19"/>
      <c r="I30" s="19">
        <v>107.46</v>
      </c>
      <c r="J30" s="46">
        <f>H30*I30</f>
        <v>0</v>
      </c>
      <c r="K30" s="46">
        <f>G30+J30</f>
        <v>0</v>
      </c>
      <c r="L30" s="19"/>
      <c r="M30" s="46">
        <f>M29+K30-L30</f>
        <v>2780068.4362000003</v>
      </c>
      <c r="N30" s="19"/>
    </row>
    <row r="31" spans="1:14">
      <c r="A31" s="28">
        <v>28</v>
      </c>
      <c r="B31" s="29">
        <v>45775</v>
      </c>
      <c r="C31" s="19"/>
      <c r="D31" s="19"/>
      <c r="E31" s="19"/>
      <c r="F31" s="19"/>
      <c r="G31" s="19">
        <f>E31*F31</f>
        <v>0</v>
      </c>
      <c r="H31" s="19"/>
      <c r="I31" s="19">
        <v>107.46</v>
      </c>
      <c r="J31" s="46">
        <f>H31*I31</f>
        <v>0</v>
      </c>
      <c r="K31" s="46">
        <f>G31+J31</f>
        <v>0</v>
      </c>
      <c r="L31" s="19"/>
      <c r="M31" s="46">
        <f>M30+K31-L31</f>
        <v>2780068.4362000003</v>
      </c>
      <c r="N31" s="19"/>
    </row>
    <row r="32" spans="1:14">
      <c r="A32" s="28">
        <v>29</v>
      </c>
      <c r="B32" s="29">
        <v>45776</v>
      </c>
      <c r="C32" s="19"/>
      <c r="D32" s="19"/>
      <c r="E32" s="19">
        <f>2490.45+2500</f>
        <v>4990.45</v>
      </c>
      <c r="F32" s="19">
        <v>95.68</v>
      </c>
      <c r="G32" s="19">
        <f>E32*F32</f>
        <v>477486.25599999999</v>
      </c>
      <c r="H32" s="19">
        <v>35</v>
      </c>
      <c r="I32" s="19">
        <v>107.46</v>
      </c>
      <c r="J32" s="46">
        <f>H32*I32</f>
        <v>3761.1</v>
      </c>
      <c r="K32" s="46">
        <f>G32+J32</f>
        <v>481247.35599999997</v>
      </c>
      <c r="L32" s="19"/>
      <c r="M32" s="46">
        <f>M31+K32-L32</f>
        <v>3261315.7922000005</v>
      </c>
      <c r="N32" s="19"/>
    </row>
    <row r="33" spans="1:14">
      <c r="A33" s="28">
        <v>30</v>
      </c>
      <c r="B33" s="29">
        <v>45777</v>
      </c>
      <c r="C33" s="19"/>
      <c r="D33" s="19"/>
      <c r="E33" s="19">
        <f>2341.01+2500.07</f>
        <v>4841.08</v>
      </c>
      <c r="F33" s="19">
        <v>95.68</v>
      </c>
      <c r="G33" s="19">
        <f>E33*F33</f>
        <v>463194.5344</v>
      </c>
      <c r="H33" s="19">
        <v>55</v>
      </c>
      <c r="I33" s="19">
        <v>107.46</v>
      </c>
      <c r="J33" s="46">
        <f>H33*I33</f>
        <v>5910.2999999999993</v>
      </c>
      <c r="K33" s="46">
        <f>G33+J33</f>
        <v>469104.83439999999</v>
      </c>
      <c r="L33" s="19"/>
      <c r="M33" s="46">
        <f>M32+K33-L33</f>
        <v>3730420.6266000005</v>
      </c>
      <c r="N33" s="19"/>
    </row>
    <row r="34" spans="1:14">
      <c r="A34" s="28">
        <v>31</v>
      </c>
      <c r="B34" s="2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>
      <c r="A35" s="28">
        <v>32</v>
      </c>
      <c r="B35" s="2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>
      <c r="A36" s="52"/>
      <c r="B36" s="52"/>
      <c r="C36" s="52"/>
      <c r="D36" s="52"/>
      <c r="E36" s="308">
        <f>SUM(E3:E35)</f>
        <v>51622.9</v>
      </c>
      <c r="F36" s="308"/>
      <c r="G36" s="308">
        <f>SUM(G3:G35)</f>
        <v>4939279.0720000006</v>
      </c>
      <c r="H36" s="308">
        <f>SUM(H3:H35)</f>
        <v>553.01</v>
      </c>
      <c r="I36" s="308"/>
      <c r="J36" s="308">
        <f>SUM(J2:J35)</f>
        <v>59426.454599999983</v>
      </c>
      <c r="K36" s="308">
        <f>SUM(K4:K35)</f>
        <v>4998705.5266000004</v>
      </c>
      <c r="L36" s="308">
        <f>SUM(L3:L35)</f>
        <v>1500000</v>
      </c>
      <c r="M36" s="308"/>
      <c r="N36" s="308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A1F-96EA-4DAE-B7A1-3DBAC484D0C4}">
  <dimension ref="A1:P42"/>
  <sheetViews>
    <sheetView workbookViewId="0">
      <selection activeCell="P16" sqref="P16"/>
    </sheetView>
  </sheetViews>
  <sheetFormatPr defaultRowHeight="15"/>
  <cols>
    <col min="2" max="2" width="13.42578125" customWidth="1"/>
    <col min="3" max="3" width="11.85546875" customWidth="1"/>
    <col min="4" max="4" width="13.85546875" customWidth="1"/>
    <col min="5" max="5" width="12" customWidth="1"/>
    <col min="6" max="6" width="14.140625" customWidth="1"/>
    <col min="7" max="7" width="12" customWidth="1"/>
    <col min="10" max="10" width="11.85546875" customWidth="1"/>
    <col min="11" max="11" width="12.140625" customWidth="1"/>
    <col min="12" max="13" width="14.42578125" customWidth="1"/>
    <col min="14" max="14" width="16.28515625" customWidth="1"/>
    <col min="16" max="16" width="11.42578125" bestFit="1" customWidth="1"/>
  </cols>
  <sheetData>
    <row r="1" spans="1:16" ht="15.75" customHeight="1">
      <c r="A1" s="416" t="s">
        <v>18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</row>
    <row r="2" spans="1:16">
      <c r="A2" s="119" t="s">
        <v>81</v>
      </c>
      <c r="B2" s="124" t="s">
        <v>82</v>
      </c>
      <c r="C2" s="124" t="s">
        <v>83</v>
      </c>
      <c r="D2" s="124" t="s">
        <v>84</v>
      </c>
      <c r="E2" s="124" t="s">
        <v>85</v>
      </c>
      <c r="F2" s="124" t="s">
        <v>86</v>
      </c>
      <c r="G2" s="124" t="s">
        <v>87</v>
      </c>
      <c r="H2" s="124" t="s">
        <v>88</v>
      </c>
      <c r="I2" s="124" t="s">
        <v>86</v>
      </c>
      <c r="J2" s="124" t="s">
        <v>87</v>
      </c>
      <c r="K2" s="171" t="s">
        <v>89</v>
      </c>
      <c r="L2" s="171" t="s">
        <v>90</v>
      </c>
      <c r="M2" s="171" t="s">
        <v>91</v>
      </c>
      <c r="N2" s="124" t="s">
        <v>92</v>
      </c>
    </row>
    <row r="3" spans="1:16">
      <c r="A3" s="407" t="s">
        <v>93</v>
      </c>
      <c r="B3" s="408"/>
      <c r="C3" s="408"/>
      <c r="D3" s="408"/>
      <c r="E3" s="408"/>
      <c r="F3" s="408"/>
      <c r="G3" s="408"/>
      <c r="H3" s="408"/>
      <c r="I3" s="408"/>
      <c r="J3" s="408"/>
      <c r="K3" s="151">
        <v>28856.57</v>
      </c>
      <c r="L3" s="317"/>
      <c r="M3" s="123">
        <f>+K3</f>
        <v>28856.57</v>
      </c>
      <c r="N3" s="318"/>
    </row>
    <row r="4" spans="1:16">
      <c r="A4" s="28">
        <v>1</v>
      </c>
      <c r="B4" s="29">
        <v>45748</v>
      </c>
      <c r="C4" s="125"/>
      <c r="D4" s="37"/>
      <c r="E4" s="39">
        <v>0</v>
      </c>
      <c r="F4" s="39">
        <v>0</v>
      </c>
      <c r="G4" s="39">
        <f t="shared" ref="G4:G7" si="0">E4*F4</f>
        <v>0</v>
      </c>
      <c r="H4" s="39">
        <v>9</v>
      </c>
      <c r="I4" s="39">
        <v>108.23</v>
      </c>
      <c r="J4" s="39">
        <f t="shared" ref="J4:J7" si="1">H4*I4</f>
        <v>974.07</v>
      </c>
      <c r="K4" s="39">
        <f t="shared" ref="K4:K7" si="2">G4+J4</f>
        <v>974.07</v>
      </c>
      <c r="L4" s="247">
        <v>0</v>
      </c>
      <c r="M4" s="39">
        <f>M3+K4-L4</f>
        <v>29830.639999999999</v>
      </c>
      <c r="N4" s="319"/>
      <c r="P4" s="24">
        <v>2259050.0095000006</v>
      </c>
    </row>
    <row r="5" spans="1:16">
      <c r="A5" s="28">
        <v>2</v>
      </c>
      <c r="B5" s="29">
        <v>45749</v>
      </c>
      <c r="C5" s="125"/>
      <c r="D5" s="37"/>
      <c r="E5" s="39">
        <v>48.01</v>
      </c>
      <c r="F5" s="39">
        <v>96.42</v>
      </c>
      <c r="G5" s="39">
        <f t="shared" ref="G5:G34" si="3">E5*F5</f>
        <v>4629.1242000000002</v>
      </c>
      <c r="H5" s="39">
        <v>17.88</v>
      </c>
      <c r="I5" s="39">
        <v>108.23</v>
      </c>
      <c r="J5" s="39">
        <f t="shared" ref="J5:J34" si="4">H5*I5</f>
        <v>1935.1523999999999</v>
      </c>
      <c r="K5" s="39">
        <f t="shared" ref="K5:K34" si="5">G5+J5</f>
        <v>6564.2766000000001</v>
      </c>
      <c r="L5" s="247">
        <v>0</v>
      </c>
      <c r="M5" s="39">
        <f t="shared" ref="M5:M34" si="6">M4+K5-L5</f>
        <v>36394.916599999997</v>
      </c>
      <c r="N5" s="320"/>
    </row>
    <row r="6" spans="1:16">
      <c r="A6" s="28">
        <v>3</v>
      </c>
      <c r="B6" s="29">
        <v>45750</v>
      </c>
      <c r="C6" s="125"/>
      <c r="D6" s="37"/>
      <c r="E6" s="39">
        <v>0</v>
      </c>
      <c r="F6" s="39">
        <v>0</v>
      </c>
      <c r="G6" s="39">
        <f t="shared" si="3"/>
        <v>0</v>
      </c>
      <c r="H6" s="39">
        <v>15</v>
      </c>
      <c r="I6" s="39">
        <v>108.23</v>
      </c>
      <c r="J6" s="39">
        <f t="shared" si="4"/>
        <v>1623.45</v>
      </c>
      <c r="K6" s="39">
        <f t="shared" si="5"/>
        <v>1623.45</v>
      </c>
      <c r="L6" s="247">
        <v>0</v>
      </c>
      <c r="M6" s="39">
        <f t="shared" si="6"/>
        <v>38018.366599999994</v>
      </c>
      <c r="N6" s="321"/>
    </row>
    <row r="7" spans="1:16">
      <c r="A7" s="28">
        <v>4</v>
      </c>
      <c r="B7" s="29">
        <v>45751</v>
      </c>
      <c r="C7" s="125"/>
      <c r="D7" s="37"/>
      <c r="E7" s="39">
        <v>0</v>
      </c>
      <c r="F7" s="39">
        <v>0</v>
      </c>
      <c r="G7" s="39">
        <f t="shared" si="3"/>
        <v>0</v>
      </c>
      <c r="H7" s="39">
        <v>5</v>
      </c>
      <c r="I7" s="39">
        <v>108.23</v>
      </c>
      <c r="J7" s="39">
        <f t="shared" si="4"/>
        <v>541.15</v>
      </c>
      <c r="K7" s="39">
        <f t="shared" si="5"/>
        <v>541.15</v>
      </c>
      <c r="L7" s="247">
        <v>0</v>
      </c>
      <c r="M7" s="39">
        <f t="shared" si="6"/>
        <v>38559.516599999995</v>
      </c>
      <c r="N7" s="248"/>
    </row>
    <row r="8" spans="1:16">
      <c r="A8" s="28">
        <v>5</v>
      </c>
      <c r="B8" s="29">
        <v>45752</v>
      </c>
      <c r="C8" s="36"/>
      <c r="D8" s="37"/>
      <c r="E8" s="39">
        <v>26.64</v>
      </c>
      <c r="F8" s="39">
        <v>96.42</v>
      </c>
      <c r="G8" s="39">
        <f t="shared" si="3"/>
        <v>2568.6288</v>
      </c>
      <c r="H8" s="39">
        <v>5</v>
      </c>
      <c r="I8" s="39">
        <v>108.23</v>
      </c>
      <c r="J8" s="39">
        <f t="shared" si="4"/>
        <v>541.15</v>
      </c>
      <c r="K8" s="39">
        <f t="shared" si="5"/>
        <v>3109.7788</v>
      </c>
      <c r="L8" s="247">
        <v>0</v>
      </c>
      <c r="M8" s="39">
        <f t="shared" si="6"/>
        <v>41669.295399999995</v>
      </c>
      <c r="N8" s="248"/>
    </row>
    <row r="9" spans="1:16">
      <c r="A9" s="28">
        <v>6</v>
      </c>
      <c r="B9" s="29">
        <v>45753</v>
      </c>
      <c r="C9" s="36"/>
      <c r="D9" s="37"/>
      <c r="E9" s="39">
        <v>0</v>
      </c>
      <c r="F9" s="39">
        <v>0</v>
      </c>
      <c r="G9" s="39">
        <f t="shared" si="3"/>
        <v>0</v>
      </c>
      <c r="H9" s="39">
        <v>10</v>
      </c>
      <c r="I9" s="39">
        <v>108.23</v>
      </c>
      <c r="J9" s="39">
        <f t="shared" si="4"/>
        <v>1082.3</v>
      </c>
      <c r="K9" s="39">
        <f t="shared" si="5"/>
        <v>1082.3</v>
      </c>
      <c r="L9" s="247">
        <v>0</v>
      </c>
      <c r="M9" s="39">
        <f t="shared" si="6"/>
        <v>42751.595399999998</v>
      </c>
      <c r="N9" s="248"/>
    </row>
    <row r="10" spans="1:16">
      <c r="A10" s="28">
        <v>7</v>
      </c>
      <c r="B10" s="29">
        <v>45754</v>
      </c>
      <c r="C10" s="36"/>
      <c r="D10" s="37"/>
      <c r="E10" s="39">
        <v>54</v>
      </c>
      <c r="F10" s="39">
        <v>96.42</v>
      </c>
      <c r="G10" s="39">
        <f t="shared" si="3"/>
        <v>5206.68</v>
      </c>
      <c r="H10" s="39">
        <v>9.99</v>
      </c>
      <c r="I10" s="39">
        <v>108.23</v>
      </c>
      <c r="J10" s="39">
        <f t="shared" si="4"/>
        <v>1081.2177000000001</v>
      </c>
      <c r="K10" s="39">
        <f t="shared" si="5"/>
        <v>6287.8977000000004</v>
      </c>
      <c r="L10" s="247">
        <v>0</v>
      </c>
      <c r="M10" s="39">
        <f t="shared" si="6"/>
        <v>49039.4931</v>
      </c>
      <c r="N10" s="248"/>
    </row>
    <row r="11" spans="1:16">
      <c r="A11" s="28">
        <v>8</v>
      </c>
      <c r="B11" s="29">
        <v>45755</v>
      </c>
      <c r="C11" s="36"/>
      <c r="D11" s="37"/>
      <c r="E11" s="39">
        <v>2400</v>
      </c>
      <c r="F11" s="39">
        <v>96.42</v>
      </c>
      <c r="G11" s="39">
        <f t="shared" si="3"/>
        <v>231408</v>
      </c>
      <c r="H11" s="39">
        <v>20</v>
      </c>
      <c r="I11" s="39">
        <v>108.23</v>
      </c>
      <c r="J11" s="39">
        <f t="shared" si="4"/>
        <v>2164.6</v>
      </c>
      <c r="K11" s="39">
        <f t="shared" si="5"/>
        <v>233572.6</v>
      </c>
      <c r="L11" s="247">
        <v>0</v>
      </c>
      <c r="M11" s="39">
        <f t="shared" si="6"/>
        <v>282612.0931</v>
      </c>
      <c r="N11" s="248"/>
    </row>
    <row r="12" spans="1:16">
      <c r="A12" s="28">
        <v>9</v>
      </c>
      <c r="B12" s="29">
        <v>45756</v>
      </c>
      <c r="C12" s="36"/>
      <c r="D12" s="37"/>
      <c r="E12" s="39">
        <v>0</v>
      </c>
      <c r="F12" s="39">
        <v>0</v>
      </c>
      <c r="G12" s="39">
        <f t="shared" si="3"/>
        <v>0</v>
      </c>
      <c r="H12" s="39">
        <v>30</v>
      </c>
      <c r="I12" s="39">
        <v>108.23</v>
      </c>
      <c r="J12" s="39">
        <f t="shared" si="4"/>
        <v>3246.9</v>
      </c>
      <c r="K12" s="39">
        <f t="shared" si="5"/>
        <v>3246.9</v>
      </c>
      <c r="L12" s="247">
        <v>0</v>
      </c>
      <c r="M12" s="39">
        <f t="shared" si="6"/>
        <v>285858.99310000002</v>
      </c>
      <c r="N12" s="248"/>
    </row>
    <row r="13" spans="1:16">
      <c r="A13" s="28">
        <v>10</v>
      </c>
      <c r="B13" s="29">
        <v>45757</v>
      </c>
      <c r="C13" s="36"/>
      <c r="D13" s="37"/>
      <c r="E13" s="39">
        <v>44.07</v>
      </c>
      <c r="F13" s="39">
        <v>96.42</v>
      </c>
      <c r="G13" s="39">
        <f t="shared" si="3"/>
        <v>4249.2294000000002</v>
      </c>
      <c r="H13" s="39">
        <v>5</v>
      </c>
      <c r="I13" s="39">
        <v>108.23</v>
      </c>
      <c r="J13" s="39">
        <f t="shared" si="4"/>
        <v>541.15</v>
      </c>
      <c r="K13" s="39">
        <f t="shared" si="5"/>
        <v>4790.3793999999998</v>
      </c>
      <c r="L13" s="247">
        <v>0</v>
      </c>
      <c r="M13" s="39">
        <f t="shared" si="6"/>
        <v>290649.3725</v>
      </c>
      <c r="N13" s="248"/>
    </row>
    <row r="14" spans="1:16">
      <c r="A14" s="28">
        <v>11</v>
      </c>
      <c r="B14" s="29">
        <v>45758</v>
      </c>
      <c r="C14" s="36"/>
      <c r="D14" s="37"/>
      <c r="E14" s="346">
        <v>35.78</v>
      </c>
      <c r="F14" s="39">
        <v>96.42</v>
      </c>
      <c r="G14" s="39">
        <f t="shared" si="3"/>
        <v>3449.9076</v>
      </c>
      <c r="H14" s="39">
        <v>10</v>
      </c>
      <c r="I14" s="39">
        <v>108.23</v>
      </c>
      <c r="J14" s="39">
        <f t="shared" si="4"/>
        <v>1082.3</v>
      </c>
      <c r="K14" s="39">
        <f t="shared" si="5"/>
        <v>4532.2075999999997</v>
      </c>
      <c r="L14" s="247">
        <v>0</v>
      </c>
      <c r="M14" s="39">
        <f t="shared" si="6"/>
        <v>295181.58010000002</v>
      </c>
      <c r="N14" s="248"/>
    </row>
    <row r="15" spans="1:16">
      <c r="A15" s="28">
        <v>12</v>
      </c>
      <c r="B15" s="29">
        <v>45759</v>
      </c>
      <c r="C15" s="36"/>
      <c r="D15" s="37"/>
      <c r="E15" s="39">
        <v>0</v>
      </c>
      <c r="F15" s="39">
        <v>0</v>
      </c>
      <c r="G15" s="39">
        <f t="shared" si="3"/>
        <v>0</v>
      </c>
      <c r="H15" s="39">
        <v>20</v>
      </c>
      <c r="I15" s="39">
        <v>108.23</v>
      </c>
      <c r="J15" s="39">
        <f t="shared" si="4"/>
        <v>2164.6</v>
      </c>
      <c r="K15" s="39">
        <f t="shared" si="5"/>
        <v>2164.6</v>
      </c>
      <c r="L15" s="247">
        <v>0</v>
      </c>
      <c r="M15" s="39">
        <f t="shared" si="6"/>
        <v>297346.1801</v>
      </c>
      <c r="N15" s="248"/>
    </row>
    <row r="16" spans="1:16">
      <c r="A16" s="28">
        <v>13</v>
      </c>
      <c r="B16" s="29">
        <v>45760</v>
      </c>
      <c r="C16" s="36"/>
      <c r="D16" s="37"/>
      <c r="E16" s="39">
        <v>0</v>
      </c>
      <c r="F16" s="39">
        <v>0</v>
      </c>
      <c r="G16" s="39">
        <f t="shared" si="3"/>
        <v>0</v>
      </c>
      <c r="H16" s="39">
        <v>5</v>
      </c>
      <c r="I16" s="39">
        <v>108.23</v>
      </c>
      <c r="J16" s="39">
        <f t="shared" si="4"/>
        <v>541.15</v>
      </c>
      <c r="K16" s="39">
        <f t="shared" si="5"/>
        <v>541.15</v>
      </c>
      <c r="L16" s="247">
        <v>0</v>
      </c>
      <c r="M16" s="39">
        <f t="shared" si="6"/>
        <v>297887.33010000002</v>
      </c>
      <c r="N16" s="248"/>
    </row>
    <row r="17" spans="1:16">
      <c r="A17" s="28">
        <v>14</v>
      </c>
      <c r="B17" s="29">
        <v>45761</v>
      </c>
      <c r="C17" s="36"/>
      <c r="D17" s="37"/>
      <c r="E17" s="39">
        <v>2415</v>
      </c>
      <c r="F17" s="39">
        <v>96.42</v>
      </c>
      <c r="G17" s="39">
        <f t="shared" si="3"/>
        <v>232854.30000000002</v>
      </c>
      <c r="H17" s="39">
        <v>15</v>
      </c>
      <c r="I17" s="39">
        <v>108.23</v>
      </c>
      <c r="J17" s="39">
        <f t="shared" si="4"/>
        <v>1623.45</v>
      </c>
      <c r="K17" s="39">
        <f t="shared" si="5"/>
        <v>234477.75000000003</v>
      </c>
      <c r="L17" s="247">
        <v>0</v>
      </c>
      <c r="M17" s="39">
        <f t="shared" si="6"/>
        <v>532365.08010000002</v>
      </c>
      <c r="N17" s="248"/>
    </row>
    <row r="18" spans="1:16">
      <c r="A18" s="28">
        <v>15</v>
      </c>
      <c r="B18" s="29">
        <v>45762</v>
      </c>
      <c r="C18" s="199"/>
      <c r="D18" s="37"/>
      <c r="E18" s="39">
        <v>0</v>
      </c>
      <c r="F18" s="39">
        <v>0</v>
      </c>
      <c r="G18" s="39">
        <f t="shared" si="3"/>
        <v>0</v>
      </c>
      <c r="H18" s="39">
        <v>25</v>
      </c>
      <c r="I18" s="39">
        <v>108.23</v>
      </c>
      <c r="J18" s="39">
        <f t="shared" si="4"/>
        <v>2705.75</v>
      </c>
      <c r="K18" s="39">
        <f t="shared" si="5"/>
        <v>2705.75</v>
      </c>
      <c r="L18" s="247">
        <v>0</v>
      </c>
      <c r="M18" s="39">
        <f t="shared" si="6"/>
        <v>535070.83010000002</v>
      </c>
      <c r="N18" s="322"/>
    </row>
    <row r="19" spans="1:16">
      <c r="A19" s="28">
        <v>16</v>
      </c>
      <c r="B19" s="29">
        <v>45763</v>
      </c>
      <c r="C19" s="125"/>
      <c r="D19" s="37"/>
      <c r="E19" s="39">
        <v>0</v>
      </c>
      <c r="F19" s="39">
        <v>0</v>
      </c>
      <c r="G19" s="39">
        <f t="shared" si="3"/>
        <v>0</v>
      </c>
      <c r="H19" s="39">
        <v>19</v>
      </c>
      <c r="I19" s="39">
        <v>108.23</v>
      </c>
      <c r="J19" s="39">
        <f t="shared" si="4"/>
        <v>2056.37</v>
      </c>
      <c r="K19" s="39">
        <f t="shared" si="5"/>
        <v>2056.37</v>
      </c>
      <c r="L19" s="247">
        <v>0</v>
      </c>
      <c r="M19" s="39">
        <f t="shared" si="6"/>
        <v>537127.20010000002</v>
      </c>
      <c r="N19" s="322"/>
    </row>
    <row r="20" spans="1:16">
      <c r="A20" s="28">
        <v>17</v>
      </c>
      <c r="B20" s="29">
        <v>45764</v>
      </c>
      <c r="C20" s="215"/>
      <c r="D20" s="37"/>
      <c r="E20" s="39">
        <v>0</v>
      </c>
      <c r="F20" s="39">
        <v>0</v>
      </c>
      <c r="G20" s="39">
        <f t="shared" si="3"/>
        <v>0</v>
      </c>
      <c r="H20" s="39">
        <v>15</v>
      </c>
      <c r="I20" s="39">
        <v>108.23</v>
      </c>
      <c r="J20" s="39">
        <f t="shared" si="4"/>
        <v>1623.45</v>
      </c>
      <c r="K20" s="39">
        <f t="shared" si="5"/>
        <v>1623.45</v>
      </c>
      <c r="L20" s="247">
        <v>0</v>
      </c>
      <c r="M20" s="39">
        <f t="shared" si="6"/>
        <v>538750.65009999997</v>
      </c>
      <c r="N20" s="322"/>
    </row>
    <row r="21" spans="1:16">
      <c r="A21" s="28">
        <v>18</v>
      </c>
      <c r="B21" s="29">
        <v>45765</v>
      </c>
      <c r="C21" s="215"/>
      <c r="D21" s="37"/>
      <c r="E21" s="346">
        <v>1962.03</v>
      </c>
      <c r="F21" s="39">
        <v>96.42</v>
      </c>
      <c r="G21" s="39">
        <f t="shared" si="3"/>
        <v>189178.9326</v>
      </c>
      <c r="H21" s="39">
        <v>0</v>
      </c>
      <c r="I21" s="39">
        <v>0</v>
      </c>
      <c r="J21" s="39">
        <f t="shared" si="4"/>
        <v>0</v>
      </c>
      <c r="K21" s="39">
        <f t="shared" si="5"/>
        <v>189178.9326</v>
      </c>
      <c r="L21" s="247">
        <v>0</v>
      </c>
      <c r="M21" s="39">
        <f t="shared" si="6"/>
        <v>727929.58269999991</v>
      </c>
      <c r="N21" s="322"/>
      <c r="O21" t="s">
        <v>102</v>
      </c>
    </row>
    <row r="22" spans="1:16">
      <c r="A22" s="28">
        <v>19</v>
      </c>
      <c r="B22" s="29">
        <v>45766</v>
      </c>
      <c r="C22" s="125"/>
      <c r="D22" s="37"/>
      <c r="E22" s="39">
        <v>0</v>
      </c>
      <c r="F22" s="39">
        <v>0</v>
      </c>
      <c r="G22" s="39">
        <f t="shared" si="3"/>
        <v>0</v>
      </c>
      <c r="H22" s="39">
        <v>28</v>
      </c>
      <c r="I22" s="39">
        <v>108.23</v>
      </c>
      <c r="J22" s="39">
        <f t="shared" si="4"/>
        <v>3030.44</v>
      </c>
      <c r="K22" s="39">
        <f t="shared" si="5"/>
        <v>3030.44</v>
      </c>
      <c r="L22" s="247">
        <v>0</v>
      </c>
      <c r="M22" s="39">
        <f t="shared" si="6"/>
        <v>730960.02269999986</v>
      </c>
      <c r="N22" s="248"/>
      <c r="P22">
        <v>2422641</v>
      </c>
    </row>
    <row r="23" spans="1:16">
      <c r="A23" s="28">
        <v>20</v>
      </c>
      <c r="B23" s="29">
        <v>45767</v>
      </c>
      <c r="C23" s="125"/>
      <c r="D23" s="37"/>
      <c r="E23" s="39">
        <v>0</v>
      </c>
      <c r="F23" s="39">
        <v>0</v>
      </c>
      <c r="G23" s="39">
        <f t="shared" si="3"/>
        <v>0</v>
      </c>
      <c r="H23" s="39">
        <v>20</v>
      </c>
      <c r="I23" s="39">
        <v>108.23</v>
      </c>
      <c r="J23" s="39">
        <f t="shared" si="4"/>
        <v>2164.6</v>
      </c>
      <c r="K23" s="39">
        <f t="shared" si="5"/>
        <v>2164.6</v>
      </c>
      <c r="L23" s="247">
        <v>0</v>
      </c>
      <c r="M23" s="39">
        <f t="shared" si="6"/>
        <v>733124.62269999983</v>
      </c>
      <c r="N23" s="248"/>
      <c r="P23">
        <v>2419549</v>
      </c>
    </row>
    <row r="24" spans="1:16">
      <c r="A24" s="28">
        <v>21</v>
      </c>
      <c r="B24" s="29">
        <v>45768</v>
      </c>
      <c r="C24" s="125"/>
      <c r="D24" s="37"/>
      <c r="E24" s="39">
        <v>0</v>
      </c>
      <c r="F24" s="39">
        <v>0</v>
      </c>
      <c r="G24" s="39">
        <f t="shared" si="3"/>
        <v>0</v>
      </c>
      <c r="H24" s="39">
        <v>20</v>
      </c>
      <c r="I24" s="39">
        <v>108.23</v>
      </c>
      <c r="J24" s="39">
        <f t="shared" si="4"/>
        <v>2164.6</v>
      </c>
      <c r="K24" s="39">
        <f t="shared" si="5"/>
        <v>2164.6</v>
      </c>
      <c r="L24" s="247">
        <v>0</v>
      </c>
      <c r="M24" s="39">
        <f t="shared" si="6"/>
        <v>735289.22269999981</v>
      </c>
      <c r="N24" s="248"/>
      <c r="P24">
        <f>P23-P22</f>
        <v>-3092</v>
      </c>
    </row>
    <row r="25" spans="1:16">
      <c r="A25" s="28">
        <v>22</v>
      </c>
      <c r="B25" s="29">
        <v>45769</v>
      </c>
      <c r="C25" s="125"/>
      <c r="D25" s="37"/>
      <c r="E25" s="39">
        <v>0</v>
      </c>
      <c r="F25" s="39">
        <v>0</v>
      </c>
      <c r="G25" s="39">
        <f t="shared" si="3"/>
        <v>0</v>
      </c>
      <c r="H25" s="39">
        <v>10</v>
      </c>
      <c r="I25" s="39">
        <v>108.23</v>
      </c>
      <c r="J25" s="39">
        <f t="shared" si="4"/>
        <v>1082.3</v>
      </c>
      <c r="K25" s="39">
        <f t="shared" si="5"/>
        <v>1082.3</v>
      </c>
      <c r="L25" s="247">
        <v>0</v>
      </c>
      <c r="M25" s="39">
        <f t="shared" si="6"/>
        <v>736371.52269999986</v>
      </c>
      <c r="N25" s="248"/>
    </row>
    <row r="26" spans="1:16">
      <c r="A26" s="28">
        <v>23</v>
      </c>
      <c r="B26" s="29">
        <v>45770</v>
      </c>
      <c r="C26" s="125"/>
      <c r="D26" s="37"/>
      <c r="E26" s="39">
        <v>0</v>
      </c>
      <c r="F26" s="39">
        <v>0</v>
      </c>
      <c r="G26" s="39">
        <f t="shared" si="3"/>
        <v>0</v>
      </c>
      <c r="H26" s="39">
        <v>10</v>
      </c>
      <c r="I26" s="39">
        <v>108.23</v>
      </c>
      <c r="J26" s="39">
        <f t="shared" si="4"/>
        <v>1082.3</v>
      </c>
      <c r="K26" s="39">
        <f t="shared" si="5"/>
        <v>1082.3</v>
      </c>
      <c r="L26" s="247">
        <v>0</v>
      </c>
      <c r="M26" s="39">
        <f t="shared" si="6"/>
        <v>737453.8226999999</v>
      </c>
      <c r="N26" s="248"/>
    </row>
    <row r="27" spans="1:16">
      <c r="A27" s="28">
        <v>24</v>
      </c>
      <c r="B27" s="29">
        <v>45771</v>
      </c>
      <c r="C27" s="125"/>
      <c r="D27" s="37"/>
      <c r="E27" s="39">
        <v>2254.36</v>
      </c>
      <c r="F27" s="39">
        <v>96.42</v>
      </c>
      <c r="G27" s="39">
        <f t="shared" si="3"/>
        <v>217365.39120000001</v>
      </c>
      <c r="H27" s="39">
        <v>5</v>
      </c>
      <c r="I27" s="39">
        <v>108.23</v>
      </c>
      <c r="J27" s="39">
        <f t="shared" si="4"/>
        <v>541.15</v>
      </c>
      <c r="K27" s="39">
        <f t="shared" si="5"/>
        <v>217906.54120000001</v>
      </c>
      <c r="L27" s="247">
        <v>0</v>
      </c>
      <c r="M27" s="39">
        <f t="shared" si="6"/>
        <v>955360.36389999988</v>
      </c>
      <c r="N27" s="248"/>
    </row>
    <row r="28" spans="1:16">
      <c r="A28" s="28">
        <v>25</v>
      </c>
      <c r="B28" s="29">
        <v>45772</v>
      </c>
      <c r="C28" s="125"/>
      <c r="D28" s="37"/>
      <c r="E28" s="39">
        <v>1600</v>
      </c>
      <c r="F28" s="39">
        <v>96.42</v>
      </c>
      <c r="G28" s="39">
        <f t="shared" si="3"/>
        <v>154272</v>
      </c>
      <c r="H28" s="39">
        <v>24.34</v>
      </c>
      <c r="I28" s="39">
        <v>108.23</v>
      </c>
      <c r="J28" s="39">
        <f t="shared" si="4"/>
        <v>2634.3182000000002</v>
      </c>
      <c r="K28" s="39">
        <f t="shared" si="5"/>
        <v>156906.31820000001</v>
      </c>
      <c r="L28" s="247">
        <v>0</v>
      </c>
      <c r="M28" s="39">
        <f t="shared" si="6"/>
        <v>1112266.6820999999</v>
      </c>
      <c r="N28" s="248"/>
    </row>
    <row r="29" spans="1:16">
      <c r="A29" s="28">
        <v>26</v>
      </c>
      <c r="B29" s="29">
        <v>45773</v>
      </c>
      <c r="C29" s="125"/>
      <c r="D29" s="37"/>
      <c r="E29" s="39">
        <v>2032.3</v>
      </c>
      <c r="F29" s="39">
        <v>96.42</v>
      </c>
      <c r="G29" s="39">
        <f t="shared" si="3"/>
        <v>195954.36600000001</v>
      </c>
      <c r="H29" s="39">
        <v>15</v>
      </c>
      <c r="I29" s="39">
        <v>108.23</v>
      </c>
      <c r="J29" s="39">
        <f t="shared" si="4"/>
        <v>1623.45</v>
      </c>
      <c r="K29" s="39">
        <f t="shared" si="5"/>
        <v>197577.81600000002</v>
      </c>
      <c r="L29" s="247">
        <v>0</v>
      </c>
      <c r="M29" s="39">
        <f t="shared" si="6"/>
        <v>1309844.4981</v>
      </c>
      <c r="N29" s="248"/>
    </row>
    <row r="30" spans="1:16">
      <c r="A30" s="28">
        <v>27</v>
      </c>
      <c r="B30" s="29">
        <v>45774</v>
      </c>
      <c r="C30" s="125"/>
      <c r="D30" s="37"/>
      <c r="E30" s="39">
        <v>0</v>
      </c>
      <c r="F30" s="39">
        <v>0</v>
      </c>
      <c r="G30" s="39">
        <f t="shared" si="3"/>
        <v>0</v>
      </c>
      <c r="H30" s="39">
        <v>5</v>
      </c>
      <c r="I30" s="39">
        <v>108.23</v>
      </c>
      <c r="J30" s="39">
        <f t="shared" si="4"/>
        <v>541.15</v>
      </c>
      <c r="K30" s="39">
        <f t="shared" si="5"/>
        <v>541.15</v>
      </c>
      <c r="L30" s="247">
        <v>0</v>
      </c>
      <c r="M30" s="39">
        <f t="shared" si="6"/>
        <v>1310385.6480999999</v>
      </c>
      <c r="N30" s="248"/>
    </row>
    <row r="31" spans="1:16">
      <c r="A31" s="28">
        <v>28</v>
      </c>
      <c r="B31" s="29">
        <v>45775</v>
      </c>
      <c r="C31" s="125"/>
      <c r="D31" s="37"/>
      <c r="E31" s="39">
        <v>2300</v>
      </c>
      <c r="F31" s="39">
        <v>96.42</v>
      </c>
      <c r="G31" s="39">
        <f t="shared" si="3"/>
        <v>221766</v>
      </c>
      <c r="H31" s="39">
        <v>25</v>
      </c>
      <c r="I31" s="39">
        <v>108.23</v>
      </c>
      <c r="J31" s="39">
        <f t="shared" si="4"/>
        <v>2705.75</v>
      </c>
      <c r="K31" s="39">
        <f t="shared" si="5"/>
        <v>224471.75</v>
      </c>
      <c r="L31" s="247">
        <v>0</v>
      </c>
      <c r="M31" s="39">
        <f t="shared" si="6"/>
        <v>1534857.3980999999</v>
      </c>
      <c r="N31" s="248"/>
    </row>
    <row r="32" spans="1:16">
      <c r="A32" s="28">
        <v>29</v>
      </c>
      <c r="B32" s="29">
        <v>45776</v>
      </c>
      <c r="C32" s="125"/>
      <c r="D32" s="37"/>
      <c r="E32" s="39">
        <v>2440.9</v>
      </c>
      <c r="F32" s="39">
        <v>96.42</v>
      </c>
      <c r="G32" s="39">
        <f t="shared" si="3"/>
        <v>235351.57800000001</v>
      </c>
      <c r="H32" s="39">
        <v>20</v>
      </c>
      <c r="I32" s="39">
        <v>108.23</v>
      </c>
      <c r="J32" s="39">
        <f t="shared" si="4"/>
        <v>2164.6</v>
      </c>
      <c r="K32" s="39">
        <f t="shared" si="5"/>
        <v>237516.17800000001</v>
      </c>
      <c r="L32" s="247">
        <v>0</v>
      </c>
      <c r="M32" s="39">
        <f t="shared" si="6"/>
        <v>1772373.5760999999</v>
      </c>
      <c r="N32" s="248"/>
    </row>
    <row r="33" spans="1:14">
      <c r="A33" s="28">
        <v>30</v>
      </c>
      <c r="B33" s="29">
        <v>45777</v>
      </c>
      <c r="C33" s="125"/>
      <c r="D33" s="37"/>
      <c r="E33" s="39">
        <v>2000</v>
      </c>
      <c r="F33" s="39">
        <v>96.42</v>
      </c>
      <c r="G33" s="39">
        <f t="shared" si="3"/>
        <v>192840</v>
      </c>
      <c r="H33" s="39">
        <v>15</v>
      </c>
      <c r="I33" s="39">
        <v>108.23</v>
      </c>
      <c r="J33" s="39">
        <f t="shared" si="4"/>
        <v>1623.45</v>
      </c>
      <c r="K33" s="39">
        <f t="shared" si="5"/>
        <v>194463.45</v>
      </c>
      <c r="L33" s="247">
        <v>0</v>
      </c>
      <c r="M33" s="39">
        <f t="shared" si="6"/>
        <v>1966837.0260999999</v>
      </c>
      <c r="N33" s="248"/>
    </row>
    <row r="34" spans="1:14">
      <c r="A34" s="28">
        <v>31</v>
      </c>
      <c r="B34" s="29"/>
      <c r="C34" s="125"/>
      <c r="D34" s="37"/>
      <c r="E34" s="39">
        <v>0</v>
      </c>
      <c r="F34" s="39">
        <v>0</v>
      </c>
      <c r="G34" s="39">
        <f t="shared" si="3"/>
        <v>0</v>
      </c>
      <c r="H34" s="39">
        <v>0</v>
      </c>
      <c r="I34" s="39">
        <v>0</v>
      </c>
      <c r="J34" s="39">
        <f t="shared" si="4"/>
        <v>0</v>
      </c>
      <c r="K34" s="39">
        <f t="shared" si="5"/>
        <v>0</v>
      </c>
      <c r="L34" s="247">
        <v>0</v>
      </c>
      <c r="M34" s="39">
        <f t="shared" si="6"/>
        <v>1966837.0260999999</v>
      </c>
      <c r="N34" s="248"/>
    </row>
    <row r="35" spans="1:14">
      <c r="A35" s="216"/>
      <c r="B35" s="211"/>
      <c r="C35" s="211"/>
      <c r="D35" s="211"/>
      <c r="E35" s="50">
        <f>SUM(E4:E34)</f>
        <v>19613.09</v>
      </c>
      <c r="F35" s="50"/>
      <c r="G35" s="50">
        <f>SUM(G4:G34)</f>
        <v>1891094.1377999999</v>
      </c>
      <c r="H35" s="50">
        <f>SUM(H4:H34)</f>
        <v>433.21</v>
      </c>
      <c r="I35" s="50"/>
      <c r="J35" s="50">
        <f>SUM(J4:J34)</f>
        <v>46886.318299999999</v>
      </c>
      <c r="K35" s="50">
        <f>SUM(K4:K34)</f>
        <v>1937980.4561000001</v>
      </c>
      <c r="L35" s="50">
        <f>SUM(L4:L34)</f>
        <v>0</v>
      </c>
      <c r="M35" s="122"/>
      <c r="N35" s="51"/>
    </row>
    <row r="36" spans="1:14">
      <c r="A36" s="40"/>
      <c r="B36" s="40"/>
      <c r="C36" s="40"/>
      <c r="D36" s="40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spans="1:14">
      <c r="A37" s="35"/>
      <c r="B37" s="35"/>
      <c r="C37" s="35"/>
      <c r="D37" s="35"/>
      <c r="E37" s="35"/>
      <c r="F37" s="35"/>
      <c r="G37" s="42"/>
      <c r="H37" s="35"/>
      <c r="I37" s="35"/>
      <c r="J37" s="35"/>
      <c r="K37" s="35"/>
      <c r="L37" s="35"/>
      <c r="M37" s="35"/>
      <c r="N37" s="35"/>
    </row>
    <row r="38" spans="1:14">
      <c r="A38" s="35"/>
      <c r="B38" s="35"/>
      <c r="C38" s="35"/>
      <c r="D38" s="35"/>
      <c r="E38" s="397">
        <v>19658.61</v>
      </c>
      <c r="F38" s="35"/>
      <c r="G38" s="35"/>
      <c r="H38" s="35"/>
      <c r="I38" s="35"/>
      <c r="J38" s="35"/>
      <c r="K38" s="35"/>
      <c r="L38" s="35"/>
      <c r="M38" s="35"/>
      <c r="N38" s="35"/>
    </row>
    <row r="40" spans="1:14">
      <c r="E40" s="205">
        <f>E38-E35</f>
        <v>45.520000000000437</v>
      </c>
    </row>
    <row r="42" spans="1:14">
      <c r="E42" s="205"/>
    </row>
  </sheetData>
  <mergeCells count="2">
    <mergeCell ref="A1:N1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AF7B-DC01-4BAF-BE8E-0B06339E3045}">
  <dimension ref="A1:R35"/>
  <sheetViews>
    <sheetView workbookViewId="0">
      <pane ySplit="2" topLeftCell="A21" activePane="bottomLeft" state="frozen"/>
      <selection pane="bottomLeft" activeCell="O35" sqref="O35"/>
    </sheetView>
  </sheetViews>
  <sheetFormatPr defaultRowHeight="15"/>
  <cols>
    <col min="1" max="1" width="6.28515625" customWidth="1"/>
    <col min="2" max="2" width="10" bestFit="1" customWidth="1"/>
    <col min="3" max="3" width="11.140625" customWidth="1"/>
    <col min="4" max="4" width="14.140625" customWidth="1"/>
    <col min="5" max="5" width="14.5703125" customWidth="1"/>
    <col min="6" max="6" width="9.85546875" customWidth="1"/>
    <col min="7" max="7" width="12.42578125" customWidth="1"/>
    <col min="9" max="9" width="9.7109375" customWidth="1"/>
    <col min="10" max="10" width="11.5703125" customWidth="1"/>
    <col min="11" max="11" width="11.85546875" bestFit="1" customWidth="1"/>
    <col min="12" max="12" width="12.5703125" customWidth="1"/>
    <col min="13" max="13" width="17.42578125" customWidth="1"/>
    <col min="14" max="14" width="13.42578125" customWidth="1"/>
    <col min="15" max="15" width="11.42578125" bestFit="1" customWidth="1"/>
  </cols>
  <sheetData>
    <row r="1" spans="1:18" ht="15.75">
      <c r="A1" s="417" t="s">
        <v>20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</row>
    <row r="2" spans="1:18" ht="27">
      <c r="A2" s="119" t="s">
        <v>81</v>
      </c>
      <c r="B2" s="124" t="s">
        <v>82</v>
      </c>
      <c r="C2" s="124" t="s">
        <v>83</v>
      </c>
      <c r="D2" s="124" t="s">
        <v>84</v>
      </c>
      <c r="E2" s="238" t="s">
        <v>85</v>
      </c>
      <c r="F2" s="124" t="s">
        <v>86</v>
      </c>
      <c r="G2" s="124" t="s">
        <v>87</v>
      </c>
      <c r="H2" s="124" t="s">
        <v>88</v>
      </c>
      <c r="I2" s="124" t="s">
        <v>86</v>
      </c>
      <c r="J2" s="124" t="s">
        <v>87</v>
      </c>
      <c r="K2" s="124" t="s">
        <v>89</v>
      </c>
      <c r="L2" s="124" t="s">
        <v>90</v>
      </c>
      <c r="M2" s="124" t="s">
        <v>97</v>
      </c>
      <c r="N2" s="124" t="s">
        <v>92</v>
      </c>
    </row>
    <row r="3" spans="1:18">
      <c r="A3" s="418" t="s">
        <v>93</v>
      </c>
      <c r="B3" s="418"/>
      <c r="C3" s="418"/>
      <c r="D3" s="418"/>
      <c r="E3" s="418"/>
      <c r="F3" s="418"/>
      <c r="G3" s="418"/>
      <c r="H3" s="418"/>
      <c r="I3" s="418"/>
      <c r="J3" s="418"/>
      <c r="K3" s="276">
        <v>0</v>
      </c>
      <c r="L3" s="276"/>
      <c r="M3" s="277">
        <f>+K3</f>
        <v>0</v>
      </c>
      <c r="N3" s="110"/>
    </row>
    <row r="4" spans="1:18">
      <c r="A4" s="28">
        <v>1</v>
      </c>
      <c r="B4" s="29">
        <v>45748</v>
      </c>
      <c r="C4" s="19"/>
      <c r="D4" s="19"/>
      <c r="E4" s="19">
        <v>0</v>
      </c>
      <c r="F4" s="19">
        <v>0</v>
      </c>
      <c r="G4" s="19">
        <f>E4*F4</f>
        <v>0</v>
      </c>
      <c r="H4" s="19"/>
      <c r="I4" s="19"/>
      <c r="J4" s="19">
        <f>H4*I4</f>
        <v>0</v>
      </c>
      <c r="K4" s="19">
        <f>G4+J4</f>
        <v>0</v>
      </c>
      <c r="L4" s="19"/>
      <c r="M4" s="156">
        <f>M3+K4-L4</f>
        <v>0</v>
      </c>
      <c r="N4" s="19"/>
      <c r="O4" s="24"/>
    </row>
    <row r="5" spans="1:18">
      <c r="A5" s="28">
        <v>2</v>
      </c>
      <c r="B5" s="29">
        <v>45749</v>
      </c>
      <c r="C5" s="19"/>
      <c r="D5" s="19"/>
      <c r="E5" s="19"/>
      <c r="F5" s="19"/>
      <c r="G5" s="19">
        <f t="shared" ref="G5:G17" si="0">E5*F5</f>
        <v>0</v>
      </c>
      <c r="H5" s="19"/>
      <c r="I5" s="19"/>
      <c r="J5" s="19">
        <f t="shared" ref="J5:J17" si="1">H5*I5</f>
        <v>0</v>
      </c>
      <c r="K5" s="19">
        <f t="shared" ref="K5:K17" si="2">G5+J5</f>
        <v>0</v>
      </c>
      <c r="L5" s="19"/>
      <c r="M5" s="156">
        <f t="shared" ref="M4:O31" si="3">M4+K5-L5</f>
        <v>0</v>
      </c>
      <c r="N5" s="19"/>
    </row>
    <row r="6" spans="1:18">
      <c r="A6" s="28">
        <v>3</v>
      </c>
      <c r="B6" s="29">
        <v>45750</v>
      </c>
      <c r="C6" s="19"/>
      <c r="D6" s="19"/>
      <c r="E6" s="19">
        <v>2000</v>
      </c>
      <c r="F6" s="19">
        <v>96.13</v>
      </c>
      <c r="G6" s="19">
        <f t="shared" si="0"/>
        <v>192260</v>
      </c>
      <c r="H6" s="19"/>
      <c r="I6" s="19"/>
      <c r="J6" s="19">
        <f t="shared" si="1"/>
        <v>0</v>
      </c>
      <c r="K6" s="19">
        <f t="shared" si="2"/>
        <v>192260</v>
      </c>
      <c r="L6" s="19"/>
      <c r="M6" s="156">
        <f t="shared" si="3"/>
        <v>192260</v>
      </c>
      <c r="N6" s="19"/>
      <c r="R6">
        <v>541.08000000000004</v>
      </c>
    </row>
    <row r="7" spans="1:18">
      <c r="A7" s="28">
        <v>4</v>
      </c>
      <c r="B7" s="29">
        <v>45751</v>
      </c>
      <c r="C7" s="19"/>
      <c r="D7" s="19"/>
      <c r="E7" s="19"/>
      <c r="F7" s="19"/>
      <c r="G7" s="19">
        <f t="shared" si="0"/>
        <v>0</v>
      </c>
      <c r="H7" s="19"/>
      <c r="I7" s="19"/>
      <c r="J7" s="19">
        <f t="shared" si="1"/>
        <v>0</v>
      </c>
      <c r="K7" s="19">
        <f t="shared" si="2"/>
        <v>0</v>
      </c>
      <c r="L7" s="19"/>
      <c r="M7" s="156">
        <f t="shared" si="3"/>
        <v>192260</v>
      </c>
      <c r="N7" s="19"/>
    </row>
    <row r="8" spans="1:18">
      <c r="A8" s="28">
        <v>5</v>
      </c>
      <c r="B8" s="29">
        <v>45752</v>
      </c>
      <c r="C8" s="19"/>
      <c r="D8" s="19"/>
      <c r="E8" s="19"/>
      <c r="F8" s="19"/>
      <c r="G8" s="19">
        <f t="shared" si="0"/>
        <v>0</v>
      </c>
      <c r="H8" s="19"/>
      <c r="I8" s="19"/>
      <c r="J8" s="19">
        <f t="shared" si="1"/>
        <v>0</v>
      </c>
      <c r="K8" s="19">
        <f t="shared" si="2"/>
        <v>0</v>
      </c>
      <c r="L8" s="19"/>
      <c r="M8" s="156">
        <f t="shared" si="3"/>
        <v>192260</v>
      </c>
      <c r="N8" s="19"/>
    </row>
    <row r="9" spans="1:18">
      <c r="A9" s="28">
        <v>6</v>
      </c>
      <c r="B9" s="29">
        <v>45753</v>
      </c>
      <c r="C9" s="19"/>
      <c r="D9" s="19"/>
      <c r="E9" s="19"/>
      <c r="F9" s="19"/>
      <c r="G9" s="19">
        <f t="shared" si="0"/>
        <v>0</v>
      </c>
      <c r="H9" s="19"/>
      <c r="I9" s="19"/>
      <c r="J9" s="19">
        <f t="shared" si="1"/>
        <v>0</v>
      </c>
      <c r="K9" s="19">
        <f t="shared" si="2"/>
        <v>0</v>
      </c>
      <c r="L9" s="19"/>
      <c r="M9" s="156">
        <f t="shared" si="3"/>
        <v>192260</v>
      </c>
      <c r="N9" s="19"/>
    </row>
    <row r="10" spans="1:18">
      <c r="A10" s="28">
        <v>7</v>
      </c>
      <c r="B10" s="29">
        <v>45754</v>
      </c>
      <c r="C10" s="19"/>
      <c r="D10" s="19"/>
      <c r="E10" s="19">
        <v>2400</v>
      </c>
      <c r="F10" s="19">
        <v>96.13</v>
      </c>
      <c r="G10" s="19">
        <f t="shared" si="0"/>
        <v>230712</v>
      </c>
      <c r="H10" s="19"/>
      <c r="I10" s="19"/>
      <c r="J10" s="19">
        <f t="shared" si="1"/>
        <v>0</v>
      </c>
      <c r="K10" s="19">
        <f t="shared" si="2"/>
        <v>230712</v>
      </c>
      <c r="L10" s="19"/>
      <c r="M10" s="156">
        <f t="shared" si="3"/>
        <v>422972</v>
      </c>
      <c r="N10" s="19"/>
    </row>
    <row r="11" spans="1:18">
      <c r="A11" s="28">
        <v>8</v>
      </c>
      <c r="B11" s="29">
        <v>45755</v>
      </c>
      <c r="C11" s="19"/>
      <c r="D11" s="19"/>
      <c r="E11" s="19"/>
      <c r="F11" s="19"/>
      <c r="G11" s="19">
        <f t="shared" si="0"/>
        <v>0</v>
      </c>
      <c r="H11" s="19"/>
      <c r="I11" s="19"/>
      <c r="J11" s="19">
        <f t="shared" si="1"/>
        <v>0</v>
      </c>
      <c r="K11" s="19">
        <f t="shared" si="2"/>
        <v>0</v>
      </c>
      <c r="L11" s="19"/>
      <c r="M11" s="156">
        <f t="shared" si="3"/>
        <v>422972</v>
      </c>
      <c r="N11" s="19"/>
    </row>
    <row r="12" spans="1:18">
      <c r="A12" s="28">
        <v>9</v>
      </c>
      <c r="B12" s="29">
        <v>45756</v>
      </c>
      <c r="C12" s="19"/>
      <c r="D12" s="19"/>
      <c r="E12" s="19"/>
      <c r="F12" s="19"/>
      <c r="G12" s="19">
        <f t="shared" si="0"/>
        <v>0</v>
      </c>
      <c r="H12" s="19"/>
      <c r="I12" s="19"/>
      <c r="J12" s="19">
        <f t="shared" si="1"/>
        <v>0</v>
      </c>
      <c r="K12" s="19">
        <f t="shared" si="2"/>
        <v>0</v>
      </c>
      <c r="L12" s="19"/>
      <c r="M12" s="156">
        <f t="shared" si="3"/>
        <v>422972</v>
      </c>
      <c r="N12" s="19"/>
    </row>
    <row r="13" spans="1:18">
      <c r="A13" s="28">
        <v>10</v>
      </c>
      <c r="B13" s="29">
        <v>45757</v>
      </c>
      <c r="C13" s="19"/>
      <c r="D13" s="19"/>
      <c r="E13" s="19">
        <v>2400</v>
      </c>
      <c r="F13" s="19">
        <v>96.13</v>
      </c>
      <c r="G13" s="19">
        <f t="shared" si="0"/>
        <v>230712</v>
      </c>
      <c r="H13" s="19"/>
      <c r="I13" s="19"/>
      <c r="J13" s="19">
        <f t="shared" si="1"/>
        <v>0</v>
      </c>
      <c r="K13" s="19">
        <f t="shared" si="2"/>
        <v>230712</v>
      </c>
      <c r="L13" s="19"/>
      <c r="M13" s="156">
        <f t="shared" si="3"/>
        <v>653684</v>
      </c>
      <c r="N13" s="19"/>
    </row>
    <row r="14" spans="1:18">
      <c r="A14" s="28">
        <v>11</v>
      </c>
      <c r="B14" s="29">
        <v>45758</v>
      </c>
      <c r="C14" s="19"/>
      <c r="D14" s="19"/>
      <c r="E14" s="19">
        <v>2000</v>
      </c>
      <c r="F14" s="19">
        <v>96.13</v>
      </c>
      <c r="G14" s="19">
        <f t="shared" si="0"/>
        <v>192260</v>
      </c>
      <c r="H14" s="19"/>
      <c r="I14" s="19"/>
      <c r="J14" s="19">
        <f t="shared" si="1"/>
        <v>0</v>
      </c>
      <c r="K14" s="19">
        <f t="shared" si="2"/>
        <v>192260</v>
      </c>
      <c r="L14" s="19"/>
      <c r="M14" s="156">
        <f t="shared" si="3"/>
        <v>845944</v>
      </c>
      <c r="N14" s="19"/>
    </row>
    <row r="15" spans="1:18">
      <c r="A15" s="28">
        <v>12</v>
      </c>
      <c r="B15" s="29">
        <v>45759</v>
      </c>
      <c r="C15" s="19"/>
      <c r="D15" s="19"/>
      <c r="E15" s="19"/>
      <c r="F15" s="19"/>
      <c r="G15" s="19">
        <f t="shared" si="0"/>
        <v>0</v>
      </c>
      <c r="H15" s="19"/>
      <c r="I15" s="19"/>
      <c r="J15" s="19">
        <f t="shared" si="1"/>
        <v>0</v>
      </c>
      <c r="K15" s="19">
        <f t="shared" si="2"/>
        <v>0</v>
      </c>
      <c r="L15" s="19"/>
      <c r="M15" s="156">
        <f t="shared" si="3"/>
        <v>845944</v>
      </c>
      <c r="N15" s="19"/>
    </row>
    <row r="16" spans="1:18">
      <c r="A16" s="28">
        <v>13</v>
      </c>
      <c r="B16" s="29">
        <v>45760</v>
      </c>
      <c r="C16" s="19"/>
      <c r="D16" s="19"/>
      <c r="E16" s="19"/>
      <c r="F16" s="19"/>
      <c r="G16" s="19">
        <f t="shared" si="0"/>
        <v>0</v>
      </c>
      <c r="H16" s="19"/>
      <c r="I16" s="19"/>
      <c r="J16" s="19">
        <f t="shared" si="1"/>
        <v>0</v>
      </c>
      <c r="K16" s="19">
        <f t="shared" si="2"/>
        <v>0</v>
      </c>
      <c r="L16" s="19"/>
      <c r="M16" s="156">
        <f t="shared" si="3"/>
        <v>845944</v>
      </c>
      <c r="N16" s="19"/>
    </row>
    <row r="17" spans="1:16">
      <c r="A17" s="28">
        <v>14</v>
      </c>
      <c r="B17" s="29">
        <v>45761</v>
      </c>
      <c r="C17" s="19"/>
      <c r="D17" s="19"/>
      <c r="E17" s="19"/>
      <c r="F17" s="19"/>
      <c r="G17" s="19">
        <f t="shared" si="0"/>
        <v>0</v>
      </c>
      <c r="H17" s="19"/>
      <c r="I17" s="19"/>
      <c r="J17" s="19">
        <f t="shared" si="1"/>
        <v>0</v>
      </c>
      <c r="K17" s="19">
        <f t="shared" si="2"/>
        <v>0</v>
      </c>
      <c r="L17" s="19"/>
      <c r="M17" s="156">
        <f t="shared" si="3"/>
        <v>845944</v>
      </c>
      <c r="N17" s="19"/>
    </row>
    <row r="18" spans="1:16">
      <c r="A18" s="28">
        <v>15</v>
      </c>
      <c r="B18" s="29">
        <v>45762</v>
      </c>
      <c r="C18" s="19"/>
      <c r="D18" s="19"/>
      <c r="E18" s="19"/>
      <c r="F18" s="19"/>
      <c r="G18" s="19">
        <f t="shared" ref="G18:G34" si="4">E18*F18</f>
        <v>0</v>
      </c>
      <c r="H18" s="19"/>
      <c r="I18" s="19"/>
      <c r="J18" s="19">
        <f t="shared" ref="J18:J34" si="5">H18*I18</f>
        <v>0</v>
      </c>
      <c r="K18" s="19">
        <f t="shared" ref="K18:K34" si="6">G18+J18</f>
        <v>0</v>
      </c>
      <c r="L18" s="19"/>
      <c r="M18" s="156">
        <f t="shared" si="3"/>
        <v>845944</v>
      </c>
      <c r="N18" s="19"/>
    </row>
    <row r="19" spans="1:16">
      <c r="A19" s="28">
        <v>16</v>
      </c>
      <c r="B19" s="29">
        <v>45763</v>
      </c>
      <c r="C19" s="19"/>
      <c r="D19" s="19"/>
      <c r="E19" s="19">
        <v>2000</v>
      </c>
      <c r="F19" s="19">
        <v>96.13</v>
      </c>
      <c r="G19" s="19">
        <f t="shared" si="4"/>
        <v>192260</v>
      </c>
      <c r="H19" s="19"/>
      <c r="I19" s="19"/>
      <c r="J19" s="19">
        <f t="shared" si="5"/>
        <v>0</v>
      </c>
      <c r="K19" s="19">
        <f t="shared" si="6"/>
        <v>192260</v>
      </c>
      <c r="L19" s="19"/>
      <c r="M19" s="156">
        <f t="shared" si="3"/>
        <v>1038204</v>
      </c>
      <c r="N19" s="19"/>
    </row>
    <row r="20" spans="1:16">
      <c r="A20" s="28">
        <v>17</v>
      </c>
      <c r="B20" s="29">
        <v>45764</v>
      </c>
      <c r="C20" s="19"/>
      <c r="D20" s="19"/>
      <c r="E20" s="19">
        <v>2050.5100000000002</v>
      </c>
      <c r="F20" s="19">
        <v>96.13</v>
      </c>
      <c r="G20" s="46">
        <f t="shared" si="4"/>
        <v>197115.5263</v>
      </c>
      <c r="H20" s="19"/>
      <c r="I20" s="19"/>
      <c r="J20" s="19">
        <f t="shared" si="5"/>
        <v>0</v>
      </c>
      <c r="K20" s="46">
        <f t="shared" si="6"/>
        <v>197115.5263</v>
      </c>
      <c r="L20" s="19"/>
      <c r="M20" s="156">
        <f t="shared" si="3"/>
        <v>1235319.5263</v>
      </c>
      <c r="N20" s="19"/>
    </row>
    <row r="21" spans="1:16">
      <c r="A21" s="28">
        <v>18</v>
      </c>
      <c r="B21" s="29">
        <v>45765</v>
      </c>
      <c r="C21" s="19"/>
      <c r="D21" s="19"/>
      <c r="E21" s="19"/>
      <c r="F21" s="19"/>
      <c r="G21" s="19">
        <f t="shared" si="4"/>
        <v>0</v>
      </c>
      <c r="H21" s="19"/>
      <c r="I21" s="19"/>
      <c r="J21" s="19">
        <f t="shared" si="5"/>
        <v>0</v>
      </c>
      <c r="K21" s="19">
        <f t="shared" si="6"/>
        <v>0</v>
      </c>
      <c r="L21" s="19"/>
      <c r="M21" s="156">
        <f t="shared" si="3"/>
        <v>1235319.5263</v>
      </c>
      <c r="N21" s="19"/>
    </row>
    <row r="22" spans="1:16">
      <c r="A22" s="28">
        <v>19</v>
      </c>
      <c r="B22" s="29">
        <v>45766</v>
      </c>
      <c r="C22" s="19"/>
      <c r="D22" s="19"/>
      <c r="E22" s="19"/>
      <c r="F22" s="19"/>
      <c r="G22" s="19">
        <f t="shared" si="4"/>
        <v>0</v>
      </c>
      <c r="H22" s="19"/>
      <c r="I22" s="19"/>
      <c r="J22" s="19">
        <f t="shared" si="5"/>
        <v>0</v>
      </c>
      <c r="K22" s="19">
        <f t="shared" si="6"/>
        <v>0</v>
      </c>
      <c r="L22" s="19"/>
      <c r="M22" s="156">
        <f t="shared" si="3"/>
        <v>1235319.5263</v>
      </c>
      <c r="N22" s="19"/>
    </row>
    <row r="23" spans="1:16">
      <c r="A23" s="28">
        <v>20</v>
      </c>
      <c r="B23" s="29">
        <v>45767</v>
      </c>
      <c r="C23" s="19"/>
      <c r="D23" s="19"/>
      <c r="E23" s="19"/>
      <c r="F23" s="19"/>
      <c r="G23" s="19">
        <f t="shared" si="4"/>
        <v>0</v>
      </c>
      <c r="H23" s="19"/>
      <c r="I23" s="19"/>
      <c r="J23" s="19">
        <f t="shared" si="5"/>
        <v>0</v>
      </c>
      <c r="K23" s="19">
        <f t="shared" si="6"/>
        <v>0</v>
      </c>
      <c r="L23" s="19"/>
      <c r="M23" s="156">
        <f t="shared" si="3"/>
        <v>1235319.5263</v>
      </c>
      <c r="N23" s="19"/>
    </row>
    <row r="24" spans="1:16">
      <c r="A24" s="28">
        <v>21</v>
      </c>
      <c r="B24" s="29">
        <v>45768</v>
      </c>
      <c r="C24" s="19"/>
      <c r="D24" s="19"/>
      <c r="E24" s="19">
        <v>2000</v>
      </c>
      <c r="F24" s="19">
        <v>96.13</v>
      </c>
      <c r="G24" s="19">
        <f t="shared" si="4"/>
        <v>192260</v>
      </c>
      <c r="H24" s="19"/>
      <c r="I24" s="19"/>
      <c r="J24" s="19">
        <f t="shared" si="5"/>
        <v>0</v>
      </c>
      <c r="K24" s="19">
        <f t="shared" si="6"/>
        <v>192260</v>
      </c>
      <c r="L24" s="19"/>
      <c r="M24" s="156">
        <f t="shared" si="3"/>
        <v>1427579.5263</v>
      </c>
      <c r="N24" s="19"/>
    </row>
    <row r="25" spans="1:16">
      <c r="A25" s="28">
        <v>22</v>
      </c>
      <c r="B25" s="29">
        <v>45769</v>
      </c>
      <c r="C25" s="19"/>
      <c r="D25" s="19"/>
      <c r="E25" s="19">
        <v>2000</v>
      </c>
      <c r="F25" s="19">
        <v>96.13</v>
      </c>
      <c r="G25" s="19">
        <f t="shared" si="4"/>
        <v>192260</v>
      </c>
      <c r="H25" s="19"/>
      <c r="I25" s="19"/>
      <c r="J25" s="19">
        <f t="shared" si="5"/>
        <v>0</v>
      </c>
      <c r="K25" s="19">
        <f t="shared" si="6"/>
        <v>192260</v>
      </c>
      <c r="L25" s="19"/>
      <c r="M25" s="156">
        <f t="shared" si="3"/>
        <v>1619839.5263</v>
      </c>
      <c r="N25" s="19"/>
    </row>
    <row r="26" spans="1:16">
      <c r="A26" s="28">
        <v>23</v>
      </c>
      <c r="B26" s="29">
        <v>45770</v>
      </c>
      <c r="C26" s="19"/>
      <c r="D26" s="19"/>
      <c r="E26" s="19">
        <v>2200</v>
      </c>
      <c r="F26" s="19">
        <v>96.3</v>
      </c>
      <c r="G26" s="19">
        <f t="shared" si="4"/>
        <v>211860</v>
      </c>
      <c r="H26" s="19"/>
      <c r="I26" s="19"/>
      <c r="J26" s="19">
        <f t="shared" si="5"/>
        <v>0</v>
      </c>
      <c r="K26" s="19">
        <f t="shared" si="6"/>
        <v>211860</v>
      </c>
      <c r="L26" s="19"/>
      <c r="M26" s="156">
        <f t="shared" si="3"/>
        <v>1831699.5263</v>
      </c>
      <c r="N26" s="19"/>
    </row>
    <row r="27" spans="1:16">
      <c r="A27" s="28">
        <v>24</v>
      </c>
      <c r="B27" s="29">
        <v>45771</v>
      </c>
      <c r="C27" s="19"/>
      <c r="D27" s="19"/>
      <c r="E27" s="19"/>
      <c r="F27" s="19"/>
      <c r="G27" s="19">
        <f t="shared" si="4"/>
        <v>0</v>
      </c>
      <c r="H27" s="19"/>
      <c r="I27" s="19"/>
      <c r="J27" s="19">
        <f t="shared" si="5"/>
        <v>0</v>
      </c>
      <c r="K27" s="19">
        <f t="shared" si="6"/>
        <v>0</v>
      </c>
      <c r="L27" s="19"/>
      <c r="M27" s="156">
        <f t="shared" si="3"/>
        <v>1831699.5263</v>
      </c>
      <c r="N27" s="19"/>
    </row>
    <row r="28" spans="1:16">
      <c r="A28" s="28">
        <v>25</v>
      </c>
      <c r="B28" s="29">
        <v>45772</v>
      </c>
      <c r="C28" s="19"/>
      <c r="D28" s="19"/>
      <c r="E28" s="19"/>
      <c r="F28" s="19"/>
      <c r="G28" s="19">
        <f t="shared" si="4"/>
        <v>0</v>
      </c>
      <c r="H28" s="19"/>
      <c r="I28" s="19"/>
      <c r="J28" s="19">
        <f t="shared" si="5"/>
        <v>0</v>
      </c>
      <c r="K28" s="19">
        <f t="shared" si="6"/>
        <v>0</v>
      </c>
      <c r="L28" s="19"/>
      <c r="M28" s="156">
        <f t="shared" si="3"/>
        <v>1831699.5263</v>
      </c>
      <c r="N28" s="19"/>
    </row>
    <row r="29" spans="1:16">
      <c r="A29" s="28">
        <v>26</v>
      </c>
      <c r="B29" s="29">
        <v>45773</v>
      </c>
      <c r="C29" s="19"/>
      <c r="D29" s="19"/>
      <c r="E29" s="19"/>
      <c r="F29" s="19"/>
      <c r="G29" s="19">
        <f t="shared" si="4"/>
        <v>0</v>
      </c>
      <c r="H29" s="19"/>
      <c r="I29" s="19"/>
      <c r="J29" s="19">
        <f t="shared" si="5"/>
        <v>0</v>
      </c>
      <c r="K29" s="19">
        <f t="shared" si="6"/>
        <v>0</v>
      </c>
      <c r="L29" s="19"/>
      <c r="M29" s="156">
        <f t="shared" si="3"/>
        <v>1831699.5263</v>
      </c>
      <c r="N29" s="19"/>
    </row>
    <row r="30" spans="1:16">
      <c r="A30" s="28">
        <v>27</v>
      </c>
      <c r="B30" s="29">
        <v>45774</v>
      </c>
      <c r="C30" s="19"/>
      <c r="D30" s="19"/>
      <c r="E30" s="19"/>
      <c r="F30" s="19"/>
      <c r="G30" s="19">
        <f t="shared" si="4"/>
        <v>0</v>
      </c>
      <c r="H30" s="19"/>
      <c r="I30" s="19"/>
      <c r="J30" s="19">
        <f t="shared" si="5"/>
        <v>0</v>
      </c>
      <c r="K30" s="19">
        <f t="shared" si="6"/>
        <v>0</v>
      </c>
      <c r="L30" s="19"/>
      <c r="M30" s="156">
        <f t="shared" si="3"/>
        <v>1831699.5263</v>
      </c>
      <c r="N30" s="19"/>
      <c r="P30">
        <f>2939612.08-2939070.93</f>
        <v>541.14999999990687</v>
      </c>
    </row>
    <row r="31" spans="1:16">
      <c r="A31" s="28">
        <v>28</v>
      </c>
      <c r="B31" s="29">
        <v>45775</v>
      </c>
      <c r="C31" s="19"/>
      <c r="D31" s="19"/>
      <c r="E31" s="19"/>
      <c r="F31" s="19"/>
      <c r="G31" s="19">
        <f t="shared" si="4"/>
        <v>0</v>
      </c>
      <c r="H31" s="19"/>
      <c r="I31" s="19"/>
      <c r="J31" s="19">
        <f t="shared" si="5"/>
        <v>0</v>
      </c>
      <c r="K31" s="19">
        <f t="shared" si="6"/>
        <v>0</v>
      </c>
      <c r="L31" s="19">
        <v>0</v>
      </c>
      <c r="M31" s="156">
        <f t="shared" si="3"/>
        <v>1831699.5263</v>
      </c>
      <c r="N31" s="19"/>
      <c r="O31">
        <v>1831699.53</v>
      </c>
      <c r="P31" s="205">
        <f>M31-O31</f>
        <v>-3.7000000011175871E-3</v>
      </c>
    </row>
    <row r="32" spans="1:16">
      <c r="A32" s="28">
        <v>29</v>
      </c>
      <c r="B32" s="29">
        <v>45776</v>
      </c>
      <c r="C32" s="19"/>
      <c r="D32" s="19"/>
      <c r="E32" s="19"/>
      <c r="F32" s="19"/>
      <c r="G32" s="19">
        <f t="shared" si="4"/>
        <v>0</v>
      </c>
      <c r="H32" s="19"/>
      <c r="I32" s="19"/>
      <c r="J32" s="19">
        <f t="shared" si="5"/>
        <v>0</v>
      </c>
      <c r="K32" s="19">
        <f t="shared" si="6"/>
        <v>0</v>
      </c>
      <c r="L32" s="19"/>
      <c r="M32" s="156"/>
      <c r="N32" s="19"/>
    </row>
    <row r="33" spans="1:15">
      <c r="A33" s="28">
        <v>30</v>
      </c>
      <c r="B33" s="29">
        <v>45777</v>
      </c>
      <c r="C33" s="19"/>
      <c r="D33" s="19"/>
      <c r="E33" s="19"/>
      <c r="F33" s="19"/>
      <c r="G33" s="19">
        <f t="shared" si="4"/>
        <v>0</v>
      </c>
      <c r="H33" s="19"/>
      <c r="I33" s="19"/>
      <c r="J33" s="19">
        <f t="shared" si="5"/>
        <v>0</v>
      </c>
      <c r="K33" s="19">
        <f t="shared" si="6"/>
        <v>0</v>
      </c>
      <c r="L33" s="19"/>
      <c r="M33" s="156"/>
      <c r="N33" s="19"/>
    </row>
    <row r="34" spans="1:15">
      <c r="A34" s="28">
        <v>31</v>
      </c>
      <c r="B34" s="29"/>
      <c r="C34" s="19"/>
      <c r="D34" s="19"/>
      <c r="E34" s="19"/>
      <c r="F34" s="19"/>
      <c r="G34" s="19">
        <f t="shared" si="4"/>
        <v>0</v>
      </c>
      <c r="H34" s="19"/>
      <c r="I34" s="19"/>
      <c r="J34" s="19">
        <f t="shared" si="5"/>
        <v>0</v>
      </c>
      <c r="K34" s="19">
        <f t="shared" si="6"/>
        <v>0</v>
      </c>
      <c r="L34" s="19"/>
      <c r="M34" s="156"/>
      <c r="N34" s="19"/>
    </row>
    <row r="35" spans="1:15">
      <c r="A35" s="52"/>
      <c r="B35" s="52"/>
      <c r="C35" s="52"/>
      <c r="D35" s="52"/>
      <c r="E35" s="240">
        <f>SUM(E4:E34)</f>
        <v>19050.510000000002</v>
      </c>
      <c r="F35" s="53"/>
      <c r="G35" s="240">
        <f>SUM(G4:G34)</f>
        <v>1831699.5263</v>
      </c>
      <c r="H35" s="240">
        <f>SUM(H4:H34)</f>
        <v>0</v>
      </c>
      <c r="I35" s="53"/>
      <c r="J35" s="240">
        <f>SUM(J4:J34)</f>
        <v>0</v>
      </c>
      <c r="K35" s="240">
        <f>SUM(K4:K34)</f>
        <v>1831699.5263</v>
      </c>
      <c r="L35" s="240">
        <f>SUM(L4:L34)</f>
        <v>0</v>
      </c>
      <c r="M35" s="53"/>
      <c r="N35" s="53"/>
      <c r="O35" s="35"/>
    </row>
  </sheetData>
  <mergeCells count="2">
    <mergeCell ref="A1:N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41DD-4D42-4F72-B0B8-C97688CF1C95}">
  <dimension ref="A1:N11"/>
  <sheetViews>
    <sheetView workbookViewId="0">
      <selection activeCell="P11" sqref="P11"/>
    </sheetView>
  </sheetViews>
  <sheetFormatPr defaultRowHeight="15"/>
  <cols>
    <col min="2" max="2" width="10.5703125" bestFit="1" customWidth="1"/>
    <col min="3" max="3" width="29.140625" bestFit="1" customWidth="1"/>
    <col min="14" max="14" width="17.42578125" customWidth="1"/>
  </cols>
  <sheetData>
    <row r="1" spans="1:14" ht="15.75">
      <c r="A1" s="417" t="s">
        <v>103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</row>
    <row r="2" spans="1:14" ht="27">
      <c r="A2" s="309" t="s">
        <v>81</v>
      </c>
      <c r="B2" s="171" t="s">
        <v>82</v>
      </c>
      <c r="C2" s="171" t="s">
        <v>104</v>
      </c>
      <c r="D2" s="171" t="s">
        <v>84</v>
      </c>
      <c r="E2" s="310" t="s">
        <v>85</v>
      </c>
      <c r="F2" s="171" t="s">
        <v>86</v>
      </c>
      <c r="G2" s="171" t="s">
        <v>87</v>
      </c>
      <c r="H2" s="171" t="s">
        <v>88</v>
      </c>
      <c r="I2" s="171" t="s">
        <v>86</v>
      </c>
      <c r="J2" s="171" t="s">
        <v>87</v>
      </c>
      <c r="K2" s="171" t="s">
        <v>89</v>
      </c>
      <c r="L2" s="171" t="s">
        <v>90</v>
      </c>
      <c r="M2" s="171" t="s">
        <v>97</v>
      </c>
      <c r="N2" s="171" t="s">
        <v>92</v>
      </c>
    </row>
    <row r="3" spans="1:14">
      <c r="A3" s="19">
        <v>1</v>
      </c>
      <c r="B3" s="19"/>
      <c r="C3" s="62"/>
      <c r="D3" s="19"/>
      <c r="E3" s="19"/>
      <c r="F3" s="19">
        <v>0</v>
      </c>
      <c r="G3" s="19">
        <f>E3*F3</f>
        <v>0</v>
      </c>
      <c r="H3" s="19"/>
      <c r="I3" s="19"/>
      <c r="J3" s="19"/>
      <c r="K3" s="19">
        <f>G3+J3</f>
        <v>0</v>
      </c>
      <c r="L3" s="19">
        <f>+K3</f>
        <v>0</v>
      </c>
      <c r="M3" s="113"/>
      <c r="N3" s="19"/>
    </row>
    <row r="4" spans="1:14">
      <c r="A4" s="19">
        <v>2</v>
      </c>
      <c r="B4" s="19"/>
      <c r="C4" s="62"/>
      <c r="D4" s="19"/>
      <c r="E4" s="19"/>
      <c r="F4" s="19">
        <v>0</v>
      </c>
      <c r="G4" s="19">
        <f t="shared" ref="G4:G11" si="0">E4*F4</f>
        <v>0</v>
      </c>
      <c r="H4" s="19"/>
      <c r="I4" s="19"/>
      <c r="J4" s="19"/>
      <c r="K4" s="19">
        <f t="shared" ref="K4:K8" si="1">G4+J4</f>
        <v>0</v>
      </c>
      <c r="L4" s="19">
        <f t="shared" ref="L4:L9" si="2">+K4</f>
        <v>0</v>
      </c>
      <c r="M4" s="113"/>
      <c r="N4" s="19"/>
    </row>
    <row r="5" spans="1:14">
      <c r="A5" s="19">
        <v>3</v>
      </c>
      <c r="B5" s="19"/>
      <c r="C5" s="62"/>
      <c r="D5" s="19"/>
      <c r="E5" s="19"/>
      <c r="F5" s="19">
        <v>0</v>
      </c>
      <c r="G5" s="19">
        <f t="shared" si="0"/>
        <v>0</v>
      </c>
      <c r="H5" s="19"/>
      <c r="I5" s="19"/>
      <c r="J5" s="19"/>
      <c r="K5" s="19">
        <f t="shared" si="1"/>
        <v>0</v>
      </c>
      <c r="L5" s="19">
        <f t="shared" si="2"/>
        <v>0</v>
      </c>
      <c r="M5" s="113"/>
      <c r="N5" s="19"/>
    </row>
    <row r="6" spans="1:14">
      <c r="A6" s="19">
        <v>4</v>
      </c>
      <c r="B6" s="19"/>
      <c r="C6" s="62"/>
      <c r="D6" s="19"/>
      <c r="E6" s="19"/>
      <c r="F6" s="19">
        <v>0</v>
      </c>
      <c r="G6" s="19">
        <f t="shared" si="0"/>
        <v>0</v>
      </c>
      <c r="H6" s="19"/>
      <c r="I6" s="19"/>
      <c r="J6" s="19"/>
      <c r="K6" s="19">
        <f t="shared" si="1"/>
        <v>0</v>
      </c>
      <c r="L6" s="19">
        <f t="shared" si="2"/>
        <v>0</v>
      </c>
      <c r="M6" s="113"/>
      <c r="N6" s="19"/>
    </row>
    <row r="7" spans="1:14">
      <c r="A7" s="19">
        <v>5</v>
      </c>
      <c r="B7" s="19"/>
      <c r="C7" s="62"/>
      <c r="D7" s="19"/>
      <c r="E7" s="19"/>
      <c r="F7" s="19">
        <v>0</v>
      </c>
      <c r="G7" s="19">
        <f t="shared" si="0"/>
        <v>0</v>
      </c>
      <c r="H7" s="19"/>
      <c r="I7" s="19"/>
      <c r="J7" s="19"/>
      <c r="K7" s="19">
        <f t="shared" si="1"/>
        <v>0</v>
      </c>
      <c r="L7" s="19">
        <f t="shared" si="2"/>
        <v>0</v>
      </c>
      <c r="M7" s="113"/>
      <c r="N7" s="19"/>
    </row>
    <row r="8" spans="1:14">
      <c r="A8" s="110">
        <v>6</v>
      </c>
      <c r="B8" s="19"/>
      <c r="C8" s="62"/>
      <c r="D8" s="19"/>
      <c r="E8" s="19"/>
      <c r="F8" s="19">
        <v>0</v>
      </c>
      <c r="G8" s="110">
        <f t="shared" si="0"/>
        <v>0</v>
      </c>
      <c r="H8" s="110"/>
      <c r="I8" s="110"/>
      <c r="J8" s="110"/>
      <c r="K8" s="110">
        <f>G8+J8</f>
        <v>0</v>
      </c>
      <c r="L8" s="110">
        <f t="shared" si="2"/>
        <v>0</v>
      </c>
      <c r="M8" s="311"/>
      <c r="N8" s="19"/>
    </row>
    <row r="9" spans="1:14">
      <c r="A9" s="19">
        <v>7</v>
      </c>
      <c r="B9" s="19"/>
      <c r="C9" s="62"/>
      <c r="D9" s="19"/>
      <c r="E9" s="19"/>
      <c r="F9" s="19">
        <v>0</v>
      </c>
      <c r="G9" s="19">
        <f t="shared" si="0"/>
        <v>0</v>
      </c>
      <c r="H9" s="110"/>
      <c r="I9" s="110"/>
      <c r="J9" s="110"/>
      <c r="K9" s="19">
        <f>G9+J9</f>
        <v>0</v>
      </c>
      <c r="L9" s="19">
        <f>+K9</f>
        <v>0</v>
      </c>
      <c r="M9" s="113"/>
      <c r="N9" s="19"/>
    </row>
    <row r="10" spans="1:14">
      <c r="A10" s="19">
        <v>8</v>
      </c>
      <c r="B10" s="19"/>
      <c r="C10" s="62"/>
      <c r="D10" s="19"/>
      <c r="E10" s="19"/>
      <c r="F10" s="19">
        <v>0</v>
      </c>
      <c r="G10" s="19">
        <f t="shared" si="0"/>
        <v>0</v>
      </c>
      <c r="H10" s="19"/>
      <c r="I10" s="19"/>
      <c r="J10" s="19"/>
      <c r="K10" s="19">
        <f>G10+J10</f>
        <v>0</v>
      </c>
      <c r="L10" s="19">
        <f>+K10</f>
        <v>0</v>
      </c>
      <c r="M10" s="113"/>
      <c r="N10" s="19"/>
    </row>
    <row r="11" spans="1:14">
      <c r="A11" s="19"/>
      <c r="B11" s="19"/>
      <c r="C11" s="62"/>
      <c r="D11" s="19"/>
      <c r="E11" s="19"/>
      <c r="F11" s="19">
        <v>0</v>
      </c>
      <c r="G11" s="19">
        <f t="shared" si="0"/>
        <v>0</v>
      </c>
      <c r="H11" s="19"/>
      <c r="I11" s="19"/>
      <c r="J11" s="19"/>
      <c r="K11" s="19">
        <f>G11+J11</f>
        <v>0</v>
      </c>
      <c r="L11" s="19">
        <f>+K11</f>
        <v>0</v>
      </c>
      <c r="M11" s="113"/>
      <c r="N11" s="19"/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20" activePane="bottomLeft" state="frozen"/>
      <selection pane="bottomLeft" activeCell="R17" sqref="R17"/>
    </sheetView>
  </sheetViews>
  <sheetFormatPr defaultColWidth="9.28515625" defaultRowHeight="15"/>
  <cols>
    <col min="1" max="1" width="5.42578125" style="64" bestFit="1" customWidth="1"/>
    <col min="2" max="2" width="11" style="64" bestFit="1" customWidth="1"/>
    <col min="3" max="3" width="7.140625" style="64" bestFit="1" customWidth="1"/>
    <col min="4" max="4" width="15.140625" style="64" bestFit="1" customWidth="1"/>
    <col min="5" max="5" width="9.28515625" style="64"/>
    <col min="6" max="6" width="9.85546875" style="64" bestFit="1" customWidth="1"/>
    <col min="7" max="7" width="10.42578125" style="64" bestFit="1" customWidth="1"/>
    <col min="8" max="8" width="9.28515625" style="64"/>
    <col min="9" max="9" width="7.140625" style="64" bestFit="1" customWidth="1"/>
    <col min="10" max="10" width="9.5703125" style="64" bestFit="1" customWidth="1"/>
    <col min="11" max="11" width="12.28515625" style="64" customWidth="1"/>
    <col min="12" max="12" width="11.7109375" style="64" bestFit="1" customWidth="1"/>
    <col min="13" max="13" width="11.7109375" style="64" customWidth="1"/>
    <col min="14" max="14" width="17.7109375" style="64" bestFit="1" customWidth="1"/>
    <col min="15" max="16384" width="9.28515625" style="64"/>
  </cols>
  <sheetData>
    <row r="1" spans="1:15" ht="15.75">
      <c r="A1" s="419" t="s">
        <v>33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15">
      <c r="A2" s="103" t="s">
        <v>81</v>
      </c>
      <c r="B2" s="104" t="s">
        <v>82</v>
      </c>
      <c r="C2" s="104" t="s">
        <v>83</v>
      </c>
      <c r="D2" s="104" t="s">
        <v>84</v>
      </c>
      <c r="E2" s="104" t="s">
        <v>85</v>
      </c>
      <c r="F2" s="104" t="s">
        <v>86</v>
      </c>
      <c r="G2" s="104" t="s">
        <v>87</v>
      </c>
      <c r="H2" s="104" t="s">
        <v>88</v>
      </c>
      <c r="I2" s="104" t="s">
        <v>86</v>
      </c>
      <c r="J2" s="130" t="s">
        <v>87</v>
      </c>
      <c r="K2" s="132" t="s">
        <v>89</v>
      </c>
      <c r="L2" s="133" t="s">
        <v>90</v>
      </c>
      <c r="M2" s="134" t="s">
        <v>97</v>
      </c>
      <c r="N2" s="105" t="s">
        <v>92</v>
      </c>
      <c r="O2" s="35"/>
    </row>
    <row r="3" spans="1:15" ht="15.75">
      <c r="A3" s="407" t="s">
        <v>93</v>
      </c>
      <c r="B3" s="408"/>
      <c r="C3" s="408"/>
      <c r="D3" s="408"/>
      <c r="E3" s="408"/>
      <c r="F3" s="408"/>
      <c r="G3" s="408"/>
      <c r="H3" s="408"/>
      <c r="I3" s="408"/>
      <c r="J3" s="420"/>
      <c r="K3" s="65">
        <v>0</v>
      </c>
      <c r="L3" s="62"/>
      <c r="M3" s="138">
        <f>+K3</f>
        <v>0</v>
      </c>
      <c r="N3" s="62"/>
    </row>
    <row r="4" spans="1:15" ht="15.75">
      <c r="A4" s="28">
        <v>1</v>
      </c>
      <c r="B4" s="29">
        <v>45748</v>
      </c>
      <c r="C4" s="136"/>
      <c r="D4" s="137"/>
      <c r="E4" s="94">
        <v>0</v>
      </c>
      <c r="F4" s="135"/>
      <c r="G4" s="135">
        <f>E4*F4</f>
        <v>0</v>
      </c>
      <c r="H4" s="135">
        <v>0</v>
      </c>
      <c r="I4" s="135">
        <v>0</v>
      </c>
      <c r="J4" s="135">
        <f>H4*I4</f>
        <v>0</v>
      </c>
      <c r="K4" s="135">
        <f>G4+J4</f>
        <v>0</v>
      </c>
      <c r="L4" s="135"/>
      <c r="M4" s="141">
        <f>M3+K4-L4</f>
        <v>0</v>
      </c>
      <c r="N4" s="135"/>
    </row>
    <row r="5" spans="1:15" ht="15.75">
      <c r="A5" s="28">
        <v>2</v>
      </c>
      <c r="B5" s="29">
        <v>45749</v>
      </c>
      <c r="C5" s="25"/>
      <c r="D5" s="26"/>
      <c r="E5" s="94">
        <v>2500</v>
      </c>
      <c r="F5" s="135">
        <v>92.1</v>
      </c>
      <c r="G5" s="135">
        <f t="shared" ref="G5:G34" si="0">E5*F5</f>
        <v>230250</v>
      </c>
      <c r="H5" s="135">
        <v>70</v>
      </c>
      <c r="I5" s="135">
        <v>103.86</v>
      </c>
      <c r="J5" s="135">
        <f t="shared" ref="J5:J34" si="1">H5*I5</f>
        <v>7270.2</v>
      </c>
      <c r="K5" s="135">
        <f t="shared" ref="K5:K34" si="2">G5+J5</f>
        <v>237520.2</v>
      </c>
      <c r="L5" s="135"/>
      <c r="M5" s="141">
        <f>M4+K5-L5</f>
        <v>237520.2</v>
      </c>
      <c r="N5" s="54"/>
    </row>
    <row r="6" spans="1:15" ht="18.75" customHeight="1">
      <c r="A6" s="28">
        <v>3</v>
      </c>
      <c r="B6" s="29">
        <v>45750</v>
      </c>
      <c r="C6" s="259"/>
      <c r="D6" s="231"/>
      <c r="E6" s="94">
        <v>0</v>
      </c>
      <c r="F6" s="135"/>
      <c r="G6" s="135">
        <f t="shared" si="0"/>
        <v>0</v>
      </c>
      <c r="H6" s="135">
        <v>0</v>
      </c>
      <c r="I6" s="135">
        <v>0</v>
      </c>
      <c r="J6" s="135">
        <f t="shared" si="1"/>
        <v>0</v>
      </c>
      <c r="K6" s="135">
        <f t="shared" si="2"/>
        <v>0</v>
      </c>
      <c r="L6" s="135"/>
      <c r="M6" s="141">
        <f>M5+K6-L6</f>
        <v>237520.2</v>
      </c>
      <c r="N6" s="62"/>
    </row>
    <row r="7" spans="1:15" ht="15.75">
      <c r="A7" s="28">
        <v>4</v>
      </c>
      <c r="B7" s="29">
        <v>45751</v>
      </c>
      <c r="C7" s="257"/>
      <c r="D7" s="258"/>
      <c r="E7" s="94">
        <v>0</v>
      </c>
      <c r="F7" s="135"/>
      <c r="G7" s="135">
        <f t="shared" si="0"/>
        <v>0</v>
      </c>
      <c r="H7" s="135">
        <v>0</v>
      </c>
      <c r="I7" s="135">
        <v>0</v>
      </c>
      <c r="J7" s="135">
        <f t="shared" si="1"/>
        <v>0</v>
      </c>
      <c r="K7" s="135">
        <f t="shared" si="2"/>
        <v>0</v>
      </c>
      <c r="L7" s="135"/>
      <c r="M7" s="141">
        <f t="shared" ref="M7:M34" si="3">M6+K7-L7</f>
        <v>237520.2</v>
      </c>
      <c r="N7" s="54"/>
    </row>
    <row r="8" spans="1:15" ht="15.75" customHeight="1">
      <c r="A8" s="28">
        <v>5</v>
      </c>
      <c r="B8" s="29">
        <v>45752</v>
      </c>
      <c r="C8" s="135"/>
      <c r="D8" s="135"/>
      <c r="E8" s="94">
        <v>0</v>
      </c>
      <c r="F8" s="135"/>
      <c r="G8" s="135">
        <f t="shared" si="0"/>
        <v>0</v>
      </c>
      <c r="H8" s="135">
        <v>0</v>
      </c>
      <c r="I8" s="135">
        <v>0</v>
      </c>
      <c r="J8" s="135">
        <f t="shared" si="1"/>
        <v>0</v>
      </c>
      <c r="K8" s="135">
        <f t="shared" si="2"/>
        <v>0</v>
      </c>
      <c r="L8" s="135"/>
      <c r="M8" s="141">
        <f t="shared" si="3"/>
        <v>237520.2</v>
      </c>
      <c r="N8" s="62"/>
    </row>
    <row r="9" spans="1:15" ht="15.75" customHeight="1">
      <c r="A9" s="28">
        <v>6</v>
      </c>
      <c r="B9" s="29">
        <v>45753</v>
      </c>
      <c r="C9" s="62"/>
      <c r="D9" s="135"/>
      <c r="E9" s="94">
        <v>0</v>
      </c>
      <c r="F9" s="135"/>
      <c r="G9" s="135">
        <f t="shared" si="0"/>
        <v>0</v>
      </c>
      <c r="H9" s="135">
        <v>0</v>
      </c>
      <c r="I9" s="135">
        <v>0</v>
      </c>
      <c r="J9" s="135">
        <f t="shared" si="1"/>
        <v>0</v>
      </c>
      <c r="K9" s="135">
        <f t="shared" si="2"/>
        <v>0</v>
      </c>
      <c r="L9" s="135"/>
      <c r="M9" s="141">
        <f t="shared" si="3"/>
        <v>237520.2</v>
      </c>
      <c r="N9" s="62"/>
    </row>
    <row r="10" spans="1:15" ht="15.75" customHeight="1">
      <c r="A10" s="28">
        <v>7</v>
      </c>
      <c r="B10" s="29">
        <v>45754</v>
      </c>
      <c r="C10" s="62"/>
      <c r="D10" s="135"/>
      <c r="E10" s="94">
        <v>0</v>
      </c>
      <c r="F10" s="135"/>
      <c r="G10" s="135">
        <f t="shared" si="0"/>
        <v>0</v>
      </c>
      <c r="H10" s="135">
        <v>0</v>
      </c>
      <c r="I10" s="135">
        <v>0</v>
      </c>
      <c r="J10" s="135">
        <f t="shared" si="1"/>
        <v>0</v>
      </c>
      <c r="K10" s="135">
        <f t="shared" si="2"/>
        <v>0</v>
      </c>
      <c r="L10" s="135"/>
      <c r="M10" s="141">
        <f t="shared" si="3"/>
        <v>237520.2</v>
      </c>
      <c r="N10" s="62"/>
    </row>
    <row r="11" spans="1:15" ht="15.75" customHeight="1">
      <c r="A11" s="28">
        <v>8</v>
      </c>
      <c r="B11" s="29">
        <v>45755</v>
      </c>
      <c r="C11" s="62"/>
      <c r="D11" s="135"/>
      <c r="E11" s="94">
        <v>0</v>
      </c>
      <c r="F11" s="135"/>
      <c r="G11" s="135">
        <f t="shared" si="0"/>
        <v>0</v>
      </c>
      <c r="H11" s="135">
        <v>70</v>
      </c>
      <c r="I11" s="135">
        <v>103.86</v>
      </c>
      <c r="J11" s="135">
        <f t="shared" si="1"/>
        <v>7270.2</v>
      </c>
      <c r="K11" s="135">
        <f t="shared" si="2"/>
        <v>7270.2</v>
      </c>
      <c r="L11" s="135"/>
      <c r="M11" s="141">
        <f t="shared" si="3"/>
        <v>244790.40000000002</v>
      </c>
      <c r="N11" s="62"/>
    </row>
    <row r="12" spans="1:15" ht="15.75" customHeight="1">
      <c r="A12" s="28">
        <v>9</v>
      </c>
      <c r="B12" s="29">
        <v>45756</v>
      </c>
      <c r="C12" s="62"/>
      <c r="D12" s="135"/>
      <c r="E12" s="94">
        <v>0</v>
      </c>
      <c r="F12" s="135"/>
      <c r="G12" s="135">
        <f t="shared" si="0"/>
        <v>0</v>
      </c>
      <c r="H12" s="135">
        <v>0</v>
      </c>
      <c r="I12" s="135">
        <v>0</v>
      </c>
      <c r="J12" s="135">
        <f t="shared" si="1"/>
        <v>0</v>
      </c>
      <c r="K12" s="135">
        <f t="shared" si="2"/>
        <v>0</v>
      </c>
      <c r="L12" s="135"/>
      <c r="M12" s="141">
        <f t="shared" si="3"/>
        <v>244790.40000000002</v>
      </c>
      <c r="N12" s="62"/>
    </row>
    <row r="13" spans="1:15" ht="15.75" customHeight="1">
      <c r="A13" s="28">
        <v>10</v>
      </c>
      <c r="B13" s="29">
        <v>45757</v>
      </c>
      <c r="C13" s="62"/>
      <c r="D13" s="135"/>
      <c r="E13" s="94">
        <v>0</v>
      </c>
      <c r="F13" s="135"/>
      <c r="G13" s="135">
        <f t="shared" si="0"/>
        <v>0</v>
      </c>
      <c r="H13" s="135">
        <v>0</v>
      </c>
      <c r="I13" s="135">
        <v>0</v>
      </c>
      <c r="J13" s="135">
        <f t="shared" si="1"/>
        <v>0</v>
      </c>
      <c r="K13" s="135">
        <f t="shared" si="2"/>
        <v>0</v>
      </c>
      <c r="L13" s="135">
        <v>170000</v>
      </c>
      <c r="M13" s="141">
        <f t="shared" si="3"/>
        <v>74790.400000000023</v>
      </c>
      <c r="N13" s="62"/>
    </row>
    <row r="14" spans="1:15" ht="15.75" customHeight="1">
      <c r="A14" s="28">
        <v>11</v>
      </c>
      <c r="B14" s="29">
        <v>45758</v>
      </c>
      <c r="C14" s="62"/>
      <c r="D14" s="135"/>
      <c r="E14" s="94">
        <v>0</v>
      </c>
      <c r="F14" s="135"/>
      <c r="G14" s="135">
        <f t="shared" si="0"/>
        <v>0</v>
      </c>
      <c r="H14" s="135">
        <v>0</v>
      </c>
      <c r="I14" s="135">
        <v>0</v>
      </c>
      <c r="J14" s="135">
        <f t="shared" si="1"/>
        <v>0</v>
      </c>
      <c r="K14" s="135">
        <f t="shared" si="2"/>
        <v>0</v>
      </c>
      <c r="L14" s="135"/>
      <c r="M14" s="141">
        <f t="shared" si="3"/>
        <v>74790.400000000023</v>
      </c>
      <c r="N14" s="62"/>
    </row>
    <row r="15" spans="1:15" ht="15.75" customHeight="1">
      <c r="A15" s="28">
        <v>12</v>
      </c>
      <c r="B15" s="29">
        <v>45759</v>
      </c>
      <c r="C15" s="62"/>
      <c r="D15" s="135"/>
      <c r="E15" s="94">
        <v>0</v>
      </c>
      <c r="F15" s="135"/>
      <c r="G15" s="135">
        <f t="shared" si="0"/>
        <v>0</v>
      </c>
      <c r="H15" s="135">
        <v>0</v>
      </c>
      <c r="I15" s="135">
        <v>0</v>
      </c>
      <c r="J15" s="135">
        <f t="shared" si="1"/>
        <v>0</v>
      </c>
      <c r="K15" s="135">
        <f t="shared" si="2"/>
        <v>0</v>
      </c>
      <c r="L15" s="135"/>
      <c r="M15" s="141">
        <f t="shared" si="3"/>
        <v>74790.400000000023</v>
      </c>
      <c r="N15" s="62"/>
    </row>
    <row r="16" spans="1:15" ht="15.75" customHeight="1">
      <c r="A16" s="28">
        <v>13</v>
      </c>
      <c r="B16" s="29">
        <v>45760</v>
      </c>
      <c r="C16" s="62"/>
      <c r="D16" s="135"/>
      <c r="E16" s="94">
        <v>0</v>
      </c>
      <c r="F16" s="135"/>
      <c r="G16" s="135">
        <f t="shared" si="0"/>
        <v>0</v>
      </c>
      <c r="H16" s="135">
        <v>0</v>
      </c>
      <c r="I16" s="135">
        <v>0</v>
      </c>
      <c r="J16" s="135">
        <f t="shared" si="1"/>
        <v>0</v>
      </c>
      <c r="K16" s="135">
        <f t="shared" si="2"/>
        <v>0</v>
      </c>
      <c r="L16" s="135"/>
      <c r="M16" s="141">
        <f t="shared" si="3"/>
        <v>74790.400000000023</v>
      </c>
      <c r="N16" s="62"/>
    </row>
    <row r="17" spans="1:14" ht="15.75" customHeight="1">
      <c r="A17" s="28">
        <v>14</v>
      </c>
      <c r="B17" s="29">
        <v>45761</v>
      </c>
      <c r="C17" s="62"/>
      <c r="D17" s="135"/>
      <c r="E17" s="94">
        <v>0</v>
      </c>
      <c r="F17" s="135"/>
      <c r="G17" s="135">
        <f t="shared" si="0"/>
        <v>0</v>
      </c>
      <c r="H17" s="135">
        <v>0</v>
      </c>
      <c r="I17" s="135">
        <v>0</v>
      </c>
      <c r="J17" s="135">
        <f t="shared" si="1"/>
        <v>0</v>
      </c>
      <c r="K17" s="135">
        <f t="shared" si="2"/>
        <v>0</v>
      </c>
      <c r="L17" s="135"/>
      <c r="M17" s="141">
        <f t="shared" si="3"/>
        <v>74790.400000000023</v>
      </c>
      <c r="N17" s="62"/>
    </row>
    <row r="18" spans="1:14" ht="15.75" customHeight="1">
      <c r="A18" s="28">
        <v>15</v>
      </c>
      <c r="B18" s="29">
        <v>45762</v>
      </c>
      <c r="C18" s="62"/>
      <c r="D18" s="135"/>
      <c r="E18" s="94">
        <v>0</v>
      </c>
      <c r="F18" s="135"/>
      <c r="G18" s="135">
        <f t="shared" si="0"/>
        <v>0</v>
      </c>
      <c r="H18" s="135">
        <v>70</v>
      </c>
      <c r="I18" s="135">
        <v>103.86</v>
      </c>
      <c r="J18" s="135">
        <f t="shared" si="1"/>
        <v>7270.2</v>
      </c>
      <c r="K18" s="135">
        <f t="shared" si="2"/>
        <v>7270.2</v>
      </c>
      <c r="L18" s="135"/>
      <c r="M18" s="141">
        <f t="shared" si="3"/>
        <v>82060.60000000002</v>
      </c>
      <c r="N18" s="62"/>
    </row>
    <row r="19" spans="1:14" ht="15.75" customHeight="1">
      <c r="A19" s="28">
        <v>16</v>
      </c>
      <c r="B19" s="29">
        <v>45763</v>
      </c>
      <c r="C19" s="62"/>
      <c r="D19" s="135"/>
      <c r="E19" s="94">
        <v>0</v>
      </c>
      <c r="F19" s="135"/>
      <c r="G19" s="135">
        <f t="shared" si="0"/>
        <v>0</v>
      </c>
      <c r="H19" s="135">
        <v>0</v>
      </c>
      <c r="I19" s="135">
        <v>0</v>
      </c>
      <c r="J19" s="135">
        <f t="shared" si="1"/>
        <v>0</v>
      </c>
      <c r="K19" s="135">
        <f t="shared" si="2"/>
        <v>0</v>
      </c>
      <c r="L19" s="135"/>
      <c r="M19" s="141">
        <f t="shared" si="3"/>
        <v>82060.60000000002</v>
      </c>
      <c r="N19" s="62"/>
    </row>
    <row r="20" spans="1:14" ht="15.75" customHeight="1">
      <c r="A20" s="28">
        <v>17</v>
      </c>
      <c r="B20" s="29">
        <v>45764</v>
      </c>
      <c r="C20" s="62"/>
      <c r="D20" s="135"/>
      <c r="E20" s="94">
        <v>0</v>
      </c>
      <c r="F20" s="135"/>
      <c r="G20" s="135">
        <f t="shared" si="0"/>
        <v>0</v>
      </c>
      <c r="H20" s="135">
        <v>0</v>
      </c>
      <c r="I20" s="135">
        <v>0</v>
      </c>
      <c r="J20" s="135">
        <f t="shared" si="1"/>
        <v>0</v>
      </c>
      <c r="K20" s="135">
        <f t="shared" si="2"/>
        <v>0</v>
      </c>
      <c r="L20" s="135"/>
      <c r="M20" s="141">
        <f t="shared" si="3"/>
        <v>82060.60000000002</v>
      </c>
      <c r="N20" s="62"/>
    </row>
    <row r="21" spans="1:14" ht="15.75" customHeight="1">
      <c r="A21" s="28">
        <v>18</v>
      </c>
      <c r="B21" s="29">
        <v>45765</v>
      </c>
      <c r="C21" s="62"/>
      <c r="D21" s="135"/>
      <c r="E21" s="94">
        <v>0</v>
      </c>
      <c r="F21" s="135"/>
      <c r="G21" s="135">
        <f t="shared" si="0"/>
        <v>0</v>
      </c>
      <c r="H21" s="135">
        <v>0</v>
      </c>
      <c r="I21" s="135">
        <v>0</v>
      </c>
      <c r="J21" s="135">
        <f t="shared" si="1"/>
        <v>0</v>
      </c>
      <c r="K21" s="135">
        <f t="shared" si="2"/>
        <v>0</v>
      </c>
      <c r="L21" s="135"/>
      <c r="M21" s="141">
        <f t="shared" si="3"/>
        <v>82060.60000000002</v>
      </c>
      <c r="N21" s="62"/>
    </row>
    <row r="22" spans="1:14" ht="15.75" customHeight="1">
      <c r="A22" s="28">
        <v>19</v>
      </c>
      <c r="B22" s="29">
        <v>45766</v>
      </c>
      <c r="C22" s="62"/>
      <c r="D22" s="135"/>
      <c r="E22" s="94">
        <v>0</v>
      </c>
      <c r="F22" s="135"/>
      <c r="G22" s="135">
        <f t="shared" si="0"/>
        <v>0</v>
      </c>
      <c r="H22" s="135">
        <v>0</v>
      </c>
      <c r="I22" s="135">
        <v>0</v>
      </c>
      <c r="J22" s="135">
        <f t="shared" si="1"/>
        <v>0</v>
      </c>
      <c r="K22" s="135">
        <f t="shared" si="2"/>
        <v>0</v>
      </c>
      <c r="L22" s="135"/>
      <c r="M22" s="141">
        <f t="shared" si="3"/>
        <v>82060.60000000002</v>
      </c>
      <c r="N22" s="62"/>
    </row>
    <row r="23" spans="1:14" ht="15.75" customHeight="1">
      <c r="A23" s="28">
        <v>20</v>
      </c>
      <c r="B23" s="29">
        <v>45767</v>
      </c>
      <c r="C23" s="62"/>
      <c r="D23" s="135"/>
      <c r="E23" s="94">
        <v>0</v>
      </c>
      <c r="F23" s="135"/>
      <c r="G23" s="135">
        <f t="shared" si="0"/>
        <v>0</v>
      </c>
      <c r="H23" s="135">
        <v>0</v>
      </c>
      <c r="I23" s="135">
        <v>0</v>
      </c>
      <c r="J23" s="135">
        <f t="shared" si="1"/>
        <v>0</v>
      </c>
      <c r="K23" s="135">
        <f t="shared" si="2"/>
        <v>0</v>
      </c>
      <c r="L23" s="135"/>
      <c r="M23" s="141">
        <f t="shared" si="3"/>
        <v>82060.60000000002</v>
      </c>
      <c r="N23" s="62"/>
    </row>
    <row r="24" spans="1:14" ht="15.75" customHeight="1">
      <c r="A24" s="28">
        <v>21</v>
      </c>
      <c r="B24" s="29">
        <v>45768</v>
      </c>
      <c r="C24" s="62"/>
      <c r="D24" s="135"/>
      <c r="E24" s="94">
        <v>0</v>
      </c>
      <c r="F24" s="135"/>
      <c r="G24" s="135">
        <f t="shared" si="0"/>
        <v>0</v>
      </c>
      <c r="H24" s="135">
        <v>0</v>
      </c>
      <c r="I24" s="135">
        <v>0</v>
      </c>
      <c r="J24" s="135">
        <f t="shared" si="1"/>
        <v>0</v>
      </c>
      <c r="K24" s="135">
        <f t="shared" si="2"/>
        <v>0</v>
      </c>
      <c r="L24" s="135">
        <v>82060</v>
      </c>
      <c r="M24" s="141">
        <f t="shared" si="3"/>
        <v>0.60000000002037268</v>
      </c>
      <c r="N24" s="62"/>
    </row>
    <row r="25" spans="1:14" ht="15.75" customHeight="1">
      <c r="A25" s="28">
        <v>22</v>
      </c>
      <c r="B25" s="29">
        <v>45769</v>
      </c>
      <c r="C25" s="62"/>
      <c r="D25" s="135"/>
      <c r="E25" s="94">
        <v>0</v>
      </c>
      <c r="F25" s="135"/>
      <c r="G25" s="135">
        <f t="shared" si="0"/>
        <v>0</v>
      </c>
      <c r="H25" s="135">
        <v>0</v>
      </c>
      <c r="I25" s="135">
        <v>0</v>
      </c>
      <c r="J25" s="135">
        <f t="shared" si="1"/>
        <v>0</v>
      </c>
      <c r="K25" s="135">
        <f t="shared" si="2"/>
        <v>0</v>
      </c>
      <c r="L25" s="135"/>
      <c r="M25" s="141">
        <f t="shared" si="3"/>
        <v>0.60000000002037268</v>
      </c>
      <c r="N25" s="62"/>
    </row>
    <row r="26" spans="1:14" ht="15.75" customHeight="1">
      <c r="A26" s="28">
        <v>23</v>
      </c>
      <c r="B26" s="29">
        <v>45770</v>
      </c>
      <c r="C26" s="62"/>
      <c r="D26" s="135"/>
      <c r="E26" s="94">
        <v>0</v>
      </c>
      <c r="F26" s="135"/>
      <c r="G26" s="135">
        <f t="shared" si="0"/>
        <v>0</v>
      </c>
      <c r="H26" s="135">
        <v>0</v>
      </c>
      <c r="I26" s="135">
        <v>0</v>
      </c>
      <c r="J26" s="135">
        <f t="shared" si="1"/>
        <v>0</v>
      </c>
      <c r="K26" s="135">
        <f t="shared" si="2"/>
        <v>0</v>
      </c>
      <c r="L26" s="135"/>
      <c r="M26" s="141">
        <f t="shared" si="3"/>
        <v>0.60000000002037268</v>
      </c>
      <c r="N26" s="62"/>
    </row>
    <row r="27" spans="1:14" ht="15.75" customHeight="1">
      <c r="A27" s="28">
        <v>24</v>
      </c>
      <c r="B27" s="29">
        <v>45771</v>
      </c>
      <c r="C27" s="62"/>
      <c r="D27" s="135"/>
      <c r="E27" s="94">
        <v>2500</v>
      </c>
      <c r="F27" s="135">
        <v>92.1</v>
      </c>
      <c r="G27" s="135">
        <f t="shared" si="0"/>
        <v>230250</v>
      </c>
      <c r="H27" s="135">
        <v>70</v>
      </c>
      <c r="I27" s="135">
        <v>103.86</v>
      </c>
      <c r="J27" s="135">
        <f t="shared" si="1"/>
        <v>7270.2</v>
      </c>
      <c r="K27" s="135">
        <f t="shared" si="2"/>
        <v>237520.2</v>
      </c>
      <c r="L27" s="135"/>
      <c r="M27" s="141">
        <f t="shared" si="3"/>
        <v>237520.80000000005</v>
      </c>
      <c r="N27" s="62"/>
    </row>
    <row r="28" spans="1:14" ht="15.75" customHeight="1">
      <c r="A28" s="28">
        <v>25</v>
      </c>
      <c r="B28" s="29">
        <v>45772</v>
      </c>
      <c r="C28" s="62"/>
      <c r="D28" s="135"/>
      <c r="E28" s="94">
        <v>0</v>
      </c>
      <c r="F28" s="135"/>
      <c r="G28" s="135">
        <f t="shared" si="0"/>
        <v>0</v>
      </c>
      <c r="H28" s="135">
        <v>0</v>
      </c>
      <c r="I28" s="135">
        <v>0</v>
      </c>
      <c r="J28" s="135">
        <f t="shared" si="1"/>
        <v>0</v>
      </c>
      <c r="K28" s="135">
        <f t="shared" si="2"/>
        <v>0</v>
      </c>
      <c r="L28" s="135"/>
      <c r="M28" s="141">
        <f t="shared" si="3"/>
        <v>237520.80000000005</v>
      </c>
      <c r="N28" s="62"/>
    </row>
    <row r="29" spans="1:14" ht="15.75" customHeight="1">
      <c r="A29" s="28">
        <v>26</v>
      </c>
      <c r="B29" s="29">
        <v>45773</v>
      </c>
      <c r="C29" s="62"/>
      <c r="D29" s="135"/>
      <c r="E29" s="94">
        <v>0</v>
      </c>
      <c r="F29" s="135"/>
      <c r="G29" s="135">
        <f t="shared" si="0"/>
        <v>0</v>
      </c>
      <c r="H29" s="135">
        <v>0</v>
      </c>
      <c r="I29" s="135">
        <v>0</v>
      </c>
      <c r="J29" s="135">
        <f t="shared" si="1"/>
        <v>0</v>
      </c>
      <c r="K29" s="135">
        <f t="shared" si="2"/>
        <v>0</v>
      </c>
      <c r="L29" s="135"/>
      <c r="M29" s="141">
        <f t="shared" si="3"/>
        <v>237520.80000000005</v>
      </c>
      <c r="N29" s="62"/>
    </row>
    <row r="30" spans="1:14" ht="15.75" customHeight="1">
      <c r="A30" s="28">
        <v>27</v>
      </c>
      <c r="B30" s="29">
        <v>45774</v>
      </c>
      <c r="C30" s="62"/>
      <c r="D30" s="135"/>
      <c r="E30" s="94">
        <v>0</v>
      </c>
      <c r="F30" s="135"/>
      <c r="G30" s="135">
        <f t="shared" si="0"/>
        <v>0</v>
      </c>
      <c r="H30" s="135">
        <v>0</v>
      </c>
      <c r="I30" s="135">
        <v>0</v>
      </c>
      <c r="J30" s="135">
        <f t="shared" si="1"/>
        <v>0</v>
      </c>
      <c r="K30" s="135">
        <f t="shared" si="2"/>
        <v>0</v>
      </c>
      <c r="L30" s="135"/>
      <c r="M30" s="141">
        <f t="shared" si="3"/>
        <v>237520.80000000005</v>
      </c>
      <c r="N30" s="62"/>
    </row>
    <row r="31" spans="1:14" ht="15.75" customHeight="1">
      <c r="A31" s="28">
        <v>28</v>
      </c>
      <c r="B31" s="29">
        <v>45775</v>
      </c>
      <c r="C31" s="62"/>
      <c r="D31" s="135"/>
      <c r="E31" s="94">
        <v>0</v>
      </c>
      <c r="F31" s="135"/>
      <c r="G31" s="135">
        <f t="shared" si="0"/>
        <v>0</v>
      </c>
      <c r="H31" s="135">
        <v>0</v>
      </c>
      <c r="I31" s="135">
        <v>0</v>
      </c>
      <c r="J31" s="135">
        <f t="shared" si="1"/>
        <v>0</v>
      </c>
      <c r="K31" s="135">
        <f t="shared" si="2"/>
        <v>0</v>
      </c>
      <c r="L31" s="135"/>
      <c r="M31" s="141">
        <f t="shared" si="3"/>
        <v>237520.80000000005</v>
      </c>
      <c r="N31" s="62"/>
    </row>
    <row r="32" spans="1:14" ht="15.75" customHeight="1">
      <c r="A32" s="28">
        <v>29</v>
      </c>
      <c r="B32" s="29">
        <v>45776</v>
      </c>
      <c r="C32" s="62"/>
      <c r="D32" s="135"/>
      <c r="E32" s="94">
        <v>0</v>
      </c>
      <c r="F32" s="135"/>
      <c r="G32" s="135">
        <f t="shared" si="0"/>
        <v>0</v>
      </c>
      <c r="H32" s="135">
        <v>0</v>
      </c>
      <c r="I32" s="135">
        <v>0</v>
      </c>
      <c r="J32" s="135">
        <f t="shared" si="1"/>
        <v>0</v>
      </c>
      <c r="K32" s="135">
        <f t="shared" si="2"/>
        <v>0</v>
      </c>
      <c r="L32" s="135"/>
      <c r="M32" s="141">
        <f t="shared" si="3"/>
        <v>237520.80000000005</v>
      </c>
      <c r="N32" s="62"/>
    </row>
    <row r="33" spans="1:15" ht="15.75" customHeight="1">
      <c r="A33" s="28">
        <v>30</v>
      </c>
      <c r="B33" s="29">
        <v>45777</v>
      </c>
      <c r="C33" s="62"/>
      <c r="D33" s="135"/>
      <c r="E33" s="94">
        <v>0</v>
      </c>
      <c r="F33" s="135"/>
      <c r="G33" s="135">
        <f t="shared" si="0"/>
        <v>0</v>
      </c>
      <c r="H33" s="135">
        <v>0</v>
      </c>
      <c r="I33" s="135">
        <v>0</v>
      </c>
      <c r="J33" s="135">
        <f t="shared" si="1"/>
        <v>0</v>
      </c>
      <c r="K33" s="135">
        <f t="shared" si="2"/>
        <v>0</v>
      </c>
      <c r="L33" s="135"/>
      <c r="M33" s="141">
        <f t="shared" si="3"/>
        <v>237520.80000000005</v>
      </c>
      <c r="N33" s="62"/>
    </row>
    <row r="34" spans="1:15" ht="15.75" customHeight="1">
      <c r="A34" s="28">
        <v>31</v>
      </c>
      <c r="B34" s="29"/>
      <c r="C34" s="62"/>
      <c r="D34" s="135"/>
      <c r="E34" s="94">
        <v>0</v>
      </c>
      <c r="F34" s="135"/>
      <c r="G34" s="135">
        <f t="shared" si="0"/>
        <v>0</v>
      </c>
      <c r="H34" s="135">
        <v>0</v>
      </c>
      <c r="I34" s="135">
        <v>0</v>
      </c>
      <c r="J34" s="135">
        <f t="shared" si="1"/>
        <v>0</v>
      </c>
      <c r="K34" s="135">
        <f t="shared" si="2"/>
        <v>0</v>
      </c>
      <c r="L34" s="135"/>
      <c r="M34" s="141">
        <f t="shared" si="3"/>
        <v>237520.80000000005</v>
      </c>
      <c r="N34" s="62"/>
    </row>
    <row r="35" spans="1:15">
      <c r="A35" s="52"/>
      <c r="B35" s="52"/>
      <c r="C35" s="52"/>
      <c r="D35" s="52"/>
      <c r="E35" s="53">
        <f>SUM(E4:E34)</f>
        <v>5000</v>
      </c>
      <c r="F35" s="53"/>
      <c r="G35" s="53">
        <f>SUM(G4:G34)</f>
        <v>460500</v>
      </c>
      <c r="H35" s="53">
        <f>SUM(H4:H34)</f>
        <v>280</v>
      </c>
      <c r="I35" s="53"/>
      <c r="J35" s="53">
        <f>SUM(J4:J34)</f>
        <v>29080.799999999999</v>
      </c>
      <c r="K35" s="53">
        <f>SUM(K4:K34)</f>
        <v>489580.80000000005</v>
      </c>
      <c r="L35" s="53">
        <f>SUM(L4:L34)</f>
        <v>252060</v>
      </c>
      <c r="M35" s="53"/>
      <c r="N35" s="53"/>
      <c r="O35" s="35"/>
    </row>
    <row r="37" spans="1:15">
      <c r="D37" s="55"/>
      <c r="E37" s="55"/>
    </row>
  </sheetData>
  <mergeCells count="2">
    <mergeCell ref="A1:N1"/>
    <mergeCell ref="A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F5E-9E9B-42D1-AB84-1EC3DDAE3F46}">
  <dimension ref="A1:P43"/>
  <sheetViews>
    <sheetView topLeftCell="A19" workbookViewId="0">
      <selection activeCell="P12" sqref="P12"/>
    </sheetView>
  </sheetViews>
  <sheetFormatPr defaultColWidth="10.5703125" defaultRowHeight="15" customHeight="1"/>
  <cols>
    <col min="3" max="3" width="12.85546875" customWidth="1"/>
    <col min="4" max="4" width="14.85546875" customWidth="1"/>
    <col min="5" max="6" width="10.5703125" style="24"/>
    <col min="7" max="7" width="12.85546875" style="24" customWidth="1"/>
    <col min="8" max="9" width="10.5703125" style="24"/>
    <col min="10" max="10" width="13.85546875" style="24" customWidth="1"/>
    <col min="11" max="11" width="13.5703125" style="24" customWidth="1"/>
    <col min="12" max="12" width="16.140625" style="24" customWidth="1"/>
    <col min="13" max="13" width="17.42578125" style="24" customWidth="1"/>
  </cols>
  <sheetData>
    <row r="1" spans="1:16" ht="15" customHeight="1">
      <c r="A1" s="417" t="s">
        <v>105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296"/>
    </row>
    <row r="2" spans="1:16" ht="26.25" customHeight="1">
      <c r="A2" s="119" t="s">
        <v>81</v>
      </c>
      <c r="B2" s="124" t="s">
        <v>82</v>
      </c>
      <c r="C2" s="124" t="s">
        <v>83</v>
      </c>
      <c r="D2" s="124" t="s">
        <v>84</v>
      </c>
      <c r="E2" s="307" t="s">
        <v>85</v>
      </c>
      <c r="F2" s="298" t="s">
        <v>86</v>
      </c>
      <c r="G2" s="298" t="s">
        <v>87</v>
      </c>
      <c r="H2" s="298" t="s">
        <v>88</v>
      </c>
      <c r="I2" s="298" t="s">
        <v>86</v>
      </c>
      <c r="J2" s="298" t="s">
        <v>87</v>
      </c>
      <c r="K2" s="298" t="s">
        <v>89</v>
      </c>
      <c r="L2" s="298" t="s">
        <v>90</v>
      </c>
      <c r="M2" s="298" t="s">
        <v>97</v>
      </c>
      <c r="N2" s="124" t="s">
        <v>92</v>
      </c>
    </row>
    <row r="3" spans="1:16" ht="15" customHeight="1">
      <c r="A3" s="418" t="s">
        <v>93</v>
      </c>
      <c r="B3" s="418"/>
      <c r="C3" s="418"/>
      <c r="D3" s="418"/>
      <c r="E3" s="418"/>
      <c r="F3" s="418"/>
      <c r="G3" s="418"/>
      <c r="H3" s="418"/>
      <c r="I3" s="418"/>
      <c r="J3" s="418"/>
      <c r="K3" s="299">
        <v>100381.99860000022</v>
      </c>
      <c r="L3" s="299"/>
      <c r="M3" s="270">
        <f>+K3</f>
        <v>100381.99860000022</v>
      </c>
      <c r="N3" s="110"/>
    </row>
    <row r="4" spans="1:16">
      <c r="A4" s="28">
        <v>1</v>
      </c>
      <c r="B4" s="29">
        <v>45748</v>
      </c>
      <c r="C4" s="19"/>
      <c r="D4" s="19"/>
      <c r="E4" s="46">
        <v>971.08</v>
      </c>
      <c r="F4" s="46">
        <v>96.36</v>
      </c>
      <c r="G4" s="46">
        <f>E4*F4</f>
        <v>93573.268800000005</v>
      </c>
      <c r="H4" s="46">
        <v>10</v>
      </c>
      <c r="I4" s="46">
        <v>108.17</v>
      </c>
      <c r="J4" s="46">
        <f>H4*I4</f>
        <v>1081.7</v>
      </c>
      <c r="K4" s="46">
        <f>G4+J4</f>
        <v>94654.968800000002</v>
      </c>
      <c r="L4" s="46"/>
      <c r="M4" s="46">
        <f>M3+K4-L4</f>
        <v>195036.96740000023</v>
      </c>
      <c r="N4" s="19"/>
      <c r="P4" s="24"/>
    </row>
    <row r="5" spans="1:16">
      <c r="A5" s="28">
        <v>2</v>
      </c>
      <c r="B5" s="29">
        <v>45749</v>
      </c>
      <c r="C5" s="19"/>
      <c r="D5" s="19"/>
      <c r="E5" s="46">
        <v>420.47</v>
      </c>
      <c r="F5" s="46">
        <v>96.36</v>
      </c>
      <c r="G5" s="46">
        <f t="shared" ref="G5:G34" si="0">E5*F5</f>
        <v>40516.489200000004</v>
      </c>
      <c r="H5" s="46">
        <v>10</v>
      </c>
      <c r="I5" s="46">
        <v>108.17</v>
      </c>
      <c r="J5" s="46">
        <f t="shared" ref="J5:J34" si="1">H5*I5</f>
        <v>1081.7</v>
      </c>
      <c r="K5" s="46">
        <f t="shared" ref="K5:K34" si="2">G5+J5</f>
        <v>41598.189200000001</v>
      </c>
      <c r="L5" s="46"/>
      <c r="M5" s="46">
        <f t="shared" ref="M5:M34" si="3">M4+K5-L5</f>
        <v>236635.15660000022</v>
      </c>
      <c r="N5" s="19"/>
    </row>
    <row r="6" spans="1:16">
      <c r="A6" s="28">
        <v>3</v>
      </c>
      <c r="B6" s="29">
        <v>45750</v>
      </c>
      <c r="C6" s="19"/>
      <c r="D6" s="19"/>
      <c r="E6" s="46">
        <v>533.23</v>
      </c>
      <c r="F6" s="46">
        <v>96.36</v>
      </c>
      <c r="G6" s="46">
        <f t="shared" si="0"/>
        <v>51382.042800000003</v>
      </c>
      <c r="H6" s="46">
        <v>0</v>
      </c>
      <c r="I6" s="46">
        <v>0</v>
      </c>
      <c r="J6" s="46">
        <f t="shared" si="1"/>
        <v>0</v>
      </c>
      <c r="K6" s="46">
        <f t="shared" si="2"/>
        <v>51382.042800000003</v>
      </c>
      <c r="L6" s="46"/>
      <c r="M6" s="46">
        <f t="shared" si="3"/>
        <v>288017.19940000022</v>
      </c>
      <c r="N6" s="19"/>
    </row>
    <row r="7" spans="1:16">
      <c r="A7" s="28">
        <v>4</v>
      </c>
      <c r="B7" s="29">
        <v>45751</v>
      </c>
      <c r="C7" s="19"/>
      <c r="D7" s="19"/>
      <c r="E7" s="46">
        <v>200</v>
      </c>
      <c r="F7" s="46">
        <v>96.36</v>
      </c>
      <c r="G7" s="46">
        <f t="shared" si="0"/>
        <v>19272</v>
      </c>
      <c r="H7" s="46">
        <v>5</v>
      </c>
      <c r="I7" s="46">
        <v>108.17</v>
      </c>
      <c r="J7" s="46">
        <f t="shared" si="1"/>
        <v>540.85</v>
      </c>
      <c r="K7" s="46">
        <f t="shared" si="2"/>
        <v>19812.849999999999</v>
      </c>
      <c r="L7" s="46"/>
      <c r="M7" s="46">
        <f t="shared" si="3"/>
        <v>307830.04940000019</v>
      </c>
      <c r="N7" s="19"/>
    </row>
    <row r="8" spans="1:16">
      <c r="A8" s="28">
        <v>5</v>
      </c>
      <c r="B8" s="29">
        <v>45752</v>
      </c>
      <c r="C8" s="19"/>
      <c r="D8" s="19"/>
      <c r="E8" s="46">
        <v>1112.1399999999999</v>
      </c>
      <c r="F8" s="46">
        <v>96.36</v>
      </c>
      <c r="G8" s="46">
        <f t="shared" si="0"/>
        <v>107165.81039999999</v>
      </c>
      <c r="H8" s="46">
        <v>5</v>
      </c>
      <c r="I8" s="46">
        <v>108.17</v>
      </c>
      <c r="J8" s="46">
        <f t="shared" si="1"/>
        <v>540.85</v>
      </c>
      <c r="K8" s="46">
        <f t="shared" si="2"/>
        <v>107706.66039999999</v>
      </c>
      <c r="L8" s="46"/>
      <c r="M8" s="46">
        <f t="shared" si="3"/>
        <v>415536.70980000019</v>
      </c>
      <c r="N8" s="19"/>
    </row>
    <row r="9" spans="1:16">
      <c r="A9" s="28">
        <v>6</v>
      </c>
      <c r="B9" s="29">
        <v>45753</v>
      </c>
      <c r="C9" s="19"/>
      <c r="D9" s="19"/>
      <c r="E9" s="46">
        <v>103.57</v>
      </c>
      <c r="F9" s="46">
        <v>96.36</v>
      </c>
      <c r="G9" s="46">
        <f t="shared" si="0"/>
        <v>9980.0051999999996</v>
      </c>
      <c r="H9" s="46">
        <v>10</v>
      </c>
      <c r="I9" s="46">
        <v>108.17</v>
      </c>
      <c r="J9" s="46">
        <f t="shared" si="1"/>
        <v>1081.7</v>
      </c>
      <c r="K9" s="46">
        <f t="shared" si="2"/>
        <v>11061.7052</v>
      </c>
      <c r="L9" s="46"/>
      <c r="M9" s="46">
        <f t="shared" si="3"/>
        <v>426598.41500000021</v>
      </c>
      <c r="N9" s="19"/>
    </row>
    <row r="10" spans="1:16">
      <c r="A10" s="28">
        <v>7</v>
      </c>
      <c r="B10" s="29">
        <v>45754</v>
      </c>
      <c r="C10" s="19"/>
      <c r="D10" s="19"/>
      <c r="E10" s="46">
        <v>1227.8800000000001</v>
      </c>
      <c r="F10" s="46">
        <v>96.36</v>
      </c>
      <c r="G10" s="46">
        <f t="shared" si="0"/>
        <v>118318.51680000001</v>
      </c>
      <c r="H10" s="46">
        <v>0</v>
      </c>
      <c r="I10" s="46">
        <v>0</v>
      </c>
      <c r="J10" s="46">
        <f t="shared" si="1"/>
        <v>0</v>
      </c>
      <c r="K10" s="46">
        <f t="shared" si="2"/>
        <v>118318.51680000001</v>
      </c>
      <c r="L10" s="46"/>
      <c r="M10" s="46">
        <f t="shared" si="3"/>
        <v>544916.93180000025</v>
      </c>
      <c r="N10" s="19"/>
    </row>
    <row r="11" spans="1:16">
      <c r="A11" s="28">
        <v>8</v>
      </c>
      <c r="B11" s="29">
        <v>45755</v>
      </c>
      <c r="C11" s="19"/>
      <c r="D11" s="19"/>
      <c r="E11" s="46">
        <v>359.71</v>
      </c>
      <c r="F11" s="46">
        <v>96.36</v>
      </c>
      <c r="G11" s="46">
        <f t="shared" si="0"/>
        <v>34661.655599999998</v>
      </c>
      <c r="H11" s="46">
        <v>0</v>
      </c>
      <c r="I11" s="46">
        <v>0</v>
      </c>
      <c r="J11" s="46">
        <f t="shared" si="1"/>
        <v>0</v>
      </c>
      <c r="K11" s="46">
        <f t="shared" si="2"/>
        <v>34661.655599999998</v>
      </c>
      <c r="L11" s="46"/>
      <c r="M11" s="46">
        <f t="shared" si="3"/>
        <v>579578.58740000031</v>
      </c>
      <c r="N11" s="19"/>
      <c r="P11" s="24"/>
    </row>
    <row r="12" spans="1:16">
      <c r="A12" s="28">
        <v>9</v>
      </c>
      <c r="B12" s="29">
        <v>45756</v>
      </c>
      <c r="C12" s="19"/>
      <c r="D12" s="19"/>
      <c r="E12" s="46">
        <v>570</v>
      </c>
      <c r="F12" s="46">
        <v>96.36</v>
      </c>
      <c r="G12" s="46">
        <f t="shared" si="0"/>
        <v>54925.2</v>
      </c>
      <c r="H12" s="46">
        <v>5</v>
      </c>
      <c r="I12" s="46">
        <v>108.17</v>
      </c>
      <c r="J12" s="46">
        <f t="shared" si="1"/>
        <v>540.85</v>
      </c>
      <c r="K12" s="46">
        <f t="shared" si="2"/>
        <v>55466.049999999996</v>
      </c>
      <c r="L12" s="46">
        <v>350000</v>
      </c>
      <c r="M12" s="46">
        <f t="shared" si="3"/>
        <v>285044.63740000036</v>
      </c>
      <c r="N12" s="19"/>
    </row>
    <row r="13" spans="1:16">
      <c r="A13" s="28">
        <v>10</v>
      </c>
      <c r="B13" s="29">
        <v>45757</v>
      </c>
      <c r="C13" s="19"/>
      <c r="D13" s="19"/>
      <c r="E13" s="46">
        <v>789.65</v>
      </c>
      <c r="F13" s="46">
        <v>96.36</v>
      </c>
      <c r="G13" s="46">
        <f t="shared" si="0"/>
        <v>76090.673999999999</v>
      </c>
      <c r="H13" s="46">
        <v>5</v>
      </c>
      <c r="I13" s="46">
        <v>108.17</v>
      </c>
      <c r="J13" s="46">
        <f t="shared" si="1"/>
        <v>540.85</v>
      </c>
      <c r="K13" s="46">
        <f t="shared" si="2"/>
        <v>76631.524000000005</v>
      </c>
      <c r="L13" s="46"/>
      <c r="M13" s="46">
        <f t="shared" si="3"/>
        <v>361676.16140000033</v>
      </c>
      <c r="N13" s="19"/>
    </row>
    <row r="14" spans="1:16">
      <c r="A14" s="28">
        <v>11</v>
      </c>
      <c r="B14" s="29">
        <v>45758</v>
      </c>
      <c r="C14" s="19"/>
      <c r="D14" s="19"/>
      <c r="E14" s="46">
        <v>102</v>
      </c>
      <c r="F14" s="46">
        <v>96.36</v>
      </c>
      <c r="G14" s="46">
        <f t="shared" si="0"/>
        <v>9828.7199999999993</v>
      </c>
      <c r="H14" s="46">
        <v>0</v>
      </c>
      <c r="I14" s="46">
        <v>0</v>
      </c>
      <c r="J14" s="46">
        <f t="shared" si="1"/>
        <v>0</v>
      </c>
      <c r="K14" s="46">
        <f t="shared" si="2"/>
        <v>9828.7199999999993</v>
      </c>
      <c r="L14" s="46"/>
      <c r="M14" s="46">
        <f t="shared" si="3"/>
        <v>371504.8814000003</v>
      </c>
      <c r="N14" s="19"/>
    </row>
    <row r="15" spans="1:16">
      <c r="A15" s="28">
        <v>12</v>
      </c>
      <c r="B15" s="29">
        <v>45759</v>
      </c>
      <c r="C15" s="19"/>
      <c r="D15" s="19"/>
      <c r="E15" s="46">
        <v>1257.51</v>
      </c>
      <c r="F15" s="46">
        <v>96.36</v>
      </c>
      <c r="G15" s="46">
        <f t="shared" si="0"/>
        <v>121173.6636</v>
      </c>
      <c r="H15" s="46">
        <v>0</v>
      </c>
      <c r="I15" s="46">
        <v>0</v>
      </c>
      <c r="J15" s="46">
        <f t="shared" si="1"/>
        <v>0</v>
      </c>
      <c r="K15" s="46">
        <f t="shared" si="2"/>
        <v>121173.6636</v>
      </c>
      <c r="L15" s="46"/>
      <c r="M15" s="46">
        <f>M14+K15-L15</f>
        <v>492678.54500000027</v>
      </c>
      <c r="N15" s="19"/>
    </row>
    <row r="16" spans="1:16">
      <c r="A16" s="28">
        <v>13</v>
      </c>
      <c r="B16" s="29">
        <v>45760</v>
      </c>
      <c r="C16" s="19"/>
      <c r="D16" s="19"/>
      <c r="E16" s="46">
        <v>386</v>
      </c>
      <c r="F16" s="46">
        <v>96.36</v>
      </c>
      <c r="G16" s="46">
        <f t="shared" si="0"/>
        <v>37194.959999999999</v>
      </c>
      <c r="H16" s="46">
        <v>12</v>
      </c>
      <c r="I16" s="46">
        <v>108.17</v>
      </c>
      <c r="J16" s="46">
        <f t="shared" si="1"/>
        <v>1298.04</v>
      </c>
      <c r="K16" s="46">
        <f t="shared" si="2"/>
        <v>38493</v>
      </c>
      <c r="L16" s="46"/>
      <c r="M16" s="46">
        <f t="shared" si="3"/>
        <v>531171.54500000027</v>
      </c>
      <c r="N16" s="19"/>
    </row>
    <row r="17" spans="1:14">
      <c r="A17" s="28">
        <v>14</v>
      </c>
      <c r="B17" s="29">
        <v>45761</v>
      </c>
      <c r="C17" s="19"/>
      <c r="D17" s="19"/>
      <c r="E17" s="46">
        <v>760</v>
      </c>
      <c r="F17" s="46">
        <v>96.36</v>
      </c>
      <c r="G17" s="46">
        <f t="shared" si="0"/>
        <v>73233.600000000006</v>
      </c>
      <c r="H17" s="46">
        <v>5</v>
      </c>
      <c r="I17" s="46">
        <v>108.17</v>
      </c>
      <c r="J17" s="46">
        <f t="shared" si="1"/>
        <v>540.85</v>
      </c>
      <c r="K17" s="46">
        <f t="shared" si="2"/>
        <v>73774.450000000012</v>
      </c>
      <c r="L17" s="46"/>
      <c r="M17" s="46">
        <f t="shared" si="3"/>
        <v>604945.99500000034</v>
      </c>
      <c r="N17" s="19"/>
    </row>
    <row r="18" spans="1:14">
      <c r="A18" s="28">
        <v>15</v>
      </c>
      <c r="B18" s="29">
        <v>45762</v>
      </c>
      <c r="C18" s="19"/>
      <c r="D18" s="19"/>
      <c r="E18" s="46">
        <v>788.34</v>
      </c>
      <c r="F18" s="46">
        <v>96.36</v>
      </c>
      <c r="G18" s="46">
        <f t="shared" si="0"/>
        <v>75964.4424</v>
      </c>
      <c r="H18" s="46">
        <v>5</v>
      </c>
      <c r="I18" s="46">
        <v>108.17</v>
      </c>
      <c r="J18" s="46">
        <f t="shared" si="1"/>
        <v>540.85</v>
      </c>
      <c r="K18" s="46">
        <f t="shared" si="2"/>
        <v>76505.292400000006</v>
      </c>
      <c r="L18" s="46"/>
      <c r="M18" s="46">
        <f t="shared" si="3"/>
        <v>681451.28740000038</v>
      </c>
      <c r="N18" s="19"/>
    </row>
    <row r="19" spans="1:14">
      <c r="A19" s="28">
        <v>16</v>
      </c>
      <c r="B19" s="29">
        <v>45763</v>
      </c>
      <c r="C19" s="19"/>
      <c r="D19" s="19"/>
      <c r="E19" s="46">
        <v>772.42</v>
      </c>
      <c r="F19" s="46">
        <v>96.36</v>
      </c>
      <c r="G19" s="46">
        <f t="shared" si="0"/>
        <v>74430.391199999998</v>
      </c>
      <c r="H19" s="46">
        <v>10</v>
      </c>
      <c r="I19" s="46">
        <v>108.17</v>
      </c>
      <c r="J19" s="46">
        <f t="shared" si="1"/>
        <v>1081.7</v>
      </c>
      <c r="K19" s="46">
        <f t="shared" si="2"/>
        <v>75512.091199999995</v>
      </c>
      <c r="L19" s="46"/>
      <c r="M19" s="46">
        <f t="shared" si="3"/>
        <v>756963.3786000004</v>
      </c>
      <c r="N19" s="19"/>
    </row>
    <row r="20" spans="1:14">
      <c r="A20" s="28">
        <v>17</v>
      </c>
      <c r="B20" s="29">
        <v>45764</v>
      </c>
      <c r="C20" s="19"/>
      <c r="D20" s="19"/>
      <c r="E20" s="46">
        <v>740.6</v>
      </c>
      <c r="F20" s="46">
        <v>96.36</v>
      </c>
      <c r="G20" s="46">
        <f t="shared" si="0"/>
        <v>71364.216</v>
      </c>
      <c r="H20" s="46">
        <v>5</v>
      </c>
      <c r="I20" s="46">
        <v>108.17</v>
      </c>
      <c r="J20" s="46">
        <f t="shared" si="1"/>
        <v>540.85</v>
      </c>
      <c r="K20" s="46">
        <f t="shared" si="2"/>
        <v>71905.066000000006</v>
      </c>
      <c r="L20" s="46"/>
      <c r="M20" s="46">
        <f t="shared" si="3"/>
        <v>828868.4446000004</v>
      </c>
      <c r="N20" s="19"/>
    </row>
    <row r="21" spans="1:14">
      <c r="A21" s="28">
        <v>18</v>
      </c>
      <c r="B21" s="29">
        <v>45765</v>
      </c>
      <c r="C21" s="19"/>
      <c r="D21" s="19"/>
      <c r="E21" s="46">
        <v>1108.49</v>
      </c>
      <c r="F21" s="46">
        <v>96.36</v>
      </c>
      <c r="G21" s="46">
        <f t="shared" si="0"/>
        <v>106814.09639999999</v>
      </c>
      <c r="H21" s="46">
        <v>5</v>
      </c>
      <c r="I21" s="46">
        <v>108.17</v>
      </c>
      <c r="J21" s="46">
        <f t="shared" si="1"/>
        <v>540.85</v>
      </c>
      <c r="K21" s="46">
        <f t="shared" si="2"/>
        <v>107354.9464</v>
      </c>
      <c r="L21" s="46"/>
      <c r="M21" s="46">
        <f t="shared" si="3"/>
        <v>936223.39100000041</v>
      </c>
      <c r="N21" s="19"/>
    </row>
    <row r="22" spans="1:14">
      <c r="A22" s="28">
        <v>19</v>
      </c>
      <c r="B22" s="29">
        <v>45766</v>
      </c>
      <c r="C22" s="19"/>
      <c r="D22" s="19"/>
      <c r="E22" s="46">
        <v>585.01</v>
      </c>
      <c r="F22" s="46">
        <v>96.36</v>
      </c>
      <c r="G22" s="46">
        <f t="shared" si="0"/>
        <v>56371.563600000001</v>
      </c>
      <c r="H22" s="46">
        <v>5</v>
      </c>
      <c r="I22" s="46">
        <v>108.17</v>
      </c>
      <c r="J22" s="46">
        <f t="shared" si="1"/>
        <v>540.85</v>
      </c>
      <c r="K22" s="46">
        <f t="shared" si="2"/>
        <v>56912.4136</v>
      </c>
      <c r="L22" s="46"/>
      <c r="M22" s="46">
        <f t="shared" si="3"/>
        <v>993135.80460000038</v>
      </c>
      <c r="N22" s="19"/>
    </row>
    <row r="23" spans="1:14">
      <c r="A23" s="28">
        <v>20</v>
      </c>
      <c r="B23" s="29">
        <v>45767</v>
      </c>
      <c r="C23" s="19"/>
      <c r="D23" s="19"/>
      <c r="E23" s="46">
        <v>444.9</v>
      </c>
      <c r="F23" s="46">
        <v>96.36</v>
      </c>
      <c r="G23" s="46">
        <f t="shared" si="0"/>
        <v>42870.563999999998</v>
      </c>
      <c r="H23" s="46">
        <v>5</v>
      </c>
      <c r="I23" s="46">
        <v>108.17</v>
      </c>
      <c r="J23" s="46">
        <f t="shared" si="1"/>
        <v>540.85</v>
      </c>
      <c r="K23" s="46">
        <f t="shared" si="2"/>
        <v>43411.413999999997</v>
      </c>
      <c r="L23" s="46"/>
      <c r="M23" s="46">
        <f t="shared" si="3"/>
        <v>1036547.2186000004</v>
      </c>
      <c r="N23" s="19"/>
    </row>
    <row r="24" spans="1:14">
      <c r="A24" s="28">
        <v>21</v>
      </c>
      <c r="B24" s="29">
        <v>45768</v>
      </c>
      <c r="C24" s="19"/>
      <c r="D24" s="19"/>
      <c r="E24" s="46">
        <v>1019</v>
      </c>
      <c r="F24" s="46">
        <v>96.36</v>
      </c>
      <c r="G24" s="46">
        <f t="shared" si="0"/>
        <v>98190.84</v>
      </c>
      <c r="H24" s="46">
        <v>5</v>
      </c>
      <c r="I24" s="46">
        <v>108.17</v>
      </c>
      <c r="J24" s="46">
        <f t="shared" si="1"/>
        <v>540.85</v>
      </c>
      <c r="K24" s="46">
        <f t="shared" si="2"/>
        <v>98731.69</v>
      </c>
      <c r="L24" s="46"/>
      <c r="M24" s="46">
        <f t="shared" si="3"/>
        <v>1135278.9086000004</v>
      </c>
      <c r="N24" s="19"/>
    </row>
    <row r="25" spans="1:14">
      <c r="A25" s="28">
        <v>22</v>
      </c>
      <c r="B25" s="29">
        <v>45769</v>
      </c>
      <c r="C25" s="19"/>
      <c r="D25" s="19"/>
      <c r="E25" s="46">
        <v>914.61</v>
      </c>
      <c r="F25" s="46">
        <v>96.36</v>
      </c>
      <c r="G25" s="46">
        <f t="shared" si="0"/>
        <v>88131.819600000003</v>
      </c>
      <c r="H25" s="46">
        <v>10</v>
      </c>
      <c r="I25" s="46">
        <v>108.17</v>
      </c>
      <c r="J25" s="46">
        <f t="shared" si="1"/>
        <v>1081.7</v>
      </c>
      <c r="K25" s="46">
        <f t="shared" si="2"/>
        <v>89213.5196</v>
      </c>
      <c r="L25" s="46"/>
      <c r="M25" s="46">
        <f t="shared" si="3"/>
        <v>1224492.4282000004</v>
      </c>
      <c r="N25" s="19"/>
    </row>
    <row r="26" spans="1:14">
      <c r="A26" s="28">
        <v>23</v>
      </c>
      <c r="B26" s="29">
        <v>45770</v>
      </c>
      <c r="C26" s="19"/>
      <c r="D26" s="19"/>
      <c r="E26" s="46">
        <v>466.12</v>
      </c>
      <c r="F26" s="46">
        <v>96.36</v>
      </c>
      <c r="G26" s="46">
        <f t="shared" si="0"/>
        <v>44915.323199999999</v>
      </c>
      <c r="H26" s="46">
        <v>15</v>
      </c>
      <c r="I26" s="46">
        <v>108.17</v>
      </c>
      <c r="J26" s="46">
        <f t="shared" si="1"/>
        <v>1622.55</v>
      </c>
      <c r="K26" s="46">
        <f t="shared" si="2"/>
        <v>46537.873200000002</v>
      </c>
      <c r="L26" s="46">
        <v>750000</v>
      </c>
      <c r="M26" s="46">
        <f t="shared" si="3"/>
        <v>521030.30140000046</v>
      </c>
      <c r="N26" s="19"/>
    </row>
    <row r="27" spans="1:14">
      <c r="A27" s="28">
        <v>24</v>
      </c>
      <c r="B27" s="29">
        <v>45771</v>
      </c>
      <c r="C27" s="19"/>
      <c r="D27" s="19"/>
      <c r="E27" s="46">
        <v>666.64</v>
      </c>
      <c r="F27" s="46">
        <v>96.36</v>
      </c>
      <c r="G27" s="46">
        <f t="shared" si="0"/>
        <v>64237.430399999997</v>
      </c>
      <c r="H27" s="46">
        <v>0</v>
      </c>
      <c r="I27" s="46">
        <v>0</v>
      </c>
      <c r="J27" s="46">
        <f t="shared" si="1"/>
        <v>0</v>
      </c>
      <c r="K27" s="46">
        <f t="shared" si="2"/>
        <v>64237.430399999997</v>
      </c>
      <c r="L27" s="46"/>
      <c r="M27" s="46">
        <f t="shared" si="3"/>
        <v>585267.73180000042</v>
      </c>
      <c r="N27" s="19"/>
    </row>
    <row r="28" spans="1:14">
      <c r="A28" s="28">
        <v>25</v>
      </c>
      <c r="B28" s="29">
        <v>45772</v>
      </c>
      <c r="C28" s="19"/>
      <c r="D28" s="19"/>
      <c r="E28" s="46">
        <v>950</v>
      </c>
      <c r="F28" s="46">
        <v>96.36</v>
      </c>
      <c r="G28" s="46">
        <f t="shared" si="0"/>
        <v>91542</v>
      </c>
      <c r="H28" s="46">
        <v>0</v>
      </c>
      <c r="I28" s="46">
        <v>0</v>
      </c>
      <c r="J28" s="46">
        <f t="shared" si="1"/>
        <v>0</v>
      </c>
      <c r="K28" s="46">
        <f t="shared" si="2"/>
        <v>91542</v>
      </c>
      <c r="L28" s="46"/>
      <c r="M28" s="46">
        <f t="shared" si="3"/>
        <v>676809.73180000042</v>
      </c>
      <c r="N28" s="19"/>
    </row>
    <row r="29" spans="1:14">
      <c r="A29" s="28">
        <v>26</v>
      </c>
      <c r="B29" s="29">
        <v>45773</v>
      </c>
      <c r="C29" s="19"/>
      <c r="D29" s="19"/>
      <c r="E29" s="46">
        <v>984.79</v>
      </c>
      <c r="F29" s="46">
        <v>96.36</v>
      </c>
      <c r="G29" s="46">
        <f t="shared" si="0"/>
        <v>94894.364399999991</v>
      </c>
      <c r="H29" s="46">
        <v>5</v>
      </c>
      <c r="I29" s="46">
        <v>108.17</v>
      </c>
      <c r="J29" s="46">
        <f t="shared" si="1"/>
        <v>540.85</v>
      </c>
      <c r="K29" s="46">
        <f t="shared" si="2"/>
        <v>95435.214399999997</v>
      </c>
      <c r="L29" s="46"/>
      <c r="M29" s="46">
        <f t="shared" si="3"/>
        <v>772244.94620000036</v>
      </c>
      <c r="N29" s="19"/>
    </row>
    <row r="30" spans="1:14">
      <c r="A30" s="28">
        <v>27</v>
      </c>
      <c r="B30" s="29">
        <v>45774</v>
      </c>
      <c r="C30" s="19"/>
      <c r="D30" s="19"/>
      <c r="E30" s="46">
        <v>579.01</v>
      </c>
      <c r="F30" s="46">
        <v>96.36</v>
      </c>
      <c r="G30" s="46">
        <f t="shared" si="0"/>
        <v>55793.403599999998</v>
      </c>
      <c r="H30" s="46">
        <v>5</v>
      </c>
      <c r="I30" s="46">
        <v>108.17</v>
      </c>
      <c r="J30" s="46">
        <f t="shared" si="1"/>
        <v>540.85</v>
      </c>
      <c r="K30" s="46">
        <f t="shared" si="2"/>
        <v>56334.253599999996</v>
      </c>
      <c r="L30" s="46"/>
      <c r="M30" s="46">
        <f t="shared" si="3"/>
        <v>828579.19980000029</v>
      </c>
      <c r="N30" s="19"/>
    </row>
    <row r="31" spans="1:14">
      <c r="A31" s="28">
        <v>28</v>
      </c>
      <c r="B31" s="29">
        <v>45775</v>
      </c>
      <c r="C31" s="19"/>
      <c r="D31" s="19"/>
      <c r="E31" s="46">
        <v>394.83</v>
      </c>
      <c r="F31" s="46">
        <v>96.36</v>
      </c>
      <c r="G31" s="46">
        <f t="shared" si="0"/>
        <v>38045.818800000001</v>
      </c>
      <c r="H31" s="46">
        <v>5</v>
      </c>
      <c r="I31" s="46">
        <v>108.17</v>
      </c>
      <c r="J31" s="46">
        <f t="shared" si="1"/>
        <v>540.85</v>
      </c>
      <c r="K31" s="46">
        <f t="shared" si="2"/>
        <v>38586.668799999999</v>
      </c>
      <c r="L31" s="46"/>
      <c r="M31" s="46">
        <f t="shared" si="3"/>
        <v>867165.86860000028</v>
      </c>
      <c r="N31" s="19"/>
    </row>
    <row r="32" spans="1:14">
      <c r="A32" s="28">
        <v>29</v>
      </c>
      <c r="B32" s="29">
        <v>45776</v>
      </c>
      <c r="C32" s="19"/>
      <c r="D32" s="19"/>
      <c r="E32" s="46">
        <v>900</v>
      </c>
      <c r="F32" s="46">
        <v>96.36</v>
      </c>
      <c r="G32" s="46">
        <f t="shared" si="0"/>
        <v>86724</v>
      </c>
      <c r="H32" s="46">
        <v>10</v>
      </c>
      <c r="I32" s="46">
        <v>108.17</v>
      </c>
      <c r="J32" s="46">
        <f t="shared" si="1"/>
        <v>1081.7</v>
      </c>
      <c r="K32" s="46">
        <f t="shared" si="2"/>
        <v>87805.7</v>
      </c>
      <c r="L32" s="46"/>
      <c r="M32" s="46">
        <f t="shared" si="3"/>
        <v>954971.56860000023</v>
      </c>
      <c r="N32" s="19"/>
    </row>
    <row r="33" spans="1:14">
      <c r="A33" s="28">
        <v>30</v>
      </c>
      <c r="B33" s="29">
        <v>45777</v>
      </c>
      <c r="C33" s="19"/>
      <c r="D33" s="19"/>
      <c r="E33" s="46">
        <v>503.1</v>
      </c>
      <c r="F33" s="46">
        <v>96.36</v>
      </c>
      <c r="G33" s="46">
        <f t="shared" si="0"/>
        <v>48478.716</v>
      </c>
      <c r="H33" s="46">
        <v>10</v>
      </c>
      <c r="I33" s="46">
        <v>108.17</v>
      </c>
      <c r="J33" s="46">
        <f t="shared" si="1"/>
        <v>1081.7</v>
      </c>
      <c r="K33" s="46">
        <f t="shared" si="2"/>
        <v>49560.415999999997</v>
      </c>
      <c r="L33" s="46"/>
      <c r="M33" s="46">
        <f t="shared" si="3"/>
        <v>1004531.9846000002</v>
      </c>
      <c r="N33" s="19"/>
    </row>
    <row r="34" spans="1:14" ht="15" customHeight="1">
      <c r="A34" s="28">
        <v>31</v>
      </c>
      <c r="B34" s="29"/>
      <c r="C34" s="19"/>
      <c r="D34" s="19"/>
      <c r="E34" s="46">
        <v>0</v>
      </c>
      <c r="F34" s="46">
        <v>0</v>
      </c>
      <c r="G34" s="46">
        <f t="shared" si="0"/>
        <v>0</v>
      </c>
      <c r="H34" s="46">
        <v>0</v>
      </c>
      <c r="I34" s="46">
        <v>0</v>
      </c>
      <c r="J34" s="46">
        <f t="shared" si="1"/>
        <v>0</v>
      </c>
      <c r="K34" s="46">
        <f t="shared" si="2"/>
        <v>0</v>
      </c>
      <c r="L34" s="46"/>
      <c r="M34" s="46">
        <f t="shared" si="3"/>
        <v>1004531.9846000002</v>
      </c>
      <c r="N34" s="19"/>
    </row>
    <row r="35" spans="1:14" ht="15" customHeight="1">
      <c r="A35" s="52"/>
      <c r="B35" s="52"/>
      <c r="C35" s="52"/>
      <c r="D35" s="52"/>
      <c r="E35" s="300">
        <f>SUM(E4:E34)</f>
        <v>20611.100000000002</v>
      </c>
      <c r="F35" s="308"/>
      <c r="G35" s="300">
        <f>SUM(G4:G34)</f>
        <v>1986085.5960000001</v>
      </c>
      <c r="H35" s="300">
        <f>SUM(H4:H34)</f>
        <v>167</v>
      </c>
      <c r="I35" s="308"/>
      <c r="J35" s="300">
        <f>SUM(J4:J34)</f>
        <v>18064.390000000007</v>
      </c>
      <c r="K35" s="300">
        <f>SUM(K4:K34)</f>
        <v>2004149.9860000003</v>
      </c>
      <c r="L35" s="300">
        <f>SUM(L4:L34)</f>
        <v>1100000</v>
      </c>
      <c r="M35" s="308"/>
      <c r="N35" s="53"/>
    </row>
    <row r="36" spans="1:14"/>
    <row r="41" spans="1:14" ht="15" customHeight="1">
      <c r="M41" s="24">
        <v>236703.21480000034</v>
      </c>
    </row>
    <row r="42" spans="1:14" ht="15" customHeight="1">
      <c r="M42" s="24">
        <v>236635.16</v>
      </c>
    </row>
    <row r="43" spans="1:14" ht="15" customHeight="1">
      <c r="M43" s="24">
        <f>M41-M42</f>
        <v>68.054800000332762</v>
      </c>
    </row>
  </sheetData>
  <mergeCells count="2">
    <mergeCell ref="A1:M1"/>
    <mergeCell ref="A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0AF3-FEE5-4489-B644-338CB0A1459A}">
  <dimension ref="A1:N35"/>
  <sheetViews>
    <sheetView workbookViewId="0">
      <selection activeCell="L40" sqref="L40"/>
    </sheetView>
  </sheetViews>
  <sheetFormatPr defaultRowHeight="15"/>
  <cols>
    <col min="2" max="2" width="10.42578125" bestFit="1" customWidth="1"/>
    <col min="4" max="4" width="16" bestFit="1" customWidth="1"/>
    <col min="5" max="5" width="11.140625" customWidth="1"/>
    <col min="11" max="11" width="12.5703125" customWidth="1"/>
    <col min="12" max="12" width="12.140625" customWidth="1"/>
    <col min="14" max="14" width="17.7109375" bestFit="1" customWidth="1"/>
    <col min="15" max="15" width="12" customWidth="1"/>
  </cols>
  <sheetData>
    <row r="1" spans="1:14" ht="15.75">
      <c r="A1" s="417" t="s">
        <v>35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</row>
    <row r="2" spans="1:14">
      <c r="A2" s="119" t="s">
        <v>81</v>
      </c>
      <c r="B2" s="124" t="s">
        <v>82</v>
      </c>
      <c r="C2" s="124" t="s">
        <v>83</v>
      </c>
      <c r="D2" s="124" t="s">
        <v>84</v>
      </c>
      <c r="E2" s="124" t="s">
        <v>85</v>
      </c>
      <c r="F2" s="124" t="s">
        <v>86</v>
      </c>
      <c r="G2" s="124" t="s">
        <v>87</v>
      </c>
      <c r="H2" s="124" t="s">
        <v>88</v>
      </c>
      <c r="I2" s="124" t="s">
        <v>86</v>
      </c>
      <c r="J2" s="124" t="s">
        <v>87</v>
      </c>
      <c r="K2" s="124" t="s">
        <v>89</v>
      </c>
      <c r="L2" s="124" t="s">
        <v>90</v>
      </c>
      <c r="M2" s="124" t="s">
        <v>97</v>
      </c>
      <c r="N2" s="124" t="s">
        <v>92</v>
      </c>
    </row>
    <row r="3" spans="1:14">
      <c r="A3" s="421" t="s">
        <v>93</v>
      </c>
      <c r="B3" s="421"/>
      <c r="C3" s="421"/>
      <c r="D3" s="421"/>
      <c r="E3" s="421"/>
      <c r="F3" s="421"/>
      <c r="G3" s="421"/>
      <c r="H3" s="421"/>
      <c r="I3" s="421"/>
      <c r="J3" s="421"/>
      <c r="K3" s="111">
        <v>0</v>
      </c>
      <c r="L3" s="111">
        <v>0</v>
      </c>
      <c r="M3" s="111">
        <f>+K3</f>
        <v>0</v>
      </c>
      <c r="N3" s="19"/>
    </row>
    <row r="4" spans="1:14">
      <c r="A4" s="28">
        <v>1</v>
      </c>
      <c r="B4" s="29">
        <v>45748</v>
      </c>
      <c r="C4" s="19"/>
      <c r="D4" s="19"/>
      <c r="E4" s="102"/>
      <c r="F4" s="102"/>
      <c r="G4" s="19">
        <f>E4*F4</f>
        <v>0</v>
      </c>
      <c r="H4" s="102"/>
      <c r="I4" s="102"/>
      <c r="J4" s="19">
        <f>H4*I4</f>
        <v>0</v>
      </c>
      <c r="K4" s="19">
        <f>G4+J4</f>
        <v>0</v>
      </c>
      <c r="L4" s="19">
        <f>K4</f>
        <v>0</v>
      </c>
      <c r="M4" s="19">
        <f>M3+K4-L4</f>
        <v>0</v>
      </c>
      <c r="N4" s="54"/>
    </row>
    <row r="5" spans="1:14">
      <c r="A5" s="28">
        <v>2</v>
      </c>
      <c r="B5" s="29">
        <v>45749</v>
      </c>
      <c r="C5" s="19"/>
      <c r="D5" s="19"/>
      <c r="E5" s="102">
        <v>286</v>
      </c>
      <c r="F5" s="102">
        <v>92.09</v>
      </c>
      <c r="G5" s="19">
        <f t="shared" ref="G5:G33" si="0">E5*F5</f>
        <v>26337.74</v>
      </c>
      <c r="H5" s="102">
        <v>35</v>
      </c>
      <c r="I5" s="102">
        <v>103.86</v>
      </c>
      <c r="J5" s="19">
        <f t="shared" ref="J5:J33" si="1">H5*I5</f>
        <v>3635.1</v>
      </c>
      <c r="K5" s="19">
        <f t="shared" ref="K5:K33" si="2">G5+J5</f>
        <v>29972.84</v>
      </c>
      <c r="L5" s="19">
        <f t="shared" ref="L5:L33" si="3">K5</f>
        <v>29972.84</v>
      </c>
      <c r="M5" s="19">
        <f t="shared" ref="M5:M27" si="4">M4+K5-L5</f>
        <v>0</v>
      </c>
      <c r="N5" s="54"/>
    </row>
    <row r="6" spans="1:14">
      <c r="A6" s="28">
        <v>3</v>
      </c>
      <c r="B6" s="29">
        <v>45750</v>
      </c>
      <c r="C6" s="19"/>
      <c r="D6" s="19"/>
      <c r="E6" s="102"/>
      <c r="F6" s="102"/>
      <c r="G6" s="19">
        <f t="shared" si="0"/>
        <v>0</v>
      </c>
      <c r="H6" s="102"/>
      <c r="I6" s="102"/>
      <c r="J6" s="19">
        <f t="shared" si="1"/>
        <v>0</v>
      </c>
      <c r="K6" s="19">
        <f t="shared" si="2"/>
        <v>0</v>
      </c>
      <c r="L6" s="19">
        <f t="shared" si="3"/>
        <v>0</v>
      </c>
      <c r="M6" s="19">
        <f t="shared" si="4"/>
        <v>0</v>
      </c>
      <c r="N6" s="54"/>
    </row>
    <row r="7" spans="1:14">
      <c r="A7" s="28">
        <v>4</v>
      </c>
      <c r="B7" s="29">
        <v>45751</v>
      </c>
      <c r="C7" s="19"/>
      <c r="D7" s="19"/>
      <c r="E7" s="102"/>
      <c r="F7" s="102"/>
      <c r="G7" s="19">
        <f t="shared" si="0"/>
        <v>0</v>
      </c>
      <c r="H7" s="102"/>
      <c r="I7" s="102"/>
      <c r="J7" s="19">
        <f t="shared" si="1"/>
        <v>0</v>
      </c>
      <c r="K7" s="19">
        <f t="shared" si="2"/>
        <v>0</v>
      </c>
      <c r="L7" s="19">
        <f t="shared" si="3"/>
        <v>0</v>
      </c>
      <c r="M7" s="19">
        <f t="shared" si="4"/>
        <v>0</v>
      </c>
      <c r="N7" s="54"/>
    </row>
    <row r="8" spans="1:14">
      <c r="A8" s="28">
        <v>5</v>
      </c>
      <c r="B8" s="29">
        <v>45752</v>
      </c>
      <c r="C8" s="19"/>
      <c r="D8" s="19"/>
      <c r="E8" s="102"/>
      <c r="F8" s="102"/>
      <c r="G8" s="19">
        <f t="shared" si="0"/>
        <v>0</v>
      </c>
      <c r="H8" s="102"/>
      <c r="I8" s="102"/>
      <c r="J8" s="19">
        <f t="shared" si="1"/>
        <v>0</v>
      </c>
      <c r="K8" s="19">
        <f t="shared" si="2"/>
        <v>0</v>
      </c>
      <c r="L8" s="19">
        <f t="shared" si="3"/>
        <v>0</v>
      </c>
      <c r="M8" s="19">
        <f t="shared" si="4"/>
        <v>0</v>
      </c>
      <c r="N8" s="54"/>
    </row>
    <row r="9" spans="1:14">
      <c r="A9" s="28">
        <v>6</v>
      </c>
      <c r="B9" s="29">
        <v>45753</v>
      </c>
      <c r="C9" s="19"/>
      <c r="D9" s="19"/>
      <c r="E9" s="102"/>
      <c r="F9" s="102"/>
      <c r="G9" s="19">
        <f t="shared" si="0"/>
        <v>0</v>
      </c>
      <c r="H9" s="102"/>
      <c r="I9" s="102"/>
      <c r="J9" s="19">
        <f t="shared" si="1"/>
        <v>0</v>
      </c>
      <c r="K9" s="19">
        <f t="shared" si="2"/>
        <v>0</v>
      </c>
      <c r="L9" s="19">
        <f t="shared" si="3"/>
        <v>0</v>
      </c>
      <c r="M9" s="19">
        <f t="shared" si="4"/>
        <v>0</v>
      </c>
      <c r="N9" s="54"/>
    </row>
    <row r="10" spans="1:14">
      <c r="A10" s="28">
        <v>7</v>
      </c>
      <c r="B10" s="29">
        <v>45754</v>
      </c>
      <c r="C10" s="19"/>
      <c r="D10" s="19"/>
      <c r="E10" s="102"/>
      <c r="F10" s="102"/>
      <c r="G10" s="19">
        <f t="shared" si="0"/>
        <v>0</v>
      </c>
      <c r="H10" s="102"/>
      <c r="I10" s="102"/>
      <c r="J10" s="19">
        <f t="shared" si="1"/>
        <v>0</v>
      </c>
      <c r="K10" s="19">
        <f t="shared" si="2"/>
        <v>0</v>
      </c>
      <c r="L10" s="19">
        <f t="shared" si="3"/>
        <v>0</v>
      </c>
      <c r="M10" s="19">
        <f t="shared" si="4"/>
        <v>0</v>
      </c>
      <c r="N10" s="54"/>
    </row>
    <row r="11" spans="1:14">
      <c r="A11" s="28">
        <v>8</v>
      </c>
      <c r="B11" s="29">
        <v>45755</v>
      </c>
      <c r="C11" s="19"/>
      <c r="D11" s="19"/>
      <c r="E11" s="102"/>
      <c r="F11" s="102"/>
      <c r="G11" s="19">
        <f t="shared" si="0"/>
        <v>0</v>
      </c>
      <c r="H11" s="102"/>
      <c r="I11" s="102"/>
      <c r="J11" s="19">
        <f t="shared" si="1"/>
        <v>0</v>
      </c>
      <c r="K11" s="19">
        <f t="shared" si="2"/>
        <v>0</v>
      </c>
      <c r="L11" s="19">
        <f t="shared" si="3"/>
        <v>0</v>
      </c>
      <c r="M11" s="19">
        <f t="shared" si="4"/>
        <v>0</v>
      </c>
      <c r="N11" s="54"/>
    </row>
    <row r="12" spans="1:14">
      <c r="A12" s="28">
        <v>9</v>
      </c>
      <c r="B12" s="29">
        <v>45756</v>
      </c>
      <c r="C12" s="19"/>
      <c r="D12" s="19"/>
      <c r="E12" s="102"/>
      <c r="F12" s="102"/>
      <c r="G12" s="19">
        <f t="shared" si="0"/>
        <v>0</v>
      </c>
      <c r="H12" s="102"/>
      <c r="I12" s="102"/>
      <c r="J12" s="19">
        <f t="shared" si="1"/>
        <v>0</v>
      </c>
      <c r="K12" s="19">
        <f t="shared" si="2"/>
        <v>0</v>
      </c>
      <c r="L12" s="19">
        <f t="shared" si="3"/>
        <v>0</v>
      </c>
      <c r="M12" s="19">
        <f t="shared" si="4"/>
        <v>0</v>
      </c>
      <c r="N12" s="54"/>
    </row>
    <row r="13" spans="1:14">
      <c r="A13" s="28">
        <v>10</v>
      </c>
      <c r="B13" s="29">
        <v>45757</v>
      </c>
      <c r="C13" s="19"/>
      <c r="D13" s="19"/>
      <c r="E13" s="102">
        <v>430</v>
      </c>
      <c r="F13" s="102">
        <v>92.09</v>
      </c>
      <c r="G13" s="19">
        <f t="shared" si="0"/>
        <v>39598.700000000004</v>
      </c>
      <c r="H13" s="102"/>
      <c r="I13" s="102"/>
      <c r="J13" s="19">
        <f t="shared" si="1"/>
        <v>0</v>
      </c>
      <c r="K13" s="19">
        <f t="shared" si="2"/>
        <v>39598.700000000004</v>
      </c>
      <c r="L13" s="19">
        <f t="shared" si="3"/>
        <v>39598.700000000004</v>
      </c>
      <c r="M13" s="19">
        <f t="shared" si="4"/>
        <v>0</v>
      </c>
      <c r="N13" s="54"/>
    </row>
    <row r="14" spans="1:14">
      <c r="A14" s="28">
        <v>11</v>
      </c>
      <c r="B14" s="29">
        <v>45758</v>
      </c>
      <c r="C14" s="19"/>
      <c r="D14" s="19"/>
      <c r="E14" s="102"/>
      <c r="F14" s="102"/>
      <c r="G14" s="19">
        <f t="shared" si="0"/>
        <v>0</v>
      </c>
      <c r="H14" s="102"/>
      <c r="I14" s="102"/>
      <c r="J14" s="19">
        <f t="shared" si="1"/>
        <v>0</v>
      </c>
      <c r="K14" s="19">
        <f t="shared" si="2"/>
        <v>0</v>
      </c>
      <c r="L14" s="19">
        <f t="shared" si="3"/>
        <v>0</v>
      </c>
      <c r="M14" s="19">
        <f t="shared" si="4"/>
        <v>0</v>
      </c>
      <c r="N14" s="54"/>
    </row>
    <row r="15" spans="1:14">
      <c r="A15" s="28">
        <v>12</v>
      </c>
      <c r="B15" s="29">
        <v>45759</v>
      </c>
      <c r="C15" s="19"/>
      <c r="D15" s="19"/>
      <c r="E15" s="102"/>
      <c r="F15" s="102"/>
      <c r="G15" s="19">
        <f t="shared" si="0"/>
        <v>0</v>
      </c>
      <c r="H15" s="102"/>
      <c r="I15" s="102"/>
      <c r="J15" s="19">
        <f t="shared" si="1"/>
        <v>0</v>
      </c>
      <c r="K15" s="19">
        <f t="shared" si="2"/>
        <v>0</v>
      </c>
      <c r="L15" s="19">
        <f t="shared" si="3"/>
        <v>0</v>
      </c>
      <c r="M15" s="19">
        <f t="shared" si="4"/>
        <v>0</v>
      </c>
      <c r="N15" s="54"/>
    </row>
    <row r="16" spans="1:14">
      <c r="A16" s="28">
        <v>13</v>
      </c>
      <c r="B16" s="29">
        <v>45760</v>
      </c>
      <c r="C16" s="19"/>
      <c r="D16" s="19"/>
      <c r="E16" s="102"/>
      <c r="F16" s="102"/>
      <c r="G16" s="19">
        <f t="shared" si="0"/>
        <v>0</v>
      </c>
      <c r="H16" s="102"/>
      <c r="I16" s="102"/>
      <c r="J16" s="19">
        <f t="shared" si="1"/>
        <v>0</v>
      </c>
      <c r="K16" s="19">
        <f t="shared" si="2"/>
        <v>0</v>
      </c>
      <c r="L16" s="19">
        <f t="shared" si="3"/>
        <v>0</v>
      </c>
      <c r="M16" s="19">
        <f t="shared" si="4"/>
        <v>0</v>
      </c>
      <c r="N16" s="54"/>
    </row>
    <row r="17" spans="1:14">
      <c r="A17" s="28">
        <v>14</v>
      </c>
      <c r="B17" s="29">
        <v>45761</v>
      </c>
      <c r="C17" s="19"/>
      <c r="D17" s="19"/>
      <c r="E17" s="102">
        <v>400</v>
      </c>
      <c r="F17" s="102">
        <v>92.09</v>
      </c>
      <c r="G17" s="19">
        <f t="shared" si="0"/>
        <v>36836</v>
      </c>
      <c r="H17" s="102">
        <v>30</v>
      </c>
      <c r="I17" s="102">
        <v>103.86</v>
      </c>
      <c r="J17" s="19">
        <f t="shared" si="1"/>
        <v>3115.8</v>
      </c>
      <c r="K17" s="19">
        <f t="shared" si="2"/>
        <v>39951.800000000003</v>
      </c>
      <c r="L17" s="19">
        <f t="shared" si="3"/>
        <v>39951.800000000003</v>
      </c>
      <c r="M17" s="19">
        <f t="shared" si="4"/>
        <v>0</v>
      </c>
      <c r="N17" s="54"/>
    </row>
    <row r="18" spans="1:14">
      <c r="A18" s="28">
        <v>15</v>
      </c>
      <c r="B18" s="29">
        <v>45762</v>
      </c>
      <c r="C18" s="19"/>
      <c r="D18" s="19"/>
      <c r="E18" s="102"/>
      <c r="F18" s="102"/>
      <c r="G18" s="19">
        <f t="shared" si="0"/>
        <v>0</v>
      </c>
      <c r="H18" s="102"/>
      <c r="I18" s="102"/>
      <c r="J18" s="19">
        <f t="shared" si="1"/>
        <v>0</v>
      </c>
      <c r="K18" s="19">
        <f t="shared" si="2"/>
        <v>0</v>
      </c>
      <c r="L18" s="19">
        <f t="shared" si="3"/>
        <v>0</v>
      </c>
      <c r="M18" s="19">
        <f t="shared" si="4"/>
        <v>0</v>
      </c>
      <c r="N18" s="54"/>
    </row>
    <row r="19" spans="1:14">
      <c r="A19" s="28">
        <v>16</v>
      </c>
      <c r="B19" s="29">
        <v>45763</v>
      </c>
      <c r="C19" s="19"/>
      <c r="D19" s="19"/>
      <c r="E19" s="102"/>
      <c r="F19" s="102"/>
      <c r="G19" s="19">
        <f t="shared" si="0"/>
        <v>0</v>
      </c>
      <c r="H19" s="102"/>
      <c r="I19" s="102"/>
      <c r="J19" s="19">
        <f t="shared" si="1"/>
        <v>0</v>
      </c>
      <c r="K19" s="19">
        <f t="shared" si="2"/>
        <v>0</v>
      </c>
      <c r="L19" s="19">
        <f t="shared" si="3"/>
        <v>0</v>
      </c>
      <c r="M19" s="19">
        <f t="shared" si="4"/>
        <v>0</v>
      </c>
      <c r="N19" s="54"/>
    </row>
    <row r="20" spans="1:14">
      <c r="A20" s="28">
        <v>17</v>
      </c>
      <c r="B20" s="29">
        <v>45764</v>
      </c>
      <c r="C20" s="19"/>
      <c r="D20" s="19"/>
      <c r="E20" s="102">
        <v>325</v>
      </c>
      <c r="F20" s="102">
        <v>92.09</v>
      </c>
      <c r="G20" s="19">
        <f t="shared" si="0"/>
        <v>29929.25</v>
      </c>
      <c r="H20" s="102"/>
      <c r="I20" s="102"/>
      <c r="J20" s="19">
        <f t="shared" si="1"/>
        <v>0</v>
      </c>
      <c r="K20" s="19">
        <f t="shared" si="2"/>
        <v>29929.25</v>
      </c>
      <c r="L20" s="19">
        <f t="shared" si="3"/>
        <v>29929.25</v>
      </c>
      <c r="M20" s="19">
        <f t="shared" si="4"/>
        <v>0</v>
      </c>
      <c r="N20" s="54"/>
    </row>
    <row r="21" spans="1:14">
      <c r="A21" s="28">
        <v>18</v>
      </c>
      <c r="B21" s="29">
        <v>45765</v>
      </c>
      <c r="C21" s="19"/>
      <c r="D21" s="19"/>
      <c r="E21" s="102"/>
      <c r="F21" s="102"/>
      <c r="G21" s="19">
        <f t="shared" si="0"/>
        <v>0</v>
      </c>
      <c r="H21" s="102"/>
      <c r="I21" s="102"/>
      <c r="J21" s="19">
        <f t="shared" si="1"/>
        <v>0</v>
      </c>
      <c r="K21" s="19">
        <f t="shared" si="2"/>
        <v>0</v>
      </c>
      <c r="L21" s="19">
        <f t="shared" si="3"/>
        <v>0</v>
      </c>
      <c r="M21" s="19">
        <f t="shared" si="4"/>
        <v>0</v>
      </c>
      <c r="N21" s="54"/>
    </row>
    <row r="22" spans="1:14">
      <c r="A22" s="28">
        <v>19</v>
      </c>
      <c r="B22" s="29">
        <v>45766</v>
      </c>
      <c r="C22" s="19"/>
      <c r="D22" s="19"/>
      <c r="E22" s="102"/>
      <c r="F22" s="102"/>
      <c r="G22" s="19">
        <f t="shared" si="0"/>
        <v>0</v>
      </c>
      <c r="H22" s="102"/>
      <c r="I22" s="102"/>
      <c r="J22" s="19">
        <f t="shared" si="1"/>
        <v>0</v>
      </c>
      <c r="K22" s="19">
        <f t="shared" si="2"/>
        <v>0</v>
      </c>
      <c r="L22" s="19">
        <f t="shared" si="3"/>
        <v>0</v>
      </c>
      <c r="M22" s="19">
        <f t="shared" si="4"/>
        <v>0</v>
      </c>
      <c r="N22" s="54"/>
    </row>
    <row r="23" spans="1:14">
      <c r="A23" s="28">
        <v>20</v>
      </c>
      <c r="B23" s="29">
        <v>45767</v>
      </c>
      <c r="C23" s="19"/>
      <c r="D23" s="19"/>
      <c r="E23" s="102"/>
      <c r="F23" s="102"/>
      <c r="G23" s="19">
        <f t="shared" si="0"/>
        <v>0</v>
      </c>
      <c r="H23" s="102"/>
      <c r="I23" s="102"/>
      <c r="J23" s="19">
        <f t="shared" si="1"/>
        <v>0</v>
      </c>
      <c r="K23" s="19">
        <f t="shared" si="2"/>
        <v>0</v>
      </c>
      <c r="L23" s="19">
        <f t="shared" si="3"/>
        <v>0</v>
      </c>
      <c r="M23" s="19">
        <f t="shared" si="4"/>
        <v>0</v>
      </c>
      <c r="N23" s="54"/>
    </row>
    <row r="24" spans="1:14">
      <c r="A24" s="28">
        <v>21</v>
      </c>
      <c r="B24" s="29">
        <v>45768</v>
      </c>
      <c r="C24" s="19"/>
      <c r="D24" s="19"/>
      <c r="E24" s="102">
        <v>325</v>
      </c>
      <c r="F24" s="102">
        <v>92.09</v>
      </c>
      <c r="G24" s="19">
        <f t="shared" si="0"/>
        <v>29929.25</v>
      </c>
      <c r="H24" s="102"/>
      <c r="I24" s="102"/>
      <c r="J24" s="19">
        <f t="shared" si="1"/>
        <v>0</v>
      </c>
      <c r="K24" s="19">
        <f t="shared" si="2"/>
        <v>29929.25</v>
      </c>
      <c r="L24" s="19">
        <f t="shared" si="3"/>
        <v>29929.25</v>
      </c>
      <c r="M24" s="19">
        <f t="shared" si="4"/>
        <v>0</v>
      </c>
      <c r="N24" s="54"/>
    </row>
    <row r="25" spans="1:14">
      <c r="A25" s="28">
        <v>22</v>
      </c>
      <c r="B25" s="29">
        <v>45769</v>
      </c>
      <c r="C25" s="19"/>
      <c r="D25" s="19"/>
      <c r="E25" s="102"/>
      <c r="F25" s="102"/>
      <c r="G25" s="19">
        <f t="shared" si="0"/>
        <v>0</v>
      </c>
      <c r="H25" s="102"/>
      <c r="I25" s="102"/>
      <c r="J25" s="19">
        <f t="shared" si="1"/>
        <v>0</v>
      </c>
      <c r="K25" s="19">
        <f t="shared" si="2"/>
        <v>0</v>
      </c>
      <c r="L25" s="19">
        <f t="shared" si="3"/>
        <v>0</v>
      </c>
      <c r="M25" s="19">
        <f t="shared" si="4"/>
        <v>0</v>
      </c>
      <c r="N25" s="54"/>
    </row>
    <row r="26" spans="1:14">
      <c r="A26" s="28">
        <v>23</v>
      </c>
      <c r="B26" s="29">
        <v>45770</v>
      </c>
      <c r="C26" s="19"/>
      <c r="D26" s="19"/>
      <c r="E26" s="102">
        <v>350</v>
      </c>
      <c r="F26" s="102">
        <v>92.09</v>
      </c>
      <c r="G26" s="19">
        <f t="shared" si="0"/>
        <v>32231.5</v>
      </c>
      <c r="H26" s="102">
        <v>25</v>
      </c>
      <c r="I26" s="102">
        <v>103.86</v>
      </c>
      <c r="J26" s="19">
        <f t="shared" si="1"/>
        <v>2596.5</v>
      </c>
      <c r="K26" s="19">
        <f t="shared" si="2"/>
        <v>34828</v>
      </c>
      <c r="L26" s="19">
        <f t="shared" si="3"/>
        <v>34828</v>
      </c>
      <c r="M26" s="19">
        <f t="shared" si="4"/>
        <v>0</v>
      </c>
      <c r="N26" s="54"/>
    </row>
    <row r="27" spans="1:14">
      <c r="A27" s="28">
        <v>24</v>
      </c>
      <c r="B27" s="29">
        <v>45771</v>
      </c>
      <c r="C27" s="19"/>
      <c r="D27" s="19"/>
      <c r="E27" s="102"/>
      <c r="F27" s="102"/>
      <c r="G27" s="19">
        <f t="shared" si="0"/>
        <v>0</v>
      </c>
      <c r="H27" s="102"/>
      <c r="I27" s="102"/>
      <c r="J27" s="19">
        <f t="shared" si="1"/>
        <v>0</v>
      </c>
      <c r="K27" s="19">
        <f t="shared" si="2"/>
        <v>0</v>
      </c>
      <c r="L27" s="19">
        <f t="shared" si="3"/>
        <v>0</v>
      </c>
      <c r="M27" s="19">
        <f t="shared" si="4"/>
        <v>0</v>
      </c>
      <c r="N27" s="54"/>
    </row>
    <row r="28" spans="1:14">
      <c r="A28" s="28">
        <v>25</v>
      </c>
      <c r="B28" s="29">
        <v>45772</v>
      </c>
      <c r="C28" s="19"/>
      <c r="D28" s="19"/>
      <c r="E28" s="102">
        <v>325</v>
      </c>
      <c r="F28" s="102">
        <v>92.09</v>
      </c>
      <c r="G28" s="19">
        <f t="shared" si="0"/>
        <v>29929.25</v>
      </c>
      <c r="H28" s="102"/>
      <c r="I28" s="102"/>
      <c r="J28" s="19">
        <f t="shared" si="1"/>
        <v>0</v>
      </c>
      <c r="K28" s="19">
        <f t="shared" si="2"/>
        <v>29929.25</v>
      </c>
      <c r="L28" s="19">
        <f t="shared" si="3"/>
        <v>29929.25</v>
      </c>
      <c r="M28" s="19">
        <v>0</v>
      </c>
      <c r="N28" s="54"/>
    </row>
    <row r="29" spans="1:14">
      <c r="A29" s="28">
        <v>26</v>
      </c>
      <c r="B29" s="29">
        <v>45773</v>
      </c>
      <c r="C29" s="19"/>
      <c r="D29" s="19"/>
      <c r="E29" s="102"/>
      <c r="F29" s="102"/>
      <c r="G29" s="19">
        <f t="shared" si="0"/>
        <v>0</v>
      </c>
      <c r="H29" s="102"/>
      <c r="I29" s="102"/>
      <c r="J29" s="19">
        <f t="shared" si="1"/>
        <v>0</v>
      </c>
      <c r="K29" s="19">
        <f t="shared" si="2"/>
        <v>0</v>
      </c>
      <c r="L29" s="19">
        <f t="shared" si="3"/>
        <v>0</v>
      </c>
      <c r="M29" s="19">
        <v>0</v>
      </c>
      <c r="N29" s="54"/>
    </row>
    <row r="30" spans="1:14">
      <c r="A30" s="28">
        <v>27</v>
      </c>
      <c r="B30" s="29">
        <v>45774</v>
      </c>
      <c r="C30" s="19"/>
      <c r="D30" s="19"/>
      <c r="E30" s="102"/>
      <c r="F30" s="102"/>
      <c r="G30" s="19">
        <f t="shared" si="0"/>
        <v>0</v>
      </c>
      <c r="H30" s="102"/>
      <c r="I30" s="102"/>
      <c r="J30" s="19">
        <f t="shared" si="1"/>
        <v>0</v>
      </c>
      <c r="K30" s="19">
        <f t="shared" si="2"/>
        <v>0</v>
      </c>
      <c r="L30" s="19">
        <f t="shared" si="3"/>
        <v>0</v>
      </c>
      <c r="M30" s="19">
        <v>0</v>
      </c>
      <c r="N30" s="54"/>
    </row>
    <row r="31" spans="1:14">
      <c r="A31" s="28">
        <v>28</v>
      </c>
      <c r="B31" s="29">
        <v>45775</v>
      </c>
      <c r="C31" s="19"/>
      <c r="D31" s="19"/>
      <c r="E31" s="102">
        <v>200</v>
      </c>
      <c r="F31" s="102">
        <v>92.09</v>
      </c>
      <c r="G31" s="19">
        <f t="shared" si="0"/>
        <v>18418</v>
      </c>
      <c r="H31" s="102">
        <v>15</v>
      </c>
      <c r="I31" s="102">
        <v>103.86</v>
      </c>
      <c r="J31" s="19">
        <f t="shared" si="1"/>
        <v>1557.9</v>
      </c>
      <c r="K31" s="19">
        <f t="shared" si="2"/>
        <v>19975.900000000001</v>
      </c>
      <c r="L31" s="19">
        <f t="shared" si="3"/>
        <v>19975.900000000001</v>
      </c>
      <c r="M31" s="19"/>
      <c r="N31" s="54"/>
    </row>
    <row r="32" spans="1:14">
      <c r="A32" s="28">
        <v>29</v>
      </c>
      <c r="B32" s="29">
        <v>45776</v>
      </c>
      <c r="C32" s="19"/>
      <c r="D32" s="19"/>
      <c r="E32" s="102"/>
      <c r="F32" s="102"/>
      <c r="G32" s="19">
        <f t="shared" si="0"/>
        <v>0</v>
      </c>
      <c r="H32" s="102"/>
      <c r="I32" s="102"/>
      <c r="J32" s="19">
        <f t="shared" si="1"/>
        <v>0</v>
      </c>
      <c r="K32" s="19">
        <f t="shared" si="2"/>
        <v>0</v>
      </c>
      <c r="L32" s="19">
        <f t="shared" si="3"/>
        <v>0</v>
      </c>
      <c r="M32" s="19"/>
      <c r="N32" s="54"/>
    </row>
    <row r="33" spans="1:14">
      <c r="A33" s="28">
        <v>30</v>
      </c>
      <c r="B33" s="29">
        <v>45777</v>
      </c>
      <c r="C33" s="19"/>
      <c r="D33" s="19"/>
      <c r="E33" s="102">
        <v>10</v>
      </c>
      <c r="F33" s="102">
        <v>103.86</v>
      </c>
      <c r="G33" s="19">
        <f>E33*F33</f>
        <v>1038.5999999999999</v>
      </c>
      <c r="H33" s="102">
        <v>310</v>
      </c>
      <c r="I33" s="102">
        <v>92.09</v>
      </c>
      <c r="J33" s="19">
        <f t="shared" si="1"/>
        <v>28547.9</v>
      </c>
      <c r="K33" s="19">
        <f t="shared" si="2"/>
        <v>29586.5</v>
      </c>
      <c r="L33" s="19">
        <f t="shared" si="3"/>
        <v>29586.5</v>
      </c>
      <c r="M33" s="19"/>
      <c r="N33" s="54"/>
    </row>
    <row r="34" spans="1:14">
      <c r="A34" s="28">
        <v>31</v>
      </c>
      <c r="B34" s="29"/>
      <c r="C34" s="19"/>
      <c r="D34" s="19"/>
      <c r="E34" s="102"/>
      <c r="F34" s="102"/>
      <c r="G34" s="19"/>
      <c r="H34" s="102"/>
      <c r="I34" s="102"/>
      <c r="J34" s="19"/>
      <c r="K34" s="19"/>
      <c r="L34" s="19"/>
      <c r="M34" s="19"/>
      <c r="N34" s="54"/>
    </row>
    <row r="35" spans="1:14">
      <c r="A35" s="52"/>
      <c r="B35" s="52"/>
      <c r="C35" s="52"/>
      <c r="D35" s="52"/>
      <c r="E35" s="52">
        <f>SUM(E4:E34)</f>
        <v>2651</v>
      </c>
      <c r="F35" s="52"/>
      <c r="G35" s="52">
        <f>SUM(G4:G34)</f>
        <v>244248.29</v>
      </c>
      <c r="H35" s="52">
        <f>SUM(H4:H34)</f>
        <v>415</v>
      </c>
      <c r="I35" s="52"/>
      <c r="J35" s="52">
        <f>SUM(J4:J34)</f>
        <v>39453.199999999997</v>
      </c>
      <c r="K35" s="52">
        <f>SUM(K4:K34)</f>
        <v>283701.49</v>
      </c>
      <c r="L35" s="52">
        <f>SUM(L4:L34)</f>
        <v>283701.49</v>
      </c>
      <c r="M35" s="52"/>
      <c r="N35" s="52"/>
    </row>
  </sheetData>
  <mergeCells count="2">
    <mergeCell ref="A1:N1"/>
    <mergeCell ref="A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V44"/>
  <sheetViews>
    <sheetView workbookViewId="0">
      <pane ySplit="2" topLeftCell="A15" activePane="bottomLeft" state="frozen"/>
      <selection pane="bottomLeft" activeCell="P29" sqref="P29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9.7109375" bestFit="1" customWidth="1"/>
    <col min="11" max="11" width="13.85546875" bestFit="1" customWidth="1"/>
    <col min="12" max="12" width="12.7109375" bestFit="1" customWidth="1"/>
    <col min="13" max="13" width="12.7109375" customWidth="1"/>
    <col min="14" max="14" width="17.7109375" bestFit="1" customWidth="1"/>
    <col min="16" max="16" width="12" bestFit="1" customWidth="1"/>
    <col min="19" max="19" width="12" bestFit="1" customWidth="1"/>
  </cols>
  <sheetData>
    <row r="1" spans="1:15">
      <c r="A1" s="422" t="s">
        <v>29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97"/>
    </row>
    <row r="2" spans="1:15">
      <c r="A2" s="142" t="s">
        <v>81</v>
      </c>
      <c r="B2" s="143" t="s">
        <v>82</v>
      </c>
      <c r="C2" s="143" t="s">
        <v>83</v>
      </c>
      <c r="D2" s="143" t="s">
        <v>84</v>
      </c>
      <c r="E2" s="143" t="s">
        <v>85</v>
      </c>
      <c r="F2" s="143" t="s">
        <v>86</v>
      </c>
      <c r="G2" s="143" t="s">
        <v>87</v>
      </c>
      <c r="H2" s="143" t="s">
        <v>88</v>
      </c>
      <c r="I2" s="143" t="s">
        <v>86</v>
      </c>
      <c r="J2" s="144" t="s">
        <v>87</v>
      </c>
      <c r="K2" s="142" t="s">
        <v>89</v>
      </c>
      <c r="L2" s="145" t="s">
        <v>90</v>
      </c>
      <c r="M2" s="145" t="s">
        <v>97</v>
      </c>
      <c r="N2" s="143" t="s">
        <v>92</v>
      </c>
      <c r="O2" s="73"/>
    </row>
    <row r="3" spans="1:15">
      <c r="A3" s="407" t="s">
        <v>93</v>
      </c>
      <c r="B3" s="408"/>
      <c r="C3" s="408"/>
      <c r="D3" s="408"/>
      <c r="E3" s="408"/>
      <c r="F3" s="408"/>
      <c r="G3" s="408"/>
      <c r="H3" s="408"/>
      <c r="I3" s="408"/>
      <c r="J3" s="420"/>
      <c r="K3" s="112">
        <v>20804.110899999978</v>
      </c>
      <c r="L3" s="46"/>
      <c r="M3" s="46">
        <f>+K3</f>
        <v>20804.110899999978</v>
      </c>
      <c r="N3" s="19"/>
      <c r="O3" s="73"/>
    </row>
    <row r="4" spans="1:15">
      <c r="A4" s="28">
        <v>1</v>
      </c>
      <c r="B4" s="29">
        <v>45748</v>
      </c>
      <c r="C4" s="146"/>
      <c r="D4" s="147"/>
      <c r="E4" s="109">
        <v>435</v>
      </c>
      <c r="F4" s="109">
        <v>90.23</v>
      </c>
      <c r="G4" s="21">
        <f>E4*F4</f>
        <v>39250.050000000003</v>
      </c>
      <c r="H4" s="109">
        <v>0</v>
      </c>
      <c r="I4" s="109"/>
      <c r="J4" s="21">
        <f>H4*I4</f>
        <v>0</v>
      </c>
      <c r="K4" s="21">
        <f>G4+J4</f>
        <v>39250.050000000003</v>
      </c>
      <c r="L4" s="148">
        <v>0</v>
      </c>
      <c r="M4" s="148">
        <f>M3+K4-L4</f>
        <v>60054.160899999981</v>
      </c>
      <c r="N4" s="54"/>
    </row>
    <row r="5" spans="1:15">
      <c r="A5" s="28">
        <v>2</v>
      </c>
      <c r="B5" s="29">
        <v>45749</v>
      </c>
      <c r="C5" s="81"/>
      <c r="D5" s="81"/>
      <c r="E5" s="109">
        <v>0</v>
      </c>
      <c r="F5" s="109">
        <v>0</v>
      </c>
      <c r="G5" s="21">
        <f t="shared" ref="G5:G34" si="0">E5*F5</f>
        <v>0</v>
      </c>
      <c r="H5" s="109">
        <v>0</v>
      </c>
      <c r="I5" s="109"/>
      <c r="J5" s="21">
        <f t="shared" ref="J5:J34" si="1">H5*I5</f>
        <v>0</v>
      </c>
      <c r="K5" s="21">
        <f t="shared" ref="K5:K34" si="2">G5+J5</f>
        <v>0</v>
      </c>
      <c r="L5" s="148">
        <v>0</v>
      </c>
      <c r="M5" s="148">
        <f>M4+K5-L5</f>
        <v>60054.160899999981</v>
      </c>
      <c r="N5" s="54"/>
    </row>
    <row r="6" spans="1:15">
      <c r="A6" s="28">
        <v>3</v>
      </c>
      <c r="B6" s="29">
        <v>45750</v>
      </c>
      <c r="C6" s="81"/>
      <c r="D6" s="81"/>
      <c r="E6" s="109">
        <v>0</v>
      </c>
      <c r="F6" s="109">
        <v>0</v>
      </c>
      <c r="G6" s="21">
        <f t="shared" si="0"/>
        <v>0</v>
      </c>
      <c r="H6" s="109">
        <v>0</v>
      </c>
      <c r="I6" s="109"/>
      <c r="J6" s="21">
        <f t="shared" si="1"/>
        <v>0</v>
      </c>
      <c r="K6" s="21">
        <f t="shared" si="2"/>
        <v>0</v>
      </c>
      <c r="L6" s="148">
        <v>0</v>
      </c>
      <c r="M6" s="148">
        <f>M5+K6-L6</f>
        <v>60054.160899999981</v>
      </c>
      <c r="N6" s="54"/>
    </row>
    <row r="7" spans="1:15">
      <c r="A7" s="28">
        <v>4</v>
      </c>
      <c r="B7" s="29">
        <v>45751</v>
      </c>
      <c r="C7" s="81"/>
      <c r="D7" s="81"/>
      <c r="E7" s="109">
        <v>400</v>
      </c>
      <c r="F7" s="109">
        <v>92.1</v>
      </c>
      <c r="G7" s="21">
        <f t="shared" si="0"/>
        <v>36840</v>
      </c>
      <c r="H7" s="109">
        <v>35</v>
      </c>
      <c r="I7" s="109">
        <v>103.86</v>
      </c>
      <c r="J7" s="21">
        <f t="shared" si="1"/>
        <v>3635.1</v>
      </c>
      <c r="K7" s="21">
        <f t="shared" si="2"/>
        <v>40475.1</v>
      </c>
      <c r="L7" s="148">
        <v>60000</v>
      </c>
      <c r="M7" s="148">
        <f>M6+K7-L7</f>
        <v>40529.260899999979</v>
      </c>
      <c r="N7" s="54"/>
    </row>
    <row r="8" spans="1:15">
      <c r="A8" s="28">
        <v>5</v>
      </c>
      <c r="B8" s="29">
        <v>45752</v>
      </c>
      <c r="C8" s="81"/>
      <c r="D8" s="81"/>
      <c r="E8" s="109">
        <v>0</v>
      </c>
      <c r="F8" s="109">
        <v>0</v>
      </c>
      <c r="G8" s="21">
        <f t="shared" si="0"/>
        <v>0</v>
      </c>
      <c r="H8" s="109">
        <v>0</v>
      </c>
      <c r="I8" s="109"/>
      <c r="J8" s="21">
        <f t="shared" si="1"/>
        <v>0</v>
      </c>
      <c r="K8" s="21">
        <f t="shared" si="2"/>
        <v>0</v>
      </c>
      <c r="L8" s="148">
        <v>0</v>
      </c>
      <c r="M8" s="148">
        <f t="shared" ref="M8:M34" si="3">M7+K8-L8</f>
        <v>40529.260899999979</v>
      </c>
      <c r="N8" s="54"/>
      <c r="O8" s="83"/>
    </row>
    <row r="9" spans="1:15">
      <c r="A9" s="28">
        <v>6</v>
      </c>
      <c r="B9" s="29">
        <v>45753</v>
      </c>
      <c r="C9" s="81"/>
      <c r="D9" s="81"/>
      <c r="E9" s="109">
        <v>0</v>
      </c>
      <c r="F9" s="109">
        <v>0</v>
      </c>
      <c r="G9" s="21">
        <f t="shared" si="0"/>
        <v>0</v>
      </c>
      <c r="H9" s="109">
        <v>0</v>
      </c>
      <c r="I9" s="109"/>
      <c r="J9" s="21">
        <f t="shared" si="1"/>
        <v>0</v>
      </c>
      <c r="K9" s="21">
        <f t="shared" si="2"/>
        <v>0</v>
      </c>
      <c r="L9" s="148">
        <v>0</v>
      </c>
      <c r="M9" s="148">
        <f t="shared" si="3"/>
        <v>40529.260899999979</v>
      </c>
      <c r="N9" s="54"/>
      <c r="O9" s="83"/>
    </row>
    <row r="10" spans="1:15">
      <c r="A10" s="28">
        <v>7</v>
      </c>
      <c r="B10" s="29">
        <v>45754</v>
      </c>
      <c r="C10" s="81"/>
      <c r="D10" s="81"/>
      <c r="E10" s="109">
        <v>0</v>
      </c>
      <c r="F10" s="109">
        <v>0</v>
      </c>
      <c r="G10" s="21">
        <f t="shared" si="0"/>
        <v>0</v>
      </c>
      <c r="H10" s="109">
        <v>0</v>
      </c>
      <c r="I10" s="109"/>
      <c r="J10" s="21">
        <f t="shared" si="1"/>
        <v>0</v>
      </c>
      <c r="K10" s="21">
        <f t="shared" si="2"/>
        <v>0</v>
      </c>
      <c r="L10" s="148">
        <v>0</v>
      </c>
      <c r="M10" s="148">
        <f t="shared" si="3"/>
        <v>40529.260899999979</v>
      </c>
      <c r="N10" s="54"/>
      <c r="O10" s="83"/>
    </row>
    <row r="11" spans="1:15">
      <c r="A11" s="28">
        <v>8</v>
      </c>
      <c r="B11" s="29">
        <v>45755</v>
      </c>
      <c r="C11" s="81"/>
      <c r="D11" s="81"/>
      <c r="E11" s="109">
        <v>0</v>
      </c>
      <c r="F11" s="109">
        <v>0</v>
      </c>
      <c r="G11" s="21">
        <f t="shared" si="0"/>
        <v>0</v>
      </c>
      <c r="H11" s="109">
        <v>0</v>
      </c>
      <c r="I11" s="109"/>
      <c r="J11" s="21">
        <f t="shared" si="1"/>
        <v>0</v>
      </c>
      <c r="K11" s="21">
        <f t="shared" si="2"/>
        <v>0</v>
      </c>
      <c r="L11" s="148">
        <v>0</v>
      </c>
      <c r="M11" s="148">
        <f t="shared" si="3"/>
        <v>40529.260899999979</v>
      </c>
      <c r="N11" s="54"/>
      <c r="O11" s="83"/>
    </row>
    <row r="12" spans="1:15">
      <c r="A12" s="28">
        <v>9</v>
      </c>
      <c r="B12" s="29">
        <v>45756</v>
      </c>
      <c r="C12" s="81"/>
      <c r="D12" s="81"/>
      <c r="E12" s="109">
        <v>300</v>
      </c>
      <c r="F12" s="109">
        <v>92.1</v>
      </c>
      <c r="G12" s="21">
        <f t="shared" si="0"/>
        <v>27630</v>
      </c>
      <c r="H12" s="109">
        <v>0</v>
      </c>
      <c r="I12" s="109"/>
      <c r="J12" s="21">
        <f t="shared" si="1"/>
        <v>0</v>
      </c>
      <c r="K12" s="21">
        <f t="shared" si="2"/>
        <v>27630</v>
      </c>
      <c r="L12" s="148">
        <v>0</v>
      </c>
      <c r="M12" s="148">
        <f t="shared" si="3"/>
        <v>68159.260899999979</v>
      </c>
      <c r="N12" s="54"/>
      <c r="O12" s="83"/>
    </row>
    <row r="13" spans="1:15">
      <c r="A13" s="28">
        <v>10</v>
      </c>
      <c r="B13" s="29">
        <v>45757</v>
      </c>
      <c r="C13" s="81"/>
      <c r="D13" s="81"/>
      <c r="E13" s="109">
        <v>200</v>
      </c>
      <c r="F13" s="109">
        <v>92.1</v>
      </c>
      <c r="G13" s="21">
        <f t="shared" si="0"/>
        <v>18420</v>
      </c>
      <c r="H13" s="109">
        <v>0</v>
      </c>
      <c r="I13" s="109"/>
      <c r="J13" s="21">
        <f t="shared" si="1"/>
        <v>0</v>
      </c>
      <c r="K13" s="21">
        <f t="shared" si="2"/>
        <v>18420</v>
      </c>
      <c r="L13" s="148">
        <v>0</v>
      </c>
      <c r="M13" s="148">
        <f t="shared" si="3"/>
        <v>86579.260899999979</v>
      </c>
      <c r="N13" s="54"/>
      <c r="O13" s="83"/>
    </row>
    <row r="14" spans="1:15">
      <c r="A14" s="28">
        <v>11</v>
      </c>
      <c r="B14" s="29">
        <v>45758</v>
      </c>
      <c r="C14" s="81"/>
      <c r="D14" s="81"/>
      <c r="E14" s="109">
        <v>500</v>
      </c>
      <c r="F14" s="109">
        <v>92.1</v>
      </c>
      <c r="G14" s="21">
        <f t="shared" si="0"/>
        <v>46050</v>
      </c>
      <c r="H14" s="109">
        <v>35</v>
      </c>
      <c r="I14" s="109">
        <v>103.86</v>
      </c>
      <c r="J14" s="21">
        <f t="shared" si="1"/>
        <v>3635.1</v>
      </c>
      <c r="K14" s="21">
        <f t="shared" si="2"/>
        <v>49685.1</v>
      </c>
      <c r="L14" s="148">
        <v>68160</v>
      </c>
      <c r="M14" s="148">
        <f t="shared" si="3"/>
        <v>68104.360899999971</v>
      </c>
      <c r="N14" s="54"/>
      <c r="O14" s="83"/>
    </row>
    <row r="15" spans="1:15">
      <c r="A15" s="28">
        <v>12</v>
      </c>
      <c r="B15" s="29">
        <v>45759</v>
      </c>
      <c r="C15" s="81"/>
      <c r="D15" s="81"/>
      <c r="E15" s="109">
        <v>0</v>
      </c>
      <c r="F15" s="109">
        <v>0</v>
      </c>
      <c r="G15" s="21">
        <f t="shared" si="0"/>
        <v>0</v>
      </c>
      <c r="H15" s="109">
        <v>0</v>
      </c>
      <c r="I15" s="109"/>
      <c r="J15" s="21">
        <f t="shared" si="1"/>
        <v>0</v>
      </c>
      <c r="K15" s="21">
        <f t="shared" si="2"/>
        <v>0</v>
      </c>
      <c r="L15" s="148">
        <v>0</v>
      </c>
      <c r="M15" s="148">
        <f t="shared" si="3"/>
        <v>68104.360899999971</v>
      </c>
      <c r="N15" s="54"/>
      <c r="O15" s="83"/>
    </row>
    <row r="16" spans="1:15">
      <c r="A16" s="28">
        <v>13</v>
      </c>
      <c r="B16" s="29">
        <v>45760</v>
      </c>
      <c r="C16" s="81"/>
      <c r="D16" s="81"/>
      <c r="E16" s="109">
        <v>0</v>
      </c>
      <c r="F16" s="109">
        <v>0</v>
      </c>
      <c r="G16" s="21">
        <f t="shared" si="0"/>
        <v>0</v>
      </c>
      <c r="H16" s="109">
        <v>0</v>
      </c>
      <c r="I16" s="109"/>
      <c r="J16" s="21">
        <f t="shared" si="1"/>
        <v>0</v>
      </c>
      <c r="K16" s="21">
        <f t="shared" si="2"/>
        <v>0</v>
      </c>
      <c r="L16" s="148">
        <v>0</v>
      </c>
      <c r="M16" s="148">
        <f t="shared" si="3"/>
        <v>68104.360899999971</v>
      </c>
      <c r="N16" s="54"/>
      <c r="O16" s="83"/>
    </row>
    <row r="17" spans="1:22">
      <c r="A17" s="28">
        <v>14</v>
      </c>
      <c r="B17" s="29">
        <v>45761</v>
      </c>
      <c r="C17" s="81"/>
      <c r="D17" s="81"/>
      <c r="E17" s="109">
        <v>510</v>
      </c>
      <c r="F17" s="109">
        <v>92.1</v>
      </c>
      <c r="G17" s="21">
        <f t="shared" si="0"/>
        <v>46971</v>
      </c>
      <c r="H17" s="109">
        <v>0</v>
      </c>
      <c r="I17" s="109"/>
      <c r="J17" s="21">
        <f t="shared" si="1"/>
        <v>0</v>
      </c>
      <c r="K17" s="21">
        <f t="shared" si="2"/>
        <v>46971</v>
      </c>
      <c r="L17" s="148">
        <v>0</v>
      </c>
      <c r="M17" s="148">
        <f t="shared" si="3"/>
        <v>115075.36089999997</v>
      </c>
      <c r="N17" s="54"/>
      <c r="O17" s="83"/>
    </row>
    <row r="18" spans="1:22">
      <c r="A18" s="28">
        <v>15</v>
      </c>
      <c r="B18" s="29">
        <v>45762</v>
      </c>
      <c r="C18" s="81"/>
      <c r="D18" s="81"/>
      <c r="E18" s="109">
        <v>0</v>
      </c>
      <c r="F18" s="109">
        <v>0</v>
      </c>
      <c r="G18" s="21">
        <f t="shared" si="0"/>
        <v>0</v>
      </c>
      <c r="H18" s="109">
        <v>0</v>
      </c>
      <c r="I18" s="109"/>
      <c r="J18" s="21">
        <f t="shared" si="1"/>
        <v>0</v>
      </c>
      <c r="K18" s="21">
        <f t="shared" si="2"/>
        <v>0</v>
      </c>
      <c r="L18" s="148">
        <v>68104</v>
      </c>
      <c r="M18" s="148">
        <f t="shared" si="3"/>
        <v>46971.360899999971</v>
      </c>
      <c r="N18" s="54"/>
      <c r="O18" s="83"/>
    </row>
    <row r="19" spans="1:22">
      <c r="A19" s="28">
        <v>16</v>
      </c>
      <c r="B19" s="29">
        <v>45763</v>
      </c>
      <c r="C19" s="81"/>
      <c r="D19" s="81"/>
      <c r="E19" s="109">
        <v>0</v>
      </c>
      <c r="F19" s="109">
        <v>0</v>
      </c>
      <c r="G19" s="21">
        <f t="shared" si="0"/>
        <v>0</v>
      </c>
      <c r="H19" s="109">
        <v>40</v>
      </c>
      <c r="I19" s="109">
        <v>103.86</v>
      </c>
      <c r="J19" s="21">
        <f t="shared" si="1"/>
        <v>4154.3999999999996</v>
      </c>
      <c r="K19" s="21">
        <f t="shared" si="2"/>
        <v>4154.3999999999996</v>
      </c>
      <c r="L19" s="148">
        <v>0</v>
      </c>
      <c r="M19" s="148">
        <f t="shared" si="3"/>
        <v>51125.760899999972</v>
      </c>
      <c r="N19" s="54"/>
      <c r="O19" s="83"/>
    </row>
    <row r="20" spans="1:22">
      <c r="A20" s="28">
        <v>17</v>
      </c>
      <c r="B20" s="29">
        <v>45764</v>
      </c>
      <c r="C20" s="81"/>
      <c r="D20" s="81"/>
      <c r="E20" s="109">
        <v>0</v>
      </c>
      <c r="F20" s="109">
        <v>0</v>
      </c>
      <c r="G20" s="21">
        <f t="shared" si="0"/>
        <v>0</v>
      </c>
      <c r="H20" s="109">
        <v>0</v>
      </c>
      <c r="I20" s="109"/>
      <c r="J20" s="21">
        <f t="shared" si="1"/>
        <v>0</v>
      </c>
      <c r="K20" s="21">
        <f t="shared" si="2"/>
        <v>0</v>
      </c>
      <c r="L20" s="148">
        <v>0</v>
      </c>
      <c r="M20" s="148">
        <f t="shared" si="3"/>
        <v>51125.760899999972</v>
      </c>
      <c r="N20" s="54"/>
      <c r="O20" s="83"/>
      <c r="V20">
        <f>400*90.23</f>
        <v>36092</v>
      </c>
    </row>
    <row r="21" spans="1:22">
      <c r="A21" s="28">
        <v>18</v>
      </c>
      <c r="B21" s="29">
        <v>45765</v>
      </c>
      <c r="C21" s="81"/>
      <c r="D21" s="81"/>
      <c r="E21" s="109">
        <v>500</v>
      </c>
      <c r="F21" s="109">
        <v>92.1</v>
      </c>
      <c r="G21" s="21">
        <f t="shared" si="0"/>
        <v>46050</v>
      </c>
      <c r="H21" s="109">
        <v>0</v>
      </c>
      <c r="I21" s="109"/>
      <c r="J21" s="21">
        <f t="shared" si="1"/>
        <v>0</v>
      </c>
      <c r="K21" s="21">
        <f t="shared" si="2"/>
        <v>46050</v>
      </c>
      <c r="L21" s="148">
        <v>0</v>
      </c>
      <c r="M21" s="148">
        <f t="shared" si="3"/>
        <v>97175.760899999965</v>
      </c>
      <c r="N21" s="54"/>
      <c r="O21" s="83"/>
      <c r="V21">
        <f>35*104.14</f>
        <v>3644.9</v>
      </c>
    </row>
    <row r="22" spans="1:22">
      <c r="A22" s="28">
        <v>19</v>
      </c>
      <c r="B22" s="29">
        <v>45766</v>
      </c>
      <c r="C22" s="81"/>
      <c r="D22" s="81"/>
      <c r="E22" s="109">
        <v>0</v>
      </c>
      <c r="F22" s="109">
        <v>0</v>
      </c>
      <c r="G22" s="21">
        <f t="shared" si="0"/>
        <v>0</v>
      </c>
      <c r="H22" s="109">
        <v>0</v>
      </c>
      <c r="I22" s="109"/>
      <c r="J22" s="21">
        <f t="shared" si="1"/>
        <v>0</v>
      </c>
      <c r="K22" s="21">
        <f t="shared" si="2"/>
        <v>0</v>
      </c>
      <c r="L22" s="148">
        <v>0</v>
      </c>
      <c r="M22" s="148">
        <f t="shared" si="3"/>
        <v>97175.760899999965</v>
      </c>
      <c r="N22" s="54"/>
      <c r="O22" s="83"/>
    </row>
    <row r="23" spans="1:22">
      <c r="A23" s="28">
        <v>20</v>
      </c>
      <c r="B23" s="29">
        <v>45767</v>
      </c>
      <c r="C23" s="81"/>
      <c r="D23" s="81"/>
      <c r="E23" s="109">
        <v>0</v>
      </c>
      <c r="F23" s="109">
        <v>0</v>
      </c>
      <c r="G23" s="21">
        <f t="shared" si="0"/>
        <v>0</v>
      </c>
      <c r="H23" s="109">
        <v>0</v>
      </c>
      <c r="I23" s="109"/>
      <c r="J23" s="21">
        <f t="shared" si="1"/>
        <v>0</v>
      </c>
      <c r="K23" s="21">
        <f t="shared" si="2"/>
        <v>0</v>
      </c>
      <c r="L23" s="148">
        <v>0</v>
      </c>
      <c r="M23" s="148">
        <f t="shared" si="3"/>
        <v>97175.760899999965</v>
      </c>
      <c r="N23" s="54"/>
      <c r="O23" s="83"/>
    </row>
    <row r="24" spans="1:22">
      <c r="A24" s="28">
        <v>21</v>
      </c>
      <c r="B24" s="29">
        <v>45768</v>
      </c>
      <c r="C24" s="81"/>
      <c r="D24" s="81"/>
      <c r="E24" s="109">
        <v>0</v>
      </c>
      <c r="F24" s="109">
        <v>0</v>
      </c>
      <c r="G24" s="21">
        <f t="shared" si="0"/>
        <v>0</v>
      </c>
      <c r="H24" s="109">
        <v>0</v>
      </c>
      <c r="I24" s="109"/>
      <c r="J24" s="21">
        <f t="shared" si="1"/>
        <v>0</v>
      </c>
      <c r="K24" s="21">
        <f t="shared" si="2"/>
        <v>0</v>
      </c>
      <c r="L24" s="148"/>
      <c r="M24" s="148">
        <f t="shared" si="3"/>
        <v>97175.760899999965</v>
      </c>
      <c r="N24" s="54"/>
      <c r="O24" s="83"/>
    </row>
    <row r="25" spans="1:22">
      <c r="A25" s="28">
        <v>22</v>
      </c>
      <c r="B25" s="29">
        <v>45769</v>
      </c>
      <c r="C25" s="81"/>
      <c r="D25" s="81"/>
      <c r="E25" s="109">
        <v>500</v>
      </c>
      <c r="F25" s="109">
        <v>92.1</v>
      </c>
      <c r="G25" s="21">
        <f t="shared" si="0"/>
        <v>46050</v>
      </c>
      <c r="H25" s="109">
        <v>35</v>
      </c>
      <c r="I25" s="109">
        <v>103.86</v>
      </c>
      <c r="J25" s="21">
        <f t="shared" si="1"/>
        <v>3635.1</v>
      </c>
      <c r="K25" s="21">
        <f t="shared" si="2"/>
        <v>49685.1</v>
      </c>
      <c r="L25" s="148">
        <v>0</v>
      </c>
      <c r="M25" s="148">
        <f t="shared" si="3"/>
        <v>146860.86089999997</v>
      </c>
      <c r="N25" s="54"/>
      <c r="O25" s="83"/>
    </row>
    <row r="26" spans="1:22">
      <c r="A26" s="28">
        <v>23</v>
      </c>
      <c r="B26" s="29">
        <v>45770</v>
      </c>
      <c r="C26" s="81"/>
      <c r="D26" s="81"/>
      <c r="E26" s="109">
        <v>0</v>
      </c>
      <c r="F26" s="109">
        <v>0</v>
      </c>
      <c r="G26" s="21">
        <f t="shared" si="0"/>
        <v>0</v>
      </c>
      <c r="H26" s="109">
        <v>0</v>
      </c>
      <c r="I26" s="109"/>
      <c r="J26" s="21">
        <f t="shared" si="1"/>
        <v>0</v>
      </c>
      <c r="K26" s="21">
        <f t="shared" si="2"/>
        <v>0</v>
      </c>
      <c r="L26" s="148"/>
      <c r="M26" s="148">
        <f t="shared" si="3"/>
        <v>146860.86089999997</v>
      </c>
      <c r="N26" s="54"/>
      <c r="O26" s="83"/>
    </row>
    <row r="27" spans="1:22">
      <c r="A27" s="28">
        <v>24</v>
      </c>
      <c r="B27" s="29">
        <v>45771</v>
      </c>
      <c r="C27" s="81"/>
      <c r="D27" s="81"/>
      <c r="E27" s="109">
        <v>0</v>
      </c>
      <c r="F27" s="109">
        <v>0</v>
      </c>
      <c r="G27" s="21">
        <f t="shared" si="0"/>
        <v>0</v>
      </c>
      <c r="H27" s="109">
        <v>0</v>
      </c>
      <c r="I27" s="109"/>
      <c r="J27" s="21">
        <f t="shared" si="1"/>
        <v>0</v>
      </c>
      <c r="K27" s="21">
        <f t="shared" si="2"/>
        <v>0</v>
      </c>
      <c r="L27" s="148">
        <v>96255</v>
      </c>
      <c r="M27" s="148">
        <f t="shared" si="3"/>
        <v>50605.860899999971</v>
      </c>
      <c r="N27" s="54"/>
      <c r="O27" s="83"/>
    </row>
    <row r="28" spans="1:22">
      <c r="A28" s="28">
        <v>25</v>
      </c>
      <c r="B28" s="29">
        <v>45772</v>
      </c>
      <c r="C28" s="81"/>
      <c r="D28" s="81"/>
      <c r="E28" s="109">
        <v>0</v>
      </c>
      <c r="F28" s="109">
        <v>0</v>
      </c>
      <c r="G28" s="21">
        <f t="shared" si="0"/>
        <v>0</v>
      </c>
      <c r="H28" s="109">
        <v>0</v>
      </c>
      <c r="I28" s="109"/>
      <c r="J28" s="21">
        <f t="shared" si="1"/>
        <v>0</v>
      </c>
      <c r="K28" s="21">
        <f t="shared" si="2"/>
        <v>0</v>
      </c>
      <c r="L28" s="148">
        <v>0</v>
      </c>
      <c r="M28" s="148">
        <f t="shared" si="3"/>
        <v>50605.860899999971</v>
      </c>
      <c r="N28" s="54"/>
      <c r="O28" s="83"/>
    </row>
    <row r="29" spans="1:22">
      <c r="A29" s="28">
        <v>26</v>
      </c>
      <c r="B29" s="29">
        <v>45773</v>
      </c>
      <c r="C29" s="81"/>
      <c r="D29" s="81"/>
      <c r="E29" s="109">
        <v>0</v>
      </c>
      <c r="F29" s="109">
        <v>0</v>
      </c>
      <c r="G29" s="21">
        <f t="shared" si="0"/>
        <v>0</v>
      </c>
      <c r="H29" s="109">
        <v>0</v>
      </c>
      <c r="I29" s="109"/>
      <c r="J29" s="21">
        <f t="shared" si="1"/>
        <v>0</v>
      </c>
      <c r="K29" s="21">
        <f t="shared" si="2"/>
        <v>0</v>
      </c>
      <c r="L29" s="148">
        <v>0</v>
      </c>
      <c r="M29" s="148">
        <f t="shared" si="3"/>
        <v>50605.860899999971</v>
      </c>
      <c r="N29" s="54"/>
      <c r="O29" s="83"/>
    </row>
    <row r="30" spans="1:22">
      <c r="A30" s="28">
        <v>27</v>
      </c>
      <c r="B30" s="29">
        <v>45774</v>
      </c>
      <c r="C30" s="81"/>
      <c r="D30" s="81"/>
      <c r="E30" s="109">
        <v>0</v>
      </c>
      <c r="F30" s="109">
        <v>0</v>
      </c>
      <c r="G30" s="21">
        <f t="shared" si="0"/>
        <v>0</v>
      </c>
      <c r="H30" s="109">
        <v>0</v>
      </c>
      <c r="I30" s="109"/>
      <c r="J30" s="21">
        <f t="shared" si="1"/>
        <v>0</v>
      </c>
      <c r="K30" s="21">
        <f t="shared" si="2"/>
        <v>0</v>
      </c>
      <c r="L30" s="148">
        <v>0</v>
      </c>
      <c r="M30" s="148">
        <f t="shared" si="3"/>
        <v>50605.860899999971</v>
      </c>
      <c r="N30" s="54"/>
      <c r="O30" s="83"/>
    </row>
    <row r="31" spans="1:22">
      <c r="A31" s="28">
        <v>28</v>
      </c>
      <c r="B31" s="29">
        <v>45775</v>
      </c>
      <c r="C31" s="81"/>
      <c r="D31" s="81"/>
      <c r="E31" s="109">
        <v>291.89999999999998</v>
      </c>
      <c r="F31" s="109">
        <v>92.1</v>
      </c>
      <c r="G31" s="21">
        <f t="shared" si="0"/>
        <v>26883.989999999998</v>
      </c>
      <c r="H31" s="109">
        <v>30</v>
      </c>
      <c r="I31" s="109">
        <v>103.86</v>
      </c>
      <c r="J31" s="21">
        <f t="shared" si="1"/>
        <v>3115.8</v>
      </c>
      <c r="K31" s="21">
        <f t="shared" si="2"/>
        <v>29999.789999999997</v>
      </c>
      <c r="L31" s="148">
        <v>29999.79</v>
      </c>
      <c r="M31" s="148">
        <f t="shared" si="3"/>
        <v>50605.860899999963</v>
      </c>
      <c r="N31" s="54"/>
      <c r="O31" s="83"/>
    </row>
    <row r="32" spans="1:22">
      <c r="A32" s="28">
        <v>29</v>
      </c>
      <c r="B32" s="29">
        <v>45776</v>
      </c>
      <c r="C32" s="81"/>
      <c r="D32" s="81"/>
      <c r="E32" s="109">
        <v>0</v>
      </c>
      <c r="F32" s="109">
        <v>0</v>
      </c>
      <c r="G32" s="21">
        <f t="shared" si="0"/>
        <v>0</v>
      </c>
      <c r="H32" s="109">
        <v>0</v>
      </c>
      <c r="I32" s="109"/>
      <c r="J32" s="21">
        <f t="shared" si="1"/>
        <v>0</v>
      </c>
      <c r="K32" s="21">
        <f t="shared" si="2"/>
        <v>0</v>
      </c>
      <c r="L32" s="148">
        <v>0</v>
      </c>
      <c r="M32" s="148">
        <f t="shared" si="3"/>
        <v>50605.860899999963</v>
      </c>
      <c r="N32" s="54"/>
      <c r="O32" s="83"/>
    </row>
    <row r="33" spans="1:19">
      <c r="A33" s="28">
        <v>30</v>
      </c>
      <c r="B33" s="29">
        <v>45777</v>
      </c>
      <c r="C33" s="81"/>
      <c r="D33" s="81"/>
      <c r="E33" s="109">
        <v>500</v>
      </c>
      <c r="F33" s="109">
        <v>92.1</v>
      </c>
      <c r="G33" s="21">
        <f t="shared" si="0"/>
        <v>46050</v>
      </c>
      <c r="H33" s="109">
        <v>0</v>
      </c>
      <c r="I33" s="109"/>
      <c r="J33" s="21">
        <f t="shared" si="1"/>
        <v>0</v>
      </c>
      <c r="K33" s="21">
        <f t="shared" si="2"/>
        <v>46050</v>
      </c>
      <c r="L33" s="148">
        <v>0</v>
      </c>
      <c r="M33" s="148">
        <f t="shared" si="3"/>
        <v>96655.860899999971</v>
      </c>
      <c r="N33" s="54"/>
      <c r="O33" s="83"/>
    </row>
    <row r="34" spans="1:19">
      <c r="A34" s="28">
        <v>31</v>
      </c>
      <c r="B34" s="29"/>
      <c r="C34" s="81"/>
      <c r="D34" s="81"/>
      <c r="E34" s="109">
        <v>0</v>
      </c>
      <c r="F34" s="109">
        <v>0</v>
      </c>
      <c r="G34" s="21">
        <f t="shared" si="0"/>
        <v>0</v>
      </c>
      <c r="H34" s="109">
        <v>0</v>
      </c>
      <c r="I34" s="109"/>
      <c r="J34" s="21">
        <f t="shared" si="1"/>
        <v>0</v>
      </c>
      <c r="K34" s="21">
        <f t="shared" si="2"/>
        <v>0</v>
      </c>
      <c r="L34" s="148">
        <v>0</v>
      </c>
      <c r="M34" s="148">
        <f t="shared" si="3"/>
        <v>96655.860899999971</v>
      </c>
      <c r="N34" s="54"/>
      <c r="O34" s="83"/>
    </row>
    <row r="35" spans="1:19">
      <c r="A35" s="52"/>
      <c r="B35" s="52"/>
      <c r="C35" s="52"/>
      <c r="D35" s="52"/>
      <c r="E35" s="53">
        <f>SUM(E4:E34)</f>
        <v>4136.8999999999996</v>
      </c>
      <c r="F35" s="53"/>
      <c r="G35" s="53">
        <f>SUM(G4:G34)</f>
        <v>380195.04</v>
      </c>
      <c r="H35" s="53">
        <f>SUM(H4:H34)</f>
        <v>175</v>
      </c>
      <c r="I35" s="53"/>
      <c r="J35" s="53">
        <f>SUM(J4:J34)</f>
        <v>18175.5</v>
      </c>
      <c r="K35" s="53">
        <f>SUM(K4:K34)</f>
        <v>398370.54</v>
      </c>
      <c r="L35" s="53">
        <f>SUM(L4:L34)</f>
        <v>322518.78999999998</v>
      </c>
      <c r="M35" s="53"/>
      <c r="N35" s="53"/>
      <c r="O35" s="35"/>
    </row>
    <row r="36" spans="1:19">
      <c r="A36" s="87"/>
      <c r="B36" s="88"/>
      <c r="C36" s="87"/>
      <c r="D36" s="87"/>
      <c r="E36" s="89"/>
      <c r="F36" s="89"/>
      <c r="G36" s="89"/>
      <c r="H36" s="89"/>
      <c r="I36" s="89"/>
      <c r="J36" s="90"/>
      <c r="K36" s="90"/>
      <c r="L36" s="90"/>
      <c r="M36" s="90"/>
      <c r="N36" s="89"/>
      <c r="O36" s="83"/>
    </row>
    <row r="37" spans="1:19">
      <c r="O37" s="83"/>
    </row>
    <row r="38" spans="1:19">
      <c r="O38" s="83"/>
    </row>
    <row r="39" spans="1:19">
      <c r="O39" s="83"/>
    </row>
    <row r="40" spans="1:19">
      <c r="O40" s="83"/>
    </row>
    <row r="41" spans="1:19">
      <c r="O41" s="83"/>
      <c r="S41">
        <v>9052944708</v>
      </c>
    </row>
    <row r="42" spans="1:19">
      <c r="A42" s="83"/>
      <c r="B42" s="73"/>
      <c r="C42" s="83"/>
      <c r="D42" s="83"/>
      <c r="E42" s="83"/>
      <c r="F42" s="83"/>
      <c r="G42" s="91"/>
      <c r="H42" s="83"/>
      <c r="I42" s="83"/>
      <c r="J42" s="73"/>
      <c r="K42" s="73"/>
      <c r="L42" s="73"/>
      <c r="M42" s="73"/>
      <c r="N42" s="83"/>
      <c r="O42" s="89"/>
    </row>
    <row r="43" spans="1:19">
      <c r="A43" s="83"/>
      <c r="B43" s="423"/>
      <c r="C43" s="423"/>
      <c r="D43" s="423"/>
      <c r="E43" s="423"/>
      <c r="F43" s="83"/>
      <c r="G43" s="83"/>
      <c r="H43" s="83"/>
      <c r="I43" s="423"/>
      <c r="J43" s="423"/>
      <c r="K43" s="423"/>
      <c r="L43" s="423"/>
      <c r="M43" s="423"/>
      <c r="N43" s="423"/>
      <c r="O43" s="89"/>
    </row>
    <row r="44" spans="1:19">
      <c r="A44" s="83"/>
      <c r="B44" s="73"/>
      <c r="C44" s="83"/>
      <c r="D44" s="83"/>
      <c r="E44" s="83"/>
      <c r="F44" s="83"/>
      <c r="G44" s="83"/>
      <c r="H44" s="83"/>
      <c r="I44" s="83"/>
      <c r="J44" s="73"/>
      <c r="K44" s="73"/>
      <c r="L44" s="73"/>
      <c r="M44" s="73"/>
      <c r="N44" s="83"/>
      <c r="O44" s="89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6945-7278-4A2D-A0B9-0B43E354BFF7}">
  <dimension ref="A1:N8"/>
  <sheetViews>
    <sheetView workbookViewId="0">
      <selection activeCell="F11" sqref="F11:F15"/>
    </sheetView>
  </sheetViews>
  <sheetFormatPr defaultRowHeight="15"/>
  <cols>
    <col min="4" max="4" width="14.85546875" customWidth="1"/>
    <col min="5" max="5" width="19.42578125" customWidth="1"/>
    <col min="8" max="8" width="13.85546875" customWidth="1"/>
    <col min="12" max="12" width="12" customWidth="1"/>
    <col min="13" max="13" width="16.5703125" customWidth="1"/>
    <col min="14" max="14" width="12.28515625" customWidth="1"/>
  </cols>
  <sheetData>
    <row r="1" spans="1:14">
      <c r="A1" s="424" t="s">
        <v>106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</row>
    <row r="2" spans="1:14" ht="23.25" customHeight="1">
      <c r="A2" s="78" t="s">
        <v>81</v>
      </c>
      <c r="B2" s="98" t="s">
        <v>82</v>
      </c>
      <c r="C2" s="98" t="s">
        <v>83</v>
      </c>
      <c r="D2" s="98" t="s">
        <v>84</v>
      </c>
      <c r="E2" s="98" t="s">
        <v>85</v>
      </c>
      <c r="F2" s="98" t="s">
        <v>86</v>
      </c>
      <c r="G2" s="98" t="s">
        <v>87</v>
      </c>
      <c r="H2" s="98" t="s">
        <v>88</v>
      </c>
      <c r="I2" s="98" t="s">
        <v>86</v>
      </c>
      <c r="J2" s="99" t="s">
        <v>87</v>
      </c>
      <c r="K2" s="78" t="s">
        <v>89</v>
      </c>
      <c r="L2" s="78" t="s">
        <v>107</v>
      </c>
      <c r="M2" s="100" t="s">
        <v>90</v>
      </c>
      <c r="N2" s="98" t="s">
        <v>92</v>
      </c>
    </row>
    <row r="3" spans="1:14">
      <c r="A3" s="19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>
      <c r="A4" s="19">
        <v>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>
      <c r="A5" s="19">
        <v>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</sheetData>
  <mergeCells count="1">
    <mergeCell ref="A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FCD-21AA-40DD-BCCB-514D4CD38E73}">
  <sheetPr>
    <tabColor rgb="FF7030A0"/>
  </sheetPr>
  <dimension ref="A1:Q49"/>
  <sheetViews>
    <sheetView workbookViewId="0">
      <pane ySplit="2" topLeftCell="A21" activePane="bottomLeft" state="frozen"/>
      <selection pane="bottomLeft" activeCell="P39" sqref="P39"/>
    </sheetView>
  </sheetViews>
  <sheetFormatPr defaultColWidth="9.140625" defaultRowHeight="15"/>
  <cols>
    <col min="1" max="1" width="6.140625" bestFit="1" customWidth="1"/>
    <col min="2" max="2" width="11.5703125" customWidth="1"/>
    <col min="3" max="3" width="8" bestFit="1" customWidth="1"/>
    <col min="4" max="4" width="15.5703125" customWidth="1"/>
    <col min="5" max="5" width="10.7109375" bestFit="1" customWidth="1"/>
    <col min="6" max="7" width="11.85546875" bestFit="1" customWidth="1"/>
    <col min="8" max="8" width="10.7109375" bestFit="1" customWidth="1"/>
    <col min="9" max="9" width="8.140625" bestFit="1" customWidth="1"/>
    <col min="10" max="10" width="10.85546875" bestFit="1" customWidth="1"/>
    <col min="11" max="12" width="13.5703125" bestFit="1" customWidth="1"/>
    <col min="13" max="13" width="13.5703125" customWidth="1"/>
    <col min="14" max="14" width="17.7109375" bestFit="1" customWidth="1"/>
    <col min="15" max="15" width="7.140625" customWidth="1"/>
    <col min="16" max="16" width="9.7109375" customWidth="1"/>
    <col min="17" max="17" width="11.28515625" bestFit="1" customWidth="1"/>
  </cols>
  <sheetData>
    <row r="1" spans="1:15" ht="15.75">
      <c r="A1" s="413" t="s">
        <v>53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66"/>
    </row>
    <row r="2" spans="1:15" ht="18" customHeight="1">
      <c r="A2" s="78" t="s">
        <v>81</v>
      </c>
      <c r="B2" s="98" t="s">
        <v>82</v>
      </c>
      <c r="C2" s="98" t="s">
        <v>83</v>
      </c>
      <c r="D2" s="98" t="s">
        <v>84</v>
      </c>
      <c r="E2" s="98" t="s">
        <v>85</v>
      </c>
      <c r="F2" s="98" t="s">
        <v>86</v>
      </c>
      <c r="G2" s="98" t="s">
        <v>87</v>
      </c>
      <c r="H2" s="98" t="s">
        <v>88</v>
      </c>
      <c r="I2" s="98" t="s">
        <v>86</v>
      </c>
      <c r="J2" s="99" t="s">
        <v>87</v>
      </c>
      <c r="K2" s="78" t="s">
        <v>89</v>
      </c>
      <c r="L2" s="100" t="s">
        <v>90</v>
      </c>
      <c r="M2" s="194" t="s">
        <v>97</v>
      </c>
      <c r="N2" s="98" t="s">
        <v>92</v>
      </c>
      <c r="O2" s="73"/>
    </row>
    <row r="3" spans="1:15" ht="18" customHeight="1">
      <c r="A3" s="172"/>
      <c r="B3" s="173"/>
      <c r="C3" s="173"/>
      <c r="D3" s="152" t="s">
        <v>93</v>
      </c>
      <c r="E3" s="173"/>
      <c r="F3" s="173"/>
      <c r="G3" s="173"/>
      <c r="H3" s="173"/>
      <c r="I3" s="173"/>
      <c r="J3" s="174"/>
      <c r="K3" s="393">
        <v>0</v>
      </c>
      <c r="L3" s="175">
        <v>0</v>
      </c>
      <c r="M3" s="175"/>
      <c r="N3" s="173"/>
      <c r="O3" s="73"/>
    </row>
    <row r="4" spans="1:15">
      <c r="A4" s="56">
        <v>1</v>
      </c>
      <c r="B4" s="251">
        <v>45748</v>
      </c>
      <c r="C4" s="27"/>
      <c r="D4" s="27"/>
      <c r="E4" s="8">
        <v>44</v>
      </c>
      <c r="F4" s="8">
        <v>91.47</v>
      </c>
      <c r="G4" s="8">
        <f>E4*F4</f>
        <v>4024.68</v>
      </c>
      <c r="H4" s="9">
        <v>0</v>
      </c>
      <c r="I4" s="9">
        <v>0</v>
      </c>
      <c r="J4" s="8">
        <f>H4*I4</f>
        <v>0</v>
      </c>
      <c r="K4" s="8">
        <f>G4+J4</f>
        <v>4024.68</v>
      </c>
      <c r="L4" s="175">
        <v>0</v>
      </c>
      <c r="M4" s="8">
        <f>M3+K4-L4</f>
        <v>4024.68</v>
      </c>
      <c r="N4" s="54"/>
      <c r="O4" s="1"/>
    </row>
    <row r="5" spans="1:15">
      <c r="A5" s="56">
        <v>2</v>
      </c>
      <c r="B5" s="251">
        <v>45749</v>
      </c>
      <c r="C5" s="27"/>
      <c r="D5" s="27"/>
      <c r="E5" s="8">
        <v>0</v>
      </c>
      <c r="F5" s="8">
        <v>0</v>
      </c>
      <c r="G5" s="8">
        <f t="shared" ref="G5:G34" si="0">E5*F5</f>
        <v>0</v>
      </c>
      <c r="H5" s="9">
        <v>0</v>
      </c>
      <c r="I5" s="9">
        <v>0</v>
      </c>
      <c r="J5" s="8">
        <f t="shared" ref="J5:J34" si="1">H5*I5</f>
        <v>0</v>
      </c>
      <c r="K5" s="8">
        <f t="shared" ref="K5:K34" si="2">G5+J5</f>
        <v>0</v>
      </c>
      <c r="L5" s="175">
        <v>0</v>
      </c>
      <c r="M5" s="8">
        <f>M4+K5-L5</f>
        <v>4024.68</v>
      </c>
      <c r="N5" s="54"/>
      <c r="O5" s="1"/>
    </row>
    <row r="6" spans="1:15">
      <c r="A6" s="56">
        <v>3</v>
      </c>
      <c r="B6" s="251">
        <v>45750</v>
      </c>
      <c r="C6" s="27"/>
      <c r="D6" s="27"/>
      <c r="E6" s="8">
        <v>0</v>
      </c>
      <c r="F6" s="8">
        <v>0</v>
      </c>
      <c r="G6" s="8">
        <f t="shared" si="0"/>
        <v>0</v>
      </c>
      <c r="H6" s="9">
        <v>5</v>
      </c>
      <c r="I6" s="9">
        <v>103.4</v>
      </c>
      <c r="J6" s="8">
        <f t="shared" si="1"/>
        <v>517</v>
      </c>
      <c r="K6" s="8">
        <f t="shared" si="2"/>
        <v>517</v>
      </c>
      <c r="L6" s="175">
        <v>0</v>
      </c>
      <c r="M6" s="8">
        <f>M5+K6-L6</f>
        <v>4541.68</v>
      </c>
      <c r="N6" s="54"/>
      <c r="O6" s="1"/>
    </row>
    <row r="7" spans="1:15">
      <c r="A7" s="56">
        <v>4</v>
      </c>
      <c r="B7" s="251">
        <v>45751</v>
      </c>
      <c r="C7" s="27"/>
      <c r="D7" s="27"/>
      <c r="E7" s="8">
        <v>0</v>
      </c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75">
        <v>0</v>
      </c>
      <c r="M7" s="8">
        <f>M6+K7-L7</f>
        <v>4541.68</v>
      </c>
      <c r="N7" s="54"/>
      <c r="O7" s="1"/>
    </row>
    <row r="8" spans="1:15">
      <c r="A8" s="56">
        <v>5</v>
      </c>
      <c r="B8" s="251">
        <v>45752</v>
      </c>
      <c r="C8" s="27"/>
      <c r="D8" s="27"/>
      <c r="E8" s="8">
        <v>310.02</v>
      </c>
      <c r="F8" s="8">
        <v>91.47</v>
      </c>
      <c r="G8" s="8">
        <f t="shared" si="0"/>
        <v>28357.529399999999</v>
      </c>
      <c r="H8" s="9">
        <v>0</v>
      </c>
      <c r="I8" s="9">
        <v>0</v>
      </c>
      <c r="J8" s="8">
        <f t="shared" si="1"/>
        <v>0</v>
      </c>
      <c r="K8" s="8">
        <f t="shared" si="2"/>
        <v>28357.529399999999</v>
      </c>
      <c r="L8" s="175">
        <v>0</v>
      </c>
      <c r="M8" s="8">
        <f>M7+K8-L8</f>
        <v>32899.2094</v>
      </c>
      <c r="N8" s="54"/>
      <c r="O8" s="1"/>
    </row>
    <row r="9" spans="1:15">
      <c r="A9" s="56">
        <v>6</v>
      </c>
      <c r="B9" s="251">
        <v>45753</v>
      </c>
      <c r="C9" s="27"/>
      <c r="D9" s="27"/>
      <c r="E9" s="8">
        <v>0</v>
      </c>
      <c r="F9" s="8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75">
        <v>0</v>
      </c>
      <c r="M9" s="8">
        <f>M8+K9-L9</f>
        <v>32899.2094</v>
      </c>
      <c r="N9" s="54"/>
      <c r="O9" s="1"/>
    </row>
    <row r="10" spans="1:15">
      <c r="A10" s="56">
        <v>7</v>
      </c>
      <c r="B10" s="251">
        <v>45754</v>
      </c>
      <c r="C10" s="27"/>
      <c r="D10" s="27"/>
      <c r="E10" s="8">
        <v>0</v>
      </c>
      <c r="F10" s="8">
        <v>0</v>
      </c>
      <c r="G10" s="8">
        <f t="shared" si="0"/>
        <v>0</v>
      </c>
      <c r="H10" s="9">
        <v>6</v>
      </c>
      <c r="I10" s="9">
        <v>103.4</v>
      </c>
      <c r="J10" s="8">
        <f t="shared" si="1"/>
        <v>620.40000000000009</v>
      </c>
      <c r="K10" s="8">
        <f t="shared" si="2"/>
        <v>620.40000000000009</v>
      </c>
      <c r="L10" s="175">
        <v>0</v>
      </c>
      <c r="M10" s="8">
        <f>M9+K10-L10</f>
        <v>33519.609400000001</v>
      </c>
      <c r="N10" s="54"/>
      <c r="O10" s="1"/>
    </row>
    <row r="11" spans="1:15">
      <c r="A11" s="56">
        <v>8</v>
      </c>
      <c r="B11" s="251">
        <v>45755</v>
      </c>
      <c r="C11" s="27"/>
      <c r="D11" s="27"/>
      <c r="E11" s="8">
        <v>0</v>
      </c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175">
        <v>0</v>
      </c>
      <c r="M11" s="8">
        <f>M10+K11-L11</f>
        <v>33519.609400000001</v>
      </c>
      <c r="N11" s="54"/>
      <c r="O11" s="1"/>
    </row>
    <row r="12" spans="1:15">
      <c r="A12" s="56">
        <v>9</v>
      </c>
      <c r="B12" s="251">
        <v>45756</v>
      </c>
      <c r="C12" s="27"/>
      <c r="D12" s="27"/>
      <c r="E12" s="8">
        <v>70</v>
      </c>
      <c r="F12" s="8">
        <v>91.47</v>
      </c>
      <c r="G12" s="8">
        <f t="shared" si="0"/>
        <v>6402.9</v>
      </c>
      <c r="H12" s="9">
        <v>22</v>
      </c>
      <c r="I12" s="9">
        <v>103.4</v>
      </c>
      <c r="J12" s="8">
        <f t="shared" si="1"/>
        <v>2274.8000000000002</v>
      </c>
      <c r="K12" s="8">
        <f t="shared" si="2"/>
        <v>8677.7000000000007</v>
      </c>
      <c r="L12" s="175">
        <v>0</v>
      </c>
      <c r="M12" s="8">
        <f>M11+K12-L12</f>
        <v>42197.309399999998</v>
      </c>
      <c r="N12" s="54"/>
      <c r="O12" s="1" t="s">
        <v>100</v>
      </c>
    </row>
    <row r="13" spans="1:15">
      <c r="A13" s="56">
        <v>10</v>
      </c>
      <c r="B13" s="251">
        <v>45757</v>
      </c>
      <c r="C13" s="27"/>
      <c r="D13" s="27"/>
      <c r="E13" s="8">
        <v>50.01</v>
      </c>
      <c r="F13" s="8">
        <v>91.47</v>
      </c>
      <c r="G13" s="8">
        <f t="shared" si="0"/>
        <v>4574.4146999999994</v>
      </c>
      <c r="H13" s="9">
        <v>0</v>
      </c>
      <c r="I13" s="9">
        <v>0</v>
      </c>
      <c r="J13" s="8">
        <f t="shared" si="1"/>
        <v>0</v>
      </c>
      <c r="K13" s="8">
        <f t="shared" si="2"/>
        <v>4574.4146999999994</v>
      </c>
      <c r="L13" s="175">
        <v>0</v>
      </c>
      <c r="M13" s="8">
        <f>M12+K13-L13</f>
        <v>46771.724099999999</v>
      </c>
      <c r="N13" s="54"/>
      <c r="O13" s="1"/>
    </row>
    <row r="14" spans="1:15">
      <c r="A14" s="56">
        <v>11</v>
      </c>
      <c r="B14" s="251">
        <v>45758</v>
      </c>
      <c r="C14" s="27"/>
      <c r="D14" s="27"/>
      <c r="E14" s="8">
        <v>33.83</v>
      </c>
      <c r="F14" s="8">
        <v>91.47</v>
      </c>
      <c r="G14" s="8">
        <f t="shared" si="0"/>
        <v>3094.4300999999996</v>
      </c>
      <c r="H14" s="9">
        <v>0</v>
      </c>
      <c r="I14" s="9">
        <v>0</v>
      </c>
      <c r="J14" s="8">
        <f t="shared" si="1"/>
        <v>0</v>
      </c>
      <c r="K14" s="8">
        <f t="shared" si="2"/>
        <v>3094.4300999999996</v>
      </c>
      <c r="L14" s="175">
        <v>0</v>
      </c>
      <c r="M14" s="8">
        <f>M13+K14-L14</f>
        <v>49866.154199999997</v>
      </c>
      <c r="N14" s="54"/>
      <c r="O14" s="1"/>
    </row>
    <row r="15" spans="1:15">
      <c r="A15" s="56">
        <v>12</v>
      </c>
      <c r="B15" s="251">
        <v>45759</v>
      </c>
      <c r="C15" s="27"/>
      <c r="D15" s="27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340">
        <v>49866.14</v>
      </c>
      <c r="M15" s="8">
        <f>M14+K15-L15</f>
        <v>1.419999999779975E-2</v>
      </c>
      <c r="N15" s="54"/>
      <c r="O15" s="1"/>
    </row>
    <row r="16" spans="1:15">
      <c r="A16" s="56">
        <v>13</v>
      </c>
      <c r="B16" s="251">
        <v>45760</v>
      </c>
      <c r="C16" s="27"/>
      <c r="D16" s="27"/>
      <c r="E16" s="8">
        <v>45</v>
      </c>
      <c r="F16" s="8">
        <v>91.47</v>
      </c>
      <c r="G16" s="8">
        <f t="shared" si="0"/>
        <v>4116.1499999999996</v>
      </c>
      <c r="H16" s="9">
        <v>6</v>
      </c>
      <c r="I16" s="9">
        <v>103.4</v>
      </c>
      <c r="J16" s="8">
        <f t="shared" si="1"/>
        <v>620.40000000000009</v>
      </c>
      <c r="K16" s="8">
        <f t="shared" si="2"/>
        <v>4736.5499999999993</v>
      </c>
      <c r="L16" s="175">
        <v>0</v>
      </c>
      <c r="M16" s="8">
        <f>M15+K16-L16</f>
        <v>4736.5641999999971</v>
      </c>
      <c r="N16" s="54"/>
      <c r="O16" s="1"/>
    </row>
    <row r="17" spans="1:15">
      <c r="A17" s="56">
        <v>14</v>
      </c>
      <c r="B17" s="251">
        <v>45761</v>
      </c>
      <c r="C17" s="27"/>
      <c r="D17" s="27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175">
        <v>0</v>
      </c>
      <c r="M17" s="8">
        <f>M16+K17-L17</f>
        <v>4736.5641999999971</v>
      </c>
      <c r="N17" s="54"/>
      <c r="O17" s="1"/>
    </row>
    <row r="18" spans="1:15">
      <c r="A18" s="56">
        <v>15</v>
      </c>
      <c r="B18" s="251">
        <v>45762</v>
      </c>
      <c r="C18" s="27"/>
      <c r="D18" s="27"/>
      <c r="E18" s="8">
        <v>47.07</v>
      </c>
      <c r="F18" s="8">
        <v>91.47</v>
      </c>
      <c r="G18" s="8">
        <f t="shared" si="0"/>
        <v>4305.4929000000002</v>
      </c>
      <c r="H18" s="9">
        <v>0</v>
      </c>
      <c r="I18" s="9">
        <v>0</v>
      </c>
      <c r="J18" s="8">
        <f t="shared" si="1"/>
        <v>0</v>
      </c>
      <c r="K18" s="8">
        <f t="shared" si="2"/>
        <v>4305.4929000000002</v>
      </c>
      <c r="L18" s="175">
        <v>0</v>
      </c>
      <c r="M18" s="8">
        <f>M17+K18-L18</f>
        <v>9042.0570999999982</v>
      </c>
      <c r="N18" s="54"/>
      <c r="O18" s="1"/>
    </row>
    <row r="19" spans="1:15">
      <c r="A19" s="56">
        <v>16</v>
      </c>
      <c r="B19" s="251">
        <v>45763</v>
      </c>
      <c r="C19" s="27"/>
      <c r="D19" s="27"/>
      <c r="E19" s="8">
        <v>70</v>
      </c>
      <c r="F19" s="8">
        <v>92.09</v>
      </c>
      <c r="G19" s="8">
        <f t="shared" si="0"/>
        <v>6446.3</v>
      </c>
      <c r="H19" s="9">
        <v>6</v>
      </c>
      <c r="I19" s="9">
        <v>103.86</v>
      </c>
      <c r="J19" s="8">
        <f t="shared" si="1"/>
        <v>623.16</v>
      </c>
      <c r="K19" s="8">
        <f t="shared" si="2"/>
        <v>7069.46</v>
      </c>
      <c r="L19" s="8">
        <v>7069.46</v>
      </c>
      <c r="M19" s="8">
        <f>M18+K19-L19</f>
        <v>9042.0570999999982</v>
      </c>
      <c r="N19" s="54"/>
      <c r="O19" s="1"/>
    </row>
    <row r="20" spans="1:15">
      <c r="A20" s="56">
        <v>17</v>
      </c>
      <c r="B20" s="251">
        <v>45764</v>
      </c>
      <c r="C20" s="27"/>
      <c r="D20" s="27"/>
      <c r="E20" s="8">
        <v>38</v>
      </c>
      <c r="F20" s="8">
        <v>91.47</v>
      </c>
      <c r="G20" s="8">
        <f t="shared" si="0"/>
        <v>3475.86</v>
      </c>
      <c r="H20" s="9">
        <v>0</v>
      </c>
      <c r="I20" s="9">
        <v>0</v>
      </c>
      <c r="J20" s="8">
        <f t="shared" si="1"/>
        <v>0</v>
      </c>
      <c r="K20" s="8">
        <f t="shared" si="2"/>
        <v>3475.86</v>
      </c>
      <c r="L20" s="175">
        <v>0</v>
      </c>
      <c r="M20" s="8">
        <f>M19+K20-L20</f>
        <v>12517.917099999999</v>
      </c>
      <c r="N20" s="54"/>
      <c r="O20" s="1"/>
    </row>
    <row r="21" spans="1:15">
      <c r="A21" s="56">
        <v>18</v>
      </c>
      <c r="B21" s="251">
        <v>45765</v>
      </c>
      <c r="C21" s="27"/>
      <c r="D21" s="27"/>
      <c r="E21" s="8">
        <v>30</v>
      </c>
      <c r="F21" s="8">
        <v>91.47</v>
      </c>
      <c r="G21" s="8">
        <f t="shared" si="0"/>
        <v>2744.1</v>
      </c>
      <c r="H21" s="9">
        <v>0</v>
      </c>
      <c r="I21" s="9">
        <v>0</v>
      </c>
      <c r="J21" s="8">
        <f t="shared" si="1"/>
        <v>0</v>
      </c>
      <c r="K21" s="8">
        <f t="shared" si="2"/>
        <v>2744.1</v>
      </c>
      <c r="L21" s="175">
        <v>0</v>
      </c>
      <c r="M21" s="8">
        <f>M20+K21-L21</f>
        <v>15262.017099999999</v>
      </c>
      <c r="N21" s="54"/>
      <c r="O21" s="1"/>
    </row>
    <row r="22" spans="1:15">
      <c r="A22" s="56">
        <v>19</v>
      </c>
      <c r="B22" s="251">
        <v>45766</v>
      </c>
      <c r="C22" s="27"/>
      <c r="D22" s="27"/>
      <c r="E22" s="8">
        <v>12.05</v>
      </c>
      <c r="F22" s="8">
        <v>91.47</v>
      </c>
      <c r="G22" s="8">
        <f t="shared" si="0"/>
        <v>1102.2135000000001</v>
      </c>
      <c r="H22" s="9">
        <v>0</v>
      </c>
      <c r="I22" s="9">
        <v>0</v>
      </c>
      <c r="J22" s="8">
        <f t="shared" si="1"/>
        <v>0</v>
      </c>
      <c r="K22" s="8">
        <f t="shared" si="2"/>
        <v>1102.2135000000001</v>
      </c>
      <c r="L22" s="175">
        <v>0</v>
      </c>
      <c r="M22" s="8">
        <f>M21+K22-L22</f>
        <v>16364.230599999999</v>
      </c>
      <c r="N22" s="54"/>
      <c r="O22" s="1"/>
    </row>
    <row r="23" spans="1:15">
      <c r="A23" s="56">
        <v>20</v>
      </c>
      <c r="B23" s="251">
        <v>45767</v>
      </c>
      <c r="C23" s="27"/>
      <c r="D23" s="27"/>
      <c r="E23" s="8">
        <v>30.08</v>
      </c>
      <c r="F23" s="8">
        <v>91.47</v>
      </c>
      <c r="G23" s="8">
        <f t="shared" si="0"/>
        <v>2751.4175999999998</v>
      </c>
      <c r="H23" s="9">
        <v>0</v>
      </c>
      <c r="I23" s="9">
        <v>0</v>
      </c>
      <c r="J23" s="8">
        <f t="shared" si="1"/>
        <v>0</v>
      </c>
      <c r="K23" s="8">
        <f t="shared" si="2"/>
        <v>2751.4175999999998</v>
      </c>
      <c r="L23" s="175">
        <v>0</v>
      </c>
      <c r="M23" s="8">
        <f>M22+K23-L23</f>
        <v>19115.6482</v>
      </c>
      <c r="N23" s="54"/>
      <c r="O23" s="1"/>
    </row>
    <row r="24" spans="1:15">
      <c r="A24" s="56">
        <v>21</v>
      </c>
      <c r="B24" s="251">
        <v>45768</v>
      </c>
      <c r="C24" s="27"/>
      <c r="D24" s="27"/>
      <c r="E24" s="8">
        <v>70</v>
      </c>
      <c r="F24" s="8">
        <v>91.47</v>
      </c>
      <c r="G24" s="8">
        <f t="shared" si="0"/>
        <v>6402.9</v>
      </c>
      <c r="H24" s="9">
        <v>0</v>
      </c>
      <c r="I24" s="9">
        <v>0</v>
      </c>
      <c r="J24" s="8">
        <f t="shared" si="1"/>
        <v>0</v>
      </c>
      <c r="K24" s="8">
        <f t="shared" si="2"/>
        <v>6402.9</v>
      </c>
      <c r="L24" s="175">
        <v>0</v>
      </c>
      <c r="M24" s="8">
        <f>M23+K24-L24</f>
        <v>25518.548199999997</v>
      </c>
      <c r="N24" s="54"/>
      <c r="O24" s="1"/>
    </row>
    <row r="25" spans="1:15">
      <c r="A25" s="56">
        <v>22</v>
      </c>
      <c r="B25" s="251">
        <v>45769</v>
      </c>
      <c r="C25" s="27"/>
      <c r="D25" s="27"/>
      <c r="E25" s="8">
        <v>218.6</v>
      </c>
      <c r="F25" s="8">
        <v>91.47</v>
      </c>
      <c r="G25" s="8">
        <f t="shared" si="0"/>
        <v>19995.342000000001</v>
      </c>
      <c r="H25" s="9">
        <v>0</v>
      </c>
      <c r="I25" s="9">
        <v>0</v>
      </c>
      <c r="J25" s="8">
        <f t="shared" si="1"/>
        <v>0</v>
      </c>
      <c r="K25" s="8">
        <f t="shared" si="2"/>
        <v>19995.342000000001</v>
      </c>
      <c r="L25" s="175">
        <v>0</v>
      </c>
      <c r="M25" s="8">
        <f>M24+K25-L25</f>
        <v>45513.890199999994</v>
      </c>
      <c r="N25" s="54"/>
      <c r="O25" s="1"/>
    </row>
    <row r="26" spans="1:15">
      <c r="A26" s="56">
        <v>23</v>
      </c>
      <c r="B26" s="251">
        <v>45770</v>
      </c>
      <c r="C26" s="27"/>
      <c r="D26" s="27"/>
      <c r="E26" s="8">
        <v>55</v>
      </c>
      <c r="F26" s="8">
        <v>91.47</v>
      </c>
      <c r="G26" s="8">
        <f t="shared" si="0"/>
        <v>5030.8500000000004</v>
      </c>
      <c r="H26" s="9">
        <v>0</v>
      </c>
      <c r="I26" s="9">
        <v>0</v>
      </c>
      <c r="J26" s="8">
        <f t="shared" si="1"/>
        <v>0</v>
      </c>
      <c r="K26" s="8">
        <f t="shared" si="2"/>
        <v>5030.8500000000004</v>
      </c>
      <c r="L26" s="175">
        <v>0</v>
      </c>
      <c r="M26" s="8">
        <f>M25+K26-L26</f>
        <v>50544.740199999993</v>
      </c>
      <c r="N26" s="54"/>
      <c r="O26" s="1"/>
    </row>
    <row r="27" spans="1:15">
      <c r="A27" s="56">
        <v>24</v>
      </c>
      <c r="B27" s="251">
        <v>45771</v>
      </c>
      <c r="C27" s="27"/>
      <c r="D27" s="27"/>
      <c r="E27" s="8">
        <v>0</v>
      </c>
      <c r="F27" s="8">
        <v>0</v>
      </c>
      <c r="G27" s="8">
        <f t="shared" si="0"/>
        <v>0</v>
      </c>
      <c r="H27" s="9">
        <v>10</v>
      </c>
      <c r="I27" s="9">
        <v>103.4</v>
      </c>
      <c r="J27" s="8">
        <f t="shared" si="1"/>
        <v>1034</v>
      </c>
      <c r="K27" s="8">
        <f t="shared" si="2"/>
        <v>1034</v>
      </c>
      <c r="L27" s="175">
        <v>0</v>
      </c>
      <c r="M27" s="8">
        <f>M26+K27-L27</f>
        <v>51578.740199999993</v>
      </c>
      <c r="N27" s="54"/>
      <c r="O27" s="1"/>
    </row>
    <row r="28" spans="1:15">
      <c r="A28" s="56">
        <v>25</v>
      </c>
      <c r="B28" s="251">
        <v>45772</v>
      </c>
      <c r="C28" s="27"/>
      <c r="D28" s="27"/>
      <c r="E28" s="8">
        <v>42</v>
      </c>
      <c r="F28" s="8">
        <v>91.47</v>
      </c>
      <c r="G28" s="8">
        <f t="shared" si="0"/>
        <v>3841.74</v>
      </c>
      <c r="H28" s="9">
        <v>0</v>
      </c>
      <c r="I28" s="9">
        <v>0</v>
      </c>
      <c r="J28" s="8">
        <f t="shared" si="1"/>
        <v>0</v>
      </c>
      <c r="K28" s="8">
        <f t="shared" si="2"/>
        <v>3841.74</v>
      </c>
      <c r="L28" s="175">
        <v>0</v>
      </c>
      <c r="M28" s="8">
        <f>M27+K28-L28</f>
        <v>55420.480199999991</v>
      </c>
      <c r="N28" s="54"/>
      <c r="O28" s="1"/>
    </row>
    <row r="29" spans="1:15">
      <c r="A29" s="56">
        <v>26</v>
      </c>
      <c r="B29" s="251">
        <v>45773</v>
      </c>
      <c r="C29" s="27"/>
      <c r="D29" s="27"/>
      <c r="E29" s="8">
        <v>330</v>
      </c>
      <c r="F29" s="8">
        <v>91.47</v>
      </c>
      <c r="G29" s="8">
        <f t="shared" si="0"/>
        <v>30185.1</v>
      </c>
      <c r="H29" s="9">
        <v>0</v>
      </c>
      <c r="I29" s="9">
        <v>0</v>
      </c>
      <c r="J29" s="8">
        <f t="shared" si="1"/>
        <v>0</v>
      </c>
      <c r="K29" s="8">
        <f t="shared" si="2"/>
        <v>30185.1</v>
      </c>
      <c r="L29" s="175">
        <v>0</v>
      </c>
      <c r="M29" s="8">
        <f>M28+K29-L29</f>
        <v>85605.580199999997</v>
      </c>
      <c r="N29" s="54"/>
      <c r="O29" s="1"/>
    </row>
    <row r="30" spans="1:15">
      <c r="A30" s="56">
        <v>27</v>
      </c>
      <c r="B30" s="251">
        <v>45774</v>
      </c>
      <c r="C30" s="27"/>
      <c r="D30" s="27"/>
      <c r="E30" s="8">
        <v>0</v>
      </c>
      <c r="F30" s="8">
        <v>0</v>
      </c>
      <c r="G30" s="8"/>
      <c r="H30" s="9">
        <v>5</v>
      </c>
      <c r="I30" s="9">
        <v>103.4</v>
      </c>
      <c r="J30" s="8">
        <f t="shared" si="1"/>
        <v>517</v>
      </c>
      <c r="K30" s="8">
        <f t="shared" si="2"/>
        <v>517</v>
      </c>
      <c r="L30" s="175">
        <v>0</v>
      </c>
      <c r="M30" s="8">
        <f>M29+K30-L30</f>
        <v>86122.580199999997</v>
      </c>
      <c r="N30" s="54"/>
      <c r="O30" s="1"/>
    </row>
    <row r="31" spans="1:15">
      <c r="A31" s="56">
        <v>28</v>
      </c>
      <c r="B31" s="251">
        <v>45775</v>
      </c>
      <c r="C31" s="27"/>
      <c r="D31" s="27"/>
      <c r="E31" s="8">
        <v>43.02</v>
      </c>
      <c r="F31" s="8">
        <v>91.47</v>
      </c>
      <c r="G31" s="8">
        <f t="shared" si="0"/>
        <v>3935.0394000000001</v>
      </c>
      <c r="H31" s="9">
        <v>0</v>
      </c>
      <c r="I31" s="9">
        <v>0</v>
      </c>
      <c r="J31" s="8">
        <f t="shared" si="1"/>
        <v>0</v>
      </c>
      <c r="K31" s="8">
        <f t="shared" si="2"/>
        <v>3935.0394000000001</v>
      </c>
      <c r="L31" s="175">
        <v>0</v>
      </c>
      <c r="M31" s="8">
        <f>M30+K31-L31</f>
        <v>90057.619599999991</v>
      </c>
      <c r="N31" s="54"/>
      <c r="O31" s="1"/>
    </row>
    <row r="32" spans="1:15">
      <c r="A32" s="245">
        <v>29</v>
      </c>
      <c r="B32" s="251">
        <v>45776</v>
      </c>
      <c r="C32" s="27"/>
      <c r="D32" s="27"/>
      <c r="E32" s="8">
        <v>0</v>
      </c>
      <c r="F32" s="8">
        <v>0</v>
      </c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>
        <f t="shared" si="2"/>
        <v>0</v>
      </c>
      <c r="L32" s="175">
        <v>0</v>
      </c>
      <c r="M32" s="8">
        <f>M31+K32-L32</f>
        <v>90057.619599999991</v>
      </c>
      <c r="N32" s="54"/>
      <c r="O32" s="1"/>
    </row>
    <row r="33" spans="1:17">
      <c r="A33" s="245">
        <v>30</v>
      </c>
      <c r="B33" s="251">
        <v>45777</v>
      </c>
      <c r="C33" s="27"/>
      <c r="D33" s="27"/>
      <c r="E33" s="8">
        <v>0</v>
      </c>
      <c r="F33" s="8">
        <v>0</v>
      </c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75">
        <v>0</v>
      </c>
      <c r="M33" s="8">
        <f>M32+K33-L33</f>
        <v>90057.619599999991</v>
      </c>
      <c r="N33" s="54"/>
      <c r="O33" s="1"/>
      <c r="Q33">
        <f>35000-8000</f>
        <v>27000</v>
      </c>
    </row>
    <row r="34" spans="1:17">
      <c r="A34" s="245">
        <v>31</v>
      </c>
      <c r="B34" s="251"/>
      <c r="C34" s="27"/>
      <c r="D34" s="27"/>
      <c r="E34" s="8">
        <v>0</v>
      </c>
      <c r="F34" s="8">
        <v>0</v>
      </c>
      <c r="G34" s="8">
        <f t="shared" si="0"/>
        <v>0</v>
      </c>
      <c r="H34" s="9">
        <v>0</v>
      </c>
      <c r="I34" s="9">
        <v>0</v>
      </c>
      <c r="J34" s="8">
        <f t="shared" si="1"/>
        <v>0</v>
      </c>
      <c r="K34" s="8">
        <f t="shared" si="2"/>
        <v>0</v>
      </c>
      <c r="L34" s="175">
        <v>0</v>
      </c>
      <c r="M34" s="8">
        <f>M33+K34-L34</f>
        <v>90057.619599999991</v>
      </c>
      <c r="N34" s="54"/>
      <c r="O34" s="1"/>
    </row>
    <row r="35" spans="1:17">
      <c r="A35" s="76"/>
      <c r="B35" s="76"/>
      <c r="C35" s="76"/>
      <c r="D35" s="76"/>
      <c r="E35" s="77">
        <f>SUM(E4:E34)</f>
        <v>1538.6799999999998</v>
      </c>
      <c r="F35" s="77"/>
      <c r="G35" s="77">
        <f>SUM(G4:G34)</f>
        <v>140786.45960000003</v>
      </c>
      <c r="H35" s="77">
        <f>SUM(H4:H34)</f>
        <v>60</v>
      </c>
      <c r="I35" s="77"/>
      <c r="J35" s="77">
        <f>SUM(J4:J34)</f>
        <v>6206.76</v>
      </c>
      <c r="K35" s="77">
        <f>SUM(K4:K34)</f>
        <v>146993.21960000001</v>
      </c>
      <c r="L35" s="77">
        <f>SUM(L4:L34)</f>
        <v>56935.6</v>
      </c>
      <c r="M35" s="77"/>
      <c r="N35" s="77"/>
      <c r="O35" s="73"/>
    </row>
    <row r="36" spans="1:17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7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7">
      <c r="A38" s="1"/>
      <c r="B38" s="400"/>
      <c r="C38" s="400"/>
      <c r="D38" s="400"/>
      <c r="E38" s="400"/>
      <c r="F38" s="1"/>
      <c r="G38" s="1"/>
      <c r="H38" s="1"/>
      <c r="I38" s="425">
        <f>K24+L24</f>
        <v>6402.9</v>
      </c>
      <c r="J38" s="400"/>
      <c r="K38" s="400"/>
      <c r="L38" s="400"/>
      <c r="M38" s="400"/>
      <c r="N38" s="400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0BCA-CEB5-4CC4-B7FA-CDD92ABE66F3}">
  <sheetPr>
    <tabColor rgb="FF7030A0"/>
  </sheetPr>
  <dimension ref="A1:O48"/>
  <sheetViews>
    <sheetView workbookViewId="0">
      <selection activeCell="V35" sqref="V35"/>
    </sheetView>
  </sheetViews>
  <sheetFormatPr defaultRowHeight="15"/>
  <cols>
    <col min="1" max="1" width="5.140625" bestFit="1" customWidth="1"/>
    <col min="2" max="2" width="10" bestFit="1" customWidth="1"/>
    <col min="3" max="3" width="8" bestFit="1" customWidth="1"/>
    <col min="4" max="4" width="15.28515625" customWidth="1"/>
    <col min="5" max="5" width="9.7109375" bestFit="1" customWidth="1"/>
    <col min="6" max="6" width="7" bestFit="1" customWidth="1"/>
    <col min="7" max="7" width="11.5703125" bestFit="1" customWidth="1"/>
    <col min="9" max="9" width="8.140625" bestFit="1" customWidth="1"/>
    <col min="11" max="12" width="13.5703125" bestFit="1" customWidth="1"/>
    <col min="13" max="13" width="10.140625" bestFit="1" customWidth="1"/>
    <col min="14" max="14" width="10.42578125" bestFit="1" customWidth="1"/>
    <col min="15" max="15" width="9.42578125" customWidth="1"/>
  </cols>
  <sheetData>
    <row r="1" spans="1:15" ht="15.75">
      <c r="A1" s="413" t="s">
        <v>55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66"/>
    </row>
    <row r="2" spans="1:15" ht="30.75">
      <c r="A2" s="78" t="s">
        <v>81</v>
      </c>
      <c r="B2" s="98" t="s">
        <v>82</v>
      </c>
      <c r="C2" s="98" t="s">
        <v>83</v>
      </c>
      <c r="D2" s="98" t="s">
        <v>84</v>
      </c>
      <c r="E2" s="98" t="s">
        <v>85</v>
      </c>
      <c r="F2" s="98" t="s">
        <v>86</v>
      </c>
      <c r="G2" s="98" t="s">
        <v>87</v>
      </c>
      <c r="H2" s="98" t="s">
        <v>88</v>
      </c>
      <c r="I2" s="98" t="s">
        <v>86</v>
      </c>
      <c r="J2" s="99" t="s">
        <v>87</v>
      </c>
      <c r="K2" s="78" t="s">
        <v>89</v>
      </c>
      <c r="L2" s="100" t="s">
        <v>90</v>
      </c>
      <c r="M2" s="194" t="s">
        <v>97</v>
      </c>
      <c r="N2" s="98" t="s">
        <v>92</v>
      </c>
      <c r="O2" s="73"/>
    </row>
    <row r="3" spans="1:15">
      <c r="A3" s="172"/>
      <c r="B3" s="173"/>
      <c r="C3" s="173"/>
      <c r="D3" s="152" t="s">
        <v>93</v>
      </c>
      <c r="E3" s="173"/>
      <c r="F3" s="173"/>
      <c r="G3" s="173"/>
      <c r="H3" s="173"/>
      <c r="I3" s="173"/>
      <c r="J3" s="174"/>
      <c r="K3" s="172">
        <v>0</v>
      </c>
      <c r="L3" s="175">
        <v>0</v>
      </c>
      <c r="M3" s="175">
        <f>+K3</f>
        <v>0</v>
      </c>
      <c r="N3" s="173"/>
      <c r="O3" s="73"/>
    </row>
    <row r="4" spans="1:15">
      <c r="A4" s="56">
        <v>1</v>
      </c>
      <c r="B4" s="251">
        <v>45748</v>
      </c>
      <c r="C4" s="27"/>
      <c r="D4" s="27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75">
        <v>0</v>
      </c>
      <c r="M4" s="8">
        <f>M3+K4-L4</f>
        <v>0</v>
      </c>
      <c r="N4" s="54"/>
      <c r="O4" s="1"/>
    </row>
    <row r="5" spans="1:15">
      <c r="A5" s="56">
        <v>2</v>
      </c>
      <c r="B5" s="251">
        <v>45749</v>
      </c>
      <c r="C5" s="27"/>
      <c r="D5" s="27"/>
      <c r="E5" s="8">
        <v>105</v>
      </c>
      <c r="F5" s="8">
        <v>91.8</v>
      </c>
      <c r="G5" s="8">
        <f t="shared" ref="G5:G8" si="0">E5*F5</f>
        <v>9639</v>
      </c>
      <c r="H5" s="9">
        <v>0</v>
      </c>
      <c r="I5" s="9">
        <v>0</v>
      </c>
      <c r="J5" s="8">
        <f t="shared" ref="J5:J8" si="1">H5*I5</f>
        <v>0</v>
      </c>
      <c r="K5" s="8">
        <f t="shared" ref="K5:K8" si="2">G5+J5</f>
        <v>9639</v>
      </c>
      <c r="L5" s="175">
        <f>+K5</f>
        <v>9639</v>
      </c>
      <c r="M5" s="8">
        <f t="shared" ref="M5:M8" si="3">M4+K5-L5</f>
        <v>0</v>
      </c>
      <c r="N5" s="54"/>
      <c r="O5" s="1"/>
    </row>
    <row r="6" spans="1:15">
      <c r="A6" s="56">
        <v>3</v>
      </c>
      <c r="B6" s="251">
        <v>45750</v>
      </c>
      <c r="C6" s="27"/>
      <c r="D6" s="27"/>
      <c r="E6" s="8">
        <v>35</v>
      </c>
      <c r="F6" s="8">
        <v>91.8</v>
      </c>
      <c r="G6" s="8">
        <f t="shared" ref="G6:G33" si="4">E6*F6</f>
        <v>3213</v>
      </c>
      <c r="H6" s="9">
        <v>4</v>
      </c>
      <c r="I6" s="9">
        <v>103.76</v>
      </c>
      <c r="J6" s="8">
        <f t="shared" ref="J6:J33" si="5">H6*I6</f>
        <v>415.04</v>
      </c>
      <c r="K6" s="8">
        <f t="shared" ref="K6:L33" si="6">G6+J6</f>
        <v>3628.04</v>
      </c>
      <c r="L6" s="175">
        <f>+K6</f>
        <v>3628.04</v>
      </c>
      <c r="M6" s="8">
        <f t="shared" si="3"/>
        <v>0</v>
      </c>
      <c r="N6" s="54"/>
      <c r="O6" s="1"/>
    </row>
    <row r="7" spans="1:15">
      <c r="A7" s="56">
        <v>4</v>
      </c>
      <c r="B7" s="251">
        <v>45751</v>
      </c>
      <c r="C7" s="27"/>
      <c r="D7" s="27"/>
      <c r="E7" s="8">
        <v>0</v>
      </c>
      <c r="F7" s="8">
        <v>0</v>
      </c>
      <c r="G7" s="8">
        <f t="shared" si="4"/>
        <v>0</v>
      </c>
      <c r="H7" s="9">
        <v>10</v>
      </c>
      <c r="I7" s="9">
        <v>103.76</v>
      </c>
      <c r="J7" s="8">
        <f t="shared" si="5"/>
        <v>1037.6000000000001</v>
      </c>
      <c r="K7" s="8">
        <f t="shared" si="6"/>
        <v>1037.6000000000001</v>
      </c>
      <c r="L7" s="175">
        <f>+K7</f>
        <v>1037.6000000000001</v>
      </c>
      <c r="M7" s="8">
        <f t="shared" si="3"/>
        <v>0</v>
      </c>
      <c r="N7" s="54"/>
      <c r="O7" s="1"/>
    </row>
    <row r="8" spans="1:15">
      <c r="A8" s="56">
        <v>5</v>
      </c>
      <c r="B8" s="251">
        <v>45752</v>
      </c>
      <c r="C8" s="27"/>
      <c r="D8" s="27"/>
      <c r="E8" s="8">
        <v>0</v>
      </c>
      <c r="F8" s="8">
        <v>0</v>
      </c>
      <c r="G8" s="8">
        <f t="shared" si="4"/>
        <v>0</v>
      </c>
      <c r="H8" s="9">
        <v>0</v>
      </c>
      <c r="I8" s="9">
        <v>0</v>
      </c>
      <c r="J8" s="8">
        <f t="shared" si="5"/>
        <v>0</v>
      </c>
      <c r="K8" s="8">
        <f t="shared" si="6"/>
        <v>0</v>
      </c>
      <c r="L8" s="175">
        <v>0</v>
      </c>
      <c r="M8" s="8">
        <f t="shared" si="3"/>
        <v>0</v>
      </c>
      <c r="N8" s="54"/>
      <c r="O8" s="1"/>
    </row>
    <row r="9" spans="1:15">
      <c r="A9" s="56">
        <v>6</v>
      </c>
      <c r="B9" s="251">
        <v>45753</v>
      </c>
      <c r="C9" s="27"/>
      <c r="D9" s="27"/>
      <c r="E9" s="8">
        <v>0</v>
      </c>
      <c r="F9" s="8">
        <v>0</v>
      </c>
      <c r="G9" s="8">
        <f t="shared" si="4"/>
        <v>0</v>
      </c>
      <c r="H9" s="9">
        <v>0</v>
      </c>
      <c r="I9" s="9">
        <v>0</v>
      </c>
      <c r="J9" s="8">
        <f t="shared" si="5"/>
        <v>0</v>
      </c>
      <c r="K9" s="8">
        <f t="shared" si="6"/>
        <v>0</v>
      </c>
      <c r="L9" s="175">
        <v>0</v>
      </c>
      <c r="M9" s="8">
        <f t="shared" ref="M9:M31" si="7">M8+K9-L9</f>
        <v>0</v>
      </c>
      <c r="N9" s="54"/>
      <c r="O9" s="1"/>
    </row>
    <row r="10" spans="1:15">
      <c r="A10" s="56">
        <v>7</v>
      </c>
      <c r="B10" s="251">
        <v>45754</v>
      </c>
      <c r="C10" s="27"/>
      <c r="D10" s="27"/>
      <c r="E10" s="8">
        <v>105</v>
      </c>
      <c r="F10" s="8">
        <v>91.8</v>
      </c>
      <c r="G10" s="8">
        <f t="shared" si="4"/>
        <v>9639</v>
      </c>
      <c r="H10" s="9">
        <v>5</v>
      </c>
      <c r="I10" s="9">
        <v>103.76</v>
      </c>
      <c r="J10" s="8">
        <f t="shared" si="5"/>
        <v>518.80000000000007</v>
      </c>
      <c r="K10" s="8">
        <f t="shared" si="6"/>
        <v>10157.799999999999</v>
      </c>
      <c r="L10" s="175">
        <f>+K10</f>
        <v>10157.799999999999</v>
      </c>
      <c r="M10" s="8">
        <f t="shared" si="7"/>
        <v>0</v>
      </c>
      <c r="N10" s="54"/>
      <c r="O10" s="1"/>
    </row>
    <row r="11" spans="1:15">
      <c r="A11" s="56">
        <v>8</v>
      </c>
      <c r="B11" s="251">
        <v>45755</v>
      </c>
      <c r="C11" s="27"/>
      <c r="D11" s="27"/>
      <c r="E11" s="8">
        <v>120</v>
      </c>
      <c r="F11" s="8">
        <v>91.8</v>
      </c>
      <c r="G11" s="8">
        <f t="shared" si="4"/>
        <v>11016</v>
      </c>
      <c r="H11" s="9">
        <v>5</v>
      </c>
      <c r="I11" s="9">
        <v>103.76</v>
      </c>
      <c r="J11" s="8">
        <f t="shared" si="5"/>
        <v>518.80000000000007</v>
      </c>
      <c r="K11" s="8">
        <f t="shared" si="6"/>
        <v>11534.8</v>
      </c>
      <c r="L11" s="175">
        <v>11534.8</v>
      </c>
      <c r="M11" s="8">
        <f t="shared" si="7"/>
        <v>0</v>
      </c>
      <c r="N11" s="54"/>
      <c r="O11" s="1"/>
    </row>
    <row r="12" spans="1:15">
      <c r="A12" s="56">
        <v>9</v>
      </c>
      <c r="B12" s="251">
        <v>45756</v>
      </c>
      <c r="C12" s="27"/>
      <c r="D12" s="27"/>
      <c r="E12" s="8">
        <v>100</v>
      </c>
      <c r="F12" s="8">
        <v>91.8</v>
      </c>
      <c r="G12" s="8">
        <f t="shared" si="4"/>
        <v>9180</v>
      </c>
      <c r="H12" s="9">
        <v>0</v>
      </c>
      <c r="I12" s="9">
        <v>0</v>
      </c>
      <c r="J12" s="8">
        <f t="shared" si="5"/>
        <v>0</v>
      </c>
      <c r="K12" s="8">
        <f t="shared" si="6"/>
        <v>9180</v>
      </c>
      <c r="L12" s="175">
        <v>9180</v>
      </c>
      <c r="M12" s="8">
        <f t="shared" si="7"/>
        <v>0</v>
      </c>
      <c r="N12" s="54"/>
      <c r="O12" s="1"/>
    </row>
    <row r="13" spans="1:15">
      <c r="A13" s="56">
        <v>10</v>
      </c>
      <c r="B13" s="251">
        <v>45757</v>
      </c>
      <c r="C13" s="27"/>
      <c r="D13" s="27"/>
      <c r="E13" s="8">
        <v>75</v>
      </c>
      <c r="F13" s="8">
        <v>91.8</v>
      </c>
      <c r="G13" s="8">
        <f>E13*F13</f>
        <v>6885</v>
      </c>
      <c r="H13" s="9"/>
      <c r="I13" s="9"/>
      <c r="J13" s="8"/>
      <c r="K13" s="8">
        <v>6885</v>
      </c>
      <c r="L13" s="175">
        <v>6885</v>
      </c>
      <c r="M13" s="8">
        <f t="shared" si="7"/>
        <v>0</v>
      </c>
      <c r="N13" s="54"/>
      <c r="O13" s="1"/>
    </row>
    <row r="14" spans="1:15">
      <c r="A14" s="56">
        <v>11</v>
      </c>
      <c r="B14" s="251">
        <v>45758</v>
      </c>
      <c r="C14" s="27"/>
      <c r="D14" s="27"/>
      <c r="E14" s="8">
        <v>70</v>
      </c>
      <c r="F14" s="8">
        <v>91.8</v>
      </c>
      <c r="G14" s="8">
        <f>E14*F14</f>
        <v>6426</v>
      </c>
      <c r="H14" s="9">
        <v>4</v>
      </c>
      <c r="I14" s="9">
        <v>103.76</v>
      </c>
      <c r="J14" s="8">
        <f>H14*I14</f>
        <v>415.04</v>
      </c>
      <c r="K14" s="8">
        <f>G14+J14</f>
        <v>6841.04</v>
      </c>
      <c r="L14" s="175">
        <v>6841.04</v>
      </c>
      <c r="M14" s="8">
        <f t="shared" si="7"/>
        <v>0</v>
      </c>
      <c r="N14" s="54"/>
      <c r="O14" s="1"/>
    </row>
    <row r="15" spans="1:15">
      <c r="A15" s="56">
        <v>12</v>
      </c>
      <c r="B15" s="251">
        <v>45759</v>
      </c>
      <c r="C15" s="27"/>
      <c r="D15" s="27"/>
      <c r="E15" s="8">
        <v>50</v>
      </c>
      <c r="F15" s="8">
        <v>91.8</v>
      </c>
      <c r="G15" s="8">
        <f t="shared" si="4"/>
        <v>4590</v>
      </c>
      <c r="H15" s="9">
        <v>0</v>
      </c>
      <c r="I15" s="9">
        <v>0</v>
      </c>
      <c r="J15" s="8">
        <f t="shared" si="5"/>
        <v>0</v>
      </c>
      <c r="K15" s="8">
        <f t="shared" si="6"/>
        <v>4590</v>
      </c>
      <c r="L15" s="8">
        <f>H15+K15</f>
        <v>4590</v>
      </c>
      <c r="M15" s="8">
        <f t="shared" si="7"/>
        <v>0</v>
      </c>
      <c r="N15" s="54"/>
      <c r="O15" s="1"/>
    </row>
    <row r="16" spans="1:15">
      <c r="A16" s="56">
        <v>13</v>
      </c>
      <c r="B16" s="251">
        <v>45760</v>
      </c>
      <c r="C16" s="27"/>
      <c r="D16" s="27"/>
      <c r="E16" s="8">
        <v>0</v>
      </c>
      <c r="F16" s="8">
        <v>0</v>
      </c>
      <c r="G16" s="8">
        <f t="shared" si="4"/>
        <v>0</v>
      </c>
      <c r="H16" s="9">
        <v>0</v>
      </c>
      <c r="I16" s="9">
        <v>0</v>
      </c>
      <c r="J16" s="8">
        <f t="shared" si="5"/>
        <v>0</v>
      </c>
      <c r="K16" s="8">
        <f t="shared" si="6"/>
        <v>0</v>
      </c>
      <c r="L16" s="175">
        <v>0</v>
      </c>
      <c r="M16" s="8">
        <f t="shared" si="7"/>
        <v>0</v>
      </c>
      <c r="N16" s="54"/>
      <c r="O16" s="1"/>
    </row>
    <row r="17" spans="1:15">
      <c r="A17" s="56">
        <v>14</v>
      </c>
      <c r="B17" s="251">
        <v>45761</v>
      </c>
      <c r="C17" s="27"/>
      <c r="D17" s="27"/>
      <c r="E17" s="8">
        <v>55</v>
      </c>
      <c r="F17" s="8">
        <v>91.8</v>
      </c>
      <c r="G17" s="8">
        <f t="shared" si="4"/>
        <v>5049</v>
      </c>
      <c r="H17" s="9">
        <v>0</v>
      </c>
      <c r="I17" s="9">
        <v>0</v>
      </c>
      <c r="J17" s="8">
        <f t="shared" si="5"/>
        <v>0</v>
      </c>
      <c r="K17" s="8">
        <f t="shared" si="6"/>
        <v>5049</v>
      </c>
      <c r="L17" s="8">
        <f>H17+K17</f>
        <v>5049</v>
      </c>
      <c r="M17" s="8">
        <f t="shared" si="7"/>
        <v>0</v>
      </c>
      <c r="N17" s="54"/>
      <c r="O17" s="1"/>
    </row>
    <row r="18" spans="1:15">
      <c r="A18" s="56">
        <v>15</v>
      </c>
      <c r="B18" s="251">
        <v>45762</v>
      </c>
      <c r="C18" s="27"/>
      <c r="D18" s="27"/>
      <c r="E18" s="8">
        <v>100</v>
      </c>
      <c r="F18" s="8">
        <v>91.8</v>
      </c>
      <c r="G18" s="8">
        <f t="shared" si="4"/>
        <v>9180</v>
      </c>
      <c r="H18" s="9">
        <v>5</v>
      </c>
      <c r="I18" s="9">
        <v>103.76</v>
      </c>
      <c r="J18" s="8">
        <f t="shared" si="5"/>
        <v>518.80000000000007</v>
      </c>
      <c r="K18" s="8">
        <f t="shared" si="6"/>
        <v>9698.7999999999993</v>
      </c>
      <c r="L18" s="8">
        <v>9698.7999999999993</v>
      </c>
      <c r="M18" s="8">
        <f t="shared" si="7"/>
        <v>0</v>
      </c>
      <c r="N18" s="54"/>
      <c r="O18" s="1"/>
    </row>
    <row r="19" spans="1:15">
      <c r="A19" s="56">
        <v>16</v>
      </c>
      <c r="B19" s="251">
        <v>45763</v>
      </c>
      <c r="C19" s="27"/>
      <c r="D19" s="27"/>
      <c r="E19" s="8">
        <v>30</v>
      </c>
      <c r="F19" s="8">
        <v>91.8</v>
      </c>
      <c r="G19" s="8">
        <f t="shared" si="4"/>
        <v>2754</v>
      </c>
      <c r="H19" s="9">
        <v>0</v>
      </c>
      <c r="I19" s="9">
        <v>0</v>
      </c>
      <c r="J19" s="8">
        <f t="shared" si="5"/>
        <v>0</v>
      </c>
      <c r="K19" s="8">
        <f t="shared" si="6"/>
        <v>2754</v>
      </c>
      <c r="L19" s="8">
        <f>H19+K19</f>
        <v>2754</v>
      </c>
      <c r="M19" s="8">
        <f t="shared" si="7"/>
        <v>0</v>
      </c>
      <c r="N19" s="54"/>
      <c r="O19" s="1"/>
    </row>
    <row r="20" spans="1:15">
      <c r="A20" s="56">
        <v>17</v>
      </c>
      <c r="B20" s="251">
        <v>45764</v>
      </c>
      <c r="C20" s="27"/>
      <c r="D20" s="27"/>
      <c r="E20" s="8">
        <v>70</v>
      </c>
      <c r="F20" s="8">
        <v>91.8</v>
      </c>
      <c r="G20" s="8">
        <f t="shared" si="4"/>
        <v>6426</v>
      </c>
      <c r="H20" s="9">
        <v>9</v>
      </c>
      <c r="I20" s="9">
        <v>103.76</v>
      </c>
      <c r="J20" s="8">
        <f t="shared" si="5"/>
        <v>933.84</v>
      </c>
      <c r="K20" s="8">
        <f t="shared" si="6"/>
        <v>7359.84</v>
      </c>
      <c r="L20" s="8">
        <v>7359.84</v>
      </c>
      <c r="M20" s="8">
        <f t="shared" si="7"/>
        <v>0</v>
      </c>
      <c r="N20" s="54"/>
      <c r="O20" s="1"/>
    </row>
    <row r="21" spans="1:15">
      <c r="A21" s="56">
        <v>18</v>
      </c>
      <c r="B21" s="251">
        <v>45765</v>
      </c>
      <c r="C21" s="27"/>
      <c r="D21" s="27"/>
      <c r="E21" s="8">
        <v>105</v>
      </c>
      <c r="F21" s="8">
        <v>91.8</v>
      </c>
      <c r="G21" s="8">
        <f t="shared" si="4"/>
        <v>9639</v>
      </c>
      <c r="H21" s="9">
        <v>5</v>
      </c>
      <c r="I21" s="9">
        <v>103.76</v>
      </c>
      <c r="J21" s="8">
        <f t="shared" si="5"/>
        <v>518.80000000000007</v>
      </c>
      <c r="K21" s="8">
        <f t="shared" si="6"/>
        <v>10157.799999999999</v>
      </c>
      <c r="L21" s="8">
        <v>10157.799999999999</v>
      </c>
      <c r="M21" s="8">
        <f t="shared" si="7"/>
        <v>0</v>
      </c>
      <c r="N21" s="54"/>
      <c r="O21" s="1"/>
    </row>
    <row r="22" spans="1:15">
      <c r="A22" s="56">
        <v>19</v>
      </c>
      <c r="B22" s="251">
        <v>45766</v>
      </c>
      <c r="C22" s="27"/>
      <c r="D22" s="27"/>
      <c r="E22" s="8">
        <v>70</v>
      </c>
      <c r="F22" s="8">
        <v>91.8</v>
      </c>
      <c r="G22" s="8">
        <f t="shared" si="4"/>
        <v>6426</v>
      </c>
      <c r="H22" s="9">
        <v>5</v>
      </c>
      <c r="I22" s="9">
        <v>103.76</v>
      </c>
      <c r="J22" s="8">
        <f t="shared" si="5"/>
        <v>518.80000000000007</v>
      </c>
      <c r="K22" s="8">
        <f t="shared" si="6"/>
        <v>6944.8</v>
      </c>
      <c r="L22" s="175">
        <v>6944.8</v>
      </c>
      <c r="M22" s="8">
        <f t="shared" si="7"/>
        <v>0</v>
      </c>
      <c r="N22" s="54"/>
      <c r="O22" s="1"/>
    </row>
    <row r="23" spans="1:15">
      <c r="A23" s="56">
        <v>20</v>
      </c>
      <c r="B23" s="251">
        <v>45767</v>
      </c>
      <c r="C23" s="27"/>
      <c r="D23" s="27"/>
      <c r="E23" s="8">
        <v>0</v>
      </c>
      <c r="F23" s="8">
        <v>0</v>
      </c>
      <c r="G23" s="8">
        <f t="shared" si="4"/>
        <v>0</v>
      </c>
      <c r="H23" s="9">
        <v>0</v>
      </c>
      <c r="I23" s="9">
        <v>0</v>
      </c>
      <c r="J23" s="8">
        <f t="shared" si="5"/>
        <v>0</v>
      </c>
      <c r="K23" s="8">
        <f t="shared" si="6"/>
        <v>0</v>
      </c>
      <c r="L23" s="175">
        <v>0</v>
      </c>
      <c r="M23" s="8">
        <f t="shared" si="7"/>
        <v>0</v>
      </c>
      <c r="N23" s="54"/>
      <c r="O23" s="1"/>
    </row>
    <row r="24" spans="1:15">
      <c r="A24" s="56">
        <v>21</v>
      </c>
      <c r="B24" s="251">
        <v>45768</v>
      </c>
      <c r="C24" s="27"/>
      <c r="D24" s="27"/>
      <c r="E24" s="8">
        <v>165</v>
      </c>
      <c r="F24" s="8">
        <v>91.8</v>
      </c>
      <c r="G24" s="8">
        <f t="shared" si="4"/>
        <v>15147</v>
      </c>
      <c r="H24" s="9">
        <v>0</v>
      </c>
      <c r="I24" s="9">
        <v>0</v>
      </c>
      <c r="J24" s="8">
        <f t="shared" si="5"/>
        <v>0</v>
      </c>
      <c r="K24" s="8">
        <f t="shared" si="6"/>
        <v>15147</v>
      </c>
      <c r="L24" s="175">
        <v>15147</v>
      </c>
      <c r="M24" s="8">
        <f t="shared" si="7"/>
        <v>0</v>
      </c>
      <c r="N24" s="54"/>
      <c r="O24" s="1"/>
    </row>
    <row r="25" spans="1:15">
      <c r="A25" s="56">
        <v>22</v>
      </c>
      <c r="B25" s="251">
        <v>45769</v>
      </c>
      <c r="C25" s="27"/>
      <c r="D25" s="27"/>
      <c r="E25" s="8">
        <v>90</v>
      </c>
      <c r="F25" s="8">
        <v>91.8</v>
      </c>
      <c r="G25" s="8">
        <f t="shared" si="4"/>
        <v>8262</v>
      </c>
      <c r="H25" s="9">
        <v>0</v>
      </c>
      <c r="I25" s="9">
        <v>0</v>
      </c>
      <c r="J25" s="8">
        <f t="shared" si="5"/>
        <v>0</v>
      </c>
      <c r="K25" s="8">
        <f t="shared" si="6"/>
        <v>8262</v>
      </c>
      <c r="L25" s="8">
        <f t="shared" si="6"/>
        <v>8262</v>
      </c>
      <c r="M25" s="8">
        <f t="shared" si="7"/>
        <v>0</v>
      </c>
      <c r="N25" s="54"/>
      <c r="O25" s="1"/>
    </row>
    <row r="26" spans="1:15">
      <c r="A26" s="56">
        <v>23</v>
      </c>
      <c r="B26" s="251">
        <v>45770</v>
      </c>
      <c r="C26" s="27"/>
      <c r="D26" s="27"/>
      <c r="E26" s="8">
        <v>118.13</v>
      </c>
      <c r="F26" s="8">
        <v>91.8</v>
      </c>
      <c r="G26" s="8">
        <f t="shared" si="4"/>
        <v>10844.333999999999</v>
      </c>
      <c r="H26" s="9">
        <v>0</v>
      </c>
      <c r="I26" s="9">
        <v>0</v>
      </c>
      <c r="J26" s="8">
        <f t="shared" si="5"/>
        <v>0</v>
      </c>
      <c r="K26" s="8">
        <f t="shared" si="6"/>
        <v>10844.333999999999</v>
      </c>
      <c r="L26" s="8">
        <f>H26+K26</f>
        <v>10844.333999999999</v>
      </c>
      <c r="M26" s="8">
        <f t="shared" si="7"/>
        <v>0</v>
      </c>
      <c r="N26" s="54"/>
      <c r="O26" s="1"/>
    </row>
    <row r="27" spans="1:15">
      <c r="A27" s="56">
        <v>24</v>
      </c>
      <c r="B27" s="251">
        <v>45771</v>
      </c>
      <c r="C27" s="27"/>
      <c r="D27" s="27"/>
      <c r="E27" s="8">
        <v>70</v>
      </c>
      <c r="F27" s="8">
        <v>91.8</v>
      </c>
      <c r="G27" s="8">
        <f t="shared" si="4"/>
        <v>6426</v>
      </c>
      <c r="H27" s="9">
        <v>5</v>
      </c>
      <c r="I27" s="9">
        <v>103.76</v>
      </c>
      <c r="J27" s="8">
        <f t="shared" si="5"/>
        <v>518.80000000000007</v>
      </c>
      <c r="K27" s="8">
        <f t="shared" si="6"/>
        <v>6944.8</v>
      </c>
      <c r="L27" s="175">
        <v>6944.8</v>
      </c>
      <c r="M27" s="8">
        <f t="shared" si="7"/>
        <v>0</v>
      </c>
      <c r="N27" s="54"/>
      <c r="O27" s="1"/>
    </row>
    <row r="28" spans="1:15">
      <c r="A28" s="56">
        <v>25</v>
      </c>
      <c r="B28" s="251">
        <v>45772</v>
      </c>
      <c r="C28" s="27"/>
      <c r="D28" s="27"/>
      <c r="E28" s="8">
        <v>190</v>
      </c>
      <c r="F28" s="8">
        <v>91.8</v>
      </c>
      <c r="G28" s="8">
        <f t="shared" si="4"/>
        <v>17442</v>
      </c>
      <c r="H28" s="9">
        <v>0</v>
      </c>
      <c r="I28" s="9">
        <v>0</v>
      </c>
      <c r="J28" s="8">
        <f t="shared" si="5"/>
        <v>0</v>
      </c>
      <c r="K28" s="8">
        <f t="shared" si="6"/>
        <v>17442</v>
      </c>
      <c r="L28" s="175">
        <v>17442</v>
      </c>
      <c r="M28" s="8">
        <f t="shared" si="7"/>
        <v>0</v>
      </c>
      <c r="N28" s="54"/>
      <c r="O28" s="1"/>
    </row>
    <row r="29" spans="1:15">
      <c r="A29" s="56">
        <v>26</v>
      </c>
      <c r="B29" s="251">
        <v>45773</v>
      </c>
      <c r="C29" s="27"/>
      <c r="D29" s="27"/>
      <c r="E29" s="8">
        <v>70</v>
      </c>
      <c r="F29" s="8">
        <v>91.8</v>
      </c>
      <c r="G29" s="8">
        <f t="shared" si="4"/>
        <v>6426</v>
      </c>
      <c r="H29" s="9">
        <v>0</v>
      </c>
      <c r="I29" s="9">
        <v>0</v>
      </c>
      <c r="J29" s="8">
        <f t="shared" si="5"/>
        <v>0</v>
      </c>
      <c r="K29" s="8">
        <f t="shared" si="6"/>
        <v>6426</v>
      </c>
      <c r="L29" s="175">
        <v>6426</v>
      </c>
      <c r="M29" s="8">
        <f t="shared" si="7"/>
        <v>0</v>
      </c>
      <c r="N29" s="54"/>
      <c r="O29" s="1"/>
    </row>
    <row r="30" spans="1:15">
      <c r="A30" s="56">
        <v>27</v>
      </c>
      <c r="B30" s="251">
        <v>45774</v>
      </c>
      <c r="C30" s="27"/>
      <c r="D30" s="27"/>
      <c r="E30" s="8">
        <v>0</v>
      </c>
      <c r="F30" s="8">
        <v>0</v>
      </c>
      <c r="G30" s="8">
        <f t="shared" si="4"/>
        <v>0</v>
      </c>
      <c r="H30" s="9">
        <v>0</v>
      </c>
      <c r="I30" s="9">
        <v>0</v>
      </c>
      <c r="J30" s="8">
        <f t="shared" si="5"/>
        <v>0</v>
      </c>
      <c r="K30" s="8">
        <f t="shared" si="6"/>
        <v>0</v>
      </c>
      <c r="L30" s="175">
        <v>0</v>
      </c>
      <c r="M30" s="8">
        <f t="shared" si="7"/>
        <v>0</v>
      </c>
      <c r="N30" s="54"/>
      <c r="O30" s="1"/>
    </row>
    <row r="31" spans="1:15">
      <c r="A31" s="56">
        <v>28</v>
      </c>
      <c r="B31" s="251">
        <v>45775</v>
      </c>
      <c r="C31" s="27"/>
      <c r="D31" s="27"/>
      <c r="E31" s="8">
        <v>130</v>
      </c>
      <c r="F31" s="8">
        <v>91.8</v>
      </c>
      <c r="G31" s="8">
        <f t="shared" si="4"/>
        <v>11934</v>
      </c>
      <c r="H31" s="9">
        <v>0</v>
      </c>
      <c r="I31" s="9">
        <v>0</v>
      </c>
      <c r="J31" s="8">
        <f t="shared" si="5"/>
        <v>0</v>
      </c>
      <c r="K31" s="8">
        <f t="shared" si="6"/>
        <v>11934</v>
      </c>
      <c r="L31" s="175">
        <v>11934</v>
      </c>
      <c r="M31" s="8">
        <f t="shared" si="7"/>
        <v>0</v>
      </c>
      <c r="N31" s="54"/>
      <c r="O31" s="1"/>
    </row>
    <row r="32" spans="1:15">
      <c r="A32" s="245">
        <v>29</v>
      </c>
      <c r="B32" s="251">
        <v>45776</v>
      </c>
      <c r="C32" s="27"/>
      <c r="D32" s="27"/>
      <c r="E32" s="8">
        <v>30</v>
      </c>
      <c r="F32" s="8">
        <v>91.8</v>
      </c>
      <c r="G32" s="8">
        <f t="shared" si="4"/>
        <v>2754</v>
      </c>
      <c r="H32" s="9">
        <v>0</v>
      </c>
      <c r="I32" s="9">
        <v>0</v>
      </c>
      <c r="J32" s="8">
        <f t="shared" si="5"/>
        <v>0</v>
      </c>
      <c r="K32" s="8">
        <f t="shared" si="6"/>
        <v>2754</v>
      </c>
      <c r="L32" s="8">
        <f t="shared" si="6"/>
        <v>2754</v>
      </c>
      <c r="M32" s="8"/>
      <c r="N32" s="54"/>
      <c r="O32" s="1"/>
    </row>
    <row r="33" spans="1:15">
      <c r="A33" s="245">
        <v>30</v>
      </c>
      <c r="B33" s="251">
        <v>45777</v>
      </c>
      <c r="C33" s="27"/>
      <c r="D33" s="27"/>
      <c r="E33" s="8">
        <v>0</v>
      </c>
      <c r="F33" s="8">
        <v>0</v>
      </c>
      <c r="G33" s="8">
        <f t="shared" si="4"/>
        <v>0</v>
      </c>
      <c r="H33" s="9">
        <v>10</v>
      </c>
      <c r="I33" s="9">
        <v>103.76</v>
      </c>
      <c r="J33" s="8">
        <f t="shared" si="5"/>
        <v>1037.6000000000001</v>
      </c>
      <c r="K33" s="8">
        <f t="shared" si="6"/>
        <v>1037.6000000000001</v>
      </c>
      <c r="L33" s="8">
        <v>1037.5999999999999</v>
      </c>
      <c r="M33" s="8"/>
      <c r="N33" s="54"/>
      <c r="O33" s="1"/>
    </row>
    <row r="34" spans="1:15">
      <c r="A34" s="76"/>
      <c r="B34" s="76"/>
      <c r="C34" s="76"/>
      <c r="D34" s="76"/>
      <c r="E34" s="77">
        <f>SUM(E4:E33)</f>
        <v>1953.13</v>
      </c>
      <c r="F34" s="77"/>
      <c r="G34" s="77">
        <f>SUM(G4:G33)</f>
        <v>179297.334</v>
      </c>
      <c r="H34" s="77">
        <f>SUM(H4:H33)</f>
        <v>67</v>
      </c>
      <c r="I34" s="77"/>
      <c r="J34" s="77">
        <f>SUM(J4:J33)</f>
        <v>6951.920000000001</v>
      </c>
      <c r="K34" s="77">
        <f>SUM(K4:K33)</f>
        <v>186249.25399999999</v>
      </c>
      <c r="L34" s="77">
        <f>SUM(L4:L33)</f>
        <v>186249.25399999999</v>
      </c>
      <c r="M34" s="77"/>
      <c r="N34" s="77"/>
      <c r="O34" s="73"/>
    </row>
    <row r="35" spans="1:15">
      <c r="A35" s="2"/>
      <c r="B35" s="2"/>
      <c r="C35" s="2"/>
      <c r="D35" s="2"/>
      <c r="E35" s="4"/>
      <c r="F35" s="4"/>
      <c r="G35" s="4"/>
      <c r="H35" s="4"/>
      <c r="I35" s="4"/>
      <c r="J35" s="4"/>
      <c r="K35" s="4"/>
      <c r="L35" s="4"/>
      <c r="M35" s="4"/>
      <c r="N35" s="4"/>
      <c r="O35" s="1"/>
    </row>
    <row r="36" spans="1:15">
      <c r="A36" s="1"/>
      <c r="B36" s="1"/>
      <c r="C36" s="1"/>
      <c r="D36" s="1"/>
      <c r="E36" s="1"/>
      <c r="F36" s="1"/>
      <c r="G36" s="3"/>
      <c r="H36" s="1"/>
      <c r="I36" s="1"/>
      <c r="J36" s="1"/>
      <c r="K36" s="1"/>
      <c r="L36" s="8"/>
      <c r="M36" s="1"/>
      <c r="N36" s="1"/>
      <c r="O36" s="4"/>
    </row>
    <row r="37" spans="1:15">
      <c r="A37" s="1"/>
      <c r="B37" s="400"/>
      <c r="C37" s="400"/>
      <c r="D37" s="400"/>
      <c r="E37" s="400"/>
      <c r="F37" s="1"/>
      <c r="G37" s="1"/>
      <c r="H37" s="1"/>
      <c r="I37" s="425">
        <f>K24+L24</f>
        <v>30294</v>
      </c>
      <c r="J37" s="400"/>
      <c r="K37" s="400"/>
      <c r="L37" s="400"/>
      <c r="M37" s="400"/>
      <c r="N37" s="400"/>
      <c r="O37" s="4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4"/>
    </row>
    <row r="39" spans="1: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</sheetData>
  <mergeCells count="3">
    <mergeCell ref="A1:N1"/>
    <mergeCell ref="B37:E37"/>
    <mergeCell ref="I37:N3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O49"/>
  <sheetViews>
    <sheetView workbookViewId="0">
      <selection activeCell="T18" sqref="T17:T18"/>
    </sheetView>
  </sheetViews>
  <sheetFormatPr defaultRowHeight="15"/>
  <cols>
    <col min="2" max="2" width="10.42578125" bestFit="1" customWidth="1"/>
    <col min="7" max="7" width="11.85546875" bestFit="1" customWidth="1"/>
    <col min="9" max="9" width="9.7109375" bestFit="1" customWidth="1"/>
    <col min="11" max="12" width="13.5703125" bestFit="1" customWidth="1"/>
    <col min="13" max="13" width="10.85546875" bestFit="1" customWidth="1"/>
    <col min="14" max="14" width="10.42578125" bestFit="1" customWidth="1"/>
  </cols>
  <sheetData>
    <row r="1" spans="1:15" ht="15.75">
      <c r="A1" s="413" t="s">
        <v>57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66"/>
    </row>
    <row r="2" spans="1:15" ht="30.75">
      <c r="A2" s="78" t="s">
        <v>81</v>
      </c>
      <c r="B2" s="98" t="s">
        <v>82</v>
      </c>
      <c r="C2" s="98" t="s">
        <v>83</v>
      </c>
      <c r="D2" s="98" t="s">
        <v>84</v>
      </c>
      <c r="E2" s="98" t="s">
        <v>85</v>
      </c>
      <c r="F2" s="98" t="s">
        <v>86</v>
      </c>
      <c r="G2" s="98" t="s">
        <v>87</v>
      </c>
      <c r="H2" s="98" t="s">
        <v>88</v>
      </c>
      <c r="I2" s="98" t="s">
        <v>86</v>
      </c>
      <c r="J2" s="99" t="s">
        <v>87</v>
      </c>
      <c r="K2" s="78" t="s">
        <v>89</v>
      </c>
      <c r="L2" s="100" t="s">
        <v>90</v>
      </c>
      <c r="M2" s="194" t="s">
        <v>97</v>
      </c>
      <c r="N2" s="98" t="s">
        <v>92</v>
      </c>
      <c r="O2" s="73"/>
    </row>
    <row r="3" spans="1:15">
      <c r="A3" s="172"/>
      <c r="B3" s="173"/>
      <c r="C3" s="173"/>
      <c r="D3" s="152" t="s">
        <v>93</v>
      </c>
      <c r="E3" s="173"/>
      <c r="F3" s="173"/>
      <c r="G3" s="173"/>
      <c r="H3" s="173"/>
      <c r="I3" s="173"/>
      <c r="J3" s="174"/>
      <c r="K3" s="172">
        <v>0</v>
      </c>
      <c r="L3" s="175">
        <v>0</v>
      </c>
      <c r="M3" s="175">
        <f>+K3</f>
        <v>0</v>
      </c>
      <c r="N3" s="173"/>
      <c r="O3" s="73"/>
    </row>
    <row r="4" spans="1:15">
      <c r="A4" s="56">
        <v>1</v>
      </c>
      <c r="B4" s="251">
        <v>45748</v>
      </c>
      <c r="C4" s="27"/>
      <c r="D4" s="27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75">
        <f>+K4</f>
        <v>0</v>
      </c>
      <c r="M4" s="8">
        <f>M3+K4-L4</f>
        <v>0</v>
      </c>
      <c r="N4" s="54"/>
      <c r="O4" s="1"/>
    </row>
    <row r="5" spans="1:15">
      <c r="A5" s="56">
        <v>2</v>
      </c>
      <c r="B5" s="251">
        <v>45749</v>
      </c>
      <c r="C5" s="27"/>
      <c r="D5" s="27"/>
      <c r="E5" s="8">
        <v>0</v>
      </c>
      <c r="F5" s="8">
        <v>0</v>
      </c>
      <c r="G5" s="8">
        <f t="shared" ref="G5:G23" si="0">E5*F5</f>
        <v>0</v>
      </c>
      <c r="H5" s="9">
        <v>0</v>
      </c>
      <c r="I5" s="9">
        <v>0</v>
      </c>
      <c r="J5" s="8">
        <f t="shared" ref="J5:J23" si="1">H5*I5</f>
        <v>0</v>
      </c>
      <c r="K5" s="8">
        <f t="shared" ref="K5:K23" si="2">G5+J5</f>
        <v>0</v>
      </c>
      <c r="L5" s="175">
        <f>+K5</f>
        <v>0</v>
      </c>
      <c r="M5" s="8">
        <f t="shared" ref="M5" si="3">M4+K5-L5</f>
        <v>0</v>
      </c>
      <c r="N5" s="54"/>
      <c r="O5" s="1"/>
    </row>
    <row r="6" spans="1:15">
      <c r="A6" s="56">
        <v>3</v>
      </c>
      <c r="B6" s="251">
        <v>45750</v>
      </c>
      <c r="C6" s="27"/>
      <c r="D6" s="27"/>
      <c r="E6" s="8">
        <v>30</v>
      </c>
      <c r="F6" s="8">
        <v>90.02</v>
      </c>
      <c r="G6" s="8">
        <f t="shared" si="0"/>
        <v>2700.6</v>
      </c>
      <c r="H6" s="9">
        <v>5.51</v>
      </c>
      <c r="I6" s="9">
        <v>104.02</v>
      </c>
      <c r="J6" s="8">
        <f t="shared" si="1"/>
        <v>573.15019999999993</v>
      </c>
      <c r="K6" s="8">
        <f t="shared" si="2"/>
        <v>3273.7501999999999</v>
      </c>
      <c r="L6" s="175">
        <f>+K6</f>
        <v>3273.7501999999999</v>
      </c>
      <c r="M6" s="8">
        <f t="shared" ref="M6:M31" si="4">M5+K6-L6</f>
        <v>0</v>
      </c>
      <c r="N6" s="54"/>
      <c r="O6" s="1"/>
    </row>
    <row r="7" spans="1:15">
      <c r="A7" s="56">
        <v>4</v>
      </c>
      <c r="B7" s="251">
        <v>45751</v>
      </c>
      <c r="C7" s="27"/>
      <c r="D7" s="27"/>
      <c r="E7" s="8">
        <v>0</v>
      </c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75">
        <f t="shared" ref="L7:L21" si="5">+K7</f>
        <v>0</v>
      </c>
      <c r="M7" s="8">
        <f t="shared" si="4"/>
        <v>0</v>
      </c>
      <c r="N7" s="54"/>
      <c r="O7" s="1"/>
    </row>
    <row r="8" spans="1:15">
      <c r="A8" s="56">
        <v>5</v>
      </c>
      <c r="B8" s="251">
        <v>45752</v>
      </c>
      <c r="C8" s="27"/>
      <c r="D8" s="27"/>
      <c r="E8" s="8">
        <v>30</v>
      </c>
      <c r="F8" s="8">
        <v>92.04</v>
      </c>
      <c r="G8" s="8">
        <f t="shared" si="0"/>
        <v>2761.2000000000003</v>
      </c>
      <c r="H8" s="9">
        <v>5</v>
      </c>
      <c r="I8" s="9">
        <v>104.02</v>
      </c>
      <c r="J8" s="8">
        <f t="shared" si="1"/>
        <v>520.1</v>
      </c>
      <c r="K8" s="8">
        <f t="shared" si="2"/>
        <v>3281.3</v>
      </c>
      <c r="L8" s="175">
        <f t="shared" si="5"/>
        <v>3281.3</v>
      </c>
      <c r="M8" s="8">
        <f t="shared" si="4"/>
        <v>0</v>
      </c>
      <c r="N8" s="54"/>
      <c r="O8" s="1"/>
    </row>
    <row r="9" spans="1:15">
      <c r="A9" s="56">
        <v>6</v>
      </c>
      <c r="B9" s="251">
        <v>45753</v>
      </c>
      <c r="C9" s="27"/>
      <c r="D9" s="27"/>
      <c r="E9" s="8">
        <v>0</v>
      </c>
      <c r="F9" s="8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75">
        <f t="shared" si="5"/>
        <v>0</v>
      </c>
      <c r="M9" s="8">
        <f t="shared" si="4"/>
        <v>0</v>
      </c>
      <c r="N9" s="54"/>
      <c r="O9" s="1"/>
    </row>
    <row r="10" spans="1:15">
      <c r="A10" s="56">
        <v>7</v>
      </c>
      <c r="B10" s="251">
        <v>45754</v>
      </c>
      <c r="C10" s="27"/>
      <c r="D10" s="27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75">
        <f t="shared" si="5"/>
        <v>0</v>
      </c>
      <c r="M10" s="8">
        <f t="shared" si="4"/>
        <v>0</v>
      </c>
      <c r="N10" s="54"/>
      <c r="O10" s="1"/>
    </row>
    <row r="11" spans="1:15">
      <c r="A11" s="56">
        <v>8</v>
      </c>
      <c r="B11" s="251">
        <v>45755</v>
      </c>
      <c r="C11" s="27"/>
      <c r="D11" s="27"/>
      <c r="E11" s="8">
        <v>0</v>
      </c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175">
        <f t="shared" si="5"/>
        <v>0</v>
      </c>
      <c r="M11" s="8">
        <f t="shared" si="4"/>
        <v>0</v>
      </c>
      <c r="N11" s="54"/>
      <c r="O11" s="1"/>
    </row>
    <row r="12" spans="1:15">
      <c r="A12" s="56">
        <v>9</v>
      </c>
      <c r="B12" s="251">
        <v>45756</v>
      </c>
      <c r="C12" s="27"/>
      <c r="D12" s="27"/>
      <c r="E12" s="8">
        <v>30</v>
      </c>
      <c r="F12" s="8">
        <v>92.04</v>
      </c>
      <c r="G12" s="8">
        <f t="shared" si="0"/>
        <v>2761.2000000000003</v>
      </c>
      <c r="H12" s="9">
        <v>0</v>
      </c>
      <c r="I12" s="9">
        <v>0</v>
      </c>
      <c r="J12" s="8">
        <f t="shared" si="1"/>
        <v>0</v>
      </c>
      <c r="K12" s="8">
        <f t="shared" si="2"/>
        <v>2761.2000000000003</v>
      </c>
      <c r="L12" s="175">
        <f t="shared" si="5"/>
        <v>2761.2000000000003</v>
      </c>
      <c r="M12" s="8">
        <f t="shared" si="4"/>
        <v>0</v>
      </c>
      <c r="N12" s="54"/>
      <c r="O12" s="1" t="s">
        <v>100</v>
      </c>
    </row>
    <row r="13" spans="1:15">
      <c r="A13" s="56">
        <v>10</v>
      </c>
      <c r="B13" s="251">
        <v>45757</v>
      </c>
      <c r="C13" s="27"/>
      <c r="D13" s="27"/>
      <c r="E13" s="8">
        <v>30</v>
      </c>
      <c r="F13" s="8">
        <v>92.04</v>
      </c>
      <c r="G13" s="8">
        <f t="shared" si="0"/>
        <v>2761.2000000000003</v>
      </c>
      <c r="H13" s="9">
        <v>10</v>
      </c>
      <c r="I13" s="9">
        <v>104.02</v>
      </c>
      <c r="J13" s="8">
        <f t="shared" si="1"/>
        <v>1040.2</v>
      </c>
      <c r="K13" s="8">
        <f t="shared" si="2"/>
        <v>3801.4000000000005</v>
      </c>
      <c r="L13" s="175">
        <f t="shared" si="5"/>
        <v>3801.4000000000005</v>
      </c>
      <c r="M13" s="8">
        <f t="shared" si="4"/>
        <v>0</v>
      </c>
      <c r="N13" s="54"/>
      <c r="O13" s="1"/>
    </row>
    <row r="14" spans="1:15">
      <c r="A14" s="56">
        <v>11</v>
      </c>
      <c r="B14" s="251">
        <v>45758</v>
      </c>
      <c r="C14" s="27"/>
      <c r="D14" s="27"/>
      <c r="E14" s="8">
        <v>60</v>
      </c>
      <c r="F14" s="8">
        <v>92.04</v>
      </c>
      <c r="G14" s="8">
        <f t="shared" si="0"/>
        <v>5522.4000000000005</v>
      </c>
      <c r="H14" s="9">
        <v>5</v>
      </c>
      <c r="I14" s="9">
        <v>104.02</v>
      </c>
      <c r="J14" s="8">
        <f t="shared" si="1"/>
        <v>520.1</v>
      </c>
      <c r="K14" s="8">
        <f t="shared" si="2"/>
        <v>6042.5000000000009</v>
      </c>
      <c r="L14" s="175">
        <f t="shared" si="5"/>
        <v>6042.5000000000009</v>
      </c>
      <c r="M14" s="8">
        <f t="shared" si="4"/>
        <v>0</v>
      </c>
      <c r="N14" s="54"/>
      <c r="O14" s="1"/>
    </row>
    <row r="15" spans="1:15">
      <c r="A15" s="56">
        <v>12</v>
      </c>
      <c r="B15" s="251">
        <v>45759</v>
      </c>
      <c r="C15" s="27"/>
      <c r="D15" s="27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75">
        <f t="shared" si="5"/>
        <v>0</v>
      </c>
      <c r="M15" s="8">
        <f t="shared" si="4"/>
        <v>0</v>
      </c>
      <c r="N15" s="54"/>
      <c r="O15" s="1"/>
    </row>
    <row r="16" spans="1:15">
      <c r="A16" s="56">
        <v>13</v>
      </c>
      <c r="B16" s="251">
        <v>45760</v>
      </c>
      <c r="C16" s="27"/>
      <c r="D16" s="27"/>
      <c r="E16" s="8">
        <v>0</v>
      </c>
      <c r="F16" s="8">
        <v>0</v>
      </c>
      <c r="G16" s="8">
        <f t="shared" si="0"/>
        <v>0</v>
      </c>
      <c r="H16" s="9">
        <v>0</v>
      </c>
      <c r="I16" s="9">
        <v>0</v>
      </c>
      <c r="J16" s="8">
        <f t="shared" si="1"/>
        <v>0</v>
      </c>
      <c r="K16" s="8">
        <f t="shared" si="2"/>
        <v>0</v>
      </c>
      <c r="L16" s="175">
        <f t="shared" si="5"/>
        <v>0</v>
      </c>
      <c r="M16" s="8">
        <f t="shared" si="4"/>
        <v>0</v>
      </c>
      <c r="N16" s="54"/>
      <c r="O16" s="1"/>
    </row>
    <row r="17" spans="1:15">
      <c r="A17" s="56">
        <v>14</v>
      </c>
      <c r="B17" s="251">
        <v>45761</v>
      </c>
      <c r="C17" s="27"/>
      <c r="D17" s="27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175">
        <f t="shared" si="5"/>
        <v>0</v>
      </c>
      <c r="M17" s="8">
        <f t="shared" si="4"/>
        <v>0</v>
      </c>
      <c r="N17" s="54"/>
      <c r="O17" s="1"/>
    </row>
    <row r="18" spans="1:15">
      <c r="A18" s="56">
        <v>15</v>
      </c>
      <c r="B18" s="251">
        <v>45762</v>
      </c>
      <c r="C18" s="27"/>
      <c r="D18" s="27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75">
        <f t="shared" si="5"/>
        <v>0</v>
      </c>
      <c r="M18" s="8">
        <f t="shared" si="4"/>
        <v>0</v>
      </c>
      <c r="N18" s="54"/>
      <c r="O18" s="1"/>
    </row>
    <row r="19" spans="1:15">
      <c r="A19" s="56">
        <v>16</v>
      </c>
      <c r="B19" s="251">
        <v>45763</v>
      </c>
      <c r="C19" s="27"/>
      <c r="D19" s="27"/>
      <c r="E19" s="8">
        <v>0</v>
      </c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175">
        <f t="shared" si="5"/>
        <v>0</v>
      </c>
      <c r="M19" s="8">
        <f t="shared" si="4"/>
        <v>0</v>
      </c>
      <c r="N19" s="54"/>
      <c r="O19" s="1"/>
    </row>
    <row r="20" spans="1:15">
      <c r="A20" s="56">
        <v>17</v>
      </c>
      <c r="B20" s="251">
        <v>45764</v>
      </c>
      <c r="C20" s="27"/>
      <c r="D20" s="27"/>
      <c r="E20" s="8">
        <v>0</v>
      </c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175">
        <f t="shared" si="5"/>
        <v>0</v>
      </c>
      <c r="M20" s="8">
        <f t="shared" si="4"/>
        <v>0</v>
      </c>
      <c r="N20" s="54"/>
      <c r="O20" s="1"/>
    </row>
    <row r="21" spans="1:15">
      <c r="A21" s="56">
        <v>18</v>
      </c>
      <c r="B21" s="251">
        <v>45765</v>
      </c>
      <c r="C21" s="27"/>
      <c r="D21" s="27"/>
      <c r="E21" s="8">
        <v>130</v>
      </c>
      <c r="F21" s="8">
        <v>92.04</v>
      </c>
      <c r="G21" s="8">
        <f t="shared" si="0"/>
        <v>11965.2</v>
      </c>
      <c r="H21" s="9">
        <v>0</v>
      </c>
      <c r="I21" s="9">
        <v>0</v>
      </c>
      <c r="J21" s="8">
        <f t="shared" si="1"/>
        <v>0</v>
      </c>
      <c r="K21" s="8">
        <f t="shared" si="2"/>
        <v>11965.2</v>
      </c>
      <c r="L21" s="175">
        <f t="shared" si="5"/>
        <v>11965.2</v>
      </c>
      <c r="M21" s="8">
        <f t="shared" si="4"/>
        <v>0</v>
      </c>
      <c r="N21" s="54"/>
      <c r="O21" s="1"/>
    </row>
    <row r="22" spans="1:15">
      <c r="A22" s="56">
        <v>19</v>
      </c>
      <c r="B22" s="251">
        <v>45766</v>
      </c>
      <c r="C22" s="27"/>
      <c r="D22" s="27"/>
      <c r="E22" s="8">
        <v>0</v>
      </c>
      <c r="F22" s="8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75">
        <v>0</v>
      </c>
      <c r="M22" s="8">
        <f t="shared" si="4"/>
        <v>0</v>
      </c>
      <c r="N22" s="54"/>
      <c r="O22" s="1"/>
    </row>
    <row r="23" spans="1:15">
      <c r="A23" s="56">
        <v>20</v>
      </c>
      <c r="B23" s="251">
        <v>45767</v>
      </c>
      <c r="C23" s="27"/>
      <c r="D23" s="27"/>
      <c r="E23" s="8">
        <v>0</v>
      </c>
      <c r="F23" s="8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75">
        <v>0</v>
      </c>
      <c r="M23" s="8">
        <f t="shared" si="4"/>
        <v>0</v>
      </c>
      <c r="N23" s="54"/>
      <c r="O23" s="1"/>
    </row>
    <row r="24" spans="1:15">
      <c r="A24" s="56">
        <v>21</v>
      </c>
      <c r="B24" s="251">
        <v>45768</v>
      </c>
      <c r="C24" s="27"/>
      <c r="D24" s="27"/>
      <c r="E24" s="8">
        <v>0</v>
      </c>
      <c r="F24" s="8">
        <v>0</v>
      </c>
      <c r="G24" s="8">
        <f t="shared" ref="G6:G31" si="6">E24*F24</f>
        <v>0</v>
      </c>
      <c r="H24" s="9">
        <v>0</v>
      </c>
      <c r="I24" s="9">
        <v>0</v>
      </c>
      <c r="J24" s="8">
        <f t="shared" ref="J6:J31" si="7">H24*I24</f>
        <v>0</v>
      </c>
      <c r="K24" s="8">
        <f t="shared" ref="K6:L31" si="8">G24+J24</f>
        <v>0</v>
      </c>
      <c r="L24" s="175">
        <v>0</v>
      </c>
      <c r="M24" s="8">
        <f t="shared" si="4"/>
        <v>0</v>
      </c>
      <c r="N24" s="54"/>
      <c r="O24" s="1"/>
    </row>
    <row r="25" spans="1:15">
      <c r="A25" s="56">
        <v>22</v>
      </c>
      <c r="B25" s="251">
        <v>45769</v>
      </c>
      <c r="C25" s="27"/>
      <c r="D25" s="27"/>
      <c r="E25" s="8">
        <v>37.549999999999997</v>
      </c>
      <c r="F25" s="8">
        <v>92.04</v>
      </c>
      <c r="G25" s="8">
        <f t="shared" si="6"/>
        <v>3456.1019999999999</v>
      </c>
      <c r="H25" s="9">
        <v>15</v>
      </c>
      <c r="I25" s="9">
        <v>104.02</v>
      </c>
      <c r="J25" s="8">
        <f t="shared" si="7"/>
        <v>1560.3</v>
      </c>
      <c r="K25" s="8">
        <f t="shared" si="8"/>
        <v>5016.402</v>
      </c>
      <c r="L25" s="8">
        <v>5016.3999999999996</v>
      </c>
      <c r="M25" s="8">
        <f t="shared" si="4"/>
        <v>2.0000000004074536E-3</v>
      </c>
      <c r="N25" s="54"/>
      <c r="O25" s="1"/>
    </row>
    <row r="26" spans="1:15">
      <c r="A26" s="56">
        <v>23</v>
      </c>
      <c r="B26" s="251">
        <v>45770</v>
      </c>
      <c r="C26" s="27"/>
      <c r="D26" s="27"/>
      <c r="E26" s="8">
        <v>0</v>
      </c>
      <c r="F26" s="8">
        <v>0</v>
      </c>
      <c r="G26" s="8">
        <f t="shared" si="6"/>
        <v>0</v>
      </c>
      <c r="H26" s="9">
        <v>0</v>
      </c>
      <c r="I26" s="9">
        <v>0</v>
      </c>
      <c r="J26" s="8">
        <f t="shared" si="7"/>
        <v>0</v>
      </c>
      <c r="K26" s="8">
        <f t="shared" si="8"/>
        <v>0</v>
      </c>
      <c r="L26" s="175">
        <v>0</v>
      </c>
      <c r="M26" s="8">
        <f t="shared" si="4"/>
        <v>2.0000000004074536E-3</v>
      </c>
      <c r="N26" s="54"/>
      <c r="O26" s="1"/>
    </row>
    <row r="27" spans="1:15">
      <c r="A27" s="56">
        <v>24</v>
      </c>
      <c r="B27" s="251">
        <v>45771</v>
      </c>
      <c r="C27" s="27"/>
      <c r="D27" s="27"/>
      <c r="E27" s="8">
        <v>40.04</v>
      </c>
      <c r="F27" s="8">
        <v>92.04</v>
      </c>
      <c r="G27" s="8">
        <f t="shared" si="6"/>
        <v>3685.2816000000003</v>
      </c>
      <c r="H27" s="9">
        <v>10</v>
      </c>
      <c r="I27" s="9">
        <v>104.02</v>
      </c>
      <c r="J27" s="8">
        <f t="shared" si="7"/>
        <v>1040.2</v>
      </c>
      <c r="K27" s="8">
        <f t="shared" si="8"/>
        <v>4725.4816000000001</v>
      </c>
      <c r="L27" s="175">
        <v>4725.4799999999996</v>
      </c>
      <c r="M27" s="8">
        <f t="shared" si="4"/>
        <v>3.6000000009153155E-3</v>
      </c>
      <c r="N27" s="54"/>
      <c r="O27" s="1"/>
    </row>
    <row r="28" spans="1:15">
      <c r="A28" s="56">
        <v>25</v>
      </c>
      <c r="B28" s="251">
        <v>45772</v>
      </c>
      <c r="C28" s="27"/>
      <c r="D28" s="27"/>
      <c r="E28" s="8">
        <v>0</v>
      </c>
      <c r="F28" s="8">
        <v>0</v>
      </c>
      <c r="G28" s="8">
        <f t="shared" ref="G28:G33" si="9">E28*F28</f>
        <v>0</v>
      </c>
      <c r="H28" s="9">
        <v>0</v>
      </c>
      <c r="I28" s="9">
        <v>0</v>
      </c>
      <c r="J28" s="8">
        <f t="shared" ref="J28:J33" si="10">H28*I28</f>
        <v>0</v>
      </c>
      <c r="K28" s="8">
        <f t="shared" ref="K28:K33" si="11">G28+J28</f>
        <v>0</v>
      </c>
      <c r="L28" s="175">
        <v>0</v>
      </c>
      <c r="M28" s="8">
        <f t="shared" si="4"/>
        <v>3.6000000009153155E-3</v>
      </c>
      <c r="N28" s="54"/>
      <c r="O28" s="1"/>
    </row>
    <row r="29" spans="1:15">
      <c r="A29" s="56">
        <v>26</v>
      </c>
      <c r="B29" s="251">
        <v>45773</v>
      </c>
      <c r="C29" s="27"/>
      <c r="D29" s="27"/>
      <c r="E29" s="8">
        <v>130</v>
      </c>
      <c r="F29" s="8">
        <v>92.04</v>
      </c>
      <c r="G29" s="8">
        <f t="shared" si="9"/>
        <v>11965.2</v>
      </c>
      <c r="H29" s="9">
        <v>0</v>
      </c>
      <c r="I29" s="9">
        <v>0</v>
      </c>
      <c r="J29" s="8">
        <f t="shared" si="10"/>
        <v>0</v>
      </c>
      <c r="K29" s="8">
        <f t="shared" si="11"/>
        <v>11965.2</v>
      </c>
      <c r="L29" s="175">
        <v>11965.2</v>
      </c>
      <c r="M29" s="8">
        <f t="shared" si="4"/>
        <v>3.6000000000058208E-3</v>
      </c>
      <c r="N29" s="54"/>
      <c r="O29" s="1"/>
    </row>
    <row r="30" spans="1:15">
      <c r="A30" s="56">
        <v>27</v>
      </c>
      <c r="B30" s="251">
        <v>45774</v>
      </c>
      <c r="C30" s="27"/>
      <c r="D30" s="27"/>
      <c r="E30" s="8">
        <v>0</v>
      </c>
      <c r="F30" s="8">
        <v>0</v>
      </c>
      <c r="G30" s="8">
        <f t="shared" si="9"/>
        <v>0</v>
      </c>
      <c r="H30" s="9">
        <v>5</v>
      </c>
      <c r="I30" s="9">
        <v>104.02</v>
      </c>
      <c r="J30" s="8">
        <f t="shared" si="10"/>
        <v>520.1</v>
      </c>
      <c r="K30" s="8">
        <f t="shared" si="11"/>
        <v>520.1</v>
      </c>
      <c r="L30" s="175">
        <v>520.1</v>
      </c>
      <c r="M30" s="8">
        <f t="shared" si="4"/>
        <v>3.6000000000058208E-3</v>
      </c>
      <c r="N30" s="54"/>
      <c r="O30" s="1"/>
    </row>
    <row r="31" spans="1:15">
      <c r="A31" s="56">
        <v>28</v>
      </c>
      <c r="B31" s="251">
        <v>45775</v>
      </c>
      <c r="C31" s="27"/>
      <c r="D31" s="27"/>
      <c r="E31" s="8">
        <v>138.99</v>
      </c>
      <c r="F31" s="8">
        <v>92.04</v>
      </c>
      <c r="G31" s="8">
        <f t="shared" si="9"/>
        <v>12792.639600000002</v>
      </c>
      <c r="H31" s="9">
        <v>0</v>
      </c>
      <c r="I31" s="9">
        <v>0</v>
      </c>
      <c r="J31" s="8">
        <f t="shared" si="10"/>
        <v>0</v>
      </c>
      <c r="K31" s="8">
        <f t="shared" si="11"/>
        <v>12792.639600000002</v>
      </c>
      <c r="L31" s="175">
        <v>12792.64</v>
      </c>
      <c r="M31" s="8">
        <f t="shared" si="4"/>
        <v>3.2000000028347131E-3</v>
      </c>
      <c r="N31" s="54"/>
      <c r="O31" s="1"/>
    </row>
    <row r="32" spans="1:15">
      <c r="A32" s="245">
        <v>29</v>
      </c>
      <c r="B32" s="251">
        <v>45776</v>
      </c>
      <c r="C32" s="27"/>
      <c r="D32" s="27"/>
      <c r="E32" s="8">
        <v>0</v>
      </c>
      <c r="F32" s="8">
        <v>0</v>
      </c>
      <c r="G32" s="8">
        <f t="shared" si="9"/>
        <v>0</v>
      </c>
      <c r="H32" s="9">
        <v>0</v>
      </c>
      <c r="I32" s="9">
        <v>0</v>
      </c>
      <c r="J32" s="8">
        <f t="shared" si="10"/>
        <v>0</v>
      </c>
      <c r="K32" s="8">
        <f t="shared" si="11"/>
        <v>0</v>
      </c>
      <c r="L32" s="175"/>
      <c r="M32" s="8"/>
      <c r="N32" s="54"/>
      <c r="O32" s="1"/>
    </row>
    <row r="33" spans="1:15">
      <c r="A33" s="245">
        <v>30</v>
      </c>
      <c r="B33" s="251">
        <v>45777</v>
      </c>
      <c r="C33" s="27"/>
      <c r="D33" s="27"/>
      <c r="E33" s="8">
        <v>0</v>
      </c>
      <c r="F33" s="8">
        <v>0</v>
      </c>
      <c r="G33" s="8">
        <f t="shared" si="9"/>
        <v>0</v>
      </c>
      <c r="H33" s="9">
        <v>0</v>
      </c>
      <c r="I33" s="9">
        <v>0</v>
      </c>
      <c r="J33" s="8">
        <f t="shared" si="10"/>
        <v>0</v>
      </c>
      <c r="K33" s="8">
        <f t="shared" si="11"/>
        <v>0</v>
      </c>
      <c r="L33" s="175"/>
      <c r="M33" s="8"/>
      <c r="N33" s="54"/>
      <c r="O33" s="1"/>
    </row>
    <row r="34" spans="1:15">
      <c r="A34" s="245">
        <v>31</v>
      </c>
      <c r="B34" s="251"/>
      <c r="C34" s="27"/>
      <c r="D34" s="27"/>
      <c r="E34" s="8"/>
      <c r="F34" s="8"/>
      <c r="G34" s="8"/>
      <c r="H34" s="9"/>
      <c r="I34" s="9"/>
      <c r="J34" s="8"/>
      <c r="K34" s="8"/>
      <c r="L34" s="175"/>
      <c r="M34" s="8"/>
      <c r="N34" s="54"/>
      <c r="O34" s="1"/>
    </row>
    <row r="35" spans="1:15">
      <c r="A35" s="76"/>
      <c r="B35" s="76"/>
      <c r="C35" s="76"/>
      <c r="D35" s="76"/>
      <c r="E35" s="77">
        <f>SUM(E4:E34)</f>
        <v>656.58</v>
      </c>
      <c r="F35" s="77"/>
      <c r="G35" s="77">
        <f>SUM(G4:G34)</f>
        <v>60371.023200000003</v>
      </c>
      <c r="H35" s="77">
        <f>SUM(H4:H34)</f>
        <v>55.51</v>
      </c>
      <c r="I35" s="77"/>
      <c r="J35" s="77">
        <f>SUM(J4:J34)</f>
        <v>5774.1502</v>
      </c>
      <c r="K35" s="77">
        <f>SUM(K4:K34)</f>
        <v>66145.1734</v>
      </c>
      <c r="L35" s="77">
        <f>SUM(L4:L34)</f>
        <v>66145.170199999993</v>
      </c>
      <c r="M35" s="77"/>
      <c r="N35" s="77"/>
      <c r="O35" s="73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00"/>
      <c r="C38" s="400"/>
      <c r="D38" s="400"/>
      <c r="E38" s="400"/>
      <c r="F38" s="1"/>
      <c r="G38" s="1"/>
      <c r="H38" s="1"/>
      <c r="I38" s="425">
        <f>K24+L24</f>
        <v>0</v>
      </c>
      <c r="J38" s="400"/>
      <c r="K38" s="400"/>
      <c r="L38" s="400"/>
      <c r="M38" s="400"/>
      <c r="N38" s="400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A21" activePane="bottomLeft" state="frozen"/>
      <selection pane="bottomLeft" activeCell="S33" sqref="S33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" customWidth="1"/>
    <col min="16" max="16" width="11.42578125" bestFit="1" customWidth="1"/>
  </cols>
  <sheetData>
    <row r="1" spans="1:16" ht="15.75">
      <c r="A1" s="426" t="s">
        <v>59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97"/>
    </row>
    <row r="2" spans="1:16">
      <c r="A2" s="114" t="s">
        <v>81</v>
      </c>
      <c r="B2" s="115" t="s">
        <v>82</v>
      </c>
      <c r="C2" s="115" t="s">
        <v>83</v>
      </c>
      <c r="D2" s="115" t="s">
        <v>108</v>
      </c>
      <c r="E2" s="115" t="s">
        <v>85</v>
      </c>
      <c r="F2" s="115" t="s">
        <v>86</v>
      </c>
      <c r="G2" s="115" t="s">
        <v>87</v>
      </c>
      <c r="H2" s="115" t="s">
        <v>88</v>
      </c>
      <c r="I2" s="115" t="s">
        <v>86</v>
      </c>
      <c r="J2" s="159" t="s">
        <v>87</v>
      </c>
      <c r="K2" s="116" t="s">
        <v>89</v>
      </c>
      <c r="L2" s="160" t="s">
        <v>90</v>
      </c>
      <c r="M2" s="165" t="s">
        <v>97</v>
      </c>
      <c r="N2" s="117" t="s">
        <v>92</v>
      </c>
      <c r="O2" s="73"/>
    </row>
    <row r="3" spans="1:16">
      <c r="A3" s="407" t="s">
        <v>93</v>
      </c>
      <c r="B3" s="408"/>
      <c r="C3" s="408"/>
      <c r="D3" s="408"/>
      <c r="E3" s="408"/>
      <c r="F3" s="408"/>
      <c r="G3" s="408"/>
      <c r="H3" s="408"/>
      <c r="I3" s="408"/>
      <c r="J3" s="420"/>
      <c r="K3" s="191">
        <v>1556.9985000000015</v>
      </c>
      <c r="L3" s="19"/>
      <c r="M3" s="123">
        <f>+K3</f>
        <v>1556.9985000000015</v>
      </c>
      <c r="N3" s="19"/>
      <c r="O3" s="73">
        <v>2837.17</v>
      </c>
      <c r="P3" s="205">
        <f>O3-K3</f>
        <v>1280.1714999999986</v>
      </c>
    </row>
    <row r="4" spans="1:16">
      <c r="A4" s="56">
        <v>1</v>
      </c>
      <c r="B4" s="251">
        <v>45748</v>
      </c>
      <c r="C4" s="179"/>
      <c r="D4" s="180"/>
      <c r="E4" s="181">
        <v>0</v>
      </c>
      <c r="F4" s="181">
        <v>0</v>
      </c>
      <c r="G4" s="161">
        <f>E4*F4</f>
        <v>0</v>
      </c>
      <c r="H4" s="181">
        <v>0</v>
      </c>
      <c r="I4" s="182">
        <v>0</v>
      </c>
      <c r="J4" s="22">
        <f>H4*I4</f>
        <v>0</v>
      </c>
      <c r="K4" s="22">
        <f>G4+J4</f>
        <v>0</v>
      </c>
      <c r="L4" s="163"/>
      <c r="M4" s="163">
        <f>M3+K4-L4</f>
        <v>1556.9985000000015</v>
      </c>
      <c r="N4" s="164"/>
    </row>
    <row r="5" spans="1:16">
      <c r="A5" s="56">
        <v>2</v>
      </c>
      <c r="B5" s="251">
        <v>45749</v>
      </c>
      <c r="C5" s="11"/>
      <c r="D5" s="11"/>
      <c r="E5" s="181">
        <v>0</v>
      </c>
      <c r="F5" s="181">
        <v>0</v>
      </c>
      <c r="G5" s="161">
        <f t="shared" ref="G5:G32" si="0">E5*F5</f>
        <v>0</v>
      </c>
      <c r="H5" s="181">
        <v>0</v>
      </c>
      <c r="I5" s="182">
        <v>0</v>
      </c>
      <c r="J5" s="22">
        <f t="shared" ref="J5:J32" si="1">H5*I5</f>
        <v>0</v>
      </c>
      <c r="K5" s="22">
        <f t="shared" ref="K5:K32" si="2">G5+J5</f>
        <v>0</v>
      </c>
      <c r="L5" s="163"/>
      <c r="M5" s="16">
        <f>M4+K5-L5</f>
        <v>1556.9985000000015</v>
      </c>
      <c r="N5" s="13"/>
    </row>
    <row r="6" spans="1:16">
      <c r="A6" s="56">
        <v>3</v>
      </c>
      <c r="B6" s="251">
        <v>45750</v>
      </c>
      <c r="C6" s="11"/>
      <c r="D6" s="11"/>
      <c r="E6" s="181">
        <v>0</v>
      </c>
      <c r="F6" s="181">
        <v>0</v>
      </c>
      <c r="G6" s="161">
        <f t="shared" si="0"/>
        <v>0</v>
      </c>
      <c r="H6" s="181">
        <v>0</v>
      </c>
      <c r="I6" s="182">
        <v>0</v>
      </c>
      <c r="J6" s="22">
        <f t="shared" si="1"/>
        <v>0</v>
      </c>
      <c r="K6" s="22">
        <f t="shared" si="2"/>
        <v>0</v>
      </c>
      <c r="L6" s="163"/>
      <c r="M6" s="16">
        <f>M5+K6-L6</f>
        <v>1556.9985000000015</v>
      </c>
      <c r="N6" s="14"/>
    </row>
    <row r="7" spans="1:16">
      <c r="A7" s="56">
        <v>4</v>
      </c>
      <c r="B7" s="251">
        <v>45751</v>
      </c>
      <c r="C7" s="84"/>
      <c r="D7" s="85"/>
      <c r="E7" s="181">
        <v>0</v>
      </c>
      <c r="F7" s="181">
        <v>0</v>
      </c>
      <c r="G7" s="161">
        <f t="shared" si="0"/>
        <v>0</v>
      </c>
      <c r="H7" s="181">
        <v>0</v>
      </c>
      <c r="I7" s="182">
        <v>0</v>
      </c>
      <c r="J7" s="22">
        <f t="shared" si="1"/>
        <v>0</v>
      </c>
      <c r="K7" s="22">
        <f t="shared" si="2"/>
        <v>0</v>
      </c>
      <c r="L7" s="163"/>
      <c r="M7" s="16">
        <f>M6+K7-L7</f>
        <v>1556.9985000000015</v>
      </c>
      <c r="N7" s="48"/>
    </row>
    <row r="8" spans="1:16">
      <c r="A8" s="56">
        <v>5</v>
      </c>
      <c r="B8" s="251">
        <v>45752</v>
      </c>
      <c r="C8" s="84"/>
      <c r="D8" s="85"/>
      <c r="E8" s="181">
        <v>0</v>
      </c>
      <c r="F8" s="181">
        <v>0</v>
      </c>
      <c r="G8" s="161">
        <f t="shared" si="0"/>
        <v>0</v>
      </c>
      <c r="H8" s="181">
        <v>0</v>
      </c>
      <c r="I8" s="182">
        <v>0</v>
      </c>
      <c r="J8" s="22">
        <f t="shared" si="1"/>
        <v>0</v>
      </c>
      <c r="K8" s="22">
        <f t="shared" si="2"/>
        <v>0</v>
      </c>
      <c r="L8" s="163"/>
      <c r="M8" s="16">
        <f>M7+K8-L8</f>
        <v>1556.9985000000015</v>
      </c>
      <c r="N8" s="48"/>
      <c r="O8" s="348">
        <v>8497892194</v>
      </c>
      <c r="P8" s="349" t="s">
        <v>109</v>
      </c>
    </row>
    <row r="9" spans="1:16">
      <c r="A9" s="56">
        <v>6</v>
      </c>
      <c r="B9" s="251">
        <v>45753</v>
      </c>
      <c r="C9" s="84"/>
      <c r="D9" s="85"/>
      <c r="E9" s="181">
        <v>0</v>
      </c>
      <c r="F9" s="181">
        <v>0</v>
      </c>
      <c r="G9" s="161">
        <f t="shared" si="0"/>
        <v>0</v>
      </c>
      <c r="H9" s="181">
        <v>0</v>
      </c>
      <c r="I9" s="182">
        <v>0</v>
      </c>
      <c r="J9" s="22">
        <f t="shared" si="1"/>
        <v>0</v>
      </c>
      <c r="K9" s="22">
        <f t="shared" si="2"/>
        <v>0</v>
      </c>
      <c r="L9" s="163"/>
      <c r="M9" s="16">
        <f>M8+K9-L9</f>
        <v>1556.9985000000015</v>
      </c>
      <c r="N9" s="48"/>
      <c r="O9" s="83"/>
    </row>
    <row r="10" spans="1:16">
      <c r="A10" s="56">
        <v>7</v>
      </c>
      <c r="B10" s="251">
        <v>45754</v>
      </c>
      <c r="C10" s="84"/>
      <c r="D10" s="85"/>
      <c r="E10" s="181">
        <v>0</v>
      </c>
      <c r="F10" s="181">
        <v>0</v>
      </c>
      <c r="G10" s="161">
        <f t="shared" si="0"/>
        <v>0</v>
      </c>
      <c r="H10" s="181">
        <v>0</v>
      </c>
      <c r="I10" s="182">
        <v>0</v>
      </c>
      <c r="J10" s="22">
        <f t="shared" si="1"/>
        <v>0</v>
      </c>
      <c r="K10" s="22">
        <f t="shared" si="2"/>
        <v>0</v>
      </c>
      <c r="L10" s="163"/>
      <c r="M10" s="16">
        <f>M9+K10-L10</f>
        <v>1556.9985000000015</v>
      </c>
      <c r="N10" s="48"/>
      <c r="O10" s="83"/>
    </row>
    <row r="11" spans="1:16">
      <c r="A11" s="56">
        <v>8</v>
      </c>
      <c r="B11" s="251">
        <v>45755</v>
      </c>
      <c r="C11" s="84"/>
      <c r="D11" s="85"/>
      <c r="E11" s="181">
        <v>0</v>
      </c>
      <c r="F11" s="181">
        <v>0</v>
      </c>
      <c r="G11" s="161">
        <f t="shared" si="0"/>
        <v>0</v>
      </c>
      <c r="H11" s="181">
        <v>0</v>
      </c>
      <c r="I11" s="182">
        <v>0</v>
      </c>
      <c r="J11" s="22">
        <f t="shared" si="1"/>
        <v>0</v>
      </c>
      <c r="K11" s="22">
        <f t="shared" si="2"/>
        <v>0</v>
      </c>
      <c r="L11" s="163"/>
      <c r="M11" s="16">
        <f>M10+K11-L11</f>
        <v>1556.9985000000015</v>
      </c>
      <c r="N11" s="48"/>
      <c r="O11" s="83"/>
    </row>
    <row r="12" spans="1:16">
      <c r="A12" s="56">
        <v>9</v>
      </c>
      <c r="B12" s="251">
        <v>45756</v>
      </c>
      <c r="C12" s="84"/>
      <c r="D12" s="85"/>
      <c r="E12" s="181">
        <v>0</v>
      </c>
      <c r="F12" s="181">
        <v>0</v>
      </c>
      <c r="G12" s="161">
        <f t="shared" si="0"/>
        <v>0</v>
      </c>
      <c r="H12" s="181">
        <v>0</v>
      </c>
      <c r="I12" s="182">
        <v>0</v>
      </c>
      <c r="J12" s="22">
        <f t="shared" si="1"/>
        <v>0</v>
      </c>
      <c r="K12" s="22">
        <f t="shared" si="2"/>
        <v>0</v>
      </c>
      <c r="L12" s="163"/>
      <c r="M12" s="16">
        <f>M11+K12-L12</f>
        <v>1556.9985000000015</v>
      </c>
      <c r="N12" s="48"/>
      <c r="O12" s="83"/>
    </row>
    <row r="13" spans="1:16">
      <c r="A13" s="56">
        <v>10</v>
      </c>
      <c r="B13" s="251">
        <v>45757</v>
      </c>
      <c r="C13" s="84"/>
      <c r="D13" s="85"/>
      <c r="E13" s="181">
        <v>0</v>
      </c>
      <c r="F13" s="181">
        <v>0</v>
      </c>
      <c r="G13" s="161">
        <f t="shared" si="0"/>
        <v>0</v>
      </c>
      <c r="H13" s="181">
        <v>0</v>
      </c>
      <c r="I13" s="182">
        <v>0</v>
      </c>
      <c r="J13" s="22">
        <f t="shared" si="1"/>
        <v>0</v>
      </c>
      <c r="K13" s="22">
        <f t="shared" si="2"/>
        <v>0</v>
      </c>
      <c r="L13" s="163"/>
      <c r="M13" s="16">
        <f>M12+K13-L13</f>
        <v>1556.9985000000015</v>
      </c>
      <c r="N13" s="48"/>
      <c r="O13" s="83"/>
    </row>
    <row r="14" spans="1:16">
      <c r="A14" s="56">
        <v>11</v>
      </c>
      <c r="B14" s="251">
        <v>45758</v>
      </c>
      <c r="C14" s="84"/>
      <c r="D14" s="85"/>
      <c r="E14" s="181">
        <v>0</v>
      </c>
      <c r="F14" s="181">
        <v>0</v>
      </c>
      <c r="G14" s="161">
        <f t="shared" si="0"/>
        <v>0</v>
      </c>
      <c r="H14" s="181">
        <v>0</v>
      </c>
      <c r="I14" s="182">
        <v>0</v>
      </c>
      <c r="J14" s="22">
        <f t="shared" si="1"/>
        <v>0</v>
      </c>
      <c r="K14" s="22">
        <f t="shared" si="2"/>
        <v>0</v>
      </c>
      <c r="L14" s="163"/>
      <c r="M14" s="16">
        <f>M13+K14-L14</f>
        <v>1556.9985000000015</v>
      </c>
      <c r="N14" s="48"/>
      <c r="O14" s="83"/>
    </row>
    <row r="15" spans="1:16">
      <c r="A15" s="56">
        <v>12</v>
      </c>
      <c r="B15" s="251">
        <v>45759</v>
      </c>
      <c r="C15" s="84"/>
      <c r="D15" s="85"/>
      <c r="E15" s="181">
        <v>0</v>
      </c>
      <c r="F15" s="181">
        <v>0</v>
      </c>
      <c r="G15" s="161">
        <f t="shared" si="0"/>
        <v>0</v>
      </c>
      <c r="H15" s="181">
        <v>0</v>
      </c>
      <c r="I15" s="182">
        <v>0</v>
      </c>
      <c r="J15" s="22">
        <f t="shared" si="1"/>
        <v>0</v>
      </c>
      <c r="K15" s="22">
        <f t="shared" si="2"/>
        <v>0</v>
      </c>
      <c r="L15" s="163"/>
      <c r="M15" s="16">
        <f>M14+K15-L15</f>
        <v>1556.9985000000015</v>
      </c>
      <c r="N15" s="48"/>
      <c r="O15" s="83"/>
    </row>
    <row r="16" spans="1:16">
      <c r="A16" s="56">
        <v>13</v>
      </c>
      <c r="B16" s="251">
        <v>45760</v>
      </c>
      <c r="C16" s="84"/>
      <c r="D16" s="85"/>
      <c r="E16" s="181">
        <v>0</v>
      </c>
      <c r="F16" s="181">
        <v>89.81</v>
      </c>
      <c r="G16" s="161"/>
      <c r="H16" s="181">
        <v>20</v>
      </c>
      <c r="I16" s="181">
        <v>103.8</v>
      </c>
      <c r="J16" s="341">
        <f t="shared" si="1"/>
        <v>2076</v>
      </c>
      <c r="K16" s="341">
        <f t="shared" si="2"/>
        <v>2076</v>
      </c>
      <c r="L16" s="163"/>
      <c r="M16" s="342">
        <f>M15+K16-L16</f>
        <v>3632.9985000000015</v>
      </c>
      <c r="N16" s="48"/>
      <c r="O16" s="83"/>
    </row>
    <row r="17" spans="1:18">
      <c r="A17" s="56">
        <v>14</v>
      </c>
      <c r="B17" s="251">
        <v>45761</v>
      </c>
      <c r="C17" s="84"/>
      <c r="D17" s="85"/>
      <c r="E17" s="181">
        <v>0</v>
      </c>
      <c r="F17" s="181">
        <v>0</v>
      </c>
      <c r="G17" s="161">
        <f t="shared" si="0"/>
        <v>0</v>
      </c>
      <c r="H17" s="181">
        <v>0</v>
      </c>
      <c r="I17" s="182">
        <v>0</v>
      </c>
      <c r="J17" s="22">
        <f t="shared" si="1"/>
        <v>0</v>
      </c>
      <c r="K17" s="22">
        <f t="shared" si="2"/>
        <v>0</v>
      </c>
      <c r="L17" s="163"/>
      <c r="M17" s="16">
        <f>M16+K17-L17</f>
        <v>3632.9985000000015</v>
      </c>
      <c r="N17" s="48"/>
      <c r="O17" s="83"/>
    </row>
    <row r="18" spans="1:18">
      <c r="A18" s="56">
        <v>15</v>
      </c>
      <c r="B18" s="251">
        <v>45762</v>
      </c>
      <c r="C18" s="84"/>
      <c r="D18" s="85"/>
      <c r="E18" s="181">
        <v>0</v>
      </c>
      <c r="F18" s="181">
        <v>0</v>
      </c>
      <c r="G18" s="161">
        <f t="shared" si="0"/>
        <v>0</v>
      </c>
      <c r="H18" s="181">
        <v>0</v>
      </c>
      <c r="I18" s="182">
        <v>0</v>
      </c>
      <c r="J18" s="22">
        <f t="shared" si="1"/>
        <v>0</v>
      </c>
      <c r="K18" s="22">
        <f t="shared" si="2"/>
        <v>0</v>
      </c>
      <c r="L18" s="163"/>
      <c r="M18" s="16">
        <f>M17+K18-L18</f>
        <v>3632.9985000000015</v>
      </c>
      <c r="N18" s="48"/>
      <c r="O18" s="83"/>
    </row>
    <row r="19" spans="1:18">
      <c r="A19" s="56">
        <v>16</v>
      </c>
      <c r="B19" s="251">
        <v>45763</v>
      </c>
      <c r="C19" s="232"/>
      <c r="D19" s="233"/>
      <c r="E19" s="181">
        <v>0</v>
      </c>
      <c r="F19" s="181">
        <v>0</v>
      </c>
      <c r="G19" s="161">
        <f t="shared" si="0"/>
        <v>0</v>
      </c>
      <c r="H19" s="181">
        <v>0</v>
      </c>
      <c r="I19" s="182">
        <v>0</v>
      </c>
      <c r="J19" s="22">
        <f t="shared" si="1"/>
        <v>0</v>
      </c>
      <c r="K19" s="22">
        <f t="shared" si="2"/>
        <v>0</v>
      </c>
      <c r="L19" s="163"/>
      <c r="M19" s="17">
        <f>M18+K19-L19</f>
        <v>3632.9985000000015</v>
      </c>
      <c r="N19" s="235"/>
      <c r="O19" s="83"/>
    </row>
    <row r="20" spans="1:18">
      <c r="A20" s="56">
        <v>17</v>
      </c>
      <c r="B20" s="251">
        <v>45764</v>
      </c>
      <c r="C20" s="81"/>
      <c r="D20" s="85"/>
      <c r="E20" s="181">
        <v>0</v>
      </c>
      <c r="F20" s="181">
        <v>0</v>
      </c>
      <c r="G20" s="161">
        <f t="shared" si="0"/>
        <v>0</v>
      </c>
      <c r="H20" s="181">
        <v>0</v>
      </c>
      <c r="I20" s="182">
        <v>0</v>
      </c>
      <c r="J20" s="22">
        <f t="shared" si="1"/>
        <v>0</v>
      </c>
      <c r="K20" s="22">
        <f t="shared" si="2"/>
        <v>0</v>
      </c>
      <c r="L20" s="163"/>
      <c r="M20" s="17">
        <f>M19+K20-L20</f>
        <v>3632.9985000000015</v>
      </c>
      <c r="N20" s="48"/>
      <c r="O20" s="83"/>
    </row>
    <row r="21" spans="1:18">
      <c r="A21" s="56">
        <v>18</v>
      </c>
      <c r="B21" s="251">
        <v>45765</v>
      </c>
      <c r="C21" s="81"/>
      <c r="D21" s="85"/>
      <c r="E21" s="181">
        <v>30</v>
      </c>
      <c r="F21" s="181">
        <v>91.83</v>
      </c>
      <c r="G21" s="161">
        <f t="shared" si="0"/>
        <v>2754.9</v>
      </c>
      <c r="H21" s="181">
        <v>0</v>
      </c>
      <c r="I21" s="182">
        <v>0</v>
      </c>
      <c r="J21" s="22">
        <f t="shared" si="1"/>
        <v>0</v>
      </c>
      <c r="K21" s="22">
        <f t="shared" si="2"/>
        <v>2754.9</v>
      </c>
      <c r="L21" s="163"/>
      <c r="M21" s="17">
        <f>M20+K21-L21</f>
        <v>6387.8985000000011</v>
      </c>
      <c r="N21" s="48"/>
      <c r="O21" s="83"/>
    </row>
    <row r="22" spans="1:18">
      <c r="A22" s="56">
        <v>19</v>
      </c>
      <c r="B22" s="251">
        <v>45766</v>
      </c>
      <c r="C22" s="81"/>
      <c r="D22" s="85"/>
      <c r="E22" s="181">
        <v>20</v>
      </c>
      <c r="F22" s="181">
        <v>91.83</v>
      </c>
      <c r="G22" s="161">
        <f t="shared" si="0"/>
        <v>1836.6</v>
      </c>
      <c r="H22" s="181">
        <v>0</v>
      </c>
      <c r="I22" s="182">
        <v>0</v>
      </c>
      <c r="J22" s="22">
        <f t="shared" si="1"/>
        <v>0</v>
      </c>
      <c r="K22" s="22">
        <f t="shared" si="2"/>
        <v>1836.6</v>
      </c>
      <c r="L22" s="163"/>
      <c r="M22" s="17">
        <f t="shared" ref="M22:M30" si="3">M21+K22-L22</f>
        <v>8224.4985000000015</v>
      </c>
      <c r="N22" s="48"/>
      <c r="O22" s="83"/>
    </row>
    <row r="23" spans="1:18">
      <c r="A23" s="56">
        <v>20</v>
      </c>
      <c r="B23" s="251">
        <v>45767</v>
      </c>
      <c r="C23" s="81"/>
      <c r="D23" s="85"/>
      <c r="E23" s="181">
        <v>0</v>
      </c>
      <c r="F23" s="181">
        <v>0</v>
      </c>
      <c r="G23" s="161">
        <f t="shared" si="0"/>
        <v>0</v>
      </c>
      <c r="H23" s="181">
        <v>0</v>
      </c>
      <c r="I23" s="182">
        <v>0</v>
      </c>
      <c r="J23" s="22">
        <f t="shared" si="1"/>
        <v>0</v>
      </c>
      <c r="K23" s="22">
        <f t="shared" si="2"/>
        <v>0</v>
      </c>
      <c r="L23" s="163"/>
      <c r="M23" s="17">
        <f t="shared" si="3"/>
        <v>8224.4985000000015</v>
      </c>
      <c r="N23" s="48"/>
      <c r="O23" s="83"/>
    </row>
    <row r="24" spans="1:18">
      <c r="A24" s="56">
        <v>21</v>
      </c>
      <c r="B24" s="251">
        <v>45768</v>
      </c>
      <c r="C24" s="81"/>
      <c r="D24" s="85"/>
      <c r="E24" s="181">
        <v>20</v>
      </c>
      <c r="F24" s="181">
        <v>91.83</v>
      </c>
      <c r="G24" s="161">
        <f t="shared" si="0"/>
        <v>1836.6</v>
      </c>
      <c r="H24" s="181">
        <v>0</v>
      </c>
      <c r="I24" s="182">
        <v>0</v>
      </c>
      <c r="J24" s="22">
        <f t="shared" si="1"/>
        <v>0</v>
      </c>
      <c r="K24" s="22">
        <f t="shared" si="2"/>
        <v>1836.6</v>
      </c>
      <c r="L24" s="163"/>
      <c r="M24" s="17">
        <f t="shared" si="3"/>
        <v>10061.098500000002</v>
      </c>
      <c r="N24" s="48"/>
      <c r="O24" s="83"/>
    </row>
    <row r="25" spans="1:18">
      <c r="A25" s="56">
        <v>22</v>
      </c>
      <c r="B25" s="251">
        <v>45769</v>
      </c>
      <c r="C25" s="81"/>
      <c r="D25" s="85"/>
      <c r="E25" s="181">
        <v>29.12</v>
      </c>
      <c r="F25" s="181">
        <v>91.83</v>
      </c>
      <c r="G25" s="161">
        <f t="shared" si="0"/>
        <v>2674.0896000000002</v>
      </c>
      <c r="H25" s="181">
        <v>10</v>
      </c>
      <c r="I25" s="182">
        <v>103.8</v>
      </c>
      <c r="J25" s="22">
        <f t="shared" si="1"/>
        <v>1038</v>
      </c>
      <c r="K25" s="22">
        <f t="shared" si="2"/>
        <v>3712.0896000000002</v>
      </c>
      <c r="L25" s="163"/>
      <c r="M25" s="17">
        <f t="shared" si="3"/>
        <v>13773.188100000003</v>
      </c>
      <c r="N25" s="48"/>
      <c r="O25" s="83"/>
    </row>
    <row r="26" spans="1:18">
      <c r="A26" s="56">
        <v>23</v>
      </c>
      <c r="B26" s="251">
        <v>45770</v>
      </c>
      <c r="C26" s="81"/>
      <c r="D26" s="85"/>
      <c r="E26" s="181">
        <v>30</v>
      </c>
      <c r="F26" s="181">
        <v>91.83</v>
      </c>
      <c r="G26" s="161">
        <f t="shared" si="0"/>
        <v>2754.9</v>
      </c>
      <c r="H26" s="181">
        <v>0</v>
      </c>
      <c r="I26" s="182">
        <v>0</v>
      </c>
      <c r="J26" s="22">
        <f t="shared" si="1"/>
        <v>0</v>
      </c>
      <c r="K26" s="22">
        <f t="shared" si="2"/>
        <v>2754.9</v>
      </c>
      <c r="L26" s="163"/>
      <c r="M26" s="17">
        <f t="shared" si="3"/>
        <v>16528.088100000004</v>
      </c>
      <c r="N26" s="48"/>
      <c r="O26" s="83"/>
    </row>
    <row r="27" spans="1:18">
      <c r="A27" s="56">
        <v>24</v>
      </c>
      <c r="B27" s="251">
        <v>45771</v>
      </c>
      <c r="C27" s="81"/>
      <c r="D27" s="85"/>
      <c r="E27" s="181">
        <v>30</v>
      </c>
      <c r="F27" s="181">
        <v>91.83</v>
      </c>
      <c r="G27" s="161">
        <f t="shared" si="0"/>
        <v>2754.9</v>
      </c>
      <c r="H27" s="181">
        <v>0</v>
      </c>
      <c r="I27" s="182">
        <v>0</v>
      </c>
      <c r="J27" s="22">
        <f t="shared" si="1"/>
        <v>0</v>
      </c>
      <c r="K27" s="22">
        <f t="shared" si="2"/>
        <v>2754.9</v>
      </c>
      <c r="L27" s="163"/>
      <c r="M27" s="17">
        <f t="shared" si="3"/>
        <v>19282.988100000006</v>
      </c>
      <c r="N27" s="48"/>
      <c r="O27" s="83"/>
      <c r="R27">
        <v>66742</v>
      </c>
    </row>
    <row r="28" spans="1:18">
      <c r="A28" s="281">
        <v>25</v>
      </c>
      <c r="B28" s="251">
        <v>45772</v>
      </c>
      <c r="C28" s="244"/>
      <c r="D28" s="233"/>
      <c r="E28" s="181">
        <v>0</v>
      </c>
      <c r="F28" s="181">
        <v>0</v>
      </c>
      <c r="G28" s="161">
        <f t="shared" si="0"/>
        <v>0</v>
      </c>
      <c r="H28" s="181">
        <v>0</v>
      </c>
      <c r="I28" s="182">
        <v>0</v>
      </c>
      <c r="J28" s="22">
        <f t="shared" si="1"/>
        <v>0</v>
      </c>
      <c r="K28" s="22">
        <f t="shared" si="2"/>
        <v>0</v>
      </c>
      <c r="L28" s="163"/>
      <c r="M28" s="17">
        <f t="shared" si="3"/>
        <v>19282.988100000006</v>
      </c>
      <c r="N28" s="235"/>
      <c r="O28" s="83"/>
    </row>
    <row r="29" spans="1:18">
      <c r="A29" s="56">
        <v>26</v>
      </c>
      <c r="B29" s="251">
        <v>45773</v>
      </c>
      <c r="C29" s="81"/>
      <c r="D29" s="85"/>
      <c r="E29" s="181">
        <v>30</v>
      </c>
      <c r="F29" s="181">
        <v>91.83</v>
      </c>
      <c r="G29" s="161">
        <f t="shared" si="0"/>
        <v>2754.9</v>
      </c>
      <c r="H29" s="181">
        <v>0</v>
      </c>
      <c r="I29" s="182">
        <v>0</v>
      </c>
      <c r="J29" s="22">
        <f t="shared" si="1"/>
        <v>0</v>
      </c>
      <c r="K29" s="22">
        <f t="shared" si="2"/>
        <v>2754.9</v>
      </c>
      <c r="L29" s="163"/>
      <c r="M29" s="17">
        <f t="shared" si="3"/>
        <v>22037.888100000007</v>
      </c>
      <c r="N29" s="48"/>
      <c r="O29" s="83"/>
    </row>
    <row r="30" spans="1:18">
      <c r="A30" s="56">
        <v>27</v>
      </c>
      <c r="B30" s="251">
        <v>45774</v>
      </c>
      <c r="C30" s="81"/>
      <c r="D30" s="85"/>
      <c r="E30" s="181">
        <v>0</v>
      </c>
      <c r="F30" s="181">
        <v>0</v>
      </c>
      <c r="G30" s="161">
        <f t="shared" si="0"/>
        <v>0</v>
      </c>
      <c r="H30" s="181">
        <v>0</v>
      </c>
      <c r="I30" s="182">
        <v>0</v>
      </c>
      <c r="J30" s="22">
        <f t="shared" si="1"/>
        <v>0</v>
      </c>
      <c r="K30" s="22">
        <f t="shared" si="2"/>
        <v>0</v>
      </c>
      <c r="L30" s="163"/>
      <c r="M30" s="17">
        <f t="shared" si="3"/>
        <v>22037.888100000007</v>
      </c>
      <c r="N30" s="48"/>
      <c r="O30" s="83"/>
    </row>
    <row r="31" spans="1:18">
      <c r="A31" s="56">
        <v>28</v>
      </c>
      <c r="B31" s="251">
        <v>45775</v>
      </c>
      <c r="C31" s="81"/>
      <c r="D31" s="85"/>
      <c r="E31" s="181">
        <v>30</v>
      </c>
      <c r="F31" s="181">
        <v>91.83</v>
      </c>
      <c r="G31" s="161">
        <f t="shared" si="0"/>
        <v>2754.9</v>
      </c>
      <c r="H31" s="181">
        <v>0</v>
      </c>
      <c r="I31" s="182">
        <v>0</v>
      </c>
      <c r="J31" s="22">
        <f t="shared" si="1"/>
        <v>0</v>
      </c>
      <c r="K31" s="22">
        <f t="shared" si="2"/>
        <v>2754.9</v>
      </c>
      <c r="L31" s="163"/>
      <c r="M31" s="17">
        <f>M30+K31-L31</f>
        <v>24792.788100000009</v>
      </c>
      <c r="N31" s="48"/>
      <c r="O31" s="83"/>
    </row>
    <row r="32" spans="1:18">
      <c r="A32" s="56">
        <v>29</v>
      </c>
      <c r="B32" s="251">
        <v>45776</v>
      </c>
      <c r="C32" s="81"/>
      <c r="D32" s="85"/>
      <c r="E32" s="181">
        <v>30</v>
      </c>
      <c r="F32" s="181">
        <v>91.83</v>
      </c>
      <c r="G32" s="161">
        <f t="shared" si="0"/>
        <v>2754.9</v>
      </c>
      <c r="H32" s="181">
        <v>0</v>
      </c>
      <c r="I32" s="182">
        <v>0</v>
      </c>
      <c r="J32" s="22">
        <f t="shared" si="1"/>
        <v>0</v>
      </c>
      <c r="K32" s="22">
        <f t="shared" si="2"/>
        <v>2754.9</v>
      </c>
      <c r="L32" s="163"/>
      <c r="M32" s="17">
        <f>M31+K32-L32</f>
        <v>27547.68810000001</v>
      </c>
      <c r="N32" s="48"/>
      <c r="O32" s="83"/>
    </row>
    <row r="33" spans="1:15">
      <c r="A33" s="56">
        <v>30</v>
      </c>
      <c r="B33" s="251">
        <v>45777</v>
      </c>
      <c r="C33" s="81"/>
      <c r="D33" s="85"/>
      <c r="E33" s="79">
        <v>30</v>
      </c>
      <c r="F33" s="264">
        <v>91.83</v>
      </c>
      <c r="G33" s="161">
        <f>E33*F33</f>
        <v>2754.9</v>
      </c>
      <c r="H33" s="79"/>
      <c r="I33" s="80"/>
      <c r="J33" s="8"/>
      <c r="K33" s="8">
        <v>2754.9</v>
      </c>
      <c r="L33" s="82"/>
      <c r="M33" s="17">
        <f>M32+K33-L33</f>
        <v>30302.588100000012</v>
      </c>
      <c r="N33" s="48"/>
      <c r="O33" s="83"/>
    </row>
    <row r="34" spans="1:15">
      <c r="A34" s="56">
        <v>31</v>
      </c>
      <c r="B34" s="251"/>
      <c r="C34" s="81"/>
      <c r="D34" s="85"/>
      <c r="E34" s="79"/>
      <c r="F34" s="264"/>
      <c r="G34" s="8"/>
      <c r="H34" s="79"/>
      <c r="I34" s="80"/>
      <c r="J34" s="8"/>
      <c r="K34" s="8"/>
      <c r="L34" s="82"/>
      <c r="M34" s="82"/>
      <c r="N34" s="48"/>
      <c r="O34" s="83"/>
    </row>
    <row r="35" spans="1:15">
      <c r="A35" s="188"/>
      <c r="B35" s="188"/>
      <c r="C35" s="188"/>
      <c r="D35" s="188"/>
      <c r="E35" s="189">
        <f>SUM(E4:E34)</f>
        <v>279.12</v>
      </c>
      <c r="F35" s="189"/>
      <c r="G35" s="189">
        <f>SUM(G4:G34)</f>
        <v>25631.589600000007</v>
      </c>
      <c r="H35" s="189">
        <f>SUM(H4:H34)</f>
        <v>30</v>
      </c>
      <c r="I35" s="189"/>
      <c r="J35" s="189">
        <f>SUM(J4:J34)</f>
        <v>3114</v>
      </c>
      <c r="K35" s="189">
        <f>SUM(K4:K34)</f>
        <v>28745.589600000007</v>
      </c>
      <c r="L35" s="189">
        <f>SUM(L4:L29)</f>
        <v>0</v>
      </c>
      <c r="M35" s="189"/>
      <c r="N35" s="189"/>
      <c r="O35" s="73"/>
    </row>
    <row r="36" spans="1:15">
      <c r="A36" s="87"/>
      <c r="B36" s="88"/>
      <c r="C36" s="87"/>
      <c r="D36" s="87"/>
      <c r="E36" s="89"/>
      <c r="F36" s="89"/>
      <c r="G36" s="89"/>
      <c r="H36" s="89"/>
      <c r="I36" s="89"/>
      <c r="J36" s="90"/>
      <c r="K36" s="90"/>
      <c r="L36" s="90"/>
      <c r="M36" s="90"/>
      <c r="N36" s="89"/>
      <c r="O36" s="83"/>
    </row>
    <row r="37" spans="1:15">
      <c r="O37" s="83"/>
    </row>
    <row r="38" spans="1:15">
      <c r="O38" s="83"/>
    </row>
    <row r="39" spans="1:15">
      <c r="O39" s="83"/>
    </row>
    <row r="40" spans="1:15">
      <c r="O40" s="83"/>
    </row>
    <row r="41" spans="1:15">
      <c r="O41" s="83"/>
    </row>
    <row r="42" spans="1:15">
      <c r="A42" s="83"/>
      <c r="B42" s="73"/>
      <c r="C42" s="83"/>
      <c r="D42" s="83"/>
      <c r="E42" s="83"/>
      <c r="F42" s="83"/>
      <c r="G42" s="91"/>
      <c r="H42" s="83"/>
      <c r="I42" s="83"/>
      <c r="J42" s="73"/>
      <c r="K42" s="73"/>
      <c r="L42" s="73"/>
      <c r="M42" s="73"/>
      <c r="N42" s="83"/>
      <c r="O42" s="89"/>
    </row>
    <row r="43" spans="1:15">
      <c r="A43" s="83"/>
      <c r="B43" s="423"/>
      <c r="C43" s="423"/>
      <c r="D43" s="423"/>
      <c r="E43" s="423"/>
      <c r="F43" s="83"/>
      <c r="G43" s="83"/>
      <c r="H43" s="83"/>
      <c r="I43" s="423"/>
      <c r="J43" s="423"/>
      <c r="K43" s="423"/>
      <c r="L43" s="423"/>
      <c r="M43" s="423"/>
      <c r="N43" s="423"/>
      <c r="O43" s="89"/>
    </row>
    <row r="44" spans="1:15">
      <c r="A44" s="83"/>
      <c r="B44" s="73"/>
      <c r="C44" s="83"/>
      <c r="D44" s="83"/>
      <c r="E44" s="83"/>
      <c r="F44" s="83"/>
      <c r="G44" s="83"/>
      <c r="H44" s="83"/>
      <c r="I44" s="83"/>
      <c r="J44" s="73"/>
      <c r="K44" s="73"/>
      <c r="L44" s="73"/>
      <c r="M44" s="73"/>
      <c r="N44" s="83"/>
      <c r="O44" s="89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P36"/>
  <sheetViews>
    <sheetView workbookViewId="0">
      <pane ySplit="2" topLeftCell="A24" activePane="bottomLeft" state="frozen"/>
      <selection pane="bottomLeft" activeCell="O34" sqref="O34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4" bestFit="1" customWidth="1"/>
    <col min="6" max="6" width="9.5703125" style="24" bestFit="1" customWidth="1"/>
    <col min="7" max="7" width="9.28515625" style="24" bestFit="1" customWidth="1"/>
    <col min="8" max="8" width="10.7109375" style="24" bestFit="1" customWidth="1"/>
    <col min="9" max="9" width="7.140625" style="24" bestFit="1" customWidth="1"/>
    <col min="10" max="10" width="8.7109375" style="24" bestFit="1" customWidth="1"/>
    <col min="11" max="11" width="13.5703125" style="24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6" ht="15.75">
      <c r="A1" s="427" t="s">
        <v>49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</row>
    <row r="2" spans="1:16">
      <c r="A2" s="78" t="s">
        <v>81</v>
      </c>
      <c r="B2" s="98" t="s">
        <v>82</v>
      </c>
      <c r="C2" s="98" t="s">
        <v>83</v>
      </c>
      <c r="D2" s="98" t="s">
        <v>84</v>
      </c>
      <c r="E2" s="106" t="s">
        <v>85</v>
      </c>
      <c r="F2" s="106" t="s">
        <v>86</v>
      </c>
      <c r="G2" s="106" t="s">
        <v>87</v>
      </c>
      <c r="H2" s="106" t="s">
        <v>88</v>
      </c>
      <c r="I2" s="106" t="s">
        <v>86</v>
      </c>
      <c r="J2" s="106" t="s">
        <v>87</v>
      </c>
      <c r="K2" s="107" t="s">
        <v>89</v>
      </c>
      <c r="L2" s="100" t="s">
        <v>90</v>
      </c>
      <c r="M2" s="100" t="s">
        <v>97</v>
      </c>
      <c r="N2" s="143" t="s">
        <v>92</v>
      </c>
    </row>
    <row r="3" spans="1:16">
      <c r="A3" s="409" t="s">
        <v>93</v>
      </c>
      <c r="B3" s="409"/>
      <c r="C3" s="409"/>
      <c r="D3" s="409"/>
      <c r="E3" s="409"/>
      <c r="F3" s="409"/>
      <c r="G3" s="409"/>
      <c r="H3" s="409"/>
      <c r="I3" s="409"/>
      <c r="J3" s="410"/>
      <c r="K3" s="252">
        <v>786.79</v>
      </c>
      <c r="M3" s="155">
        <f>+K3</f>
        <v>786.79</v>
      </c>
      <c r="N3" s="110"/>
      <c r="O3">
        <v>786.78650000000471</v>
      </c>
    </row>
    <row r="4" spans="1:16">
      <c r="A4" s="28">
        <v>1</v>
      </c>
      <c r="B4" s="29">
        <v>45748</v>
      </c>
      <c r="C4" s="19"/>
      <c r="D4" s="19"/>
      <c r="E4" s="46">
        <v>44</v>
      </c>
      <c r="F4" s="46">
        <v>90.56</v>
      </c>
      <c r="G4" s="46">
        <f>E4*F4</f>
        <v>3984.6400000000003</v>
      </c>
      <c r="H4" s="46">
        <v>0</v>
      </c>
      <c r="I4" s="46">
        <v>0</v>
      </c>
      <c r="J4" s="46">
        <f>H4*I4</f>
        <v>0</v>
      </c>
      <c r="K4" s="46">
        <f>G4+J4</f>
        <v>3984.6400000000003</v>
      </c>
      <c r="L4" s="46">
        <f>+K4</f>
        <v>3984.6400000000003</v>
      </c>
      <c r="M4" s="156">
        <f>M3+K4-L4</f>
        <v>786.79</v>
      </c>
      <c r="N4" s="19"/>
    </row>
    <row r="5" spans="1:16">
      <c r="A5" s="28">
        <v>2</v>
      </c>
      <c r="B5" s="275">
        <v>45749</v>
      </c>
      <c r="C5" s="19"/>
      <c r="D5" s="19"/>
      <c r="E5" s="46">
        <v>27.14</v>
      </c>
      <c r="F5" s="46">
        <v>92.03</v>
      </c>
      <c r="G5" s="46">
        <f t="shared" ref="G5:G35" si="0">E5*F5</f>
        <v>2497.6941999999999</v>
      </c>
      <c r="H5" s="46">
        <v>0</v>
      </c>
      <c r="I5" s="46">
        <v>0</v>
      </c>
      <c r="J5" s="46">
        <f t="shared" ref="J5:J35" si="1">H5*I5</f>
        <v>0</v>
      </c>
      <c r="K5" s="46">
        <f t="shared" ref="K5:K35" si="2">G5+J5</f>
        <v>2497.6941999999999</v>
      </c>
      <c r="L5" s="46">
        <f t="shared" ref="L5:L35" si="3">+K5</f>
        <v>2497.6941999999999</v>
      </c>
      <c r="M5" s="156">
        <f t="shared" ref="M5:M29" si="4">M4+K5-L5</f>
        <v>786.79</v>
      </c>
      <c r="N5" s="19"/>
    </row>
    <row r="6" spans="1:16">
      <c r="A6" s="28">
        <v>3</v>
      </c>
      <c r="B6" s="29">
        <v>45750</v>
      </c>
      <c r="C6" s="19"/>
      <c r="D6" s="19"/>
      <c r="E6" s="46">
        <v>0</v>
      </c>
      <c r="F6" s="46">
        <v>0</v>
      </c>
      <c r="G6" s="46">
        <f t="shared" si="0"/>
        <v>0</v>
      </c>
      <c r="H6" s="46">
        <v>0</v>
      </c>
      <c r="I6" s="46">
        <v>0</v>
      </c>
      <c r="J6" s="46">
        <f t="shared" si="1"/>
        <v>0</v>
      </c>
      <c r="K6" s="46">
        <f t="shared" si="2"/>
        <v>0</v>
      </c>
      <c r="L6" s="46">
        <f t="shared" si="3"/>
        <v>0</v>
      </c>
      <c r="M6" s="156">
        <f t="shared" si="4"/>
        <v>786.79</v>
      </c>
      <c r="N6" s="19"/>
    </row>
    <row r="7" spans="1:16">
      <c r="A7" s="28">
        <v>4</v>
      </c>
      <c r="B7" s="275">
        <v>45751</v>
      </c>
      <c r="C7" s="19"/>
      <c r="D7" s="19"/>
      <c r="E7" s="46">
        <v>0</v>
      </c>
      <c r="F7" s="46">
        <v>0</v>
      </c>
      <c r="G7" s="46">
        <f t="shared" si="0"/>
        <v>0</v>
      </c>
      <c r="H7" s="46">
        <v>0</v>
      </c>
      <c r="I7" s="46">
        <v>0</v>
      </c>
      <c r="J7" s="46">
        <f t="shared" si="1"/>
        <v>0</v>
      </c>
      <c r="K7" s="46">
        <f t="shared" si="2"/>
        <v>0</v>
      </c>
      <c r="L7" s="46">
        <f t="shared" si="3"/>
        <v>0</v>
      </c>
      <c r="M7" s="156">
        <f t="shared" si="4"/>
        <v>786.79</v>
      </c>
      <c r="N7" s="19"/>
    </row>
    <row r="8" spans="1:16">
      <c r="A8" s="28">
        <v>5</v>
      </c>
      <c r="B8" s="29">
        <v>45752</v>
      </c>
      <c r="C8" s="19"/>
      <c r="D8" s="19"/>
      <c r="E8" s="46">
        <v>45</v>
      </c>
      <c r="F8" s="46">
        <v>91.47</v>
      </c>
      <c r="G8" s="46">
        <f t="shared" si="0"/>
        <v>4116.1499999999996</v>
      </c>
      <c r="H8" s="46">
        <v>0</v>
      </c>
      <c r="I8" s="46">
        <v>0</v>
      </c>
      <c r="J8" s="46">
        <f t="shared" si="1"/>
        <v>0</v>
      </c>
      <c r="K8" s="46">
        <f t="shared" si="2"/>
        <v>4116.1499999999996</v>
      </c>
      <c r="L8" s="46">
        <f t="shared" si="3"/>
        <v>4116.1499999999996</v>
      </c>
      <c r="M8" s="156">
        <f t="shared" si="4"/>
        <v>786.79</v>
      </c>
      <c r="N8" s="54"/>
    </row>
    <row r="9" spans="1:16">
      <c r="A9" s="28">
        <v>6</v>
      </c>
      <c r="B9" s="275">
        <v>45753</v>
      </c>
      <c r="C9" s="19"/>
      <c r="D9" s="19"/>
      <c r="E9" s="46">
        <v>38</v>
      </c>
      <c r="F9" s="46">
        <v>91.47</v>
      </c>
      <c r="G9" s="46">
        <f t="shared" si="0"/>
        <v>3475.86</v>
      </c>
      <c r="H9" s="46">
        <v>0</v>
      </c>
      <c r="I9" s="46">
        <v>0</v>
      </c>
      <c r="J9" s="46">
        <f t="shared" si="1"/>
        <v>0</v>
      </c>
      <c r="K9" s="46">
        <f t="shared" si="2"/>
        <v>3475.86</v>
      </c>
      <c r="L9" s="46">
        <f t="shared" si="3"/>
        <v>3475.86</v>
      </c>
      <c r="M9" s="156">
        <f t="shared" si="4"/>
        <v>786.78999999999951</v>
      </c>
      <c r="N9" s="54"/>
    </row>
    <row r="10" spans="1:16">
      <c r="A10" s="28">
        <v>7</v>
      </c>
      <c r="B10" s="29">
        <v>45754</v>
      </c>
      <c r="C10" s="19"/>
      <c r="D10" s="19"/>
      <c r="E10" s="46">
        <v>36</v>
      </c>
      <c r="F10" s="46">
        <v>91.47</v>
      </c>
      <c r="G10" s="46">
        <f t="shared" si="0"/>
        <v>3292.92</v>
      </c>
      <c r="H10" s="46">
        <v>0</v>
      </c>
      <c r="I10" s="46">
        <v>0</v>
      </c>
      <c r="J10" s="46">
        <f t="shared" si="1"/>
        <v>0</v>
      </c>
      <c r="K10" s="46">
        <f t="shared" si="2"/>
        <v>3292.92</v>
      </c>
      <c r="L10" s="46">
        <f t="shared" si="3"/>
        <v>3292.92</v>
      </c>
      <c r="M10" s="156">
        <f t="shared" si="4"/>
        <v>786.78999999999951</v>
      </c>
      <c r="N10" s="54"/>
    </row>
    <row r="11" spans="1:16">
      <c r="A11" s="28">
        <v>8</v>
      </c>
      <c r="B11" s="275">
        <v>45755</v>
      </c>
      <c r="C11" s="19"/>
      <c r="D11" s="19"/>
      <c r="E11" s="46">
        <v>45.93</v>
      </c>
      <c r="F11" s="46">
        <v>91.47</v>
      </c>
      <c r="G11" s="46">
        <f>E11*F11</f>
        <v>4201.2170999999998</v>
      </c>
      <c r="H11" s="46">
        <v>0</v>
      </c>
      <c r="I11" s="46">
        <v>0</v>
      </c>
      <c r="J11" s="46">
        <f t="shared" si="1"/>
        <v>0</v>
      </c>
      <c r="K11" s="46">
        <f t="shared" si="2"/>
        <v>4201.2170999999998</v>
      </c>
      <c r="L11" s="46">
        <v>0</v>
      </c>
      <c r="M11" s="156">
        <f t="shared" si="4"/>
        <v>4988.0070999999989</v>
      </c>
      <c r="N11" s="54"/>
      <c r="P11" s="24"/>
    </row>
    <row r="12" spans="1:16">
      <c r="A12" s="28"/>
      <c r="B12" s="275">
        <v>45755</v>
      </c>
      <c r="C12" s="19"/>
      <c r="D12" s="19"/>
      <c r="E12" s="46">
        <v>48.4</v>
      </c>
      <c r="F12" s="46">
        <v>90.56</v>
      </c>
      <c r="G12" s="46">
        <f>E12*F12</f>
        <v>4383.1040000000003</v>
      </c>
      <c r="H12" s="46">
        <v>0</v>
      </c>
      <c r="I12" s="46">
        <v>0</v>
      </c>
      <c r="J12" s="46">
        <f t="shared" si="1"/>
        <v>0</v>
      </c>
      <c r="K12" s="46">
        <f t="shared" si="2"/>
        <v>4383.1040000000003</v>
      </c>
      <c r="L12" s="46">
        <v>4383</v>
      </c>
      <c r="M12" s="156">
        <f t="shared" si="4"/>
        <v>4988.1110999999983</v>
      </c>
      <c r="N12" s="54"/>
      <c r="P12" s="24"/>
    </row>
    <row r="13" spans="1:16">
      <c r="A13" s="28">
        <v>9</v>
      </c>
      <c r="B13" s="29">
        <v>45756</v>
      </c>
      <c r="C13" s="19"/>
      <c r="D13" s="19"/>
      <c r="E13" s="46">
        <v>103.42</v>
      </c>
      <c r="F13" s="46">
        <v>91.47</v>
      </c>
      <c r="G13" s="46">
        <f t="shared" si="0"/>
        <v>9459.8274000000001</v>
      </c>
      <c r="H13" s="46">
        <v>0</v>
      </c>
      <c r="I13" s="46">
        <v>0</v>
      </c>
      <c r="J13" s="46">
        <f t="shared" si="1"/>
        <v>0</v>
      </c>
      <c r="K13" s="46">
        <f t="shared" si="2"/>
        <v>9459.8274000000001</v>
      </c>
      <c r="L13" s="46">
        <v>0</v>
      </c>
      <c r="M13" s="156">
        <f>M11+K13-L13</f>
        <v>14447.834499999999</v>
      </c>
      <c r="N13" s="54"/>
    </row>
    <row r="14" spans="1:16">
      <c r="A14" s="28">
        <v>10</v>
      </c>
      <c r="B14" s="29">
        <v>45757</v>
      </c>
      <c r="C14" s="19"/>
      <c r="D14" s="19"/>
      <c r="E14" s="46">
        <v>32.6</v>
      </c>
      <c r="F14" s="46">
        <v>92.03</v>
      </c>
      <c r="G14" s="46">
        <f t="shared" si="0"/>
        <v>3000.1780000000003</v>
      </c>
      <c r="H14" s="46">
        <v>0</v>
      </c>
      <c r="I14" s="46">
        <v>0</v>
      </c>
      <c r="J14" s="46">
        <f t="shared" si="1"/>
        <v>0</v>
      </c>
      <c r="K14" s="46">
        <f t="shared" si="2"/>
        <v>3000.1780000000003</v>
      </c>
      <c r="L14" s="46">
        <v>3000</v>
      </c>
      <c r="M14" s="156">
        <f t="shared" si="4"/>
        <v>14448.012500000001</v>
      </c>
      <c r="N14" s="54"/>
    </row>
    <row r="15" spans="1:16">
      <c r="A15" s="28">
        <v>11</v>
      </c>
      <c r="B15" s="29">
        <v>45758</v>
      </c>
      <c r="C15" s="19"/>
      <c r="D15" s="19"/>
      <c r="E15" s="46">
        <v>0</v>
      </c>
      <c r="F15" s="46">
        <v>0</v>
      </c>
      <c r="G15" s="46">
        <f t="shared" si="0"/>
        <v>0</v>
      </c>
      <c r="H15" s="46">
        <v>5.53</v>
      </c>
      <c r="I15" s="46">
        <v>104.94</v>
      </c>
      <c r="J15" s="46">
        <f t="shared" si="1"/>
        <v>580.31820000000005</v>
      </c>
      <c r="K15" s="46">
        <f t="shared" si="2"/>
        <v>580.31820000000005</v>
      </c>
      <c r="L15" s="46">
        <v>0</v>
      </c>
      <c r="M15" s="156">
        <f t="shared" si="4"/>
        <v>15028.3307</v>
      </c>
      <c r="N15" s="54"/>
    </row>
    <row r="16" spans="1:16">
      <c r="A16" s="28">
        <v>12</v>
      </c>
      <c r="B16" s="29">
        <v>45759</v>
      </c>
      <c r="C16" s="19"/>
      <c r="D16" s="19"/>
      <c r="E16" s="46">
        <v>0</v>
      </c>
      <c r="F16" s="46">
        <v>0</v>
      </c>
      <c r="G16" s="46">
        <f t="shared" si="0"/>
        <v>0</v>
      </c>
      <c r="H16" s="46">
        <v>0</v>
      </c>
      <c r="I16" s="46">
        <v>0</v>
      </c>
      <c r="J16" s="46">
        <f t="shared" si="1"/>
        <v>0</v>
      </c>
      <c r="K16" s="46">
        <f t="shared" si="2"/>
        <v>0</v>
      </c>
      <c r="L16" s="46">
        <f t="shared" si="3"/>
        <v>0</v>
      </c>
      <c r="M16" s="156">
        <f>M15+K16-L16</f>
        <v>15028.3307</v>
      </c>
      <c r="N16" s="54"/>
    </row>
    <row r="17" spans="1:16">
      <c r="A17" s="28">
        <v>13</v>
      </c>
      <c r="B17" s="29">
        <v>45760</v>
      </c>
      <c r="C17" s="19"/>
      <c r="D17" s="19"/>
      <c r="E17" s="46">
        <v>0</v>
      </c>
      <c r="F17" s="46">
        <v>0</v>
      </c>
      <c r="G17" s="46">
        <f t="shared" si="0"/>
        <v>0</v>
      </c>
      <c r="H17" s="46">
        <v>0</v>
      </c>
      <c r="I17" s="46">
        <v>0</v>
      </c>
      <c r="J17" s="46">
        <f t="shared" si="1"/>
        <v>0</v>
      </c>
      <c r="K17" s="46">
        <f t="shared" si="2"/>
        <v>0</v>
      </c>
      <c r="L17" s="46">
        <f t="shared" si="3"/>
        <v>0</v>
      </c>
      <c r="M17" s="156">
        <f t="shared" si="4"/>
        <v>15028.3307</v>
      </c>
      <c r="N17" s="54"/>
    </row>
    <row r="18" spans="1:16">
      <c r="A18" s="28">
        <v>14</v>
      </c>
      <c r="B18" s="29">
        <v>45761</v>
      </c>
      <c r="C18" s="19"/>
      <c r="D18" s="19"/>
      <c r="E18" s="46">
        <v>35.35</v>
      </c>
      <c r="F18" s="46">
        <v>91.47</v>
      </c>
      <c r="G18" s="46">
        <f t="shared" si="0"/>
        <v>3233.4645</v>
      </c>
      <c r="H18" s="46">
        <v>0</v>
      </c>
      <c r="I18" s="46">
        <v>0</v>
      </c>
      <c r="J18" s="46">
        <f t="shared" si="1"/>
        <v>0</v>
      </c>
      <c r="K18" s="46">
        <f t="shared" si="2"/>
        <v>3233.4645</v>
      </c>
      <c r="L18" s="46">
        <v>0</v>
      </c>
      <c r="M18" s="156">
        <f t="shared" si="4"/>
        <v>18261.7952</v>
      </c>
      <c r="N18" s="54"/>
    </row>
    <row r="19" spans="1:16">
      <c r="A19" s="28">
        <v>15</v>
      </c>
      <c r="B19" s="29">
        <v>45762</v>
      </c>
      <c r="C19" s="19"/>
      <c r="D19" s="19"/>
      <c r="E19" s="46">
        <v>40.119999999999997</v>
      </c>
      <c r="F19" s="46">
        <v>92.03</v>
      </c>
      <c r="G19" s="46">
        <f t="shared" si="0"/>
        <v>3692.2435999999998</v>
      </c>
      <c r="H19" s="46">
        <v>0</v>
      </c>
      <c r="I19" s="46">
        <v>0</v>
      </c>
      <c r="J19" s="46">
        <f t="shared" si="1"/>
        <v>0</v>
      </c>
      <c r="K19" s="46">
        <f t="shared" si="2"/>
        <v>3692.2435999999998</v>
      </c>
      <c r="L19" s="46">
        <f t="shared" si="3"/>
        <v>3692.2435999999998</v>
      </c>
      <c r="M19" s="156">
        <f t="shared" si="4"/>
        <v>18261.7952</v>
      </c>
      <c r="N19" s="54"/>
    </row>
    <row r="20" spans="1:16">
      <c r="A20" s="28">
        <v>16</v>
      </c>
      <c r="B20" s="29">
        <v>45763</v>
      </c>
      <c r="C20" s="19"/>
      <c r="D20" s="19"/>
      <c r="E20" s="46">
        <v>0</v>
      </c>
      <c r="F20" s="46">
        <v>0</v>
      </c>
      <c r="G20" s="46">
        <f t="shared" si="0"/>
        <v>0</v>
      </c>
      <c r="H20" s="46">
        <v>0</v>
      </c>
      <c r="I20" s="46">
        <v>0</v>
      </c>
      <c r="J20" s="46">
        <f t="shared" si="1"/>
        <v>0</v>
      </c>
      <c r="K20" s="46">
        <f t="shared" si="2"/>
        <v>0</v>
      </c>
      <c r="L20" s="46">
        <f t="shared" si="3"/>
        <v>0</v>
      </c>
      <c r="M20" s="156">
        <f t="shared" si="4"/>
        <v>18261.7952</v>
      </c>
      <c r="N20" s="54"/>
      <c r="P20">
        <v>14477.83</v>
      </c>
    </row>
    <row r="21" spans="1:16">
      <c r="A21" s="28">
        <v>17</v>
      </c>
      <c r="B21" s="29">
        <v>45764</v>
      </c>
      <c r="C21" s="19"/>
      <c r="D21" s="19"/>
      <c r="E21" s="46">
        <v>31.38</v>
      </c>
      <c r="F21" s="46">
        <v>91.47</v>
      </c>
      <c r="G21" s="46">
        <f t="shared" si="0"/>
        <v>2870.3285999999998</v>
      </c>
      <c r="H21" s="46">
        <v>0</v>
      </c>
      <c r="I21" s="46">
        <v>0</v>
      </c>
      <c r="J21" s="46">
        <f t="shared" si="1"/>
        <v>0</v>
      </c>
      <c r="K21" s="46">
        <f t="shared" si="2"/>
        <v>2870.3285999999998</v>
      </c>
      <c r="L21" s="46">
        <f t="shared" si="3"/>
        <v>2870.3285999999998</v>
      </c>
      <c r="M21" s="156">
        <f t="shared" si="4"/>
        <v>18261.7952</v>
      </c>
      <c r="N21" s="54"/>
    </row>
    <row r="22" spans="1:16">
      <c r="A22" s="28">
        <v>18</v>
      </c>
      <c r="B22" s="29">
        <v>45765</v>
      </c>
      <c r="C22" s="19"/>
      <c r="D22" s="19"/>
      <c r="E22" s="46">
        <v>25.33</v>
      </c>
      <c r="F22" s="46">
        <v>91.27</v>
      </c>
      <c r="G22" s="46">
        <f t="shared" si="0"/>
        <v>2311.8690999999999</v>
      </c>
      <c r="H22" s="46">
        <v>0</v>
      </c>
      <c r="I22" s="46">
        <v>0</v>
      </c>
      <c r="J22" s="46">
        <f t="shared" si="1"/>
        <v>0</v>
      </c>
      <c r="K22" s="46">
        <f t="shared" si="2"/>
        <v>2311.8690999999999</v>
      </c>
      <c r="L22" s="46">
        <f t="shared" si="3"/>
        <v>2311.8690999999999</v>
      </c>
      <c r="M22" s="156">
        <f t="shared" si="4"/>
        <v>18261.7952</v>
      </c>
      <c r="N22" s="54"/>
    </row>
    <row r="23" spans="1:16">
      <c r="A23" s="28"/>
      <c r="B23" s="275">
        <v>45765</v>
      </c>
      <c r="C23" s="19"/>
      <c r="D23" s="19"/>
      <c r="E23" s="46">
        <v>46.2</v>
      </c>
      <c r="F23" s="46">
        <v>92.03</v>
      </c>
      <c r="G23" s="46">
        <f>E23*F23</f>
        <v>4251.7860000000001</v>
      </c>
      <c r="H23" s="46">
        <v>0</v>
      </c>
      <c r="I23" s="46">
        <v>0</v>
      </c>
      <c r="J23" s="46">
        <f>H23*I23</f>
        <v>0</v>
      </c>
      <c r="K23" s="46">
        <f>G23+J23</f>
        <v>4251.7860000000001</v>
      </c>
      <c r="L23" s="46">
        <f>+K23</f>
        <v>4251.7860000000001</v>
      </c>
      <c r="M23" s="156">
        <f>M22+K23-L23</f>
        <v>18261.7952</v>
      </c>
      <c r="N23" s="54"/>
    </row>
    <row r="24" spans="1:16">
      <c r="A24" s="28">
        <v>19</v>
      </c>
      <c r="B24" s="29">
        <v>45766</v>
      </c>
      <c r="C24" s="19"/>
      <c r="D24" s="19"/>
      <c r="E24" s="46">
        <v>0</v>
      </c>
      <c r="F24" s="46">
        <v>0</v>
      </c>
      <c r="G24" s="46">
        <f t="shared" si="0"/>
        <v>0</v>
      </c>
      <c r="H24" s="46">
        <v>0</v>
      </c>
      <c r="I24" s="46">
        <v>0</v>
      </c>
      <c r="J24" s="46">
        <f t="shared" si="1"/>
        <v>0</v>
      </c>
      <c r="K24" s="46">
        <f t="shared" si="2"/>
        <v>0</v>
      </c>
      <c r="L24" s="46">
        <f t="shared" si="3"/>
        <v>0</v>
      </c>
      <c r="M24" s="156">
        <f>M22+K24-L24</f>
        <v>18261.7952</v>
      </c>
      <c r="N24" s="54"/>
    </row>
    <row r="25" spans="1:16">
      <c r="A25" s="28">
        <v>20</v>
      </c>
      <c r="B25" s="275">
        <v>45767</v>
      </c>
      <c r="C25" s="19"/>
      <c r="D25" s="19"/>
      <c r="E25" s="46">
        <v>0</v>
      </c>
      <c r="F25" s="46">
        <v>0</v>
      </c>
      <c r="G25" s="46">
        <f t="shared" si="0"/>
        <v>0</v>
      </c>
      <c r="H25" s="46">
        <v>0</v>
      </c>
      <c r="I25" s="46">
        <v>0</v>
      </c>
      <c r="J25" s="46">
        <f t="shared" si="1"/>
        <v>0</v>
      </c>
      <c r="K25" s="46">
        <f t="shared" si="2"/>
        <v>0</v>
      </c>
      <c r="L25" s="46">
        <v>18450</v>
      </c>
      <c r="M25" s="156">
        <f>M24+K25-L25</f>
        <v>-188.20479999999952</v>
      </c>
      <c r="N25" s="54"/>
    </row>
    <row r="26" spans="1:16">
      <c r="A26" s="28">
        <v>21</v>
      </c>
      <c r="B26" s="29">
        <v>45768</v>
      </c>
      <c r="C26" s="19"/>
      <c r="D26" s="19"/>
      <c r="E26" s="46">
        <v>34.82</v>
      </c>
      <c r="F26" s="46">
        <v>91.47</v>
      </c>
      <c r="G26" s="46">
        <f t="shared" si="0"/>
        <v>3184.9854</v>
      </c>
      <c r="H26" s="46">
        <v>0</v>
      </c>
      <c r="I26" s="46">
        <v>0</v>
      </c>
      <c r="J26" s="46">
        <f t="shared" si="1"/>
        <v>0</v>
      </c>
      <c r="K26" s="46">
        <f t="shared" si="2"/>
        <v>3184.9854</v>
      </c>
      <c r="L26" s="46">
        <v>0</v>
      </c>
      <c r="M26" s="156">
        <f>M25+K26-L26</f>
        <v>2996.7806000000005</v>
      </c>
      <c r="N26" s="54"/>
    </row>
    <row r="27" spans="1:16">
      <c r="A27" s="28">
        <v>22</v>
      </c>
      <c r="B27" s="275">
        <v>45769</v>
      </c>
      <c r="C27" s="19"/>
      <c r="D27" s="19"/>
      <c r="E27" s="46">
        <v>0</v>
      </c>
      <c r="F27" s="46">
        <v>0</v>
      </c>
      <c r="G27" s="46">
        <f t="shared" si="0"/>
        <v>0</v>
      </c>
      <c r="H27" s="46">
        <v>0</v>
      </c>
      <c r="I27" s="46">
        <v>0</v>
      </c>
      <c r="J27" s="46">
        <f t="shared" si="1"/>
        <v>0</v>
      </c>
      <c r="K27" s="46">
        <f t="shared" si="2"/>
        <v>0</v>
      </c>
      <c r="L27" s="46">
        <f>+K27</f>
        <v>0</v>
      </c>
      <c r="M27" s="156">
        <f>M26+K27-L27</f>
        <v>2996.7806000000005</v>
      </c>
      <c r="N27" s="54"/>
    </row>
    <row r="28" spans="1:16">
      <c r="A28" s="28">
        <v>23</v>
      </c>
      <c r="B28" s="29">
        <v>45770</v>
      </c>
      <c r="C28" s="19"/>
      <c r="D28" s="19"/>
      <c r="E28" s="46">
        <v>0</v>
      </c>
      <c r="F28" s="46">
        <v>0</v>
      </c>
      <c r="G28" s="46">
        <f t="shared" si="0"/>
        <v>0</v>
      </c>
      <c r="H28" s="46">
        <v>14.7</v>
      </c>
      <c r="I28" s="46">
        <v>104.94</v>
      </c>
      <c r="J28" s="46">
        <f t="shared" si="1"/>
        <v>1542.6179999999999</v>
      </c>
      <c r="K28" s="46">
        <f t="shared" si="2"/>
        <v>1542.6179999999999</v>
      </c>
      <c r="L28" s="46">
        <v>0</v>
      </c>
      <c r="M28" s="156">
        <f>M27+K28-L28</f>
        <v>4539.3986000000004</v>
      </c>
      <c r="N28" s="54"/>
    </row>
    <row r="29" spans="1:16">
      <c r="A29" s="28">
        <v>24</v>
      </c>
      <c r="B29" s="275">
        <v>45771</v>
      </c>
      <c r="C29" s="19"/>
      <c r="D29" s="19"/>
      <c r="E29" s="46">
        <v>32.25</v>
      </c>
      <c r="F29" s="46">
        <v>91.47</v>
      </c>
      <c r="G29" s="46">
        <f t="shared" si="0"/>
        <v>2949.9074999999998</v>
      </c>
      <c r="H29" s="46">
        <v>0</v>
      </c>
      <c r="I29" s="46">
        <v>0</v>
      </c>
      <c r="J29" s="46">
        <f t="shared" si="1"/>
        <v>0</v>
      </c>
      <c r="K29" s="46">
        <f t="shared" si="2"/>
        <v>2949.9074999999998</v>
      </c>
      <c r="L29" s="46">
        <f t="shared" si="3"/>
        <v>2949.9074999999998</v>
      </c>
      <c r="M29" s="156">
        <f>M28+K29-L29</f>
        <v>4539.3986000000004</v>
      </c>
      <c r="N29" s="54"/>
    </row>
    <row r="30" spans="1:16">
      <c r="A30" s="28">
        <v>25</v>
      </c>
      <c r="B30" s="29">
        <v>45772</v>
      </c>
      <c r="C30" s="19"/>
      <c r="D30" s="19"/>
      <c r="E30" s="46">
        <v>0</v>
      </c>
      <c r="F30" s="46">
        <v>0</v>
      </c>
      <c r="G30" s="46">
        <f t="shared" si="0"/>
        <v>0</v>
      </c>
      <c r="H30" s="46">
        <v>0</v>
      </c>
      <c r="I30" s="46">
        <v>0</v>
      </c>
      <c r="J30" s="46">
        <f t="shared" si="1"/>
        <v>0</v>
      </c>
      <c r="K30" s="46">
        <f t="shared" si="2"/>
        <v>0</v>
      </c>
      <c r="L30" s="46">
        <f t="shared" si="3"/>
        <v>0</v>
      </c>
      <c r="M30" s="156">
        <f>M29+K30-L30</f>
        <v>4539.3986000000004</v>
      </c>
      <c r="N30" s="54"/>
    </row>
    <row r="31" spans="1:16">
      <c r="A31" s="28">
        <v>26</v>
      </c>
      <c r="B31" s="275">
        <v>45773</v>
      </c>
      <c r="C31" s="19"/>
      <c r="D31" s="19"/>
      <c r="E31" s="46">
        <v>34.44</v>
      </c>
      <c r="F31" s="46">
        <v>91.47</v>
      </c>
      <c r="G31" s="46">
        <f t="shared" si="0"/>
        <v>3150.2267999999999</v>
      </c>
      <c r="H31" s="46">
        <v>0</v>
      </c>
      <c r="I31" s="46">
        <v>0</v>
      </c>
      <c r="J31" s="46">
        <f t="shared" si="1"/>
        <v>0</v>
      </c>
      <c r="K31" s="46">
        <f t="shared" si="2"/>
        <v>3150.2267999999999</v>
      </c>
      <c r="L31" s="46">
        <f t="shared" si="3"/>
        <v>3150.2267999999999</v>
      </c>
      <c r="M31" s="156">
        <f>M30+K31-L31</f>
        <v>4539.3986000000004</v>
      </c>
      <c r="N31" s="54"/>
    </row>
    <row r="32" spans="1:16">
      <c r="A32" s="28">
        <v>27</v>
      </c>
      <c r="B32" s="29">
        <v>45774</v>
      </c>
      <c r="C32" s="19"/>
      <c r="D32" s="19"/>
      <c r="E32" s="46">
        <v>0</v>
      </c>
      <c r="F32" s="46">
        <v>0</v>
      </c>
      <c r="G32" s="46">
        <f t="shared" si="0"/>
        <v>0</v>
      </c>
      <c r="H32" s="46">
        <v>0</v>
      </c>
      <c r="I32" s="46">
        <v>0</v>
      </c>
      <c r="J32" s="46">
        <f t="shared" si="1"/>
        <v>0</v>
      </c>
      <c r="K32" s="46">
        <f t="shared" si="2"/>
        <v>0</v>
      </c>
      <c r="L32" s="46">
        <f t="shared" si="3"/>
        <v>0</v>
      </c>
      <c r="M32" s="156">
        <f>M31+K32-L32</f>
        <v>4539.3986000000004</v>
      </c>
      <c r="N32" s="54"/>
    </row>
    <row r="33" spans="1:14">
      <c r="A33" s="28">
        <v>28</v>
      </c>
      <c r="B33" s="275">
        <v>45775</v>
      </c>
      <c r="C33" s="110"/>
      <c r="D33" s="110"/>
      <c r="E33" s="46">
        <v>0</v>
      </c>
      <c r="F33" s="46">
        <v>0</v>
      </c>
      <c r="G33" s="46">
        <f t="shared" si="0"/>
        <v>0</v>
      </c>
      <c r="H33" s="46">
        <v>0</v>
      </c>
      <c r="I33" s="46">
        <v>0</v>
      </c>
      <c r="J33" s="46">
        <f t="shared" si="1"/>
        <v>0</v>
      </c>
      <c r="K33" s="46">
        <f t="shared" si="2"/>
        <v>0</v>
      </c>
      <c r="L33" s="46">
        <f t="shared" si="3"/>
        <v>0</v>
      </c>
      <c r="M33" s="156">
        <f>M32+K33-L33</f>
        <v>4539.3986000000004</v>
      </c>
      <c r="N33" s="295"/>
    </row>
    <row r="34" spans="1:14">
      <c r="A34" s="28">
        <v>29</v>
      </c>
      <c r="B34" s="29">
        <v>45776</v>
      </c>
      <c r="C34" s="19"/>
      <c r="D34" s="19"/>
      <c r="E34" s="46">
        <v>0</v>
      </c>
      <c r="F34" s="46">
        <v>0</v>
      </c>
      <c r="G34" s="46">
        <f t="shared" si="0"/>
        <v>0</v>
      </c>
      <c r="H34" s="46">
        <v>0</v>
      </c>
      <c r="I34" s="46">
        <v>0</v>
      </c>
      <c r="J34" s="46">
        <f t="shared" si="1"/>
        <v>0</v>
      </c>
      <c r="K34" s="46">
        <f t="shared" si="2"/>
        <v>0</v>
      </c>
      <c r="L34" s="46">
        <f t="shared" si="3"/>
        <v>0</v>
      </c>
      <c r="M34" s="156">
        <f>M33+K34-L34</f>
        <v>4539.3986000000004</v>
      </c>
      <c r="N34" s="54"/>
    </row>
    <row r="35" spans="1:14">
      <c r="A35" s="28">
        <v>30</v>
      </c>
      <c r="B35" s="275">
        <v>45777</v>
      </c>
      <c r="C35" s="19"/>
      <c r="D35" s="19"/>
      <c r="E35" s="46">
        <v>0</v>
      </c>
      <c r="F35" s="46">
        <v>0</v>
      </c>
      <c r="G35" s="46">
        <f t="shared" si="0"/>
        <v>0</v>
      </c>
      <c r="H35" s="46">
        <v>0</v>
      </c>
      <c r="I35" s="46">
        <v>0</v>
      </c>
      <c r="J35" s="46">
        <f t="shared" si="1"/>
        <v>0</v>
      </c>
      <c r="K35" s="46">
        <f t="shared" si="2"/>
        <v>0</v>
      </c>
      <c r="L35" s="46">
        <f t="shared" si="3"/>
        <v>0</v>
      </c>
      <c r="M35" s="156">
        <f>M34+K35-L35</f>
        <v>4539.3986000000004</v>
      </c>
      <c r="N35" s="54"/>
    </row>
    <row r="36" spans="1:14">
      <c r="A36" s="216"/>
      <c r="B36" s="216"/>
      <c r="C36" s="216"/>
      <c r="D36" s="216"/>
      <c r="E36" s="216">
        <f>SUM(E4:E35)</f>
        <v>700.38000000000011</v>
      </c>
      <c r="F36" s="216"/>
      <c r="G36" s="216">
        <f>SUM(G4:G35)</f>
        <v>64056.402200000004</v>
      </c>
      <c r="H36" s="216">
        <f>SUM(H4:H35)</f>
        <v>20.23</v>
      </c>
      <c r="I36" s="216"/>
      <c r="J36" s="216">
        <f>SUM(J4:J35)</f>
        <v>2122.9362000000001</v>
      </c>
      <c r="K36" s="216">
        <f>SUM(K4:K35)</f>
        <v>66179.338400000008</v>
      </c>
      <c r="L36" s="216">
        <f>SUM(L4:L35)</f>
        <v>62426.625799999994</v>
      </c>
      <c r="M36" s="216"/>
      <c r="N36" s="216"/>
    </row>
  </sheetData>
  <mergeCells count="2">
    <mergeCell ref="A1:N1"/>
    <mergeCell ref="A3:J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O37"/>
  <sheetViews>
    <sheetView workbookViewId="0">
      <pane ySplit="2" topLeftCell="A3" activePane="bottomLeft" state="frozen"/>
      <selection pane="bottomLeft" activeCell="K3" sqref="K3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7" customWidth="1"/>
  </cols>
  <sheetData>
    <row r="1" spans="1:15" ht="15.75" customHeight="1">
      <c r="A1" s="401" t="s">
        <v>51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66"/>
    </row>
    <row r="2" spans="1:15">
      <c r="A2" s="67" t="s">
        <v>81</v>
      </c>
      <c r="B2" s="68" t="s">
        <v>82</v>
      </c>
      <c r="C2" s="68" t="s">
        <v>83</v>
      </c>
      <c r="D2" s="68" t="s">
        <v>84</v>
      </c>
      <c r="E2" s="68" t="s">
        <v>85</v>
      </c>
      <c r="F2" s="68" t="s">
        <v>86</v>
      </c>
      <c r="G2" s="68" t="s">
        <v>87</v>
      </c>
      <c r="H2" s="68" t="s">
        <v>88</v>
      </c>
      <c r="I2" s="68" t="s">
        <v>86</v>
      </c>
      <c r="J2" s="69" t="s">
        <v>87</v>
      </c>
      <c r="K2" s="70" t="s">
        <v>89</v>
      </c>
      <c r="L2" s="71" t="s">
        <v>90</v>
      </c>
      <c r="M2" s="134" t="s">
        <v>97</v>
      </c>
      <c r="N2" s="72" t="s">
        <v>92</v>
      </c>
      <c r="O2" s="73"/>
    </row>
    <row r="3" spans="1:15">
      <c r="A3" s="152" t="s">
        <v>93</v>
      </c>
      <c r="B3" s="153"/>
      <c r="C3" s="153"/>
      <c r="D3" s="153"/>
      <c r="E3" s="153"/>
      <c r="F3" s="153"/>
      <c r="G3" s="153"/>
      <c r="H3" s="153"/>
      <c r="I3" s="153"/>
      <c r="J3" s="153"/>
      <c r="K3" s="153">
        <v>368223.66999999993</v>
      </c>
      <c r="L3" s="154"/>
      <c r="M3" s="157">
        <f>+K3</f>
        <v>368223.66999999993</v>
      </c>
      <c r="O3" s="73"/>
    </row>
    <row r="4" spans="1:15">
      <c r="A4" s="56">
        <v>1</v>
      </c>
      <c r="B4" s="251">
        <v>45748</v>
      </c>
      <c r="C4" s="10">
        <v>0</v>
      </c>
      <c r="D4" s="20"/>
      <c r="E4" s="8">
        <v>0</v>
      </c>
      <c r="F4" s="8">
        <v>0</v>
      </c>
      <c r="G4" s="18">
        <f>E4*F4</f>
        <v>0</v>
      </c>
      <c r="H4" s="7">
        <v>0</v>
      </c>
      <c r="I4" s="7">
        <v>0</v>
      </c>
      <c r="J4" s="23">
        <f>H4*I4</f>
        <v>0</v>
      </c>
      <c r="K4" s="8">
        <f>G4+J4</f>
        <v>0</v>
      </c>
      <c r="L4" s="8"/>
      <c r="M4" s="8">
        <f>M3+K4-L4</f>
        <v>368223.66999999993</v>
      </c>
      <c r="N4" s="8"/>
      <c r="O4" s="1"/>
    </row>
    <row r="5" spans="1:15">
      <c r="A5" s="56">
        <v>2</v>
      </c>
      <c r="B5" s="251">
        <v>45749</v>
      </c>
      <c r="C5" s="10">
        <v>710</v>
      </c>
      <c r="D5" s="20"/>
      <c r="E5" s="8">
        <v>1600</v>
      </c>
      <c r="F5" s="8">
        <v>91.14</v>
      </c>
      <c r="G5" s="18">
        <f t="shared" ref="G5:G6" si="0">E5*F5</f>
        <v>145824</v>
      </c>
      <c r="H5" s="7">
        <v>0</v>
      </c>
      <c r="I5" s="7">
        <v>0</v>
      </c>
      <c r="J5" s="23">
        <f t="shared" ref="J5:J6" si="1">H5*I5</f>
        <v>0</v>
      </c>
      <c r="K5" s="8">
        <f t="shared" ref="K5:K6" si="2">G5+J5</f>
        <v>145824</v>
      </c>
      <c r="L5" s="8"/>
      <c r="M5" s="8">
        <f>M4+K5-L5</f>
        <v>514047.66999999993</v>
      </c>
      <c r="N5" s="8"/>
      <c r="O5" s="1"/>
    </row>
    <row r="6" spans="1:15">
      <c r="A6" s="56">
        <v>3</v>
      </c>
      <c r="B6" s="251">
        <v>45750</v>
      </c>
      <c r="C6" s="10">
        <v>0</v>
      </c>
      <c r="D6" s="20"/>
      <c r="E6" s="8">
        <v>0</v>
      </c>
      <c r="F6" s="8">
        <v>0</v>
      </c>
      <c r="G6" s="18">
        <f t="shared" si="0"/>
        <v>0</v>
      </c>
      <c r="H6" s="7">
        <v>0</v>
      </c>
      <c r="I6" s="7">
        <v>0</v>
      </c>
      <c r="J6" s="23">
        <f t="shared" si="1"/>
        <v>0</v>
      </c>
      <c r="K6" s="8">
        <f t="shared" si="2"/>
        <v>0</v>
      </c>
      <c r="L6" s="8"/>
      <c r="M6" s="8">
        <f>M5+K6-L6</f>
        <v>514047.66999999993</v>
      </c>
      <c r="N6" s="8"/>
      <c r="O6" s="1"/>
    </row>
    <row r="7" spans="1:15">
      <c r="A7" s="56">
        <v>4</v>
      </c>
      <c r="B7" s="251">
        <v>45751</v>
      </c>
      <c r="C7" s="10">
        <v>0</v>
      </c>
      <c r="D7" s="20"/>
      <c r="E7" s="8">
        <v>0</v>
      </c>
      <c r="F7" s="8">
        <v>0</v>
      </c>
      <c r="G7" s="18">
        <f t="shared" ref="G7:G33" si="3">E7*F7</f>
        <v>0</v>
      </c>
      <c r="H7" s="7">
        <v>0</v>
      </c>
      <c r="I7" s="7">
        <v>0</v>
      </c>
      <c r="J7" s="23">
        <f t="shared" ref="J7:J33" si="4">H7*I7</f>
        <v>0</v>
      </c>
      <c r="K7" s="8">
        <f t="shared" ref="K7:K33" si="5">G7+J7</f>
        <v>0</v>
      </c>
      <c r="L7" s="8"/>
      <c r="M7" s="8">
        <f>M6+K7-L7</f>
        <v>514047.66999999993</v>
      </c>
      <c r="N7" s="8"/>
      <c r="O7" s="1"/>
    </row>
    <row r="8" spans="1:15">
      <c r="A8" s="56">
        <v>5</v>
      </c>
      <c r="B8" s="251">
        <v>45752</v>
      </c>
      <c r="C8" s="10">
        <v>0</v>
      </c>
      <c r="D8" s="20"/>
      <c r="E8" s="8">
        <v>0</v>
      </c>
      <c r="F8" s="8">
        <v>0</v>
      </c>
      <c r="G8" s="18">
        <f t="shared" si="3"/>
        <v>0</v>
      </c>
      <c r="H8" s="7">
        <v>0</v>
      </c>
      <c r="I8" s="7">
        <v>0</v>
      </c>
      <c r="J8" s="23">
        <f t="shared" si="4"/>
        <v>0</v>
      </c>
      <c r="K8" s="8">
        <f t="shared" si="5"/>
        <v>0</v>
      </c>
      <c r="L8" s="8"/>
      <c r="M8" s="8">
        <f>M7+K8-L8</f>
        <v>514047.66999999993</v>
      </c>
      <c r="N8" s="8"/>
      <c r="O8" s="1"/>
    </row>
    <row r="9" spans="1:15">
      <c r="A9" s="56">
        <v>6</v>
      </c>
      <c r="B9" s="251">
        <v>45753</v>
      </c>
      <c r="C9" s="10">
        <v>0</v>
      </c>
      <c r="D9" s="20"/>
      <c r="E9" s="8">
        <v>0</v>
      </c>
      <c r="F9" s="8">
        <v>0</v>
      </c>
      <c r="G9" s="18">
        <f t="shared" si="3"/>
        <v>0</v>
      </c>
      <c r="H9" s="7">
        <v>20</v>
      </c>
      <c r="I9" s="7">
        <v>104.6</v>
      </c>
      <c r="J9" s="23">
        <f t="shared" si="4"/>
        <v>2092</v>
      </c>
      <c r="K9" s="8">
        <f t="shared" si="5"/>
        <v>2092</v>
      </c>
      <c r="L9" s="8"/>
      <c r="M9" s="8">
        <f>M8+K9-L9</f>
        <v>516139.66999999993</v>
      </c>
      <c r="N9" s="8"/>
      <c r="O9" s="1"/>
    </row>
    <row r="10" spans="1:15">
      <c r="A10" s="56">
        <v>7</v>
      </c>
      <c r="B10" s="251">
        <v>45754</v>
      </c>
      <c r="C10" s="10">
        <v>0</v>
      </c>
      <c r="D10" s="20"/>
      <c r="E10" s="8">
        <v>0</v>
      </c>
      <c r="F10" s="8">
        <v>0</v>
      </c>
      <c r="G10" s="18">
        <f t="shared" si="3"/>
        <v>0</v>
      </c>
      <c r="H10" s="7">
        <v>0</v>
      </c>
      <c r="I10" s="7">
        <v>0</v>
      </c>
      <c r="J10" s="23">
        <f t="shared" si="4"/>
        <v>0</v>
      </c>
      <c r="K10" s="8">
        <f t="shared" si="5"/>
        <v>0</v>
      </c>
      <c r="L10" s="8"/>
      <c r="M10" s="8">
        <f>M9+K10-L10</f>
        <v>516139.66999999993</v>
      </c>
      <c r="N10" s="8"/>
      <c r="O10" s="1"/>
    </row>
    <row r="11" spans="1:15">
      <c r="A11" s="56">
        <v>8</v>
      </c>
      <c r="B11" s="251">
        <v>45755</v>
      </c>
      <c r="C11" s="10">
        <v>0</v>
      </c>
      <c r="D11" s="20"/>
      <c r="E11" s="8">
        <v>0</v>
      </c>
      <c r="F11" s="8">
        <v>0</v>
      </c>
      <c r="G11" s="18">
        <f t="shared" si="3"/>
        <v>0</v>
      </c>
      <c r="H11" s="7">
        <v>0</v>
      </c>
      <c r="I11" s="7">
        <v>0</v>
      </c>
      <c r="J11" s="23">
        <f t="shared" si="4"/>
        <v>0</v>
      </c>
      <c r="K11" s="8">
        <f t="shared" si="5"/>
        <v>0</v>
      </c>
      <c r="L11" s="8"/>
      <c r="M11" s="8">
        <f>M10+K11-L11</f>
        <v>516139.66999999993</v>
      </c>
      <c r="N11" s="8"/>
      <c r="O11" s="1"/>
    </row>
    <row r="12" spans="1:15">
      <c r="A12" s="56">
        <v>9</v>
      </c>
      <c r="B12" s="251">
        <v>45756</v>
      </c>
      <c r="C12" s="10">
        <v>0</v>
      </c>
      <c r="D12" s="20"/>
      <c r="E12" s="8">
        <v>0</v>
      </c>
      <c r="F12" s="8">
        <v>0</v>
      </c>
      <c r="G12" s="18">
        <f t="shared" si="3"/>
        <v>0</v>
      </c>
      <c r="H12" s="7">
        <v>0</v>
      </c>
      <c r="I12" s="7">
        <v>0</v>
      </c>
      <c r="J12" s="23">
        <f t="shared" si="4"/>
        <v>0</v>
      </c>
      <c r="K12" s="8">
        <f t="shared" si="5"/>
        <v>0</v>
      </c>
      <c r="L12" s="8"/>
      <c r="M12" s="8">
        <f>M11+K12-L12</f>
        <v>516139.66999999993</v>
      </c>
      <c r="N12" s="8"/>
      <c r="O12" s="1"/>
    </row>
    <row r="13" spans="1:15">
      <c r="A13" s="56">
        <v>10</v>
      </c>
      <c r="B13" s="251">
        <v>45757</v>
      </c>
      <c r="C13" s="10">
        <v>0</v>
      </c>
      <c r="D13" s="20"/>
      <c r="E13" s="8">
        <v>4000</v>
      </c>
      <c r="F13" s="8">
        <v>91.14</v>
      </c>
      <c r="G13" s="18">
        <f t="shared" si="3"/>
        <v>364560</v>
      </c>
      <c r="H13" s="7">
        <v>15</v>
      </c>
      <c r="I13" s="7">
        <v>104.6</v>
      </c>
      <c r="J13" s="23">
        <f t="shared" si="4"/>
        <v>1569</v>
      </c>
      <c r="K13" s="8">
        <f t="shared" si="5"/>
        <v>366129</v>
      </c>
      <c r="L13" s="8"/>
      <c r="M13" s="218">
        <f>M12+K13-L13</f>
        <v>882268.66999999993</v>
      </c>
      <c r="N13" s="8"/>
      <c r="O13" s="1"/>
    </row>
    <row r="14" spans="1:15">
      <c r="A14" s="56">
        <v>11</v>
      </c>
      <c r="B14" s="251">
        <v>45758</v>
      </c>
      <c r="C14" s="10">
        <v>0</v>
      </c>
      <c r="D14" s="20"/>
      <c r="E14" s="8">
        <v>0</v>
      </c>
      <c r="F14" s="8">
        <v>0</v>
      </c>
      <c r="G14" s="18">
        <f t="shared" si="3"/>
        <v>0</v>
      </c>
      <c r="H14" s="7">
        <v>0</v>
      </c>
      <c r="I14" s="7">
        <v>0</v>
      </c>
      <c r="J14" s="23">
        <f t="shared" si="4"/>
        <v>0</v>
      </c>
      <c r="K14" s="8">
        <f t="shared" si="5"/>
        <v>0</v>
      </c>
      <c r="L14" s="8"/>
      <c r="M14" s="8">
        <f>M13+K14-L14</f>
        <v>882268.66999999993</v>
      </c>
      <c r="N14" s="236"/>
      <c r="O14" s="1"/>
    </row>
    <row r="15" spans="1:15">
      <c r="A15" s="56">
        <v>12</v>
      </c>
      <c r="B15" s="251">
        <v>45759</v>
      </c>
      <c r="C15" s="10">
        <v>0</v>
      </c>
      <c r="D15" s="20"/>
      <c r="E15" s="8">
        <v>0</v>
      </c>
      <c r="F15" s="8">
        <v>0</v>
      </c>
      <c r="G15" s="18">
        <f t="shared" si="3"/>
        <v>0</v>
      </c>
      <c r="H15" s="7">
        <v>0</v>
      </c>
      <c r="I15" s="7">
        <v>0</v>
      </c>
      <c r="J15" s="23">
        <f t="shared" si="4"/>
        <v>0</v>
      </c>
      <c r="K15" s="8">
        <f t="shared" si="5"/>
        <v>0</v>
      </c>
      <c r="L15" s="8"/>
      <c r="M15" s="8">
        <f>M14+K15-L15</f>
        <v>882268.66999999993</v>
      </c>
      <c r="N15" s="236"/>
      <c r="O15" s="1"/>
    </row>
    <row r="16" spans="1:15">
      <c r="A16" s="56">
        <v>13</v>
      </c>
      <c r="B16" s="251">
        <v>45760</v>
      </c>
      <c r="C16" s="10">
        <v>0</v>
      </c>
      <c r="D16" s="20"/>
      <c r="E16" s="8">
        <v>0</v>
      </c>
      <c r="F16" s="8">
        <v>0</v>
      </c>
      <c r="G16" s="18">
        <f t="shared" si="3"/>
        <v>0</v>
      </c>
      <c r="H16" s="7">
        <v>0</v>
      </c>
      <c r="I16" s="7">
        <v>0</v>
      </c>
      <c r="J16" s="23">
        <f t="shared" si="4"/>
        <v>0</v>
      </c>
      <c r="K16" s="8">
        <f t="shared" si="5"/>
        <v>0</v>
      </c>
      <c r="L16" s="8"/>
      <c r="M16" s="8">
        <f t="shared" ref="M16:M33" si="6">M15+K16-L16</f>
        <v>882268.66999999993</v>
      </c>
      <c r="N16" s="236"/>
      <c r="O16" s="1"/>
    </row>
    <row r="17" spans="1:15">
      <c r="A17" s="56">
        <v>14</v>
      </c>
      <c r="B17" s="251">
        <v>45761</v>
      </c>
      <c r="C17" s="10">
        <v>0</v>
      </c>
      <c r="D17" s="20"/>
      <c r="E17" s="8">
        <v>1500</v>
      </c>
      <c r="F17" s="8">
        <v>91.14</v>
      </c>
      <c r="G17" s="18">
        <f t="shared" si="3"/>
        <v>136710</v>
      </c>
      <c r="H17" s="7">
        <v>0</v>
      </c>
      <c r="I17" s="7">
        <v>0</v>
      </c>
      <c r="J17" s="23">
        <f t="shared" si="4"/>
        <v>0</v>
      </c>
      <c r="K17" s="8">
        <f t="shared" si="5"/>
        <v>136710</v>
      </c>
      <c r="L17" s="8"/>
      <c r="M17" s="8">
        <f t="shared" si="6"/>
        <v>1018978.6699999999</v>
      </c>
      <c r="N17" s="236"/>
      <c r="O17" s="1"/>
    </row>
    <row r="18" spans="1:15">
      <c r="A18" s="56">
        <v>15</v>
      </c>
      <c r="B18" s="251">
        <v>45762</v>
      </c>
      <c r="C18" s="10">
        <v>0</v>
      </c>
      <c r="D18" s="20"/>
      <c r="E18" s="8">
        <v>2000</v>
      </c>
      <c r="F18" s="8">
        <v>91.14</v>
      </c>
      <c r="G18" s="18">
        <f t="shared" si="3"/>
        <v>182280</v>
      </c>
      <c r="H18" s="7">
        <v>20</v>
      </c>
      <c r="I18" s="7">
        <v>104.6</v>
      </c>
      <c r="J18" s="23">
        <f t="shared" si="4"/>
        <v>2092</v>
      </c>
      <c r="K18" s="8">
        <f t="shared" si="5"/>
        <v>184372</v>
      </c>
      <c r="L18" s="8">
        <v>1000000</v>
      </c>
      <c r="M18" s="8">
        <f t="shared" si="6"/>
        <v>203350.66999999993</v>
      </c>
      <c r="N18" s="236"/>
      <c r="O18" s="1"/>
    </row>
    <row r="19" spans="1:15">
      <c r="A19" s="56">
        <v>16</v>
      </c>
      <c r="B19" s="251">
        <v>45763</v>
      </c>
      <c r="C19" s="10">
        <v>0</v>
      </c>
      <c r="D19" s="20"/>
      <c r="E19" s="8">
        <v>0</v>
      </c>
      <c r="F19" s="8">
        <v>0</v>
      </c>
      <c r="G19" s="18">
        <f t="shared" si="3"/>
        <v>0</v>
      </c>
      <c r="H19" s="7">
        <v>0</v>
      </c>
      <c r="I19" s="7">
        <v>0</v>
      </c>
      <c r="J19" s="23">
        <f t="shared" si="4"/>
        <v>0</v>
      </c>
      <c r="K19" s="8">
        <f t="shared" si="5"/>
        <v>0</v>
      </c>
      <c r="L19" s="8"/>
      <c r="M19" s="8">
        <f t="shared" si="6"/>
        <v>203350.66999999993</v>
      </c>
      <c r="N19" s="236"/>
      <c r="O19" s="1"/>
    </row>
    <row r="20" spans="1:15">
      <c r="A20" s="56">
        <v>17</v>
      </c>
      <c r="B20" s="251">
        <v>45764</v>
      </c>
      <c r="C20" s="10">
        <v>0</v>
      </c>
      <c r="D20" s="20"/>
      <c r="E20" s="8">
        <v>0</v>
      </c>
      <c r="F20" s="8">
        <v>0</v>
      </c>
      <c r="G20" s="18">
        <f t="shared" si="3"/>
        <v>0</v>
      </c>
      <c r="H20" s="7">
        <v>0</v>
      </c>
      <c r="I20" s="7">
        <v>0</v>
      </c>
      <c r="J20" s="23">
        <f t="shared" si="4"/>
        <v>0</v>
      </c>
      <c r="K20" s="8">
        <f t="shared" si="5"/>
        <v>0</v>
      </c>
      <c r="L20" s="8"/>
      <c r="M20" s="8">
        <f t="shared" si="6"/>
        <v>203350.66999999993</v>
      </c>
      <c r="N20" s="236"/>
      <c r="O20" s="1"/>
    </row>
    <row r="21" spans="1:15">
      <c r="A21" s="56">
        <v>18</v>
      </c>
      <c r="B21" s="251">
        <v>45765</v>
      </c>
      <c r="C21" s="10">
        <v>0</v>
      </c>
      <c r="D21" s="20"/>
      <c r="E21" s="8">
        <v>5000</v>
      </c>
      <c r="F21" s="8">
        <v>91.14</v>
      </c>
      <c r="G21" s="18">
        <f t="shared" si="3"/>
        <v>455700</v>
      </c>
      <c r="H21" s="7">
        <v>0</v>
      </c>
      <c r="I21" s="7">
        <v>0</v>
      </c>
      <c r="J21" s="23">
        <f t="shared" si="4"/>
        <v>0</v>
      </c>
      <c r="K21" s="8">
        <f t="shared" si="5"/>
        <v>455700</v>
      </c>
      <c r="L21" s="8"/>
      <c r="M21" s="8">
        <f t="shared" si="6"/>
        <v>659050.66999999993</v>
      </c>
      <c r="N21" s="236"/>
      <c r="O21" s="1"/>
    </row>
    <row r="22" spans="1:15">
      <c r="A22" s="56">
        <v>19</v>
      </c>
      <c r="B22" s="251">
        <v>45766</v>
      </c>
      <c r="C22" s="10">
        <v>0</v>
      </c>
      <c r="D22" s="20"/>
      <c r="E22" s="8">
        <v>0</v>
      </c>
      <c r="F22" s="8">
        <v>0</v>
      </c>
      <c r="G22" s="18">
        <f t="shared" si="3"/>
        <v>0</v>
      </c>
      <c r="H22" s="7">
        <v>0</v>
      </c>
      <c r="I22" s="7">
        <v>0</v>
      </c>
      <c r="J22" s="23">
        <f t="shared" si="4"/>
        <v>0</v>
      </c>
      <c r="K22" s="8">
        <f t="shared" si="5"/>
        <v>0</v>
      </c>
      <c r="L22" s="8"/>
      <c r="M22" s="8">
        <f t="shared" si="6"/>
        <v>659050.66999999993</v>
      </c>
      <c r="N22" s="236"/>
      <c r="O22" s="1"/>
    </row>
    <row r="23" spans="1:15">
      <c r="A23" s="56">
        <v>20</v>
      </c>
      <c r="B23" s="251">
        <v>45767</v>
      </c>
      <c r="C23" s="10">
        <v>0</v>
      </c>
      <c r="D23" s="20"/>
      <c r="E23" s="8">
        <v>0</v>
      </c>
      <c r="F23" s="8">
        <v>0</v>
      </c>
      <c r="G23" s="18">
        <f t="shared" si="3"/>
        <v>0</v>
      </c>
      <c r="H23" s="7">
        <v>0</v>
      </c>
      <c r="I23" s="7">
        <v>0</v>
      </c>
      <c r="J23" s="23">
        <f t="shared" si="4"/>
        <v>0</v>
      </c>
      <c r="K23" s="8">
        <f t="shared" si="5"/>
        <v>0</v>
      </c>
      <c r="L23" s="8"/>
      <c r="M23" s="8">
        <f t="shared" si="6"/>
        <v>659050.66999999993</v>
      </c>
      <c r="N23" s="236"/>
      <c r="O23" s="1"/>
    </row>
    <row r="24" spans="1:15">
      <c r="A24" s="56">
        <v>21</v>
      </c>
      <c r="B24" s="251">
        <v>45768</v>
      </c>
      <c r="C24" s="10">
        <v>0</v>
      </c>
      <c r="D24" s="20"/>
      <c r="E24" s="8">
        <v>0</v>
      </c>
      <c r="F24" s="8">
        <v>0</v>
      </c>
      <c r="G24" s="18">
        <f t="shared" si="3"/>
        <v>0</v>
      </c>
      <c r="H24" s="7">
        <v>0</v>
      </c>
      <c r="I24" s="7">
        <v>0</v>
      </c>
      <c r="J24" s="23">
        <f t="shared" si="4"/>
        <v>0</v>
      </c>
      <c r="K24" s="8">
        <f t="shared" si="5"/>
        <v>0</v>
      </c>
      <c r="L24" s="8"/>
      <c r="M24" s="8">
        <f t="shared" si="6"/>
        <v>659050.66999999993</v>
      </c>
      <c r="N24" s="236"/>
      <c r="O24" s="1"/>
    </row>
    <row r="25" spans="1:15">
      <c r="A25" s="56">
        <v>22</v>
      </c>
      <c r="B25" s="251">
        <v>45769</v>
      </c>
      <c r="C25" s="10">
        <v>0</v>
      </c>
      <c r="D25" s="20"/>
      <c r="E25" s="8">
        <v>0</v>
      </c>
      <c r="F25" s="8">
        <v>0</v>
      </c>
      <c r="G25" s="18">
        <f t="shared" si="3"/>
        <v>0</v>
      </c>
      <c r="H25" s="7">
        <v>0</v>
      </c>
      <c r="I25" s="7">
        <v>0</v>
      </c>
      <c r="J25" s="23">
        <f t="shared" si="4"/>
        <v>0</v>
      </c>
      <c r="K25" s="8">
        <f t="shared" si="5"/>
        <v>0</v>
      </c>
      <c r="L25" s="8"/>
      <c r="M25" s="8">
        <f t="shared" si="6"/>
        <v>659050.66999999993</v>
      </c>
      <c r="N25" s="236"/>
      <c r="O25" s="1"/>
    </row>
    <row r="26" spans="1:15">
      <c r="A26" s="56">
        <v>23</v>
      </c>
      <c r="B26" s="251">
        <v>45770</v>
      </c>
      <c r="C26" s="10">
        <v>0</v>
      </c>
      <c r="D26" s="20"/>
      <c r="E26" s="8">
        <v>4000</v>
      </c>
      <c r="F26" s="8">
        <v>91.14</v>
      </c>
      <c r="G26" s="18">
        <f t="shared" si="3"/>
        <v>364560</v>
      </c>
      <c r="H26" s="7">
        <v>35</v>
      </c>
      <c r="I26" s="7">
        <v>104.6</v>
      </c>
      <c r="J26" s="23">
        <f t="shared" si="4"/>
        <v>3661</v>
      </c>
      <c r="K26" s="8">
        <f t="shared" si="5"/>
        <v>368221</v>
      </c>
      <c r="L26" s="8"/>
      <c r="M26" s="8">
        <f t="shared" si="6"/>
        <v>1027271.6699999999</v>
      </c>
      <c r="N26" s="236"/>
      <c r="O26" s="1"/>
    </row>
    <row r="27" spans="1:15">
      <c r="A27" s="56">
        <v>24</v>
      </c>
      <c r="B27" s="251">
        <v>45771</v>
      </c>
      <c r="C27" s="10">
        <v>0</v>
      </c>
      <c r="D27" s="20"/>
      <c r="E27" s="8">
        <v>2000</v>
      </c>
      <c r="F27" s="8">
        <v>91.14</v>
      </c>
      <c r="G27" s="18">
        <f t="shared" si="3"/>
        <v>182280</v>
      </c>
      <c r="H27" s="7">
        <v>0</v>
      </c>
      <c r="I27" s="7">
        <v>0</v>
      </c>
      <c r="J27" s="23">
        <f t="shared" si="4"/>
        <v>0</v>
      </c>
      <c r="K27" s="8">
        <f t="shared" si="5"/>
        <v>182280</v>
      </c>
      <c r="L27" s="8"/>
      <c r="M27" s="8">
        <f t="shared" si="6"/>
        <v>1209551.67</v>
      </c>
      <c r="N27" s="236"/>
      <c r="O27" s="1"/>
    </row>
    <row r="28" spans="1:15">
      <c r="A28" s="56">
        <v>25</v>
      </c>
      <c r="B28" s="251">
        <v>45772</v>
      </c>
      <c r="C28" s="10">
        <v>0</v>
      </c>
      <c r="D28" s="20"/>
      <c r="E28" s="8">
        <v>0</v>
      </c>
      <c r="F28" s="8">
        <v>0</v>
      </c>
      <c r="G28" s="18">
        <f t="shared" si="3"/>
        <v>0</v>
      </c>
      <c r="H28" s="7">
        <v>0</v>
      </c>
      <c r="I28" s="7">
        <v>0</v>
      </c>
      <c r="J28" s="23">
        <f t="shared" si="4"/>
        <v>0</v>
      </c>
      <c r="K28" s="8">
        <f t="shared" si="5"/>
        <v>0</v>
      </c>
      <c r="L28" s="8"/>
      <c r="M28" s="8">
        <f t="shared" si="6"/>
        <v>1209551.67</v>
      </c>
      <c r="N28" s="236"/>
      <c r="O28" s="1"/>
    </row>
    <row r="29" spans="1:15">
      <c r="A29" s="56">
        <v>26</v>
      </c>
      <c r="B29" s="251">
        <v>45773</v>
      </c>
      <c r="C29" s="10">
        <v>0</v>
      </c>
      <c r="D29" s="20"/>
      <c r="E29" s="8">
        <v>0</v>
      </c>
      <c r="F29" s="8">
        <v>0</v>
      </c>
      <c r="G29" s="18">
        <f t="shared" si="3"/>
        <v>0</v>
      </c>
      <c r="H29" s="7">
        <v>0</v>
      </c>
      <c r="I29" s="7">
        <v>0</v>
      </c>
      <c r="J29" s="23">
        <f t="shared" si="4"/>
        <v>0</v>
      </c>
      <c r="K29" s="8">
        <f t="shared" si="5"/>
        <v>0</v>
      </c>
      <c r="L29" s="8"/>
      <c r="M29" s="8">
        <f t="shared" si="6"/>
        <v>1209551.67</v>
      </c>
      <c r="N29" s="236"/>
      <c r="O29" s="1"/>
    </row>
    <row r="30" spans="1:15">
      <c r="A30" s="56">
        <v>27</v>
      </c>
      <c r="B30" s="251">
        <v>45774</v>
      </c>
      <c r="C30" s="10">
        <v>0</v>
      </c>
      <c r="D30" s="20"/>
      <c r="E30" s="8">
        <v>0</v>
      </c>
      <c r="F30" s="8">
        <v>0</v>
      </c>
      <c r="G30" s="18">
        <f t="shared" si="3"/>
        <v>0</v>
      </c>
      <c r="H30" s="7">
        <v>0</v>
      </c>
      <c r="I30" s="7">
        <v>0</v>
      </c>
      <c r="J30" s="23">
        <f t="shared" si="4"/>
        <v>0</v>
      </c>
      <c r="K30" s="8">
        <f t="shared" si="5"/>
        <v>0</v>
      </c>
      <c r="L30" s="8"/>
      <c r="M30" s="8">
        <f t="shared" si="6"/>
        <v>1209551.67</v>
      </c>
      <c r="N30" s="236"/>
      <c r="O30" s="1"/>
    </row>
    <row r="31" spans="1:15">
      <c r="A31" s="56">
        <v>28</v>
      </c>
      <c r="B31" s="251">
        <v>45775</v>
      </c>
      <c r="C31" s="10">
        <v>0</v>
      </c>
      <c r="D31" s="20"/>
      <c r="E31" s="8">
        <v>3000</v>
      </c>
      <c r="F31" s="8">
        <v>91.14</v>
      </c>
      <c r="G31" s="18">
        <f t="shared" si="3"/>
        <v>273420</v>
      </c>
      <c r="H31" s="7">
        <v>30</v>
      </c>
      <c r="I31" s="7">
        <v>104.6</v>
      </c>
      <c r="J31" s="23">
        <f t="shared" si="4"/>
        <v>3138</v>
      </c>
      <c r="K31" s="8">
        <f>G31+J31</f>
        <v>276558</v>
      </c>
      <c r="L31" s="8"/>
      <c r="M31" s="8">
        <f t="shared" si="6"/>
        <v>1486109.67</v>
      </c>
      <c r="N31" s="236"/>
      <c r="O31" s="1"/>
    </row>
    <row r="32" spans="1:15">
      <c r="A32" s="245">
        <v>29</v>
      </c>
      <c r="B32" s="251">
        <v>45776</v>
      </c>
      <c r="C32" s="10">
        <v>0</v>
      </c>
      <c r="D32" s="20"/>
      <c r="E32" s="8">
        <v>0</v>
      </c>
      <c r="F32" s="8">
        <v>0</v>
      </c>
      <c r="G32" s="18">
        <f t="shared" si="3"/>
        <v>0</v>
      </c>
      <c r="H32" s="7">
        <v>0</v>
      </c>
      <c r="I32" s="7">
        <v>0</v>
      </c>
      <c r="J32" s="23">
        <f t="shared" si="4"/>
        <v>0</v>
      </c>
      <c r="K32" s="8">
        <f t="shared" si="5"/>
        <v>0</v>
      </c>
      <c r="L32" s="8"/>
      <c r="M32" s="8">
        <f t="shared" si="6"/>
        <v>1486109.67</v>
      </c>
      <c r="N32" s="236"/>
      <c r="O32" s="1"/>
    </row>
    <row r="33" spans="1:15">
      <c r="A33" s="245">
        <v>30</v>
      </c>
      <c r="B33" s="251">
        <v>45777</v>
      </c>
      <c r="C33" s="10">
        <v>0</v>
      </c>
      <c r="D33" s="20"/>
      <c r="E33" s="8">
        <v>2000</v>
      </c>
      <c r="F33" s="8">
        <v>91.14</v>
      </c>
      <c r="G33" s="18">
        <f t="shared" si="3"/>
        <v>182280</v>
      </c>
      <c r="H33" s="7">
        <v>20</v>
      </c>
      <c r="I33" s="7">
        <v>104.6</v>
      </c>
      <c r="J33" s="23">
        <f t="shared" si="4"/>
        <v>2092</v>
      </c>
      <c r="K33" s="8">
        <f t="shared" si="5"/>
        <v>184372</v>
      </c>
      <c r="L33" s="8"/>
      <c r="M33" s="8">
        <f t="shared" si="6"/>
        <v>1670481.67</v>
      </c>
      <c r="N33" s="236"/>
      <c r="O33" s="1"/>
    </row>
    <row r="34" spans="1:15">
      <c r="A34" s="188"/>
      <c r="B34" s="188"/>
      <c r="C34" s="188"/>
      <c r="D34" s="188"/>
      <c r="E34" s="189">
        <f>SUM(E4:E33)</f>
        <v>25100</v>
      </c>
      <c r="F34" s="189"/>
      <c r="G34" s="189">
        <f>SUM(G4:G33)</f>
        <v>2287614</v>
      </c>
      <c r="H34" s="189">
        <f>SUM(H4:H33)</f>
        <v>140</v>
      </c>
      <c r="I34" s="189"/>
      <c r="J34" s="189">
        <f>SUM(J4:J33)</f>
        <v>14644</v>
      </c>
      <c r="K34" s="189">
        <f>SUM(K4:K33)</f>
        <v>2302258</v>
      </c>
      <c r="L34" s="189">
        <f>SUM(L4:L33)</f>
        <v>1000000</v>
      </c>
      <c r="M34" s="189"/>
      <c r="N34" s="77"/>
      <c r="O34" s="73"/>
    </row>
    <row r="35" spans="1:15">
      <c r="A35" s="2"/>
      <c r="B35" s="2"/>
      <c r="C35" s="2"/>
      <c r="D35" s="2"/>
      <c r="E35" s="4"/>
      <c r="F35" s="4"/>
      <c r="G35" s="4"/>
      <c r="H35" s="4"/>
      <c r="I35" s="4"/>
      <c r="J35" s="4"/>
      <c r="K35" s="4"/>
      <c r="L35" s="4"/>
      <c r="M35" s="4"/>
      <c r="N35" s="4"/>
      <c r="O35" s="1"/>
    </row>
    <row r="36" spans="1:15">
      <c r="A36" s="1"/>
      <c r="B36" s="400"/>
      <c r="C36" s="400"/>
      <c r="D36" s="400"/>
      <c r="E36" s="400"/>
      <c r="F36" s="1"/>
      <c r="G36" s="1"/>
      <c r="H36" s="1"/>
      <c r="I36" s="400"/>
      <c r="J36" s="400"/>
      <c r="K36" s="400"/>
      <c r="L36" s="400"/>
      <c r="M36" s="400"/>
      <c r="N36" s="400"/>
      <c r="O36" s="4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4"/>
    </row>
  </sheetData>
  <mergeCells count="3">
    <mergeCell ref="B36:E36"/>
    <mergeCell ref="I36:N36"/>
    <mergeCell ref="A1:N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4"/>
  <sheetViews>
    <sheetView workbookViewId="0">
      <pane ySplit="2" topLeftCell="A20" activePane="bottomLeft" state="frozen"/>
      <selection pane="bottomLeft" activeCell="S30" sqref="S30"/>
    </sheetView>
  </sheetViews>
  <sheetFormatPr defaultRowHeight="15"/>
  <cols>
    <col min="1" max="1" width="5.140625" bestFit="1" customWidth="1"/>
    <col min="2" max="2" width="9.57031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426" t="s">
        <v>77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97"/>
    </row>
    <row r="2" spans="1:15" ht="16.5" customHeight="1">
      <c r="A2" s="114" t="s">
        <v>81</v>
      </c>
      <c r="B2" s="115" t="s">
        <v>82</v>
      </c>
      <c r="C2" s="115" t="s">
        <v>83</v>
      </c>
      <c r="D2" s="115" t="s">
        <v>108</v>
      </c>
      <c r="E2" s="115" t="s">
        <v>85</v>
      </c>
      <c r="F2" s="115" t="s">
        <v>86</v>
      </c>
      <c r="G2" s="115" t="s">
        <v>87</v>
      </c>
      <c r="H2" s="115" t="s">
        <v>88</v>
      </c>
      <c r="I2" s="115" t="s">
        <v>86</v>
      </c>
      <c r="J2" s="159" t="s">
        <v>87</v>
      </c>
      <c r="K2" s="116" t="s">
        <v>89</v>
      </c>
      <c r="L2" s="160" t="s">
        <v>90</v>
      </c>
      <c r="M2" s="165" t="s">
        <v>97</v>
      </c>
      <c r="N2" s="117" t="s">
        <v>92</v>
      </c>
      <c r="O2" s="73"/>
    </row>
    <row r="3" spans="1:15" ht="16.5" customHeight="1">
      <c r="A3" s="407" t="s">
        <v>93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20"/>
      <c r="M3" s="175">
        <v>0</v>
      </c>
      <c r="N3" s="184"/>
      <c r="O3" s="73"/>
    </row>
    <row r="4" spans="1:15">
      <c r="A4" s="245">
        <v>1</v>
      </c>
      <c r="B4" s="284">
        <v>45748</v>
      </c>
      <c r="C4" s="81"/>
      <c r="D4" s="187"/>
      <c r="E4" s="79"/>
      <c r="F4" s="79"/>
      <c r="G4" s="8">
        <f>E4*F4</f>
        <v>0</v>
      </c>
      <c r="H4" s="79">
        <v>0</v>
      </c>
      <c r="I4" s="80">
        <v>0</v>
      </c>
      <c r="J4" s="8">
        <f>H4*I4</f>
        <v>0</v>
      </c>
      <c r="K4" s="8">
        <f>G4+J4</f>
        <v>0</v>
      </c>
      <c r="L4" s="82">
        <f>+K4</f>
        <v>0</v>
      </c>
      <c r="M4" s="82">
        <v>0</v>
      </c>
      <c r="N4" s="8"/>
    </row>
    <row r="5" spans="1:15">
      <c r="A5" s="56">
        <v>2</v>
      </c>
      <c r="B5" s="284">
        <v>45749</v>
      </c>
      <c r="C5" s="81"/>
      <c r="D5" s="187"/>
      <c r="E5" s="79"/>
      <c r="F5" s="79"/>
      <c r="G5" s="8">
        <f t="shared" ref="G5:G32" si="0">E5*F5</f>
        <v>0</v>
      </c>
      <c r="H5" s="79">
        <v>0</v>
      </c>
      <c r="I5" s="80">
        <v>0</v>
      </c>
      <c r="J5" s="8">
        <f t="shared" ref="J5:J32" si="1">H5*I5</f>
        <v>0</v>
      </c>
      <c r="K5" s="8">
        <f t="shared" ref="K5:K32" si="2">G5+J5</f>
        <v>0</v>
      </c>
      <c r="L5" s="82">
        <f t="shared" ref="L5:L32" si="3">+K5</f>
        <v>0</v>
      </c>
      <c r="M5" s="82">
        <v>0</v>
      </c>
      <c r="N5" s="8"/>
    </row>
    <row r="6" spans="1:15">
      <c r="A6" s="56">
        <v>3</v>
      </c>
      <c r="B6" s="284">
        <v>45750</v>
      </c>
      <c r="C6" s="81"/>
      <c r="D6" s="187"/>
      <c r="E6" s="79"/>
      <c r="F6" s="79"/>
      <c r="G6" s="8">
        <f t="shared" si="0"/>
        <v>0</v>
      </c>
      <c r="H6" s="79">
        <v>0</v>
      </c>
      <c r="I6" s="80">
        <v>0</v>
      </c>
      <c r="J6" s="8">
        <f t="shared" si="1"/>
        <v>0</v>
      </c>
      <c r="K6" s="8">
        <f t="shared" si="2"/>
        <v>0</v>
      </c>
      <c r="L6" s="82">
        <f t="shared" si="3"/>
        <v>0</v>
      </c>
      <c r="M6" s="82">
        <v>0</v>
      </c>
      <c r="N6" s="8"/>
    </row>
    <row r="7" spans="1:15">
      <c r="A7" s="56">
        <v>4</v>
      </c>
      <c r="B7" s="284">
        <v>45751</v>
      </c>
      <c r="C7" s="81"/>
      <c r="D7" s="187"/>
      <c r="E7" s="79"/>
      <c r="F7" s="79"/>
      <c r="G7" s="8">
        <f t="shared" si="0"/>
        <v>0</v>
      </c>
      <c r="H7" s="79">
        <v>0</v>
      </c>
      <c r="I7" s="80">
        <v>0</v>
      </c>
      <c r="J7" s="8">
        <f t="shared" si="1"/>
        <v>0</v>
      </c>
      <c r="K7" s="8">
        <f t="shared" si="2"/>
        <v>0</v>
      </c>
      <c r="L7" s="82">
        <f t="shared" si="3"/>
        <v>0</v>
      </c>
      <c r="M7" s="82">
        <v>0</v>
      </c>
      <c r="N7" s="8"/>
    </row>
    <row r="8" spans="1:15">
      <c r="A8" s="56">
        <v>5</v>
      </c>
      <c r="B8" s="284">
        <v>45752</v>
      </c>
      <c r="C8" s="81"/>
      <c r="D8" s="187"/>
      <c r="E8" s="79"/>
      <c r="F8" s="79"/>
      <c r="G8" s="8">
        <f t="shared" si="0"/>
        <v>0</v>
      </c>
      <c r="H8" s="79">
        <v>0</v>
      </c>
      <c r="I8" s="80">
        <v>0</v>
      </c>
      <c r="J8" s="8">
        <f t="shared" si="1"/>
        <v>0</v>
      </c>
      <c r="K8" s="8">
        <f t="shared" si="2"/>
        <v>0</v>
      </c>
      <c r="L8" s="82">
        <f t="shared" si="3"/>
        <v>0</v>
      </c>
      <c r="M8" s="82">
        <v>0</v>
      </c>
      <c r="N8" s="8"/>
      <c r="O8" s="83"/>
    </row>
    <row r="9" spans="1:15">
      <c r="A9" s="56">
        <v>6</v>
      </c>
      <c r="B9" s="284">
        <v>45753</v>
      </c>
      <c r="C9" s="81"/>
      <c r="D9" s="187"/>
      <c r="E9" s="79"/>
      <c r="F9" s="79"/>
      <c r="G9" s="8">
        <f t="shared" si="0"/>
        <v>0</v>
      </c>
      <c r="H9" s="79">
        <v>0</v>
      </c>
      <c r="I9" s="80">
        <v>0</v>
      </c>
      <c r="J9" s="8">
        <f t="shared" si="1"/>
        <v>0</v>
      </c>
      <c r="K9" s="8">
        <f t="shared" si="2"/>
        <v>0</v>
      </c>
      <c r="L9" s="82">
        <f t="shared" si="3"/>
        <v>0</v>
      </c>
      <c r="M9" s="82">
        <v>0</v>
      </c>
      <c r="N9" s="8"/>
      <c r="O9" s="83"/>
    </row>
    <row r="10" spans="1:15">
      <c r="A10" s="56">
        <v>7</v>
      </c>
      <c r="B10" s="284">
        <v>45754</v>
      </c>
      <c r="C10" s="81"/>
      <c r="D10" s="187"/>
      <c r="E10" s="79"/>
      <c r="F10" s="79"/>
      <c r="G10" s="8">
        <f t="shared" si="0"/>
        <v>0</v>
      </c>
      <c r="H10" s="79">
        <v>0</v>
      </c>
      <c r="I10" s="80">
        <v>0</v>
      </c>
      <c r="J10" s="8">
        <f t="shared" si="1"/>
        <v>0</v>
      </c>
      <c r="K10" s="8">
        <f t="shared" si="2"/>
        <v>0</v>
      </c>
      <c r="L10" s="82">
        <f t="shared" si="3"/>
        <v>0</v>
      </c>
      <c r="M10" s="82">
        <v>0</v>
      </c>
      <c r="N10" s="8"/>
      <c r="O10" s="83"/>
    </row>
    <row r="11" spans="1:15">
      <c r="A11" s="56">
        <v>8</v>
      </c>
      <c r="B11" s="284">
        <v>45755</v>
      </c>
      <c r="C11" s="81"/>
      <c r="D11" s="187"/>
      <c r="E11" s="79"/>
      <c r="F11" s="79"/>
      <c r="G11" s="8">
        <f t="shared" si="0"/>
        <v>0</v>
      </c>
      <c r="H11" s="79">
        <v>8.9700000000000006</v>
      </c>
      <c r="I11" s="80">
        <v>102.46</v>
      </c>
      <c r="J11" s="8">
        <f>H11*I11</f>
        <v>919.06619999999998</v>
      </c>
      <c r="K11" s="8">
        <f t="shared" si="2"/>
        <v>919.06619999999998</v>
      </c>
      <c r="L11" s="82">
        <f t="shared" si="3"/>
        <v>919.06619999999998</v>
      </c>
      <c r="M11" s="82">
        <v>0</v>
      </c>
      <c r="N11" s="8"/>
      <c r="O11" s="83"/>
    </row>
    <row r="12" spans="1:15">
      <c r="A12" s="56">
        <v>9</v>
      </c>
      <c r="B12" s="284">
        <v>45756</v>
      </c>
      <c r="C12" s="81"/>
      <c r="D12" s="187"/>
      <c r="E12" s="79"/>
      <c r="F12" s="79"/>
      <c r="G12" s="8">
        <f t="shared" si="0"/>
        <v>0</v>
      </c>
      <c r="H12" s="79">
        <v>0</v>
      </c>
      <c r="I12" s="80">
        <v>0</v>
      </c>
      <c r="J12" s="8">
        <f t="shared" si="1"/>
        <v>0</v>
      </c>
      <c r="K12" s="8">
        <f t="shared" si="2"/>
        <v>0</v>
      </c>
      <c r="L12" s="82">
        <f t="shared" si="3"/>
        <v>0</v>
      </c>
      <c r="M12" s="82">
        <v>0</v>
      </c>
      <c r="N12" s="8"/>
      <c r="O12" s="83"/>
    </row>
    <row r="13" spans="1:15">
      <c r="A13" s="56">
        <v>10</v>
      </c>
      <c r="B13" s="284">
        <v>45757</v>
      </c>
      <c r="C13" s="81"/>
      <c r="D13" s="187"/>
      <c r="E13" s="79"/>
      <c r="F13" s="79"/>
      <c r="G13" s="8">
        <f t="shared" si="0"/>
        <v>0</v>
      </c>
      <c r="H13" s="79">
        <v>0</v>
      </c>
      <c r="I13" s="80">
        <v>0</v>
      </c>
      <c r="J13" s="8">
        <f t="shared" si="1"/>
        <v>0</v>
      </c>
      <c r="K13" s="8">
        <f t="shared" si="2"/>
        <v>0</v>
      </c>
      <c r="L13" s="82">
        <f t="shared" si="3"/>
        <v>0</v>
      </c>
      <c r="M13" s="82">
        <v>0</v>
      </c>
      <c r="N13" s="8"/>
      <c r="O13" s="83"/>
    </row>
    <row r="14" spans="1:15">
      <c r="A14" s="56">
        <v>11</v>
      </c>
      <c r="B14" s="284">
        <v>45758</v>
      </c>
      <c r="C14" s="81"/>
      <c r="D14" s="187"/>
      <c r="E14" s="79"/>
      <c r="F14" s="79"/>
      <c r="G14" s="8">
        <f t="shared" si="0"/>
        <v>0</v>
      </c>
      <c r="H14" s="79">
        <v>0</v>
      </c>
      <c r="I14" s="80">
        <v>0</v>
      </c>
      <c r="J14" s="8">
        <f t="shared" si="1"/>
        <v>0</v>
      </c>
      <c r="K14" s="8">
        <f t="shared" si="2"/>
        <v>0</v>
      </c>
      <c r="L14" s="82">
        <f t="shared" si="3"/>
        <v>0</v>
      </c>
      <c r="M14" s="82">
        <v>0</v>
      </c>
      <c r="N14" s="8"/>
      <c r="O14" s="83"/>
    </row>
    <row r="15" spans="1:15">
      <c r="A15" s="56">
        <v>12</v>
      </c>
      <c r="B15" s="284">
        <v>45759</v>
      </c>
      <c r="C15" s="81"/>
      <c r="D15" s="187"/>
      <c r="E15" s="79"/>
      <c r="F15" s="79"/>
      <c r="G15" s="8">
        <f t="shared" si="0"/>
        <v>0</v>
      </c>
      <c r="H15" s="79">
        <v>0</v>
      </c>
      <c r="I15" s="80">
        <v>0</v>
      </c>
      <c r="J15" s="8">
        <f t="shared" si="1"/>
        <v>0</v>
      </c>
      <c r="K15" s="8">
        <f t="shared" si="2"/>
        <v>0</v>
      </c>
      <c r="L15" s="82">
        <f t="shared" si="3"/>
        <v>0</v>
      </c>
      <c r="M15" s="82">
        <v>0</v>
      </c>
      <c r="N15" s="8"/>
      <c r="O15" s="83"/>
    </row>
    <row r="16" spans="1:15">
      <c r="A16" s="56">
        <v>13</v>
      </c>
      <c r="B16" s="284">
        <v>45760</v>
      </c>
      <c r="C16" s="81"/>
      <c r="D16" s="187"/>
      <c r="E16" s="79"/>
      <c r="F16" s="79"/>
      <c r="G16" s="8">
        <f t="shared" si="0"/>
        <v>0</v>
      </c>
      <c r="H16" s="79">
        <v>0</v>
      </c>
      <c r="I16" s="80">
        <v>0</v>
      </c>
      <c r="J16" s="8">
        <f t="shared" si="1"/>
        <v>0</v>
      </c>
      <c r="K16" s="8">
        <f t="shared" si="2"/>
        <v>0</v>
      </c>
      <c r="L16" s="82">
        <f t="shared" si="3"/>
        <v>0</v>
      </c>
      <c r="M16" s="82">
        <v>0</v>
      </c>
      <c r="N16" s="8"/>
      <c r="O16" s="83"/>
    </row>
    <row r="17" spans="1:15">
      <c r="A17" s="56">
        <v>14</v>
      </c>
      <c r="B17" s="284">
        <v>45761</v>
      </c>
      <c r="C17" s="81"/>
      <c r="D17" s="187"/>
      <c r="E17" s="79"/>
      <c r="F17" s="79"/>
      <c r="G17" s="8">
        <f t="shared" si="0"/>
        <v>0</v>
      </c>
      <c r="H17" s="79">
        <v>5.86</v>
      </c>
      <c r="I17" s="80">
        <v>102.46</v>
      </c>
      <c r="J17" s="8">
        <f t="shared" si="1"/>
        <v>600.41560000000004</v>
      </c>
      <c r="K17" s="8">
        <f t="shared" si="2"/>
        <v>600.41560000000004</v>
      </c>
      <c r="L17" s="82">
        <f t="shared" si="3"/>
        <v>600.41560000000004</v>
      </c>
      <c r="M17" s="82">
        <v>0</v>
      </c>
      <c r="N17" s="8"/>
      <c r="O17" s="83"/>
    </row>
    <row r="18" spans="1:15">
      <c r="A18" s="56">
        <v>15</v>
      </c>
      <c r="B18" s="284">
        <v>45762</v>
      </c>
      <c r="C18" s="81"/>
      <c r="D18" s="187"/>
      <c r="E18" s="79"/>
      <c r="F18" s="79"/>
      <c r="G18" s="8">
        <f t="shared" si="0"/>
        <v>0</v>
      </c>
      <c r="H18" s="79">
        <v>0</v>
      </c>
      <c r="I18" s="80">
        <v>0</v>
      </c>
      <c r="J18" s="8">
        <f t="shared" si="1"/>
        <v>0</v>
      </c>
      <c r="K18" s="8">
        <f t="shared" si="2"/>
        <v>0</v>
      </c>
      <c r="L18" s="82">
        <f t="shared" si="3"/>
        <v>0</v>
      </c>
      <c r="M18" s="82">
        <v>0</v>
      </c>
      <c r="N18" s="8"/>
      <c r="O18" s="83"/>
    </row>
    <row r="19" spans="1:15">
      <c r="A19" s="56">
        <v>16</v>
      </c>
      <c r="B19" s="284">
        <v>45763</v>
      </c>
      <c r="C19" s="81"/>
      <c r="D19" s="187"/>
      <c r="E19" s="79"/>
      <c r="F19" s="79"/>
      <c r="G19" s="8">
        <f t="shared" si="0"/>
        <v>0</v>
      </c>
      <c r="H19" s="79">
        <v>8.1999999999999993</v>
      </c>
      <c r="I19" s="80">
        <v>102.46</v>
      </c>
      <c r="J19" s="8">
        <f t="shared" si="1"/>
        <v>840.17199999999991</v>
      </c>
      <c r="K19" s="8">
        <f t="shared" si="2"/>
        <v>840.17199999999991</v>
      </c>
      <c r="L19" s="82">
        <f t="shared" si="3"/>
        <v>840.17199999999991</v>
      </c>
      <c r="M19" s="82">
        <v>0</v>
      </c>
      <c r="N19" s="8"/>
      <c r="O19" s="83"/>
    </row>
    <row r="20" spans="1:15">
      <c r="A20" s="56">
        <v>17</v>
      </c>
      <c r="B20" s="284">
        <v>45764</v>
      </c>
      <c r="C20" s="81"/>
      <c r="D20" s="187"/>
      <c r="E20" s="79"/>
      <c r="F20" s="79"/>
      <c r="G20" s="8">
        <f t="shared" si="0"/>
        <v>0</v>
      </c>
      <c r="H20" s="79">
        <v>0</v>
      </c>
      <c r="I20" s="80">
        <v>0</v>
      </c>
      <c r="J20" s="8">
        <f t="shared" si="1"/>
        <v>0</v>
      </c>
      <c r="K20" s="8">
        <f t="shared" si="2"/>
        <v>0</v>
      </c>
      <c r="L20" s="82">
        <f t="shared" si="3"/>
        <v>0</v>
      </c>
      <c r="M20" s="82">
        <v>0</v>
      </c>
      <c r="N20" s="8"/>
      <c r="O20" s="83"/>
    </row>
    <row r="21" spans="1:15">
      <c r="A21" s="56">
        <v>18</v>
      </c>
      <c r="B21" s="284">
        <v>45765</v>
      </c>
      <c r="C21" s="81"/>
      <c r="D21" s="187"/>
      <c r="E21" s="79"/>
      <c r="F21" s="79"/>
      <c r="G21" s="8">
        <f t="shared" si="0"/>
        <v>0</v>
      </c>
      <c r="H21" s="79">
        <v>0</v>
      </c>
      <c r="I21" s="80">
        <v>0</v>
      </c>
      <c r="J21" s="8">
        <f t="shared" si="1"/>
        <v>0</v>
      </c>
      <c r="K21" s="8">
        <f t="shared" si="2"/>
        <v>0</v>
      </c>
      <c r="L21" s="82">
        <f t="shared" si="3"/>
        <v>0</v>
      </c>
      <c r="M21" s="82">
        <v>0</v>
      </c>
      <c r="N21" s="8"/>
      <c r="O21" s="83"/>
    </row>
    <row r="22" spans="1:15">
      <c r="A22" s="56">
        <v>19</v>
      </c>
      <c r="B22" s="284">
        <v>45766</v>
      </c>
      <c r="C22" s="81"/>
      <c r="D22" s="187"/>
      <c r="E22" s="79"/>
      <c r="F22" s="79"/>
      <c r="G22" s="8">
        <f t="shared" si="0"/>
        <v>0</v>
      </c>
      <c r="H22" s="79">
        <v>0</v>
      </c>
      <c r="I22" s="80">
        <v>0</v>
      </c>
      <c r="J22" s="8">
        <f t="shared" si="1"/>
        <v>0</v>
      </c>
      <c r="K22" s="8">
        <f t="shared" si="2"/>
        <v>0</v>
      </c>
      <c r="L22" s="82">
        <f t="shared" si="3"/>
        <v>0</v>
      </c>
      <c r="M22" s="82">
        <v>0</v>
      </c>
      <c r="N22" s="8"/>
      <c r="O22" s="83"/>
    </row>
    <row r="23" spans="1:15">
      <c r="A23" s="56">
        <v>20</v>
      </c>
      <c r="B23" s="284">
        <v>45767</v>
      </c>
      <c r="C23" s="81"/>
      <c r="D23" s="187"/>
      <c r="E23" s="79"/>
      <c r="F23" s="79"/>
      <c r="G23" s="8">
        <f t="shared" si="0"/>
        <v>0</v>
      </c>
      <c r="H23" s="79">
        <v>0</v>
      </c>
      <c r="I23" s="80">
        <v>0</v>
      </c>
      <c r="J23" s="8">
        <f t="shared" si="1"/>
        <v>0</v>
      </c>
      <c r="K23" s="8">
        <f t="shared" si="2"/>
        <v>0</v>
      </c>
      <c r="L23" s="82">
        <f t="shared" si="3"/>
        <v>0</v>
      </c>
      <c r="M23" s="82">
        <v>0</v>
      </c>
      <c r="N23" s="8"/>
      <c r="O23" s="83"/>
    </row>
    <row r="24" spans="1:15">
      <c r="A24" s="56">
        <v>21</v>
      </c>
      <c r="B24" s="284">
        <v>45768</v>
      </c>
      <c r="C24" s="81"/>
      <c r="D24" s="187"/>
      <c r="E24" s="79"/>
      <c r="F24" s="79"/>
      <c r="G24" s="8">
        <f t="shared" si="0"/>
        <v>0</v>
      </c>
      <c r="H24" s="79">
        <v>0</v>
      </c>
      <c r="I24" s="80">
        <v>0</v>
      </c>
      <c r="J24" s="8">
        <f t="shared" si="1"/>
        <v>0</v>
      </c>
      <c r="K24" s="8">
        <f t="shared" si="2"/>
        <v>0</v>
      </c>
      <c r="L24" s="82">
        <f t="shared" si="3"/>
        <v>0</v>
      </c>
      <c r="M24" s="82">
        <v>0</v>
      </c>
      <c r="N24" s="8"/>
      <c r="O24" s="83"/>
    </row>
    <row r="25" spans="1:15">
      <c r="A25" s="56">
        <v>22</v>
      </c>
      <c r="B25" s="284">
        <v>45769</v>
      </c>
      <c r="C25" s="81"/>
      <c r="D25" s="187"/>
      <c r="E25" s="79"/>
      <c r="F25" s="79"/>
      <c r="G25" s="8">
        <f t="shared" si="0"/>
        <v>0</v>
      </c>
      <c r="H25" s="79">
        <v>0</v>
      </c>
      <c r="I25" s="80">
        <v>0</v>
      </c>
      <c r="J25" s="8">
        <f t="shared" si="1"/>
        <v>0</v>
      </c>
      <c r="K25" s="8">
        <f t="shared" si="2"/>
        <v>0</v>
      </c>
      <c r="L25" s="82">
        <f t="shared" si="3"/>
        <v>0</v>
      </c>
      <c r="M25" s="82">
        <v>0</v>
      </c>
      <c r="N25" s="8"/>
      <c r="O25" s="83"/>
    </row>
    <row r="26" spans="1:15">
      <c r="A26" s="56">
        <v>23</v>
      </c>
      <c r="B26" s="284">
        <v>45770</v>
      </c>
      <c r="C26" s="81"/>
      <c r="D26" s="187"/>
      <c r="E26" s="79"/>
      <c r="F26" s="79"/>
      <c r="G26" s="8">
        <f t="shared" si="0"/>
        <v>0</v>
      </c>
      <c r="H26" s="79">
        <v>0</v>
      </c>
      <c r="I26" s="80">
        <v>0</v>
      </c>
      <c r="J26" s="8">
        <f t="shared" si="1"/>
        <v>0</v>
      </c>
      <c r="K26" s="8">
        <f t="shared" si="2"/>
        <v>0</v>
      </c>
      <c r="L26" s="82">
        <f t="shared" si="3"/>
        <v>0</v>
      </c>
      <c r="M26" s="82">
        <v>0</v>
      </c>
      <c r="N26" s="8"/>
      <c r="O26" s="83"/>
    </row>
    <row r="27" spans="1:15">
      <c r="A27" s="56">
        <v>24</v>
      </c>
      <c r="B27" s="284">
        <v>45771</v>
      </c>
      <c r="C27" s="81"/>
      <c r="D27" s="187"/>
      <c r="E27" s="79"/>
      <c r="F27" s="79"/>
      <c r="G27" s="8">
        <f t="shared" si="0"/>
        <v>0</v>
      </c>
      <c r="H27" s="79">
        <v>5.86</v>
      </c>
      <c r="I27" s="80">
        <v>102.46</v>
      </c>
      <c r="J27" s="8">
        <f t="shared" si="1"/>
        <v>600.41560000000004</v>
      </c>
      <c r="K27" s="8">
        <f t="shared" si="2"/>
        <v>600.41560000000004</v>
      </c>
      <c r="L27" s="82">
        <f t="shared" si="3"/>
        <v>600.41560000000004</v>
      </c>
      <c r="M27" s="82">
        <v>0</v>
      </c>
      <c r="N27" s="8"/>
      <c r="O27" s="83"/>
    </row>
    <row r="28" spans="1:15">
      <c r="A28" s="286">
        <v>25</v>
      </c>
      <c r="B28" s="284">
        <v>45772</v>
      </c>
      <c r="C28" s="81"/>
      <c r="D28" s="187"/>
      <c r="E28" s="79"/>
      <c r="F28" s="79"/>
      <c r="G28" s="8">
        <f t="shared" si="0"/>
        <v>0</v>
      </c>
      <c r="H28" s="79">
        <v>0</v>
      </c>
      <c r="I28" s="80">
        <v>0</v>
      </c>
      <c r="J28" s="8">
        <f t="shared" si="1"/>
        <v>0</v>
      </c>
      <c r="K28" s="8">
        <f t="shared" si="2"/>
        <v>0</v>
      </c>
      <c r="L28" s="82">
        <f t="shared" si="3"/>
        <v>0</v>
      </c>
      <c r="M28" s="82">
        <v>0</v>
      </c>
      <c r="N28" s="8"/>
      <c r="O28" s="83"/>
    </row>
    <row r="29" spans="1:15">
      <c r="A29" s="286">
        <v>26</v>
      </c>
      <c r="B29" s="284">
        <v>45773</v>
      </c>
      <c r="C29" s="81"/>
      <c r="D29" s="187"/>
      <c r="E29" s="79"/>
      <c r="F29" s="79"/>
      <c r="G29" s="8">
        <f t="shared" si="0"/>
        <v>0</v>
      </c>
      <c r="H29" s="79">
        <v>0</v>
      </c>
      <c r="I29" s="80">
        <v>0</v>
      </c>
      <c r="J29" s="8">
        <f t="shared" si="1"/>
        <v>0</v>
      </c>
      <c r="K29" s="8">
        <f t="shared" si="2"/>
        <v>0</v>
      </c>
      <c r="L29" s="82">
        <f t="shared" si="3"/>
        <v>0</v>
      </c>
      <c r="M29" s="82">
        <v>0</v>
      </c>
      <c r="N29" s="8"/>
      <c r="O29" s="83"/>
    </row>
    <row r="30" spans="1:15">
      <c r="A30" s="286">
        <v>27</v>
      </c>
      <c r="B30" s="284">
        <v>45774</v>
      </c>
      <c r="C30" s="81"/>
      <c r="D30" s="187"/>
      <c r="E30" s="79"/>
      <c r="F30" s="79"/>
      <c r="G30" s="8">
        <f t="shared" si="0"/>
        <v>0</v>
      </c>
      <c r="H30" s="79">
        <v>0</v>
      </c>
      <c r="I30" s="80">
        <v>0</v>
      </c>
      <c r="J30" s="8">
        <f t="shared" si="1"/>
        <v>0</v>
      </c>
      <c r="K30" s="8">
        <f t="shared" si="2"/>
        <v>0</v>
      </c>
      <c r="L30" s="82">
        <f t="shared" si="3"/>
        <v>0</v>
      </c>
      <c r="M30" s="82">
        <v>0</v>
      </c>
      <c r="N30" s="8"/>
      <c r="O30" s="83"/>
    </row>
    <row r="31" spans="1:15">
      <c r="A31" s="286">
        <v>28</v>
      </c>
      <c r="B31" s="284">
        <v>45775</v>
      </c>
      <c r="C31" s="81"/>
      <c r="D31" s="187"/>
      <c r="E31" s="79"/>
      <c r="F31" s="79"/>
      <c r="G31" s="8">
        <f t="shared" si="0"/>
        <v>0</v>
      </c>
      <c r="H31" s="79">
        <v>0</v>
      </c>
      <c r="I31" s="80">
        <v>0</v>
      </c>
      <c r="J31" s="8">
        <f t="shared" si="1"/>
        <v>0</v>
      </c>
      <c r="K31" s="8">
        <f t="shared" si="2"/>
        <v>0</v>
      </c>
      <c r="L31" s="82">
        <f t="shared" si="3"/>
        <v>0</v>
      </c>
      <c r="M31" s="82">
        <v>0</v>
      </c>
      <c r="N31" s="8"/>
      <c r="O31" s="83"/>
    </row>
    <row r="32" spans="1:15">
      <c r="A32" s="287">
        <v>29</v>
      </c>
      <c r="B32" s="284">
        <v>45776</v>
      </c>
      <c r="C32" s="81"/>
      <c r="D32" s="187"/>
      <c r="E32" s="79"/>
      <c r="F32" s="79"/>
      <c r="G32" s="8">
        <f t="shared" si="0"/>
        <v>0</v>
      </c>
      <c r="H32" s="79">
        <v>0</v>
      </c>
      <c r="I32" s="80">
        <v>0</v>
      </c>
      <c r="J32" s="8">
        <f t="shared" si="1"/>
        <v>0</v>
      </c>
      <c r="K32" s="8">
        <f t="shared" si="2"/>
        <v>0</v>
      </c>
      <c r="L32" s="82">
        <f t="shared" si="3"/>
        <v>0</v>
      </c>
      <c r="M32" s="82">
        <v>0</v>
      </c>
      <c r="N32" s="8"/>
      <c r="O32" s="83"/>
    </row>
    <row r="33" spans="1:15">
      <c r="A33" s="287">
        <v>30</v>
      </c>
      <c r="B33" s="284">
        <v>45777</v>
      </c>
      <c r="C33" s="81"/>
      <c r="D33" s="187"/>
      <c r="E33" s="79"/>
      <c r="F33" s="79"/>
      <c r="G33" s="8">
        <f t="shared" ref="G5:G34" si="4">E33*F33</f>
        <v>0</v>
      </c>
      <c r="H33" s="79">
        <v>0</v>
      </c>
      <c r="I33" s="80">
        <v>0</v>
      </c>
      <c r="J33" s="8">
        <f t="shared" ref="J5:J34" si="5">H33*I33</f>
        <v>0</v>
      </c>
      <c r="K33" s="8">
        <f t="shared" ref="K5:K34" si="6">G33+J33</f>
        <v>0</v>
      </c>
      <c r="L33" s="82">
        <f t="shared" ref="L5:L34" si="7">+K33</f>
        <v>0</v>
      </c>
      <c r="M33" s="82">
        <v>0</v>
      </c>
      <c r="N33" s="8"/>
      <c r="O33" s="83"/>
    </row>
    <row r="34" spans="1:15">
      <c r="A34" s="287">
        <v>31</v>
      </c>
      <c r="B34" s="284"/>
      <c r="C34" s="81"/>
      <c r="D34" s="187"/>
      <c r="E34" s="79"/>
      <c r="F34" s="79"/>
      <c r="G34" s="8">
        <f t="shared" si="4"/>
        <v>0</v>
      </c>
      <c r="H34" s="79">
        <v>0</v>
      </c>
      <c r="I34" s="80">
        <v>0</v>
      </c>
      <c r="J34" s="8">
        <f t="shared" si="5"/>
        <v>0</v>
      </c>
      <c r="K34" s="8">
        <f t="shared" si="6"/>
        <v>0</v>
      </c>
      <c r="L34" s="82">
        <f t="shared" si="7"/>
        <v>0</v>
      </c>
      <c r="M34" s="82">
        <v>0</v>
      </c>
      <c r="N34" s="8"/>
      <c r="O34" s="83"/>
    </row>
    <row r="35" spans="1:15">
      <c r="A35" s="76"/>
      <c r="B35" s="76"/>
      <c r="C35" s="76"/>
      <c r="D35" s="76"/>
      <c r="E35" s="77">
        <f>SUM(E4:E14)</f>
        <v>0</v>
      </c>
      <c r="F35" s="77"/>
      <c r="G35" s="77">
        <f>SUM(G4:G14)</f>
        <v>0</v>
      </c>
      <c r="H35" s="77">
        <f>SUM(H4:H34)</f>
        <v>28.89</v>
      </c>
      <c r="I35" s="77"/>
      <c r="J35" s="77">
        <f>SUM(J4:J34)</f>
        <v>2960.0694000000003</v>
      </c>
      <c r="K35" s="77">
        <f>SUM(K4:K34)</f>
        <v>2960.0694000000003</v>
      </c>
      <c r="L35" s="77">
        <f>SUM(L4:L34)</f>
        <v>2960.0694000000003</v>
      </c>
      <c r="M35" s="77"/>
      <c r="N35" s="77"/>
      <c r="O35" s="73"/>
    </row>
    <row r="36" spans="1:15">
      <c r="A36" s="87"/>
      <c r="B36" s="88"/>
      <c r="C36" s="87"/>
      <c r="D36" s="87"/>
      <c r="E36" s="89"/>
      <c r="F36" s="89"/>
      <c r="G36" s="89"/>
      <c r="H36" s="89"/>
      <c r="I36" s="89"/>
      <c r="J36" s="90"/>
      <c r="K36" s="90"/>
      <c r="L36" s="90"/>
      <c r="M36" s="90"/>
      <c r="N36" s="89"/>
      <c r="O36" s="83"/>
    </row>
    <row r="37" spans="1:15">
      <c r="O37" s="83"/>
    </row>
    <row r="38" spans="1:15">
      <c r="O38" s="83"/>
    </row>
    <row r="39" spans="1:15">
      <c r="O39" s="83"/>
    </row>
    <row r="40" spans="1:15">
      <c r="O40" s="83"/>
    </row>
    <row r="41" spans="1:15">
      <c r="O41" s="83"/>
    </row>
    <row r="42" spans="1:15">
      <c r="A42" s="83"/>
      <c r="B42" s="73"/>
      <c r="C42" s="83"/>
      <c r="D42" s="83"/>
      <c r="E42" s="83"/>
      <c r="F42" s="83"/>
      <c r="G42" s="91"/>
      <c r="H42" s="83"/>
      <c r="I42" s="83"/>
      <c r="J42" s="73"/>
      <c r="K42" s="73"/>
      <c r="L42" s="73"/>
      <c r="M42" s="73"/>
      <c r="N42" s="83"/>
      <c r="O42" s="89"/>
    </row>
    <row r="43" spans="1:15">
      <c r="A43" s="83"/>
      <c r="B43" s="423"/>
      <c r="C43" s="423"/>
      <c r="D43" s="423"/>
      <c r="E43" s="423"/>
      <c r="F43" s="83"/>
      <c r="G43" s="83"/>
      <c r="H43" s="83"/>
      <c r="I43" s="423"/>
      <c r="J43" s="423"/>
      <c r="K43" s="423"/>
      <c r="L43" s="423"/>
      <c r="M43" s="423"/>
      <c r="N43" s="423"/>
      <c r="O43" s="89"/>
    </row>
    <row r="44" spans="1:15">
      <c r="A44" s="83"/>
      <c r="B44" s="73"/>
      <c r="C44" s="83"/>
      <c r="D44" s="83"/>
      <c r="E44" s="83"/>
      <c r="F44" s="83"/>
      <c r="G44" s="83"/>
      <c r="H44" s="83"/>
      <c r="I44" s="83"/>
      <c r="J44" s="73"/>
      <c r="K44" s="73"/>
      <c r="L44" s="73"/>
      <c r="M44" s="73"/>
      <c r="N44" s="83"/>
      <c r="O44" s="89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O44"/>
  <sheetViews>
    <sheetView workbookViewId="0">
      <pane ySplit="2" topLeftCell="A37" activePane="bottomLeft" state="frozen"/>
      <selection pane="bottomLeft" activeCell="U20" sqref="U20"/>
    </sheetView>
  </sheetViews>
  <sheetFormatPr defaultRowHeight="15"/>
  <cols>
    <col min="1" max="1" width="9.140625" style="5"/>
    <col min="2" max="2" width="11.570312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18" bestFit="1" customWidth="1"/>
    <col min="8" max="8" width="11.140625" style="5" customWidth="1"/>
    <col min="9" max="9" width="9.140625" style="5"/>
    <col min="10" max="10" width="10.85546875" style="118" bestFit="1" customWidth="1"/>
    <col min="11" max="11" width="12.85546875" style="5" customWidth="1"/>
    <col min="12" max="12" width="13.5703125" style="118" bestFit="1" customWidth="1"/>
    <col min="13" max="13" width="13.5703125" style="118" customWidth="1"/>
    <col min="14" max="14" width="13.5703125" style="5" bestFit="1" customWidth="1"/>
    <col min="15" max="16384" width="9.140625" style="5"/>
  </cols>
  <sheetData>
    <row r="1" spans="1:14" ht="15.75">
      <c r="A1" s="417" t="s">
        <v>110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</row>
    <row r="2" spans="1:14" ht="18" customHeight="1">
      <c r="A2" s="78" t="s">
        <v>81</v>
      </c>
      <c r="B2" s="98" t="s">
        <v>82</v>
      </c>
      <c r="C2" s="98" t="s">
        <v>83</v>
      </c>
      <c r="D2" s="98" t="s">
        <v>108</v>
      </c>
      <c r="E2" s="98" t="s">
        <v>85</v>
      </c>
      <c r="F2" s="98" t="s">
        <v>86</v>
      </c>
      <c r="G2" s="106" t="s">
        <v>87</v>
      </c>
      <c r="H2" s="98" t="s">
        <v>88</v>
      </c>
      <c r="I2" s="98" t="s">
        <v>86</v>
      </c>
      <c r="J2" s="106" t="s">
        <v>87</v>
      </c>
      <c r="K2" s="78" t="s">
        <v>89</v>
      </c>
      <c r="L2" s="107" t="s">
        <v>90</v>
      </c>
      <c r="M2" s="100" t="s">
        <v>97</v>
      </c>
      <c r="N2" s="98" t="s">
        <v>92</v>
      </c>
    </row>
    <row r="3" spans="1:14" ht="18" customHeight="1">
      <c r="A3" s="428" t="s">
        <v>93</v>
      </c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30"/>
      <c r="M3" s="431">
        <v>0</v>
      </c>
      <c r="N3" s="432"/>
    </row>
    <row r="4" spans="1:14">
      <c r="A4" s="6">
        <v>1</v>
      </c>
      <c r="B4" s="398" t="s">
        <v>111</v>
      </c>
      <c r="C4" s="6"/>
      <c r="D4" s="6"/>
      <c r="E4" s="79">
        <v>36.270000000000003</v>
      </c>
      <c r="F4" s="6">
        <v>89.49</v>
      </c>
      <c r="G4" s="80">
        <f>E4*F4</f>
        <v>3245.8023000000003</v>
      </c>
      <c r="H4" s="79">
        <v>0</v>
      </c>
      <c r="I4" s="6">
        <v>0</v>
      </c>
      <c r="J4" s="80">
        <f>H4*I4</f>
        <v>0</v>
      </c>
      <c r="K4" s="80">
        <f>G4+J4</f>
        <v>3245.8023000000003</v>
      </c>
      <c r="L4" s="80">
        <f>H4+K4</f>
        <v>3245.8023000000003</v>
      </c>
      <c r="M4" s="176">
        <f>M3+K4-L4</f>
        <v>0</v>
      </c>
      <c r="N4" s="56" t="s">
        <v>112</v>
      </c>
    </row>
    <row r="5" spans="1:14">
      <c r="A5" s="6">
        <v>3</v>
      </c>
      <c r="B5" s="398" t="s">
        <v>113</v>
      </c>
      <c r="C5" s="6"/>
      <c r="D5" s="6"/>
      <c r="E5" s="79">
        <v>25</v>
      </c>
      <c r="F5" s="6">
        <v>91.5</v>
      </c>
      <c r="G5" s="80">
        <f t="shared" ref="G5:G43" si="0">E5*F5</f>
        <v>2287.5</v>
      </c>
      <c r="H5" s="79">
        <v>9.68</v>
      </c>
      <c r="I5" s="6">
        <v>103.44</v>
      </c>
      <c r="J5" s="80">
        <f t="shared" ref="J5:J43" si="1">H5*I5</f>
        <v>1001.2991999999999</v>
      </c>
      <c r="K5" s="80">
        <f t="shared" ref="K5:K43" si="2">G5+J5</f>
        <v>3288.7991999999999</v>
      </c>
      <c r="L5" s="190">
        <f t="shared" ref="L5:L43" si="3">+K5</f>
        <v>3288.7991999999999</v>
      </c>
      <c r="M5" s="176">
        <f t="shared" ref="M5:M17" si="4">M4+K5-L5</f>
        <v>0</v>
      </c>
      <c r="N5" s="56" t="s">
        <v>112</v>
      </c>
    </row>
    <row r="6" spans="1:14">
      <c r="A6" s="6">
        <v>4</v>
      </c>
      <c r="B6" s="398" t="s">
        <v>114</v>
      </c>
      <c r="C6" s="6"/>
      <c r="D6" s="6"/>
      <c r="E6" s="79">
        <v>120.74</v>
      </c>
      <c r="F6" s="6">
        <v>91.5</v>
      </c>
      <c r="G6" s="80">
        <f t="shared" si="0"/>
        <v>11047.71</v>
      </c>
      <c r="H6" s="79">
        <v>0</v>
      </c>
      <c r="I6" s="6">
        <v>0</v>
      </c>
      <c r="J6" s="80">
        <f t="shared" si="1"/>
        <v>0</v>
      </c>
      <c r="K6" s="80">
        <f t="shared" si="2"/>
        <v>11047.71</v>
      </c>
      <c r="L6" s="190">
        <f t="shared" si="3"/>
        <v>11047.71</v>
      </c>
      <c r="M6" s="176">
        <f t="shared" si="4"/>
        <v>0</v>
      </c>
      <c r="N6" s="56" t="s">
        <v>112</v>
      </c>
    </row>
    <row r="7" spans="1:14">
      <c r="A7" s="6">
        <v>5</v>
      </c>
      <c r="B7" s="398" t="s">
        <v>115</v>
      </c>
      <c r="C7" s="6"/>
      <c r="D7" s="6"/>
      <c r="E7" s="79">
        <v>39.020000000000003</v>
      </c>
      <c r="F7" s="6">
        <v>91.5</v>
      </c>
      <c r="G7" s="80">
        <f t="shared" si="0"/>
        <v>3570.3300000000004</v>
      </c>
      <c r="H7" s="79">
        <v>0</v>
      </c>
      <c r="I7" s="6">
        <v>0</v>
      </c>
      <c r="J7" s="80">
        <f t="shared" si="1"/>
        <v>0</v>
      </c>
      <c r="K7" s="80">
        <f t="shared" si="2"/>
        <v>3570.3300000000004</v>
      </c>
      <c r="L7" s="190">
        <f t="shared" si="3"/>
        <v>3570.3300000000004</v>
      </c>
      <c r="M7" s="176">
        <f t="shared" si="4"/>
        <v>0</v>
      </c>
      <c r="N7" s="56" t="s">
        <v>112</v>
      </c>
    </row>
    <row r="8" spans="1:14">
      <c r="A8" s="6">
        <v>7</v>
      </c>
      <c r="B8" s="398" t="s">
        <v>116</v>
      </c>
      <c r="C8" s="6"/>
      <c r="D8" s="6"/>
      <c r="E8" s="79">
        <v>0</v>
      </c>
      <c r="F8" s="6">
        <v>0</v>
      </c>
      <c r="G8" s="80">
        <f t="shared" si="0"/>
        <v>0</v>
      </c>
      <c r="H8" s="79">
        <v>4.83</v>
      </c>
      <c r="I8" s="6">
        <v>103.44</v>
      </c>
      <c r="J8" s="80">
        <f t="shared" si="1"/>
        <v>499.61520000000002</v>
      </c>
      <c r="K8" s="80">
        <f t="shared" si="2"/>
        <v>499.61520000000002</v>
      </c>
      <c r="L8" s="190">
        <f t="shared" si="3"/>
        <v>499.61520000000002</v>
      </c>
      <c r="M8" s="176">
        <f t="shared" si="4"/>
        <v>0</v>
      </c>
      <c r="N8" s="56" t="s">
        <v>112</v>
      </c>
    </row>
    <row r="9" spans="1:14">
      <c r="A9" s="6">
        <v>8</v>
      </c>
      <c r="B9" s="398" t="s">
        <v>117</v>
      </c>
      <c r="C9" s="6"/>
      <c r="D9" s="6"/>
      <c r="E9" s="79">
        <v>35.07</v>
      </c>
      <c r="F9" s="6">
        <v>91.5</v>
      </c>
      <c r="G9" s="80">
        <f t="shared" si="0"/>
        <v>3208.9050000000002</v>
      </c>
      <c r="H9" s="79">
        <v>0</v>
      </c>
      <c r="I9" s="6">
        <v>0</v>
      </c>
      <c r="J9" s="80">
        <f t="shared" si="1"/>
        <v>0</v>
      </c>
      <c r="K9" s="80">
        <f t="shared" si="2"/>
        <v>3208.9050000000002</v>
      </c>
      <c r="L9" s="190">
        <f t="shared" si="3"/>
        <v>3208.9050000000002</v>
      </c>
      <c r="M9" s="176">
        <f t="shared" si="4"/>
        <v>0</v>
      </c>
      <c r="N9" s="56" t="s">
        <v>112</v>
      </c>
    </row>
    <row r="10" spans="1:14">
      <c r="A10" s="6">
        <v>9</v>
      </c>
      <c r="B10" s="398" t="s">
        <v>118</v>
      </c>
      <c r="C10" s="6"/>
      <c r="D10" s="6"/>
      <c r="E10" s="79">
        <v>0</v>
      </c>
      <c r="F10" s="6">
        <v>0</v>
      </c>
      <c r="G10" s="80">
        <f t="shared" si="0"/>
        <v>0</v>
      </c>
      <c r="H10" s="79">
        <v>4.83</v>
      </c>
      <c r="I10" s="6">
        <v>103.44</v>
      </c>
      <c r="J10" s="80">
        <f t="shared" si="1"/>
        <v>499.61520000000002</v>
      </c>
      <c r="K10" s="80">
        <f t="shared" si="2"/>
        <v>499.61520000000002</v>
      </c>
      <c r="L10" s="190">
        <f t="shared" si="3"/>
        <v>499.61520000000002</v>
      </c>
      <c r="M10" s="176">
        <f t="shared" si="4"/>
        <v>0</v>
      </c>
      <c r="N10" s="56" t="s">
        <v>112</v>
      </c>
    </row>
    <row r="11" spans="1:14">
      <c r="A11" s="6">
        <v>10</v>
      </c>
      <c r="B11" s="398" t="s">
        <v>119</v>
      </c>
      <c r="C11" s="6"/>
      <c r="D11" s="6"/>
      <c r="E11" s="79">
        <v>0</v>
      </c>
      <c r="F11" s="6">
        <v>0</v>
      </c>
      <c r="G11" s="80">
        <f t="shared" si="0"/>
        <v>0</v>
      </c>
      <c r="H11" s="79">
        <v>0</v>
      </c>
      <c r="I11" s="6">
        <v>0</v>
      </c>
      <c r="J11" s="80">
        <f t="shared" si="1"/>
        <v>0</v>
      </c>
      <c r="K11" s="80">
        <f t="shared" si="2"/>
        <v>0</v>
      </c>
      <c r="L11" s="190">
        <f t="shared" si="3"/>
        <v>0</v>
      </c>
      <c r="M11" s="176">
        <f t="shared" si="4"/>
        <v>0</v>
      </c>
      <c r="N11" s="56" t="s">
        <v>112</v>
      </c>
    </row>
    <row r="12" spans="1:14">
      <c r="A12" s="6">
        <v>11</v>
      </c>
      <c r="B12" s="398" t="s">
        <v>120</v>
      </c>
      <c r="C12" s="6"/>
      <c r="D12" s="6"/>
      <c r="E12" s="79">
        <v>121.32</v>
      </c>
      <c r="F12" s="6">
        <v>91.5</v>
      </c>
      <c r="G12" s="80">
        <f t="shared" si="0"/>
        <v>11100.779999999999</v>
      </c>
      <c r="H12" s="79">
        <v>0</v>
      </c>
      <c r="I12" s="6">
        <v>0</v>
      </c>
      <c r="J12" s="80">
        <f t="shared" si="1"/>
        <v>0</v>
      </c>
      <c r="K12" s="80">
        <f t="shared" si="2"/>
        <v>11100.779999999999</v>
      </c>
      <c r="L12" s="190">
        <f t="shared" si="3"/>
        <v>11100.779999999999</v>
      </c>
      <c r="M12" s="176">
        <f t="shared" si="4"/>
        <v>0</v>
      </c>
      <c r="N12" s="56" t="s">
        <v>112</v>
      </c>
    </row>
    <row r="13" spans="1:14">
      <c r="A13" s="6">
        <v>12</v>
      </c>
      <c r="B13" s="398" t="s">
        <v>121</v>
      </c>
      <c r="C13" s="6"/>
      <c r="D13" s="6"/>
      <c r="E13" s="79">
        <v>121.16</v>
      </c>
      <c r="F13" s="6">
        <v>91.5</v>
      </c>
      <c r="G13" s="80">
        <f t="shared" si="0"/>
        <v>11086.14</v>
      </c>
      <c r="H13" s="79">
        <v>4.83</v>
      </c>
      <c r="I13" s="6">
        <v>103.44</v>
      </c>
      <c r="J13" s="80">
        <f t="shared" si="1"/>
        <v>499.61520000000002</v>
      </c>
      <c r="K13" s="80">
        <f t="shared" si="2"/>
        <v>11585.7552</v>
      </c>
      <c r="L13" s="190">
        <f t="shared" si="3"/>
        <v>11585.7552</v>
      </c>
      <c r="M13" s="176">
        <f t="shared" si="4"/>
        <v>0</v>
      </c>
      <c r="N13" s="56" t="s">
        <v>112</v>
      </c>
    </row>
    <row r="14" spans="1:14">
      <c r="A14" s="6">
        <v>13</v>
      </c>
      <c r="B14" s="398" t="s">
        <v>122</v>
      </c>
      <c r="C14" s="6"/>
      <c r="D14" s="6"/>
      <c r="E14" s="79">
        <v>10</v>
      </c>
      <c r="F14" s="6">
        <v>91.5</v>
      </c>
      <c r="G14" s="80">
        <f t="shared" si="0"/>
        <v>915</v>
      </c>
      <c r="H14" s="79">
        <v>0</v>
      </c>
      <c r="I14" s="6">
        <v>0</v>
      </c>
      <c r="J14" s="80">
        <f t="shared" si="1"/>
        <v>0</v>
      </c>
      <c r="K14" s="80">
        <f t="shared" si="2"/>
        <v>915</v>
      </c>
      <c r="L14" s="190">
        <f t="shared" si="3"/>
        <v>915</v>
      </c>
      <c r="M14" s="176">
        <f t="shared" si="4"/>
        <v>0</v>
      </c>
      <c r="N14" s="56" t="s">
        <v>112</v>
      </c>
    </row>
    <row r="15" spans="1:14">
      <c r="A15" s="6">
        <v>14</v>
      </c>
      <c r="B15" s="398" t="s">
        <v>123</v>
      </c>
      <c r="C15" s="6"/>
      <c r="D15" s="6"/>
      <c r="E15" s="79">
        <v>86.16</v>
      </c>
      <c r="F15" s="6">
        <v>91.5</v>
      </c>
      <c r="G15" s="80">
        <f t="shared" si="0"/>
        <v>7883.6399999999994</v>
      </c>
      <c r="H15" s="79">
        <v>4.83</v>
      </c>
      <c r="I15" s="6">
        <v>103.44</v>
      </c>
      <c r="J15" s="80">
        <f t="shared" si="1"/>
        <v>499.61520000000002</v>
      </c>
      <c r="K15" s="80">
        <f t="shared" si="2"/>
        <v>8383.2551999999996</v>
      </c>
      <c r="L15" s="190">
        <f t="shared" si="3"/>
        <v>8383.2551999999996</v>
      </c>
      <c r="M15" s="176">
        <f t="shared" si="4"/>
        <v>0</v>
      </c>
      <c r="N15" s="56" t="s">
        <v>112</v>
      </c>
    </row>
    <row r="16" spans="1:14">
      <c r="A16" s="6">
        <v>15</v>
      </c>
      <c r="B16" s="398" t="s">
        <v>124</v>
      </c>
      <c r="C16" s="6"/>
      <c r="D16" s="6"/>
      <c r="E16" s="79">
        <v>102</v>
      </c>
      <c r="F16" s="6">
        <v>91.5</v>
      </c>
      <c r="G16" s="80">
        <f t="shared" si="0"/>
        <v>9333</v>
      </c>
      <c r="H16" s="79">
        <v>0</v>
      </c>
      <c r="I16" s="6">
        <v>0</v>
      </c>
      <c r="J16" s="80">
        <f t="shared" si="1"/>
        <v>0</v>
      </c>
      <c r="K16" s="80">
        <f t="shared" si="2"/>
        <v>9333</v>
      </c>
      <c r="L16" s="190">
        <f t="shared" si="3"/>
        <v>9333</v>
      </c>
      <c r="M16" s="176">
        <f t="shared" si="4"/>
        <v>0</v>
      </c>
      <c r="N16" s="56" t="s">
        <v>112</v>
      </c>
    </row>
    <row r="17" spans="1:14">
      <c r="A17" s="6">
        <v>16</v>
      </c>
      <c r="B17" s="398" t="s">
        <v>125</v>
      </c>
      <c r="C17" s="6"/>
      <c r="D17" s="6"/>
      <c r="E17" s="79">
        <v>0</v>
      </c>
      <c r="F17" s="6">
        <v>0</v>
      </c>
      <c r="G17" s="80">
        <f t="shared" si="0"/>
        <v>0</v>
      </c>
      <c r="H17" s="79">
        <v>4.83</v>
      </c>
      <c r="I17" s="6">
        <v>103.44</v>
      </c>
      <c r="J17" s="80">
        <f>H17*I17</f>
        <v>499.61520000000002</v>
      </c>
      <c r="K17" s="80">
        <f>G17+J17</f>
        <v>499.61520000000002</v>
      </c>
      <c r="L17" s="190">
        <f t="shared" si="3"/>
        <v>499.61520000000002</v>
      </c>
      <c r="M17" s="176">
        <f t="shared" si="4"/>
        <v>0</v>
      </c>
      <c r="N17" s="56" t="s">
        <v>112</v>
      </c>
    </row>
    <row r="18" spans="1:14">
      <c r="A18" s="6">
        <v>17</v>
      </c>
      <c r="B18" s="398" t="s">
        <v>126</v>
      </c>
      <c r="C18" s="6"/>
      <c r="D18" s="6"/>
      <c r="E18" s="79">
        <v>92.66</v>
      </c>
      <c r="F18" s="6">
        <v>91.5</v>
      </c>
      <c r="G18" s="80">
        <f t="shared" si="0"/>
        <v>8478.39</v>
      </c>
      <c r="H18" s="79">
        <v>4.7</v>
      </c>
      <c r="I18" s="6">
        <v>103.44</v>
      </c>
      <c r="J18" s="80">
        <f>H18*I18</f>
        <v>486.16800000000001</v>
      </c>
      <c r="K18" s="80">
        <f t="shared" si="2"/>
        <v>8964.5579999999991</v>
      </c>
      <c r="L18" s="190">
        <f t="shared" si="3"/>
        <v>8964.5579999999991</v>
      </c>
      <c r="M18" s="176">
        <v>0</v>
      </c>
      <c r="N18" s="56" t="s">
        <v>112</v>
      </c>
    </row>
    <row r="19" spans="1:14">
      <c r="A19" s="6">
        <v>18</v>
      </c>
      <c r="B19" s="398" t="s">
        <v>127</v>
      </c>
      <c r="C19" s="6"/>
      <c r="D19" s="6"/>
      <c r="E19" s="79">
        <v>86.73</v>
      </c>
      <c r="F19" s="6">
        <v>91.5</v>
      </c>
      <c r="G19" s="80">
        <f t="shared" si="0"/>
        <v>7935.7950000000001</v>
      </c>
      <c r="H19" s="79">
        <v>0</v>
      </c>
      <c r="I19" s="6">
        <v>0</v>
      </c>
      <c r="J19" s="80">
        <f>H19*I19</f>
        <v>0</v>
      </c>
      <c r="K19" s="80">
        <f t="shared" si="2"/>
        <v>7935.7950000000001</v>
      </c>
      <c r="L19" s="190">
        <f t="shared" si="3"/>
        <v>7935.7950000000001</v>
      </c>
      <c r="M19" s="176">
        <v>0</v>
      </c>
      <c r="N19" s="56" t="s">
        <v>112</v>
      </c>
    </row>
    <row r="20" spans="1:14">
      <c r="A20" s="6">
        <v>19</v>
      </c>
      <c r="B20" s="398" t="s">
        <v>128</v>
      </c>
      <c r="C20" s="6"/>
      <c r="D20" s="6"/>
      <c r="E20" s="79">
        <v>44.26</v>
      </c>
      <c r="F20" s="6">
        <v>91.5</v>
      </c>
      <c r="G20" s="80">
        <f t="shared" si="0"/>
        <v>4049.79</v>
      </c>
      <c r="H20" s="79">
        <v>0</v>
      </c>
      <c r="I20" s="6">
        <v>0</v>
      </c>
      <c r="J20" s="80">
        <f>H20*I20</f>
        <v>0</v>
      </c>
      <c r="K20" s="80">
        <f t="shared" si="2"/>
        <v>4049.79</v>
      </c>
      <c r="L20" s="190">
        <f t="shared" si="3"/>
        <v>4049.79</v>
      </c>
      <c r="M20" s="176">
        <v>0</v>
      </c>
      <c r="N20" s="56" t="s">
        <v>112</v>
      </c>
    </row>
    <row r="21" spans="1:14">
      <c r="A21" s="6">
        <v>20</v>
      </c>
      <c r="B21" s="398" t="s">
        <v>129</v>
      </c>
      <c r="C21" s="6"/>
      <c r="D21" s="6"/>
      <c r="E21" s="79">
        <v>94.29</v>
      </c>
      <c r="F21" s="6">
        <v>91.5</v>
      </c>
      <c r="G21" s="80">
        <f t="shared" si="0"/>
        <v>8627.5349999999999</v>
      </c>
      <c r="H21" s="79">
        <v>4.83</v>
      </c>
      <c r="I21" s="6">
        <v>103.44</v>
      </c>
      <c r="J21" s="80">
        <f>H21*I21</f>
        <v>499.61520000000002</v>
      </c>
      <c r="K21" s="80">
        <f t="shared" si="2"/>
        <v>9127.1502</v>
      </c>
      <c r="L21" s="190">
        <f t="shared" si="3"/>
        <v>9127.1502</v>
      </c>
      <c r="M21" s="176">
        <v>0</v>
      </c>
      <c r="N21" s="56" t="s">
        <v>112</v>
      </c>
    </row>
    <row r="22" spans="1:14">
      <c r="A22" s="6">
        <v>21</v>
      </c>
      <c r="B22" s="398" t="s">
        <v>130</v>
      </c>
      <c r="C22" s="6"/>
      <c r="D22" s="6"/>
      <c r="E22" s="79">
        <v>0</v>
      </c>
      <c r="F22" s="6">
        <v>0</v>
      </c>
      <c r="G22" s="80">
        <f t="shared" si="0"/>
        <v>0</v>
      </c>
      <c r="H22" s="79">
        <v>8.83</v>
      </c>
      <c r="I22" s="6">
        <v>103.44</v>
      </c>
      <c r="J22" s="80">
        <f>H22*I22</f>
        <v>913.37519999999995</v>
      </c>
      <c r="K22" s="80">
        <f t="shared" si="2"/>
        <v>913.37519999999995</v>
      </c>
      <c r="L22" s="190">
        <f t="shared" si="3"/>
        <v>913.37519999999995</v>
      </c>
      <c r="M22" s="176">
        <v>0</v>
      </c>
      <c r="N22" s="56" t="s">
        <v>112</v>
      </c>
    </row>
    <row r="23" spans="1:14">
      <c r="A23" s="6">
        <v>22</v>
      </c>
      <c r="B23" s="398" t="s">
        <v>131</v>
      </c>
      <c r="C23" s="6"/>
      <c r="D23" s="6"/>
      <c r="E23" s="79">
        <v>0</v>
      </c>
      <c r="F23" s="6">
        <v>0</v>
      </c>
      <c r="G23" s="80">
        <f t="shared" si="0"/>
        <v>0</v>
      </c>
      <c r="H23" s="79">
        <v>31.41</v>
      </c>
      <c r="I23" s="6">
        <v>103.44</v>
      </c>
      <c r="J23" s="80">
        <f>H23*I23</f>
        <v>3249.0504000000001</v>
      </c>
      <c r="K23" s="80">
        <f t="shared" si="2"/>
        <v>3249.0504000000001</v>
      </c>
      <c r="L23" s="190">
        <f t="shared" si="3"/>
        <v>3249.0504000000001</v>
      </c>
      <c r="M23" s="176">
        <v>0</v>
      </c>
      <c r="N23" s="56" t="s">
        <v>112</v>
      </c>
    </row>
    <row r="24" spans="1:14">
      <c r="A24" s="6">
        <v>23</v>
      </c>
      <c r="B24" s="398" t="s">
        <v>132</v>
      </c>
      <c r="C24" s="6"/>
      <c r="D24" s="6"/>
      <c r="E24" s="79">
        <v>30</v>
      </c>
      <c r="F24" s="6">
        <v>91.5</v>
      </c>
      <c r="G24" s="80">
        <f t="shared" si="0"/>
        <v>2745</v>
      </c>
      <c r="H24" s="79">
        <v>0</v>
      </c>
      <c r="I24" s="6">
        <v>0</v>
      </c>
      <c r="J24" s="80">
        <f>H24*I24</f>
        <v>0</v>
      </c>
      <c r="K24" s="80">
        <f t="shared" si="2"/>
        <v>2745</v>
      </c>
      <c r="L24" s="190">
        <f t="shared" si="3"/>
        <v>2745</v>
      </c>
      <c r="M24" s="176">
        <v>0</v>
      </c>
      <c r="N24" s="56" t="s">
        <v>112</v>
      </c>
    </row>
    <row r="25" spans="1:14">
      <c r="A25" s="6">
        <v>24</v>
      </c>
      <c r="B25" s="398" t="s">
        <v>133</v>
      </c>
      <c r="C25" s="6"/>
      <c r="D25" s="6"/>
      <c r="E25" s="79">
        <v>62.98</v>
      </c>
      <c r="F25" s="6">
        <v>91.5</v>
      </c>
      <c r="G25" s="80">
        <f t="shared" si="0"/>
        <v>5762.67</v>
      </c>
      <c r="H25" s="79">
        <v>0</v>
      </c>
      <c r="I25" s="6">
        <v>0</v>
      </c>
      <c r="J25" s="80">
        <f>H25*I25</f>
        <v>0</v>
      </c>
      <c r="K25" s="80">
        <f t="shared" si="2"/>
        <v>5762.67</v>
      </c>
      <c r="L25" s="190">
        <f t="shared" si="3"/>
        <v>5762.67</v>
      </c>
      <c r="M25" s="176">
        <v>0</v>
      </c>
      <c r="N25" s="56" t="s">
        <v>112</v>
      </c>
    </row>
    <row r="26" spans="1:14">
      <c r="A26" s="6">
        <v>25</v>
      </c>
      <c r="B26" s="93"/>
      <c r="C26" s="6"/>
      <c r="D26" s="6"/>
      <c r="E26" s="79">
        <v>0</v>
      </c>
      <c r="F26" s="6">
        <v>0</v>
      </c>
      <c r="G26" s="80">
        <f t="shared" si="0"/>
        <v>0</v>
      </c>
      <c r="H26" s="79">
        <v>0</v>
      </c>
      <c r="I26" s="6">
        <v>0</v>
      </c>
      <c r="J26" s="80">
        <f>H26*I26</f>
        <v>0</v>
      </c>
      <c r="K26" s="80">
        <f t="shared" si="2"/>
        <v>0</v>
      </c>
      <c r="L26" s="190">
        <f t="shared" si="3"/>
        <v>0</v>
      </c>
      <c r="M26" s="176">
        <v>0</v>
      </c>
      <c r="N26" s="56" t="s">
        <v>112</v>
      </c>
    </row>
    <row r="27" spans="1:14">
      <c r="A27" s="6">
        <v>26</v>
      </c>
      <c r="B27" s="93"/>
      <c r="C27" s="6"/>
      <c r="D27" s="6"/>
      <c r="E27" s="79">
        <v>0</v>
      </c>
      <c r="F27" s="6">
        <v>0</v>
      </c>
      <c r="G27" s="80">
        <f t="shared" si="0"/>
        <v>0</v>
      </c>
      <c r="H27" s="79">
        <v>0</v>
      </c>
      <c r="I27" s="6">
        <v>0</v>
      </c>
      <c r="J27" s="80">
        <f>H27*I27</f>
        <v>0</v>
      </c>
      <c r="K27" s="80">
        <f t="shared" si="2"/>
        <v>0</v>
      </c>
      <c r="L27" s="190">
        <f t="shared" si="3"/>
        <v>0</v>
      </c>
      <c r="M27" s="176">
        <v>0</v>
      </c>
      <c r="N27" s="56" t="s">
        <v>112</v>
      </c>
    </row>
    <row r="28" spans="1:14">
      <c r="A28" s="6">
        <v>27</v>
      </c>
      <c r="B28" s="93"/>
      <c r="C28" s="6"/>
      <c r="D28" s="6"/>
      <c r="E28" s="79">
        <v>0</v>
      </c>
      <c r="F28" s="6">
        <v>0</v>
      </c>
      <c r="G28" s="80">
        <f t="shared" si="0"/>
        <v>0</v>
      </c>
      <c r="H28" s="79">
        <v>0</v>
      </c>
      <c r="I28" s="6">
        <v>0</v>
      </c>
      <c r="J28" s="80">
        <f>H28*I28</f>
        <v>0</v>
      </c>
      <c r="K28" s="80">
        <f t="shared" si="2"/>
        <v>0</v>
      </c>
      <c r="L28" s="190">
        <f t="shared" si="3"/>
        <v>0</v>
      </c>
      <c r="M28" s="176">
        <v>0</v>
      </c>
      <c r="N28" s="56" t="s">
        <v>112</v>
      </c>
    </row>
    <row r="29" spans="1:14">
      <c r="A29" s="6">
        <v>28</v>
      </c>
      <c r="B29" s="93"/>
      <c r="C29" s="6"/>
      <c r="D29" s="6"/>
      <c r="E29" s="79">
        <v>0</v>
      </c>
      <c r="F29" s="6">
        <v>0</v>
      </c>
      <c r="G29" s="80">
        <f t="shared" si="0"/>
        <v>0</v>
      </c>
      <c r="H29" s="79">
        <v>0</v>
      </c>
      <c r="I29" s="6">
        <v>0</v>
      </c>
      <c r="J29" s="80">
        <f>H29*I29</f>
        <v>0</v>
      </c>
      <c r="K29" s="80">
        <f t="shared" si="2"/>
        <v>0</v>
      </c>
      <c r="L29" s="190">
        <f t="shared" si="3"/>
        <v>0</v>
      </c>
      <c r="M29" s="176">
        <v>0</v>
      </c>
      <c r="N29" s="56" t="s">
        <v>112</v>
      </c>
    </row>
    <row r="30" spans="1:14">
      <c r="A30" s="6">
        <v>29</v>
      </c>
      <c r="B30" s="93"/>
      <c r="C30" s="6"/>
      <c r="D30" s="6"/>
      <c r="E30" s="79">
        <v>0</v>
      </c>
      <c r="F30" s="6">
        <v>0</v>
      </c>
      <c r="G30" s="80">
        <f t="shared" si="0"/>
        <v>0</v>
      </c>
      <c r="H30" s="79">
        <v>0</v>
      </c>
      <c r="I30" s="6">
        <v>0</v>
      </c>
      <c r="J30" s="80">
        <f>H30*I30</f>
        <v>0</v>
      </c>
      <c r="K30" s="80">
        <f t="shared" si="2"/>
        <v>0</v>
      </c>
      <c r="L30" s="190">
        <f t="shared" si="3"/>
        <v>0</v>
      </c>
      <c r="M30" s="176">
        <v>0</v>
      </c>
      <c r="N30" s="56" t="s">
        <v>112</v>
      </c>
    </row>
    <row r="31" spans="1:14">
      <c r="A31" s="6">
        <v>30</v>
      </c>
      <c r="B31" s="93"/>
      <c r="C31" s="6"/>
      <c r="D31" s="6"/>
      <c r="E31" s="79">
        <v>0</v>
      </c>
      <c r="F31" s="6">
        <v>0</v>
      </c>
      <c r="G31" s="80">
        <f t="shared" si="0"/>
        <v>0</v>
      </c>
      <c r="H31" s="79">
        <v>0</v>
      </c>
      <c r="I31" s="6">
        <v>0</v>
      </c>
      <c r="J31" s="80">
        <f>H31*I31</f>
        <v>0</v>
      </c>
      <c r="K31" s="80">
        <f t="shared" si="2"/>
        <v>0</v>
      </c>
      <c r="L31" s="190">
        <f t="shared" si="3"/>
        <v>0</v>
      </c>
      <c r="M31" s="176">
        <v>0</v>
      </c>
      <c r="N31" s="56" t="s">
        <v>112</v>
      </c>
    </row>
    <row r="32" spans="1:14">
      <c r="A32" s="6">
        <v>31</v>
      </c>
      <c r="B32" s="93"/>
      <c r="C32" s="6"/>
      <c r="D32" s="6"/>
      <c r="E32" s="79">
        <v>0</v>
      </c>
      <c r="F32" s="6">
        <v>0</v>
      </c>
      <c r="G32" s="80">
        <f t="shared" si="0"/>
        <v>0</v>
      </c>
      <c r="H32" s="79">
        <v>0</v>
      </c>
      <c r="I32" s="6">
        <v>0</v>
      </c>
      <c r="J32" s="80">
        <f>H32*I32</f>
        <v>0</v>
      </c>
      <c r="K32" s="80">
        <f t="shared" si="2"/>
        <v>0</v>
      </c>
      <c r="L32" s="190">
        <f t="shared" si="3"/>
        <v>0</v>
      </c>
      <c r="M32" s="176">
        <v>0</v>
      </c>
      <c r="N32" s="56" t="s">
        <v>112</v>
      </c>
    </row>
    <row r="33" spans="1:15">
      <c r="A33" s="6">
        <v>32</v>
      </c>
      <c r="B33" s="93"/>
      <c r="C33" s="6"/>
      <c r="D33" s="6"/>
      <c r="E33" s="79">
        <v>0</v>
      </c>
      <c r="F33" s="6">
        <v>0</v>
      </c>
      <c r="G33" s="80">
        <f t="shared" si="0"/>
        <v>0</v>
      </c>
      <c r="H33" s="79">
        <v>0</v>
      </c>
      <c r="I33" s="6">
        <v>0</v>
      </c>
      <c r="J33" s="80">
        <f>H33*I33</f>
        <v>0</v>
      </c>
      <c r="K33" s="80">
        <f t="shared" si="2"/>
        <v>0</v>
      </c>
      <c r="L33" s="190">
        <f t="shared" si="3"/>
        <v>0</v>
      </c>
      <c r="M33" s="176">
        <v>0</v>
      </c>
      <c r="N33" s="56" t="s">
        <v>112</v>
      </c>
    </row>
    <row r="34" spans="1:15">
      <c r="A34" s="6">
        <v>33</v>
      </c>
      <c r="B34" s="93"/>
      <c r="C34" s="6"/>
      <c r="D34" s="6"/>
      <c r="E34" s="79">
        <v>0</v>
      </c>
      <c r="F34" s="6">
        <v>0</v>
      </c>
      <c r="G34" s="80">
        <f t="shared" si="0"/>
        <v>0</v>
      </c>
      <c r="H34" s="79">
        <v>0</v>
      </c>
      <c r="I34" s="6">
        <v>0</v>
      </c>
      <c r="J34" s="80">
        <f>H34*I34</f>
        <v>0</v>
      </c>
      <c r="K34" s="80">
        <f t="shared" si="2"/>
        <v>0</v>
      </c>
      <c r="L34" s="190">
        <f t="shared" si="3"/>
        <v>0</v>
      </c>
      <c r="M34" s="176">
        <v>0</v>
      </c>
      <c r="N34" s="56" t="s">
        <v>112</v>
      </c>
    </row>
    <row r="35" spans="1:15">
      <c r="A35" s="6">
        <v>34</v>
      </c>
      <c r="B35" s="93"/>
      <c r="C35" s="6"/>
      <c r="D35" s="6"/>
      <c r="E35" s="79">
        <v>0</v>
      </c>
      <c r="F35" s="6">
        <v>0</v>
      </c>
      <c r="G35" s="80">
        <f t="shared" si="0"/>
        <v>0</v>
      </c>
      <c r="H35" s="79">
        <v>0</v>
      </c>
      <c r="I35" s="6">
        <v>0</v>
      </c>
      <c r="J35" s="80">
        <f>H35*I35</f>
        <v>0</v>
      </c>
      <c r="K35" s="80">
        <f t="shared" si="2"/>
        <v>0</v>
      </c>
      <c r="L35" s="190">
        <f t="shared" si="3"/>
        <v>0</v>
      </c>
      <c r="M35" s="176">
        <v>0</v>
      </c>
      <c r="N35" s="56" t="s">
        <v>112</v>
      </c>
    </row>
    <row r="36" spans="1:15">
      <c r="A36" s="6">
        <v>35</v>
      </c>
      <c r="B36" s="93"/>
      <c r="C36" s="6"/>
      <c r="D36" s="6"/>
      <c r="E36" s="79">
        <v>0</v>
      </c>
      <c r="F36" s="6">
        <v>0</v>
      </c>
      <c r="G36" s="80">
        <f t="shared" si="0"/>
        <v>0</v>
      </c>
      <c r="H36" s="79">
        <v>0</v>
      </c>
      <c r="I36" s="6">
        <v>0</v>
      </c>
      <c r="J36" s="80">
        <f>H36*I36</f>
        <v>0</v>
      </c>
      <c r="K36" s="80">
        <f t="shared" si="2"/>
        <v>0</v>
      </c>
      <c r="L36" s="190">
        <f t="shared" si="3"/>
        <v>0</v>
      </c>
      <c r="M36" s="176">
        <v>0</v>
      </c>
      <c r="N36" s="56" t="s">
        <v>112</v>
      </c>
    </row>
    <row r="37" spans="1:15">
      <c r="A37" s="6">
        <v>36</v>
      </c>
      <c r="B37" s="93"/>
      <c r="C37" s="6"/>
      <c r="D37" s="6"/>
      <c r="E37" s="79">
        <v>0</v>
      </c>
      <c r="F37" s="6">
        <v>0</v>
      </c>
      <c r="G37" s="80">
        <f t="shared" si="0"/>
        <v>0</v>
      </c>
      <c r="H37" s="79">
        <v>0</v>
      </c>
      <c r="I37" s="6">
        <v>0</v>
      </c>
      <c r="J37" s="80">
        <f>H37*I37</f>
        <v>0</v>
      </c>
      <c r="K37" s="80">
        <f t="shared" si="2"/>
        <v>0</v>
      </c>
      <c r="L37" s="190">
        <f t="shared" si="3"/>
        <v>0</v>
      </c>
      <c r="M37" s="176">
        <v>0</v>
      </c>
      <c r="N37" s="56" t="s">
        <v>112</v>
      </c>
    </row>
    <row r="38" spans="1:15">
      <c r="A38" s="6">
        <v>37</v>
      </c>
      <c r="B38" s="93"/>
      <c r="C38" s="6"/>
      <c r="D38" s="6"/>
      <c r="E38" s="79">
        <v>0</v>
      </c>
      <c r="F38" s="6">
        <v>0</v>
      </c>
      <c r="G38" s="80">
        <f t="shared" si="0"/>
        <v>0</v>
      </c>
      <c r="H38" s="79">
        <v>0</v>
      </c>
      <c r="I38" s="6">
        <v>0</v>
      </c>
      <c r="J38" s="80">
        <f>H38*I38</f>
        <v>0</v>
      </c>
      <c r="K38" s="80">
        <f t="shared" si="2"/>
        <v>0</v>
      </c>
      <c r="L38" s="190">
        <f t="shared" si="3"/>
        <v>0</v>
      </c>
      <c r="M38" s="176">
        <v>0</v>
      </c>
      <c r="N38" s="56" t="s">
        <v>112</v>
      </c>
    </row>
    <row r="39" spans="1:15">
      <c r="A39" s="6">
        <v>38</v>
      </c>
      <c r="B39" s="93"/>
      <c r="C39" s="6"/>
      <c r="D39" s="6"/>
      <c r="E39" s="79">
        <v>0</v>
      </c>
      <c r="F39" s="6">
        <v>0</v>
      </c>
      <c r="G39" s="80">
        <f t="shared" si="0"/>
        <v>0</v>
      </c>
      <c r="H39" s="79">
        <v>0</v>
      </c>
      <c r="I39" s="6">
        <v>0</v>
      </c>
      <c r="J39" s="80">
        <f>H39*I39</f>
        <v>0</v>
      </c>
      <c r="K39" s="80">
        <f t="shared" si="2"/>
        <v>0</v>
      </c>
      <c r="L39" s="190">
        <f t="shared" si="3"/>
        <v>0</v>
      </c>
      <c r="M39" s="176">
        <v>0</v>
      </c>
      <c r="N39" s="56" t="s">
        <v>112</v>
      </c>
    </row>
    <row r="40" spans="1:15">
      <c r="A40" s="200">
        <v>39</v>
      </c>
      <c r="B40" s="201"/>
      <c r="C40" s="200"/>
      <c r="D40" s="6"/>
      <c r="E40" s="79">
        <v>0</v>
      </c>
      <c r="F40" s="6">
        <v>0</v>
      </c>
      <c r="G40" s="80">
        <f t="shared" si="0"/>
        <v>0</v>
      </c>
      <c r="H40" s="79">
        <v>0</v>
      </c>
      <c r="I40" s="6">
        <v>0</v>
      </c>
      <c r="J40" s="80">
        <f>H40*I40</f>
        <v>0</v>
      </c>
      <c r="K40" s="80">
        <f t="shared" si="2"/>
        <v>0</v>
      </c>
      <c r="L40" s="190">
        <f t="shared" si="3"/>
        <v>0</v>
      </c>
      <c r="M40" s="176">
        <v>0</v>
      </c>
      <c r="N40" s="56" t="s">
        <v>112</v>
      </c>
    </row>
    <row r="41" spans="1:15">
      <c r="A41" s="6">
        <v>40</v>
      </c>
      <c r="B41" s="6"/>
      <c r="C41" s="6"/>
      <c r="D41" s="6"/>
      <c r="E41" s="79">
        <v>0</v>
      </c>
      <c r="F41" s="6">
        <v>0</v>
      </c>
      <c r="G41" s="80">
        <f t="shared" si="0"/>
        <v>0</v>
      </c>
      <c r="H41" s="79">
        <v>0</v>
      </c>
      <c r="I41" s="6">
        <v>0</v>
      </c>
      <c r="J41" s="80">
        <f>H41*I41</f>
        <v>0</v>
      </c>
      <c r="K41" s="80">
        <f t="shared" si="2"/>
        <v>0</v>
      </c>
      <c r="L41" s="190">
        <f t="shared" si="3"/>
        <v>0</v>
      </c>
      <c r="M41" s="176">
        <v>0</v>
      </c>
      <c r="N41" s="56" t="s">
        <v>112</v>
      </c>
    </row>
    <row r="42" spans="1:15">
      <c r="A42" s="200">
        <v>41</v>
      </c>
      <c r="B42" s="200"/>
      <c r="C42" s="200"/>
      <c r="D42" s="6"/>
      <c r="E42" s="79">
        <v>0</v>
      </c>
      <c r="F42" s="6">
        <v>0</v>
      </c>
      <c r="G42" s="80">
        <f t="shared" si="0"/>
        <v>0</v>
      </c>
      <c r="H42" s="79">
        <v>0</v>
      </c>
      <c r="I42" s="6">
        <v>0</v>
      </c>
      <c r="J42" s="80">
        <f>H42*I42</f>
        <v>0</v>
      </c>
      <c r="K42" s="80">
        <f t="shared" si="2"/>
        <v>0</v>
      </c>
      <c r="L42" s="190">
        <f t="shared" si="3"/>
        <v>0</v>
      </c>
      <c r="M42" s="176">
        <v>0</v>
      </c>
      <c r="N42" s="56" t="s">
        <v>112</v>
      </c>
    </row>
    <row r="43" spans="1:15">
      <c r="A43" s="200">
        <v>42</v>
      </c>
      <c r="B43" s="200"/>
      <c r="C43" s="200"/>
      <c r="D43" s="6"/>
      <c r="E43" s="79">
        <v>0</v>
      </c>
      <c r="F43" s="6">
        <v>0</v>
      </c>
      <c r="G43" s="80">
        <f t="shared" si="0"/>
        <v>0</v>
      </c>
      <c r="H43" s="79">
        <v>0</v>
      </c>
      <c r="I43" s="6">
        <v>0</v>
      </c>
      <c r="J43" s="80">
        <f>H43*I43</f>
        <v>0</v>
      </c>
      <c r="K43" s="80">
        <f t="shared" si="2"/>
        <v>0</v>
      </c>
      <c r="L43" s="190">
        <f t="shared" si="3"/>
        <v>0</v>
      </c>
      <c r="M43" s="176">
        <v>0</v>
      </c>
      <c r="N43" s="56" t="s">
        <v>112</v>
      </c>
    </row>
    <row r="44" spans="1:15">
      <c r="A44" s="76"/>
      <c r="B44" s="76"/>
      <c r="C44" s="76"/>
      <c r="D44" s="76"/>
      <c r="E44" s="77">
        <f>SUM(E4:E43)</f>
        <v>1107.6599999999999</v>
      </c>
      <c r="F44" s="77"/>
      <c r="G44" s="77">
        <f>SUM(G4:G43)</f>
        <v>101277.98729999999</v>
      </c>
      <c r="H44" s="77">
        <f>SUM(H4:H43)</f>
        <v>83.6</v>
      </c>
      <c r="I44" s="77"/>
      <c r="J44" s="77">
        <f>SUM(J4:J43)</f>
        <v>8647.5840000000007</v>
      </c>
      <c r="K44" s="77">
        <f>SUM(K4:K43)</f>
        <v>109925.5713</v>
      </c>
      <c r="L44" s="77">
        <f>SUM(L4:L43)</f>
        <v>109925.5713</v>
      </c>
      <c r="M44" s="77"/>
      <c r="N44" s="77"/>
      <c r="O44" s="73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Q36"/>
  <sheetViews>
    <sheetView workbookViewId="0">
      <pane ySplit="2" topLeftCell="A28" activePane="bottomLeft" state="frozen"/>
      <selection pane="bottomLeft" activeCell="R24" sqref="R24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8" style="5" bestFit="1" customWidth="1"/>
    <col min="10" max="10" width="9.71093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7" ht="15.75">
      <c r="A1" s="401" t="s">
        <v>71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66"/>
    </row>
    <row r="2" spans="1:17">
      <c r="A2" s="114" t="s">
        <v>81</v>
      </c>
      <c r="B2" s="115" t="s">
        <v>82</v>
      </c>
      <c r="C2" s="115" t="s">
        <v>83</v>
      </c>
      <c r="D2" s="115" t="s">
        <v>108</v>
      </c>
      <c r="E2" s="115" t="s">
        <v>85</v>
      </c>
      <c r="F2" s="115" t="s">
        <v>86</v>
      </c>
      <c r="G2" s="115" t="s">
        <v>87</v>
      </c>
      <c r="H2" s="115" t="s">
        <v>88</v>
      </c>
      <c r="I2" s="115" t="s">
        <v>86</v>
      </c>
      <c r="J2" s="159" t="s">
        <v>87</v>
      </c>
      <c r="K2" s="116" t="s">
        <v>89</v>
      </c>
      <c r="L2" s="160" t="s">
        <v>90</v>
      </c>
      <c r="M2" s="165" t="s">
        <v>97</v>
      </c>
      <c r="N2" s="117" t="s">
        <v>92</v>
      </c>
      <c r="O2" s="73"/>
    </row>
    <row r="3" spans="1:17">
      <c r="A3" s="183"/>
      <c r="B3" s="19" t="s">
        <v>93</v>
      </c>
      <c r="C3" s="184"/>
      <c r="D3" s="184"/>
      <c r="E3" s="184"/>
      <c r="F3" s="184"/>
      <c r="G3" s="184"/>
      <c r="H3" s="184"/>
      <c r="I3" s="184"/>
      <c r="J3" s="185"/>
      <c r="K3" s="263">
        <v>10504.914400000018</v>
      </c>
      <c r="L3" s="186"/>
      <c r="M3" s="95">
        <f>+K3</f>
        <v>10504.914400000018</v>
      </c>
      <c r="N3" s="184"/>
      <c r="O3" s="73">
        <v>237866.59349999996</v>
      </c>
    </row>
    <row r="4" spans="1:17">
      <c r="A4" s="245">
        <v>1</v>
      </c>
      <c r="B4" s="284">
        <v>45748</v>
      </c>
      <c r="C4" s="81"/>
      <c r="D4" s="187"/>
      <c r="E4" s="79">
        <v>30</v>
      </c>
      <c r="F4" s="6">
        <v>89.23</v>
      </c>
      <c r="G4" s="8">
        <f>E4*F4</f>
        <v>2676.9</v>
      </c>
      <c r="H4" s="79">
        <v>6.11</v>
      </c>
      <c r="I4" s="6">
        <v>103.16</v>
      </c>
      <c r="J4" s="8">
        <f>H4*I4</f>
        <v>630.30759999999998</v>
      </c>
      <c r="K4" s="8">
        <f>G4+J4</f>
        <v>3307.2076000000002</v>
      </c>
      <c r="L4" s="82"/>
      <c r="M4" s="82">
        <f>M3+K4-L4</f>
        <v>13812.122000000018</v>
      </c>
      <c r="N4" s="48"/>
      <c r="O4" s="83"/>
    </row>
    <row r="5" spans="1:17">
      <c r="A5" s="56">
        <v>2</v>
      </c>
      <c r="B5" s="284">
        <v>45749</v>
      </c>
      <c r="C5" s="81"/>
      <c r="D5" s="85"/>
      <c r="E5" s="79">
        <v>189.74</v>
      </c>
      <c r="F5" s="6">
        <v>91.23</v>
      </c>
      <c r="G5" s="8">
        <f t="shared" ref="G5:G34" si="0">E5*F5</f>
        <v>17309.980200000002</v>
      </c>
      <c r="H5" s="79">
        <v>5</v>
      </c>
      <c r="I5" s="6">
        <v>103.16</v>
      </c>
      <c r="J5" s="8">
        <f t="shared" ref="J5:J34" si="1">H5*I5</f>
        <v>515.79999999999995</v>
      </c>
      <c r="K5" s="8">
        <f t="shared" ref="K5:K34" si="2">G5+J5</f>
        <v>17825.780200000001</v>
      </c>
      <c r="L5" s="82"/>
      <c r="M5" s="82">
        <f t="shared" ref="M5:M19" si="3">M4+K5-L5</f>
        <v>31637.902200000019</v>
      </c>
      <c r="N5" s="48"/>
      <c r="O5" s="83"/>
    </row>
    <row r="6" spans="1:17">
      <c r="A6" s="56">
        <v>3</v>
      </c>
      <c r="B6" s="284">
        <v>45750</v>
      </c>
      <c r="C6" s="81"/>
      <c r="D6" s="85"/>
      <c r="E6" s="79">
        <v>5</v>
      </c>
      <c r="F6" s="6">
        <v>91.23</v>
      </c>
      <c r="G6" s="8">
        <f t="shared" si="0"/>
        <v>456.15000000000003</v>
      </c>
      <c r="H6" s="79">
        <v>0</v>
      </c>
      <c r="I6" s="6">
        <v>0</v>
      </c>
      <c r="J6" s="8">
        <f t="shared" si="1"/>
        <v>0</v>
      </c>
      <c r="K6" s="8">
        <f t="shared" si="2"/>
        <v>456.15000000000003</v>
      </c>
      <c r="L6" s="82"/>
      <c r="M6" s="82">
        <f t="shared" si="3"/>
        <v>32094.05220000002</v>
      </c>
      <c r="N6" s="48"/>
      <c r="O6" s="83"/>
    </row>
    <row r="7" spans="1:17">
      <c r="A7" s="56">
        <v>4</v>
      </c>
      <c r="B7" s="284">
        <v>45751</v>
      </c>
      <c r="C7" s="81"/>
      <c r="D7" s="85"/>
      <c r="E7" s="79">
        <v>5</v>
      </c>
      <c r="F7" s="6">
        <v>91.23</v>
      </c>
      <c r="G7" s="8">
        <f t="shared" si="0"/>
        <v>456.15000000000003</v>
      </c>
      <c r="H7" s="79">
        <v>0</v>
      </c>
      <c r="I7" s="6">
        <v>0</v>
      </c>
      <c r="J7" s="8">
        <f t="shared" si="1"/>
        <v>0</v>
      </c>
      <c r="K7" s="8">
        <f t="shared" si="2"/>
        <v>456.15000000000003</v>
      </c>
      <c r="L7" s="82"/>
      <c r="M7" s="82">
        <f t="shared" si="3"/>
        <v>32550.202200000022</v>
      </c>
      <c r="N7" s="48"/>
      <c r="O7" s="83"/>
    </row>
    <row r="8" spans="1:17">
      <c r="A8" s="56">
        <v>5</v>
      </c>
      <c r="B8" s="284">
        <v>45752</v>
      </c>
      <c r="C8" s="81"/>
      <c r="D8" s="85"/>
      <c r="E8" s="79">
        <v>204</v>
      </c>
      <c r="F8" s="6">
        <v>91.23</v>
      </c>
      <c r="G8" s="8">
        <f t="shared" si="0"/>
        <v>18610.920000000002</v>
      </c>
      <c r="H8" s="79">
        <v>4.8499999999999996</v>
      </c>
      <c r="I8" s="6">
        <v>103.16</v>
      </c>
      <c r="J8" s="8">
        <f t="shared" si="1"/>
        <v>500.32599999999996</v>
      </c>
      <c r="K8" s="8">
        <f t="shared" si="2"/>
        <v>19111.246000000003</v>
      </c>
      <c r="L8" s="82"/>
      <c r="M8" s="82">
        <f t="shared" si="3"/>
        <v>51661.448200000028</v>
      </c>
      <c r="N8" s="48"/>
      <c r="O8" s="83"/>
      <c r="Q8" s="5">
        <v>96.71</v>
      </c>
    </row>
    <row r="9" spans="1:17">
      <c r="A9" s="56">
        <v>6</v>
      </c>
      <c r="B9" s="284">
        <v>45753</v>
      </c>
      <c r="C9" s="81"/>
      <c r="D9" s="85"/>
      <c r="E9" s="79">
        <v>0</v>
      </c>
      <c r="F9" s="6">
        <v>0</v>
      </c>
      <c r="G9" s="8">
        <f t="shared" si="0"/>
        <v>0</v>
      </c>
      <c r="H9" s="79">
        <v>0</v>
      </c>
      <c r="I9" s="6">
        <v>0</v>
      </c>
      <c r="J9" s="8">
        <f t="shared" si="1"/>
        <v>0</v>
      </c>
      <c r="K9" s="8">
        <f t="shared" si="2"/>
        <v>0</v>
      </c>
      <c r="L9" s="82"/>
      <c r="M9" s="82">
        <f t="shared" si="3"/>
        <v>51661.448200000028</v>
      </c>
      <c r="N9" s="48"/>
      <c r="O9" s="83"/>
      <c r="Q9" s="5">
        <v>102</v>
      </c>
    </row>
    <row r="10" spans="1:17">
      <c r="A10" s="56">
        <v>7</v>
      </c>
      <c r="B10" s="284">
        <v>45754</v>
      </c>
      <c r="C10" s="81"/>
      <c r="D10" s="85"/>
      <c r="E10" s="79">
        <v>102.82</v>
      </c>
      <c r="F10" s="6">
        <v>91.23</v>
      </c>
      <c r="G10" s="8">
        <f t="shared" si="0"/>
        <v>9380.2685999999994</v>
      </c>
      <c r="H10" s="79">
        <v>0</v>
      </c>
      <c r="I10" s="6">
        <v>0</v>
      </c>
      <c r="J10" s="8">
        <f t="shared" si="1"/>
        <v>0</v>
      </c>
      <c r="K10" s="8">
        <f t="shared" si="2"/>
        <v>9380.2685999999994</v>
      </c>
      <c r="L10" s="82"/>
      <c r="M10" s="82">
        <f t="shared" si="3"/>
        <v>61041.716800000024</v>
      </c>
      <c r="N10" s="48"/>
      <c r="O10" s="83"/>
      <c r="Q10" s="5">
        <v>80.44</v>
      </c>
    </row>
    <row r="11" spans="1:17">
      <c r="A11" s="56">
        <v>8</v>
      </c>
      <c r="B11" s="284">
        <v>45755</v>
      </c>
      <c r="C11" s="81"/>
      <c r="D11" s="85"/>
      <c r="E11" s="79">
        <v>5</v>
      </c>
      <c r="F11" s="6">
        <v>91.23</v>
      </c>
      <c r="G11" s="8">
        <f t="shared" si="0"/>
        <v>456.15000000000003</v>
      </c>
      <c r="H11" s="79">
        <v>6.98</v>
      </c>
      <c r="I11" s="6">
        <v>103.16</v>
      </c>
      <c r="J11" s="8">
        <f t="shared" si="1"/>
        <v>720.05680000000007</v>
      </c>
      <c r="K11" s="8">
        <f t="shared" si="2"/>
        <v>1176.2068000000002</v>
      </c>
      <c r="L11" s="82"/>
      <c r="M11" s="82">
        <f t="shared" si="3"/>
        <v>62217.923600000024</v>
      </c>
      <c r="N11" s="48"/>
      <c r="O11" s="83"/>
      <c r="Q11" s="5">
        <v>100.02</v>
      </c>
    </row>
    <row r="12" spans="1:17">
      <c r="A12" s="56">
        <v>9</v>
      </c>
      <c r="B12" s="284">
        <v>45756</v>
      </c>
      <c r="C12" s="81"/>
      <c r="D12" s="85"/>
      <c r="E12" s="79">
        <v>5</v>
      </c>
      <c r="F12" s="6">
        <v>91.23</v>
      </c>
      <c r="G12" s="8">
        <f t="shared" si="0"/>
        <v>456.15000000000003</v>
      </c>
      <c r="H12" s="79">
        <v>0</v>
      </c>
      <c r="I12" s="6">
        <v>0</v>
      </c>
      <c r="J12" s="8">
        <f t="shared" si="1"/>
        <v>0</v>
      </c>
      <c r="K12" s="8">
        <f t="shared" si="2"/>
        <v>456.15000000000003</v>
      </c>
      <c r="L12" s="82"/>
      <c r="M12" s="82">
        <f t="shared" si="3"/>
        <v>62674.073600000025</v>
      </c>
      <c r="N12" s="48"/>
      <c r="O12" s="83"/>
      <c r="Q12" s="5">
        <v>43.57</v>
      </c>
    </row>
    <row r="13" spans="1:17">
      <c r="A13" s="56">
        <v>10</v>
      </c>
      <c r="B13" s="284">
        <v>45757</v>
      </c>
      <c r="C13" s="229"/>
      <c r="D13" s="230"/>
      <c r="E13" s="79">
        <v>106.17</v>
      </c>
      <c r="F13" s="6">
        <v>91.23</v>
      </c>
      <c r="G13" s="8">
        <f t="shared" si="0"/>
        <v>9685.8891000000003</v>
      </c>
      <c r="H13" s="79">
        <v>6.69</v>
      </c>
      <c r="I13" s="6">
        <v>103.16</v>
      </c>
      <c r="J13" s="8">
        <f t="shared" si="1"/>
        <v>690.1404</v>
      </c>
      <c r="K13" s="8">
        <f t="shared" si="2"/>
        <v>10376.029500000001</v>
      </c>
      <c r="L13" s="82"/>
      <c r="M13" s="82">
        <f>M12+K13-L13</f>
        <v>73050.103100000022</v>
      </c>
      <c r="N13" s="48"/>
      <c r="O13" s="83"/>
    </row>
    <row r="14" spans="1:17">
      <c r="A14" s="56">
        <v>11</v>
      </c>
      <c r="B14" s="284">
        <v>45758</v>
      </c>
      <c r="C14" s="208"/>
      <c r="D14" s="208"/>
      <c r="E14" s="79">
        <v>130</v>
      </c>
      <c r="F14" s="6">
        <v>90.23</v>
      </c>
      <c r="G14" s="8">
        <f t="shared" si="0"/>
        <v>11729.9</v>
      </c>
      <c r="H14" s="79">
        <v>0</v>
      </c>
      <c r="I14" s="6">
        <v>0</v>
      </c>
      <c r="J14" s="8">
        <f t="shared" si="1"/>
        <v>0</v>
      </c>
      <c r="K14" s="8">
        <f t="shared" si="2"/>
        <v>11729.9</v>
      </c>
      <c r="L14" s="82"/>
      <c r="M14" s="82">
        <f t="shared" si="3"/>
        <v>84780.003100000016</v>
      </c>
      <c r="N14" s="48"/>
      <c r="O14" s="83"/>
    </row>
    <row r="15" spans="1:17">
      <c r="A15" s="56">
        <v>12</v>
      </c>
      <c r="B15" s="284">
        <v>45759</v>
      </c>
      <c r="C15" s="208"/>
      <c r="D15" s="208"/>
      <c r="E15" s="79">
        <v>5</v>
      </c>
      <c r="F15" s="6">
        <v>90.23</v>
      </c>
      <c r="G15" s="8">
        <f t="shared" si="0"/>
        <v>451.15000000000003</v>
      </c>
      <c r="H15" s="79">
        <v>0</v>
      </c>
      <c r="I15" s="6">
        <v>0</v>
      </c>
      <c r="J15" s="8">
        <f t="shared" si="1"/>
        <v>0</v>
      </c>
      <c r="K15" s="8">
        <f t="shared" si="2"/>
        <v>451.15000000000003</v>
      </c>
      <c r="L15" s="82"/>
      <c r="M15" s="82">
        <f t="shared" si="3"/>
        <v>85231.15310000001</v>
      </c>
      <c r="N15" s="48"/>
      <c r="O15" s="83"/>
    </row>
    <row r="16" spans="1:17">
      <c r="A16" s="56">
        <v>13</v>
      </c>
      <c r="B16" s="284">
        <v>45760</v>
      </c>
      <c r="C16" s="208"/>
      <c r="D16" s="208"/>
      <c r="E16" s="79">
        <v>0</v>
      </c>
      <c r="F16" s="6">
        <v>0</v>
      </c>
      <c r="G16" s="8">
        <f t="shared" si="0"/>
        <v>0</v>
      </c>
      <c r="H16" s="79">
        <v>9.42</v>
      </c>
      <c r="I16" s="6">
        <v>102.16</v>
      </c>
      <c r="J16" s="8">
        <f t="shared" si="1"/>
        <v>962.34719999999993</v>
      </c>
      <c r="K16" s="8">
        <f t="shared" si="2"/>
        <v>962.34719999999993</v>
      </c>
      <c r="L16" s="82"/>
      <c r="M16" s="82">
        <f t="shared" si="3"/>
        <v>86193.500300000014</v>
      </c>
      <c r="N16" s="48"/>
      <c r="O16" s="83"/>
    </row>
    <row r="17" spans="1:15">
      <c r="A17" s="56">
        <v>14</v>
      </c>
      <c r="B17" s="284">
        <v>45761</v>
      </c>
      <c r="C17" s="208"/>
      <c r="D17" s="208"/>
      <c r="E17" s="79">
        <v>183.1</v>
      </c>
      <c r="F17" s="6">
        <v>90.23</v>
      </c>
      <c r="G17" s="8">
        <f t="shared" si="0"/>
        <v>16521.113000000001</v>
      </c>
      <c r="H17" s="79">
        <v>0</v>
      </c>
      <c r="I17" s="6">
        <v>0</v>
      </c>
      <c r="J17" s="8">
        <f t="shared" si="1"/>
        <v>0</v>
      </c>
      <c r="K17" s="8">
        <f t="shared" si="2"/>
        <v>16521.113000000001</v>
      </c>
      <c r="L17" s="82"/>
      <c r="M17" s="82">
        <f t="shared" si="3"/>
        <v>102714.61330000001</v>
      </c>
      <c r="N17" s="48"/>
      <c r="O17" s="83"/>
    </row>
    <row r="18" spans="1:15">
      <c r="A18" s="56">
        <v>15</v>
      </c>
      <c r="B18" s="284">
        <v>45762</v>
      </c>
      <c r="C18" s="208"/>
      <c r="D18" s="208"/>
      <c r="E18" s="79">
        <v>0</v>
      </c>
      <c r="F18" s="6">
        <v>0</v>
      </c>
      <c r="G18" s="8">
        <f t="shared" si="0"/>
        <v>0</v>
      </c>
      <c r="H18" s="79">
        <v>0</v>
      </c>
      <c r="I18" s="6">
        <v>0</v>
      </c>
      <c r="J18" s="8">
        <f t="shared" si="1"/>
        <v>0</v>
      </c>
      <c r="K18" s="8">
        <f t="shared" si="2"/>
        <v>0</v>
      </c>
      <c r="L18" s="82"/>
      <c r="M18" s="82">
        <f t="shared" si="3"/>
        <v>102714.61330000001</v>
      </c>
      <c r="N18" s="48"/>
      <c r="O18" s="83"/>
    </row>
    <row r="19" spans="1:15">
      <c r="A19" s="56">
        <v>16</v>
      </c>
      <c r="B19" s="284">
        <v>45763</v>
      </c>
      <c r="C19" s="208"/>
      <c r="D19" s="208"/>
      <c r="E19" s="79">
        <v>10</v>
      </c>
      <c r="F19" s="6">
        <v>90.23</v>
      </c>
      <c r="G19" s="8">
        <f t="shared" si="0"/>
        <v>902.30000000000007</v>
      </c>
      <c r="H19" s="79">
        <v>3.72</v>
      </c>
      <c r="I19" s="6">
        <v>102.16</v>
      </c>
      <c r="J19" s="8">
        <f t="shared" si="1"/>
        <v>380.03520000000003</v>
      </c>
      <c r="K19" s="8">
        <f t="shared" si="2"/>
        <v>1282.3352</v>
      </c>
      <c r="L19" s="82"/>
      <c r="M19" s="82">
        <f t="shared" si="3"/>
        <v>103996.94850000001</v>
      </c>
      <c r="N19" s="48"/>
      <c r="O19" s="83"/>
    </row>
    <row r="20" spans="1:15">
      <c r="A20" s="56">
        <v>17</v>
      </c>
      <c r="B20" s="284">
        <v>45764</v>
      </c>
      <c r="C20" s="208"/>
      <c r="D20" s="208"/>
      <c r="E20" s="79">
        <v>32.659999999999997</v>
      </c>
      <c r="F20" s="6">
        <v>90.23</v>
      </c>
      <c r="G20" s="8">
        <f t="shared" si="0"/>
        <v>2946.9117999999999</v>
      </c>
      <c r="H20" s="79">
        <v>0</v>
      </c>
      <c r="I20" s="6">
        <v>0</v>
      </c>
      <c r="J20" s="8">
        <f t="shared" si="1"/>
        <v>0</v>
      </c>
      <c r="K20" s="8">
        <f t="shared" si="2"/>
        <v>2946.9117999999999</v>
      </c>
      <c r="L20" s="82"/>
      <c r="M20" s="82">
        <f t="shared" ref="M20:M34" si="4">M19+K20-L20</f>
        <v>106943.86030000001</v>
      </c>
      <c r="N20" s="48"/>
      <c r="O20" s="83"/>
    </row>
    <row r="21" spans="1:15">
      <c r="A21" s="56">
        <v>18</v>
      </c>
      <c r="B21" s="284">
        <v>45765</v>
      </c>
      <c r="C21" s="208"/>
      <c r="D21" s="208"/>
      <c r="E21" s="79">
        <v>10</v>
      </c>
      <c r="F21" s="6">
        <v>90.23</v>
      </c>
      <c r="G21" s="8">
        <f t="shared" si="0"/>
        <v>902.30000000000007</v>
      </c>
      <c r="H21" s="79">
        <v>0</v>
      </c>
      <c r="I21" s="6">
        <v>0</v>
      </c>
      <c r="J21" s="8">
        <f t="shared" si="1"/>
        <v>0</v>
      </c>
      <c r="K21" s="8">
        <f t="shared" si="2"/>
        <v>902.30000000000007</v>
      </c>
      <c r="L21" s="82"/>
      <c r="M21" s="82">
        <f t="shared" si="4"/>
        <v>107846.16030000002</v>
      </c>
      <c r="N21" s="48"/>
      <c r="O21" s="83"/>
    </row>
    <row r="22" spans="1:15">
      <c r="A22" s="56">
        <v>19</v>
      </c>
      <c r="B22" s="284">
        <v>45766</v>
      </c>
      <c r="C22" s="208"/>
      <c r="D22" s="208"/>
      <c r="E22" s="79">
        <v>341.06</v>
      </c>
      <c r="F22" s="6">
        <v>90.23</v>
      </c>
      <c r="G22" s="8">
        <f t="shared" si="0"/>
        <v>30773.843800000002</v>
      </c>
      <c r="H22" s="79">
        <v>6.48</v>
      </c>
      <c r="I22" s="6">
        <v>102.16</v>
      </c>
      <c r="J22" s="8">
        <f t="shared" si="1"/>
        <v>661.99680000000001</v>
      </c>
      <c r="K22" s="8">
        <f t="shared" si="2"/>
        <v>31435.840600000003</v>
      </c>
      <c r="L22" s="82"/>
      <c r="M22" s="82">
        <f t="shared" si="4"/>
        <v>139282.00090000001</v>
      </c>
      <c r="N22" s="48"/>
      <c r="O22" s="83"/>
    </row>
    <row r="23" spans="1:15">
      <c r="A23" s="56">
        <v>20</v>
      </c>
      <c r="B23" s="284">
        <v>45767</v>
      </c>
      <c r="C23" s="208"/>
      <c r="D23" s="208"/>
      <c r="E23" s="79">
        <v>30</v>
      </c>
      <c r="F23" s="6">
        <v>90.23</v>
      </c>
      <c r="G23" s="8">
        <f t="shared" si="0"/>
        <v>2706.9</v>
      </c>
      <c r="H23" s="79">
        <v>5</v>
      </c>
      <c r="I23" s="6">
        <v>102.16</v>
      </c>
      <c r="J23" s="8">
        <f t="shared" si="1"/>
        <v>510.79999999999995</v>
      </c>
      <c r="K23" s="8">
        <f t="shared" si="2"/>
        <v>3217.7</v>
      </c>
      <c r="L23" s="82"/>
      <c r="M23" s="82">
        <f t="shared" si="4"/>
        <v>142499.70090000003</v>
      </c>
      <c r="N23" s="48"/>
      <c r="O23" s="83"/>
    </row>
    <row r="24" spans="1:15">
      <c r="A24" s="56">
        <v>21</v>
      </c>
      <c r="B24" s="284">
        <v>45768</v>
      </c>
      <c r="C24" s="208"/>
      <c r="D24" s="208"/>
      <c r="E24" s="79">
        <v>0</v>
      </c>
      <c r="F24" s="6">
        <v>0</v>
      </c>
      <c r="G24" s="8">
        <f t="shared" si="0"/>
        <v>0</v>
      </c>
      <c r="H24" s="79">
        <v>3.75</v>
      </c>
      <c r="I24" s="6">
        <v>102.16</v>
      </c>
      <c r="J24" s="8">
        <f t="shared" si="1"/>
        <v>383.09999999999997</v>
      </c>
      <c r="K24" s="8">
        <f t="shared" si="2"/>
        <v>383.09999999999997</v>
      </c>
      <c r="L24" s="82"/>
      <c r="M24" s="82">
        <f t="shared" si="4"/>
        <v>142882.80090000003</v>
      </c>
      <c r="N24" s="48"/>
      <c r="O24" s="83"/>
    </row>
    <row r="25" spans="1:15">
      <c r="A25" s="56">
        <v>22</v>
      </c>
      <c r="B25" s="284">
        <v>45769</v>
      </c>
      <c r="C25" s="208"/>
      <c r="D25" s="208"/>
      <c r="E25" s="79">
        <v>0</v>
      </c>
      <c r="F25" s="6">
        <v>0</v>
      </c>
      <c r="G25" s="8">
        <f t="shared" si="0"/>
        <v>0</v>
      </c>
      <c r="H25" s="79">
        <v>0</v>
      </c>
      <c r="I25" s="6">
        <v>0</v>
      </c>
      <c r="J25" s="8">
        <f t="shared" si="1"/>
        <v>0</v>
      </c>
      <c r="K25" s="8">
        <f t="shared" si="2"/>
        <v>0</v>
      </c>
      <c r="L25" s="82"/>
      <c r="M25" s="82">
        <f t="shared" si="4"/>
        <v>142882.80090000003</v>
      </c>
      <c r="N25" s="48"/>
      <c r="O25" s="83"/>
    </row>
    <row r="26" spans="1:15">
      <c r="A26" s="56">
        <v>23</v>
      </c>
      <c r="B26" s="284">
        <v>45770</v>
      </c>
      <c r="C26" s="261"/>
      <c r="D26" s="261"/>
      <c r="E26" s="79">
        <v>0</v>
      </c>
      <c r="F26" s="6">
        <v>0</v>
      </c>
      <c r="G26" s="8">
        <f t="shared" si="0"/>
        <v>0</v>
      </c>
      <c r="H26" s="79">
        <v>0</v>
      </c>
      <c r="I26" s="6">
        <v>0</v>
      </c>
      <c r="J26" s="8">
        <f t="shared" si="1"/>
        <v>0</v>
      </c>
      <c r="K26" s="8">
        <f t="shared" si="2"/>
        <v>0</v>
      </c>
      <c r="L26" s="82"/>
      <c r="M26" s="82">
        <f t="shared" si="4"/>
        <v>142882.80090000003</v>
      </c>
      <c r="N26" s="262"/>
      <c r="O26" s="83"/>
    </row>
    <row r="27" spans="1:15">
      <c r="A27" s="56">
        <v>24</v>
      </c>
      <c r="B27" s="284">
        <v>45771</v>
      </c>
      <c r="C27" s="261"/>
      <c r="D27" s="261"/>
      <c r="E27" s="79">
        <v>231.44</v>
      </c>
      <c r="F27" s="6">
        <v>90.23</v>
      </c>
      <c r="G27" s="8">
        <f t="shared" si="0"/>
        <v>20882.831200000001</v>
      </c>
      <c r="H27" s="79">
        <v>0</v>
      </c>
      <c r="I27" s="6">
        <v>0</v>
      </c>
      <c r="J27" s="8">
        <f t="shared" si="1"/>
        <v>0</v>
      </c>
      <c r="K27" s="8">
        <f t="shared" si="2"/>
        <v>20882.831200000001</v>
      </c>
      <c r="L27" s="82"/>
      <c r="M27" s="82">
        <f t="shared" si="4"/>
        <v>163765.63210000005</v>
      </c>
      <c r="N27" s="262"/>
      <c r="O27" s="83"/>
    </row>
    <row r="28" spans="1:15">
      <c r="A28" s="286">
        <v>25</v>
      </c>
      <c r="B28" s="284">
        <v>45772</v>
      </c>
      <c r="C28" s="261"/>
      <c r="D28" s="261"/>
      <c r="E28" s="79">
        <v>26.02</v>
      </c>
      <c r="F28" s="6">
        <v>90.23</v>
      </c>
      <c r="G28" s="8">
        <f t="shared" si="0"/>
        <v>2347.7846</v>
      </c>
      <c r="H28" s="79">
        <v>0</v>
      </c>
      <c r="I28" s="6">
        <v>0</v>
      </c>
      <c r="J28" s="8">
        <f t="shared" si="1"/>
        <v>0</v>
      </c>
      <c r="K28" s="8">
        <f t="shared" si="2"/>
        <v>2347.7846</v>
      </c>
      <c r="L28" s="82"/>
      <c r="M28" s="82">
        <f t="shared" si="4"/>
        <v>166113.41670000006</v>
      </c>
      <c r="N28" s="262"/>
      <c r="O28" s="83"/>
    </row>
    <row r="29" spans="1:15">
      <c r="A29" s="286">
        <v>26</v>
      </c>
      <c r="B29" s="284">
        <v>45773</v>
      </c>
      <c r="C29" s="261"/>
      <c r="D29" s="261"/>
      <c r="E29" s="79">
        <v>33.049999999999997</v>
      </c>
      <c r="F29" s="6">
        <v>90.23</v>
      </c>
      <c r="G29" s="8">
        <f t="shared" si="0"/>
        <v>2982.1014999999998</v>
      </c>
      <c r="H29" s="79">
        <v>10.19</v>
      </c>
      <c r="I29" s="6">
        <v>102.16</v>
      </c>
      <c r="J29" s="8">
        <f t="shared" si="1"/>
        <v>1041.0103999999999</v>
      </c>
      <c r="K29" s="8">
        <f t="shared" si="2"/>
        <v>4023.1118999999999</v>
      </c>
      <c r="L29" s="82"/>
      <c r="M29" s="82">
        <f t="shared" si="4"/>
        <v>170136.52860000005</v>
      </c>
      <c r="N29" s="262"/>
      <c r="O29" s="83"/>
    </row>
    <row r="30" spans="1:15">
      <c r="A30" s="286">
        <v>27</v>
      </c>
      <c r="B30" s="284">
        <v>45774</v>
      </c>
      <c r="C30" s="261"/>
      <c r="D30" s="261"/>
      <c r="E30" s="79">
        <v>0</v>
      </c>
      <c r="F30" s="6">
        <v>0</v>
      </c>
      <c r="G30" s="8">
        <f t="shared" si="0"/>
        <v>0</v>
      </c>
      <c r="H30" s="79">
        <v>0</v>
      </c>
      <c r="I30" s="6">
        <v>0</v>
      </c>
      <c r="J30" s="8">
        <f t="shared" si="1"/>
        <v>0</v>
      </c>
      <c r="K30" s="8">
        <f t="shared" si="2"/>
        <v>0</v>
      </c>
      <c r="L30" s="82"/>
      <c r="M30" s="82">
        <f t="shared" si="4"/>
        <v>170136.52860000005</v>
      </c>
      <c r="N30" s="262"/>
      <c r="O30" s="83"/>
    </row>
    <row r="31" spans="1:15">
      <c r="A31" s="286">
        <v>28</v>
      </c>
      <c r="B31" s="284">
        <v>45775</v>
      </c>
      <c r="C31" s="261"/>
      <c r="D31" s="261"/>
      <c r="E31" s="79">
        <v>0</v>
      </c>
      <c r="F31" s="6">
        <v>0</v>
      </c>
      <c r="G31" s="8">
        <f t="shared" si="0"/>
        <v>0</v>
      </c>
      <c r="H31" s="79">
        <v>0</v>
      </c>
      <c r="I31" s="6">
        <v>0</v>
      </c>
      <c r="J31" s="8">
        <f t="shared" si="1"/>
        <v>0</v>
      </c>
      <c r="K31" s="8">
        <f t="shared" si="2"/>
        <v>0</v>
      </c>
      <c r="L31" s="82"/>
      <c r="M31" s="82">
        <f t="shared" si="4"/>
        <v>170136.52860000005</v>
      </c>
      <c r="N31" s="262"/>
      <c r="O31" s="83"/>
    </row>
    <row r="32" spans="1:15">
      <c r="A32" s="287">
        <v>29</v>
      </c>
      <c r="B32" s="284">
        <v>45776</v>
      </c>
      <c r="C32" s="261"/>
      <c r="D32" s="261"/>
      <c r="E32" s="79">
        <v>5</v>
      </c>
      <c r="F32" s="6">
        <v>90.23</v>
      </c>
      <c r="G32" s="8">
        <f t="shared" si="0"/>
        <v>451.15000000000003</v>
      </c>
      <c r="H32" s="79">
        <v>5.45</v>
      </c>
      <c r="I32" s="6">
        <v>102.16</v>
      </c>
      <c r="J32" s="8">
        <f t="shared" si="1"/>
        <v>556.77200000000005</v>
      </c>
      <c r="K32" s="8">
        <f t="shared" si="2"/>
        <v>1007.922</v>
      </c>
      <c r="L32" s="82"/>
      <c r="M32" s="82">
        <f t="shared" si="4"/>
        <v>171144.45060000004</v>
      </c>
      <c r="N32" s="262"/>
      <c r="O32" s="83"/>
    </row>
    <row r="33" spans="1:15">
      <c r="A33" s="287">
        <v>30</v>
      </c>
      <c r="B33" s="284">
        <v>45777</v>
      </c>
      <c r="C33" s="261"/>
      <c r="D33" s="261"/>
      <c r="E33" s="79">
        <v>239.31</v>
      </c>
      <c r="F33" s="6">
        <v>90.23</v>
      </c>
      <c r="G33" s="8">
        <f t="shared" si="0"/>
        <v>21592.941300000002</v>
      </c>
      <c r="H33" s="79">
        <v>0</v>
      </c>
      <c r="I33" s="6">
        <v>0</v>
      </c>
      <c r="J33" s="8">
        <f t="shared" si="1"/>
        <v>0</v>
      </c>
      <c r="K33" s="8">
        <f t="shared" si="2"/>
        <v>21592.941300000002</v>
      </c>
      <c r="L33" s="82"/>
      <c r="M33" s="82">
        <f t="shared" si="4"/>
        <v>192737.39190000005</v>
      </c>
      <c r="N33" s="262"/>
      <c r="O33" s="83"/>
    </row>
    <row r="34" spans="1:15">
      <c r="A34" s="287">
        <v>31</v>
      </c>
      <c r="B34" s="284"/>
      <c r="C34" s="261"/>
      <c r="D34" s="261"/>
      <c r="E34" s="79">
        <v>0</v>
      </c>
      <c r="F34" s="6">
        <v>0</v>
      </c>
      <c r="G34" s="8">
        <f t="shared" si="0"/>
        <v>0</v>
      </c>
      <c r="H34" s="79">
        <v>0</v>
      </c>
      <c r="I34" s="6">
        <v>0</v>
      </c>
      <c r="J34" s="8">
        <f t="shared" si="1"/>
        <v>0</v>
      </c>
      <c r="K34" s="8">
        <f t="shared" si="2"/>
        <v>0</v>
      </c>
      <c r="L34" s="82"/>
      <c r="M34" s="82">
        <f t="shared" si="4"/>
        <v>192737.39190000005</v>
      </c>
      <c r="N34" s="262"/>
      <c r="O34" s="83"/>
    </row>
    <row r="35" spans="1:15">
      <c r="A35" s="188"/>
      <c r="B35" s="188"/>
      <c r="C35" s="188"/>
      <c r="D35" s="188"/>
      <c r="E35" s="189">
        <f>SUM(E4:E34)</f>
        <v>1929.37</v>
      </c>
      <c r="F35" s="189"/>
      <c r="G35" s="189">
        <f>SUM(G4:G34)</f>
        <v>174679.78510000001</v>
      </c>
      <c r="H35" s="189">
        <f>SUM(H4:H34)</f>
        <v>73.64</v>
      </c>
      <c r="I35" s="189"/>
      <c r="J35" s="189">
        <f>SUM(J4:J34)</f>
        <v>7552.6924000000008</v>
      </c>
      <c r="K35" s="189">
        <f>SUM(K4:K34)</f>
        <v>182232.47750000004</v>
      </c>
      <c r="L35" s="189">
        <f>SUM(L4:L31)</f>
        <v>0</v>
      </c>
      <c r="M35" s="189"/>
      <c r="N35" s="189"/>
      <c r="O35" s="73"/>
    </row>
    <row r="36" spans="1:15">
      <c r="A36" s="87"/>
      <c r="B36" s="88"/>
      <c r="C36" s="87"/>
      <c r="D36" s="87"/>
      <c r="E36" s="89"/>
      <c r="F36" s="89"/>
      <c r="G36" s="89"/>
      <c r="H36" s="89"/>
      <c r="I36" s="89"/>
      <c r="J36" s="90"/>
      <c r="K36" s="90"/>
      <c r="L36" s="90"/>
      <c r="M36" s="90"/>
      <c r="N36" s="89"/>
      <c r="O36" s="83"/>
    </row>
  </sheetData>
  <mergeCells count="1">
    <mergeCell ref="A1:N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O46"/>
  <sheetViews>
    <sheetView workbookViewId="0">
      <selection activeCell="R12" sqref="R12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2.28515625" customWidth="1"/>
    <col min="14" max="14" width="14.7109375" bestFit="1" customWidth="1"/>
  </cols>
  <sheetData>
    <row r="1" spans="1:15" ht="15.75">
      <c r="A1" s="417" t="s">
        <v>134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5"/>
    </row>
    <row r="2" spans="1:15" ht="30.75">
      <c r="A2" s="78" t="s">
        <v>81</v>
      </c>
      <c r="B2" s="98" t="s">
        <v>82</v>
      </c>
      <c r="C2" s="98" t="s">
        <v>83</v>
      </c>
      <c r="D2" s="98" t="s">
        <v>108</v>
      </c>
      <c r="E2" s="98" t="s">
        <v>85</v>
      </c>
      <c r="F2" s="98" t="s">
        <v>86</v>
      </c>
      <c r="G2" s="106" t="s">
        <v>87</v>
      </c>
      <c r="H2" s="98" t="s">
        <v>88</v>
      </c>
      <c r="I2" s="98" t="s">
        <v>86</v>
      </c>
      <c r="J2" s="106" t="s">
        <v>87</v>
      </c>
      <c r="K2" s="78" t="s">
        <v>89</v>
      </c>
      <c r="L2" s="107" t="s">
        <v>90</v>
      </c>
      <c r="M2" s="100" t="s">
        <v>97</v>
      </c>
      <c r="N2" s="98" t="s">
        <v>92</v>
      </c>
      <c r="O2" s="5"/>
    </row>
    <row r="3" spans="1:15">
      <c r="A3" s="428" t="s">
        <v>93</v>
      </c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30"/>
      <c r="M3" s="431" t="s">
        <v>135</v>
      </c>
      <c r="N3" s="432"/>
      <c r="O3" s="5"/>
    </row>
    <row r="4" spans="1:15">
      <c r="A4" s="245">
        <v>1</v>
      </c>
      <c r="B4" s="284">
        <v>45748</v>
      </c>
      <c r="C4" s="6"/>
      <c r="D4" s="6"/>
      <c r="E4" s="79">
        <v>0</v>
      </c>
      <c r="F4" s="6">
        <v>0</v>
      </c>
      <c r="G4" s="80">
        <f>E4*F4</f>
        <v>0</v>
      </c>
      <c r="H4" s="79">
        <v>0</v>
      </c>
      <c r="I4" s="6">
        <v>0</v>
      </c>
      <c r="J4" s="80">
        <f>H4*I4</f>
        <v>0</v>
      </c>
      <c r="K4" s="80">
        <f>G4+J4</f>
        <v>0</v>
      </c>
      <c r="L4" s="190">
        <f>+K4</f>
        <v>0</v>
      </c>
      <c r="M4" s="176">
        <v>0</v>
      </c>
      <c r="N4" s="56"/>
      <c r="O4" s="5"/>
    </row>
    <row r="5" spans="1:15">
      <c r="A5" s="56">
        <v>2</v>
      </c>
      <c r="B5" s="284">
        <v>45749</v>
      </c>
      <c r="C5" s="6"/>
      <c r="D5" s="6"/>
      <c r="E5" s="79">
        <v>0</v>
      </c>
      <c r="F5" s="6">
        <v>0</v>
      </c>
      <c r="G5" s="80">
        <f t="shared" ref="G5:G43" si="0">E5*F5</f>
        <v>0</v>
      </c>
      <c r="H5" s="79">
        <v>0</v>
      </c>
      <c r="I5" s="6">
        <v>0</v>
      </c>
      <c r="J5" s="80">
        <f t="shared" ref="J5:J43" si="1">H5*I5</f>
        <v>0</v>
      </c>
      <c r="K5" s="80">
        <f t="shared" ref="K5:K43" si="2">G5+J5</f>
        <v>0</v>
      </c>
      <c r="L5" s="190">
        <f t="shared" ref="L5:L43" si="3">+K5</f>
        <v>0</v>
      </c>
      <c r="M5" s="176">
        <v>0</v>
      </c>
      <c r="N5" s="56"/>
      <c r="O5" s="5"/>
    </row>
    <row r="6" spans="1:15">
      <c r="A6" s="56">
        <v>3</v>
      </c>
      <c r="B6" s="284">
        <v>45750</v>
      </c>
      <c r="C6" s="6"/>
      <c r="D6" s="6"/>
      <c r="E6" s="79">
        <v>0</v>
      </c>
      <c r="F6" s="6">
        <v>0</v>
      </c>
      <c r="G6" s="80">
        <f t="shared" si="0"/>
        <v>0</v>
      </c>
      <c r="H6" s="79">
        <v>0</v>
      </c>
      <c r="I6" s="6">
        <v>0</v>
      </c>
      <c r="J6" s="80">
        <f t="shared" si="1"/>
        <v>0</v>
      </c>
      <c r="K6" s="80">
        <f t="shared" si="2"/>
        <v>0</v>
      </c>
      <c r="L6" s="190">
        <f t="shared" si="3"/>
        <v>0</v>
      </c>
      <c r="M6" s="176">
        <v>0</v>
      </c>
      <c r="N6" s="56"/>
      <c r="O6" s="5"/>
    </row>
    <row r="7" spans="1:15">
      <c r="A7" s="56">
        <v>4</v>
      </c>
      <c r="B7" s="284">
        <v>45751</v>
      </c>
      <c r="C7" s="6"/>
      <c r="D7" s="6"/>
      <c r="E7" s="79">
        <v>0</v>
      </c>
      <c r="F7" s="6">
        <v>0</v>
      </c>
      <c r="G7" s="80">
        <f t="shared" si="0"/>
        <v>0</v>
      </c>
      <c r="H7" s="79">
        <v>0</v>
      </c>
      <c r="I7" s="6">
        <v>0</v>
      </c>
      <c r="J7" s="80">
        <f t="shared" si="1"/>
        <v>0</v>
      </c>
      <c r="K7" s="80">
        <f t="shared" si="2"/>
        <v>0</v>
      </c>
      <c r="L7" s="190">
        <f t="shared" si="3"/>
        <v>0</v>
      </c>
      <c r="M7" s="176">
        <v>0</v>
      </c>
      <c r="N7" s="56"/>
      <c r="O7" s="5"/>
    </row>
    <row r="8" spans="1:15">
      <c r="A8" s="56">
        <v>5</v>
      </c>
      <c r="B8" s="284">
        <v>45752</v>
      </c>
      <c r="C8" s="6"/>
      <c r="D8" s="6"/>
      <c r="E8" s="79">
        <v>0</v>
      </c>
      <c r="F8" s="6">
        <v>0</v>
      </c>
      <c r="G8" s="80">
        <f t="shared" si="0"/>
        <v>0</v>
      </c>
      <c r="H8" s="79">
        <v>0</v>
      </c>
      <c r="I8" s="6">
        <v>0</v>
      </c>
      <c r="J8" s="80">
        <f t="shared" si="1"/>
        <v>0</v>
      </c>
      <c r="K8" s="80">
        <f t="shared" si="2"/>
        <v>0</v>
      </c>
      <c r="L8" s="190">
        <f t="shared" si="3"/>
        <v>0</v>
      </c>
      <c r="M8" s="176">
        <v>0</v>
      </c>
      <c r="N8" s="56"/>
      <c r="O8" s="5"/>
    </row>
    <row r="9" spans="1:15">
      <c r="A9" s="56">
        <v>6</v>
      </c>
      <c r="B9" s="284">
        <v>45753</v>
      </c>
      <c r="C9" s="6"/>
      <c r="D9" s="6"/>
      <c r="E9" s="79">
        <v>0</v>
      </c>
      <c r="F9" s="6">
        <v>0</v>
      </c>
      <c r="G9" s="80">
        <f t="shared" si="0"/>
        <v>0</v>
      </c>
      <c r="H9" s="79">
        <v>0</v>
      </c>
      <c r="I9" s="6">
        <v>0</v>
      </c>
      <c r="J9" s="80">
        <f t="shared" si="1"/>
        <v>0</v>
      </c>
      <c r="K9" s="80">
        <f t="shared" si="2"/>
        <v>0</v>
      </c>
      <c r="L9" s="190">
        <f t="shared" si="3"/>
        <v>0</v>
      </c>
      <c r="M9" s="176">
        <v>0</v>
      </c>
      <c r="N9" s="56"/>
      <c r="O9" s="5"/>
    </row>
    <row r="10" spans="1:15">
      <c r="A10" s="56">
        <v>7</v>
      </c>
      <c r="B10" s="284">
        <v>45754</v>
      </c>
      <c r="C10" s="6"/>
      <c r="D10" s="6"/>
      <c r="E10" s="79">
        <v>0</v>
      </c>
      <c r="F10" s="6">
        <v>0</v>
      </c>
      <c r="G10" s="80">
        <f t="shared" si="0"/>
        <v>0</v>
      </c>
      <c r="H10" s="79">
        <v>0</v>
      </c>
      <c r="I10" s="6">
        <v>0</v>
      </c>
      <c r="J10" s="80">
        <f t="shared" si="1"/>
        <v>0</v>
      </c>
      <c r="K10" s="80">
        <f t="shared" si="2"/>
        <v>0</v>
      </c>
      <c r="L10" s="190">
        <f t="shared" si="3"/>
        <v>0</v>
      </c>
      <c r="M10" s="176">
        <v>0</v>
      </c>
      <c r="N10" s="56"/>
      <c r="O10" s="5"/>
    </row>
    <row r="11" spans="1:15">
      <c r="A11" s="56">
        <v>8</v>
      </c>
      <c r="B11" s="284">
        <v>45755</v>
      </c>
      <c r="C11" s="6"/>
      <c r="D11" s="6"/>
      <c r="E11" s="79">
        <v>0</v>
      </c>
      <c r="F11" s="6">
        <v>0</v>
      </c>
      <c r="G11" s="80">
        <f t="shared" si="0"/>
        <v>0</v>
      </c>
      <c r="H11" s="79">
        <v>0</v>
      </c>
      <c r="I11" s="6">
        <v>0</v>
      </c>
      <c r="J11" s="80">
        <f t="shared" si="1"/>
        <v>0</v>
      </c>
      <c r="K11" s="80">
        <f t="shared" si="2"/>
        <v>0</v>
      </c>
      <c r="L11" s="190">
        <f t="shared" si="3"/>
        <v>0</v>
      </c>
      <c r="M11" s="176">
        <v>0</v>
      </c>
      <c r="N11" s="56"/>
      <c r="O11" s="5"/>
    </row>
    <row r="12" spans="1:15">
      <c r="A12" s="56">
        <v>9</v>
      </c>
      <c r="B12" s="284">
        <v>45756</v>
      </c>
      <c r="C12" s="6"/>
      <c r="D12" s="6"/>
      <c r="E12" s="79">
        <v>0</v>
      </c>
      <c r="F12" s="6">
        <v>0</v>
      </c>
      <c r="G12" s="80">
        <f t="shared" si="0"/>
        <v>0</v>
      </c>
      <c r="H12" s="79">
        <v>0</v>
      </c>
      <c r="I12" s="6">
        <v>0</v>
      </c>
      <c r="J12" s="80">
        <f t="shared" si="1"/>
        <v>0</v>
      </c>
      <c r="K12" s="80">
        <f t="shared" si="2"/>
        <v>0</v>
      </c>
      <c r="L12" s="190">
        <f t="shared" si="3"/>
        <v>0</v>
      </c>
      <c r="M12" s="176">
        <v>0</v>
      </c>
      <c r="N12" s="56"/>
      <c r="O12" s="5"/>
    </row>
    <row r="13" spans="1:15">
      <c r="A13" s="56">
        <v>10</v>
      </c>
      <c r="B13" s="284">
        <v>45757</v>
      </c>
      <c r="C13" s="6"/>
      <c r="D13" s="6"/>
      <c r="E13" s="79">
        <v>0</v>
      </c>
      <c r="F13" s="6">
        <v>0</v>
      </c>
      <c r="G13" s="80">
        <f t="shared" si="0"/>
        <v>0</v>
      </c>
      <c r="H13" s="79">
        <v>0</v>
      </c>
      <c r="I13" s="6">
        <v>0</v>
      </c>
      <c r="J13" s="80">
        <f t="shared" si="1"/>
        <v>0</v>
      </c>
      <c r="K13" s="80">
        <f t="shared" si="2"/>
        <v>0</v>
      </c>
      <c r="L13" s="190">
        <f t="shared" si="3"/>
        <v>0</v>
      </c>
      <c r="M13" s="176">
        <v>0</v>
      </c>
      <c r="N13" s="56"/>
      <c r="O13" s="5"/>
    </row>
    <row r="14" spans="1:15">
      <c r="A14" s="56">
        <v>11</v>
      </c>
      <c r="B14" s="284">
        <v>45758</v>
      </c>
      <c r="C14" s="6"/>
      <c r="D14" s="6"/>
      <c r="E14" s="79">
        <v>0</v>
      </c>
      <c r="F14" s="6">
        <v>0</v>
      </c>
      <c r="G14" s="80">
        <f t="shared" si="0"/>
        <v>0</v>
      </c>
      <c r="H14" s="79">
        <v>0</v>
      </c>
      <c r="I14" s="6">
        <v>0</v>
      </c>
      <c r="J14" s="80">
        <f t="shared" si="1"/>
        <v>0</v>
      </c>
      <c r="K14" s="80">
        <f t="shared" si="2"/>
        <v>0</v>
      </c>
      <c r="L14" s="190">
        <f t="shared" si="3"/>
        <v>0</v>
      </c>
      <c r="M14" s="176">
        <v>0</v>
      </c>
      <c r="N14" s="56"/>
      <c r="O14" s="5"/>
    </row>
    <row r="15" spans="1:15">
      <c r="A15" s="56">
        <v>12</v>
      </c>
      <c r="B15" s="284">
        <v>45759</v>
      </c>
      <c r="C15" s="6"/>
      <c r="D15" s="6"/>
      <c r="E15" s="79">
        <v>0</v>
      </c>
      <c r="F15" s="6">
        <v>0</v>
      </c>
      <c r="G15" s="80">
        <f t="shared" si="0"/>
        <v>0</v>
      </c>
      <c r="H15" s="79">
        <v>0</v>
      </c>
      <c r="I15" s="6">
        <v>0</v>
      </c>
      <c r="J15" s="80">
        <f t="shared" si="1"/>
        <v>0</v>
      </c>
      <c r="K15" s="80">
        <f t="shared" si="2"/>
        <v>0</v>
      </c>
      <c r="L15" s="190">
        <f t="shared" si="3"/>
        <v>0</v>
      </c>
      <c r="M15" s="176">
        <v>0</v>
      </c>
      <c r="N15" s="56"/>
      <c r="O15" s="5"/>
    </row>
    <row r="16" spans="1:15">
      <c r="A16" s="56">
        <v>13</v>
      </c>
      <c r="B16" s="284">
        <v>45760</v>
      </c>
      <c r="C16" s="6"/>
      <c r="D16" s="6"/>
      <c r="E16" s="79">
        <v>0</v>
      </c>
      <c r="F16" s="6">
        <v>0</v>
      </c>
      <c r="G16" s="80">
        <f t="shared" si="0"/>
        <v>0</v>
      </c>
      <c r="H16" s="79">
        <v>0</v>
      </c>
      <c r="I16" s="6">
        <v>0</v>
      </c>
      <c r="J16" s="80">
        <f t="shared" si="1"/>
        <v>0</v>
      </c>
      <c r="K16" s="80">
        <f t="shared" si="2"/>
        <v>0</v>
      </c>
      <c r="L16" s="190">
        <f t="shared" si="3"/>
        <v>0</v>
      </c>
      <c r="M16" s="176">
        <v>0</v>
      </c>
      <c r="N16" s="56"/>
      <c r="O16" s="5"/>
    </row>
    <row r="17" spans="1:15">
      <c r="A17" s="56">
        <v>14</v>
      </c>
      <c r="B17" s="284">
        <v>45761</v>
      </c>
      <c r="C17" s="6"/>
      <c r="D17" s="6"/>
      <c r="E17" s="79">
        <v>0</v>
      </c>
      <c r="F17" s="6">
        <v>0</v>
      </c>
      <c r="G17" s="80">
        <f t="shared" si="0"/>
        <v>0</v>
      </c>
      <c r="H17" s="79">
        <v>0</v>
      </c>
      <c r="I17" s="6">
        <v>0</v>
      </c>
      <c r="J17" s="80">
        <f t="shared" si="1"/>
        <v>0</v>
      </c>
      <c r="K17" s="80">
        <f t="shared" si="2"/>
        <v>0</v>
      </c>
      <c r="L17" s="190">
        <f t="shared" si="3"/>
        <v>0</v>
      </c>
      <c r="M17" s="176">
        <v>0</v>
      </c>
      <c r="N17" s="56"/>
      <c r="O17" s="5"/>
    </row>
    <row r="18" spans="1:15">
      <c r="A18" s="56">
        <v>15</v>
      </c>
      <c r="B18" s="284">
        <v>45762</v>
      </c>
      <c r="C18" s="6"/>
      <c r="D18" s="6"/>
      <c r="E18" s="79">
        <v>0</v>
      </c>
      <c r="F18" s="6">
        <v>0</v>
      </c>
      <c r="G18" s="80">
        <f t="shared" si="0"/>
        <v>0</v>
      </c>
      <c r="H18" s="79">
        <v>0</v>
      </c>
      <c r="I18" s="6">
        <v>0</v>
      </c>
      <c r="J18" s="80">
        <f t="shared" si="1"/>
        <v>0</v>
      </c>
      <c r="K18" s="80">
        <f t="shared" si="2"/>
        <v>0</v>
      </c>
      <c r="L18" s="190">
        <f t="shared" si="3"/>
        <v>0</v>
      </c>
      <c r="M18" s="176">
        <v>0</v>
      </c>
      <c r="N18" s="56"/>
      <c r="O18" s="5"/>
    </row>
    <row r="19" spans="1:15">
      <c r="A19" s="56">
        <v>16</v>
      </c>
      <c r="B19" s="284">
        <v>45763</v>
      </c>
      <c r="C19" s="6"/>
      <c r="D19" s="6"/>
      <c r="E19" s="79">
        <v>0</v>
      </c>
      <c r="F19" s="6">
        <v>0</v>
      </c>
      <c r="G19" s="80">
        <f t="shared" si="0"/>
        <v>0</v>
      </c>
      <c r="H19" s="79">
        <v>0</v>
      </c>
      <c r="I19" s="6">
        <v>0</v>
      </c>
      <c r="J19" s="80">
        <f t="shared" si="1"/>
        <v>0</v>
      </c>
      <c r="K19" s="80">
        <f t="shared" si="2"/>
        <v>0</v>
      </c>
      <c r="L19" s="190">
        <f t="shared" si="3"/>
        <v>0</v>
      </c>
      <c r="M19" s="176">
        <v>0</v>
      </c>
      <c r="N19" s="56"/>
      <c r="O19" s="5"/>
    </row>
    <row r="20" spans="1:15">
      <c r="A20" s="56">
        <v>17</v>
      </c>
      <c r="B20" s="284">
        <v>45764</v>
      </c>
      <c r="C20" s="6"/>
      <c r="D20" s="6"/>
      <c r="E20" s="79">
        <v>0</v>
      </c>
      <c r="F20" s="6">
        <v>0</v>
      </c>
      <c r="G20" s="80">
        <f t="shared" si="0"/>
        <v>0</v>
      </c>
      <c r="H20" s="79">
        <v>0</v>
      </c>
      <c r="I20" s="6">
        <v>0</v>
      </c>
      <c r="J20" s="80">
        <f t="shared" si="1"/>
        <v>0</v>
      </c>
      <c r="K20" s="80">
        <f t="shared" si="2"/>
        <v>0</v>
      </c>
      <c r="L20" s="190">
        <f t="shared" si="3"/>
        <v>0</v>
      </c>
      <c r="M20" s="176">
        <v>0</v>
      </c>
      <c r="N20" s="56"/>
      <c r="O20" s="5"/>
    </row>
    <row r="21" spans="1:15">
      <c r="A21" s="56">
        <v>18</v>
      </c>
      <c r="B21" s="284">
        <v>45765</v>
      </c>
      <c r="C21" s="6"/>
      <c r="D21" s="6"/>
      <c r="E21" s="79">
        <v>0</v>
      </c>
      <c r="F21" s="6">
        <v>0</v>
      </c>
      <c r="G21" s="80">
        <f t="shared" si="0"/>
        <v>0</v>
      </c>
      <c r="H21" s="79">
        <v>0</v>
      </c>
      <c r="I21" s="6">
        <v>0</v>
      </c>
      <c r="J21" s="80">
        <f t="shared" si="1"/>
        <v>0</v>
      </c>
      <c r="K21" s="80">
        <f t="shared" si="2"/>
        <v>0</v>
      </c>
      <c r="L21" s="190">
        <f t="shared" si="3"/>
        <v>0</v>
      </c>
      <c r="M21" s="176">
        <v>0</v>
      </c>
      <c r="N21" s="56"/>
      <c r="O21" s="5"/>
    </row>
    <row r="22" spans="1:15">
      <c r="A22" s="56">
        <v>19</v>
      </c>
      <c r="B22" s="284">
        <v>45766</v>
      </c>
      <c r="C22" s="6"/>
      <c r="D22" s="6"/>
      <c r="E22" s="79">
        <v>0</v>
      </c>
      <c r="F22" s="6">
        <v>0</v>
      </c>
      <c r="G22" s="80">
        <f t="shared" si="0"/>
        <v>0</v>
      </c>
      <c r="H22" s="79">
        <v>0</v>
      </c>
      <c r="I22" s="6">
        <v>0</v>
      </c>
      <c r="J22" s="80">
        <f t="shared" si="1"/>
        <v>0</v>
      </c>
      <c r="K22" s="80">
        <f t="shared" si="2"/>
        <v>0</v>
      </c>
      <c r="L22" s="190">
        <f t="shared" si="3"/>
        <v>0</v>
      </c>
      <c r="M22" s="176">
        <v>0</v>
      </c>
      <c r="N22" s="56"/>
      <c r="O22" s="5"/>
    </row>
    <row r="23" spans="1:15">
      <c r="A23" s="56">
        <v>20</v>
      </c>
      <c r="B23" s="284">
        <v>45767</v>
      </c>
      <c r="C23" s="6"/>
      <c r="D23" s="6"/>
      <c r="E23" s="79">
        <v>0</v>
      </c>
      <c r="F23" s="6">
        <v>0</v>
      </c>
      <c r="G23" s="80">
        <f t="shared" si="0"/>
        <v>0</v>
      </c>
      <c r="H23" s="79">
        <v>0</v>
      </c>
      <c r="I23" s="6">
        <v>0</v>
      </c>
      <c r="J23" s="80">
        <f t="shared" si="1"/>
        <v>0</v>
      </c>
      <c r="K23" s="80">
        <f t="shared" si="2"/>
        <v>0</v>
      </c>
      <c r="L23" s="190">
        <f t="shared" si="3"/>
        <v>0</v>
      </c>
      <c r="M23" s="176">
        <v>0</v>
      </c>
      <c r="N23" s="56"/>
      <c r="O23" s="5"/>
    </row>
    <row r="24" spans="1:15">
      <c r="A24" s="56">
        <v>21</v>
      </c>
      <c r="B24" s="284">
        <v>45768</v>
      </c>
      <c r="C24" s="6"/>
      <c r="D24" s="6"/>
      <c r="E24" s="79">
        <v>0</v>
      </c>
      <c r="F24" s="6">
        <v>0</v>
      </c>
      <c r="G24" s="80">
        <f t="shared" si="0"/>
        <v>0</v>
      </c>
      <c r="H24" s="79">
        <v>0</v>
      </c>
      <c r="I24" s="6">
        <v>0</v>
      </c>
      <c r="J24" s="80">
        <f t="shared" si="1"/>
        <v>0</v>
      </c>
      <c r="K24" s="80">
        <f t="shared" si="2"/>
        <v>0</v>
      </c>
      <c r="L24" s="190">
        <f t="shared" si="3"/>
        <v>0</v>
      </c>
      <c r="M24" s="176">
        <v>0</v>
      </c>
      <c r="N24" s="56"/>
      <c r="O24" s="5"/>
    </row>
    <row r="25" spans="1:15">
      <c r="A25" s="56">
        <v>22</v>
      </c>
      <c r="B25" s="284">
        <v>45769</v>
      </c>
      <c r="C25" s="6"/>
      <c r="D25" s="6"/>
      <c r="E25" s="79">
        <v>0</v>
      </c>
      <c r="F25" s="6">
        <v>0</v>
      </c>
      <c r="G25" s="80">
        <f t="shared" si="0"/>
        <v>0</v>
      </c>
      <c r="H25" s="79">
        <v>0</v>
      </c>
      <c r="I25" s="6">
        <v>0</v>
      </c>
      <c r="J25" s="80">
        <f t="shared" si="1"/>
        <v>0</v>
      </c>
      <c r="K25" s="80">
        <f t="shared" si="2"/>
        <v>0</v>
      </c>
      <c r="L25" s="190">
        <f t="shared" si="3"/>
        <v>0</v>
      </c>
      <c r="M25" s="176">
        <v>0</v>
      </c>
      <c r="N25" s="56"/>
      <c r="O25" s="5"/>
    </row>
    <row r="26" spans="1:15">
      <c r="A26" s="56">
        <v>23</v>
      </c>
      <c r="B26" s="284">
        <v>45770</v>
      </c>
      <c r="C26" s="6"/>
      <c r="D26" s="6"/>
      <c r="E26" s="79">
        <v>0</v>
      </c>
      <c r="F26" s="6">
        <v>0</v>
      </c>
      <c r="G26" s="80">
        <f t="shared" si="0"/>
        <v>0</v>
      </c>
      <c r="H26" s="79">
        <v>0</v>
      </c>
      <c r="I26" s="6">
        <v>0</v>
      </c>
      <c r="J26" s="80">
        <f t="shared" si="1"/>
        <v>0</v>
      </c>
      <c r="K26" s="80">
        <f t="shared" si="2"/>
        <v>0</v>
      </c>
      <c r="L26" s="190">
        <f t="shared" si="3"/>
        <v>0</v>
      </c>
      <c r="M26" s="176">
        <v>0</v>
      </c>
      <c r="N26" s="56"/>
      <c r="O26" s="5"/>
    </row>
    <row r="27" spans="1:15">
      <c r="A27" s="56">
        <v>24</v>
      </c>
      <c r="B27" s="284">
        <v>45771</v>
      </c>
      <c r="C27" s="6"/>
      <c r="D27" s="6"/>
      <c r="E27" s="79">
        <v>0</v>
      </c>
      <c r="F27" s="6">
        <v>0</v>
      </c>
      <c r="G27" s="80">
        <f t="shared" si="0"/>
        <v>0</v>
      </c>
      <c r="H27" s="79">
        <v>0</v>
      </c>
      <c r="I27" s="6">
        <v>0</v>
      </c>
      <c r="J27" s="80">
        <f t="shared" si="1"/>
        <v>0</v>
      </c>
      <c r="K27" s="80">
        <f t="shared" si="2"/>
        <v>0</v>
      </c>
      <c r="L27" s="190">
        <f t="shared" si="3"/>
        <v>0</v>
      </c>
      <c r="M27" s="176">
        <v>0</v>
      </c>
      <c r="N27" s="6"/>
      <c r="O27" s="5"/>
    </row>
    <row r="28" spans="1:15">
      <c r="A28" s="286">
        <v>25</v>
      </c>
      <c r="B28" s="284">
        <v>45772</v>
      </c>
      <c r="C28" s="6"/>
      <c r="D28" s="6"/>
      <c r="E28" s="79">
        <v>0</v>
      </c>
      <c r="F28" s="6">
        <v>0</v>
      </c>
      <c r="G28" s="80">
        <f t="shared" si="0"/>
        <v>0</v>
      </c>
      <c r="H28" s="79">
        <v>0</v>
      </c>
      <c r="I28" s="6">
        <v>0</v>
      </c>
      <c r="J28" s="80">
        <f t="shared" si="1"/>
        <v>0</v>
      </c>
      <c r="K28" s="80">
        <f t="shared" si="2"/>
        <v>0</v>
      </c>
      <c r="L28" s="190">
        <f t="shared" si="3"/>
        <v>0</v>
      </c>
      <c r="M28" s="176">
        <v>0</v>
      </c>
      <c r="N28" s="6"/>
      <c r="O28" s="5"/>
    </row>
    <row r="29" spans="1:15">
      <c r="A29" s="286">
        <v>26</v>
      </c>
      <c r="B29" s="284">
        <v>45773</v>
      </c>
      <c r="C29" s="6"/>
      <c r="D29" s="6"/>
      <c r="E29" s="79">
        <v>0</v>
      </c>
      <c r="F29" s="6">
        <v>0</v>
      </c>
      <c r="G29" s="80">
        <f t="shared" si="0"/>
        <v>0</v>
      </c>
      <c r="H29" s="79">
        <v>0</v>
      </c>
      <c r="I29" s="6">
        <v>0</v>
      </c>
      <c r="J29" s="80">
        <f t="shared" si="1"/>
        <v>0</v>
      </c>
      <c r="K29" s="80">
        <f t="shared" si="2"/>
        <v>0</v>
      </c>
      <c r="L29" s="190">
        <f t="shared" si="3"/>
        <v>0</v>
      </c>
      <c r="M29" s="176">
        <v>0</v>
      </c>
      <c r="N29" s="6"/>
      <c r="O29" s="5"/>
    </row>
    <row r="30" spans="1:15">
      <c r="A30" s="286">
        <v>27</v>
      </c>
      <c r="B30" s="284">
        <v>45774</v>
      </c>
      <c r="C30" s="6"/>
      <c r="D30" s="6"/>
      <c r="E30" s="79">
        <v>0</v>
      </c>
      <c r="F30" s="6">
        <v>0</v>
      </c>
      <c r="G30" s="80">
        <f t="shared" si="0"/>
        <v>0</v>
      </c>
      <c r="H30" s="79">
        <v>0</v>
      </c>
      <c r="I30" s="6">
        <v>0</v>
      </c>
      <c r="J30" s="80">
        <f t="shared" si="1"/>
        <v>0</v>
      </c>
      <c r="K30" s="80">
        <f t="shared" si="2"/>
        <v>0</v>
      </c>
      <c r="L30" s="190">
        <f t="shared" si="3"/>
        <v>0</v>
      </c>
      <c r="M30" s="176">
        <v>0</v>
      </c>
      <c r="N30" s="6"/>
      <c r="O30" s="5"/>
    </row>
    <row r="31" spans="1:15">
      <c r="A31" s="286">
        <v>28</v>
      </c>
      <c r="B31" s="284">
        <v>45775</v>
      </c>
      <c r="C31" s="6"/>
      <c r="D31" s="6"/>
      <c r="E31" s="79">
        <v>0</v>
      </c>
      <c r="F31" s="6">
        <v>0</v>
      </c>
      <c r="G31" s="80">
        <f t="shared" si="0"/>
        <v>0</v>
      </c>
      <c r="H31" s="79">
        <v>0</v>
      </c>
      <c r="I31" s="6">
        <v>0</v>
      </c>
      <c r="J31" s="80">
        <f t="shared" si="1"/>
        <v>0</v>
      </c>
      <c r="K31" s="80">
        <f t="shared" si="2"/>
        <v>0</v>
      </c>
      <c r="L31" s="190">
        <f t="shared" si="3"/>
        <v>0</v>
      </c>
      <c r="M31" s="176">
        <v>0</v>
      </c>
      <c r="N31" s="6"/>
      <c r="O31" s="5"/>
    </row>
    <row r="32" spans="1:15">
      <c r="A32" s="287">
        <v>29</v>
      </c>
      <c r="B32" s="284">
        <v>45776</v>
      </c>
      <c r="C32" s="6"/>
      <c r="D32" s="6"/>
      <c r="E32" s="79">
        <v>0</v>
      </c>
      <c r="F32" s="6">
        <v>0</v>
      </c>
      <c r="G32" s="80">
        <f t="shared" si="0"/>
        <v>0</v>
      </c>
      <c r="H32" s="79">
        <v>0</v>
      </c>
      <c r="I32" s="6">
        <v>0</v>
      </c>
      <c r="J32" s="80">
        <f t="shared" si="1"/>
        <v>0</v>
      </c>
      <c r="K32" s="80">
        <f t="shared" si="2"/>
        <v>0</v>
      </c>
      <c r="L32" s="190">
        <f t="shared" si="3"/>
        <v>0</v>
      </c>
      <c r="M32" s="176">
        <v>0</v>
      </c>
      <c r="N32" s="6"/>
      <c r="O32" s="5"/>
    </row>
    <row r="33" spans="1:15">
      <c r="A33" s="287">
        <v>30</v>
      </c>
      <c r="B33" s="284">
        <v>45777</v>
      </c>
      <c r="C33" s="6"/>
      <c r="D33" s="6"/>
      <c r="E33" s="79">
        <v>0</v>
      </c>
      <c r="F33" s="6">
        <v>0</v>
      </c>
      <c r="G33" s="80">
        <f t="shared" si="0"/>
        <v>0</v>
      </c>
      <c r="H33" s="79">
        <v>0</v>
      </c>
      <c r="I33" s="6">
        <v>0</v>
      </c>
      <c r="J33" s="80">
        <f t="shared" si="1"/>
        <v>0</v>
      </c>
      <c r="K33" s="80">
        <f t="shared" si="2"/>
        <v>0</v>
      </c>
      <c r="L33" s="190">
        <f t="shared" si="3"/>
        <v>0</v>
      </c>
      <c r="M33" s="176">
        <v>0</v>
      </c>
      <c r="N33" s="6"/>
      <c r="O33" s="5"/>
    </row>
    <row r="34" spans="1:15">
      <c r="A34" s="287">
        <v>31</v>
      </c>
      <c r="B34" s="284"/>
      <c r="C34" s="6"/>
      <c r="D34" s="6"/>
      <c r="E34" s="79">
        <v>0</v>
      </c>
      <c r="F34" s="6">
        <v>0</v>
      </c>
      <c r="G34" s="80">
        <f t="shared" si="0"/>
        <v>0</v>
      </c>
      <c r="H34" s="79">
        <v>0</v>
      </c>
      <c r="I34" s="6">
        <v>0</v>
      </c>
      <c r="J34" s="80">
        <f t="shared" si="1"/>
        <v>0</v>
      </c>
      <c r="K34" s="80">
        <f t="shared" si="2"/>
        <v>0</v>
      </c>
      <c r="L34" s="190">
        <f t="shared" si="3"/>
        <v>0</v>
      </c>
      <c r="M34" s="176">
        <v>0</v>
      </c>
      <c r="N34" s="6"/>
      <c r="O34" s="5"/>
    </row>
    <row r="35" spans="1:15">
      <c r="A35" s="27">
        <v>34</v>
      </c>
      <c r="B35" s="93"/>
      <c r="C35" s="6"/>
      <c r="D35" s="6"/>
      <c r="E35" s="79">
        <v>0</v>
      </c>
      <c r="F35" s="6">
        <v>0</v>
      </c>
      <c r="G35" s="80">
        <f t="shared" si="0"/>
        <v>0</v>
      </c>
      <c r="H35" s="79">
        <v>0</v>
      </c>
      <c r="I35" s="6">
        <v>0</v>
      </c>
      <c r="J35" s="80">
        <f t="shared" si="1"/>
        <v>0</v>
      </c>
      <c r="K35" s="80">
        <f t="shared" si="2"/>
        <v>0</v>
      </c>
      <c r="L35" s="190">
        <f t="shared" si="3"/>
        <v>0</v>
      </c>
      <c r="M35" s="176">
        <v>0</v>
      </c>
      <c r="N35" s="6"/>
      <c r="O35" s="5"/>
    </row>
    <row r="36" spans="1:15">
      <c r="A36" s="27">
        <v>35</v>
      </c>
      <c r="B36" s="93"/>
      <c r="C36" s="6"/>
      <c r="D36" s="6"/>
      <c r="E36" s="79">
        <v>0</v>
      </c>
      <c r="F36" s="6">
        <v>0</v>
      </c>
      <c r="G36" s="80">
        <f t="shared" si="0"/>
        <v>0</v>
      </c>
      <c r="H36" s="79">
        <v>0</v>
      </c>
      <c r="I36" s="6">
        <v>0</v>
      </c>
      <c r="J36" s="80">
        <f t="shared" si="1"/>
        <v>0</v>
      </c>
      <c r="K36" s="80">
        <f t="shared" si="2"/>
        <v>0</v>
      </c>
      <c r="L36" s="190">
        <f t="shared" si="3"/>
        <v>0</v>
      </c>
      <c r="M36" s="176">
        <v>0</v>
      </c>
      <c r="N36" s="6"/>
      <c r="O36" s="5"/>
    </row>
    <row r="37" spans="1:15">
      <c r="A37" s="27">
        <v>36</v>
      </c>
      <c r="B37" s="93"/>
      <c r="C37" s="6"/>
      <c r="D37" s="6"/>
      <c r="E37" s="79">
        <v>0</v>
      </c>
      <c r="F37" s="6">
        <v>0</v>
      </c>
      <c r="G37" s="80">
        <f t="shared" si="0"/>
        <v>0</v>
      </c>
      <c r="H37" s="79">
        <v>0</v>
      </c>
      <c r="I37" s="6">
        <v>0</v>
      </c>
      <c r="J37" s="80">
        <f t="shared" si="1"/>
        <v>0</v>
      </c>
      <c r="K37" s="80">
        <f t="shared" si="2"/>
        <v>0</v>
      </c>
      <c r="L37" s="190">
        <f t="shared" si="3"/>
        <v>0</v>
      </c>
      <c r="M37" s="176">
        <v>0</v>
      </c>
      <c r="N37" s="6"/>
      <c r="O37" s="5"/>
    </row>
    <row r="38" spans="1:15">
      <c r="A38" s="27">
        <v>37</v>
      </c>
      <c r="B38" s="93"/>
      <c r="C38" s="6"/>
      <c r="D38" s="6"/>
      <c r="E38" s="79">
        <v>0</v>
      </c>
      <c r="F38" s="6">
        <v>0</v>
      </c>
      <c r="G38" s="80">
        <f t="shared" si="0"/>
        <v>0</v>
      </c>
      <c r="H38" s="79">
        <v>0</v>
      </c>
      <c r="I38" s="6">
        <v>0</v>
      </c>
      <c r="J38" s="80">
        <f t="shared" si="1"/>
        <v>0</v>
      </c>
      <c r="K38" s="80">
        <f t="shared" si="2"/>
        <v>0</v>
      </c>
      <c r="L38" s="190">
        <f t="shared" si="3"/>
        <v>0</v>
      </c>
      <c r="M38" s="176">
        <v>0</v>
      </c>
      <c r="N38" s="6"/>
      <c r="O38" s="5"/>
    </row>
    <row r="39" spans="1:15">
      <c r="A39" s="27">
        <v>38</v>
      </c>
      <c r="B39" s="93"/>
      <c r="C39" s="6"/>
      <c r="D39" s="6"/>
      <c r="E39" s="79">
        <v>0</v>
      </c>
      <c r="F39" s="6">
        <v>0</v>
      </c>
      <c r="G39" s="80">
        <f t="shared" si="0"/>
        <v>0</v>
      </c>
      <c r="H39" s="79">
        <v>0</v>
      </c>
      <c r="I39" s="6">
        <v>0</v>
      </c>
      <c r="J39" s="80">
        <f t="shared" si="1"/>
        <v>0</v>
      </c>
      <c r="K39" s="80">
        <f t="shared" si="2"/>
        <v>0</v>
      </c>
      <c r="L39" s="190">
        <f t="shared" si="3"/>
        <v>0</v>
      </c>
      <c r="M39" s="176">
        <v>0</v>
      </c>
      <c r="N39" s="6"/>
      <c r="O39" s="5"/>
    </row>
    <row r="40" spans="1:15">
      <c r="A40" s="243">
        <v>39</v>
      </c>
      <c r="B40" s="201"/>
      <c r="C40" s="200"/>
      <c r="D40" s="6"/>
      <c r="E40" s="79">
        <v>0</v>
      </c>
      <c r="F40" s="6">
        <v>0</v>
      </c>
      <c r="G40" s="80">
        <f t="shared" si="0"/>
        <v>0</v>
      </c>
      <c r="H40" s="79">
        <v>0</v>
      </c>
      <c r="I40" s="6">
        <v>0</v>
      </c>
      <c r="J40" s="80">
        <f t="shared" si="1"/>
        <v>0</v>
      </c>
      <c r="K40" s="80">
        <f t="shared" si="2"/>
        <v>0</v>
      </c>
      <c r="L40" s="190">
        <f t="shared" si="3"/>
        <v>0</v>
      </c>
      <c r="M40" s="204">
        <v>0</v>
      </c>
      <c r="N40" s="200"/>
      <c r="O40" s="5"/>
    </row>
    <row r="41" spans="1:15">
      <c r="A41" s="27">
        <v>40</v>
      </c>
      <c r="B41" s="6"/>
      <c r="C41" s="6"/>
      <c r="D41" s="6"/>
      <c r="E41" s="79">
        <v>0</v>
      </c>
      <c r="F41" s="6">
        <v>0</v>
      </c>
      <c r="G41" s="80">
        <f t="shared" si="0"/>
        <v>0</v>
      </c>
      <c r="H41" s="79">
        <v>0</v>
      </c>
      <c r="I41" s="6">
        <v>0</v>
      </c>
      <c r="J41" s="80">
        <f t="shared" si="1"/>
        <v>0</v>
      </c>
      <c r="K41" s="80">
        <f t="shared" si="2"/>
        <v>0</v>
      </c>
      <c r="L41" s="190">
        <f t="shared" si="3"/>
        <v>0</v>
      </c>
      <c r="M41" s="176">
        <v>0</v>
      </c>
      <c r="N41" s="6"/>
      <c r="O41" s="5"/>
    </row>
    <row r="42" spans="1:15">
      <c r="A42" s="243">
        <v>41</v>
      </c>
      <c r="B42" s="200"/>
      <c r="C42" s="200"/>
      <c r="D42" s="6"/>
      <c r="E42" s="79">
        <v>0</v>
      </c>
      <c r="F42" s="6">
        <v>0</v>
      </c>
      <c r="G42" s="80">
        <f t="shared" si="0"/>
        <v>0</v>
      </c>
      <c r="H42" s="79">
        <v>0</v>
      </c>
      <c r="I42" s="6">
        <v>0</v>
      </c>
      <c r="J42" s="80">
        <f t="shared" si="1"/>
        <v>0</v>
      </c>
      <c r="K42" s="80">
        <f t="shared" si="2"/>
        <v>0</v>
      </c>
      <c r="L42" s="190">
        <f t="shared" si="3"/>
        <v>0</v>
      </c>
      <c r="M42" s="204">
        <v>0</v>
      </c>
      <c r="N42" s="200"/>
      <c r="O42" s="5"/>
    </row>
    <row r="43" spans="1:15">
      <c r="A43" s="243">
        <v>42</v>
      </c>
      <c r="B43" s="200"/>
      <c r="C43" s="200"/>
      <c r="D43" s="6"/>
      <c r="E43" s="79">
        <v>0</v>
      </c>
      <c r="F43" s="6">
        <v>0</v>
      </c>
      <c r="G43" s="80">
        <f t="shared" si="0"/>
        <v>0</v>
      </c>
      <c r="H43" s="79">
        <v>0</v>
      </c>
      <c r="I43" s="6">
        <v>0</v>
      </c>
      <c r="J43" s="80">
        <f t="shared" si="1"/>
        <v>0</v>
      </c>
      <c r="K43" s="80">
        <f t="shared" si="2"/>
        <v>0</v>
      </c>
      <c r="L43" s="190">
        <f t="shared" si="3"/>
        <v>0</v>
      </c>
      <c r="M43" s="204">
        <v>0</v>
      </c>
      <c r="N43" s="200"/>
      <c r="O43" s="5"/>
    </row>
    <row r="44" spans="1:15">
      <c r="A44" s="76"/>
      <c r="B44" s="76"/>
      <c r="C44" s="76"/>
      <c r="D44" s="76"/>
      <c r="E44" s="77">
        <f>SUM(E4:E43)</f>
        <v>0</v>
      </c>
      <c r="F44" s="77"/>
      <c r="G44" s="77">
        <f>SUM(G4:G43)</f>
        <v>0</v>
      </c>
      <c r="H44" s="77">
        <f>SUM(H4:H43)</f>
        <v>0</v>
      </c>
      <c r="I44" s="77"/>
      <c r="J44" s="77">
        <f>SUM(J4:J43)</f>
        <v>0</v>
      </c>
      <c r="K44" s="77">
        <f>SUM(K4:K43)</f>
        <v>0</v>
      </c>
      <c r="L44" s="77">
        <f>SUM(L4:L43)</f>
        <v>0</v>
      </c>
      <c r="M44" s="77"/>
      <c r="N44" s="77"/>
      <c r="O44" s="73"/>
    </row>
    <row r="45" spans="1:15">
      <c r="A45" s="5"/>
      <c r="B45" s="5"/>
      <c r="C45" s="5"/>
      <c r="D45" s="5"/>
      <c r="E45" s="5"/>
      <c r="F45" s="5"/>
      <c r="G45" s="118"/>
      <c r="H45" s="5"/>
      <c r="I45" s="5"/>
      <c r="J45" s="118"/>
      <c r="K45" s="5"/>
      <c r="L45" s="118"/>
      <c r="M45" s="118"/>
      <c r="N45" s="5"/>
      <c r="O45" s="5"/>
    </row>
    <row r="46" spans="1:15">
      <c r="A46" s="5"/>
      <c r="B46" s="5"/>
      <c r="C46" s="5"/>
      <c r="D46" s="5"/>
      <c r="E46" s="5"/>
      <c r="F46" s="5"/>
      <c r="G46" s="118"/>
      <c r="H46" s="5"/>
      <c r="I46" s="5"/>
      <c r="J46" s="118"/>
      <c r="K46" s="5"/>
      <c r="L46" s="118"/>
      <c r="M46" s="118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workbookViewId="0">
      <selection activeCell="U11" sqref="U11"/>
    </sheetView>
  </sheetViews>
  <sheetFormatPr defaultRowHeight="15"/>
  <cols>
    <col min="1" max="1" width="6.140625" customWidth="1"/>
    <col min="2" max="2" width="10.85546875" bestFit="1" customWidth="1"/>
    <col min="7" max="7" width="10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417" t="s">
        <v>75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5"/>
    </row>
    <row r="2" spans="1:15" ht="30.75">
      <c r="A2" s="78" t="s">
        <v>81</v>
      </c>
      <c r="B2" s="98" t="s">
        <v>82</v>
      </c>
      <c r="C2" s="98" t="s">
        <v>83</v>
      </c>
      <c r="D2" s="98" t="s">
        <v>108</v>
      </c>
      <c r="E2" s="98" t="s">
        <v>85</v>
      </c>
      <c r="F2" s="98" t="s">
        <v>86</v>
      </c>
      <c r="G2" s="106" t="s">
        <v>87</v>
      </c>
      <c r="H2" s="98" t="s">
        <v>88</v>
      </c>
      <c r="I2" s="98" t="s">
        <v>86</v>
      </c>
      <c r="J2" s="106" t="s">
        <v>87</v>
      </c>
      <c r="K2" s="78" t="s">
        <v>89</v>
      </c>
      <c r="L2" s="107" t="s">
        <v>90</v>
      </c>
      <c r="M2" s="100" t="s">
        <v>97</v>
      </c>
      <c r="N2" s="98" t="s">
        <v>92</v>
      </c>
      <c r="O2" s="5"/>
    </row>
    <row r="3" spans="1:15">
      <c r="A3" s="428" t="s">
        <v>93</v>
      </c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30"/>
      <c r="M3" s="431">
        <v>0</v>
      </c>
      <c r="N3" s="432"/>
      <c r="O3" s="5"/>
    </row>
    <row r="4" spans="1:15">
      <c r="A4" s="245">
        <v>1</v>
      </c>
      <c r="B4" s="284">
        <v>45748</v>
      </c>
      <c r="C4" s="6"/>
      <c r="D4" s="6"/>
      <c r="E4" s="79">
        <v>30</v>
      </c>
      <c r="F4" s="6">
        <v>89.33</v>
      </c>
      <c r="G4" s="80">
        <f>E4*F4</f>
        <v>2679.9</v>
      </c>
      <c r="H4" s="79">
        <v>7</v>
      </c>
      <c r="I4" s="6">
        <v>103.26</v>
      </c>
      <c r="J4" s="80">
        <f>H4*I4</f>
        <v>722.82</v>
      </c>
      <c r="K4" s="80">
        <f>G4+J4</f>
        <v>3402.7200000000003</v>
      </c>
      <c r="L4" s="190">
        <f>+K4</f>
        <v>3402.7200000000003</v>
      </c>
      <c r="M4" s="176">
        <f>M3+K4-L4</f>
        <v>0</v>
      </c>
      <c r="N4" s="56" t="s">
        <v>112</v>
      </c>
      <c r="O4" s="5"/>
    </row>
    <row r="5" spans="1:15">
      <c r="A5" s="56">
        <v>2</v>
      </c>
      <c r="B5" s="284">
        <v>45749</v>
      </c>
      <c r="C5" s="6"/>
      <c r="D5" s="6"/>
      <c r="E5" s="79">
        <v>75.47</v>
      </c>
      <c r="F5" s="6">
        <v>91.33</v>
      </c>
      <c r="G5" s="80">
        <f t="shared" ref="G5:G41" si="0">E5*F5</f>
        <v>6892.6750999999995</v>
      </c>
      <c r="H5" s="79">
        <v>0</v>
      </c>
      <c r="I5" s="6">
        <v>0</v>
      </c>
      <c r="J5" s="80">
        <f t="shared" ref="J5:J41" si="1">H5*I5</f>
        <v>0</v>
      </c>
      <c r="K5" s="80">
        <f t="shared" ref="K5:K41" si="2">G5+J5</f>
        <v>6892.6750999999995</v>
      </c>
      <c r="L5" s="190">
        <f t="shared" ref="L5:L41" si="3">+K5</f>
        <v>6892.6750999999995</v>
      </c>
      <c r="M5" s="176">
        <f t="shared" ref="M5:M31" si="4">M4+K5-L5</f>
        <v>0</v>
      </c>
      <c r="N5" s="56" t="s">
        <v>112</v>
      </c>
      <c r="O5" s="5"/>
    </row>
    <row r="6" spans="1:15">
      <c r="A6" s="56">
        <v>3</v>
      </c>
      <c r="B6" s="284">
        <v>45750</v>
      </c>
      <c r="C6" s="6"/>
      <c r="D6" s="6"/>
      <c r="E6" s="79">
        <v>0</v>
      </c>
      <c r="F6" s="6">
        <v>0</v>
      </c>
      <c r="G6" s="80">
        <f t="shared" si="0"/>
        <v>0</v>
      </c>
      <c r="H6" s="79">
        <v>9.85</v>
      </c>
      <c r="I6" s="6">
        <v>103.26</v>
      </c>
      <c r="J6" s="80">
        <f t="shared" si="1"/>
        <v>1017.111</v>
      </c>
      <c r="K6" s="80">
        <f t="shared" si="2"/>
        <v>1017.111</v>
      </c>
      <c r="L6" s="190">
        <f t="shared" si="3"/>
        <v>1017.111</v>
      </c>
      <c r="M6" s="176">
        <f t="shared" si="4"/>
        <v>0</v>
      </c>
      <c r="N6" s="56" t="s">
        <v>112</v>
      </c>
      <c r="O6" s="5"/>
    </row>
    <row r="7" spans="1:15">
      <c r="A7" s="56">
        <v>4</v>
      </c>
      <c r="B7" s="284">
        <v>45751</v>
      </c>
      <c r="C7" s="6"/>
      <c r="D7" s="6"/>
      <c r="E7" s="79">
        <v>0</v>
      </c>
      <c r="F7" s="6">
        <v>0</v>
      </c>
      <c r="G7" s="80">
        <f t="shared" si="0"/>
        <v>0</v>
      </c>
      <c r="H7" s="79">
        <v>0</v>
      </c>
      <c r="I7" s="6">
        <v>0</v>
      </c>
      <c r="J7" s="80">
        <f t="shared" si="1"/>
        <v>0</v>
      </c>
      <c r="K7" s="80">
        <f t="shared" si="2"/>
        <v>0</v>
      </c>
      <c r="L7" s="190">
        <f t="shared" si="3"/>
        <v>0</v>
      </c>
      <c r="M7" s="176">
        <f t="shared" si="4"/>
        <v>0</v>
      </c>
      <c r="N7" s="56" t="s">
        <v>112</v>
      </c>
      <c r="O7" s="5"/>
    </row>
    <row r="8" spans="1:15">
      <c r="A8" s="56">
        <v>5</v>
      </c>
      <c r="B8" s="284">
        <v>45752</v>
      </c>
      <c r="C8" s="6"/>
      <c r="D8" s="6"/>
      <c r="E8" s="79">
        <v>36.25</v>
      </c>
      <c r="F8" s="6">
        <v>91.33</v>
      </c>
      <c r="G8" s="80">
        <f t="shared" si="0"/>
        <v>3310.7125000000001</v>
      </c>
      <c r="H8" s="79">
        <v>0</v>
      </c>
      <c r="I8" s="6">
        <v>0</v>
      </c>
      <c r="J8" s="80">
        <f t="shared" si="1"/>
        <v>0</v>
      </c>
      <c r="K8" s="80">
        <f t="shared" si="2"/>
        <v>3310.7125000000001</v>
      </c>
      <c r="L8" s="190">
        <f t="shared" si="3"/>
        <v>3310.7125000000001</v>
      </c>
      <c r="M8" s="176">
        <f t="shared" si="4"/>
        <v>0</v>
      </c>
      <c r="N8" s="56" t="s">
        <v>112</v>
      </c>
      <c r="O8" s="5"/>
    </row>
    <row r="9" spans="1:15">
      <c r="A9" s="56">
        <v>6</v>
      </c>
      <c r="B9" s="284">
        <v>45753</v>
      </c>
      <c r="C9" s="6"/>
      <c r="D9" s="6"/>
      <c r="E9" s="79">
        <v>70</v>
      </c>
      <c r="F9" s="6">
        <v>91.33</v>
      </c>
      <c r="G9" s="80">
        <f t="shared" si="0"/>
        <v>6393.0999999999995</v>
      </c>
      <c r="H9" s="79">
        <v>0</v>
      </c>
      <c r="I9" s="6">
        <v>0</v>
      </c>
      <c r="J9" s="80">
        <f t="shared" si="1"/>
        <v>0</v>
      </c>
      <c r="K9" s="80">
        <f t="shared" si="2"/>
        <v>6393.0999999999995</v>
      </c>
      <c r="L9" s="190">
        <f t="shared" si="3"/>
        <v>6393.0999999999995</v>
      </c>
      <c r="M9" s="176">
        <f t="shared" si="4"/>
        <v>0</v>
      </c>
      <c r="N9" s="56" t="s">
        <v>112</v>
      </c>
      <c r="O9" s="5"/>
    </row>
    <row r="10" spans="1:15">
      <c r="A10" s="56">
        <v>7</v>
      </c>
      <c r="B10" s="284">
        <v>45754</v>
      </c>
      <c r="C10" s="6"/>
      <c r="D10" s="6"/>
      <c r="E10" s="79">
        <v>0</v>
      </c>
      <c r="F10" s="6">
        <v>0</v>
      </c>
      <c r="G10" s="80">
        <f t="shared" si="0"/>
        <v>0</v>
      </c>
      <c r="H10" s="79">
        <v>0</v>
      </c>
      <c r="I10" s="6">
        <v>0</v>
      </c>
      <c r="J10" s="80">
        <f t="shared" si="1"/>
        <v>0</v>
      </c>
      <c r="K10" s="80">
        <f t="shared" si="2"/>
        <v>0</v>
      </c>
      <c r="L10" s="190">
        <f t="shared" si="3"/>
        <v>0</v>
      </c>
      <c r="M10" s="176">
        <f t="shared" si="4"/>
        <v>0</v>
      </c>
      <c r="N10" s="56" t="s">
        <v>112</v>
      </c>
      <c r="O10" s="5"/>
    </row>
    <row r="11" spans="1:15">
      <c r="A11" s="56">
        <v>8</v>
      </c>
      <c r="B11" s="284">
        <v>45755</v>
      </c>
      <c r="C11" s="6"/>
      <c r="D11" s="6"/>
      <c r="E11" s="79">
        <v>66.58</v>
      </c>
      <c r="F11" s="6">
        <v>91.33</v>
      </c>
      <c r="G11" s="80">
        <f t="shared" si="0"/>
        <v>6080.7514000000001</v>
      </c>
      <c r="H11" s="79">
        <v>5.81</v>
      </c>
      <c r="I11" s="6">
        <v>103.26</v>
      </c>
      <c r="J11" s="80">
        <f t="shared" si="1"/>
        <v>599.94060000000002</v>
      </c>
      <c r="K11" s="80">
        <f t="shared" si="2"/>
        <v>6680.692</v>
      </c>
      <c r="L11" s="190">
        <f t="shared" si="3"/>
        <v>6680.692</v>
      </c>
      <c r="M11" s="176">
        <f t="shared" si="4"/>
        <v>0</v>
      </c>
      <c r="N11" s="56" t="s">
        <v>112</v>
      </c>
      <c r="O11" s="5"/>
    </row>
    <row r="12" spans="1:15">
      <c r="A12" s="56">
        <v>9</v>
      </c>
      <c r="B12" s="284">
        <v>45756</v>
      </c>
      <c r="C12" s="6"/>
      <c r="D12" s="6"/>
      <c r="E12" s="79">
        <v>30</v>
      </c>
      <c r="F12" s="6">
        <v>91.33</v>
      </c>
      <c r="G12" s="80">
        <f t="shared" si="0"/>
        <v>2739.9</v>
      </c>
      <c r="H12" s="79">
        <v>0</v>
      </c>
      <c r="I12" s="6">
        <v>0</v>
      </c>
      <c r="J12" s="80">
        <f t="shared" si="1"/>
        <v>0</v>
      </c>
      <c r="K12" s="80">
        <f t="shared" si="2"/>
        <v>2739.9</v>
      </c>
      <c r="L12" s="190">
        <f t="shared" si="3"/>
        <v>2739.9</v>
      </c>
      <c r="M12" s="176">
        <f t="shared" si="4"/>
        <v>0</v>
      </c>
      <c r="N12" s="56" t="s">
        <v>112</v>
      </c>
      <c r="O12" s="5"/>
    </row>
    <row r="13" spans="1:15">
      <c r="A13" s="56">
        <v>10</v>
      </c>
      <c r="B13" s="284">
        <v>45757</v>
      </c>
      <c r="C13" s="6"/>
      <c r="D13" s="6"/>
      <c r="E13" s="79">
        <v>100</v>
      </c>
      <c r="F13" s="6">
        <v>91.33</v>
      </c>
      <c r="G13" s="80">
        <f t="shared" si="0"/>
        <v>9133</v>
      </c>
      <c r="H13" s="79">
        <v>5</v>
      </c>
      <c r="I13" s="6">
        <v>103.26</v>
      </c>
      <c r="J13" s="80">
        <f t="shared" si="1"/>
        <v>516.30000000000007</v>
      </c>
      <c r="K13" s="80">
        <f t="shared" si="2"/>
        <v>9649.2999999999993</v>
      </c>
      <c r="L13" s="190">
        <f t="shared" si="3"/>
        <v>9649.2999999999993</v>
      </c>
      <c r="M13" s="176">
        <f t="shared" si="4"/>
        <v>0</v>
      </c>
      <c r="N13" s="56" t="s">
        <v>112</v>
      </c>
      <c r="O13" s="5"/>
    </row>
    <row r="14" spans="1:15">
      <c r="A14" s="56">
        <v>11</v>
      </c>
      <c r="B14" s="284">
        <v>45758</v>
      </c>
      <c r="C14" s="6"/>
      <c r="D14" s="6"/>
      <c r="E14" s="79">
        <v>0</v>
      </c>
      <c r="F14" s="6">
        <v>0</v>
      </c>
      <c r="G14" s="80">
        <f t="shared" si="0"/>
        <v>0</v>
      </c>
      <c r="H14" s="79">
        <v>0</v>
      </c>
      <c r="I14" s="6">
        <v>0</v>
      </c>
      <c r="J14" s="80">
        <f t="shared" si="1"/>
        <v>0</v>
      </c>
      <c r="K14" s="80">
        <f t="shared" si="2"/>
        <v>0</v>
      </c>
      <c r="L14" s="190">
        <f t="shared" si="3"/>
        <v>0</v>
      </c>
      <c r="M14" s="176">
        <f t="shared" si="4"/>
        <v>0</v>
      </c>
      <c r="N14" s="56" t="s">
        <v>112</v>
      </c>
      <c r="O14" s="5"/>
    </row>
    <row r="15" spans="1:15">
      <c r="A15" s="56">
        <v>12</v>
      </c>
      <c r="B15" s="284">
        <v>45759</v>
      </c>
      <c r="C15" s="6"/>
      <c r="D15" s="6"/>
      <c r="E15" s="79">
        <v>0</v>
      </c>
      <c r="F15" s="6">
        <v>0</v>
      </c>
      <c r="G15" s="80">
        <f t="shared" si="0"/>
        <v>0</v>
      </c>
      <c r="H15" s="79">
        <v>0</v>
      </c>
      <c r="I15" s="6">
        <v>0</v>
      </c>
      <c r="J15" s="80">
        <f t="shared" si="1"/>
        <v>0</v>
      </c>
      <c r="K15" s="80">
        <f t="shared" si="2"/>
        <v>0</v>
      </c>
      <c r="L15" s="190">
        <f t="shared" si="3"/>
        <v>0</v>
      </c>
      <c r="M15" s="176">
        <f t="shared" si="4"/>
        <v>0</v>
      </c>
      <c r="N15" s="56" t="s">
        <v>112</v>
      </c>
      <c r="O15" s="5"/>
    </row>
    <row r="16" spans="1:15">
      <c r="A16" s="56">
        <v>13</v>
      </c>
      <c r="B16" s="284">
        <v>45760</v>
      </c>
      <c r="C16" s="6"/>
      <c r="D16" s="6"/>
      <c r="E16" s="79">
        <v>30</v>
      </c>
      <c r="F16" s="6">
        <v>91.33</v>
      </c>
      <c r="G16" s="80">
        <f t="shared" si="0"/>
        <v>2739.9</v>
      </c>
      <c r="H16" s="79">
        <v>0</v>
      </c>
      <c r="I16" s="6">
        <v>0</v>
      </c>
      <c r="J16" s="80">
        <f t="shared" si="1"/>
        <v>0</v>
      </c>
      <c r="K16" s="80">
        <f t="shared" si="2"/>
        <v>2739.9</v>
      </c>
      <c r="L16" s="190">
        <f t="shared" si="3"/>
        <v>2739.9</v>
      </c>
      <c r="M16" s="176">
        <f t="shared" si="4"/>
        <v>0</v>
      </c>
      <c r="N16" s="56" t="s">
        <v>112</v>
      </c>
      <c r="O16" s="5"/>
    </row>
    <row r="17" spans="1:15">
      <c r="A17" s="56">
        <v>14</v>
      </c>
      <c r="B17" s="284">
        <v>45761</v>
      </c>
      <c r="C17" s="6"/>
      <c r="D17" s="6"/>
      <c r="E17" s="79">
        <v>0</v>
      </c>
      <c r="F17" s="6">
        <v>0</v>
      </c>
      <c r="G17" s="80">
        <f t="shared" si="0"/>
        <v>0</v>
      </c>
      <c r="H17" s="79">
        <v>0</v>
      </c>
      <c r="I17" s="6">
        <v>0</v>
      </c>
      <c r="J17" s="80">
        <f t="shared" si="1"/>
        <v>0</v>
      </c>
      <c r="K17" s="80">
        <f t="shared" si="2"/>
        <v>0</v>
      </c>
      <c r="L17" s="190">
        <f t="shared" si="3"/>
        <v>0</v>
      </c>
      <c r="M17" s="176">
        <f t="shared" si="4"/>
        <v>0</v>
      </c>
      <c r="N17" s="56" t="s">
        <v>112</v>
      </c>
      <c r="O17" s="5"/>
    </row>
    <row r="18" spans="1:15">
      <c r="A18" s="56">
        <v>15</v>
      </c>
      <c r="B18" s="284">
        <v>45762</v>
      </c>
      <c r="C18" s="6"/>
      <c r="D18" s="6"/>
      <c r="E18" s="79">
        <v>0</v>
      </c>
      <c r="F18" s="6">
        <v>0</v>
      </c>
      <c r="G18" s="80">
        <f t="shared" si="0"/>
        <v>0</v>
      </c>
      <c r="H18" s="79">
        <v>0</v>
      </c>
      <c r="I18" s="6">
        <v>0</v>
      </c>
      <c r="J18" s="80">
        <f t="shared" si="1"/>
        <v>0</v>
      </c>
      <c r="K18" s="80">
        <f t="shared" si="2"/>
        <v>0</v>
      </c>
      <c r="L18" s="190">
        <f t="shared" si="3"/>
        <v>0</v>
      </c>
      <c r="M18" s="176">
        <f t="shared" si="4"/>
        <v>0</v>
      </c>
      <c r="N18" s="56" t="s">
        <v>112</v>
      </c>
      <c r="O18" s="5"/>
    </row>
    <row r="19" spans="1:15">
      <c r="A19" s="56">
        <v>16</v>
      </c>
      <c r="B19" s="284">
        <v>45763</v>
      </c>
      <c r="C19" s="6"/>
      <c r="D19" s="6"/>
      <c r="E19" s="79">
        <v>0</v>
      </c>
      <c r="F19" s="6">
        <v>0</v>
      </c>
      <c r="G19" s="80">
        <f t="shared" si="0"/>
        <v>0</v>
      </c>
      <c r="H19" s="79">
        <v>0</v>
      </c>
      <c r="I19" s="6">
        <v>0</v>
      </c>
      <c r="J19" s="80">
        <f t="shared" si="1"/>
        <v>0</v>
      </c>
      <c r="K19" s="80">
        <f t="shared" si="2"/>
        <v>0</v>
      </c>
      <c r="L19" s="190">
        <f t="shared" si="3"/>
        <v>0</v>
      </c>
      <c r="M19" s="176">
        <f t="shared" si="4"/>
        <v>0</v>
      </c>
      <c r="N19" s="56" t="s">
        <v>112</v>
      </c>
      <c r="O19" s="5"/>
    </row>
    <row r="20" spans="1:15">
      <c r="A20" s="56">
        <v>17</v>
      </c>
      <c r="B20" s="284">
        <v>45764</v>
      </c>
      <c r="C20" s="6"/>
      <c r="D20" s="6"/>
      <c r="E20" s="79">
        <v>0</v>
      </c>
      <c r="F20" s="6">
        <v>0</v>
      </c>
      <c r="G20" s="80">
        <f t="shared" si="0"/>
        <v>0</v>
      </c>
      <c r="H20" s="79">
        <v>5</v>
      </c>
      <c r="I20" s="6">
        <v>103.26</v>
      </c>
      <c r="J20" s="80">
        <f t="shared" si="1"/>
        <v>516.30000000000007</v>
      </c>
      <c r="K20" s="80">
        <f t="shared" si="2"/>
        <v>516.30000000000007</v>
      </c>
      <c r="L20" s="190">
        <f t="shared" si="3"/>
        <v>516.30000000000007</v>
      </c>
      <c r="M20" s="176">
        <f t="shared" si="4"/>
        <v>0</v>
      </c>
      <c r="N20" s="56" t="s">
        <v>112</v>
      </c>
      <c r="O20" s="5"/>
    </row>
    <row r="21" spans="1:15">
      <c r="A21" s="56">
        <v>18</v>
      </c>
      <c r="B21" s="284">
        <v>45765</v>
      </c>
      <c r="C21" s="6"/>
      <c r="D21" s="6"/>
      <c r="E21" s="79">
        <v>0</v>
      </c>
      <c r="F21" s="6">
        <v>0</v>
      </c>
      <c r="G21" s="80">
        <f t="shared" si="0"/>
        <v>0</v>
      </c>
      <c r="H21" s="79">
        <v>0</v>
      </c>
      <c r="I21" s="6">
        <v>0</v>
      </c>
      <c r="J21" s="80">
        <f t="shared" si="1"/>
        <v>0</v>
      </c>
      <c r="K21" s="80">
        <f t="shared" si="2"/>
        <v>0</v>
      </c>
      <c r="L21" s="190">
        <f t="shared" si="3"/>
        <v>0</v>
      </c>
      <c r="M21" s="176">
        <f t="shared" si="4"/>
        <v>0</v>
      </c>
      <c r="N21" s="56" t="s">
        <v>112</v>
      </c>
      <c r="O21" s="5"/>
    </row>
    <row r="22" spans="1:15">
      <c r="A22" s="56">
        <v>19</v>
      </c>
      <c r="B22" s="284">
        <v>45766</v>
      </c>
      <c r="C22" s="6"/>
      <c r="D22" s="6"/>
      <c r="E22" s="79">
        <v>70</v>
      </c>
      <c r="F22" s="6">
        <v>91.33</v>
      </c>
      <c r="G22" s="80">
        <f t="shared" si="0"/>
        <v>6393.0999999999995</v>
      </c>
      <c r="H22" s="79">
        <v>0</v>
      </c>
      <c r="I22" s="6">
        <v>0</v>
      </c>
      <c r="J22" s="80">
        <f t="shared" si="1"/>
        <v>0</v>
      </c>
      <c r="K22" s="80">
        <f t="shared" si="2"/>
        <v>6393.0999999999995</v>
      </c>
      <c r="L22" s="190">
        <f t="shared" si="3"/>
        <v>6393.0999999999995</v>
      </c>
      <c r="M22" s="176">
        <f t="shared" si="4"/>
        <v>0</v>
      </c>
      <c r="N22" s="56" t="s">
        <v>112</v>
      </c>
      <c r="O22" s="5"/>
    </row>
    <row r="23" spans="1:15">
      <c r="A23" s="56">
        <v>20</v>
      </c>
      <c r="B23" s="284">
        <v>45767</v>
      </c>
      <c r="C23" s="6"/>
      <c r="D23" s="6"/>
      <c r="E23" s="79">
        <v>0</v>
      </c>
      <c r="F23" s="6">
        <v>0</v>
      </c>
      <c r="G23" s="80">
        <f t="shared" si="0"/>
        <v>0</v>
      </c>
      <c r="H23" s="79">
        <v>0</v>
      </c>
      <c r="I23" s="6">
        <v>0</v>
      </c>
      <c r="J23" s="80">
        <f t="shared" si="1"/>
        <v>0</v>
      </c>
      <c r="K23" s="80">
        <f t="shared" si="2"/>
        <v>0</v>
      </c>
      <c r="L23" s="190">
        <f t="shared" si="3"/>
        <v>0</v>
      </c>
      <c r="M23" s="176">
        <f t="shared" si="4"/>
        <v>0</v>
      </c>
      <c r="N23" s="56"/>
      <c r="O23" s="5"/>
    </row>
    <row r="24" spans="1:15">
      <c r="A24" s="56">
        <v>21</v>
      </c>
      <c r="B24" s="284">
        <v>45768</v>
      </c>
      <c r="C24" s="6"/>
      <c r="D24" s="6"/>
      <c r="E24" s="79">
        <v>0</v>
      </c>
      <c r="F24" s="6">
        <v>0</v>
      </c>
      <c r="G24" s="80">
        <f t="shared" si="0"/>
        <v>0</v>
      </c>
      <c r="H24" s="79">
        <v>0</v>
      </c>
      <c r="I24" s="6">
        <v>0</v>
      </c>
      <c r="J24" s="80">
        <f t="shared" si="1"/>
        <v>0</v>
      </c>
      <c r="K24" s="80">
        <f t="shared" si="2"/>
        <v>0</v>
      </c>
      <c r="L24" s="190">
        <f t="shared" si="3"/>
        <v>0</v>
      </c>
      <c r="M24" s="176">
        <f t="shared" si="4"/>
        <v>0</v>
      </c>
      <c r="N24" s="56"/>
      <c r="O24" s="5"/>
    </row>
    <row r="25" spans="1:15">
      <c r="A25" s="56">
        <v>22</v>
      </c>
      <c r="B25" s="284">
        <v>45769</v>
      </c>
      <c r="C25" s="6"/>
      <c r="D25" s="6"/>
      <c r="E25" s="79">
        <v>70</v>
      </c>
      <c r="F25" s="6">
        <v>91.33</v>
      </c>
      <c r="G25" s="80">
        <f t="shared" si="0"/>
        <v>6393.0999999999995</v>
      </c>
      <c r="H25" s="79">
        <v>0</v>
      </c>
      <c r="I25" s="6">
        <v>0</v>
      </c>
      <c r="J25" s="80">
        <f t="shared" si="1"/>
        <v>0</v>
      </c>
      <c r="K25" s="80">
        <f t="shared" si="2"/>
        <v>6393.0999999999995</v>
      </c>
      <c r="L25" s="190">
        <f t="shared" si="3"/>
        <v>6393.0999999999995</v>
      </c>
      <c r="M25" s="176">
        <f t="shared" si="4"/>
        <v>0</v>
      </c>
      <c r="N25" s="56"/>
      <c r="O25" s="5"/>
    </row>
    <row r="26" spans="1:15">
      <c r="A26" s="56">
        <v>23</v>
      </c>
      <c r="B26" s="284">
        <v>45770</v>
      </c>
      <c r="C26" s="6"/>
      <c r="D26" s="6"/>
      <c r="E26" s="79">
        <v>0</v>
      </c>
      <c r="F26" s="6">
        <v>0</v>
      </c>
      <c r="G26" s="80">
        <f t="shared" si="0"/>
        <v>0</v>
      </c>
      <c r="H26" s="79">
        <v>0</v>
      </c>
      <c r="I26" s="6">
        <v>0</v>
      </c>
      <c r="J26" s="80">
        <f t="shared" si="1"/>
        <v>0</v>
      </c>
      <c r="K26" s="80">
        <f t="shared" si="2"/>
        <v>0</v>
      </c>
      <c r="L26" s="190">
        <f t="shared" si="3"/>
        <v>0</v>
      </c>
      <c r="M26" s="176">
        <f t="shared" si="4"/>
        <v>0</v>
      </c>
      <c r="N26" s="6"/>
      <c r="O26" s="5"/>
    </row>
    <row r="27" spans="1:15">
      <c r="A27" s="56">
        <v>24</v>
      </c>
      <c r="B27" s="284">
        <v>45771</v>
      </c>
      <c r="C27" s="6"/>
      <c r="D27" s="6"/>
      <c r="E27" s="79">
        <v>0</v>
      </c>
      <c r="F27" s="6">
        <v>0</v>
      </c>
      <c r="G27" s="80">
        <f t="shared" si="0"/>
        <v>0</v>
      </c>
      <c r="H27" s="79">
        <v>10.81</v>
      </c>
      <c r="I27" s="6">
        <v>103.26</v>
      </c>
      <c r="J27" s="80">
        <f t="shared" si="1"/>
        <v>1116.2406000000001</v>
      </c>
      <c r="K27" s="80">
        <f t="shared" si="2"/>
        <v>1116.2406000000001</v>
      </c>
      <c r="L27" s="190">
        <f t="shared" si="3"/>
        <v>1116.2406000000001</v>
      </c>
      <c r="M27" s="176">
        <f t="shared" si="4"/>
        <v>0</v>
      </c>
      <c r="N27" s="6"/>
      <c r="O27" s="5"/>
    </row>
    <row r="28" spans="1:15">
      <c r="A28" s="286">
        <v>25</v>
      </c>
      <c r="B28" s="284">
        <v>45772</v>
      </c>
      <c r="C28" s="6"/>
      <c r="D28" s="6"/>
      <c r="E28" s="79">
        <v>0</v>
      </c>
      <c r="F28" s="6">
        <v>0</v>
      </c>
      <c r="G28" s="80">
        <f t="shared" si="0"/>
        <v>0</v>
      </c>
      <c r="H28" s="79">
        <v>0</v>
      </c>
      <c r="I28" s="6">
        <v>0</v>
      </c>
      <c r="J28" s="80">
        <f t="shared" si="1"/>
        <v>0</v>
      </c>
      <c r="K28" s="80">
        <f t="shared" si="2"/>
        <v>0</v>
      </c>
      <c r="L28" s="190">
        <f t="shared" si="3"/>
        <v>0</v>
      </c>
      <c r="M28" s="176">
        <f t="shared" si="4"/>
        <v>0</v>
      </c>
      <c r="N28" s="6"/>
      <c r="O28" s="5"/>
    </row>
    <row r="29" spans="1:15">
      <c r="A29" s="286">
        <v>26</v>
      </c>
      <c r="B29" s="284">
        <v>45773</v>
      </c>
      <c r="C29" s="6"/>
      <c r="D29" s="6"/>
      <c r="E29" s="79">
        <v>0</v>
      </c>
      <c r="F29" s="6">
        <v>0</v>
      </c>
      <c r="G29" s="80">
        <f t="shared" si="0"/>
        <v>0</v>
      </c>
      <c r="H29" s="79">
        <v>0</v>
      </c>
      <c r="I29" s="6">
        <v>0</v>
      </c>
      <c r="J29" s="80">
        <f t="shared" si="1"/>
        <v>0</v>
      </c>
      <c r="K29" s="80">
        <f t="shared" si="2"/>
        <v>0</v>
      </c>
      <c r="L29" s="190">
        <f t="shared" si="3"/>
        <v>0</v>
      </c>
      <c r="M29" s="176">
        <f t="shared" si="4"/>
        <v>0</v>
      </c>
      <c r="N29" s="6"/>
      <c r="O29" s="5"/>
    </row>
    <row r="30" spans="1:15">
      <c r="A30" s="286">
        <v>27</v>
      </c>
      <c r="B30" s="284">
        <v>45774</v>
      </c>
      <c r="C30" s="6"/>
      <c r="D30" s="6"/>
      <c r="E30" s="79">
        <v>0</v>
      </c>
      <c r="F30" s="6">
        <v>0</v>
      </c>
      <c r="G30" s="80">
        <f t="shared" si="0"/>
        <v>0</v>
      </c>
      <c r="H30" s="79">
        <v>0</v>
      </c>
      <c r="I30" s="6">
        <v>0</v>
      </c>
      <c r="J30" s="80">
        <f t="shared" si="1"/>
        <v>0</v>
      </c>
      <c r="K30" s="80">
        <f t="shared" si="2"/>
        <v>0</v>
      </c>
      <c r="L30" s="190">
        <f t="shared" si="3"/>
        <v>0</v>
      </c>
      <c r="M30" s="176">
        <f t="shared" si="4"/>
        <v>0</v>
      </c>
      <c r="N30" s="6"/>
      <c r="O30" s="5"/>
    </row>
    <row r="31" spans="1:15">
      <c r="A31" s="286">
        <v>28</v>
      </c>
      <c r="B31" s="284">
        <v>45775</v>
      </c>
      <c r="C31" s="6"/>
      <c r="D31" s="6"/>
      <c r="E31" s="79">
        <v>0</v>
      </c>
      <c r="F31" s="6">
        <v>0</v>
      </c>
      <c r="G31" s="80">
        <f t="shared" si="0"/>
        <v>0</v>
      </c>
      <c r="H31" s="79">
        <v>0</v>
      </c>
      <c r="I31" s="6">
        <v>0</v>
      </c>
      <c r="J31" s="80">
        <f t="shared" si="1"/>
        <v>0</v>
      </c>
      <c r="K31" s="80">
        <f t="shared" si="2"/>
        <v>0</v>
      </c>
      <c r="L31" s="190">
        <f t="shared" si="3"/>
        <v>0</v>
      </c>
      <c r="M31" s="176">
        <f t="shared" si="4"/>
        <v>0</v>
      </c>
      <c r="N31" s="6"/>
      <c r="O31" s="5"/>
    </row>
    <row r="32" spans="1:15">
      <c r="A32" s="287">
        <v>29</v>
      </c>
      <c r="B32" s="284">
        <v>45776</v>
      </c>
      <c r="C32" s="6"/>
      <c r="D32" s="6"/>
      <c r="E32" s="79">
        <v>5</v>
      </c>
      <c r="F32" s="6">
        <v>91.33</v>
      </c>
      <c r="G32" s="80">
        <f t="shared" si="0"/>
        <v>456.65</v>
      </c>
      <c r="H32" s="79">
        <v>0</v>
      </c>
      <c r="I32" s="6">
        <v>0</v>
      </c>
      <c r="J32" s="80">
        <f t="shared" si="1"/>
        <v>0</v>
      </c>
      <c r="K32" s="80">
        <f t="shared" si="2"/>
        <v>456.65</v>
      </c>
      <c r="L32" s="190">
        <f t="shared" si="3"/>
        <v>456.65</v>
      </c>
      <c r="M32" s="176">
        <v>0</v>
      </c>
      <c r="N32" s="6"/>
      <c r="O32" s="5"/>
    </row>
    <row r="33" spans="1:15">
      <c r="A33" s="287">
        <v>30</v>
      </c>
      <c r="B33" s="284">
        <v>45777</v>
      </c>
      <c r="C33" s="6"/>
      <c r="D33" s="6"/>
      <c r="E33" s="79">
        <v>0</v>
      </c>
      <c r="F33" s="6">
        <v>0</v>
      </c>
      <c r="G33" s="80">
        <f t="shared" si="0"/>
        <v>0</v>
      </c>
      <c r="H33" s="79">
        <v>0</v>
      </c>
      <c r="I33" s="6">
        <v>0</v>
      </c>
      <c r="J33" s="80">
        <f t="shared" si="1"/>
        <v>0</v>
      </c>
      <c r="K33" s="80">
        <f t="shared" si="2"/>
        <v>0</v>
      </c>
      <c r="L33" s="190">
        <f t="shared" si="3"/>
        <v>0</v>
      </c>
      <c r="M33" s="176">
        <v>0</v>
      </c>
      <c r="N33" s="6"/>
      <c r="O33" s="5"/>
    </row>
    <row r="34" spans="1:15">
      <c r="A34" s="287">
        <v>31</v>
      </c>
      <c r="B34" s="284"/>
      <c r="C34" s="6"/>
      <c r="D34" s="6"/>
      <c r="E34" s="79">
        <v>0</v>
      </c>
      <c r="F34" s="6">
        <v>0</v>
      </c>
      <c r="G34" s="80">
        <f t="shared" si="0"/>
        <v>0</v>
      </c>
      <c r="H34" s="79">
        <v>0</v>
      </c>
      <c r="I34" s="6">
        <v>0</v>
      </c>
      <c r="J34" s="80">
        <f t="shared" si="1"/>
        <v>0</v>
      </c>
      <c r="K34" s="80">
        <f t="shared" si="2"/>
        <v>0</v>
      </c>
      <c r="L34" s="190">
        <f t="shared" si="3"/>
        <v>0</v>
      </c>
      <c r="M34" s="176">
        <v>0</v>
      </c>
      <c r="N34" s="6"/>
      <c r="O34" s="5"/>
    </row>
    <row r="35" spans="1:15">
      <c r="A35" s="6">
        <v>35</v>
      </c>
      <c r="B35" s="93"/>
      <c r="C35" s="6"/>
      <c r="D35" s="6"/>
      <c r="E35" s="79">
        <v>0</v>
      </c>
      <c r="F35" s="6">
        <v>0</v>
      </c>
      <c r="G35" s="80">
        <f t="shared" si="0"/>
        <v>0</v>
      </c>
      <c r="H35" s="79">
        <v>0</v>
      </c>
      <c r="I35" s="6">
        <v>0</v>
      </c>
      <c r="J35" s="80">
        <f t="shared" si="1"/>
        <v>0</v>
      </c>
      <c r="K35" s="80">
        <f t="shared" si="2"/>
        <v>0</v>
      </c>
      <c r="L35" s="190">
        <f t="shared" si="3"/>
        <v>0</v>
      </c>
      <c r="M35" s="176">
        <v>0</v>
      </c>
      <c r="N35" s="6"/>
      <c r="O35" s="5"/>
    </row>
    <row r="36" spans="1:15">
      <c r="A36" s="6">
        <v>36</v>
      </c>
      <c r="B36" s="93"/>
      <c r="C36" s="6"/>
      <c r="D36" s="6"/>
      <c r="E36" s="79">
        <v>0</v>
      </c>
      <c r="F36" s="6">
        <v>0</v>
      </c>
      <c r="G36" s="80">
        <f t="shared" si="0"/>
        <v>0</v>
      </c>
      <c r="H36" s="79">
        <v>0</v>
      </c>
      <c r="I36" s="6">
        <v>0</v>
      </c>
      <c r="J36" s="80">
        <f t="shared" si="1"/>
        <v>0</v>
      </c>
      <c r="K36" s="80">
        <f t="shared" si="2"/>
        <v>0</v>
      </c>
      <c r="L36" s="190">
        <f t="shared" si="3"/>
        <v>0</v>
      </c>
      <c r="M36" s="176">
        <v>0</v>
      </c>
      <c r="N36" s="6"/>
      <c r="O36" s="5"/>
    </row>
    <row r="37" spans="1:15">
      <c r="A37" s="6">
        <v>37</v>
      </c>
      <c r="B37" s="93"/>
      <c r="C37" s="6"/>
      <c r="D37" s="6"/>
      <c r="E37" s="79">
        <v>0</v>
      </c>
      <c r="F37" s="6">
        <v>0</v>
      </c>
      <c r="G37" s="80">
        <f t="shared" si="0"/>
        <v>0</v>
      </c>
      <c r="H37" s="79">
        <v>0</v>
      </c>
      <c r="I37" s="6">
        <v>0</v>
      </c>
      <c r="J37" s="80">
        <f t="shared" si="1"/>
        <v>0</v>
      </c>
      <c r="K37" s="80">
        <f t="shared" si="2"/>
        <v>0</v>
      </c>
      <c r="L37" s="190">
        <f t="shared" si="3"/>
        <v>0</v>
      </c>
      <c r="M37" s="176">
        <v>0</v>
      </c>
      <c r="N37" s="6"/>
      <c r="O37" s="5"/>
    </row>
    <row r="38" spans="1:15">
      <c r="A38" s="6">
        <v>38</v>
      </c>
      <c r="B38" s="93"/>
      <c r="C38" s="6"/>
      <c r="D38" s="6"/>
      <c r="E38" s="79">
        <v>0</v>
      </c>
      <c r="F38" s="6">
        <v>0</v>
      </c>
      <c r="G38" s="80">
        <f t="shared" si="0"/>
        <v>0</v>
      </c>
      <c r="H38" s="79">
        <v>0</v>
      </c>
      <c r="I38" s="6">
        <v>0</v>
      </c>
      <c r="J38" s="80">
        <f t="shared" si="1"/>
        <v>0</v>
      </c>
      <c r="K38" s="80">
        <f t="shared" si="2"/>
        <v>0</v>
      </c>
      <c r="L38" s="190">
        <f t="shared" si="3"/>
        <v>0</v>
      </c>
      <c r="M38" s="176">
        <v>0</v>
      </c>
      <c r="N38" s="6"/>
      <c r="O38" s="5"/>
    </row>
    <row r="39" spans="1:15">
      <c r="A39" s="200">
        <v>39</v>
      </c>
      <c r="B39" s="201"/>
      <c r="C39" s="200"/>
      <c r="D39" s="6"/>
      <c r="E39" s="79">
        <v>0</v>
      </c>
      <c r="F39" s="6">
        <v>0</v>
      </c>
      <c r="G39" s="80">
        <f t="shared" si="0"/>
        <v>0</v>
      </c>
      <c r="H39" s="79">
        <v>0</v>
      </c>
      <c r="I39" s="6">
        <v>0</v>
      </c>
      <c r="J39" s="80">
        <f t="shared" si="1"/>
        <v>0</v>
      </c>
      <c r="K39" s="80">
        <f t="shared" si="2"/>
        <v>0</v>
      </c>
      <c r="L39" s="190">
        <f t="shared" si="3"/>
        <v>0</v>
      </c>
      <c r="M39" s="204">
        <v>0</v>
      </c>
      <c r="N39" s="200"/>
      <c r="O39" s="5"/>
    </row>
    <row r="40" spans="1:15">
      <c r="A40" s="6">
        <v>40</v>
      </c>
      <c r="B40" s="6"/>
      <c r="C40" s="6"/>
      <c r="D40" s="6"/>
      <c r="E40" s="79">
        <v>0</v>
      </c>
      <c r="F40" s="6">
        <v>0</v>
      </c>
      <c r="G40" s="80">
        <f t="shared" si="0"/>
        <v>0</v>
      </c>
      <c r="H40" s="79">
        <v>0</v>
      </c>
      <c r="I40" s="6">
        <v>0</v>
      </c>
      <c r="J40" s="80">
        <f t="shared" si="1"/>
        <v>0</v>
      </c>
      <c r="K40" s="80">
        <f t="shared" si="2"/>
        <v>0</v>
      </c>
      <c r="L40" s="190">
        <f t="shared" si="3"/>
        <v>0</v>
      </c>
      <c r="M40" s="176">
        <v>0</v>
      </c>
      <c r="N40" s="6"/>
      <c r="O40" s="5"/>
    </row>
    <row r="41" spans="1:15">
      <c r="A41" s="200">
        <v>41</v>
      </c>
      <c r="B41" s="200"/>
      <c r="C41" s="200"/>
      <c r="D41" s="6"/>
      <c r="E41" s="79">
        <v>0</v>
      </c>
      <c r="F41" s="6">
        <v>0</v>
      </c>
      <c r="G41" s="80">
        <f t="shared" si="0"/>
        <v>0</v>
      </c>
      <c r="H41" s="79">
        <v>0</v>
      </c>
      <c r="I41" s="6">
        <v>0</v>
      </c>
      <c r="J41" s="80">
        <f t="shared" si="1"/>
        <v>0</v>
      </c>
      <c r="K41" s="80">
        <f t="shared" si="2"/>
        <v>0</v>
      </c>
      <c r="L41" s="190">
        <f t="shared" si="3"/>
        <v>0</v>
      </c>
      <c r="M41" s="204">
        <v>0</v>
      </c>
      <c r="N41" s="200"/>
      <c r="O41" s="5"/>
    </row>
    <row r="42" spans="1:15">
      <c r="A42" s="200">
        <v>42</v>
      </c>
      <c r="B42" s="200"/>
      <c r="C42" s="200"/>
      <c r="D42" s="6"/>
      <c r="E42" s="79">
        <v>0</v>
      </c>
      <c r="F42" s="6">
        <v>0</v>
      </c>
      <c r="G42" s="80">
        <f t="shared" ref="G5:G42" si="5">E42*F42</f>
        <v>0</v>
      </c>
      <c r="H42" s="79"/>
      <c r="I42" s="6"/>
      <c r="J42" s="80">
        <f t="shared" ref="J5:J42" si="6">H42*I42</f>
        <v>0</v>
      </c>
      <c r="K42" s="202">
        <f t="shared" ref="K5:K42" si="7">G42+J42</f>
        <v>0</v>
      </c>
      <c r="L42" s="203">
        <f t="shared" ref="L5:L42" si="8">+K42</f>
        <v>0</v>
      </c>
      <c r="M42" s="204">
        <v>0</v>
      </c>
      <c r="N42" s="200"/>
      <c r="O42" s="5"/>
    </row>
    <row r="43" spans="1:15">
      <c r="A43" s="76"/>
      <c r="B43" s="76"/>
      <c r="C43" s="76"/>
      <c r="D43" s="76"/>
      <c r="E43" s="77">
        <f>SUM(E4:E42)</f>
        <v>583.29999999999995</v>
      </c>
      <c r="F43" s="77"/>
      <c r="G43" s="77">
        <f>SUM(G4:G42)</f>
        <v>53212.789000000004</v>
      </c>
      <c r="H43" s="77">
        <f>SUM(H4:H42)</f>
        <v>43.47</v>
      </c>
      <c r="I43" s="77"/>
      <c r="J43" s="77">
        <f>SUM(J4:J42)</f>
        <v>4488.7121999999999</v>
      </c>
      <c r="K43" s="77">
        <f>SUM(K4:K42)</f>
        <v>57701.501199999999</v>
      </c>
      <c r="L43" s="77">
        <f>SUM(L4:L42)</f>
        <v>57701.501199999999</v>
      </c>
      <c r="M43" s="77"/>
      <c r="N43" s="77"/>
      <c r="O43" s="73"/>
    </row>
    <row r="44" spans="1:15">
      <c r="A44" s="5"/>
      <c r="B44" s="5"/>
      <c r="C44" s="5"/>
      <c r="D44" s="5"/>
      <c r="E44" s="5"/>
      <c r="F44" s="5"/>
      <c r="G44" s="118"/>
      <c r="H44" s="5"/>
      <c r="I44" s="5"/>
      <c r="J44" s="118"/>
      <c r="K44" s="5"/>
      <c r="L44" s="118"/>
      <c r="M44" s="118"/>
      <c r="N44" s="5"/>
      <c r="O44" s="5"/>
    </row>
    <row r="45" spans="1:15">
      <c r="A45" s="5"/>
      <c r="B45" s="5"/>
      <c r="C45" s="5"/>
      <c r="D45" s="5"/>
      <c r="E45" s="5"/>
      <c r="F45" s="5"/>
      <c r="G45" s="118"/>
      <c r="H45" s="5"/>
      <c r="I45" s="5"/>
      <c r="J45" s="118"/>
      <c r="K45" s="5"/>
      <c r="L45" s="118"/>
      <c r="M45" s="118"/>
      <c r="N45" s="5"/>
      <c r="O45" s="5"/>
    </row>
    <row r="46" spans="1:15">
      <c r="L46">
        <v>41648.541499999999</v>
      </c>
    </row>
    <row r="47" spans="1:15">
      <c r="L47" s="205">
        <f>L43+L46</f>
        <v>99350.042699999991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3"/>
  <sheetViews>
    <sheetView topLeftCell="A6" workbookViewId="0">
      <selection activeCell="R16" sqref="R16"/>
    </sheetView>
  </sheetViews>
  <sheetFormatPr defaultRowHeight="15"/>
  <cols>
    <col min="2" max="2" width="10.28515625" customWidth="1"/>
    <col min="7" max="7" width="10.85546875" bestFit="1" customWidth="1"/>
    <col min="11" max="11" width="13.140625" bestFit="1" customWidth="1"/>
    <col min="12" max="12" width="12.140625" bestFit="1" customWidth="1"/>
    <col min="13" max="13" width="17.42578125" customWidth="1"/>
  </cols>
  <sheetData>
    <row r="1" spans="1:18" ht="15.75">
      <c r="A1" s="417" t="s">
        <v>79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</row>
    <row r="2" spans="1:18" ht="30.75">
      <c r="A2" s="78" t="s">
        <v>81</v>
      </c>
      <c r="B2" s="98" t="s">
        <v>82</v>
      </c>
      <c r="C2" s="98" t="s">
        <v>83</v>
      </c>
      <c r="D2" s="98" t="s">
        <v>108</v>
      </c>
      <c r="E2" s="98" t="s">
        <v>85</v>
      </c>
      <c r="F2" s="98" t="s">
        <v>86</v>
      </c>
      <c r="G2" s="106" t="s">
        <v>87</v>
      </c>
      <c r="H2" s="98" t="s">
        <v>88</v>
      </c>
      <c r="I2" s="98" t="s">
        <v>86</v>
      </c>
      <c r="J2" s="106" t="s">
        <v>87</v>
      </c>
      <c r="K2" s="78" t="s">
        <v>89</v>
      </c>
      <c r="L2" s="107" t="s">
        <v>90</v>
      </c>
      <c r="M2" s="100" t="s">
        <v>97</v>
      </c>
      <c r="N2" s="98" t="s">
        <v>92</v>
      </c>
    </row>
    <row r="3" spans="1:18">
      <c r="A3" s="428" t="s">
        <v>93</v>
      </c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30"/>
      <c r="M3" s="431">
        <v>0</v>
      </c>
      <c r="N3" s="432"/>
    </row>
    <row r="4" spans="1:18">
      <c r="A4" s="245">
        <v>1</v>
      </c>
      <c r="B4" s="284">
        <v>45748</v>
      </c>
      <c r="C4" s="6"/>
      <c r="D4" s="6"/>
      <c r="E4" s="79">
        <v>60</v>
      </c>
      <c r="F4" s="6">
        <v>89.61</v>
      </c>
      <c r="G4" s="80">
        <f>E4*F4</f>
        <v>5376.6</v>
      </c>
      <c r="H4" s="79">
        <v>0</v>
      </c>
      <c r="I4" s="6">
        <v>103.26</v>
      </c>
      <c r="J4" s="80">
        <f>H4*I4</f>
        <v>0</v>
      </c>
      <c r="K4" s="80">
        <f>G4+J4</f>
        <v>5376.6</v>
      </c>
      <c r="L4" s="190">
        <f>+K4</f>
        <v>5376.6</v>
      </c>
      <c r="M4" s="176">
        <f>M3+K4-L4</f>
        <v>0</v>
      </c>
      <c r="N4" s="56" t="s">
        <v>112</v>
      </c>
    </row>
    <row r="5" spans="1:18">
      <c r="A5" s="56">
        <v>2</v>
      </c>
      <c r="B5" s="284">
        <v>45749</v>
      </c>
      <c r="C5" s="6"/>
      <c r="D5" s="6"/>
      <c r="E5" s="79">
        <v>0</v>
      </c>
      <c r="F5" s="6">
        <v>0</v>
      </c>
      <c r="G5" s="80">
        <f t="shared" ref="G5:G42" si="0">E5*F5</f>
        <v>0</v>
      </c>
      <c r="H5" s="79">
        <v>0</v>
      </c>
      <c r="I5" s="6">
        <v>0</v>
      </c>
      <c r="J5" s="80">
        <f t="shared" ref="J5:J42" si="1">H5*I5</f>
        <v>0</v>
      </c>
      <c r="K5" s="80">
        <f t="shared" ref="K5:K42" si="2">G5+J5</f>
        <v>0</v>
      </c>
      <c r="L5" s="190">
        <f t="shared" ref="L5:L42" si="3">+K5</f>
        <v>0</v>
      </c>
      <c r="M5" s="176">
        <f t="shared" ref="M5:M31" si="4">M4+K5-L5</f>
        <v>0</v>
      </c>
      <c r="N5" s="56" t="s">
        <v>112</v>
      </c>
    </row>
    <row r="6" spans="1:18">
      <c r="A6" s="56">
        <v>3</v>
      </c>
      <c r="B6" s="284">
        <v>45750</v>
      </c>
      <c r="C6" s="6"/>
      <c r="D6" s="6"/>
      <c r="E6" s="79">
        <v>0</v>
      </c>
      <c r="F6" s="6">
        <v>0</v>
      </c>
      <c r="G6" s="80">
        <f t="shared" si="0"/>
        <v>0</v>
      </c>
      <c r="H6" s="79">
        <v>0</v>
      </c>
      <c r="I6" s="6">
        <v>0</v>
      </c>
      <c r="J6" s="80">
        <f t="shared" si="1"/>
        <v>0</v>
      </c>
      <c r="K6" s="80">
        <f t="shared" si="2"/>
        <v>0</v>
      </c>
      <c r="L6" s="190">
        <f t="shared" si="3"/>
        <v>0</v>
      </c>
      <c r="M6" s="176">
        <f t="shared" si="4"/>
        <v>0</v>
      </c>
      <c r="N6" s="56" t="s">
        <v>112</v>
      </c>
    </row>
    <row r="7" spans="1:18">
      <c r="A7" s="56">
        <v>4</v>
      </c>
      <c r="B7" s="284">
        <v>45751</v>
      </c>
      <c r="C7" s="6"/>
      <c r="D7" s="6"/>
      <c r="E7" s="79">
        <v>60</v>
      </c>
      <c r="F7" s="6">
        <v>91.62</v>
      </c>
      <c r="G7" s="80">
        <f t="shared" si="0"/>
        <v>5497.2000000000007</v>
      </c>
      <c r="H7" s="79">
        <v>0</v>
      </c>
      <c r="I7" s="6">
        <v>0</v>
      </c>
      <c r="J7" s="80">
        <f t="shared" si="1"/>
        <v>0</v>
      </c>
      <c r="K7" s="80">
        <f t="shared" si="2"/>
        <v>5497.2000000000007</v>
      </c>
      <c r="L7" s="190">
        <v>0</v>
      </c>
      <c r="M7" s="176">
        <f>M6+K7-L7</f>
        <v>5497.2000000000007</v>
      </c>
      <c r="N7" s="56" t="s">
        <v>112</v>
      </c>
    </row>
    <row r="8" spans="1:18">
      <c r="A8" s="56">
        <v>5</v>
      </c>
      <c r="B8" s="284">
        <v>45752</v>
      </c>
      <c r="C8" s="6"/>
      <c r="D8" s="6"/>
      <c r="E8" s="79">
        <v>0</v>
      </c>
      <c r="F8" s="6">
        <v>0</v>
      </c>
      <c r="G8" s="80">
        <f t="shared" si="0"/>
        <v>0</v>
      </c>
      <c r="H8" s="79">
        <v>0</v>
      </c>
      <c r="I8" s="6">
        <v>0</v>
      </c>
      <c r="J8" s="80">
        <f t="shared" si="1"/>
        <v>0</v>
      </c>
      <c r="K8" s="80">
        <f t="shared" si="2"/>
        <v>0</v>
      </c>
      <c r="L8" s="190">
        <f t="shared" si="3"/>
        <v>0</v>
      </c>
      <c r="M8" s="176">
        <f t="shared" si="4"/>
        <v>5497.2000000000007</v>
      </c>
      <c r="N8" s="56" t="s">
        <v>112</v>
      </c>
    </row>
    <row r="9" spans="1:18">
      <c r="A9" s="56">
        <v>6</v>
      </c>
      <c r="B9" s="284">
        <v>45753</v>
      </c>
      <c r="C9" s="6"/>
      <c r="D9" s="6"/>
      <c r="E9" s="79">
        <v>30</v>
      </c>
      <c r="F9" s="6">
        <v>91.62</v>
      </c>
      <c r="G9" s="80">
        <f t="shared" si="0"/>
        <v>2748.6000000000004</v>
      </c>
      <c r="H9" s="79">
        <v>0</v>
      </c>
      <c r="I9" s="6">
        <v>0</v>
      </c>
      <c r="J9" s="80">
        <f t="shared" si="1"/>
        <v>0</v>
      </c>
      <c r="K9" s="80">
        <f t="shared" si="2"/>
        <v>2748.6000000000004</v>
      </c>
      <c r="L9" s="190">
        <v>0</v>
      </c>
      <c r="M9" s="176">
        <f t="shared" si="4"/>
        <v>8245.8000000000011</v>
      </c>
      <c r="N9" s="56" t="s">
        <v>112</v>
      </c>
    </row>
    <row r="10" spans="1:18">
      <c r="A10" s="56">
        <v>7</v>
      </c>
      <c r="B10" s="284">
        <v>45754</v>
      </c>
      <c r="C10" s="6"/>
      <c r="D10" s="6"/>
      <c r="E10" s="79">
        <v>30</v>
      </c>
      <c r="F10" s="6">
        <v>91.62</v>
      </c>
      <c r="G10" s="80">
        <f t="shared" si="0"/>
        <v>2748.6000000000004</v>
      </c>
      <c r="H10" s="79">
        <v>4.83</v>
      </c>
      <c r="I10" s="6">
        <v>103.57</v>
      </c>
      <c r="J10" s="80">
        <f t="shared" si="1"/>
        <v>500.24309999999997</v>
      </c>
      <c r="K10" s="80">
        <f t="shared" si="2"/>
        <v>3248.8431000000005</v>
      </c>
      <c r="L10" s="190">
        <v>0</v>
      </c>
      <c r="M10" s="176">
        <f t="shared" si="4"/>
        <v>11494.643100000001</v>
      </c>
      <c r="N10" s="56" t="s">
        <v>112</v>
      </c>
    </row>
    <row r="11" spans="1:18">
      <c r="A11" s="56">
        <v>8</v>
      </c>
      <c r="B11" s="284">
        <v>45755</v>
      </c>
      <c r="C11" s="6"/>
      <c r="D11" s="6"/>
      <c r="E11" s="79">
        <v>60</v>
      </c>
      <c r="F11" s="6">
        <v>95.31</v>
      </c>
      <c r="G11" s="80">
        <f t="shared" si="0"/>
        <v>5718.6</v>
      </c>
      <c r="H11" s="79">
        <v>0</v>
      </c>
      <c r="I11" s="6">
        <v>0</v>
      </c>
      <c r="J11" s="80">
        <f t="shared" si="1"/>
        <v>0</v>
      </c>
      <c r="K11" s="80">
        <f t="shared" si="2"/>
        <v>5718.6</v>
      </c>
      <c r="L11" s="190">
        <v>0</v>
      </c>
      <c r="M11" s="176">
        <f t="shared" si="4"/>
        <v>17213.2431</v>
      </c>
      <c r="N11" s="56" t="s">
        <v>112</v>
      </c>
    </row>
    <row r="12" spans="1:18">
      <c r="A12" s="56">
        <v>9</v>
      </c>
      <c r="B12" s="284">
        <v>45756</v>
      </c>
      <c r="C12" s="6"/>
      <c r="D12" s="6"/>
      <c r="E12" s="79">
        <v>0</v>
      </c>
      <c r="F12" s="6">
        <v>91.62</v>
      </c>
      <c r="G12" s="80">
        <f t="shared" si="0"/>
        <v>0</v>
      </c>
      <c r="H12" s="79">
        <v>0</v>
      </c>
      <c r="I12" s="6">
        <v>0</v>
      </c>
      <c r="J12" s="80">
        <f t="shared" si="1"/>
        <v>0</v>
      </c>
      <c r="K12" s="80">
        <f t="shared" si="2"/>
        <v>0</v>
      </c>
      <c r="L12" s="190">
        <f t="shared" si="3"/>
        <v>0</v>
      </c>
      <c r="M12" s="176">
        <f t="shared" si="4"/>
        <v>17213.2431</v>
      </c>
      <c r="N12" s="56" t="s">
        <v>112</v>
      </c>
      <c r="R12" s="326"/>
    </row>
    <row r="13" spans="1:18">
      <c r="A13" s="56">
        <v>10</v>
      </c>
      <c r="B13" s="284">
        <v>45757</v>
      </c>
      <c r="C13" s="6"/>
      <c r="D13" s="6"/>
      <c r="E13" s="79">
        <v>0</v>
      </c>
      <c r="F13" s="6">
        <v>0</v>
      </c>
      <c r="G13" s="80">
        <f t="shared" si="0"/>
        <v>0</v>
      </c>
      <c r="H13" s="79">
        <v>0</v>
      </c>
      <c r="I13" s="6">
        <v>0</v>
      </c>
      <c r="J13" s="80">
        <f t="shared" si="1"/>
        <v>0</v>
      </c>
      <c r="K13" s="80">
        <f t="shared" si="2"/>
        <v>0</v>
      </c>
      <c r="L13" s="190">
        <f t="shared" si="3"/>
        <v>0</v>
      </c>
      <c r="M13" s="176">
        <f t="shared" si="4"/>
        <v>17213.2431</v>
      </c>
      <c r="N13" s="56" t="s">
        <v>112</v>
      </c>
    </row>
    <row r="14" spans="1:18">
      <c r="A14" s="56">
        <v>11</v>
      </c>
      <c r="B14" s="284">
        <v>45758</v>
      </c>
      <c r="C14" s="6"/>
      <c r="D14" s="6"/>
      <c r="E14" s="79">
        <v>60</v>
      </c>
      <c r="F14" s="6">
        <v>91.62</v>
      </c>
      <c r="G14" s="80">
        <f t="shared" si="0"/>
        <v>5497.2000000000007</v>
      </c>
      <c r="H14" s="79">
        <v>0</v>
      </c>
      <c r="I14" s="6">
        <v>0</v>
      </c>
      <c r="J14" s="80">
        <f t="shared" si="1"/>
        <v>0</v>
      </c>
      <c r="K14" s="80">
        <f t="shared" si="2"/>
        <v>5497.2000000000007</v>
      </c>
      <c r="L14" s="190">
        <v>0</v>
      </c>
      <c r="M14" s="176">
        <f t="shared" si="4"/>
        <v>22710.4431</v>
      </c>
      <c r="N14" s="56" t="s">
        <v>112</v>
      </c>
    </row>
    <row r="15" spans="1:18">
      <c r="A15" s="56">
        <v>12</v>
      </c>
      <c r="B15" s="284">
        <v>45759</v>
      </c>
      <c r="C15" s="6"/>
      <c r="D15" s="6"/>
      <c r="E15" s="79">
        <v>0</v>
      </c>
      <c r="F15" s="6">
        <v>0</v>
      </c>
      <c r="G15" s="80">
        <f t="shared" si="0"/>
        <v>0</v>
      </c>
      <c r="H15" s="79">
        <v>0</v>
      </c>
      <c r="I15" s="6">
        <v>0</v>
      </c>
      <c r="J15" s="80">
        <f t="shared" si="1"/>
        <v>0</v>
      </c>
      <c r="K15" s="80">
        <f t="shared" si="2"/>
        <v>0</v>
      </c>
      <c r="L15" s="190">
        <f t="shared" si="3"/>
        <v>0</v>
      </c>
      <c r="M15" s="176">
        <f t="shared" si="4"/>
        <v>22710.4431</v>
      </c>
      <c r="N15" s="56" t="s">
        <v>112</v>
      </c>
    </row>
    <row r="16" spans="1:18">
      <c r="A16" s="56">
        <v>13</v>
      </c>
      <c r="B16" s="284">
        <v>45760</v>
      </c>
      <c r="C16" s="6"/>
      <c r="D16" s="6"/>
      <c r="E16" s="79">
        <v>65</v>
      </c>
      <c r="F16" s="6">
        <v>91.62</v>
      </c>
      <c r="G16" s="80">
        <f t="shared" si="0"/>
        <v>5955.3</v>
      </c>
      <c r="H16" s="79">
        <v>0</v>
      </c>
      <c r="I16" s="6">
        <v>0</v>
      </c>
      <c r="J16" s="80">
        <f t="shared" si="1"/>
        <v>0</v>
      </c>
      <c r="K16" s="80">
        <f t="shared" si="2"/>
        <v>5955.3</v>
      </c>
      <c r="L16" s="190">
        <v>0</v>
      </c>
      <c r="M16" s="176">
        <f t="shared" si="4"/>
        <v>28665.7431</v>
      </c>
      <c r="N16" s="56" t="s">
        <v>112</v>
      </c>
    </row>
    <row r="17" spans="1:14">
      <c r="A17" s="56">
        <v>14</v>
      </c>
      <c r="B17" s="284">
        <v>45761</v>
      </c>
      <c r="C17" s="6"/>
      <c r="D17" s="6"/>
      <c r="E17" s="79">
        <v>0</v>
      </c>
      <c r="F17" s="6">
        <v>0</v>
      </c>
      <c r="G17" s="80">
        <f t="shared" si="0"/>
        <v>0</v>
      </c>
      <c r="H17" s="79">
        <v>0</v>
      </c>
      <c r="I17" s="6">
        <v>0</v>
      </c>
      <c r="J17" s="80">
        <f t="shared" si="1"/>
        <v>0</v>
      </c>
      <c r="K17" s="80">
        <f t="shared" si="2"/>
        <v>0</v>
      </c>
      <c r="L17" s="190">
        <v>28665.74</v>
      </c>
      <c r="M17" s="176">
        <f t="shared" si="4"/>
        <v>3.099999998084968E-3</v>
      </c>
      <c r="N17" s="56" t="s">
        <v>112</v>
      </c>
    </row>
    <row r="18" spans="1:14">
      <c r="A18" s="56">
        <v>15</v>
      </c>
      <c r="B18" s="284">
        <v>45762</v>
      </c>
      <c r="C18" s="6"/>
      <c r="D18" s="6"/>
      <c r="E18" s="79">
        <v>0</v>
      </c>
      <c r="F18" s="6">
        <v>0</v>
      </c>
      <c r="G18" s="80">
        <f t="shared" si="0"/>
        <v>0</v>
      </c>
      <c r="H18" s="79">
        <v>0</v>
      </c>
      <c r="I18" s="6">
        <v>0</v>
      </c>
      <c r="J18" s="80">
        <f t="shared" si="1"/>
        <v>0</v>
      </c>
      <c r="K18" s="80">
        <f t="shared" si="2"/>
        <v>0</v>
      </c>
      <c r="L18" s="190">
        <f t="shared" si="3"/>
        <v>0</v>
      </c>
      <c r="M18" s="176">
        <f t="shared" si="4"/>
        <v>3.099999998084968E-3</v>
      </c>
      <c r="N18" s="56" t="s">
        <v>112</v>
      </c>
    </row>
    <row r="19" spans="1:14">
      <c r="A19" s="56">
        <v>16</v>
      </c>
      <c r="B19" s="284">
        <v>45763</v>
      </c>
      <c r="C19" s="6"/>
      <c r="D19" s="6"/>
      <c r="E19" s="79">
        <v>0</v>
      </c>
      <c r="F19" s="6">
        <v>0</v>
      </c>
      <c r="G19" s="80">
        <f t="shared" si="0"/>
        <v>0</v>
      </c>
      <c r="H19" s="79">
        <v>0</v>
      </c>
      <c r="I19" s="6">
        <v>0</v>
      </c>
      <c r="J19" s="80">
        <f t="shared" si="1"/>
        <v>0</v>
      </c>
      <c r="K19" s="80">
        <f t="shared" si="2"/>
        <v>0</v>
      </c>
      <c r="L19" s="190">
        <f t="shared" si="3"/>
        <v>0</v>
      </c>
      <c r="M19" s="176">
        <f>M18+K19-L19</f>
        <v>3.099999998084968E-3</v>
      </c>
      <c r="N19" s="56" t="s">
        <v>112</v>
      </c>
    </row>
    <row r="20" spans="1:14">
      <c r="A20" s="56">
        <v>17</v>
      </c>
      <c r="B20" s="284">
        <v>45764</v>
      </c>
      <c r="C20" s="6"/>
      <c r="D20" s="6"/>
      <c r="E20" s="79">
        <v>0</v>
      </c>
      <c r="F20" s="6">
        <v>0</v>
      </c>
      <c r="G20" s="80">
        <f t="shared" si="0"/>
        <v>0</v>
      </c>
      <c r="H20" s="79">
        <v>4.83</v>
      </c>
      <c r="I20" s="6">
        <v>103.52</v>
      </c>
      <c r="J20" s="80">
        <f t="shared" si="1"/>
        <v>500.0016</v>
      </c>
      <c r="K20" s="80">
        <f t="shared" si="2"/>
        <v>500.0016</v>
      </c>
      <c r="L20" s="190">
        <v>0</v>
      </c>
      <c r="M20" s="176">
        <f>M19+K20-L20</f>
        <v>500.00469999999808</v>
      </c>
      <c r="N20" s="56" t="s">
        <v>112</v>
      </c>
    </row>
    <row r="21" spans="1:14">
      <c r="A21" s="56">
        <v>18</v>
      </c>
      <c r="B21" s="284">
        <v>45765</v>
      </c>
      <c r="C21" s="6"/>
      <c r="D21" s="6"/>
      <c r="E21" s="79">
        <v>0</v>
      </c>
      <c r="F21" s="6">
        <v>0</v>
      </c>
      <c r="G21" s="80">
        <f t="shared" si="0"/>
        <v>0</v>
      </c>
      <c r="H21" s="79">
        <v>0</v>
      </c>
      <c r="I21" s="6">
        <v>0</v>
      </c>
      <c r="J21" s="80">
        <f t="shared" si="1"/>
        <v>0</v>
      </c>
      <c r="K21" s="80">
        <f t="shared" si="2"/>
        <v>0</v>
      </c>
      <c r="L21" s="190">
        <f t="shared" si="3"/>
        <v>0</v>
      </c>
      <c r="M21" s="176">
        <f>M20+K21-L21</f>
        <v>500.00469999999808</v>
      </c>
      <c r="N21" s="56" t="s">
        <v>112</v>
      </c>
    </row>
    <row r="22" spans="1:14">
      <c r="A22" s="56">
        <v>19</v>
      </c>
      <c r="B22" s="284">
        <v>45766</v>
      </c>
      <c r="C22" s="6"/>
      <c r="D22" s="6"/>
      <c r="E22" s="79">
        <v>0</v>
      </c>
      <c r="F22" s="6">
        <v>0</v>
      </c>
      <c r="G22" s="80">
        <f t="shared" si="0"/>
        <v>0</v>
      </c>
      <c r="H22" s="79">
        <v>0</v>
      </c>
      <c r="I22" s="6">
        <v>0</v>
      </c>
      <c r="J22" s="80">
        <f t="shared" si="1"/>
        <v>0</v>
      </c>
      <c r="K22" s="80">
        <f t="shared" si="2"/>
        <v>0</v>
      </c>
      <c r="L22" s="190">
        <f t="shared" si="3"/>
        <v>0</v>
      </c>
      <c r="M22" s="176">
        <f>M21+K22-L22</f>
        <v>500.00469999999808</v>
      </c>
      <c r="N22" s="56" t="s">
        <v>112</v>
      </c>
    </row>
    <row r="23" spans="1:14">
      <c r="A23" s="56">
        <v>20</v>
      </c>
      <c r="B23" s="284">
        <v>45767</v>
      </c>
      <c r="C23" s="6"/>
      <c r="D23" s="6"/>
      <c r="E23" s="79">
        <v>60</v>
      </c>
      <c r="F23" s="6">
        <v>91.62</v>
      </c>
      <c r="G23" s="80">
        <f t="shared" si="0"/>
        <v>5497.2000000000007</v>
      </c>
      <c r="H23" s="79">
        <v>0</v>
      </c>
      <c r="I23" s="6">
        <v>0</v>
      </c>
      <c r="J23" s="80">
        <f t="shared" si="1"/>
        <v>0</v>
      </c>
      <c r="K23" s="80">
        <f t="shared" si="2"/>
        <v>5497.2000000000007</v>
      </c>
      <c r="L23" s="190">
        <v>0</v>
      </c>
      <c r="M23" s="176">
        <f>M22+K23-L23</f>
        <v>5997.2046999999984</v>
      </c>
      <c r="N23" s="56"/>
    </row>
    <row r="24" spans="1:14">
      <c r="A24" s="56">
        <v>21</v>
      </c>
      <c r="B24" s="284">
        <v>45768</v>
      </c>
      <c r="C24" s="6"/>
      <c r="D24" s="6"/>
      <c r="E24" s="79">
        <v>0</v>
      </c>
      <c r="F24" s="6">
        <v>0</v>
      </c>
      <c r="G24" s="80">
        <f t="shared" si="0"/>
        <v>0</v>
      </c>
      <c r="H24" s="79">
        <v>4.87</v>
      </c>
      <c r="I24" s="6">
        <v>103.57</v>
      </c>
      <c r="J24" s="80">
        <f t="shared" si="1"/>
        <v>504.38589999999999</v>
      </c>
      <c r="K24" s="80">
        <f t="shared" si="2"/>
        <v>504.38589999999999</v>
      </c>
      <c r="L24" s="190">
        <v>0</v>
      </c>
      <c r="M24" s="176">
        <f>M23+K24-L24</f>
        <v>6501.5905999999986</v>
      </c>
      <c r="N24" s="56"/>
    </row>
    <row r="25" spans="1:14">
      <c r="A25" s="56">
        <v>22</v>
      </c>
      <c r="B25" s="284">
        <v>45769</v>
      </c>
      <c r="C25" s="6"/>
      <c r="D25" s="6"/>
      <c r="E25" s="79">
        <v>0</v>
      </c>
      <c r="F25" s="6">
        <v>0</v>
      </c>
      <c r="G25" s="80">
        <f t="shared" si="0"/>
        <v>0</v>
      </c>
      <c r="H25" s="79">
        <v>0</v>
      </c>
      <c r="I25" s="6">
        <v>0</v>
      </c>
      <c r="J25" s="80">
        <f t="shared" si="1"/>
        <v>0</v>
      </c>
      <c r="K25" s="80">
        <f t="shared" si="2"/>
        <v>0</v>
      </c>
      <c r="L25" s="190">
        <v>0</v>
      </c>
      <c r="M25" s="176">
        <f>M24+K25-L25</f>
        <v>6501.5905999999986</v>
      </c>
      <c r="N25" s="56"/>
    </row>
    <row r="26" spans="1:14">
      <c r="A26" s="56">
        <v>23</v>
      </c>
      <c r="B26" s="284">
        <v>45770</v>
      </c>
      <c r="C26" s="6"/>
      <c r="D26" s="6"/>
      <c r="E26" s="79">
        <v>40</v>
      </c>
      <c r="F26" s="6">
        <v>91.62</v>
      </c>
      <c r="G26" s="80">
        <f t="shared" si="0"/>
        <v>3664.8</v>
      </c>
      <c r="H26" s="79">
        <v>0</v>
      </c>
      <c r="I26" s="6">
        <v>0</v>
      </c>
      <c r="J26" s="80">
        <f t="shared" si="1"/>
        <v>0</v>
      </c>
      <c r="K26" s="80">
        <f t="shared" si="2"/>
        <v>3664.8</v>
      </c>
      <c r="L26" s="190">
        <v>0</v>
      </c>
      <c r="M26" s="176">
        <f t="shared" si="4"/>
        <v>10166.390599999999</v>
      </c>
      <c r="N26" s="6"/>
    </row>
    <row r="27" spans="1:14">
      <c r="A27" s="56">
        <v>24</v>
      </c>
      <c r="B27" s="284">
        <v>45771</v>
      </c>
      <c r="C27" s="6"/>
      <c r="D27" s="6"/>
      <c r="E27" s="79">
        <v>0</v>
      </c>
      <c r="F27" s="6">
        <v>0</v>
      </c>
      <c r="G27" s="80">
        <f t="shared" si="0"/>
        <v>0</v>
      </c>
      <c r="H27" s="79">
        <v>0</v>
      </c>
      <c r="I27" s="6">
        <v>0</v>
      </c>
      <c r="J27" s="80">
        <f t="shared" si="1"/>
        <v>0</v>
      </c>
      <c r="K27" s="80">
        <f t="shared" si="2"/>
        <v>0</v>
      </c>
      <c r="L27" s="190">
        <f t="shared" si="3"/>
        <v>0</v>
      </c>
      <c r="M27" s="176">
        <f t="shared" si="4"/>
        <v>10166.390599999999</v>
      </c>
      <c r="N27" s="6"/>
    </row>
    <row r="28" spans="1:14">
      <c r="A28" s="286">
        <v>25</v>
      </c>
      <c r="B28" s="284">
        <v>45772</v>
      </c>
      <c r="C28" s="6"/>
      <c r="D28" s="6"/>
      <c r="E28" s="79">
        <v>200</v>
      </c>
      <c r="F28" s="6">
        <v>91.62</v>
      </c>
      <c r="G28" s="80">
        <f t="shared" si="0"/>
        <v>18324</v>
      </c>
      <c r="H28" s="79">
        <v>0</v>
      </c>
      <c r="I28" s="6">
        <v>0</v>
      </c>
      <c r="J28" s="80">
        <f t="shared" si="1"/>
        <v>0</v>
      </c>
      <c r="K28" s="80">
        <f t="shared" si="2"/>
        <v>18324</v>
      </c>
      <c r="L28" s="190">
        <v>0</v>
      </c>
      <c r="M28" s="176">
        <f t="shared" si="4"/>
        <v>28490.390599999999</v>
      </c>
      <c r="N28" s="6"/>
    </row>
    <row r="29" spans="1:14">
      <c r="A29" s="286">
        <v>26</v>
      </c>
      <c r="B29" s="284">
        <v>45773</v>
      </c>
      <c r="C29" s="6"/>
      <c r="D29" s="6"/>
      <c r="E29" s="79">
        <v>0</v>
      </c>
      <c r="F29" s="6">
        <v>0</v>
      </c>
      <c r="G29" s="80">
        <f t="shared" si="0"/>
        <v>0</v>
      </c>
      <c r="H29" s="79">
        <v>4.83</v>
      </c>
      <c r="I29" s="6">
        <v>103.57</v>
      </c>
      <c r="J29" s="80">
        <f t="shared" si="1"/>
        <v>500.24309999999997</v>
      </c>
      <c r="K29" s="80">
        <f t="shared" si="2"/>
        <v>500.24309999999997</v>
      </c>
      <c r="L29" s="190">
        <v>0</v>
      </c>
      <c r="M29" s="176">
        <f t="shared" si="4"/>
        <v>28990.633699999998</v>
      </c>
      <c r="N29" s="6"/>
    </row>
    <row r="30" spans="1:14">
      <c r="A30" s="286">
        <v>27</v>
      </c>
      <c r="B30" s="284">
        <v>45774</v>
      </c>
      <c r="C30" s="6"/>
      <c r="D30" s="6"/>
      <c r="E30" s="79">
        <v>200</v>
      </c>
      <c r="F30" s="6">
        <v>91.62</v>
      </c>
      <c r="G30" s="80">
        <f t="shared" si="0"/>
        <v>18324</v>
      </c>
      <c r="H30" s="79">
        <v>0</v>
      </c>
      <c r="I30" s="6">
        <v>0</v>
      </c>
      <c r="J30" s="80">
        <f t="shared" si="1"/>
        <v>0</v>
      </c>
      <c r="K30" s="80">
        <f t="shared" si="2"/>
        <v>18324</v>
      </c>
      <c r="L30" s="190">
        <v>0</v>
      </c>
      <c r="M30" s="176">
        <f t="shared" si="4"/>
        <v>47314.633699999998</v>
      </c>
      <c r="N30" s="6"/>
    </row>
    <row r="31" spans="1:14">
      <c r="A31" s="286">
        <v>28</v>
      </c>
      <c r="B31" s="284">
        <v>45775</v>
      </c>
      <c r="C31" s="6"/>
      <c r="D31" s="6"/>
      <c r="E31" s="79">
        <v>0</v>
      </c>
      <c r="F31" s="6">
        <v>0</v>
      </c>
      <c r="G31" s="80">
        <f t="shared" si="0"/>
        <v>0</v>
      </c>
      <c r="H31" s="79">
        <v>4.83</v>
      </c>
      <c r="I31" s="6">
        <v>103.57</v>
      </c>
      <c r="J31" s="80">
        <f t="shared" si="1"/>
        <v>500.24309999999997</v>
      </c>
      <c r="K31" s="80">
        <f t="shared" si="2"/>
        <v>500.24309999999997</v>
      </c>
      <c r="L31" s="190">
        <v>0</v>
      </c>
      <c r="M31" s="176">
        <f t="shared" si="4"/>
        <v>47814.876799999998</v>
      </c>
      <c r="N31" s="6"/>
    </row>
    <row r="32" spans="1:14">
      <c r="A32" s="287">
        <v>29</v>
      </c>
      <c r="B32" s="284">
        <v>45776</v>
      </c>
      <c r="C32" s="6"/>
      <c r="D32" s="6"/>
      <c r="E32" s="79">
        <v>0</v>
      </c>
      <c r="F32" s="6">
        <v>0</v>
      </c>
      <c r="G32" s="80">
        <f t="shared" si="0"/>
        <v>0</v>
      </c>
      <c r="H32" s="79">
        <v>4.83</v>
      </c>
      <c r="I32" s="6">
        <v>103.57</v>
      </c>
      <c r="J32" s="80">
        <f t="shared" si="1"/>
        <v>500.24309999999997</v>
      </c>
      <c r="K32" s="80">
        <f t="shared" si="2"/>
        <v>500.24309999999997</v>
      </c>
      <c r="L32" s="190">
        <v>0</v>
      </c>
      <c r="M32" s="176">
        <f>M31+K32-L32</f>
        <v>48315.119899999998</v>
      </c>
      <c r="N32" s="6"/>
    </row>
    <row r="33" spans="1:14">
      <c r="A33" s="287">
        <v>30</v>
      </c>
      <c r="B33" s="284">
        <v>45777</v>
      </c>
      <c r="C33" s="6"/>
      <c r="D33" s="6"/>
      <c r="E33" s="79">
        <v>0</v>
      </c>
      <c r="F33" s="6">
        <v>0</v>
      </c>
      <c r="G33" s="80">
        <f t="shared" si="0"/>
        <v>0</v>
      </c>
      <c r="H33" s="79">
        <v>0</v>
      </c>
      <c r="I33" s="6">
        <v>0</v>
      </c>
      <c r="J33" s="80">
        <f t="shared" si="1"/>
        <v>0</v>
      </c>
      <c r="K33" s="80">
        <f t="shared" si="2"/>
        <v>0</v>
      </c>
      <c r="L33" s="190">
        <f t="shared" si="3"/>
        <v>0</v>
      </c>
      <c r="M33" s="176">
        <v>0</v>
      </c>
      <c r="N33" s="6"/>
    </row>
    <row r="34" spans="1:14">
      <c r="A34" s="287">
        <v>31</v>
      </c>
      <c r="B34" s="284"/>
      <c r="C34" s="6"/>
      <c r="D34" s="6"/>
      <c r="E34" s="79">
        <v>0</v>
      </c>
      <c r="F34" s="6">
        <v>0</v>
      </c>
      <c r="G34" s="80">
        <f t="shared" si="0"/>
        <v>0</v>
      </c>
      <c r="H34" s="79">
        <v>0</v>
      </c>
      <c r="I34" s="6">
        <v>0</v>
      </c>
      <c r="J34" s="80">
        <f t="shared" si="1"/>
        <v>0</v>
      </c>
      <c r="K34" s="80">
        <f t="shared" si="2"/>
        <v>0</v>
      </c>
      <c r="L34" s="190">
        <f t="shared" si="3"/>
        <v>0</v>
      </c>
      <c r="M34" s="176">
        <v>0</v>
      </c>
      <c r="N34" s="6"/>
    </row>
    <row r="35" spans="1:14">
      <c r="A35" s="6">
        <v>35</v>
      </c>
      <c r="B35" s="93"/>
      <c r="C35" s="6"/>
      <c r="D35" s="6"/>
      <c r="E35" s="79">
        <v>0</v>
      </c>
      <c r="F35" s="6">
        <v>0</v>
      </c>
      <c r="G35" s="80">
        <f t="shared" si="0"/>
        <v>0</v>
      </c>
      <c r="H35" s="79">
        <v>0</v>
      </c>
      <c r="I35" s="6">
        <v>0</v>
      </c>
      <c r="J35" s="80">
        <f t="shared" si="1"/>
        <v>0</v>
      </c>
      <c r="K35" s="80">
        <f t="shared" si="2"/>
        <v>0</v>
      </c>
      <c r="L35" s="190">
        <f t="shared" si="3"/>
        <v>0</v>
      </c>
      <c r="M35" s="176">
        <v>0</v>
      </c>
      <c r="N35" s="6"/>
    </row>
    <row r="36" spans="1:14">
      <c r="A36" s="6">
        <v>36</v>
      </c>
      <c r="B36" s="93"/>
      <c r="C36" s="6"/>
      <c r="D36" s="6"/>
      <c r="E36" s="79">
        <v>0</v>
      </c>
      <c r="F36" s="6">
        <v>0</v>
      </c>
      <c r="G36" s="80">
        <f t="shared" si="0"/>
        <v>0</v>
      </c>
      <c r="H36" s="79">
        <v>0</v>
      </c>
      <c r="I36" s="6">
        <v>0</v>
      </c>
      <c r="J36" s="80">
        <f t="shared" si="1"/>
        <v>0</v>
      </c>
      <c r="K36" s="80">
        <f t="shared" si="2"/>
        <v>0</v>
      </c>
      <c r="L36" s="190">
        <f t="shared" si="3"/>
        <v>0</v>
      </c>
      <c r="M36" s="176">
        <v>0</v>
      </c>
      <c r="N36" s="6"/>
    </row>
    <row r="37" spans="1:14">
      <c r="A37" s="6">
        <v>37</v>
      </c>
      <c r="B37" s="93"/>
      <c r="C37" s="6"/>
      <c r="D37" s="6"/>
      <c r="E37" s="79">
        <v>0</v>
      </c>
      <c r="F37" s="6">
        <v>0</v>
      </c>
      <c r="G37" s="80">
        <f t="shared" si="0"/>
        <v>0</v>
      </c>
      <c r="H37" s="79">
        <v>0</v>
      </c>
      <c r="I37" s="6">
        <v>0</v>
      </c>
      <c r="J37" s="80">
        <f t="shared" si="1"/>
        <v>0</v>
      </c>
      <c r="K37" s="80">
        <f t="shared" si="2"/>
        <v>0</v>
      </c>
      <c r="L37" s="190">
        <f t="shared" si="3"/>
        <v>0</v>
      </c>
      <c r="M37" s="176">
        <v>0</v>
      </c>
      <c r="N37" s="6"/>
    </row>
    <row r="38" spans="1:14">
      <c r="A38" s="6">
        <v>38</v>
      </c>
      <c r="B38" s="93"/>
      <c r="C38" s="6"/>
      <c r="D38" s="6"/>
      <c r="E38" s="79">
        <v>0</v>
      </c>
      <c r="F38" s="6">
        <v>0</v>
      </c>
      <c r="G38" s="80">
        <f t="shared" si="0"/>
        <v>0</v>
      </c>
      <c r="H38" s="79">
        <v>0</v>
      </c>
      <c r="I38" s="6">
        <v>0</v>
      </c>
      <c r="J38" s="80">
        <f t="shared" si="1"/>
        <v>0</v>
      </c>
      <c r="K38" s="80">
        <f t="shared" si="2"/>
        <v>0</v>
      </c>
      <c r="L38" s="190">
        <f t="shared" si="3"/>
        <v>0</v>
      </c>
      <c r="M38" s="176">
        <v>0</v>
      </c>
      <c r="N38" s="6"/>
    </row>
    <row r="39" spans="1:14">
      <c r="A39" s="200">
        <v>39</v>
      </c>
      <c r="B39" s="201"/>
      <c r="C39" s="200"/>
      <c r="D39" s="6"/>
      <c r="E39" s="79">
        <v>0</v>
      </c>
      <c r="F39" s="6">
        <v>0</v>
      </c>
      <c r="G39" s="80">
        <f t="shared" si="0"/>
        <v>0</v>
      </c>
      <c r="H39" s="79">
        <v>0</v>
      </c>
      <c r="I39" s="6">
        <v>0</v>
      </c>
      <c r="J39" s="80">
        <f t="shared" si="1"/>
        <v>0</v>
      </c>
      <c r="K39" s="80">
        <f t="shared" si="2"/>
        <v>0</v>
      </c>
      <c r="L39" s="190">
        <f t="shared" si="3"/>
        <v>0</v>
      </c>
      <c r="M39" s="204">
        <v>0</v>
      </c>
      <c r="N39" s="200"/>
    </row>
    <row r="40" spans="1:14">
      <c r="A40" s="6">
        <v>40</v>
      </c>
      <c r="B40" s="6"/>
      <c r="C40" s="6"/>
      <c r="D40" s="6"/>
      <c r="E40" s="79">
        <v>0</v>
      </c>
      <c r="F40" s="6">
        <v>0</v>
      </c>
      <c r="G40" s="80">
        <f t="shared" si="0"/>
        <v>0</v>
      </c>
      <c r="H40" s="79">
        <v>0</v>
      </c>
      <c r="I40" s="6">
        <v>0</v>
      </c>
      <c r="J40" s="80">
        <f t="shared" si="1"/>
        <v>0</v>
      </c>
      <c r="K40" s="80">
        <f t="shared" si="2"/>
        <v>0</v>
      </c>
      <c r="L40" s="190">
        <f t="shared" si="3"/>
        <v>0</v>
      </c>
      <c r="M40" s="176">
        <v>0</v>
      </c>
      <c r="N40" s="6"/>
    </row>
    <row r="41" spans="1:14">
      <c r="A41" s="200">
        <v>41</v>
      </c>
      <c r="B41" s="200"/>
      <c r="C41" s="200"/>
      <c r="D41" s="6"/>
      <c r="E41" s="79">
        <v>0</v>
      </c>
      <c r="F41" s="6">
        <v>0</v>
      </c>
      <c r="G41" s="80">
        <f t="shared" si="0"/>
        <v>0</v>
      </c>
      <c r="H41" s="79">
        <v>0</v>
      </c>
      <c r="I41" s="6">
        <v>0</v>
      </c>
      <c r="J41" s="80">
        <f t="shared" si="1"/>
        <v>0</v>
      </c>
      <c r="K41" s="80">
        <f t="shared" si="2"/>
        <v>0</v>
      </c>
      <c r="L41" s="190">
        <f t="shared" si="3"/>
        <v>0</v>
      </c>
      <c r="M41" s="204">
        <v>0</v>
      </c>
      <c r="N41" s="200"/>
    </row>
    <row r="42" spans="1:14">
      <c r="A42" s="200">
        <v>42</v>
      </c>
      <c r="B42" s="200"/>
      <c r="C42" s="200"/>
      <c r="D42" s="6"/>
      <c r="E42" s="79">
        <v>0</v>
      </c>
      <c r="F42" s="6">
        <v>0</v>
      </c>
      <c r="G42" s="80">
        <f t="shared" si="0"/>
        <v>0</v>
      </c>
      <c r="H42" s="79"/>
      <c r="I42" s="6"/>
      <c r="J42" s="80">
        <f t="shared" si="1"/>
        <v>0</v>
      </c>
      <c r="K42" s="202">
        <f t="shared" si="2"/>
        <v>0</v>
      </c>
      <c r="L42" s="203">
        <f t="shared" si="3"/>
        <v>0</v>
      </c>
      <c r="M42" s="204">
        <v>0</v>
      </c>
      <c r="N42" s="200"/>
    </row>
    <row r="43" spans="1:14">
      <c r="A43" s="76"/>
      <c r="B43" s="76"/>
      <c r="C43" s="76"/>
      <c r="D43" s="76"/>
      <c r="E43" s="77">
        <f>SUM(E4:E42)</f>
        <v>865</v>
      </c>
      <c r="F43" s="77"/>
      <c r="G43" s="77">
        <f>SUM(G4:G42)</f>
        <v>79352.100000000006</v>
      </c>
      <c r="H43" s="77">
        <f>SUM(H4:H42)</f>
        <v>29.019999999999996</v>
      </c>
      <c r="I43" s="77"/>
      <c r="J43" s="77">
        <f>SUM(J4:J42)</f>
        <v>3005.3598999999999</v>
      </c>
      <c r="K43" s="77">
        <f>SUM(K4:K42)</f>
        <v>82357.459900000031</v>
      </c>
      <c r="L43" s="77">
        <f>SUM(L4:L42)</f>
        <v>34042.340000000004</v>
      </c>
      <c r="M43" s="77"/>
      <c r="N43" s="77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0EFF-7FC6-455A-AFB9-5E2CE46C92B6}">
  <sheetPr>
    <tabColor rgb="FF92D050"/>
  </sheetPr>
  <dimension ref="A1:O48"/>
  <sheetViews>
    <sheetView topLeftCell="A26" workbookViewId="0">
      <selection activeCell="Q19" sqref="Q19"/>
    </sheetView>
  </sheetViews>
  <sheetFormatPr defaultRowHeight="15"/>
  <cols>
    <col min="2" max="2" width="10.85546875" bestFit="1" customWidth="1"/>
    <col min="4" max="4" width="16.140625" customWidth="1"/>
    <col min="7" max="7" width="10.85546875" bestFit="1" customWidth="1"/>
    <col min="11" max="12" width="16" customWidth="1"/>
    <col min="13" max="13" width="11.28515625" bestFit="1" customWidth="1"/>
    <col min="14" max="14" width="14.7109375" bestFit="1" customWidth="1"/>
  </cols>
  <sheetData>
    <row r="1" spans="1:15" ht="15.75">
      <c r="A1" s="417" t="s">
        <v>73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5"/>
    </row>
    <row r="2" spans="1:15" ht="30.75">
      <c r="A2" s="78" t="s">
        <v>81</v>
      </c>
      <c r="B2" s="98" t="s">
        <v>82</v>
      </c>
      <c r="C2" s="98" t="s">
        <v>83</v>
      </c>
      <c r="D2" s="98" t="s">
        <v>108</v>
      </c>
      <c r="E2" s="98" t="s">
        <v>85</v>
      </c>
      <c r="F2" s="98" t="s">
        <v>86</v>
      </c>
      <c r="G2" s="106" t="s">
        <v>87</v>
      </c>
      <c r="H2" s="98" t="s">
        <v>88</v>
      </c>
      <c r="I2" s="98" t="s">
        <v>86</v>
      </c>
      <c r="J2" s="106" t="s">
        <v>87</v>
      </c>
      <c r="K2" s="78" t="s">
        <v>89</v>
      </c>
      <c r="L2" s="107" t="s">
        <v>90</v>
      </c>
      <c r="M2" s="100" t="s">
        <v>97</v>
      </c>
      <c r="N2" s="98" t="s">
        <v>92</v>
      </c>
      <c r="O2" s="5"/>
    </row>
    <row r="3" spans="1:15">
      <c r="A3" s="428" t="s">
        <v>93</v>
      </c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30"/>
      <c r="M3" s="431" t="s">
        <v>135</v>
      </c>
      <c r="N3" s="432"/>
      <c r="O3" s="5"/>
    </row>
    <row r="4" spans="1:15">
      <c r="A4" s="245">
        <v>1</v>
      </c>
      <c r="B4" s="284">
        <v>45748</v>
      </c>
      <c r="C4" s="6"/>
      <c r="D4" s="6"/>
      <c r="E4" s="79">
        <v>0</v>
      </c>
      <c r="F4" s="6">
        <v>0</v>
      </c>
      <c r="G4" s="80">
        <f>E4*F4</f>
        <v>0</v>
      </c>
      <c r="H4" s="79">
        <v>0</v>
      </c>
      <c r="I4" s="6">
        <v>0</v>
      </c>
      <c r="J4" s="80">
        <f>H4*I4</f>
        <v>0</v>
      </c>
      <c r="K4" s="80">
        <f>G4+J4</f>
        <v>0</v>
      </c>
      <c r="L4" s="190">
        <f>+K4</f>
        <v>0</v>
      </c>
      <c r="M4" s="176">
        <v>0</v>
      </c>
      <c r="N4" s="56" t="s">
        <v>112</v>
      </c>
      <c r="O4" s="5"/>
    </row>
    <row r="5" spans="1:15">
      <c r="A5" s="56">
        <v>2</v>
      </c>
      <c r="B5" s="284">
        <v>45749</v>
      </c>
      <c r="C5" s="6"/>
      <c r="D5" s="6"/>
      <c r="E5" s="79">
        <v>0</v>
      </c>
      <c r="F5" s="6">
        <v>0</v>
      </c>
      <c r="G5" s="80">
        <f t="shared" ref="G5:G42" si="0">E5*F5</f>
        <v>0</v>
      </c>
      <c r="H5" s="79">
        <v>0</v>
      </c>
      <c r="I5" s="6">
        <v>0</v>
      </c>
      <c r="J5" s="80">
        <f t="shared" ref="J5:J42" si="1">H5*I5</f>
        <v>0</v>
      </c>
      <c r="K5" s="80">
        <f t="shared" ref="K5:K42" si="2">G5+J5</f>
        <v>0</v>
      </c>
      <c r="L5" s="190">
        <f t="shared" ref="L5:L42" si="3">+K5</f>
        <v>0</v>
      </c>
      <c r="M5" s="176">
        <v>0</v>
      </c>
      <c r="N5" s="56" t="s">
        <v>112</v>
      </c>
      <c r="O5" s="5"/>
    </row>
    <row r="6" spans="1:15">
      <c r="A6" s="56">
        <v>3</v>
      </c>
      <c r="B6" s="284">
        <v>45750</v>
      </c>
      <c r="C6" s="6"/>
      <c r="D6" s="6"/>
      <c r="E6" s="79">
        <v>0</v>
      </c>
      <c r="F6" s="6">
        <v>0</v>
      </c>
      <c r="G6" s="80">
        <f t="shared" si="0"/>
        <v>0</v>
      </c>
      <c r="H6" s="79">
        <v>0</v>
      </c>
      <c r="I6" s="6">
        <v>0</v>
      </c>
      <c r="J6" s="80">
        <f t="shared" si="1"/>
        <v>0</v>
      </c>
      <c r="K6" s="80">
        <f t="shared" si="2"/>
        <v>0</v>
      </c>
      <c r="L6" s="190">
        <f t="shared" si="3"/>
        <v>0</v>
      </c>
      <c r="M6" s="176">
        <v>0</v>
      </c>
      <c r="N6" s="56" t="s">
        <v>112</v>
      </c>
      <c r="O6" s="5"/>
    </row>
    <row r="7" spans="1:15">
      <c r="A7" s="56">
        <v>4</v>
      </c>
      <c r="B7" s="284">
        <v>45751</v>
      </c>
      <c r="C7" s="6"/>
      <c r="D7" s="6"/>
      <c r="E7" s="79">
        <v>0</v>
      </c>
      <c r="F7" s="6">
        <v>0</v>
      </c>
      <c r="G7" s="80">
        <f t="shared" si="0"/>
        <v>0</v>
      </c>
      <c r="H7" s="79">
        <v>0</v>
      </c>
      <c r="I7" s="6">
        <v>0</v>
      </c>
      <c r="J7" s="80">
        <f t="shared" si="1"/>
        <v>0</v>
      </c>
      <c r="K7" s="80">
        <f t="shared" si="2"/>
        <v>0</v>
      </c>
      <c r="L7" s="190">
        <f t="shared" si="3"/>
        <v>0</v>
      </c>
      <c r="M7" s="176">
        <v>0</v>
      </c>
      <c r="N7" s="56" t="s">
        <v>112</v>
      </c>
      <c r="O7" s="5"/>
    </row>
    <row r="8" spans="1:15">
      <c r="A8" s="56">
        <v>5</v>
      </c>
      <c r="B8" s="284">
        <v>45752</v>
      </c>
      <c r="C8" s="6"/>
      <c r="D8" s="6"/>
      <c r="E8" s="79">
        <v>65.61</v>
      </c>
      <c r="F8" s="6">
        <v>91.45</v>
      </c>
      <c r="G8" s="80">
        <f t="shared" si="0"/>
        <v>6000.0344999999998</v>
      </c>
      <c r="H8" s="79">
        <v>9.66</v>
      </c>
      <c r="I8" s="6">
        <v>103.39</v>
      </c>
      <c r="J8" s="80">
        <f t="shared" si="1"/>
        <v>998.74739999999997</v>
      </c>
      <c r="K8" s="80">
        <f t="shared" si="2"/>
        <v>6998.7819</v>
      </c>
      <c r="L8" s="190">
        <f t="shared" si="3"/>
        <v>6998.7819</v>
      </c>
      <c r="M8" s="176">
        <v>0</v>
      </c>
      <c r="N8" s="56" t="s">
        <v>112</v>
      </c>
      <c r="O8" s="5"/>
    </row>
    <row r="9" spans="1:15">
      <c r="A9" s="56">
        <v>6</v>
      </c>
      <c r="B9" s="284">
        <v>45753</v>
      </c>
      <c r="C9" s="6"/>
      <c r="D9" s="6"/>
      <c r="E9" s="79">
        <v>0</v>
      </c>
      <c r="F9" s="6">
        <v>0</v>
      </c>
      <c r="G9" s="80">
        <f t="shared" si="0"/>
        <v>0</v>
      </c>
      <c r="H9" s="79">
        <v>0</v>
      </c>
      <c r="I9" s="6">
        <v>0</v>
      </c>
      <c r="J9" s="80">
        <f t="shared" si="1"/>
        <v>0</v>
      </c>
      <c r="K9" s="80">
        <f t="shared" si="2"/>
        <v>0</v>
      </c>
      <c r="L9" s="190">
        <f t="shared" si="3"/>
        <v>0</v>
      </c>
      <c r="M9" s="176">
        <v>0</v>
      </c>
      <c r="N9" s="56" t="s">
        <v>112</v>
      </c>
      <c r="O9" s="5"/>
    </row>
    <row r="10" spans="1:15">
      <c r="A10" s="56">
        <v>7</v>
      </c>
      <c r="B10" s="284">
        <v>45754</v>
      </c>
      <c r="C10" s="6"/>
      <c r="D10" s="6"/>
      <c r="E10" s="79">
        <v>65.61</v>
      </c>
      <c r="F10" s="6">
        <v>91.45</v>
      </c>
      <c r="G10" s="80">
        <f t="shared" si="0"/>
        <v>6000.0344999999998</v>
      </c>
      <c r="H10" s="79">
        <v>0</v>
      </c>
      <c r="I10" s="6">
        <v>0</v>
      </c>
      <c r="J10" s="80">
        <f t="shared" si="1"/>
        <v>0</v>
      </c>
      <c r="K10" s="80">
        <f t="shared" si="2"/>
        <v>6000.0344999999998</v>
      </c>
      <c r="L10" s="190">
        <f t="shared" si="3"/>
        <v>6000.0344999999998</v>
      </c>
      <c r="M10" s="176">
        <v>0</v>
      </c>
      <c r="N10" s="56" t="s">
        <v>112</v>
      </c>
      <c r="O10" s="5"/>
    </row>
    <row r="11" spans="1:15">
      <c r="A11" s="56">
        <v>8</v>
      </c>
      <c r="B11" s="284">
        <v>45755</v>
      </c>
      <c r="C11" s="6"/>
      <c r="D11" s="6"/>
      <c r="E11" s="79">
        <v>65.61</v>
      </c>
      <c r="F11" s="6">
        <v>91.45</v>
      </c>
      <c r="G11" s="80">
        <f t="shared" si="0"/>
        <v>6000.0344999999998</v>
      </c>
      <c r="H11" s="79">
        <v>0</v>
      </c>
      <c r="I11" s="6">
        <v>0</v>
      </c>
      <c r="J11" s="80">
        <f t="shared" si="1"/>
        <v>0</v>
      </c>
      <c r="K11" s="80">
        <f t="shared" si="2"/>
        <v>6000.0344999999998</v>
      </c>
      <c r="L11" s="190">
        <f t="shared" si="3"/>
        <v>6000.0344999999998</v>
      </c>
      <c r="M11" s="176">
        <v>0</v>
      </c>
      <c r="N11" s="56" t="s">
        <v>112</v>
      </c>
      <c r="O11" s="5"/>
    </row>
    <row r="12" spans="1:15">
      <c r="A12" s="56">
        <v>9</v>
      </c>
      <c r="B12" s="284">
        <v>45756</v>
      </c>
      <c r="C12" s="6"/>
      <c r="D12" s="6"/>
      <c r="E12" s="79">
        <v>0</v>
      </c>
      <c r="F12" s="6">
        <v>0</v>
      </c>
      <c r="G12" s="80">
        <f t="shared" si="0"/>
        <v>0</v>
      </c>
      <c r="H12" s="79">
        <v>0</v>
      </c>
      <c r="I12" s="6">
        <v>0</v>
      </c>
      <c r="J12" s="80">
        <f t="shared" si="1"/>
        <v>0</v>
      </c>
      <c r="K12" s="80">
        <f t="shared" si="2"/>
        <v>0</v>
      </c>
      <c r="L12" s="190">
        <f t="shared" si="3"/>
        <v>0</v>
      </c>
      <c r="M12" s="176">
        <v>0</v>
      </c>
      <c r="N12" s="56" t="s">
        <v>112</v>
      </c>
      <c r="O12" s="5"/>
    </row>
    <row r="13" spans="1:15">
      <c r="A13" s="56">
        <v>10</v>
      </c>
      <c r="B13" s="284">
        <v>45757</v>
      </c>
      <c r="C13" s="6"/>
      <c r="D13" s="6"/>
      <c r="E13" s="79">
        <v>0</v>
      </c>
      <c r="F13" s="6">
        <v>0</v>
      </c>
      <c r="G13" s="80">
        <f t="shared" si="0"/>
        <v>0</v>
      </c>
      <c r="H13" s="79">
        <v>0</v>
      </c>
      <c r="I13" s="6">
        <v>0</v>
      </c>
      <c r="J13" s="80">
        <f t="shared" si="1"/>
        <v>0</v>
      </c>
      <c r="K13" s="80">
        <f t="shared" si="2"/>
        <v>0</v>
      </c>
      <c r="L13" s="190">
        <f t="shared" si="3"/>
        <v>0</v>
      </c>
      <c r="M13" s="176">
        <v>0</v>
      </c>
      <c r="N13" s="56" t="s">
        <v>112</v>
      </c>
      <c r="O13" s="5"/>
    </row>
    <row r="14" spans="1:15">
      <c r="A14" s="56">
        <v>11</v>
      </c>
      <c r="B14" s="284">
        <v>45758</v>
      </c>
      <c r="C14" s="6"/>
      <c r="D14" s="6"/>
      <c r="E14" s="79">
        <v>0</v>
      </c>
      <c r="F14" s="6">
        <v>0</v>
      </c>
      <c r="G14" s="80">
        <f t="shared" si="0"/>
        <v>0</v>
      </c>
      <c r="H14" s="79">
        <v>0</v>
      </c>
      <c r="I14" s="6">
        <v>0</v>
      </c>
      <c r="J14" s="80">
        <f t="shared" si="1"/>
        <v>0</v>
      </c>
      <c r="K14" s="80">
        <f t="shared" si="2"/>
        <v>0</v>
      </c>
      <c r="L14" s="190">
        <f t="shared" si="3"/>
        <v>0</v>
      </c>
      <c r="M14" s="176">
        <v>0</v>
      </c>
      <c r="N14" s="56" t="s">
        <v>112</v>
      </c>
      <c r="O14" s="5"/>
    </row>
    <row r="15" spans="1:15">
      <c r="A15" s="56">
        <v>12</v>
      </c>
      <c r="B15" s="284">
        <v>45759</v>
      </c>
      <c r="C15" s="6"/>
      <c r="D15" s="6"/>
      <c r="E15" s="79">
        <v>0</v>
      </c>
      <c r="F15" s="6">
        <v>0</v>
      </c>
      <c r="G15" s="80">
        <f t="shared" si="0"/>
        <v>0</v>
      </c>
      <c r="H15" s="79">
        <v>9.66</v>
      </c>
      <c r="I15" s="6">
        <v>103.39</v>
      </c>
      <c r="J15" s="80">
        <f t="shared" si="1"/>
        <v>998.74739999999997</v>
      </c>
      <c r="K15" s="80">
        <f t="shared" si="2"/>
        <v>998.74739999999997</v>
      </c>
      <c r="L15" s="190">
        <f t="shared" si="3"/>
        <v>998.74739999999997</v>
      </c>
      <c r="M15" s="176">
        <v>0</v>
      </c>
      <c r="N15" s="56" t="s">
        <v>112</v>
      </c>
      <c r="O15" s="5"/>
    </row>
    <row r="16" spans="1:15">
      <c r="A16" s="56"/>
      <c r="B16" s="284">
        <v>45760</v>
      </c>
      <c r="C16" s="6"/>
      <c r="D16" s="6"/>
      <c r="E16" s="79">
        <v>0</v>
      </c>
      <c r="F16" s="6">
        <v>0</v>
      </c>
      <c r="G16" s="80">
        <f t="shared" si="0"/>
        <v>0</v>
      </c>
      <c r="H16" s="79">
        <v>0</v>
      </c>
      <c r="I16" s="6">
        <v>0</v>
      </c>
      <c r="J16" s="80">
        <f t="shared" si="1"/>
        <v>0</v>
      </c>
      <c r="K16" s="80">
        <f t="shared" si="2"/>
        <v>0</v>
      </c>
      <c r="L16" s="190">
        <f t="shared" si="3"/>
        <v>0</v>
      </c>
      <c r="M16" s="176"/>
      <c r="N16" s="56" t="s">
        <v>112</v>
      </c>
      <c r="O16" s="5"/>
    </row>
    <row r="17" spans="1:15">
      <c r="A17" s="56">
        <v>13</v>
      </c>
      <c r="B17" s="284">
        <v>45761</v>
      </c>
      <c r="C17" s="6"/>
      <c r="D17" s="6"/>
      <c r="E17" s="79">
        <v>0</v>
      </c>
      <c r="F17" s="6">
        <v>0</v>
      </c>
      <c r="G17" s="80">
        <f t="shared" si="0"/>
        <v>0</v>
      </c>
      <c r="H17" s="79">
        <v>0</v>
      </c>
      <c r="I17" s="6">
        <v>0</v>
      </c>
      <c r="J17" s="80">
        <f t="shared" si="1"/>
        <v>0</v>
      </c>
      <c r="K17" s="80">
        <f t="shared" si="2"/>
        <v>0</v>
      </c>
      <c r="L17" s="190">
        <f t="shared" si="3"/>
        <v>0</v>
      </c>
      <c r="M17" s="176">
        <v>0</v>
      </c>
      <c r="N17" s="56" t="s">
        <v>112</v>
      </c>
      <c r="O17" s="5"/>
    </row>
    <row r="18" spans="1:15">
      <c r="A18" s="56">
        <v>14</v>
      </c>
      <c r="B18" s="284">
        <v>45762</v>
      </c>
      <c r="C18" s="6"/>
      <c r="D18" s="6"/>
      <c r="E18" s="79">
        <v>32.799999999999997</v>
      </c>
      <c r="F18" s="6">
        <v>91.45</v>
      </c>
      <c r="G18" s="80">
        <f t="shared" si="0"/>
        <v>2999.56</v>
      </c>
      <c r="H18" s="79">
        <v>0</v>
      </c>
      <c r="I18" s="6">
        <v>0</v>
      </c>
      <c r="J18" s="80">
        <f t="shared" si="1"/>
        <v>0</v>
      </c>
      <c r="K18" s="80">
        <f t="shared" si="2"/>
        <v>2999.56</v>
      </c>
      <c r="L18" s="190">
        <f t="shared" si="3"/>
        <v>2999.56</v>
      </c>
      <c r="M18" s="176">
        <v>0</v>
      </c>
      <c r="N18" s="56" t="s">
        <v>112</v>
      </c>
      <c r="O18" s="5"/>
    </row>
    <row r="19" spans="1:15">
      <c r="A19" s="56">
        <v>15</v>
      </c>
      <c r="B19" s="284">
        <v>45763</v>
      </c>
      <c r="C19" s="6"/>
      <c r="D19" s="6"/>
      <c r="E19" s="79">
        <v>0</v>
      </c>
      <c r="F19" s="6">
        <v>0</v>
      </c>
      <c r="G19" s="80">
        <f t="shared" si="0"/>
        <v>0</v>
      </c>
      <c r="H19" s="79">
        <v>0</v>
      </c>
      <c r="I19" s="6">
        <v>0</v>
      </c>
      <c r="J19" s="80">
        <f t="shared" si="1"/>
        <v>0</v>
      </c>
      <c r="K19" s="80">
        <f t="shared" si="2"/>
        <v>0</v>
      </c>
      <c r="L19" s="190">
        <f t="shared" si="3"/>
        <v>0</v>
      </c>
      <c r="M19" s="176">
        <v>0</v>
      </c>
      <c r="N19" s="56" t="s">
        <v>112</v>
      </c>
      <c r="O19" s="5"/>
    </row>
    <row r="20" spans="1:15">
      <c r="A20" s="56">
        <v>16</v>
      </c>
      <c r="B20" s="284">
        <v>45764</v>
      </c>
      <c r="C20" s="6"/>
      <c r="D20" s="6"/>
      <c r="E20" s="79">
        <v>32.799999999999997</v>
      </c>
      <c r="F20" s="6">
        <v>91.45</v>
      </c>
      <c r="G20" s="80">
        <f t="shared" si="0"/>
        <v>2999.56</v>
      </c>
      <c r="H20" s="79">
        <v>0</v>
      </c>
      <c r="I20" s="6">
        <v>0</v>
      </c>
      <c r="J20" s="80">
        <f t="shared" si="1"/>
        <v>0</v>
      </c>
      <c r="K20" s="80">
        <f t="shared" si="2"/>
        <v>2999.56</v>
      </c>
      <c r="L20" s="190">
        <f t="shared" si="3"/>
        <v>2999.56</v>
      </c>
      <c r="M20" s="176">
        <v>0</v>
      </c>
      <c r="N20" s="56" t="s">
        <v>112</v>
      </c>
      <c r="O20" s="5"/>
    </row>
    <row r="21" spans="1:15">
      <c r="A21" s="56">
        <v>17</v>
      </c>
      <c r="B21" s="284">
        <v>45765</v>
      </c>
      <c r="C21" s="6"/>
      <c r="D21" s="6"/>
      <c r="E21" s="79">
        <v>0</v>
      </c>
      <c r="F21" s="6">
        <v>0</v>
      </c>
      <c r="G21" s="80">
        <f t="shared" si="0"/>
        <v>0</v>
      </c>
      <c r="H21" s="79">
        <v>0</v>
      </c>
      <c r="I21" s="6">
        <v>0</v>
      </c>
      <c r="J21" s="80">
        <f t="shared" si="1"/>
        <v>0</v>
      </c>
      <c r="K21" s="80">
        <f t="shared" si="2"/>
        <v>0</v>
      </c>
      <c r="L21" s="190">
        <f t="shared" si="3"/>
        <v>0</v>
      </c>
      <c r="M21" s="176">
        <v>0</v>
      </c>
      <c r="N21" s="56" t="s">
        <v>112</v>
      </c>
      <c r="O21" s="5"/>
    </row>
    <row r="22" spans="1:15">
      <c r="A22" s="56">
        <v>18</v>
      </c>
      <c r="B22" s="284">
        <v>45766</v>
      </c>
      <c r="C22" s="6"/>
      <c r="D22" s="6"/>
      <c r="E22" s="79">
        <v>0</v>
      </c>
      <c r="F22" s="6">
        <v>0</v>
      </c>
      <c r="G22" s="80">
        <f t="shared" si="0"/>
        <v>0</v>
      </c>
      <c r="H22" s="79">
        <v>0</v>
      </c>
      <c r="I22" s="6">
        <v>0</v>
      </c>
      <c r="J22" s="80">
        <f t="shared" si="1"/>
        <v>0</v>
      </c>
      <c r="K22" s="80">
        <f t="shared" si="2"/>
        <v>0</v>
      </c>
      <c r="L22" s="190">
        <f t="shared" si="3"/>
        <v>0</v>
      </c>
      <c r="M22" s="176">
        <v>0</v>
      </c>
      <c r="N22" s="56" t="s">
        <v>112</v>
      </c>
      <c r="O22" s="5"/>
    </row>
    <row r="23" spans="1:15">
      <c r="A23" s="56">
        <v>19</v>
      </c>
      <c r="B23" s="284">
        <v>45767</v>
      </c>
      <c r="C23" s="6"/>
      <c r="D23" s="6"/>
      <c r="E23" s="79">
        <v>32.799999999999997</v>
      </c>
      <c r="F23" s="6">
        <v>91.45</v>
      </c>
      <c r="G23" s="80">
        <f t="shared" si="0"/>
        <v>2999.56</v>
      </c>
      <c r="H23" s="79">
        <v>4.83</v>
      </c>
      <c r="I23" s="6">
        <v>103.39</v>
      </c>
      <c r="J23" s="80">
        <f t="shared" si="1"/>
        <v>499.37369999999999</v>
      </c>
      <c r="K23" s="80">
        <f t="shared" si="2"/>
        <v>3498.9337</v>
      </c>
      <c r="L23" s="190">
        <f t="shared" si="3"/>
        <v>3498.9337</v>
      </c>
      <c r="M23" s="176">
        <v>0</v>
      </c>
      <c r="N23" s="56" t="s">
        <v>112</v>
      </c>
      <c r="O23" s="5"/>
    </row>
    <row r="24" spans="1:15">
      <c r="A24" s="56">
        <v>20</v>
      </c>
      <c r="B24" s="284">
        <v>45768</v>
      </c>
      <c r="C24" s="6"/>
      <c r="D24" s="6"/>
      <c r="E24" s="79">
        <v>54.67</v>
      </c>
      <c r="F24" s="6">
        <v>91.45</v>
      </c>
      <c r="G24" s="80">
        <f t="shared" si="0"/>
        <v>4999.5715</v>
      </c>
      <c r="H24" s="79">
        <v>0</v>
      </c>
      <c r="I24" s="6">
        <v>0</v>
      </c>
      <c r="J24" s="80">
        <f t="shared" si="1"/>
        <v>0</v>
      </c>
      <c r="K24" s="80">
        <f t="shared" si="2"/>
        <v>4999.5715</v>
      </c>
      <c r="L24" s="190">
        <f t="shared" si="3"/>
        <v>4999.5715</v>
      </c>
      <c r="M24" s="176">
        <v>0</v>
      </c>
      <c r="N24" s="56" t="s">
        <v>112</v>
      </c>
      <c r="O24" s="5"/>
    </row>
    <row r="25" spans="1:15">
      <c r="A25" s="56">
        <v>21</v>
      </c>
      <c r="B25" s="284">
        <v>45769</v>
      </c>
      <c r="C25" s="6"/>
      <c r="D25" s="6"/>
      <c r="E25" s="79">
        <v>0</v>
      </c>
      <c r="F25" s="6">
        <v>0</v>
      </c>
      <c r="G25" s="80">
        <f t="shared" si="0"/>
        <v>0</v>
      </c>
      <c r="H25" s="79">
        <v>0</v>
      </c>
      <c r="I25" s="6">
        <v>0</v>
      </c>
      <c r="J25" s="80">
        <f t="shared" si="1"/>
        <v>0</v>
      </c>
      <c r="K25" s="80">
        <f t="shared" si="2"/>
        <v>0</v>
      </c>
      <c r="L25" s="190">
        <f t="shared" si="3"/>
        <v>0</v>
      </c>
      <c r="M25" s="176">
        <v>0</v>
      </c>
      <c r="N25" s="56" t="s">
        <v>112</v>
      </c>
      <c r="O25" s="5"/>
    </row>
    <row r="26" spans="1:15">
      <c r="A26" s="56">
        <v>22</v>
      </c>
      <c r="B26" s="284">
        <v>45770</v>
      </c>
      <c r="C26" s="6"/>
      <c r="D26" s="6"/>
      <c r="E26" s="79">
        <v>32.799999999999997</v>
      </c>
      <c r="F26" s="6">
        <v>91.45</v>
      </c>
      <c r="G26" s="80">
        <f t="shared" si="0"/>
        <v>2999.56</v>
      </c>
      <c r="H26" s="79">
        <v>0</v>
      </c>
      <c r="I26" s="6">
        <v>0</v>
      </c>
      <c r="J26" s="80">
        <f t="shared" si="1"/>
        <v>0</v>
      </c>
      <c r="K26" s="80">
        <f t="shared" si="2"/>
        <v>2999.56</v>
      </c>
      <c r="L26" s="190">
        <f t="shared" si="3"/>
        <v>2999.56</v>
      </c>
      <c r="M26" s="176">
        <v>0</v>
      </c>
      <c r="N26" s="56" t="s">
        <v>112</v>
      </c>
      <c r="O26" s="5"/>
    </row>
    <row r="27" spans="1:15">
      <c r="A27" s="56">
        <v>23</v>
      </c>
      <c r="B27" s="284">
        <v>45771</v>
      </c>
      <c r="C27" s="6"/>
      <c r="D27" s="6"/>
      <c r="E27" s="79">
        <v>32.799999999999997</v>
      </c>
      <c r="F27" s="6">
        <v>91.45</v>
      </c>
      <c r="G27" s="80">
        <f t="shared" si="0"/>
        <v>2999.56</v>
      </c>
      <c r="H27" s="79">
        <v>0</v>
      </c>
      <c r="I27" s="6">
        <v>0</v>
      </c>
      <c r="J27" s="80">
        <f t="shared" si="1"/>
        <v>0</v>
      </c>
      <c r="K27" s="80">
        <f t="shared" si="2"/>
        <v>2999.56</v>
      </c>
      <c r="L27" s="190">
        <f t="shared" si="3"/>
        <v>2999.56</v>
      </c>
      <c r="M27" s="176">
        <v>0</v>
      </c>
      <c r="N27" s="56" t="s">
        <v>112</v>
      </c>
      <c r="O27" s="5"/>
    </row>
    <row r="28" spans="1:15">
      <c r="A28" s="56">
        <v>24</v>
      </c>
      <c r="B28" s="284">
        <v>45772</v>
      </c>
      <c r="C28" s="6"/>
      <c r="D28" s="6"/>
      <c r="E28" s="79">
        <v>80.59</v>
      </c>
      <c r="F28" s="6">
        <v>91.45</v>
      </c>
      <c r="G28" s="80">
        <f t="shared" si="0"/>
        <v>7369.9555000000009</v>
      </c>
      <c r="H28" s="79">
        <v>0</v>
      </c>
      <c r="I28" s="6">
        <v>0</v>
      </c>
      <c r="J28" s="80">
        <f t="shared" si="1"/>
        <v>0</v>
      </c>
      <c r="K28" s="80">
        <f t="shared" si="2"/>
        <v>7369.9555000000009</v>
      </c>
      <c r="L28" s="190">
        <f t="shared" si="3"/>
        <v>7369.9555000000009</v>
      </c>
      <c r="M28" s="176">
        <v>0</v>
      </c>
      <c r="N28" s="56" t="s">
        <v>112</v>
      </c>
      <c r="O28" s="5"/>
    </row>
    <row r="29" spans="1:15">
      <c r="A29" s="56">
        <v>24</v>
      </c>
      <c r="B29" s="284">
        <v>45773</v>
      </c>
      <c r="C29" s="6"/>
      <c r="D29" s="6"/>
      <c r="E29" s="79">
        <v>0</v>
      </c>
      <c r="F29" s="6">
        <v>0</v>
      </c>
      <c r="G29" s="80">
        <f t="shared" si="0"/>
        <v>0</v>
      </c>
      <c r="H29" s="79">
        <v>0</v>
      </c>
      <c r="I29" s="6">
        <v>0</v>
      </c>
      <c r="J29" s="80">
        <f t="shared" si="1"/>
        <v>0</v>
      </c>
      <c r="K29" s="80">
        <f t="shared" si="2"/>
        <v>0</v>
      </c>
      <c r="L29" s="190">
        <f t="shared" si="3"/>
        <v>0</v>
      </c>
      <c r="M29" s="176">
        <v>0</v>
      </c>
      <c r="N29" s="56" t="s">
        <v>112</v>
      </c>
      <c r="O29" s="5"/>
    </row>
    <row r="30" spans="1:15">
      <c r="A30" s="286">
        <v>25</v>
      </c>
      <c r="B30" s="284">
        <v>45774</v>
      </c>
      <c r="C30" s="6"/>
      <c r="D30" s="6"/>
      <c r="E30" s="79">
        <v>0</v>
      </c>
      <c r="F30" s="6">
        <v>0</v>
      </c>
      <c r="G30" s="80">
        <f t="shared" si="0"/>
        <v>0</v>
      </c>
      <c r="H30" s="79">
        <v>9.66</v>
      </c>
      <c r="I30" s="6">
        <v>103.39</v>
      </c>
      <c r="J30" s="80">
        <f t="shared" si="1"/>
        <v>998.74739999999997</v>
      </c>
      <c r="K30" s="80">
        <f t="shared" si="2"/>
        <v>998.74739999999997</v>
      </c>
      <c r="L30" s="190">
        <f t="shared" si="3"/>
        <v>998.74739999999997</v>
      </c>
      <c r="M30" s="176">
        <v>0</v>
      </c>
      <c r="N30" s="56" t="s">
        <v>112</v>
      </c>
      <c r="O30" s="5"/>
    </row>
    <row r="31" spans="1:15">
      <c r="A31" s="286">
        <v>26</v>
      </c>
      <c r="B31" s="284">
        <v>45775</v>
      </c>
      <c r="C31" s="6"/>
      <c r="D31" s="6"/>
      <c r="E31" s="79">
        <v>0</v>
      </c>
      <c r="F31" s="6">
        <v>0</v>
      </c>
      <c r="G31" s="80">
        <f t="shared" si="0"/>
        <v>0</v>
      </c>
      <c r="H31" s="79">
        <v>0</v>
      </c>
      <c r="I31" s="6">
        <v>0</v>
      </c>
      <c r="J31" s="80">
        <f t="shared" si="1"/>
        <v>0</v>
      </c>
      <c r="K31" s="80">
        <f t="shared" si="2"/>
        <v>0</v>
      </c>
      <c r="L31" s="190">
        <f t="shared" si="3"/>
        <v>0</v>
      </c>
      <c r="M31" s="176">
        <v>0</v>
      </c>
      <c r="N31" s="56" t="s">
        <v>112</v>
      </c>
      <c r="O31" s="5"/>
    </row>
    <row r="32" spans="1:15">
      <c r="A32" s="286">
        <v>27</v>
      </c>
      <c r="B32" s="284">
        <v>45776</v>
      </c>
      <c r="C32" s="6"/>
      <c r="D32" s="6"/>
      <c r="E32" s="79">
        <v>0</v>
      </c>
      <c r="F32" s="6">
        <v>0</v>
      </c>
      <c r="G32" s="80">
        <f t="shared" si="0"/>
        <v>0</v>
      </c>
      <c r="H32" s="79">
        <v>0</v>
      </c>
      <c r="I32" s="6">
        <v>0</v>
      </c>
      <c r="J32" s="80">
        <f t="shared" si="1"/>
        <v>0</v>
      </c>
      <c r="K32" s="80">
        <f t="shared" si="2"/>
        <v>0</v>
      </c>
      <c r="L32" s="190">
        <f t="shared" si="3"/>
        <v>0</v>
      </c>
      <c r="M32" s="176">
        <v>0</v>
      </c>
      <c r="N32" s="56" t="s">
        <v>112</v>
      </c>
      <c r="O32" s="5"/>
    </row>
    <row r="33" spans="1:15">
      <c r="A33" s="286">
        <v>28</v>
      </c>
      <c r="B33" s="284">
        <v>45777</v>
      </c>
      <c r="C33" s="6"/>
      <c r="D33" s="6"/>
      <c r="E33" s="79">
        <v>0</v>
      </c>
      <c r="F33" s="6">
        <v>0</v>
      </c>
      <c r="G33" s="80">
        <f t="shared" si="0"/>
        <v>0</v>
      </c>
      <c r="H33" s="79">
        <v>0</v>
      </c>
      <c r="I33" s="6">
        <v>0</v>
      </c>
      <c r="J33" s="80">
        <f t="shared" si="1"/>
        <v>0</v>
      </c>
      <c r="K33" s="80">
        <f t="shared" si="2"/>
        <v>0</v>
      </c>
      <c r="L33" s="190">
        <f t="shared" si="3"/>
        <v>0</v>
      </c>
      <c r="M33" s="176">
        <v>0</v>
      </c>
      <c r="N33" s="56" t="s">
        <v>112</v>
      </c>
      <c r="O33" s="5"/>
    </row>
    <row r="34" spans="1:15">
      <c r="A34" s="287">
        <v>29</v>
      </c>
      <c r="B34" s="284"/>
      <c r="C34" s="6"/>
      <c r="D34" s="6"/>
      <c r="E34" s="79">
        <v>0</v>
      </c>
      <c r="F34" s="6">
        <v>0</v>
      </c>
      <c r="G34" s="80">
        <f t="shared" si="0"/>
        <v>0</v>
      </c>
      <c r="H34" s="79">
        <v>0</v>
      </c>
      <c r="I34" s="6">
        <v>0</v>
      </c>
      <c r="J34" s="80">
        <f t="shared" si="1"/>
        <v>0</v>
      </c>
      <c r="K34" s="80">
        <f t="shared" si="2"/>
        <v>0</v>
      </c>
      <c r="L34" s="190">
        <f t="shared" si="3"/>
        <v>0</v>
      </c>
      <c r="M34" s="176">
        <v>0</v>
      </c>
      <c r="N34" s="56" t="s">
        <v>112</v>
      </c>
      <c r="O34" s="5"/>
    </row>
    <row r="35" spans="1:15">
      <c r="A35" s="287">
        <v>30</v>
      </c>
      <c r="B35" s="284"/>
      <c r="C35" s="6"/>
      <c r="D35" s="6"/>
      <c r="E35" s="79">
        <v>0</v>
      </c>
      <c r="F35" s="6">
        <v>0</v>
      </c>
      <c r="G35" s="80">
        <f t="shared" si="0"/>
        <v>0</v>
      </c>
      <c r="H35" s="79">
        <v>0</v>
      </c>
      <c r="I35" s="6">
        <v>0</v>
      </c>
      <c r="J35" s="80">
        <f t="shared" si="1"/>
        <v>0</v>
      </c>
      <c r="K35" s="80">
        <f t="shared" si="2"/>
        <v>0</v>
      </c>
      <c r="L35" s="190">
        <f t="shared" si="3"/>
        <v>0</v>
      </c>
      <c r="M35" s="176">
        <v>0</v>
      </c>
      <c r="N35" s="56" t="s">
        <v>112</v>
      </c>
      <c r="O35" s="5"/>
    </row>
    <row r="36" spans="1:15">
      <c r="A36" s="287">
        <v>31</v>
      </c>
      <c r="B36" s="284"/>
      <c r="C36" s="6"/>
      <c r="D36" s="6"/>
      <c r="E36" s="79">
        <v>0</v>
      </c>
      <c r="F36" s="6">
        <v>0</v>
      </c>
      <c r="G36" s="80">
        <f t="shared" si="0"/>
        <v>0</v>
      </c>
      <c r="H36" s="79">
        <v>0</v>
      </c>
      <c r="I36" s="6">
        <v>0</v>
      </c>
      <c r="J36" s="80">
        <f t="shared" si="1"/>
        <v>0</v>
      </c>
      <c r="K36" s="80">
        <f t="shared" si="2"/>
        <v>0</v>
      </c>
      <c r="L36" s="190">
        <f t="shared" si="3"/>
        <v>0</v>
      </c>
      <c r="M36" s="176">
        <v>0</v>
      </c>
      <c r="N36" s="56" t="s">
        <v>112</v>
      </c>
      <c r="O36" s="5"/>
    </row>
    <row r="37" spans="1:15">
      <c r="A37" s="6">
        <v>34</v>
      </c>
      <c r="B37" s="93"/>
      <c r="C37" s="6"/>
      <c r="D37" s="6"/>
      <c r="E37" s="79">
        <v>0</v>
      </c>
      <c r="F37" s="6">
        <v>0</v>
      </c>
      <c r="G37" s="80">
        <f t="shared" si="0"/>
        <v>0</v>
      </c>
      <c r="H37" s="79">
        <v>0</v>
      </c>
      <c r="I37" s="6">
        <v>0</v>
      </c>
      <c r="J37" s="80">
        <f t="shared" si="1"/>
        <v>0</v>
      </c>
      <c r="K37" s="80">
        <f t="shared" si="2"/>
        <v>0</v>
      </c>
      <c r="L37" s="190">
        <f t="shared" si="3"/>
        <v>0</v>
      </c>
      <c r="M37" s="176">
        <v>0</v>
      </c>
      <c r="N37" s="6"/>
      <c r="O37" s="5"/>
    </row>
    <row r="38" spans="1:15">
      <c r="A38" s="6">
        <v>35</v>
      </c>
      <c r="B38" s="93"/>
      <c r="C38" s="6"/>
      <c r="D38" s="6"/>
      <c r="E38" s="79">
        <v>0</v>
      </c>
      <c r="F38" s="6">
        <v>0</v>
      </c>
      <c r="G38" s="80">
        <f t="shared" si="0"/>
        <v>0</v>
      </c>
      <c r="H38" s="79">
        <v>0</v>
      </c>
      <c r="I38" s="6">
        <v>0</v>
      </c>
      <c r="J38" s="80">
        <f t="shared" si="1"/>
        <v>0</v>
      </c>
      <c r="K38" s="80">
        <f t="shared" si="2"/>
        <v>0</v>
      </c>
      <c r="L38" s="190">
        <f t="shared" si="3"/>
        <v>0</v>
      </c>
      <c r="M38" s="176">
        <v>0</v>
      </c>
      <c r="N38" s="6"/>
      <c r="O38" s="5"/>
    </row>
    <row r="39" spans="1:15">
      <c r="A39" s="6">
        <v>36</v>
      </c>
      <c r="B39" s="93"/>
      <c r="C39" s="6"/>
      <c r="D39" s="6"/>
      <c r="E39" s="79">
        <v>0</v>
      </c>
      <c r="F39" s="6">
        <v>0</v>
      </c>
      <c r="G39" s="80">
        <f t="shared" si="0"/>
        <v>0</v>
      </c>
      <c r="H39" s="79">
        <v>0</v>
      </c>
      <c r="I39" s="6">
        <v>0</v>
      </c>
      <c r="J39" s="80">
        <f t="shared" si="1"/>
        <v>0</v>
      </c>
      <c r="K39" s="80">
        <f t="shared" si="2"/>
        <v>0</v>
      </c>
      <c r="L39" s="190">
        <f t="shared" si="3"/>
        <v>0</v>
      </c>
      <c r="M39" s="176">
        <v>0</v>
      </c>
      <c r="N39" s="6"/>
      <c r="O39" s="5"/>
    </row>
    <row r="40" spans="1:15">
      <c r="A40" s="6">
        <v>37</v>
      </c>
      <c r="B40" s="93"/>
      <c r="C40" s="6"/>
      <c r="D40" s="6"/>
      <c r="E40" s="79">
        <v>0</v>
      </c>
      <c r="F40" s="6">
        <v>0</v>
      </c>
      <c r="G40" s="80">
        <f t="shared" si="0"/>
        <v>0</v>
      </c>
      <c r="H40" s="79">
        <v>0</v>
      </c>
      <c r="I40" s="6">
        <v>0</v>
      </c>
      <c r="J40" s="80">
        <f t="shared" si="1"/>
        <v>0</v>
      </c>
      <c r="K40" s="80">
        <f t="shared" si="2"/>
        <v>0</v>
      </c>
      <c r="L40" s="190">
        <f t="shared" si="3"/>
        <v>0</v>
      </c>
      <c r="M40" s="176">
        <v>0</v>
      </c>
      <c r="N40" s="6"/>
      <c r="O40" s="5"/>
    </row>
    <row r="41" spans="1:15">
      <c r="A41" s="6">
        <v>38</v>
      </c>
      <c r="B41" s="93"/>
      <c r="C41" s="6"/>
      <c r="D41" s="6"/>
      <c r="E41" s="79">
        <v>0</v>
      </c>
      <c r="F41" s="6">
        <v>0</v>
      </c>
      <c r="G41" s="80">
        <f t="shared" si="0"/>
        <v>0</v>
      </c>
      <c r="H41" s="79">
        <v>0</v>
      </c>
      <c r="I41" s="6">
        <v>0</v>
      </c>
      <c r="J41" s="80">
        <f t="shared" si="1"/>
        <v>0</v>
      </c>
      <c r="K41" s="80">
        <f t="shared" si="2"/>
        <v>0</v>
      </c>
      <c r="L41" s="190">
        <f t="shared" si="3"/>
        <v>0</v>
      </c>
      <c r="M41" s="176">
        <v>0</v>
      </c>
      <c r="N41" s="6"/>
      <c r="O41" s="5"/>
    </row>
    <row r="42" spans="1:15">
      <c r="A42" s="200">
        <v>39</v>
      </c>
      <c r="B42" s="201"/>
      <c r="C42" s="200"/>
      <c r="D42" s="6"/>
      <c r="E42" s="79">
        <v>0</v>
      </c>
      <c r="F42" s="6">
        <v>0</v>
      </c>
      <c r="G42" s="80">
        <f t="shared" si="0"/>
        <v>0</v>
      </c>
      <c r="H42" s="79">
        <v>0</v>
      </c>
      <c r="I42" s="6">
        <v>0</v>
      </c>
      <c r="J42" s="80">
        <f t="shared" si="1"/>
        <v>0</v>
      </c>
      <c r="K42" s="80">
        <f t="shared" si="2"/>
        <v>0</v>
      </c>
      <c r="L42" s="190">
        <f t="shared" si="3"/>
        <v>0</v>
      </c>
      <c r="M42" s="204">
        <v>0</v>
      </c>
      <c r="N42" s="200"/>
      <c r="O42" s="5"/>
    </row>
    <row r="43" spans="1:15">
      <c r="A43" s="6">
        <v>40</v>
      </c>
      <c r="B43" s="6"/>
      <c r="C43" s="6"/>
      <c r="D43" s="6"/>
      <c r="E43" s="79">
        <v>0</v>
      </c>
      <c r="F43" s="6">
        <v>0</v>
      </c>
      <c r="G43" s="80">
        <f t="shared" ref="G30:G45" si="4">E43*F43</f>
        <v>0</v>
      </c>
      <c r="H43" s="79"/>
      <c r="I43" s="6"/>
      <c r="J43" s="80">
        <f t="shared" ref="J30:J45" si="5">H43*I43</f>
        <v>0</v>
      </c>
      <c r="K43" s="80">
        <f t="shared" ref="K30:K45" si="6">G43+J43</f>
        <v>0</v>
      </c>
      <c r="L43" s="190">
        <f t="shared" ref="L30:L45" si="7">+K43</f>
        <v>0</v>
      </c>
      <c r="M43" s="176">
        <v>0</v>
      </c>
      <c r="N43" s="6"/>
      <c r="O43" s="5"/>
    </row>
    <row r="44" spans="1:15">
      <c r="A44" s="200">
        <v>41</v>
      </c>
      <c r="B44" s="200"/>
      <c r="C44" s="200"/>
      <c r="D44" s="6"/>
      <c r="E44" s="79">
        <v>0</v>
      </c>
      <c r="F44" s="6">
        <v>0</v>
      </c>
      <c r="G44" s="80">
        <f t="shared" si="4"/>
        <v>0</v>
      </c>
      <c r="H44" s="79"/>
      <c r="I44" s="6"/>
      <c r="J44" s="80">
        <f t="shared" si="5"/>
        <v>0</v>
      </c>
      <c r="K44" s="202">
        <f t="shared" si="6"/>
        <v>0</v>
      </c>
      <c r="L44" s="190">
        <f t="shared" si="7"/>
        <v>0</v>
      </c>
      <c r="M44" s="204">
        <v>0</v>
      </c>
      <c r="N44" s="200"/>
      <c r="O44" s="5"/>
    </row>
    <row r="45" spans="1:15">
      <c r="A45" s="200">
        <v>42</v>
      </c>
      <c r="B45" s="200"/>
      <c r="C45" s="200"/>
      <c r="D45" s="6"/>
      <c r="E45" s="79">
        <v>0</v>
      </c>
      <c r="F45" s="6">
        <v>0</v>
      </c>
      <c r="G45" s="80">
        <f t="shared" si="4"/>
        <v>0</v>
      </c>
      <c r="H45" s="79"/>
      <c r="I45" s="6"/>
      <c r="J45" s="80">
        <f t="shared" si="5"/>
        <v>0</v>
      </c>
      <c r="K45" s="202">
        <f t="shared" si="6"/>
        <v>0</v>
      </c>
      <c r="L45" s="203">
        <f t="shared" si="7"/>
        <v>0</v>
      </c>
      <c r="M45" s="204">
        <v>0</v>
      </c>
      <c r="N45" s="200"/>
      <c r="O45" s="5"/>
    </row>
    <row r="46" spans="1:15">
      <c r="A46" s="76"/>
      <c r="B46" s="76"/>
      <c r="C46" s="76"/>
      <c r="D46" s="76"/>
      <c r="E46" s="77">
        <f>SUM(E4:E45)</f>
        <v>496.09000000000003</v>
      </c>
      <c r="F46" s="77"/>
      <c r="G46" s="77">
        <f>SUM(G4:G45)</f>
        <v>45367.430500000002</v>
      </c>
      <c r="H46" s="77">
        <f>SUM(H4:H45)</f>
        <v>33.81</v>
      </c>
      <c r="I46" s="77"/>
      <c r="J46" s="77">
        <f>SUM(J4:J45)</f>
        <v>3495.6158999999998</v>
      </c>
      <c r="K46" s="77">
        <f>SUM(K4:K45)</f>
        <v>48863.046399999999</v>
      </c>
      <c r="L46" s="77">
        <f>SUM(L4:L45)</f>
        <v>48863.046399999999</v>
      </c>
      <c r="M46" s="77"/>
      <c r="N46" s="77"/>
      <c r="O46" s="73"/>
    </row>
    <row r="47" spans="1:15">
      <c r="A47" s="5"/>
      <c r="B47" s="5"/>
      <c r="C47" s="5"/>
      <c r="D47" s="5"/>
      <c r="E47" s="5"/>
      <c r="F47" s="5"/>
      <c r="G47" s="118"/>
      <c r="H47" s="5"/>
      <c r="I47" s="5"/>
      <c r="J47" s="118"/>
      <c r="K47" s="5"/>
      <c r="L47" s="118"/>
      <c r="M47" s="118"/>
      <c r="N47" s="5"/>
      <c r="O47" s="5"/>
    </row>
    <row r="48" spans="1:15">
      <c r="A48" s="5"/>
      <c r="B48" s="5"/>
      <c r="C48" s="5"/>
      <c r="D48" s="5"/>
      <c r="E48" s="5"/>
      <c r="F48" s="5"/>
      <c r="G48" s="118"/>
      <c r="H48" s="5"/>
      <c r="I48" s="5"/>
      <c r="J48" s="118"/>
      <c r="K48" s="5"/>
      <c r="L48" s="118"/>
      <c r="M48" s="118"/>
      <c r="N48" s="5"/>
      <c r="O48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P37"/>
  <sheetViews>
    <sheetView topLeftCell="A13" workbookViewId="0">
      <selection activeCell="Q33" sqref="Q33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</cols>
  <sheetData>
    <row r="1" spans="1:16" ht="15.75" customHeight="1">
      <c r="A1" s="405" t="s">
        <v>37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</row>
    <row r="2" spans="1:16">
      <c r="A2" s="142" t="s">
        <v>81</v>
      </c>
      <c r="B2" s="142" t="s">
        <v>82</v>
      </c>
      <c r="C2" s="142" t="s">
        <v>83</v>
      </c>
      <c r="D2" s="142" t="s">
        <v>84</v>
      </c>
      <c r="E2" s="207" t="s">
        <v>85</v>
      </c>
      <c r="F2" s="207" t="s">
        <v>86</v>
      </c>
      <c r="G2" s="207" t="s">
        <v>87</v>
      </c>
      <c r="H2" s="207" t="s">
        <v>88</v>
      </c>
      <c r="I2" s="207" t="s">
        <v>86</v>
      </c>
      <c r="J2" s="207" t="s">
        <v>87</v>
      </c>
      <c r="K2" s="207" t="s">
        <v>89</v>
      </c>
      <c r="L2" s="142" t="s">
        <v>9</v>
      </c>
      <c r="M2" s="145" t="s">
        <v>136</v>
      </c>
      <c r="N2" s="142" t="s">
        <v>92</v>
      </c>
    </row>
    <row r="3" spans="1:16">
      <c r="A3" s="19"/>
      <c r="B3" s="19"/>
      <c r="C3" s="19"/>
      <c r="D3" s="19" t="s">
        <v>93</v>
      </c>
      <c r="E3" s="19"/>
      <c r="F3" s="19"/>
      <c r="G3" s="19"/>
      <c r="H3" s="19"/>
      <c r="I3" s="19"/>
      <c r="J3" s="19"/>
      <c r="K3" s="19">
        <v>0</v>
      </c>
      <c r="L3" s="19"/>
      <c r="M3" s="19">
        <f>+K3</f>
        <v>0</v>
      </c>
      <c r="N3" s="19"/>
    </row>
    <row r="4" spans="1:16">
      <c r="A4" s="28">
        <v>1</v>
      </c>
      <c r="B4" s="29">
        <v>45748</v>
      </c>
      <c r="C4" s="158"/>
      <c r="D4" s="158"/>
      <c r="E4" s="109">
        <v>0</v>
      </c>
      <c r="F4" s="109">
        <v>0</v>
      </c>
      <c r="G4" s="214">
        <f>F4*E4</f>
        <v>0</v>
      </c>
      <c r="H4" s="109">
        <v>0</v>
      </c>
      <c r="I4" s="109">
        <v>103.18</v>
      </c>
      <c r="J4" s="214">
        <f t="shared" ref="J4:J32" si="0">H4*I4</f>
        <v>0</v>
      </c>
      <c r="K4" s="214">
        <f>G4+J4</f>
        <v>0</v>
      </c>
      <c r="L4" s="214">
        <f>+K4</f>
        <v>0</v>
      </c>
      <c r="M4" s="399">
        <f>M3+K4-L4</f>
        <v>0</v>
      </c>
      <c r="N4" s="158"/>
    </row>
    <row r="5" spans="1:16">
      <c r="A5" s="28">
        <v>2</v>
      </c>
      <c r="B5" s="29">
        <v>45749</v>
      </c>
      <c r="C5" s="19"/>
      <c r="D5" s="158"/>
      <c r="E5" s="109">
        <v>0</v>
      </c>
      <c r="F5" s="109">
        <v>0</v>
      </c>
      <c r="G5" s="214">
        <f t="shared" ref="G5:G33" si="1">F5*E5</f>
        <v>0</v>
      </c>
      <c r="H5" s="109">
        <v>0</v>
      </c>
      <c r="I5" s="109">
        <v>0</v>
      </c>
      <c r="J5" s="214">
        <f t="shared" ref="J5:J33" si="2">H5*I5</f>
        <v>0</v>
      </c>
      <c r="K5" s="214">
        <f t="shared" ref="K5:K33" si="3">G5+J5</f>
        <v>0</v>
      </c>
      <c r="L5" s="214">
        <f t="shared" ref="L5:L33" si="4">+K5</f>
        <v>0</v>
      </c>
      <c r="M5" s="399">
        <f t="shared" ref="M5:M33" si="5">M4+K5-L5</f>
        <v>0</v>
      </c>
      <c r="N5" s="19"/>
    </row>
    <row r="6" spans="1:16">
      <c r="A6" s="28">
        <v>3</v>
      </c>
      <c r="B6" s="29">
        <v>45750</v>
      </c>
      <c r="C6" s="19"/>
      <c r="D6" s="158"/>
      <c r="E6" s="109">
        <v>74.81</v>
      </c>
      <c r="F6" s="109">
        <v>90.88</v>
      </c>
      <c r="G6" s="214">
        <f t="shared" si="1"/>
        <v>6798.7327999999998</v>
      </c>
      <c r="H6" s="109">
        <v>0</v>
      </c>
      <c r="I6" s="109">
        <v>0</v>
      </c>
      <c r="J6" s="214">
        <f t="shared" si="2"/>
        <v>0</v>
      </c>
      <c r="K6" s="214">
        <f t="shared" si="3"/>
        <v>6798.7327999999998</v>
      </c>
      <c r="L6" s="214">
        <f t="shared" si="4"/>
        <v>6798.7327999999998</v>
      </c>
      <c r="M6" s="399">
        <f t="shared" si="5"/>
        <v>0</v>
      </c>
      <c r="N6" s="19"/>
    </row>
    <row r="7" spans="1:16">
      <c r="A7" s="28">
        <v>4</v>
      </c>
      <c r="B7" s="29">
        <v>45751</v>
      </c>
      <c r="C7" s="19"/>
      <c r="D7" s="158"/>
      <c r="E7" s="109">
        <v>10</v>
      </c>
      <c r="F7" s="109">
        <v>90.88</v>
      </c>
      <c r="G7" s="214">
        <f t="shared" si="1"/>
        <v>908.8</v>
      </c>
      <c r="H7" s="109">
        <v>0</v>
      </c>
      <c r="I7" s="109">
        <v>0</v>
      </c>
      <c r="J7" s="214">
        <f t="shared" si="2"/>
        <v>0</v>
      </c>
      <c r="K7" s="214">
        <f t="shared" si="3"/>
        <v>908.8</v>
      </c>
      <c r="L7" s="214">
        <f t="shared" si="4"/>
        <v>908.8</v>
      </c>
      <c r="M7" s="399">
        <f t="shared" si="5"/>
        <v>0</v>
      </c>
      <c r="N7" s="19"/>
    </row>
    <row r="8" spans="1:16">
      <c r="A8" s="28">
        <v>5</v>
      </c>
      <c r="B8" s="29">
        <v>45752</v>
      </c>
      <c r="C8" s="19"/>
      <c r="D8" s="158"/>
      <c r="E8" s="109">
        <v>5</v>
      </c>
      <c r="F8" s="109">
        <v>90.88</v>
      </c>
      <c r="G8" s="214">
        <f t="shared" si="1"/>
        <v>454.4</v>
      </c>
      <c r="H8" s="109">
        <v>0</v>
      </c>
      <c r="I8" s="109">
        <v>0</v>
      </c>
      <c r="J8" s="214">
        <f t="shared" si="2"/>
        <v>0</v>
      </c>
      <c r="K8" s="214">
        <f t="shared" si="3"/>
        <v>454.4</v>
      </c>
      <c r="L8" s="214">
        <f t="shared" si="4"/>
        <v>454.4</v>
      </c>
      <c r="M8" s="399">
        <f t="shared" si="5"/>
        <v>0</v>
      </c>
      <c r="N8" s="19"/>
    </row>
    <row r="9" spans="1:16">
      <c r="A9" s="28">
        <v>6</v>
      </c>
      <c r="B9" s="29">
        <v>45753</v>
      </c>
      <c r="C9" s="19"/>
      <c r="D9" s="158"/>
      <c r="E9" s="109">
        <v>30.91</v>
      </c>
      <c r="F9" s="109">
        <v>90.88</v>
      </c>
      <c r="G9" s="214">
        <f t="shared" si="1"/>
        <v>2809.1007999999997</v>
      </c>
      <c r="H9" s="109">
        <v>0</v>
      </c>
      <c r="I9" s="109">
        <v>0</v>
      </c>
      <c r="J9" s="214">
        <f t="shared" si="2"/>
        <v>0</v>
      </c>
      <c r="K9" s="214">
        <f t="shared" si="3"/>
        <v>2809.1007999999997</v>
      </c>
      <c r="L9" s="214">
        <f t="shared" si="4"/>
        <v>2809.1007999999997</v>
      </c>
      <c r="M9" s="399">
        <f t="shared" si="5"/>
        <v>0</v>
      </c>
      <c r="N9" s="19"/>
    </row>
    <row r="10" spans="1:16">
      <c r="A10" s="28">
        <v>7</v>
      </c>
      <c r="B10" s="29">
        <v>45754</v>
      </c>
      <c r="C10" s="19"/>
      <c r="D10" s="158"/>
      <c r="E10" s="109">
        <v>30</v>
      </c>
      <c r="F10" s="109">
        <v>90.88</v>
      </c>
      <c r="G10" s="214">
        <f t="shared" si="1"/>
        <v>2726.3999999999996</v>
      </c>
      <c r="H10" s="109">
        <v>5</v>
      </c>
      <c r="I10" s="109">
        <v>102.77</v>
      </c>
      <c r="J10" s="214">
        <f t="shared" si="2"/>
        <v>513.85</v>
      </c>
      <c r="K10" s="214">
        <f t="shared" si="3"/>
        <v>3240.2499999999995</v>
      </c>
      <c r="L10" s="214">
        <f t="shared" si="4"/>
        <v>3240.2499999999995</v>
      </c>
      <c r="M10" s="399">
        <f t="shared" si="5"/>
        <v>0</v>
      </c>
      <c r="N10" s="19"/>
    </row>
    <row r="11" spans="1:16">
      <c r="A11" s="28">
        <v>8</v>
      </c>
      <c r="B11" s="29">
        <v>45755</v>
      </c>
      <c r="C11" s="19"/>
      <c r="D11" s="158"/>
      <c r="E11" s="109">
        <v>20</v>
      </c>
      <c r="F11" s="109">
        <v>90.88</v>
      </c>
      <c r="G11" s="214">
        <f t="shared" si="1"/>
        <v>1817.6</v>
      </c>
      <c r="H11" s="109">
        <v>0</v>
      </c>
      <c r="I11" s="109">
        <v>0</v>
      </c>
      <c r="J11" s="214">
        <f t="shared" si="2"/>
        <v>0</v>
      </c>
      <c r="K11" s="214">
        <f t="shared" si="3"/>
        <v>1817.6</v>
      </c>
      <c r="L11" s="214">
        <f>+K11</f>
        <v>1817.6</v>
      </c>
      <c r="M11" s="399">
        <f t="shared" si="5"/>
        <v>0</v>
      </c>
      <c r="N11" s="19"/>
    </row>
    <row r="12" spans="1:16">
      <c r="A12" s="28">
        <v>9</v>
      </c>
      <c r="B12" s="29">
        <v>45756</v>
      </c>
      <c r="C12" s="19"/>
      <c r="D12" s="158"/>
      <c r="E12" s="109">
        <v>10</v>
      </c>
      <c r="F12" s="109">
        <v>90.88</v>
      </c>
      <c r="G12" s="214">
        <f t="shared" si="1"/>
        <v>908.8</v>
      </c>
      <c r="H12" s="109">
        <v>0</v>
      </c>
      <c r="I12" s="109">
        <v>0</v>
      </c>
      <c r="J12" s="214">
        <f t="shared" si="2"/>
        <v>0</v>
      </c>
      <c r="K12" s="214">
        <f t="shared" si="3"/>
        <v>908.8</v>
      </c>
      <c r="L12" s="214">
        <f t="shared" si="4"/>
        <v>908.8</v>
      </c>
      <c r="M12" s="399">
        <f t="shared" si="5"/>
        <v>0</v>
      </c>
      <c r="N12" s="19"/>
      <c r="P12">
        <f>4999.17+50339.51</f>
        <v>55338.68</v>
      </c>
    </row>
    <row r="13" spans="1:16">
      <c r="A13" s="28">
        <v>10</v>
      </c>
      <c r="B13" s="29">
        <v>45757</v>
      </c>
      <c r="C13" s="19"/>
      <c r="D13" s="158"/>
      <c r="E13" s="109">
        <v>25</v>
      </c>
      <c r="F13" s="109">
        <v>90.88</v>
      </c>
      <c r="G13" s="214">
        <f t="shared" si="1"/>
        <v>2272</v>
      </c>
      <c r="H13" s="109">
        <v>0</v>
      </c>
      <c r="I13" s="109">
        <v>0</v>
      </c>
      <c r="J13" s="214">
        <f t="shared" si="2"/>
        <v>0</v>
      </c>
      <c r="K13" s="214">
        <f t="shared" si="3"/>
        <v>2272</v>
      </c>
      <c r="L13" s="214">
        <f t="shared" si="4"/>
        <v>2272</v>
      </c>
      <c r="M13" s="399">
        <f t="shared" si="5"/>
        <v>0</v>
      </c>
      <c r="N13" s="19"/>
    </row>
    <row r="14" spans="1:16">
      <c r="A14" s="28">
        <v>11</v>
      </c>
      <c r="B14" s="29">
        <v>45758</v>
      </c>
      <c r="C14" s="19"/>
      <c r="D14" s="158"/>
      <c r="E14" s="109">
        <v>40</v>
      </c>
      <c r="F14" s="109">
        <v>90.88</v>
      </c>
      <c r="G14" s="214">
        <f t="shared" si="1"/>
        <v>3635.2</v>
      </c>
      <c r="H14" s="109">
        <v>0</v>
      </c>
      <c r="I14" s="109">
        <v>0</v>
      </c>
      <c r="J14" s="214">
        <f t="shared" si="2"/>
        <v>0</v>
      </c>
      <c r="K14" s="214">
        <f t="shared" si="3"/>
        <v>3635.2</v>
      </c>
      <c r="L14" s="214">
        <f t="shared" si="4"/>
        <v>3635.2</v>
      </c>
      <c r="M14" s="399">
        <f t="shared" si="5"/>
        <v>0</v>
      </c>
      <c r="N14" s="19"/>
    </row>
    <row r="15" spans="1:16">
      <c r="A15" s="28">
        <v>12</v>
      </c>
      <c r="B15" s="29">
        <v>45759</v>
      </c>
      <c r="C15" s="19"/>
      <c r="D15" s="158"/>
      <c r="E15" s="109">
        <v>30</v>
      </c>
      <c r="F15" s="109">
        <v>90.88</v>
      </c>
      <c r="G15" s="214">
        <f t="shared" si="1"/>
        <v>2726.3999999999996</v>
      </c>
      <c r="H15" s="109">
        <v>0</v>
      </c>
      <c r="I15" s="109">
        <v>0</v>
      </c>
      <c r="J15" s="214">
        <f t="shared" si="2"/>
        <v>0</v>
      </c>
      <c r="K15" s="214">
        <f t="shared" si="3"/>
        <v>2726.3999999999996</v>
      </c>
      <c r="L15" s="214">
        <f t="shared" si="4"/>
        <v>2726.3999999999996</v>
      </c>
      <c r="M15" s="399">
        <f t="shared" si="5"/>
        <v>0</v>
      </c>
      <c r="N15" s="19"/>
    </row>
    <row r="16" spans="1:16">
      <c r="A16" s="28">
        <v>13</v>
      </c>
      <c r="B16" s="29">
        <v>45760</v>
      </c>
      <c r="C16" s="19"/>
      <c r="D16" s="158"/>
      <c r="E16" s="109">
        <v>21.16</v>
      </c>
      <c r="F16" s="109">
        <v>90.88</v>
      </c>
      <c r="G16" s="214">
        <f t="shared" si="1"/>
        <v>1923.0208</v>
      </c>
      <c r="H16" s="109">
        <v>10</v>
      </c>
      <c r="I16" s="109">
        <v>102.77</v>
      </c>
      <c r="J16" s="214">
        <f t="shared" si="2"/>
        <v>1027.7</v>
      </c>
      <c r="K16" s="214">
        <f t="shared" si="3"/>
        <v>2950.7208000000001</v>
      </c>
      <c r="L16" s="214">
        <f t="shared" si="4"/>
        <v>2950.7208000000001</v>
      </c>
      <c r="M16" s="399">
        <f t="shared" si="5"/>
        <v>0</v>
      </c>
      <c r="N16" s="19"/>
    </row>
    <row r="17" spans="1:14">
      <c r="A17" s="28">
        <v>14</v>
      </c>
      <c r="B17" s="29">
        <v>45761</v>
      </c>
      <c r="C17" s="19"/>
      <c r="D17" s="158"/>
      <c r="E17" s="109">
        <v>0</v>
      </c>
      <c r="F17" s="109">
        <v>90.88</v>
      </c>
      <c r="G17" s="214">
        <f t="shared" si="1"/>
        <v>0</v>
      </c>
      <c r="H17" s="109">
        <v>0</v>
      </c>
      <c r="I17" s="109">
        <v>0</v>
      </c>
      <c r="J17" s="214">
        <f t="shared" si="2"/>
        <v>0</v>
      </c>
      <c r="K17" s="214">
        <f t="shared" si="3"/>
        <v>0</v>
      </c>
      <c r="L17" s="214">
        <f t="shared" si="4"/>
        <v>0</v>
      </c>
      <c r="M17" s="399">
        <f t="shared" si="5"/>
        <v>0</v>
      </c>
      <c r="N17" s="19"/>
    </row>
    <row r="18" spans="1:14">
      <c r="A18" s="28">
        <v>15</v>
      </c>
      <c r="B18" s="29">
        <v>45762</v>
      </c>
      <c r="C18" s="19"/>
      <c r="D18" s="158"/>
      <c r="E18" s="109">
        <v>115</v>
      </c>
      <c r="F18" s="109">
        <v>90.88</v>
      </c>
      <c r="G18" s="214">
        <f t="shared" si="1"/>
        <v>10451.199999999999</v>
      </c>
      <c r="H18" s="109">
        <v>0</v>
      </c>
      <c r="I18" s="109">
        <v>0</v>
      </c>
      <c r="J18" s="214">
        <f t="shared" si="2"/>
        <v>0</v>
      </c>
      <c r="K18" s="214">
        <f t="shared" si="3"/>
        <v>10451.199999999999</v>
      </c>
      <c r="L18" s="214">
        <f t="shared" si="4"/>
        <v>10451.199999999999</v>
      </c>
      <c r="M18" s="399">
        <f t="shared" si="5"/>
        <v>0</v>
      </c>
      <c r="N18" s="19"/>
    </row>
    <row r="19" spans="1:14">
      <c r="A19" s="28">
        <v>16</v>
      </c>
      <c r="B19" s="29">
        <v>45763</v>
      </c>
      <c r="C19" s="19"/>
      <c r="D19" s="158"/>
      <c r="E19" s="109">
        <v>20</v>
      </c>
      <c r="F19" s="109">
        <v>90.88</v>
      </c>
      <c r="G19" s="214">
        <f t="shared" si="1"/>
        <v>1817.6</v>
      </c>
      <c r="H19" s="109">
        <v>0</v>
      </c>
      <c r="I19" s="109">
        <v>0</v>
      </c>
      <c r="J19" s="214">
        <f t="shared" si="2"/>
        <v>0</v>
      </c>
      <c r="K19" s="214">
        <f t="shared" si="3"/>
        <v>1817.6</v>
      </c>
      <c r="L19" s="214">
        <f t="shared" si="4"/>
        <v>1817.6</v>
      </c>
      <c r="M19" s="399">
        <f t="shared" si="5"/>
        <v>0</v>
      </c>
      <c r="N19" s="19"/>
    </row>
    <row r="20" spans="1:14">
      <c r="A20" s="28">
        <v>17</v>
      </c>
      <c r="B20" s="29">
        <v>45764</v>
      </c>
      <c r="C20" s="19"/>
      <c r="D20" s="158"/>
      <c r="E20" s="109">
        <v>20</v>
      </c>
      <c r="F20" s="109">
        <v>90.88</v>
      </c>
      <c r="G20" s="214">
        <f t="shared" si="1"/>
        <v>1817.6</v>
      </c>
      <c r="H20" s="109">
        <v>0</v>
      </c>
      <c r="I20" s="109">
        <v>0</v>
      </c>
      <c r="J20" s="214">
        <f t="shared" si="2"/>
        <v>0</v>
      </c>
      <c r="K20" s="214">
        <f t="shared" si="3"/>
        <v>1817.6</v>
      </c>
      <c r="L20" s="214">
        <f t="shared" si="4"/>
        <v>1817.6</v>
      </c>
      <c r="M20" s="399">
        <f t="shared" si="5"/>
        <v>0</v>
      </c>
      <c r="N20" s="19"/>
    </row>
    <row r="21" spans="1:14">
      <c r="A21" s="28">
        <v>18</v>
      </c>
      <c r="B21" s="29">
        <v>45765</v>
      </c>
      <c r="C21" s="19"/>
      <c r="D21" s="158"/>
      <c r="E21" s="109">
        <v>40</v>
      </c>
      <c r="F21" s="109">
        <v>90.88</v>
      </c>
      <c r="G21" s="214">
        <f t="shared" si="1"/>
        <v>3635.2</v>
      </c>
      <c r="H21" s="109">
        <v>5</v>
      </c>
      <c r="I21" s="109">
        <v>102.77</v>
      </c>
      <c r="J21" s="214">
        <f t="shared" si="2"/>
        <v>513.85</v>
      </c>
      <c r="K21" s="214">
        <f t="shared" si="3"/>
        <v>4149.05</v>
      </c>
      <c r="L21" s="214">
        <f>+K21</f>
        <v>4149.05</v>
      </c>
      <c r="M21" s="399">
        <f t="shared" si="5"/>
        <v>0</v>
      </c>
      <c r="N21" s="19"/>
    </row>
    <row r="22" spans="1:14">
      <c r="A22" s="28">
        <v>19</v>
      </c>
      <c r="B22" s="29">
        <v>45766</v>
      </c>
      <c r="C22" s="19"/>
      <c r="D22" s="158"/>
      <c r="E22" s="109">
        <v>0</v>
      </c>
      <c r="F22" s="109">
        <v>0</v>
      </c>
      <c r="G22" s="214">
        <f t="shared" si="1"/>
        <v>0</v>
      </c>
      <c r="H22" s="109">
        <v>10</v>
      </c>
      <c r="I22" s="109">
        <v>102.77</v>
      </c>
      <c r="J22" s="214">
        <f t="shared" si="2"/>
        <v>1027.7</v>
      </c>
      <c r="K22" s="214">
        <f t="shared" si="3"/>
        <v>1027.7</v>
      </c>
      <c r="L22" s="214">
        <f t="shared" si="4"/>
        <v>1027.7</v>
      </c>
      <c r="M22" s="399">
        <f t="shared" si="5"/>
        <v>0</v>
      </c>
      <c r="N22" s="19"/>
    </row>
    <row r="23" spans="1:14">
      <c r="A23" s="28">
        <v>20</v>
      </c>
      <c r="B23" s="29">
        <v>45767</v>
      </c>
      <c r="C23" s="19"/>
      <c r="D23" s="158"/>
      <c r="E23" s="109">
        <v>20</v>
      </c>
      <c r="F23" s="109">
        <v>90.88</v>
      </c>
      <c r="G23" s="214">
        <f t="shared" si="1"/>
        <v>1817.6</v>
      </c>
      <c r="H23" s="109">
        <v>0</v>
      </c>
      <c r="I23" s="109">
        <v>0</v>
      </c>
      <c r="J23" s="214">
        <f t="shared" si="2"/>
        <v>0</v>
      </c>
      <c r="K23" s="214">
        <f t="shared" si="3"/>
        <v>1817.6</v>
      </c>
      <c r="L23" s="214">
        <f t="shared" si="4"/>
        <v>1817.6</v>
      </c>
      <c r="M23" s="399">
        <f t="shared" si="5"/>
        <v>0</v>
      </c>
      <c r="N23" s="19"/>
    </row>
    <row r="24" spans="1:14">
      <c r="A24" s="28">
        <v>21</v>
      </c>
      <c r="B24" s="29">
        <v>45768</v>
      </c>
      <c r="C24" s="19"/>
      <c r="D24" s="158"/>
      <c r="E24" s="109">
        <v>50</v>
      </c>
      <c r="F24" s="109">
        <v>90.88</v>
      </c>
      <c r="G24" s="214">
        <f t="shared" si="1"/>
        <v>4544</v>
      </c>
      <c r="H24" s="109">
        <v>5</v>
      </c>
      <c r="I24" s="109">
        <v>102.77</v>
      </c>
      <c r="J24" s="214">
        <f t="shared" si="2"/>
        <v>513.85</v>
      </c>
      <c r="K24" s="214">
        <f t="shared" si="3"/>
        <v>5057.8500000000004</v>
      </c>
      <c r="L24" s="214">
        <f t="shared" si="4"/>
        <v>5057.8500000000004</v>
      </c>
      <c r="M24" s="399">
        <f t="shared" si="5"/>
        <v>0</v>
      </c>
      <c r="N24" s="19"/>
    </row>
    <row r="25" spans="1:14">
      <c r="A25" s="28">
        <v>22</v>
      </c>
      <c r="B25" s="29">
        <v>45769</v>
      </c>
      <c r="C25" s="19"/>
      <c r="D25" s="158"/>
      <c r="E25" s="109">
        <v>50</v>
      </c>
      <c r="F25" s="109">
        <v>90.88</v>
      </c>
      <c r="G25" s="214">
        <f t="shared" si="1"/>
        <v>4544</v>
      </c>
      <c r="H25" s="109">
        <v>5</v>
      </c>
      <c r="I25" s="109">
        <v>102.77</v>
      </c>
      <c r="J25" s="214">
        <f t="shared" si="2"/>
        <v>513.85</v>
      </c>
      <c r="K25" s="214">
        <f t="shared" si="3"/>
        <v>5057.8500000000004</v>
      </c>
      <c r="L25" s="214">
        <f t="shared" si="4"/>
        <v>5057.8500000000004</v>
      </c>
      <c r="M25" s="399">
        <f t="shared" si="5"/>
        <v>0</v>
      </c>
      <c r="N25" s="19"/>
    </row>
    <row r="26" spans="1:14">
      <c r="A26" s="28">
        <v>23</v>
      </c>
      <c r="B26" s="29">
        <v>45770</v>
      </c>
      <c r="C26" s="19"/>
      <c r="D26" s="158"/>
      <c r="E26" s="109">
        <v>40</v>
      </c>
      <c r="F26" s="109">
        <v>90.88</v>
      </c>
      <c r="G26" s="214">
        <f t="shared" si="1"/>
        <v>3635.2</v>
      </c>
      <c r="H26" s="109">
        <v>0</v>
      </c>
      <c r="I26" s="109">
        <v>0</v>
      </c>
      <c r="J26" s="214">
        <f t="shared" si="2"/>
        <v>0</v>
      </c>
      <c r="K26" s="214">
        <f t="shared" si="3"/>
        <v>3635.2</v>
      </c>
      <c r="L26" s="214">
        <f t="shared" si="4"/>
        <v>3635.2</v>
      </c>
      <c r="M26" s="399">
        <f t="shared" si="5"/>
        <v>0</v>
      </c>
      <c r="N26" s="19"/>
    </row>
    <row r="27" spans="1:14">
      <c r="A27" s="28">
        <v>24</v>
      </c>
      <c r="B27" s="29">
        <v>45771</v>
      </c>
      <c r="C27" s="19"/>
      <c r="D27" s="158"/>
      <c r="E27" s="109">
        <v>20</v>
      </c>
      <c r="F27" s="109">
        <v>90.88</v>
      </c>
      <c r="G27" s="214">
        <f t="shared" si="1"/>
        <v>1817.6</v>
      </c>
      <c r="H27" s="109">
        <v>0</v>
      </c>
      <c r="I27" s="109">
        <v>0</v>
      </c>
      <c r="J27" s="214">
        <f t="shared" si="2"/>
        <v>0</v>
      </c>
      <c r="K27" s="214">
        <f t="shared" si="3"/>
        <v>1817.6</v>
      </c>
      <c r="L27" s="214">
        <f t="shared" si="4"/>
        <v>1817.6</v>
      </c>
      <c r="M27" s="399">
        <f t="shared" si="5"/>
        <v>0</v>
      </c>
      <c r="N27" s="19"/>
    </row>
    <row r="28" spans="1:14">
      <c r="A28" s="28">
        <v>25</v>
      </c>
      <c r="B28" s="29">
        <v>45772</v>
      </c>
      <c r="C28" s="19"/>
      <c r="D28" s="158"/>
      <c r="E28" s="109">
        <v>0</v>
      </c>
      <c r="F28" s="109">
        <v>0</v>
      </c>
      <c r="G28" s="214">
        <f t="shared" si="1"/>
        <v>0</v>
      </c>
      <c r="H28" s="109">
        <v>0</v>
      </c>
      <c r="I28" s="109">
        <v>0</v>
      </c>
      <c r="J28" s="214">
        <f t="shared" si="2"/>
        <v>0</v>
      </c>
      <c r="K28" s="214">
        <f t="shared" si="3"/>
        <v>0</v>
      </c>
      <c r="L28" s="214">
        <f t="shared" si="4"/>
        <v>0</v>
      </c>
      <c r="M28" s="399">
        <f t="shared" si="5"/>
        <v>0</v>
      </c>
      <c r="N28" s="19"/>
    </row>
    <row r="29" spans="1:14">
      <c r="A29" s="28">
        <v>26</v>
      </c>
      <c r="B29" s="29">
        <v>45773</v>
      </c>
      <c r="C29" s="19"/>
      <c r="D29" s="158"/>
      <c r="E29" s="109">
        <v>0</v>
      </c>
      <c r="F29" s="109">
        <v>0</v>
      </c>
      <c r="G29" s="214">
        <f t="shared" si="1"/>
        <v>0</v>
      </c>
      <c r="H29" s="109">
        <v>5</v>
      </c>
      <c r="I29" s="109">
        <v>102.77</v>
      </c>
      <c r="J29" s="214">
        <f t="shared" si="2"/>
        <v>513.85</v>
      </c>
      <c r="K29" s="214">
        <f t="shared" si="3"/>
        <v>513.85</v>
      </c>
      <c r="L29" s="214">
        <f t="shared" si="4"/>
        <v>513.85</v>
      </c>
      <c r="M29" s="399">
        <f t="shared" si="5"/>
        <v>0</v>
      </c>
      <c r="N29" s="19"/>
    </row>
    <row r="30" spans="1:14">
      <c r="A30" s="28">
        <v>27</v>
      </c>
      <c r="B30" s="29">
        <v>45774</v>
      </c>
      <c r="C30" s="19"/>
      <c r="D30" s="158"/>
      <c r="E30" s="109">
        <v>0</v>
      </c>
      <c r="F30" s="109">
        <v>0</v>
      </c>
      <c r="G30" s="214">
        <f t="shared" si="1"/>
        <v>0</v>
      </c>
      <c r="H30" s="109">
        <v>0</v>
      </c>
      <c r="I30" s="109">
        <v>0</v>
      </c>
      <c r="J30" s="214">
        <f t="shared" si="2"/>
        <v>0</v>
      </c>
      <c r="K30" s="214">
        <f t="shared" si="3"/>
        <v>0</v>
      </c>
      <c r="L30" s="214">
        <f t="shared" si="4"/>
        <v>0</v>
      </c>
      <c r="M30" s="399">
        <f t="shared" si="5"/>
        <v>0</v>
      </c>
      <c r="N30" s="19"/>
    </row>
    <row r="31" spans="1:14">
      <c r="A31" s="28">
        <v>28</v>
      </c>
      <c r="B31" s="29">
        <v>45775</v>
      </c>
      <c r="C31" s="19"/>
      <c r="D31" s="158"/>
      <c r="E31" s="109">
        <v>0</v>
      </c>
      <c r="F31" s="109">
        <v>0</v>
      </c>
      <c r="G31" s="214">
        <f t="shared" si="1"/>
        <v>0</v>
      </c>
      <c r="H31" s="109">
        <v>0</v>
      </c>
      <c r="I31" s="109">
        <v>0</v>
      </c>
      <c r="J31" s="214">
        <f t="shared" si="2"/>
        <v>0</v>
      </c>
      <c r="K31" s="214">
        <f t="shared" si="3"/>
        <v>0</v>
      </c>
      <c r="L31" s="214">
        <f t="shared" si="4"/>
        <v>0</v>
      </c>
      <c r="M31" s="399">
        <f t="shared" si="5"/>
        <v>0</v>
      </c>
      <c r="N31" s="19"/>
    </row>
    <row r="32" spans="1:14">
      <c r="A32" s="28">
        <v>29</v>
      </c>
      <c r="B32" s="29">
        <v>45776</v>
      </c>
      <c r="C32" s="19"/>
      <c r="D32" s="158"/>
      <c r="E32" s="109">
        <v>0</v>
      </c>
      <c r="F32" s="109">
        <v>0</v>
      </c>
      <c r="G32" s="214">
        <f t="shared" si="1"/>
        <v>0</v>
      </c>
      <c r="H32" s="109">
        <v>0</v>
      </c>
      <c r="I32" s="109">
        <v>0</v>
      </c>
      <c r="J32" s="214">
        <f t="shared" si="2"/>
        <v>0</v>
      </c>
      <c r="K32" s="214">
        <f t="shared" si="3"/>
        <v>0</v>
      </c>
      <c r="L32" s="214">
        <f t="shared" si="4"/>
        <v>0</v>
      </c>
      <c r="M32" s="399">
        <f t="shared" si="5"/>
        <v>0</v>
      </c>
      <c r="N32" s="19"/>
    </row>
    <row r="33" spans="1:14">
      <c r="A33" s="28">
        <v>30</v>
      </c>
      <c r="B33" s="29">
        <v>45777</v>
      </c>
      <c r="C33" s="19"/>
      <c r="D33" s="158"/>
      <c r="E33" s="109">
        <v>0</v>
      </c>
      <c r="F33" s="109">
        <v>0</v>
      </c>
      <c r="G33" s="214">
        <f t="shared" si="1"/>
        <v>0</v>
      </c>
      <c r="H33" s="109">
        <v>0</v>
      </c>
      <c r="I33" s="109">
        <v>0</v>
      </c>
      <c r="J33" s="214">
        <f t="shared" si="2"/>
        <v>0</v>
      </c>
      <c r="K33" s="214">
        <f t="shared" si="3"/>
        <v>0</v>
      </c>
      <c r="L33" s="214">
        <f t="shared" si="4"/>
        <v>0</v>
      </c>
      <c r="M33" s="399">
        <f t="shared" si="5"/>
        <v>0</v>
      </c>
      <c r="N33" s="19"/>
    </row>
    <row r="34" spans="1:14">
      <c r="A34" s="28">
        <v>31</v>
      </c>
      <c r="B34" s="29"/>
      <c r="C34" s="19"/>
      <c r="D34" s="19"/>
      <c r="E34" s="109"/>
      <c r="F34" s="109"/>
      <c r="G34" s="214"/>
      <c r="H34" s="109"/>
      <c r="I34" s="109"/>
      <c r="J34" s="214"/>
      <c r="K34" s="214"/>
      <c r="L34" s="158"/>
      <c r="M34" s="214"/>
      <c r="N34" s="19"/>
    </row>
    <row r="35" spans="1:14">
      <c r="A35" s="52"/>
      <c r="B35" s="52"/>
      <c r="C35" s="52"/>
      <c r="D35" s="52"/>
      <c r="E35" s="52">
        <f>SUM(E4:E34)</f>
        <v>671.88000000000011</v>
      </c>
      <c r="F35" s="52"/>
      <c r="G35" s="52">
        <f>SUM(G4:G34)</f>
        <v>61060.454399999981</v>
      </c>
      <c r="H35" s="52">
        <f>SUM(H4:H34)</f>
        <v>45</v>
      </c>
      <c r="I35" s="52"/>
      <c r="J35" s="52">
        <f>SUM(J4:J34)</f>
        <v>4624.6500000000005</v>
      </c>
      <c r="K35" s="52">
        <f>SUM(K4:K34)</f>
        <v>65685.104399999997</v>
      </c>
      <c r="L35" s="52">
        <f>SUM(L4:L34)</f>
        <v>65685.104399999997</v>
      </c>
      <c r="M35" s="52"/>
      <c r="N35" s="52"/>
    </row>
    <row r="37" spans="1:14">
      <c r="K37" s="24"/>
    </row>
  </sheetData>
  <mergeCells count="1">
    <mergeCell ref="A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828F-3061-4216-B142-B3435378C836}">
  <sheetPr>
    <tabColor rgb="FF002060"/>
  </sheetPr>
  <dimension ref="A1:O51"/>
  <sheetViews>
    <sheetView workbookViewId="0">
      <pane ySplit="2" topLeftCell="A15" activePane="bottomLeft" state="frozen"/>
      <selection pane="bottomLeft" activeCell="J36" sqref="J36"/>
    </sheetView>
  </sheetViews>
  <sheetFormatPr defaultRowHeight="15"/>
  <cols>
    <col min="1" max="1" width="6.140625" bestFit="1" customWidth="1"/>
    <col min="2" max="2" width="11.85546875" style="92" bestFit="1" customWidth="1"/>
    <col min="3" max="3" width="8.140625" bestFit="1" customWidth="1"/>
    <col min="4" max="4" width="16" bestFit="1" customWidth="1"/>
    <col min="5" max="5" width="10.85546875" bestFit="1" customWidth="1"/>
    <col min="6" max="6" width="11.85546875" bestFit="1" customWidth="1"/>
    <col min="7" max="7" width="11.85546875" style="226" bestFit="1" customWidth="1"/>
    <col min="8" max="8" width="10.85546875" bestFit="1" customWidth="1"/>
    <col min="9" max="9" width="8.140625" bestFit="1" customWidth="1"/>
    <col min="10" max="10" width="10.85546875" style="226" bestFit="1" customWidth="1"/>
    <col min="11" max="11" width="13.85546875" style="92" bestFit="1" customWidth="1"/>
    <col min="12" max="12" width="12.7109375" style="92" bestFit="1" customWidth="1"/>
    <col min="13" max="13" width="12.7109375" style="92" customWidth="1"/>
    <col min="14" max="14" width="14.140625" bestFit="1" customWidth="1"/>
    <col min="15" max="15" width="10.42578125" customWidth="1"/>
  </cols>
  <sheetData>
    <row r="1" spans="1:15" ht="15.75">
      <c r="A1" s="401" t="s">
        <v>61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66"/>
    </row>
    <row r="2" spans="1:15">
      <c r="A2" s="67" t="s">
        <v>81</v>
      </c>
      <c r="B2" s="68" t="s">
        <v>82</v>
      </c>
      <c r="C2" s="68" t="s">
        <v>83</v>
      </c>
      <c r="D2" s="68" t="s">
        <v>84</v>
      </c>
      <c r="E2" s="115" t="s">
        <v>85</v>
      </c>
      <c r="F2" s="115" t="s">
        <v>86</v>
      </c>
      <c r="G2" s="220" t="s">
        <v>87</v>
      </c>
      <c r="H2" s="115" t="s">
        <v>88</v>
      </c>
      <c r="I2" s="115" t="s">
        <v>86</v>
      </c>
      <c r="J2" s="227" t="s">
        <v>87</v>
      </c>
      <c r="K2" s="116" t="s">
        <v>89</v>
      </c>
      <c r="L2" s="160" t="s">
        <v>90</v>
      </c>
      <c r="M2" s="165" t="s">
        <v>97</v>
      </c>
      <c r="N2" s="117" t="s">
        <v>92</v>
      </c>
      <c r="O2" s="73"/>
    </row>
    <row r="3" spans="1:15">
      <c r="A3" s="271"/>
      <c r="B3"/>
      <c r="D3" s="113" t="s">
        <v>93</v>
      </c>
      <c r="E3" s="19"/>
      <c r="F3" s="19"/>
      <c r="G3" s="221"/>
      <c r="H3" s="19"/>
      <c r="I3" s="19"/>
      <c r="J3" s="221"/>
      <c r="K3" s="283">
        <v>75354.745799999917</v>
      </c>
      <c r="L3" s="19"/>
      <c r="M3" s="170">
        <f>+K3</f>
        <v>75354.745799999917</v>
      </c>
      <c r="N3" s="19"/>
      <c r="O3" s="73"/>
    </row>
    <row r="4" spans="1:15">
      <c r="A4" s="56">
        <v>1</v>
      </c>
      <c r="B4" s="251">
        <v>45748</v>
      </c>
      <c r="C4" s="11"/>
      <c r="D4" s="12"/>
      <c r="E4" s="15">
        <v>857.79</v>
      </c>
      <c r="F4" s="15">
        <v>89.49</v>
      </c>
      <c r="G4" s="222">
        <f>E4*F4</f>
        <v>76763.627099999998</v>
      </c>
      <c r="H4" s="162">
        <v>15</v>
      </c>
      <c r="I4" s="162">
        <v>103.42</v>
      </c>
      <c r="J4" s="228">
        <f>H4*I4</f>
        <v>1551.3</v>
      </c>
      <c r="K4" s="265">
        <f>G4+J4</f>
        <v>78314.927100000001</v>
      </c>
      <c r="L4" s="82">
        <v>0</v>
      </c>
      <c r="M4" s="266">
        <f>M3+K4-L4</f>
        <v>153669.67289999992</v>
      </c>
      <c r="N4" s="164"/>
      <c r="O4" s="83"/>
    </row>
    <row r="5" spans="1:15">
      <c r="A5" s="56">
        <v>2</v>
      </c>
      <c r="B5" s="251">
        <v>45749</v>
      </c>
      <c r="C5" s="268"/>
      <c r="D5" s="12"/>
      <c r="E5" s="15">
        <v>355.09</v>
      </c>
      <c r="F5" s="15">
        <v>91.5</v>
      </c>
      <c r="G5" s="222">
        <f t="shared" ref="G5:G34" si="0">E5*F5</f>
        <v>32490.734999999997</v>
      </c>
      <c r="H5" s="162">
        <v>15</v>
      </c>
      <c r="I5" s="162">
        <v>103.42</v>
      </c>
      <c r="J5" s="228">
        <f t="shared" ref="J5:J34" si="1">H5*I5</f>
        <v>1551.3</v>
      </c>
      <c r="K5" s="265">
        <f t="shared" ref="K5:K34" si="2">G5+J5</f>
        <v>34042.034999999996</v>
      </c>
      <c r="L5" s="82">
        <v>0</v>
      </c>
      <c r="M5" s="266">
        <f>M4+K5-L5</f>
        <v>187711.70789999992</v>
      </c>
      <c r="N5" s="14"/>
      <c r="O5" s="83"/>
    </row>
    <row r="6" spans="1:15">
      <c r="A6" s="56">
        <v>3</v>
      </c>
      <c r="B6" s="251">
        <v>45750</v>
      </c>
      <c r="C6" s="81"/>
      <c r="D6" s="12"/>
      <c r="E6" s="15">
        <v>528.36</v>
      </c>
      <c r="F6" s="15">
        <v>91.5</v>
      </c>
      <c r="G6" s="222">
        <f t="shared" si="0"/>
        <v>48344.94</v>
      </c>
      <c r="H6" s="162">
        <v>5</v>
      </c>
      <c r="I6" s="162">
        <v>103.42</v>
      </c>
      <c r="J6" s="228">
        <f t="shared" si="1"/>
        <v>517.1</v>
      </c>
      <c r="K6" s="265">
        <f t="shared" si="2"/>
        <v>48862.04</v>
      </c>
      <c r="L6" s="82">
        <v>0</v>
      </c>
      <c r="M6" s="267">
        <f>M5+K6-L6</f>
        <v>236573.74789999993</v>
      </c>
      <c r="N6" s="48"/>
      <c r="O6" s="83"/>
    </row>
    <row r="7" spans="1:15">
      <c r="A7" s="56">
        <v>4</v>
      </c>
      <c r="B7" s="251">
        <v>45751</v>
      </c>
      <c r="C7" s="81"/>
      <c r="D7" s="12"/>
      <c r="E7" s="15">
        <v>235</v>
      </c>
      <c r="F7" s="15">
        <v>91.5</v>
      </c>
      <c r="G7" s="222">
        <f t="shared" si="0"/>
        <v>21502.5</v>
      </c>
      <c r="H7" s="162">
        <v>0</v>
      </c>
      <c r="I7" s="162">
        <v>0</v>
      </c>
      <c r="J7" s="228">
        <f t="shared" si="1"/>
        <v>0</v>
      </c>
      <c r="K7" s="265">
        <f t="shared" si="2"/>
        <v>21502.5</v>
      </c>
      <c r="L7" s="82">
        <v>0</v>
      </c>
      <c r="M7" s="267">
        <f t="shared" ref="M7:M35" si="3">M6+K7-L7</f>
        <v>258076.24789999993</v>
      </c>
      <c r="N7" s="48"/>
      <c r="O7" s="83"/>
    </row>
    <row r="8" spans="1:15">
      <c r="A8" s="56">
        <v>5</v>
      </c>
      <c r="B8" s="251">
        <v>45752</v>
      </c>
      <c r="C8" s="81"/>
      <c r="D8" s="12"/>
      <c r="E8" s="15">
        <v>949.05</v>
      </c>
      <c r="F8" s="15">
        <v>91.5</v>
      </c>
      <c r="G8" s="222">
        <f t="shared" si="0"/>
        <v>86838.074999999997</v>
      </c>
      <c r="H8" s="162">
        <v>7</v>
      </c>
      <c r="I8" s="162">
        <v>103.42</v>
      </c>
      <c r="J8" s="228">
        <f t="shared" si="1"/>
        <v>723.94</v>
      </c>
      <c r="K8" s="265">
        <f t="shared" si="2"/>
        <v>87562.014999999999</v>
      </c>
      <c r="L8" s="82">
        <v>0</v>
      </c>
      <c r="M8" s="266">
        <f t="shared" si="3"/>
        <v>345638.26289999991</v>
      </c>
      <c r="N8" s="262"/>
      <c r="O8" s="83"/>
    </row>
    <row r="9" spans="1:15">
      <c r="A9" s="56">
        <v>6</v>
      </c>
      <c r="B9" s="251">
        <v>45753</v>
      </c>
      <c r="C9" s="269"/>
      <c r="D9" s="12"/>
      <c r="E9" s="15">
        <v>30</v>
      </c>
      <c r="F9" s="15">
        <v>91.5</v>
      </c>
      <c r="G9" s="222">
        <f t="shared" si="0"/>
        <v>2745</v>
      </c>
      <c r="H9" s="162">
        <v>6</v>
      </c>
      <c r="I9" s="162">
        <v>103.42</v>
      </c>
      <c r="J9" s="228">
        <f t="shared" si="1"/>
        <v>620.52</v>
      </c>
      <c r="K9" s="265">
        <f t="shared" si="2"/>
        <v>3365.52</v>
      </c>
      <c r="L9" s="82">
        <v>0</v>
      </c>
      <c r="M9" s="266">
        <f t="shared" si="3"/>
        <v>349003.78289999993</v>
      </c>
      <c r="N9" s="48"/>
      <c r="O9" s="83"/>
    </row>
    <row r="10" spans="1:15">
      <c r="A10" s="56">
        <v>7</v>
      </c>
      <c r="B10" s="251">
        <v>45754</v>
      </c>
      <c r="C10" s="84"/>
      <c r="D10" s="12"/>
      <c r="E10" s="15">
        <v>522.82000000000005</v>
      </c>
      <c r="F10" s="15">
        <v>91.5</v>
      </c>
      <c r="G10" s="222">
        <f t="shared" si="0"/>
        <v>47838.030000000006</v>
      </c>
      <c r="H10" s="162">
        <v>22</v>
      </c>
      <c r="I10" s="162">
        <v>103.42</v>
      </c>
      <c r="J10" s="228">
        <f t="shared" si="1"/>
        <v>2275.2400000000002</v>
      </c>
      <c r="K10" s="265">
        <f t="shared" si="2"/>
        <v>50113.270000000004</v>
      </c>
      <c r="L10" s="82">
        <v>0</v>
      </c>
      <c r="M10" s="266">
        <f t="shared" si="3"/>
        <v>399117.05289999995</v>
      </c>
      <c r="N10" s="48"/>
      <c r="O10" s="83"/>
    </row>
    <row r="11" spans="1:15">
      <c r="A11" s="56">
        <v>8</v>
      </c>
      <c r="B11" s="251">
        <v>45755</v>
      </c>
      <c r="C11" s="84"/>
      <c r="D11" s="12"/>
      <c r="E11" s="15">
        <v>456.8</v>
      </c>
      <c r="F11" s="15">
        <v>91.5</v>
      </c>
      <c r="G11" s="222">
        <f t="shared" si="0"/>
        <v>41797.200000000004</v>
      </c>
      <c r="H11" s="162">
        <v>5</v>
      </c>
      <c r="I11" s="162">
        <v>103.42</v>
      </c>
      <c r="J11" s="228">
        <f t="shared" si="1"/>
        <v>517.1</v>
      </c>
      <c r="K11" s="265">
        <f t="shared" si="2"/>
        <v>42314.3</v>
      </c>
      <c r="L11" s="82">
        <v>0</v>
      </c>
      <c r="M11" s="266">
        <f t="shared" si="3"/>
        <v>441431.35289999994</v>
      </c>
      <c r="N11" s="48"/>
      <c r="O11" s="83"/>
    </row>
    <row r="12" spans="1:15">
      <c r="A12" s="56">
        <v>9</v>
      </c>
      <c r="B12" s="251">
        <v>45756</v>
      </c>
      <c r="C12" s="84"/>
      <c r="D12" s="12"/>
      <c r="E12" s="15">
        <v>145.49</v>
      </c>
      <c r="F12" s="15">
        <v>91.5</v>
      </c>
      <c r="G12" s="222">
        <f t="shared" si="0"/>
        <v>13312.335000000001</v>
      </c>
      <c r="H12" s="162">
        <v>0</v>
      </c>
      <c r="I12" s="162">
        <v>0</v>
      </c>
      <c r="J12" s="228">
        <f t="shared" si="1"/>
        <v>0</v>
      </c>
      <c r="K12" s="265">
        <f t="shared" si="2"/>
        <v>13312.335000000001</v>
      </c>
      <c r="L12" s="82">
        <v>0</v>
      </c>
      <c r="M12" s="266">
        <f t="shared" si="3"/>
        <v>454743.68789999996</v>
      </c>
      <c r="N12" s="48"/>
      <c r="O12" s="83"/>
    </row>
    <row r="13" spans="1:15">
      <c r="A13" s="56">
        <v>10</v>
      </c>
      <c r="B13" s="251">
        <v>45757</v>
      </c>
      <c r="C13" s="84"/>
      <c r="D13" s="12"/>
      <c r="E13" s="15">
        <v>294.01</v>
      </c>
      <c r="F13" s="15">
        <v>91.5</v>
      </c>
      <c r="G13" s="222">
        <f t="shared" si="0"/>
        <v>26901.915000000001</v>
      </c>
      <c r="H13" s="162">
        <v>11</v>
      </c>
      <c r="I13" s="162">
        <v>103.42</v>
      </c>
      <c r="J13" s="228">
        <f t="shared" si="1"/>
        <v>1137.6200000000001</v>
      </c>
      <c r="K13" s="265">
        <f t="shared" si="2"/>
        <v>28039.535</v>
      </c>
      <c r="L13" s="82">
        <v>0</v>
      </c>
      <c r="M13" s="266">
        <f t="shared" si="3"/>
        <v>482783.22289999994</v>
      </c>
      <c r="N13" s="48"/>
      <c r="O13" s="83"/>
    </row>
    <row r="14" spans="1:15">
      <c r="A14" s="56">
        <v>11</v>
      </c>
      <c r="B14" s="251">
        <v>45758</v>
      </c>
      <c r="C14" s="84"/>
      <c r="D14" s="12"/>
      <c r="E14" s="15">
        <v>467.92</v>
      </c>
      <c r="F14" s="15">
        <v>91.5</v>
      </c>
      <c r="G14" s="222">
        <f t="shared" si="0"/>
        <v>42814.68</v>
      </c>
      <c r="H14" s="162">
        <v>5</v>
      </c>
      <c r="I14" s="162">
        <v>103.42</v>
      </c>
      <c r="J14" s="228">
        <f t="shared" si="1"/>
        <v>517.1</v>
      </c>
      <c r="K14" s="265">
        <f t="shared" si="2"/>
        <v>43331.78</v>
      </c>
      <c r="L14" s="82">
        <v>0</v>
      </c>
      <c r="M14" s="266">
        <f t="shared" si="3"/>
        <v>526115.00289999996</v>
      </c>
      <c r="N14" s="48"/>
      <c r="O14" s="83"/>
    </row>
    <row r="15" spans="1:15">
      <c r="A15" s="56">
        <v>12</v>
      </c>
      <c r="B15" s="251">
        <v>45759</v>
      </c>
      <c r="C15" s="84"/>
      <c r="D15" s="12"/>
      <c r="E15" s="15">
        <v>91</v>
      </c>
      <c r="F15" s="15">
        <v>91.5</v>
      </c>
      <c r="G15" s="222">
        <f t="shared" si="0"/>
        <v>8326.5</v>
      </c>
      <c r="H15" s="162">
        <v>40</v>
      </c>
      <c r="I15" s="162">
        <v>103.42</v>
      </c>
      <c r="J15" s="228">
        <f t="shared" si="1"/>
        <v>4136.8</v>
      </c>
      <c r="K15" s="265">
        <f t="shared" si="2"/>
        <v>12463.3</v>
      </c>
      <c r="L15" s="82">
        <v>0</v>
      </c>
      <c r="M15" s="266">
        <f t="shared" si="3"/>
        <v>538578.30290000001</v>
      </c>
      <c r="N15" s="48"/>
      <c r="O15" s="83"/>
    </row>
    <row r="16" spans="1:15">
      <c r="A16" s="56">
        <v>13</v>
      </c>
      <c r="B16" s="251">
        <v>45760</v>
      </c>
      <c r="C16" s="84"/>
      <c r="D16" s="12"/>
      <c r="E16" s="15">
        <v>243.22</v>
      </c>
      <c r="F16" s="15">
        <v>91.5</v>
      </c>
      <c r="G16" s="222">
        <f t="shared" si="0"/>
        <v>22254.63</v>
      </c>
      <c r="H16" s="162">
        <v>0</v>
      </c>
      <c r="I16" s="162">
        <v>0</v>
      </c>
      <c r="J16" s="228">
        <f t="shared" si="1"/>
        <v>0</v>
      </c>
      <c r="K16" s="265">
        <f t="shared" si="2"/>
        <v>22254.63</v>
      </c>
      <c r="L16" s="82">
        <v>0</v>
      </c>
      <c r="M16" s="266">
        <f t="shared" si="3"/>
        <v>560832.93290000001</v>
      </c>
      <c r="N16" s="48"/>
      <c r="O16" s="83"/>
    </row>
    <row r="17" spans="1:15">
      <c r="A17" s="56">
        <v>14</v>
      </c>
      <c r="B17" s="251">
        <v>45761</v>
      </c>
      <c r="C17" s="84"/>
      <c r="D17" s="12"/>
      <c r="E17" s="15">
        <v>1029.26</v>
      </c>
      <c r="F17" s="15">
        <v>91.5</v>
      </c>
      <c r="G17" s="222">
        <f t="shared" si="0"/>
        <v>94177.29</v>
      </c>
      <c r="H17" s="162">
        <v>5</v>
      </c>
      <c r="I17" s="162">
        <v>103.42</v>
      </c>
      <c r="J17" s="228">
        <f t="shared" si="1"/>
        <v>517.1</v>
      </c>
      <c r="K17" s="265">
        <f t="shared" si="2"/>
        <v>94694.39</v>
      </c>
      <c r="L17" s="82">
        <v>0</v>
      </c>
      <c r="M17" s="266">
        <f t="shared" si="3"/>
        <v>655527.32290000003</v>
      </c>
      <c r="N17" s="48"/>
      <c r="O17" s="83"/>
    </row>
    <row r="18" spans="1:15">
      <c r="A18" s="56">
        <v>15</v>
      </c>
      <c r="B18" s="251">
        <v>45762</v>
      </c>
      <c r="C18" s="84"/>
      <c r="D18" s="12"/>
      <c r="E18" s="15">
        <v>0</v>
      </c>
      <c r="F18" s="15">
        <v>0</v>
      </c>
      <c r="G18" s="222">
        <f t="shared" si="0"/>
        <v>0</v>
      </c>
      <c r="H18" s="162">
        <v>0</v>
      </c>
      <c r="I18" s="162">
        <v>0</v>
      </c>
      <c r="J18" s="228">
        <f t="shared" si="1"/>
        <v>0</v>
      </c>
      <c r="K18" s="265">
        <f t="shared" si="2"/>
        <v>0</v>
      </c>
      <c r="L18" s="82">
        <v>0</v>
      </c>
      <c r="M18" s="266">
        <f t="shared" si="3"/>
        <v>655527.32290000003</v>
      </c>
      <c r="N18" s="48"/>
      <c r="O18" s="83"/>
    </row>
    <row r="19" spans="1:15">
      <c r="A19" s="56">
        <v>16</v>
      </c>
      <c r="B19" s="251">
        <v>45763</v>
      </c>
      <c r="C19" s="84"/>
      <c r="D19" s="12"/>
      <c r="E19" s="15">
        <v>656.01</v>
      </c>
      <c r="F19" s="15">
        <v>91.5</v>
      </c>
      <c r="G19" s="222">
        <f t="shared" si="0"/>
        <v>60024.915000000001</v>
      </c>
      <c r="H19" s="162">
        <v>11</v>
      </c>
      <c r="I19" s="162">
        <v>103.42</v>
      </c>
      <c r="J19" s="228">
        <f t="shared" si="1"/>
        <v>1137.6200000000001</v>
      </c>
      <c r="K19" s="265">
        <f t="shared" si="2"/>
        <v>61162.535000000003</v>
      </c>
      <c r="L19" s="82">
        <v>0</v>
      </c>
      <c r="M19" s="266">
        <f t="shared" si="3"/>
        <v>716689.85790000006</v>
      </c>
      <c r="N19" s="48"/>
      <c r="O19" s="83"/>
    </row>
    <row r="20" spans="1:15">
      <c r="A20" s="56">
        <v>17</v>
      </c>
      <c r="B20" s="251">
        <v>45764</v>
      </c>
      <c r="C20" s="84"/>
      <c r="D20" s="12"/>
      <c r="E20" s="15">
        <v>496.26</v>
      </c>
      <c r="F20" s="15">
        <v>91.5</v>
      </c>
      <c r="G20" s="222">
        <f t="shared" si="0"/>
        <v>45407.79</v>
      </c>
      <c r="H20" s="162">
        <v>6</v>
      </c>
      <c r="I20" s="162">
        <v>103.42</v>
      </c>
      <c r="J20" s="228">
        <f t="shared" si="1"/>
        <v>620.52</v>
      </c>
      <c r="K20" s="265">
        <f t="shared" si="2"/>
        <v>46028.31</v>
      </c>
      <c r="L20" s="82">
        <v>0</v>
      </c>
      <c r="M20" s="266">
        <f t="shared" si="3"/>
        <v>762718.1679</v>
      </c>
      <c r="N20" s="48"/>
      <c r="O20" s="83"/>
    </row>
    <row r="21" spans="1:15">
      <c r="A21" s="56">
        <v>18</v>
      </c>
      <c r="B21" s="251">
        <v>45765</v>
      </c>
      <c r="C21" s="84"/>
      <c r="D21" s="12"/>
      <c r="E21" s="15">
        <v>654.72</v>
      </c>
      <c r="F21" s="15">
        <v>91.5</v>
      </c>
      <c r="G21" s="222">
        <f t="shared" si="0"/>
        <v>59906.880000000005</v>
      </c>
      <c r="H21" s="162">
        <v>14</v>
      </c>
      <c r="I21" s="162">
        <v>103.42</v>
      </c>
      <c r="J21" s="228">
        <f t="shared" si="1"/>
        <v>1447.88</v>
      </c>
      <c r="K21" s="265">
        <f t="shared" si="2"/>
        <v>61354.76</v>
      </c>
      <c r="L21" s="82">
        <v>0</v>
      </c>
      <c r="M21" s="266">
        <f t="shared" si="3"/>
        <v>824072.92790000001</v>
      </c>
      <c r="N21" s="48"/>
      <c r="O21" s="83"/>
    </row>
    <row r="22" spans="1:15">
      <c r="A22" s="56">
        <v>19</v>
      </c>
      <c r="B22" s="251">
        <v>45766</v>
      </c>
      <c r="C22" s="84"/>
      <c r="D22" s="12"/>
      <c r="E22" s="15">
        <v>516.39</v>
      </c>
      <c r="F22" s="15">
        <v>91.5</v>
      </c>
      <c r="G22" s="222">
        <f t="shared" si="0"/>
        <v>47249.684999999998</v>
      </c>
      <c r="H22" s="162">
        <v>12</v>
      </c>
      <c r="I22" s="162">
        <v>103.42</v>
      </c>
      <c r="J22" s="228">
        <f t="shared" si="1"/>
        <v>1241.04</v>
      </c>
      <c r="K22" s="265">
        <f t="shared" si="2"/>
        <v>48490.724999999999</v>
      </c>
      <c r="L22" s="82">
        <v>0</v>
      </c>
      <c r="M22" s="266">
        <f t="shared" si="3"/>
        <v>872563.65289999999</v>
      </c>
      <c r="N22" s="48"/>
      <c r="O22" s="83"/>
    </row>
    <row r="23" spans="1:15">
      <c r="A23" s="56">
        <v>20</v>
      </c>
      <c r="B23" s="251">
        <v>45767</v>
      </c>
      <c r="C23" s="84"/>
      <c r="D23" s="12"/>
      <c r="E23" s="15">
        <v>0</v>
      </c>
      <c r="F23" s="15">
        <v>0</v>
      </c>
      <c r="G23" s="222">
        <f t="shared" si="0"/>
        <v>0</v>
      </c>
      <c r="H23" s="162">
        <v>0</v>
      </c>
      <c r="I23" s="162">
        <v>0</v>
      </c>
      <c r="J23" s="228">
        <f t="shared" si="1"/>
        <v>0</v>
      </c>
      <c r="K23" s="265">
        <f t="shared" si="2"/>
        <v>0</v>
      </c>
      <c r="L23" s="82">
        <v>0</v>
      </c>
      <c r="M23" s="266">
        <f t="shared" si="3"/>
        <v>872563.65289999999</v>
      </c>
      <c r="N23" s="48"/>
      <c r="O23" s="83"/>
    </row>
    <row r="24" spans="1:15">
      <c r="A24" s="56">
        <v>21</v>
      </c>
      <c r="B24" s="251">
        <v>45768</v>
      </c>
      <c r="C24" s="84"/>
      <c r="D24" s="12"/>
      <c r="E24" s="15">
        <v>0</v>
      </c>
      <c r="F24" s="15">
        <v>0</v>
      </c>
      <c r="G24" s="222">
        <f t="shared" si="0"/>
        <v>0</v>
      </c>
      <c r="H24" s="162">
        <v>0</v>
      </c>
      <c r="I24" s="162">
        <v>0</v>
      </c>
      <c r="J24" s="228">
        <f t="shared" si="1"/>
        <v>0</v>
      </c>
      <c r="K24" s="265">
        <f t="shared" si="2"/>
        <v>0</v>
      </c>
      <c r="L24" s="82">
        <v>0</v>
      </c>
      <c r="M24" s="266">
        <f t="shared" si="3"/>
        <v>872563.65289999999</v>
      </c>
      <c r="N24" s="48"/>
      <c r="O24" s="83"/>
    </row>
    <row r="25" spans="1:15">
      <c r="A25" s="56">
        <v>22</v>
      </c>
      <c r="B25" s="251">
        <v>45769</v>
      </c>
      <c r="C25" s="232"/>
      <c r="D25" s="12"/>
      <c r="E25" s="15">
        <v>0</v>
      </c>
      <c r="F25" s="15">
        <v>0</v>
      </c>
      <c r="G25" s="222">
        <f t="shared" si="0"/>
        <v>0</v>
      </c>
      <c r="H25" s="162">
        <v>0</v>
      </c>
      <c r="I25" s="162">
        <v>0</v>
      </c>
      <c r="J25" s="228">
        <f t="shared" si="1"/>
        <v>0</v>
      </c>
      <c r="K25" s="265">
        <f t="shared" si="2"/>
        <v>0</v>
      </c>
      <c r="L25" s="82">
        <v>0</v>
      </c>
      <c r="M25" s="266">
        <f t="shared" si="3"/>
        <v>872563.65289999999</v>
      </c>
      <c r="N25" s="48"/>
      <c r="O25" s="83"/>
    </row>
    <row r="26" spans="1:15">
      <c r="A26" s="56">
        <v>23</v>
      </c>
      <c r="B26" s="251">
        <v>45770</v>
      </c>
      <c r="C26" s="81"/>
      <c r="D26" s="12"/>
      <c r="E26" s="15">
        <v>0</v>
      </c>
      <c r="F26" s="15">
        <v>0</v>
      </c>
      <c r="G26" s="222">
        <f t="shared" si="0"/>
        <v>0</v>
      </c>
      <c r="H26" s="162">
        <v>0</v>
      </c>
      <c r="I26" s="162">
        <v>0</v>
      </c>
      <c r="J26" s="228">
        <f t="shared" si="1"/>
        <v>0</v>
      </c>
      <c r="K26" s="265">
        <f t="shared" si="2"/>
        <v>0</v>
      </c>
      <c r="L26" s="82">
        <v>0</v>
      </c>
      <c r="M26" s="266">
        <f t="shared" si="3"/>
        <v>872563.65289999999</v>
      </c>
      <c r="N26" s="217"/>
      <c r="O26" s="83"/>
    </row>
    <row r="27" spans="1:15">
      <c r="A27" s="56">
        <v>24</v>
      </c>
      <c r="B27" s="251">
        <v>45771</v>
      </c>
      <c r="C27" s="81"/>
      <c r="D27" s="12"/>
      <c r="E27" s="15">
        <v>226.46</v>
      </c>
      <c r="F27" s="15">
        <v>91.5</v>
      </c>
      <c r="G27" s="222">
        <f t="shared" si="0"/>
        <v>20721.09</v>
      </c>
      <c r="H27" s="162">
        <v>15</v>
      </c>
      <c r="I27" s="162">
        <v>103.42</v>
      </c>
      <c r="J27" s="228">
        <f t="shared" si="1"/>
        <v>1551.3</v>
      </c>
      <c r="K27" s="265">
        <f t="shared" si="2"/>
        <v>22272.39</v>
      </c>
      <c r="L27" s="82">
        <v>0</v>
      </c>
      <c r="M27" s="266">
        <f t="shared" si="3"/>
        <v>894836.0429</v>
      </c>
      <c r="N27" s="217"/>
      <c r="O27" s="83"/>
    </row>
    <row r="28" spans="1:15">
      <c r="A28" s="56">
        <v>25</v>
      </c>
      <c r="B28" s="251">
        <v>45772</v>
      </c>
      <c r="C28" s="81"/>
      <c r="D28" s="12"/>
      <c r="E28" s="15">
        <v>903.77</v>
      </c>
      <c r="F28" s="15">
        <v>91.5</v>
      </c>
      <c r="G28" s="222">
        <f t="shared" si="0"/>
        <v>82694.955000000002</v>
      </c>
      <c r="H28" s="162">
        <v>16</v>
      </c>
      <c r="I28" s="162">
        <v>103.42</v>
      </c>
      <c r="J28" s="228">
        <f t="shared" si="1"/>
        <v>1654.72</v>
      </c>
      <c r="K28" s="265">
        <f t="shared" si="2"/>
        <v>84349.675000000003</v>
      </c>
      <c r="L28" s="82">
        <v>0</v>
      </c>
      <c r="M28" s="266">
        <f t="shared" si="3"/>
        <v>979185.71790000005</v>
      </c>
      <c r="N28" s="217"/>
      <c r="O28" s="83"/>
    </row>
    <row r="29" spans="1:15">
      <c r="A29" s="56">
        <v>26</v>
      </c>
      <c r="B29" s="251">
        <v>45773</v>
      </c>
      <c r="C29" s="81"/>
      <c r="D29" s="12"/>
      <c r="E29" s="15">
        <v>314.14999999999998</v>
      </c>
      <c r="F29" s="15">
        <v>91.5</v>
      </c>
      <c r="G29" s="222">
        <f t="shared" si="0"/>
        <v>28744.724999999999</v>
      </c>
      <c r="H29" s="162">
        <v>24</v>
      </c>
      <c r="I29" s="162">
        <v>103.42</v>
      </c>
      <c r="J29" s="228">
        <f t="shared" si="1"/>
        <v>2482.08</v>
      </c>
      <c r="K29" s="265">
        <f t="shared" si="2"/>
        <v>31226.805</v>
      </c>
      <c r="L29" s="82">
        <v>0</v>
      </c>
      <c r="M29" s="266">
        <f t="shared" si="3"/>
        <v>1010412.5229000001</v>
      </c>
      <c r="N29" s="217"/>
      <c r="O29" s="83"/>
    </row>
    <row r="30" spans="1:15">
      <c r="A30" s="56"/>
      <c r="B30" s="251"/>
      <c r="C30" s="81"/>
      <c r="D30" s="12"/>
      <c r="E30" s="15"/>
      <c r="F30" s="15"/>
      <c r="G30" s="222"/>
      <c r="H30" s="162">
        <v>2</v>
      </c>
      <c r="I30" s="162">
        <v>111.19</v>
      </c>
      <c r="J30" s="228">
        <f t="shared" si="1"/>
        <v>222.38</v>
      </c>
      <c r="K30" s="265">
        <f t="shared" si="2"/>
        <v>222.38</v>
      </c>
      <c r="L30" s="82"/>
      <c r="M30" s="266">
        <f t="shared" si="3"/>
        <v>1010634.9029000001</v>
      </c>
      <c r="N30" s="217"/>
      <c r="O30" s="83"/>
    </row>
    <row r="31" spans="1:15">
      <c r="A31" s="56">
        <v>27</v>
      </c>
      <c r="B31" s="251">
        <v>45774</v>
      </c>
      <c r="C31" s="81"/>
      <c r="D31" s="12"/>
      <c r="E31" s="15">
        <v>281.01</v>
      </c>
      <c r="F31" s="15">
        <v>91.5</v>
      </c>
      <c r="G31" s="222">
        <f t="shared" si="0"/>
        <v>25712.415000000001</v>
      </c>
      <c r="H31" s="162">
        <v>0</v>
      </c>
      <c r="I31" s="162">
        <v>0</v>
      </c>
      <c r="J31" s="228">
        <f t="shared" si="1"/>
        <v>0</v>
      </c>
      <c r="K31" s="265">
        <f t="shared" si="2"/>
        <v>25712.415000000001</v>
      </c>
      <c r="L31" s="82">
        <v>0</v>
      </c>
      <c r="M31" s="266">
        <f t="shared" si="3"/>
        <v>1036347.3179000001</v>
      </c>
      <c r="N31" s="217"/>
      <c r="O31" s="83"/>
    </row>
    <row r="32" spans="1:15">
      <c r="A32" s="56">
        <v>28</v>
      </c>
      <c r="B32" s="251">
        <v>45775</v>
      </c>
      <c r="C32" s="81"/>
      <c r="D32" s="12"/>
      <c r="E32" s="15">
        <v>0</v>
      </c>
      <c r="F32" s="15">
        <v>0</v>
      </c>
      <c r="G32" s="222">
        <f t="shared" si="0"/>
        <v>0</v>
      </c>
      <c r="H32" s="162">
        <v>0</v>
      </c>
      <c r="I32" s="162">
        <v>0</v>
      </c>
      <c r="J32" s="228">
        <f t="shared" si="1"/>
        <v>0</v>
      </c>
      <c r="K32" s="265">
        <f t="shared" si="2"/>
        <v>0</v>
      </c>
      <c r="L32" s="82">
        <v>0</v>
      </c>
      <c r="M32" s="266">
        <f t="shared" si="3"/>
        <v>1036347.3179000001</v>
      </c>
      <c r="N32" s="217"/>
      <c r="O32" s="83"/>
    </row>
    <row r="33" spans="1:15">
      <c r="A33" s="245">
        <v>29</v>
      </c>
      <c r="B33" s="251">
        <v>45776</v>
      </c>
      <c r="C33" s="81"/>
      <c r="D33" s="12"/>
      <c r="E33" s="15">
        <v>0</v>
      </c>
      <c r="F33" s="15">
        <v>0</v>
      </c>
      <c r="G33" s="222">
        <f t="shared" si="0"/>
        <v>0</v>
      </c>
      <c r="H33" s="162">
        <v>0</v>
      </c>
      <c r="I33" s="162">
        <v>0</v>
      </c>
      <c r="J33" s="228">
        <f t="shared" si="1"/>
        <v>0</v>
      </c>
      <c r="K33" s="265">
        <f t="shared" si="2"/>
        <v>0</v>
      </c>
      <c r="L33" s="82">
        <v>0</v>
      </c>
      <c r="M33" s="266">
        <f t="shared" si="3"/>
        <v>1036347.3179000001</v>
      </c>
      <c r="N33" s="217"/>
      <c r="O33" s="83"/>
    </row>
    <row r="34" spans="1:15">
      <c r="A34" s="245">
        <v>30</v>
      </c>
      <c r="B34" s="251">
        <v>45777</v>
      </c>
      <c r="C34" s="81"/>
      <c r="D34" s="12"/>
      <c r="E34" s="15">
        <v>0</v>
      </c>
      <c r="F34" s="15">
        <v>0</v>
      </c>
      <c r="G34" s="222">
        <f t="shared" si="0"/>
        <v>0</v>
      </c>
      <c r="H34" s="162">
        <v>0</v>
      </c>
      <c r="I34" s="162">
        <v>0</v>
      </c>
      <c r="J34" s="228">
        <f t="shared" si="1"/>
        <v>0</v>
      </c>
      <c r="K34" s="265">
        <f t="shared" si="2"/>
        <v>0</v>
      </c>
      <c r="L34" s="82">
        <v>0</v>
      </c>
      <c r="M34" s="266">
        <f t="shared" si="3"/>
        <v>1036347.3179000001</v>
      </c>
      <c r="N34" s="217"/>
      <c r="O34" s="83"/>
    </row>
    <row r="35" spans="1:15">
      <c r="A35" s="245">
        <v>31</v>
      </c>
      <c r="B35" s="251"/>
      <c r="C35" s="146"/>
      <c r="D35" s="85"/>
      <c r="E35" s="15">
        <v>0</v>
      </c>
      <c r="F35" s="15">
        <v>0</v>
      </c>
      <c r="G35" s="222">
        <f t="shared" ref="G34:G35" si="4">E35*F35</f>
        <v>0</v>
      </c>
      <c r="H35" s="162">
        <v>0</v>
      </c>
      <c r="I35" s="162">
        <v>0</v>
      </c>
      <c r="J35" s="228">
        <f t="shared" ref="J34:J35" si="5">H35*I35</f>
        <v>0</v>
      </c>
      <c r="K35" s="265">
        <f t="shared" ref="K34:K35" si="6">G35+J35</f>
        <v>0</v>
      </c>
      <c r="L35" s="82">
        <v>0</v>
      </c>
      <c r="M35" s="266">
        <f t="shared" si="3"/>
        <v>1036347.3179000001</v>
      </c>
      <c r="N35" s="217"/>
      <c r="O35" s="83"/>
    </row>
    <row r="36" spans="1:15">
      <c r="A36" s="234"/>
      <c r="B36" s="234"/>
      <c r="C36" s="234"/>
      <c r="D36" s="234"/>
      <c r="E36" s="219">
        <f>SUM(E4:E34)</f>
        <v>10254.580000000002</v>
      </c>
      <c r="F36" s="219"/>
      <c r="G36" s="219">
        <f>SUM(G4:G34)</f>
        <v>936569.91209999996</v>
      </c>
      <c r="H36" s="219">
        <f>SUM(H4:H34)</f>
        <v>236</v>
      </c>
      <c r="I36" s="219"/>
      <c r="J36" s="219">
        <f>SUM(J4:J34)</f>
        <v>24422.660000000007</v>
      </c>
      <c r="K36" s="219">
        <f>SUM(K4:K34)</f>
        <v>960992.57210000022</v>
      </c>
      <c r="L36" s="219">
        <f>SUM(L4:L34)</f>
        <v>0</v>
      </c>
      <c r="M36" s="219"/>
      <c r="N36" s="86"/>
      <c r="O36" s="73"/>
    </row>
    <row r="37" spans="1:15">
      <c r="A37" s="87"/>
      <c r="B37" s="88"/>
      <c r="C37" s="87"/>
      <c r="D37" s="87"/>
      <c r="E37" s="89"/>
      <c r="F37" s="89"/>
      <c r="G37" s="223"/>
      <c r="H37" s="89"/>
      <c r="I37" s="89"/>
      <c r="J37" s="223"/>
      <c r="K37" s="90"/>
      <c r="L37" s="90"/>
      <c r="M37" s="90"/>
      <c r="N37" s="89"/>
      <c r="O37" s="83"/>
    </row>
    <row r="38" spans="1:15">
      <c r="A38" s="83"/>
      <c r="B38" s="73"/>
      <c r="C38" s="83"/>
      <c r="D38" s="83"/>
      <c r="E38" s="83"/>
      <c r="F38" s="83"/>
      <c r="G38" s="224"/>
      <c r="H38" s="83"/>
      <c r="I38" s="83"/>
      <c r="J38" s="225"/>
      <c r="K38" s="73"/>
      <c r="L38" s="73"/>
      <c r="M38" s="73"/>
      <c r="N38" s="83"/>
      <c r="O38" s="89"/>
    </row>
    <row r="39" spans="1:15">
      <c r="A39" s="83"/>
      <c r="B39" s="423"/>
      <c r="C39" s="423"/>
      <c r="D39" s="423"/>
      <c r="E39" s="423"/>
      <c r="F39" s="83"/>
      <c r="G39" s="225"/>
      <c r="H39" s="83"/>
      <c r="I39" s="423"/>
      <c r="J39" s="423"/>
      <c r="K39" s="423"/>
      <c r="L39" s="423"/>
      <c r="M39" s="423"/>
      <c r="N39" s="423"/>
      <c r="O39" s="89"/>
    </row>
    <row r="40" spans="1:15">
      <c r="A40" s="83"/>
      <c r="B40" s="73"/>
      <c r="C40" s="83"/>
      <c r="D40" s="83"/>
      <c r="E40" s="83"/>
      <c r="F40" s="83"/>
      <c r="G40" s="225"/>
      <c r="H40" s="83"/>
      <c r="I40" s="83"/>
      <c r="J40" s="225"/>
      <c r="K40" s="73"/>
      <c r="L40" s="73"/>
      <c r="M40" s="73"/>
      <c r="N40" s="83"/>
      <c r="O40" s="89"/>
    </row>
    <row r="48" spans="1:15">
      <c r="L48" s="92">
        <v>3010</v>
      </c>
    </row>
    <row r="49" spans="12:12">
      <c r="L49" s="92">
        <v>4900</v>
      </c>
    </row>
    <row r="50" spans="12:12">
      <c r="L50" s="92">
        <v>6953</v>
      </c>
    </row>
    <row r="51" spans="12:12">
      <c r="L51" s="92">
        <v>7527</v>
      </c>
    </row>
  </sheetData>
  <mergeCells count="3">
    <mergeCell ref="A1:N1"/>
    <mergeCell ref="B39:E39"/>
    <mergeCell ref="I39:N3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8B2D-F4B4-4D9B-ADBF-B484D3DAD6F7}">
  <sheetPr>
    <tabColor rgb="FF002060"/>
  </sheetPr>
  <dimension ref="A1:R35"/>
  <sheetViews>
    <sheetView topLeftCell="A31" workbookViewId="0">
      <selection activeCell="N49" sqref="N49"/>
    </sheetView>
  </sheetViews>
  <sheetFormatPr defaultColWidth="12.42578125" defaultRowHeight="15"/>
  <cols>
    <col min="1" max="1" width="7.7109375" customWidth="1"/>
    <col min="2" max="15" width="12.42578125" style="24"/>
  </cols>
  <sheetData>
    <row r="1" spans="1:14" ht="15.75">
      <c r="A1" s="433" t="s">
        <v>67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</row>
    <row r="2" spans="1:14" ht="30.75">
      <c r="A2" s="142" t="s">
        <v>81</v>
      </c>
      <c r="B2" s="272" t="s">
        <v>82</v>
      </c>
      <c r="C2" s="272" t="s">
        <v>83</v>
      </c>
      <c r="D2" s="272" t="s">
        <v>108</v>
      </c>
      <c r="E2" s="272" t="s">
        <v>85</v>
      </c>
      <c r="F2" s="272" t="s">
        <v>86</v>
      </c>
      <c r="G2" s="272" t="s">
        <v>87</v>
      </c>
      <c r="H2" s="272" t="s">
        <v>88</v>
      </c>
      <c r="I2" s="272" t="s">
        <v>86</v>
      </c>
      <c r="J2" s="272" t="s">
        <v>87</v>
      </c>
      <c r="K2" s="207" t="s">
        <v>89</v>
      </c>
      <c r="L2" s="207" t="s">
        <v>90</v>
      </c>
      <c r="M2" s="207" t="s">
        <v>97</v>
      </c>
      <c r="N2" s="272" t="s">
        <v>92</v>
      </c>
    </row>
    <row r="3" spans="1:14">
      <c r="A3" s="434" t="s">
        <v>93</v>
      </c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>
        <v>0</v>
      </c>
      <c r="N3" s="434"/>
    </row>
    <row r="4" spans="1:14">
      <c r="A4" s="245">
        <v>1</v>
      </c>
      <c r="B4" s="284">
        <v>45748</v>
      </c>
      <c r="C4" s="46">
        <v>0</v>
      </c>
      <c r="D4" s="46"/>
      <c r="E4" s="46">
        <v>56.09</v>
      </c>
      <c r="F4" s="46">
        <v>89.14</v>
      </c>
      <c r="G4" s="46">
        <f>E4*F4</f>
        <v>4999.8626000000004</v>
      </c>
      <c r="H4" s="46">
        <v>0</v>
      </c>
      <c r="I4" s="46">
        <v>0</v>
      </c>
      <c r="J4" s="46">
        <f>H4*I4</f>
        <v>0</v>
      </c>
      <c r="K4" s="46">
        <f>G4+J4</f>
        <v>4999.8626000000004</v>
      </c>
      <c r="L4" s="46">
        <v>0</v>
      </c>
      <c r="M4" s="46">
        <f>M3+K4-L4</f>
        <v>4999.8626000000004</v>
      </c>
      <c r="N4" s="46"/>
    </row>
    <row r="5" spans="1:14">
      <c r="A5" s="56">
        <v>2</v>
      </c>
      <c r="B5" s="284">
        <v>45749</v>
      </c>
      <c r="C5" s="46">
        <v>0</v>
      </c>
      <c r="D5" s="46"/>
      <c r="E5" s="46">
        <v>0</v>
      </c>
      <c r="F5" s="46">
        <v>0</v>
      </c>
      <c r="G5" s="46">
        <f t="shared" ref="G5:G34" si="0">E5*F5</f>
        <v>0</v>
      </c>
      <c r="H5" s="46">
        <v>0</v>
      </c>
      <c r="I5" s="46">
        <v>0</v>
      </c>
      <c r="J5" s="46">
        <f t="shared" ref="J5:J34" si="1">H5*I5</f>
        <v>0</v>
      </c>
      <c r="K5" s="46">
        <f t="shared" ref="K5:K34" si="2">G5+J5</f>
        <v>0</v>
      </c>
      <c r="L5" s="46">
        <f t="shared" ref="L5:L20" si="3">+K5</f>
        <v>0</v>
      </c>
      <c r="M5" s="46">
        <f t="shared" ref="M5:M16" si="4">M4+K5-L5</f>
        <v>4999.8626000000004</v>
      </c>
      <c r="N5" s="46"/>
    </row>
    <row r="6" spans="1:14">
      <c r="A6" s="56">
        <v>3</v>
      </c>
      <c r="B6" s="284">
        <v>45750</v>
      </c>
      <c r="C6" s="46">
        <v>0</v>
      </c>
      <c r="D6" s="46"/>
      <c r="E6" s="46">
        <v>0</v>
      </c>
      <c r="F6" s="46">
        <v>0</v>
      </c>
      <c r="G6" s="46">
        <f t="shared" si="0"/>
        <v>0</v>
      </c>
      <c r="H6" s="46">
        <v>7.9</v>
      </c>
      <c r="I6" s="46">
        <v>103.05</v>
      </c>
      <c r="J6" s="46">
        <f t="shared" si="1"/>
        <v>814.09500000000003</v>
      </c>
      <c r="K6" s="46">
        <f t="shared" si="2"/>
        <v>814.09500000000003</v>
      </c>
      <c r="L6" s="46">
        <v>5050</v>
      </c>
      <c r="M6" s="46">
        <f t="shared" si="4"/>
        <v>763.95760000000064</v>
      </c>
      <c r="N6" s="46"/>
    </row>
    <row r="7" spans="1:14">
      <c r="A7" s="56">
        <v>4</v>
      </c>
      <c r="B7" s="284">
        <v>45751</v>
      </c>
      <c r="C7" s="46">
        <v>0</v>
      </c>
      <c r="D7" s="46"/>
      <c r="E7" s="46">
        <v>0</v>
      </c>
      <c r="F7" s="46">
        <v>0</v>
      </c>
      <c r="G7" s="46">
        <f t="shared" si="0"/>
        <v>0</v>
      </c>
      <c r="H7" s="46">
        <v>0</v>
      </c>
      <c r="I7" s="46">
        <v>0</v>
      </c>
      <c r="J7" s="46">
        <f t="shared" si="1"/>
        <v>0</v>
      </c>
      <c r="K7" s="46">
        <f t="shared" si="2"/>
        <v>0</v>
      </c>
      <c r="L7" s="46">
        <v>763.96</v>
      </c>
      <c r="M7" s="46">
        <f t="shared" si="4"/>
        <v>-2.3999999993975507E-3</v>
      </c>
      <c r="N7" s="46"/>
    </row>
    <row r="8" spans="1:14">
      <c r="A8" s="56">
        <v>5</v>
      </c>
      <c r="B8" s="284">
        <v>45752</v>
      </c>
      <c r="C8" s="46">
        <v>0</v>
      </c>
      <c r="D8" s="46"/>
      <c r="E8" s="46">
        <v>32.92</v>
      </c>
      <c r="F8" s="46">
        <v>91.14</v>
      </c>
      <c r="G8" s="46">
        <f t="shared" si="0"/>
        <v>3000.3288000000002</v>
      </c>
      <c r="H8" s="46">
        <v>0</v>
      </c>
      <c r="I8" s="46">
        <v>0</v>
      </c>
      <c r="J8" s="46">
        <f t="shared" si="1"/>
        <v>0</v>
      </c>
      <c r="K8" s="46">
        <f t="shared" si="2"/>
        <v>3000.3288000000002</v>
      </c>
      <c r="L8" s="46">
        <f>+K8</f>
        <v>3000.3288000000002</v>
      </c>
      <c r="M8" s="46">
        <f t="shared" si="4"/>
        <v>-2.3999999993975507E-3</v>
      </c>
      <c r="N8" s="46"/>
    </row>
    <row r="9" spans="1:14">
      <c r="A9" s="56">
        <v>6</v>
      </c>
      <c r="B9" s="284">
        <v>45753</v>
      </c>
      <c r="C9" s="46">
        <v>0</v>
      </c>
      <c r="D9" s="46"/>
      <c r="E9" s="46">
        <v>0</v>
      </c>
      <c r="F9" s="46">
        <v>0</v>
      </c>
      <c r="G9" s="46">
        <f t="shared" si="0"/>
        <v>0</v>
      </c>
      <c r="H9" s="46">
        <v>6</v>
      </c>
      <c r="I9" s="46">
        <v>103.05</v>
      </c>
      <c r="J9" s="46">
        <f t="shared" si="1"/>
        <v>618.29999999999995</v>
      </c>
      <c r="K9" s="46">
        <f t="shared" si="2"/>
        <v>618.29999999999995</v>
      </c>
      <c r="L9" s="46">
        <f t="shared" si="3"/>
        <v>618.29999999999995</v>
      </c>
      <c r="M9" s="46">
        <f t="shared" si="4"/>
        <v>-2.3999999993975507E-3</v>
      </c>
      <c r="N9" s="46"/>
    </row>
    <row r="10" spans="1:14">
      <c r="A10" s="56">
        <v>7</v>
      </c>
      <c r="B10" s="284">
        <v>45754</v>
      </c>
      <c r="C10" s="46">
        <v>0</v>
      </c>
      <c r="D10" s="46"/>
      <c r="E10" s="46">
        <v>32.92</v>
      </c>
      <c r="F10" s="46">
        <v>91.14</v>
      </c>
      <c r="G10" s="46">
        <f t="shared" si="0"/>
        <v>3000.3288000000002</v>
      </c>
      <c r="H10" s="46">
        <v>0</v>
      </c>
      <c r="I10" s="46">
        <v>0</v>
      </c>
      <c r="J10" s="46">
        <f t="shared" si="1"/>
        <v>0</v>
      </c>
      <c r="K10" s="46">
        <f t="shared" si="2"/>
        <v>3000.3288000000002</v>
      </c>
      <c r="L10" s="46">
        <f t="shared" ref="L10" si="5">+K10</f>
        <v>3000.3288000000002</v>
      </c>
      <c r="M10" s="46">
        <f t="shared" si="4"/>
        <v>-2.3999999993975507E-3</v>
      </c>
      <c r="N10" s="46"/>
    </row>
    <row r="11" spans="1:14">
      <c r="A11" s="56">
        <v>8</v>
      </c>
      <c r="B11" s="284">
        <v>45755</v>
      </c>
      <c r="C11" s="46">
        <v>0</v>
      </c>
      <c r="D11" s="46"/>
      <c r="E11" s="46">
        <v>0</v>
      </c>
      <c r="F11" s="46">
        <v>0</v>
      </c>
      <c r="G11" s="46">
        <f t="shared" si="0"/>
        <v>0</v>
      </c>
      <c r="H11" s="46">
        <v>0</v>
      </c>
      <c r="I11" s="46">
        <v>0</v>
      </c>
      <c r="J11" s="46">
        <f t="shared" si="1"/>
        <v>0</v>
      </c>
      <c r="K11" s="46">
        <f t="shared" si="2"/>
        <v>0</v>
      </c>
      <c r="L11" s="46">
        <f t="shared" si="3"/>
        <v>0</v>
      </c>
      <c r="M11" s="46">
        <f t="shared" si="4"/>
        <v>-2.3999999993975507E-3</v>
      </c>
      <c r="N11" s="46"/>
    </row>
    <row r="12" spans="1:14">
      <c r="A12" s="56">
        <v>9</v>
      </c>
      <c r="B12" s="284">
        <v>45756</v>
      </c>
      <c r="C12" s="46">
        <v>0</v>
      </c>
      <c r="D12" s="46"/>
      <c r="E12" s="46">
        <v>65.64</v>
      </c>
      <c r="F12" s="46">
        <v>91.14</v>
      </c>
      <c r="G12" s="46">
        <f t="shared" si="0"/>
        <v>5982.4296000000004</v>
      </c>
      <c r="H12" s="46">
        <v>0</v>
      </c>
      <c r="I12" s="46">
        <v>0</v>
      </c>
      <c r="J12" s="46">
        <f t="shared" si="1"/>
        <v>0</v>
      </c>
      <c r="K12" s="46">
        <f t="shared" si="2"/>
        <v>5982.4296000000004</v>
      </c>
      <c r="L12" s="46">
        <f t="shared" si="3"/>
        <v>5982.4296000000004</v>
      </c>
      <c r="M12" s="46">
        <f t="shared" si="4"/>
        <v>-2.3999999993975507E-3</v>
      </c>
      <c r="N12" s="46"/>
    </row>
    <row r="13" spans="1:14">
      <c r="A13" s="56">
        <v>10</v>
      </c>
      <c r="B13" s="284">
        <v>45757</v>
      </c>
      <c r="C13" s="46">
        <v>0</v>
      </c>
      <c r="D13" s="46"/>
      <c r="E13" s="46">
        <v>0</v>
      </c>
      <c r="F13" s="46">
        <v>0</v>
      </c>
      <c r="G13" s="46">
        <f t="shared" si="0"/>
        <v>0</v>
      </c>
      <c r="H13" s="46">
        <v>0</v>
      </c>
      <c r="I13" s="46">
        <v>0</v>
      </c>
      <c r="J13" s="46">
        <f t="shared" si="1"/>
        <v>0</v>
      </c>
      <c r="K13" s="46">
        <f t="shared" si="2"/>
        <v>0</v>
      </c>
      <c r="L13" s="46">
        <f t="shared" si="3"/>
        <v>0</v>
      </c>
      <c r="M13" s="46">
        <f t="shared" si="4"/>
        <v>-2.3999999993975507E-3</v>
      </c>
      <c r="N13" s="46"/>
    </row>
    <row r="14" spans="1:14">
      <c r="A14" s="56">
        <v>11</v>
      </c>
      <c r="B14" s="284">
        <v>45758</v>
      </c>
      <c r="C14" s="46">
        <v>0</v>
      </c>
      <c r="D14" s="46"/>
      <c r="E14" s="46">
        <v>0</v>
      </c>
      <c r="F14" s="46">
        <v>0</v>
      </c>
      <c r="G14" s="46">
        <f t="shared" si="0"/>
        <v>0</v>
      </c>
      <c r="H14" s="46">
        <v>0</v>
      </c>
      <c r="I14" s="46">
        <v>0</v>
      </c>
      <c r="J14" s="46">
        <f t="shared" si="1"/>
        <v>0</v>
      </c>
      <c r="K14" s="46">
        <f t="shared" si="2"/>
        <v>0</v>
      </c>
      <c r="L14" s="46">
        <f t="shared" si="3"/>
        <v>0</v>
      </c>
      <c r="M14" s="46">
        <f t="shared" si="4"/>
        <v>-2.3999999993975507E-3</v>
      </c>
      <c r="N14" s="46"/>
    </row>
    <row r="15" spans="1:14">
      <c r="A15" s="56">
        <v>12</v>
      </c>
      <c r="B15" s="284">
        <v>45759</v>
      </c>
      <c r="C15" s="46">
        <v>0</v>
      </c>
      <c r="D15" s="46"/>
      <c r="E15" s="46">
        <v>52.92</v>
      </c>
      <c r="F15" s="46">
        <v>91.14</v>
      </c>
      <c r="G15" s="46">
        <f t="shared" si="0"/>
        <v>4823.1288000000004</v>
      </c>
      <c r="H15" s="46">
        <v>0</v>
      </c>
      <c r="I15" s="46">
        <v>0</v>
      </c>
      <c r="J15" s="46">
        <f t="shared" si="1"/>
        <v>0</v>
      </c>
      <c r="K15" s="46">
        <f t="shared" si="2"/>
        <v>4823.1288000000004</v>
      </c>
      <c r="L15" s="46">
        <f t="shared" si="3"/>
        <v>4823.1288000000004</v>
      </c>
      <c r="M15" s="46">
        <f t="shared" si="4"/>
        <v>-2.3999999993975507E-3</v>
      </c>
      <c r="N15" s="46"/>
    </row>
    <row r="16" spans="1:14">
      <c r="A16" s="56">
        <v>13</v>
      </c>
      <c r="B16" s="284">
        <v>45760</v>
      </c>
      <c r="C16" s="46">
        <v>0</v>
      </c>
      <c r="D16" s="46"/>
      <c r="E16" s="46">
        <v>0</v>
      </c>
      <c r="F16" s="46">
        <v>0</v>
      </c>
      <c r="G16" s="46">
        <f t="shared" si="0"/>
        <v>0</v>
      </c>
      <c r="H16" s="46">
        <v>0</v>
      </c>
      <c r="I16" s="46">
        <v>0</v>
      </c>
      <c r="J16" s="46">
        <f t="shared" si="1"/>
        <v>0</v>
      </c>
      <c r="K16" s="46">
        <f t="shared" si="2"/>
        <v>0</v>
      </c>
      <c r="L16" s="46">
        <f t="shared" si="3"/>
        <v>0</v>
      </c>
      <c r="M16" s="46">
        <f t="shared" si="4"/>
        <v>-2.3999999993975507E-3</v>
      </c>
      <c r="N16" s="46"/>
    </row>
    <row r="17" spans="1:18">
      <c r="A17" s="56">
        <v>14</v>
      </c>
      <c r="B17" s="284">
        <v>45761</v>
      </c>
      <c r="C17" s="46">
        <v>0</v>
      </c>
      <c r="D17" s="46"/>
      <c r="E17" s="46">
        <v>52.92</v>
      </c>
      <c r="F17" s="46">
        <v>91.14</v>
      </c>
      <c r="G17" s="46">
        <f t="shared" si="0"/>
        <v>4823.1288000000004</v>
      </c>
      <c r="H17" s="46">
        <v>0</v>
      </c>
      <c r="I17" s="46">
        <v>0</v>
      </c>
      <c r="J17" s="46">
        <f t="shared" si="1"/>
        <v>0</v>
      </c>
      <c r="K17" s="46">
        <f t="shared" si="2"/>
        <v>4823.1288000000004</v>
      </c>
      <c r="L17" s="46">
        <f t="shared" si="3"/>
        <v>4823.1288000000004</v>
      </c>
      <c r="M17" s="46">
        <v>0</v>
      </c>
      <c r="N17" s="46"/>
      <c r="R17" s="297"/>
    </row>
    <row r="18" spans="1:18">
      <c r="A18" s="56">
        <v>15</v>
      </c>
      <c r="B18" s="284">
        <v>45762</v>
      </c>
      <c r="C18" s="46">
        <v>0</v>
      </c>
      <c r="D18" s="46"/>
      <c r="E18" s="46">
        <v>0</v>
      </c>
      <c r="F18" s="46">
        <v>0</v>
      </c>
      <c r="G18" s="46">
        <f t="shared" si="0"/>
        <v>0</v>
      </c>
      <c r="H18" s="46">
        <v>5</v>
      </c>
      <c r="I18" s="46">
        <v>103.05</v>
      </c>
      <c r="J18" s="46">
        <f t="shared" si="1"/>
        <v>515.25</v>
      </c>
      <c r="K18" s="46">
        <f t="shared" si="2"/>
        <v>515.25</v>
      </c>
      <c r="L18" s="46">
        <f t="shared" si="3"/>
        <v>515.25</v>
      </c>
      <c r="M18" s="46">
        <v>0</v>
      </c>
      <c r="N18" s="46"/>
    </row>
    <row r="19" spans="1:18">
      <c r="A19" s="56">
        <v>16</v>
      </c>
      <c r="B19" s="284">
        <v>45763</v>
      </c>
      <c r="C19" s="46">
        <v>0</v>
      </c>
      <c r="D19" s="46"/>
      <c r="E19" s="46">
        <v>32.92</v>
      </c>
      <c r="F19" s="46">
        <v>91.14</v>
      </c>
      <c r="G19" s="46">
        <f t="shared" si="0"/>
        <v>3000.3288000000002</v>
      </c>
      <c r="H19" s="46">
        <v>0</v>
      </c>
      <c r="I19" s="46">
        <v>0</v>
      </c>
      <c r="J19" s="46">
        <f t="shared" si="1"/>
        <v>0</v>
      </c>
      <c r="K19" s="46">
        <f t="shared" si="2"/>
        <v>3000.3288000000002</v>
      </c>
      <c r="L19" s="46">
        <f t="shared" si="3"/>
        <v>3000.3288000000002</v>
      </c>
      <c r="M19" s="46">
        <v>0</v>
      </c>
      <c r="N19" s="46"/>
    </row>
    <row r="20" spans="1:18">
      <c r="A20" s="56">
        <v>17</v>
      </c>
      <c r="B20" s="284">
        <v>45764</v>
      </c>
      <c r="C20" s="46">
        <v>0</v>
      </c>
      <c r="D20" s="46"/>
      <c r="E20" s="46">
        <v>32.92</v>
      </c>
      <c r="F20" s="46">
        <v>91.14</v>
      </c>
      <c r="G20" s="46">
        <f t="shared" si="0"/>
        <v>3000.3288000000002</v>
      </c>
      <c r="H20" s="46">
        <v>0</v>
      </c>
      <c r="I20" s="46">
        <v>0</v>
      </c>
      <c r="J20" s="46">
        <f t="shared" si="1"/>
        <v>0</v>
      </c>
      <c r="K20" s="46">
        <f t="shared" si="2"/>
        <v>3000.3288000000002</v>
      </c>
      <c r="L20" s="46">
        <f t="shared" ref="L20:L21" si="6">+K20</f>
        <v>3000.3288000000002</v>
      </c>
      <c r="M20" s="46">
        <v>0</v>
      </c>
      <c r="N20" s="46"/>
    </row>
    <row r="21" spans="1:18">
      <c r="A21" s="56">
        <v>18</v>
      </c>
      <c r="B21" s="284">
        <v>45765</v>
      </c>
      <c r="C21" s="46">
        <v>0</v>
      </c>
      <c r="D21" s="46"/>
      <c r="E21" s="46">
        <v>0</v>
      </c>
      <c r="F21" s="46">
        <v>0</v>
      </c>
      <c r="G21" s="46">
        <f t="shared" si="0"/>
        <v>0</v>
      </c>
      <c r="H21" s="46">
        <v>0</v>
      </c>
      <c r="I21" s="46">
        <v>0</v>
      </c>
      <c r="J21" s="46">
        <f t="shared" si="1"/>
        <v>0</v>
      </c>
      <c r="K21" s="46">
        <f t="shared" si="2"/>
        <v>0</v>
      </c>
      <c r="L21" s="46">
        <f t="shared" si="6"/>
        <v>0</v>
      </c>
      <c r="M21" s="46">
        <v>0</v>
      </c>
      <c r="N21" s="46"/>
    </row>
    <row r="22" spans="1:18">
      <c r="A22" s="56">
        <v>19</v>
      </c>
      <c r="B22" s="284">
        <v>45766</v>
      </c>
      <c r="C22" s="46">
        <v>0</v>
      </c>
      <c r="D22" s="46"/>
      <c r="E22" s="46">
        <v>37.92</v>
      </c>
      <c r="F22" s="46">
        <v>91.14</v>
      </c>
      <c r="G22" s="46">
        <f t="shared" si="0"/>
        <v>3456.0288</v>
      </c>
      <c r="H22" s="46">
        <v>0</v>
      </c>
      <c r="I22" s="46">
        <v>0</v>
      </c>
      <c r="J22" s="46">
        <f t="shared" si="1"/>
        <v>0</v>
      </c>
      <c r="K22" s="46">
        <f t="shared" si="2"/>
        <v>3456.0288</v>
      </c>
      <c r="L22" s="46">
        <f t="shared" ref="L22:L25" si="7">+K22</f>
        <v>3456.0288</v>
      </c>
      <c r="M22" s="46">
        <v>0</v>
      </c>
      <c r="N22" s="46"/>
    </row>
    <row r="23" spans="1:18">
      <c r="A23" s="56">
        <v>20</v>
      </c>
      <c r="B23" s="284">
        <v>45767</v>
      </c>
      <c r="C23" s="46">
        <v>0</v>
      </c>
      <c r="D23" s="46"/>
      <c r="E23" s="46">
        <v>0</v>
      </c>
      <c r="F23" s="46">
        <v>0</v>
      </c>
      <c r="G23" s="46">
        <f t="shared" si="0"/>
        <v>0</v>
      </c>
      <c r="H23" s="46">
        <v>15</v>
      </c>
      <c r="I23" s="46">
        <v>103.05</v>
      </c>
      <c r="J23" s="46">
        <f t="shared" si="1"/>
        <v>1545.75</v>
      </c>
      <c r="K23" s="46">
        <f t="shared" si="2"/>
        <v>1545.75</v>
      </c>
      <c r="L23" s="46">
        <f t="shared" si="7"/>
        <v>1545.75</v>
      </c>
      <c r="M23" s="46">
        <v>0</v>
      </c>
      <c r="N23" s="46"/>
    </row>
    <row r="24" spans="1:18">
      <c r="A24" s="56">
        <v>21</v>
      </c>
      <c r="B24" s="284">
        <v>45768</v>
      </c>
      <c r="C24" s="46">
        <v>0</v>
      </c>
      <c r="D24" s="46"/>
      <c r="E24" s="46">
        <v>50.31</v>
      </c>
      <c r="F24" s="46">
        <v>91.14</v>
      </c>
      <c r="G24" s="46">
        <f t="shared" si="0"/>
        <v>4585.2534000000005</v>
      </c>
      <c r="H24" s="46">
        <v>0</v>
      </c>
      <c r="I24" s="46">
        <v>0</v>
      </c>
      <c r="J24" s="46">
        <f t="shared" si="1"/>
        <v>0</v>
      </c>
      <c r="K24" s="46">
        <f t="shared" si="2"/>
        <v>4585.2534000000005</v>
      </c>
      <c r="L24" s="46">
        <f t="shared" si="7"/>
        <v>4585.2534000000005</v>
      </c>
      <c r="M24" s="46">
        <v>0</v>
      </c>
      <c r="N24" s="46"/>
    </row>
    <row r="25" spans="1:18">
      <c r="A25" s="56">
        <v>22</v>
      </c>
      <c r="B25" s="284">
        <v>45769</v>
      </c>
      <c r="C25" s="46">
        <v>0</v>
      </c>
      <c r="D25" s="46"/>
      <c r="E25" s="46">
        <v>0</v>
      </c>
      <c r="F25" s="46">
        <v>0</v>
      </c>
      <c r="G25" s="46">
        <f t="shared" si="0"/>
        <v>0</v>
      </c>
      <c r="H25" s="46">
        <v>10</v>
      </c>
      <c r="I25" s="46">
        <v>103.05</v>
      </c>
      <c r="J25" s="46">
        <f t="shared" si="1"/>
        <v>1030.5</v>
      </c>
      <c r="K25" s="46">
        <f t="shared" si="2"/>
        <v>1030.5</v>
      </c>
      <c r="L25" s="46">
        <f t="shared" si="7"/>
        <v>1030.5</v>
      </c>
      <c r="M25" s="46">
        <v>0</v>
      </c>
      <c r="N25" s="46"/>
    </row>
    <row r="26" spans="1:18">
      <c r="A26" s="56">
        <v>23</v>
      </c>
      <c r="B26" s="284">
        <v>45770</v>
      </c>
      <c r="C26" s="46">
        <v>0</v>
      </c>
      <c r="D26" s="46"/>
      <c r="E26" s="46">
        <v>32.92</v>
      </c>
      <c r="F26" s="46">
        <v>91.14</v>
      </c>
      <c r="G26" s="46">
        <f t="shared" si="0"/>
        <v>3000.3288000000002</v>
      </c>
      <c r="H26" s="46">
        <v>10</v>
      </c>
      <c r="I26" s="46">
        <v>103.05</v>
      </c>
      <c r="J26" s="46">
        <f t="shared" si="1"/>
        <v>1030.5</v>
      </c>
      <c r="K26" s="46">
        <f t="shared" si="2"/>
        <v>4030.8288000000002</v>
      </c>
      <c r="L26" s="46">
        <f t="shared" ref="L26:L30" si="8">+K26</f>
        <v>4030.8288000000002</v>
      </c>
      <c r="M26" s="46">
        <v>0</v>
      </c>
      <c r="N26" s="46"/>
    </row>
    <row r="27" spans="1:18">
      <c r="A27" s="56">
        <v>24</v>
      </c>
      <c r="B27" s="284">
        <v>45771</v>
      </c>
      <c r="C27" s="46">
        <v>0</v>
      </c>
      <c r="D27" s="46"/>
      <c r="E27" s="46">
        <v>0</v>
      </c>
      <c r="F27" s="46">
        <v>0</v>
      </c>
      <c r="G27" s="46">
        <f t="shared" si="0"/>
        <v>0</v>
      </c>
      <c r="H27" s="46">
        <v>0</v>
      </c>
      <c r="I27" s="46">
        <v>0</v>
      </c>
      <c r="J27" s="46">
        <f t="shared" si="1"/>
        <v>0</v>
      </c>
      <c r="K27" s="46">
        <f t="shared" si="2"/>
        <v>0</v>
      </c>
      <c r="L27" s="46">
        <f t="shared" si="8"/>
        <v>0</v>
      </c>
      <c r="M27" s="270"/>
      <c r="N27" s="270"/>
    </row>
    <row r="28" spans="1:18">
      <c r="A28" s="286">
        <v>25</v>
      </c>
      <c r="B28" s="284">
        <v>45772</v>
      </c>
      <c r="C28" s="46">
        <v>0</v>
      </c>
      <c r="D28" s="46"/>
      <c r="E28" s="46">
        <v>0</v>
      </c>
      <c r="F28" s="46">
        <v>0</v>
      </c>
      <c r="G28" s="46">
        <f t="shared" si="0"/>
        <v>0</v>
      </c>
      <c r="H28" s="46">
        <v>0</v>
      </c>
      <c r="I28" s="46">
        <v>0</v>
      </c>
      <c r="J28" s="46">
        <f t="shared" si="1"/>
        <v>0</v>
      </c>
      <c r="K28" s="46">
        <f t="shared" si="2"/>
        <v>0</v>
      </c>
      <c r="L28" s="46">
        <f t="shared" si="8"/>
        <v>0</v>
      </c>
      <c r="M28" s="46"/>
      <c r="N28" s="46"/>
    </row>
    <row r="29" spans="1:18">
      <c r="A29" s="286">
        <v>26</v>
      </c>
      <c r="B29" s="284">
        <v>45773</v>
      </c>
      <c r="C29" s="46">
        <v>0</v>
      </c>
      <c r="D29" s="46"/>
      <c r="E29" s="46">
        <v>0</v>
      </c>
      <c r="F29" s="46">
        <v>0</v>
      </c>
      <c r="G29" s="46">
        <f t="shared" si="0"/>
        <v>0</v>
      </c>
      <c r="H29" s="46">
        <v>0</v>
      </c>
      <c r="I29" s="46">
        <v>0</v>
      </c>
      <c r="J29" s="46">
        <v>0</v>
      </c>
      <c r="K29" s="46">
        <f t="shared" si="2"/>
        <v>0</v>
      </c>
      <c r="L29" s="46">
        <f t="shared" si="8"/>
        <v>0</v>
      </c>
      <c r="M29" s="46"/>
      <c r="N29" s="46"/>
    </row>
    <row r="30" spans="1:18">
      <c r="A30" s="286">
        <v>27</v>
      </c>
      <c r="B30" s="284">
        <v>45774</v>
      </c>
      <c r="C30" s="46">
        <v>0</v>
      </c>
      <c r="D30" s="46"/>
      <c r="E30" s="46">
        <v>0</v>
      </c>
      <c r="F30" s="46">
        <v>0</v>
      </c>
      <c r="G30" s="46">
        <f t="shared" si="0"/>
        <v>0</v>
      </c>
      <c r="H30" s="46">
        <v>0</v>
      </c>
      <c r="I30" s="46">
        <v>0</v>
      </c>
      <c r="J30" s="46">
        <f t="shared" si="1"/>
        <v>0</v>
      </c>
      <c r="K30" s="46">
        <f t="shared" si="2"/>
        <v>0</v>
      </c>
      <c r="L30" s="46">
        <f t="shared" si="8"/>
        <v>0</v>
      </c>
      <c r="M30" s="46"/>
      <c r="N30" s="46"/>
    </row>
    <row r="31" spans="1:18">
      <c r="A31" s="286">
        <v>28</v>
      </c>
      <c r="B31" s="284">
        <v>45775</v>
      </c>
      <c r="C31" s="46">
        <v>0</v>
      </c>
      <c r="D31" s="46"/>
      <c r="E31" s="46">
        <v>70.97</v>
      </c>
      <c r="F31" s="46">
        <v>91.14</v>
      </c>
      <c r="G31" s="46">
        <f t="shared" si="0"/>
        <v>6468.2057999999997</v>
      </c>
      <c r="H31" s="46">
        <v>0</v>
      </c>
      <c r="I31" s="46">
        <v>0</v>
      </c>
      <c r="J31" s="46">
        <f t="shared" si="1"/>
        <v>0</v>
      </c>
      <c r="K31" s="46">
        <f t="shared" si="2"/>
        <v>6468.2057999999997</v>
      </c>
      <c r="L31" s="46">
        <f t="shared" ref="L31:L34" si="9">+K31</f>
        <v>6468.2057999999997</v>
      </c>
      <c r="M31" s="46"/>
      <c r="N31" s="46"/>
    </row>
    <row r="32" spans="1:18">
      <c r="A32" s="287">
        <v>29</v>
      </c>
      <c r="B32" s="284">
        <v>45776</v>
      </c>
      <c r="C32" s="46">
        <v>0</v>
      </c>
      <c r="D32" s="46"/>
      <c r="E32" s="46">
        <v>0</v>
      </c>
      <c r="F32" s="46">
        <v>0</v>
      </c>
      <c r="G32" s="46">
        <f t="shared" si="0"/>
        <v>0</v>
      </c>
      <c r="H32" s="46">
        <v>0</v>
      </c>
      <c r="I32" s="46">
        <v>0</v>
      </c>
      <c r="J32" s="46">
        <f t="shared" si="1"/>
        <v>0</v>
      </c>
      <c r="K32" s="46">
        <f t="shared" si="2"/>
        <v>0</v>
      </c>
      <c r="L32" s="46">
        <f t="shared" si="9"/>
        <v>0</v>
      </c>
      <c r="M32" s="46"/>
      <c r="N32" s="46"/>
    </row>
    <row r="33" spans="1:14">
      <c r="A33" s="287">
        <v>30</v>
      </c>
      <c r="B33" s="284">
        <v>45777</v>
      </c>
      <c r="C33" s="46">
        <v>0</v>
      </c>
      <c r="D33" s="46"/>
      <c r="E33" s="46">
        <v>0</v>
      </c>
      <c r="F33" s="46">
        <v>0</v>
      </c>
      <c r="G33" s="46">
        <f t="shared" si="0"/>
        <v>0</v>
      </c>
      <c r="H33" s="46">
        <v>0</v>
      </c>
      <c r="I33" s="46">
        <v>0</v>
      </c>
      <c r="J33" s="46">
        <f t="shared" si="1"/>
        <v>0</v>
      </c>
      <c r="K33" s="46">
        <f t="shared" si="2"/>
        <v>0</v>
      </c>
      <c r="L33" s="46">
        <f t="shared" si="9"/>
        <v>0</v>
      </c>
      <c r="M33" s="46"/>
      <c r="N33" s="46"/>
    </row>
    <row r="34" spans="1:14">
      <c r="A34" s="287">
        <v>31</v>
      </c>
      <c r="B34" s="284"/>
      <c r="C34" s="46">
        <v>0</v>
      </c>
      <c r="D34" s="46"/>
      <c r="E34" s="46">
        <v>0</v>
      </c>
      <c r="F34" s="46">
        <v>0</v>
      </c>
      <c r="G34" s="46">
        <f t="shared" si="0"/>
        <v>0</v>
      </c>
      <c r="H34" s="46">
        <v>0</v>
      </c>
      <c r="I34" s="46">
        <v>0</v>
      </c>
      <c r="J34" s="46">
        <f t="shared" si="1"/>
        <v>0</v>
      </c>
      <c r="K34" s="46">
        <f t="shared" si="2"/>
        <v>0</v>
      </c>
      <c r="L34" s="46">
        <f t="shared" si="9"/>
        <v>0</v>
      </c>
      <c r="M34" s="46"/>
      <c r="N34" s="46"/>
    </row>
    <row r="35" spans="1:14">
      <c r="A35" s="216"/>
      <c r="B35" s="216"/>
      <c r="C35" s="216"/>
      <c r="D35" s="216"/>
      <c r="E35" s="216">
        <f>SUM(E4:E34)</f>
        <v>551.37000000000012</v>
      </c>
      <c r="F35" s="216"/>
      <c r="G35" s="216">
        <f>SUM(G4:G34)</f>
        <v>50139.681800000006</v>
      </c>
      <c r="H35" s="216">
        <f>SUM(H4:H34)</f>
        <v>53.9</v>
      </c>
      <c r="I35" s="216"/>
      <c r="J35" s="216">
        <f>SUM(J4:J34)</f>
        <v>5554.3950000000004</v>
      </c>
      <c r="K35" s="216">
        <f>SUM(K4:K34)</f>
        <v>55694.076799999995</v>
      </c>
      <c r="L35" s="216">
        <f>SUM(L4:L34)</f>
        <v>55694.079200000007</v>
      </c>
      <c r="M35" s="216"/>
      <c r="N35" s="216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O35"/>
  <sheetViews>
    <sheetView topLeftCell="L18" workbookViewId="0">
      <selection activeCell="K38" sqref="K38"/>
    </sheetView>
  </sheetViews>
  <sheetFormatPr defaultColWidth="12.140625" defaultRowHeight="15"/>
  <cols>
    <col min="1" max="1" width="10.42578125" customWidth="1"/>
  </cols>
  <sheetData>
    <row r="1" spans="1:15" ht="15.75">
      <c r="A1" s="401" t="s">
        <v>63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</row>
    <row r="2" spans="1:15" ht="30.75">
      <c r="A2" s="114" t="s">
        <v>81</v>
      </c>
      <c r="B2" s="115" t="s">
        <v>82</v>
      </c>
      <c r="C2" s="115" t="s">
        <v>83</v>
      </c>
      <c r="D2" s="115" t="s">
        <v>84</v>
      </c>
      <c r="E2" s="115" t="s">
        <v>85</v>
      </c>
      <c r="F2" s="115" t="s">
        <v>86</v>
      </c>
      <c r="G2" s="220" t="s">
        <v>87</v>
      </c>
      <c r="H2" s="115" t="s">
        <v>88</v>
      </c>
      <c r="I2" s="115" t="s">
        <v>86</v>
      </c>
      <c r="J2" s="227" t="s">
        <v>87</v>
      </c>
      <c r="K2" s="116" t="s">
        <v>89</v>
      </c>
      <c r="L2" s="160" t="s">
        <v>90</v>
      </c>
      <c r="M2" s="165" t="s">
        <v>97</v>
      </c>
      <c r="N2" s="117" t="s">
        <v>92</v>
      </c>
    </row>
    <row r="3" spans="1:15">
      <c r="A3" s="183"/>
      <c r="B3" s="19"/>
      <c r="C3" s="19"/>
      <c r="D3" s="285" t="s">
        <v>93</v>
      </c>
      <c r="E3" s="19"/>
      <c r="F3" s="19"/>
      <c r="G3" s="221"/>
      <c r="H3" s="19"/>
      <c r="I3" s="19"/>
      <c r="J3" s="221"/>
      <c r="K3" s="283">
        <v>17566.777600000001</v>
      </c>
      <c r="L3" s="19"/>
      <c r="M3" s="170">
        <f>+K3</f>
        <v>17566.777600000001</v>
      </c>
      <c r="N3" s="19"/>
    </row>
    <row r="4" spans="1:15">
      <c r="A4" s="245">
        <v>1</v>
      </c>
      <c r="B4" s="284">
        <v>45748</v>
      </c>
      <c r="C4" s="158"/>
      <c r="D4" s="158"/>
      <c r="E4" s="351">
        <v>50</v>
      </c>
      <c r="F4" s="351">
        <v>91.48</v>
      </c>
      <c r="G4" s="351">
        <f>E4*F4</f>
        <v>4574</v>
      </c>
      <c r="H4" s="351">
        <v>0</v>
      </c>
      <c r="I4" s="351">
        <v>0</v>
      </c>
      <c r="J4" s="351">
        <f>H4*I4</f>
        <v>0</v>
      </c>
      <c r="K4" s="351">
        <f>G4+J4</f>
        <v>4574</v>
      </c>
      <c r="L4" s="158"/>
      <c r="M4" s="170">
        <f>M3+K4-L4</f>
        <v>22140.777600000001</v>
      </c>
      <c r="N4" s="158"/>
      <c r="O4" s="24"/>
    </row>
    <row r="5" spans="1:15">
      <c r="A5" s="56">
        <v>2</v>
      </c>
      <c r="B5" s="284">
        <v>45749</v>
      </c>
      <c r="C5" s="19"/>
      <c r="D5" s="19"/>
      <c r="E5" s="237">
        <v>0</v>
      </c>
      <c r="F5" s="237">
        <v>0</v>
      </c>
      <c r="G5" s="351">
        <f t="shared" ref="G5:G10" si="0">E5*F5</f>
        <v>0</v>
      </c>
      <c r="H5" s="351">
        <v>0</v>
      </c>
      <c r="I5" s="351">
        <v>0</v>
      </c>
      <c r="J5" s="351">
        <f t="shared" ref="J5:J10" si="1">H5*I5</f>
        <v>0</v>
      </c>
      <c r="K5" s="351">
        <f t="shared" ref="K5:K10" si="2">G5+J5</f>
        <v>0</v>
      </c>
      <c r="L5" s="19"/>
      <c r="M5" s="170">
        <f t="shared" ref="M5:M34" si="3">M4+K5-L5</f>
        <v>22140.777600000001</v>
      </c>
      <c r="N5" s="19"/>
    </row>
    <row r="6" spans="1:15">
      <c r="A6" s="56">
        <v>3</v>
      </c>
      <c r="B6" s="284">
        <v>45750</v>
      </c>
      <c r="C6" s="19"/>
      <c r="D6" s="19"/>
      <c r="E6" s="237">
        <v>0</v>
      </c>
      <c r="F6" s="237">
        <v>0</v>
      </c>
      <c r="G6" s="351">
        <f t="shared" si="0"/>
        <v>0</v>
      </c>
      <c r="H6" s="351">
        <v>0</v>
      </c>
      <c r="I6" s="351">
        <v>0</v>
      </c>
      <c r="J6" s="351">
        <f t="shared" si="1"/>
        <v>0</v>
      </c>
      <c r="K6" s="351">
        <f t="shared" si="2"/>
        <v>0</v>
      </c>
      <c r="L6" s="19"/>
      <c r="M6" s="170">
        <f t="shared" si="3"/>
        <v>22140.777600000001</v>
      </c>
      <c r="N6" s="19"/>
    </row>
    <row r="7" spans="1:15">
      <c r="A7" s="56">
        <v>4</v>
      </c>
      <c r="B7" s="284">
        <v>45751</v>
      </c>
      <c r="C7" s="19"/>
      <c r="D7" s="19"/>
      <c r="E7" s="237">
        <v>0</v>
      </c>
      <c r="F7" s="237">
        <v>0</v>
      </c>
      <c r="G7" s="351">
        <f t="shared" si="0"/>
        <v>0</v>
      </c>
      <c r="H7" s="351">
        <v>0</v>
      </c>
      <c r="I7" s="351">
        <v>0</v>
      </c>
      <c r="J7" s="351">
        <f t="shared" si="1"/>
        <v>0</v>
      </c>
      <c r="K7" s="351">
        <f t="shared" si="2"/>
        <v>0</v>
      </c>
      <c r="L7" s="19"/>
      <c r="M7" s="170">
        <f t="shared" si="3"/>
        <v>22140.777600000001</v>
      </c>
      <c r="N7" s="19"/>
    </row>
    <row r="8" spans="1:15">
      <c r="A8" s="56">
        <v>5</v>
      </c>
      <c r="B8" s="284">
        <v>45752</v>
      </c>
      <c r="C8" s="19"/>
      <c r="D8" s="19"/>
      <c r="E8" s="237">
        <v>0</v>
      </c>
      <c r="F8" s="237">
        <v>0</v>
      </c>
      <c r="G8" s="351">
        <f t="shared" si="0"/>
        <v>0</v>
      </c>
      <c r="H8" s="351">
        <v>0</v>
      </c>
      <c r="I8" s="351">
        <v>0</v>
      </c>
      <c r="J8" s="351">
        <f t="shared" si="1"/>
        <v>0</v>
      </c>
      <c r="K8" s="351">
        <f t="shared" si="2"/>
        <v>0</v>
      </c>
      <c r="L8" s="19"/>
      <c r="M8" s="170">
        <f t="shared" si="3"/>
        <v>22140.777600000001</v>
      </c>
      <c r="N8" s="19"/>
    </row>
    <row r="9" spans="1:15">
      <c r="A9" s="56">
        <v>6</v>
      </c>
      <c r="B9" s="284">
        <v>45753</v>
      </c>
      <c r="C9" s="19"/>
      <c r="D9" s="19"/>
      <c r="E9" s="237">
        <v>0</v>
      </c>
      <c r="F9" s="237">
        <v>0</v>
      </c>
      <c r="G9" s="351">
        <f t="shared" si="0"/>
        <v>0</v>
      </c>
      <c r="H9" s="351">
        <v>0</v>
      </c>
      <c r="I9" s="351">
        <v>0</v>
      </c>
      <c r="J9" s="351">
        <f t="shared" si="1"/>
        <v>0</v>
      </c>
      <c r="K9" s="351">
        <f t="shared" si="2"/>
        <v>0</v>
      </c>
      <c r="L9" s="19"/>
      <c r="M9" s="170">
        <f t="shared" si="3"/>
        <v>22140.777600000001</v>
      </c>
      <c r="N9" s="19"/>
    </row>
    <row r="10" spans="1:15">
      <c r="A10" s="56">
        <v>7</v>
      </c>
      <c r="B10" s="284">
        <v>45754</v>
      </c>
      <c r="C10" s="19"/>
      <c r="D10" s="19"/>
      <c r="E10" s="237">
        <v>334</v>
      </c>
      <c r="F10" s="237">
        <v>91.48</v>
      </c>
      <c r="G10" s="351">
        <f t="shared" si="0"/>
        <v>30554.32</v>
      </c>
      <c r="H10" s="237">
        <v>6</v>
      </c>
      <c r="I10" s="237">
        <v>103.41</v>
      </c>
      <c r="J10" s="351">
        <f t="shared" si="1"/>
        <v>620.46</v>
      </c>
      <c r="K10" s="351">
        <f>G10+J10</f>
        <v>31174.78</v>
      </c>
      <c r="L10" s="19"/>
      <c r="M10" s="170">
        <f t="shared" si="3"/>
        <v>53315.5576</v>
      </c>
      <c r="N10" s="19"/>
    </row>
    <row r="11" spans="1:15">
      <c r="A11" s="56">
        <v>8</v>
      </c>
      <c r="B11" s="284">
        <v>45755</v>
      </c>
      <c r="C11" s="19"/>
      <c r="D11" s="19"/>
      <c r="E11" s="237">
        <v>0</v>
      </c>
      <c r="F11" s="237">
        <v>0</v>
      </c>
      <c r="G11" s="351">
        <f>E11*F11</f>
        <v>0</v>
      </c>
      <c r="H11" s="237">
        <v>0</v>
      </c>
      <c r="I11" s="237">
        <v>0</v>
      </c>
      <c r="J11" s="351">
        <f>H11*I11</f>
        <v>0</v>
      </c>
      <c r="K11" s="351">
        <f>G11+J11</f>
        <v>0</v>
      </c>
      <c r="L11" s="19"/>
      <c r="M11" s="170">
        <f t="shared" si="3"/>
        <v>53315.5576</v>
      </c>
      <c r="N11" s="19"/>
    </row>
    <row r="12" spans="1:15">
      <c r="A12" s="56">
        <v>9</v>
      </c>
      <c r="B12" s="284">
        <v>45756</v>
      </c>
      <c r="C12" s="19"/>
      <c r="D12" s="19"/>
      <c r="E12" s="237">
        <v>0</v>
      </c>
      <c r="F12" s="237">
        <v>0</v>
      </c>
      <c r="G12" s="351">
        <f>E12*F12</f>
        <v>0</v>
      </c>
      <c r="H12" s="237">
        <v>0</v>
      </c>
      <c r="I12" s="237">
        <v>0</v>
      </c>
      <c r="J12" s="351">
        <f>H12*I12</f>
        <v>0</v>
      </c>
      <c r="K12" s="351">
        <f>G12+J12</f>
        <v>0</v>
      </c>
      <c r="L12" s="19"/>
      <c r="M12" s="170">
        <f t="shared" si="3"/>
        <v>53315.5576</v>
      </c>
      <c r="N12" s="19"/>
    </row>
    <row r="13" spans="1:15">
      <c r="A13" s="56">
        <v>10</v>
      </c>
      <c r="B13" s="284">
        <v>45757</v>
      </c>
      <c r="C13" s="19"/>
      <c r="D13" s="19"/>
      <c r="E13" s="237">
        <v>0</v>
      </c>
      <c r="F13" s="237">
        <v>0</v>
      </c>
      <c r="G13" s="351">
        <f>E13*F13</f>
        <v>0</v>
      </c>
      <c r="H13" s="237">
        <v>0</v>
      </c>
      <c r="I13" s="237">
        <v>0</v>
      </c>
      <c r="J13" s="351">
        <f>H13*I13</f>
        <v>0</v>
      </c>
      <c r="K13" s="351">
        <f>G13+J13</f>
        <v>0</v>
      </c>
      <c r="L13" s="19"/>
      <c r="M13" s="170">
        <f t="shared" si="3"/>
        <v>53315.5576</v>
      </c>
      <c r="N13" s="19"/>
    </row>
    <row r="14" spans="1:15">
      <c r="A14" s="56">
        <v>11</v>
      </c>
      <c r="B14" s="284">
        <v>45758</v>
      </c>
      <c r="C14" s="19"/>
      <c r="D14" s="19"/>
      <c r="E14" s="237">
        <v>0</v>
      </c>
      <c r="F14" s="237">
        <v>0</v>
      </c>
      <c r="G14" s="351">
        <f>E14*F14</f>
        <v>0</v>
      </c>
      <c r="H14" s="237">
        <v>0</v>
      </c>
      <c r="I14" s="237">
        <v>0</v>
      </c>
      <c r="J14" s="351">
        <f>H14*I14</f>
        <v>0</v>
      </c>
      <c r="K14" s="351">
        <f>G14+J14</f>
        <v>0</v>
      </c>
      <c r="L14" s="19"/>
      <c r="M14" s="170">
        <f t="shared" si="3"/>
        <v>53315.5576</v>
      </c>
      <c r="N14" s="19"/>
    </row>
    <row r="15" spans="1:15">
      <c r="A15" s="56">
        <v>12</v>
      </c>
      <c r="B15" s="284">
        <v>45759</v>
      </c>
      <c r="C15" s="19"/>
      <c r="D15" s="19"/>
      <c r="E15" s="237">
        <v>0</v>
      </c>
      <c r="F15" s="237">
        <v>0</v>
      </c>
      <c r="G15" s="351">
        <f>E15*F15</f>
        <v>0</v>
      </c>
      <c r="H15" s="237">
        <v>0</v>
      </c>
      <c r="I15" s="237">
        <v>0</v>
      </c>
      <c r="J15" s="351">
        <f>H15*I15</f>
        <v>0</v>
      </c>
      <c r="K15" s="351">
        <f>G15+J15</f>
        <v>0</v>
      </c>
      <c r="L15" s="19"/>
      <c r="M15" s="170">
        <f t="shared" si="3"/>
        <v>53315.5576</v>
      </c>
      <c r="N15" s="19"/>
    </row>
    <row r="16" spans="1:15">
      <c r="A16" s="56">
        <v>13</v>
      </c>
      <c r="B16" s="284">
        <v>45760</v>
      </c>
      <c r="C16" s="19"/>
      <c r="D16" s="19"/>
      <c r="E16" s="237">
        <v>348.02</v>
      </c>
      <c r="F16" s="237">
        <v>91.48</v>
      </c>
      <c r="G16" s="351">
        <f>E16*F16</f>
        <v>31836.869599999998</v>
      </c>
      <c r="H16" s="237">
        <v>6</v>
      </c>
      <c r="I16" s="237">
        <v>103.41</v>
      </c>
      <c r="J16" s="351">
        <f>H16*I16</f>
        <v>620.46</v>
      </c>
      <c r="K16" s="260">
        <f>G16+J16</f>
        <v>32457.329599999997</v>
      </c>
      <c r="L16" s="19"/>
      <c r="M16" s="170">
        <f t="shared" si="3"/>
        <v>85772.887199999997</v>
      </c>
      <c r="N16" s="19"/>
    </row>
    <row r="17" spans="1:14">
      <c r="A17" s="56">
        <v>14</v>
      </c>
      <c r="B17" s="284">
        <v>45761</v>
      </c>
      <c r="C17" s="19"/>
      <c r="D17" s="19"/>
      <c r="E17" s="237">
        <v>0</v>
      </c>
      <c r="F17" s="237">
        <v>0</v>
      </c>
      <c r="G17" s="351">
        <f>E17*F17</f>
        <v>0</v>
      </c>
      <c r="H17" s="237">
        <v>0</v>
      </c>
      <c r="I17" s="237">
        <v>0</v>
      </c>
      <c r="J17" s="351">
        <f>H17*I17</f>
        <v>0</v>
      </c>
      <c r="K17" s="260">
        <f>G17+J17</f>
        <v>0</v>
      </c>
      <c r="L17" s="19"/>
      <c r="M17" s="170">
        <f t="shared" si="3"/>
        <v>85772.887199999997</v>
      </c>
      <c r="N17" s="19"/>
    </row>
    <row r="18" spans="1:14">
      <c r="A18" s="56">
        <v>15</v>
      </c>
      <c r="B18" s="284">
        <v>45762</v>
      </c>
      <c r="C18" s="19"/>
      <c r="D18" s="19"/>
      <c r="E18" s="237">
        <v>528</v>
      </c>
      <c r="F18" s="237">
        <v>91.48</v>
      </c>
      <c r="G18" s="351">
        <f>E18*F18</f>
        <v>48301.440000000002</v>
      </c>
      <c r="H18" s="237"/>
      <c r="I18" s="237"/>
      <c r="J18" s="351">
        <f>H18*I18</f>
        <v>0</v>
      </c>
      <c r="K18" s="260">
        <f>G18+J18</f>
        <v>48301.440000000002</v>
      </c>
      <c r="L18" s="19"/>
      <c r="M18" s="170">
        <f t="shared" si="3"/>
        <v>134074.3272</v>
      </c>
      <c r="N18" s="19"/>
    </row>
    <row r="19" spans="1:14">
      <c r="A19" s="56">
        <v>16</v>
      </c>
      <c r="B19" s="284">
        <v>45763</v>
      </c>
      <c r="C19" s="19"/>
      <c r="D19" s="19"/>
      <c r="E19" s="237">
        <v>0</v>
      </c>
      <c r="F19" s="237">
        <v>0</v>
      </c>
      <c r="G19" s="351">
        <f>E19*F19</f>
        <v>0</v>
      </c>
      <c r="H19" s="237">
        <v>11</v>
      </c>
      <c r="I19" s="237">
        <v>103.41</v>
      </c>
      <c r="J19" s="351">
        <f>H19*I19</f>
        <v>1137.51</v>
      </c>
      <c r="K19" s="260">
        <f>G19+J19</f>
        <v>1137.51</v>
      </c>
      <c r="L19" s="19"/>
      <c r="M19" s="170">
        <f t="shared" si="3"/>
        <v>135211.83720000001</v>
      </c>
      <c r="N19" s="19"/>
    </row>
    <row r="20" spans="1:14">
      <c r="A20" s="56">
        <v>17</v>
      </c>
      <c r="B20" s="284">
        <v>45764</v>
      </c>
      <c r="C20" s="19"/>
      <c r="D20" s="19"/>
      <c r="E20" s="237">
        <v>0</v>
      </c>
      <c r="F20" s="237">
        <v>0</v>
      </c>
      <c r="G20" s="351">
        <v>0</v>
      </c>
      <c r="H20" s="237">
        <v>0</v>
      </c>
      <c r="I20" s="237">
        <v>0</v>
      </c>
      <c r="J20" s="351">
        <f>H20*I20</f>
        <v>0</v>
      </c>
      <c r="K20" s="260">
        <f>G20+J20</f>
        <v>0</v>
      </c>
      <c r="L20" s="19"/>
      <c r="M20" s="170">
        <f t="shared" si="3"/>
        <v>135211.83720000001</v>
      </c>
      <c r="N20" s="19"/>
    </row>
    <row r="21" spans="1:14">
      <c r="A21" s="56">
        <v>18</v>
      </c>
      <c r="B21" s="284">
        <v>45765</v>
      </c>
      <c r="C21" s="19"/>
      <c r="D21" s="19"/>
      <c r="E21" s="237">
        <v>0</v>
      </c>
      <c r="F21" s="237">
        <v>0</v>
      </c>
      <c r="G21" s="351">
        <f>E21*F21</f>
        <v>0</v>
      </c>
      <c r="H21" s="237">
        <v>0</v>
      </c>
      <c r="I21" s="237">
        <v>0</v>
      </c>
      <c r="J21" s="351">
        <f>H21*I21</f>
        <v>0</v>
      </c>
      <c r="K21" s="260">
        <f>G21+J21</f>
        <v>0</v>
      </c>
      <c r="L21" s="19"/>
      <c r="M21" s="170">
        <f t="shared" si="3"/>
        <v>135211.83720000001</v>
      </c>
      <c r="N21" s="19"/>
    </row>
    <row r="22" spans="1:14">
      <c r="A22" s="56">
        <v>19</v>
      </c>
      <c r="B22" s="284">
        <v>45766</v>
      </c>
      <c r="C22" s="19"/>
      <c r="D22" s="19"/>
      <c r="E22" s="237">
        <v>0</v>
      </c>
      <c r="F22" s="237">
        <v>0</v>
      </c>
      <c r="G22" s="351">
        <f>E22*F22</f>
        <v>0</v>
      </c>
      <c r="H22" s="237">
        <v>0</v>
      </c>
      <c r="I22" s="237">
        <v>0</v>
      </c>
      <c r="J22" s="351">
        <f>H22*I22</f>
        <v>0</v>
      </c>
      <c r="K22" s="260">
        <f>G22+J22</f>
        <v>0</v>
      </c>
      <c r="L22" s="19"/>
      <c r="M22" s="170">
        <f t="shared" si="3"/>
        <v>135211.83720000001</v>
      </c>
      <c r="N22" s="19"/>
    </row>
    <row r="23" spans="1:14">
      <c r="A23" s="56">
        <v>20</v>
      </c>
      <c r="B23" s="284">
        <v>45767</v>
      </c>
      <c r="C23" s="19"/>
      <c r="D23" s="19"/>
      <c r="E23" s="237">
        <v>327</v>
      </c>
      <c r="F23" s="237">
        <v>91.48</v>
      </c>
      <c r="G23" s="351">
        <f>E23*F23</f>
        <v>29913.960000000003</v>
      </c>
      <c r="H23" s="237">
        <v>11</v>
      </c>
      <c r="I23" s="237">
        <v>103.41</v>
      </c>
      <c r="J23" s="237">
        <f>H23*I23</f>
        <v>1137.51</v>
      </c>
      <c r="K23" s="237">
        <f>G23+J23</f>
        <v>31051.47</v>
      </c>
      <c r="L23" s="19"/>
      <c r="M23" s="170">
        <f t="shared" si="3"/>
        <v>166263.30720000001</v>
      </c>
      <c r="N23" s="19"/>
    </row>
    <row r="24" spans="1:14">
      <c r="A24" s="56">
        <v>21</v>
      </c>
      <c r="B24" s="284">
        <v>45768</v>
      </c>
      <c r="C24" s="19"/>
      <c r="D24" s="19"/>
      <c r="E24" s="237">
        <v>701.62</v>
      </c>
      <c r="F24" s="237">
        <v>91.48</v>
      </c>
      <c r="G24" s="260">
        <f>E24*F24</f>
        <v>64184.197600000007</v>
      </c>
      <c r="H24" s="237">
        <v>0</v>
      </c>
      <c r="I24" s="237">
        <v>0</v>
      </c>
      <c r="J24" s="237">
        <f t="shared" ref="J24:J34" si="4">H24*I24</f>
        <v>0</v>
      </c>
      <c r="K24" s="260">
        <f t="shared" ref="K24:K34" si="5">G24+J24</f>
        <v>64184.197600000007</v>
      </c>
      <c r="L24" s="19"/>
      <c r="M24" s="170">
        <f t="shared" si="3"/>
        <v>230447.50480000002</v>
      </c>
      <c r="N24" s="19"/>
    </row>
    <row r="25" spans="1:14">
      <c r="A25" s="56">
        <v>22</v>
      </c>
      <c r="B25" s="284">
        <v>45769</v>
      </c>
      <c r="C25" s="19"/>
      <c r="D25" s="19"/>
      <c r="E25" s="237">
        <v>340.04</v>
      </c>
      <c r="F25" s="237">
        <v>91.48</v>
      </c>
      <c r="G25" s="260">
        <f t="shared" ref="G25:G34" si="6">E25*F25</f>
        <v>31106.859200000003</v>
      </c>
      <c r="H25" s="237">
        <v>30</v>
      </c>
      <c r="I25" s="237">
        <v>103.41</v>
      </c>
      <c r="J25" s="237">
        <f t="shared" si="4"/>
        <v>3102.2999999999997</v>
      </c>
      <c r="K25" s="260">
        <f t="shared" si="5"/>
        <v>34209.159200000002</v>
      </c>
      <c r="L25" s="19"/>
      <c r="M25" s="170">
        <f t="shared" si="3"/>
        <v>264656.66400000005</v>
      </c>
      <c r="N25" s="19"/>
    </row>
    <row r="26" spans="1:14">
      <c r="A26" s="56">
        <v>23</v>
      </c>
      <c r="B26" s="284">
        <v>45770</v>
      </c>
      <c r="C26" s="19"/>
      <c r="D26" s="19"/>
      <c r="E26" s="237">
        <v>1011.19</v>
      </c>
      <c r="F26" s="237">
        <v>91.48</v>
      </c>
      <c r="G26" s="260">
        <f t="shared" si="6"/>
        <v>92503.661200000002</v>
      </c>
      <c r="H26" s="237">
        <v>26</v>
      </c>
      <c r="I26" s="237">
        <v>103.41</v>
      </c>
      <c r="J26" s="237">
        <f t="shared" si="4"/>
        <v>2688.66</v>
      </c>
      <c r="K26" s="260">
        <f t="shared" si="5"/>
        <v>95192.321200000006</v>
      </c>
      <c r="L26" s="19"/>
      <c r="M26" s="170">
        <f t="shared" si="3"/>
        <v>359848.98520000005</v>
      </c>
      <c r="N26" s="19"/>
    </row>
    <row r="27" spans="1:14">
      <c r="A27" s="56">
        <v>24</v>
      </c>
      <c r="B27" s="284">
        <v>45771</v>
      </c>
      <c r="C27" s="19"/>
      <c r="D27" s="19"/>
      <c r="E27" s="237">
        <v>68.61</v>
      </c>
      <c r="F27" s="237">
        <v>91.48</v>
      </c>
      <c r="G27" s="260">
        <f t="shared" si="6"/>
        <v>6276.4427999999998</v>
      </c>
      <c r="H27" s="237">
        <v>0</v>
      </c>
      <c r="I27" s="237">
        <v>0</v>
      </c>
      <c r="J27" s="237">
        <f t="shared" si="4"/>
        <v>0</v>
      </c>
      <c r="K27" s="260">
        <f t="shared" si="5"/>
        <v>6276.4427999999998</v>
      </c>
      <c r="L27" s="19"/>
      <c r="M27" s="170">
        <f t="shared" si="3"/>
        <v>366125.42800000007</v>
      </c>
      <c r="N27" s="19"/>
    </row>
    <row r="28" spans="1:14">
      <c r="A28" s="56">
        <v>25</v>
      </c>
      <c r="B28" s="284">
        <v>45772</v>
      </c>
      <c r="C28" s="110"/>
      <c r="D28" s="110"/>
      <c r="E28" s="352">
        <v>208.88</v>
      </c>
      <c r="F28" s="352">
        <v>91.48</v>
      </c>
      <c r="G28" s="260">
        <f t="shared" si="6"/>
        <v>19108.342400000001</v>
      </c>
      <c r="H28" s="352">
        <v>30</v>
      </c>
      <c r="I28" s="352">
        <v>103.41</v>
      </c>
      <c r="J28" s="237">
        <f t="shared" si="4"/>
        <v>3102.2999999999997</v>
      </c>
      <c r="K28" s="260">
        <f t="shared" si="5"/>
        <v>22210.642400000001</v>
      </c>
      <c r="L28" s="110"/>
      <c r="M28" s="170">
        <f t="shared" si="3"/>
        <v>388336.07040000008</v>
      </c>
      <c r="N28" s="110"/>
    </row>
    <row r="29" spans="1:14">
      <c r="A29" s="56">
        <v>26</v>
      </c>
      <c r="B29" s="284">
        <v>45773</v>
      </c>
      <c r="C29" s="19"/>
      <c r="D29" s="19"/>
      <c r="E29" s="237"/>
      <c r="F29" s="237"/>
      <c r="G29" s="260">
        <f t="shared" si="6"/>
        <v>0</v>
      </c>
      <c r="H29" s="237">
        <v>5</v>
      </c>
      <c r="I29" s="237">
        <v>103.41</v>
      </c>
      <c r="J29" s="237">
        <f t="shared" si="4"/>
        <v>517.04999999999995</v>
      </c>
      <c r="K29" s="260">
        <f t="shared" si="5"/>
        <v>517.04999999999995</v>
      </c>
      <c r="L29" s="19"/>
      <c r="M29" s="170">
        <f t="shared" si="3"/>
        <v>388853.12040000007</v>
      </c>
      <c r="N29" s="19"/>
    </row>
    <row r="30" spans="1:14">
      <c r="A30" s="56">
        <v>27</v>
      </c>
      <c r="B30" s="284">
        <v>45774</v>
      </c>
      <c r="C30" s="19"/>
      <c r="D30" s="19"/>
      <c r="E30" s="237"/>
      <c r="F30" s="237"/>
      <c r="G30" s="260">
        <f t="shared" si="6"/>
        <v>0</v>
      </c>
      <c r="H30" s="237"/>
      <c r="I30" s="237"/>
      <c r="J30" s="237">
        <f t="shared" si="4"/>
        <v>0</v>
      </c>
      <c r="K30" s="260">
        <f t="shared" si="5"/>
        <v>0</v>
      </c>
      <c r="L30" s="19"/>
      <c r="M30" s="170">
        <f t="shared" si="3"/>
        <v>388853.12040000007</v>
      </c>
      <c r="N30" s="19"/>
    </row>
    <row r="31" spans="1:14">
      <c r="A31" s="56">
        <v>28</v>
      </c>
      <c r="B31" s="284">
        <v>45775</v>
      </c>
      <c r="C31" s="19"/>
      <c r="D31" s="19"/>
      <c r="E31" s="237">
        <v>258</v>
      </c>
      <c r="F31" s="237">
        <v>91.48</v>
      </c>
      <c r="G31" s="260">
        <f t="shared" si="6"/>
        <v>23601.84</v>
      </c>
      <c r="H31" s="237">
        <v>10</v>
      </c>
      <c r="I31" s="237">
        <v>103.41</v>
      </c>
      <c r="J31" s="237">
        <f t="shared" si="4"/>
        <v>1034.0999999999999</v>
      </c>
      <c r="K31" s="260">
        <f t="shared" si="5"/>
        <v>24635.94</v>
      </c>
      <c r="L31" s="19"/>
      <c r="M31" s="170">
        <f t="shared" si="3"/>
        <v>413489.06040000007</v>
      </c>
      <c r="N31" s="19"/>
    </row>
    <row r="32" spans="1:14">
      <c r="A32" s="245">
        <v>29</v>
      </c>
      <c r="B32" s="284">
        <v>45776</v>
      </c>
      <c r="C32" s="19"/>
      <c r="D32" s="19"/>
      <c r="E32" s="237">
        <v>177.93</v>
      </c>
      <c r="F32" s="237">
        <v>91.48</v>
      </c>
      <c r="G32" s="260">
        <f t="shared" si="6"/>
        <v>16277.036400000001</v>
      </c>
      <c r="H32" s="237">
        <v>21</v>
      </c>
      <c r="I32" s="237">
        <v>103.41</v>
      </c>
      <c r="J32" s="237">
        <f t="shared" si="4"/>
        <v>2171.61</v>
      </c>
      <c r="K32" s="260">
        <f t="shared" si="5"/>
        <v>18448.646400000001</v>
      </c>
      <c r="L32" s="19"/>
      <c r="M32" s="170">
        <f t="shared" si="3"/>
        <v>431937.7068000001</v>
      </c>
      <c r="N32" s="19"/>
    </row>
    <row r="33" spans="1:14">
      <c r="A33" s="245">
        <v>30</v>
      </c>
      <c r="B33" s="284">
        <v>45777</v>
      </c>
      <c r="C33" s="19"/>
      <c r="D33" s="19"/>
      <c r="E33" s="237">
        <v>451.85</v>
      </c>
      <c r="F33" s="237">
        <v>91.48</v>
      </c>
      <c r="G33" s="260">
        <f t="shared" si="6"/>
        <v>41335.238000000005</v>
      </c>
      <c r="H33" s="237">
        <v>5</v>
      </c>
      <c r="I33" s="237">
        <v>103.41</v>
      </c>
      <c r="J33" s="237">
        <f t="shared" si="4"/>
        <v>517.04999999999995</v>
      </c>
      <c r="K33" s="260">
        <f t="shared" si="5"/>
        <v>41852.288000000008</v>
      </c>
      <c r="L33" s="19"/>
      <c r="M33" s="170">
        <f t="shared" si="3"/>
        <v>473789.9948000001</v>
      </c>
      <c r="N33" s="19"/>
    </row>
    <row r="34" spans="1:14">
      <c r="A34" s="245">
        <v>31</v>
      </c>
      <c r="B34" s="284">
        <v>0</v>
      </c>
      <c r="C34" s="19"/>
      <c r="D34" s="19"/>
      <c r="E34" s="237"/>
      <c r="F34" s="237"/>
      <c r="G34" s="260">
        <f t="shared" si="6"/>
        <v>0</v>
      </c>
      <c r="H34" s="237"/>
      <c r="I34" s="237"/>
      <c r="J34" s="237">
        <f t="shared" si="4"/>
        <v>0</v>
      </c>
      <c r="K34" s="260">
        <f t="shared" si="5"/>
        <v>0</v>
      </c>
      <c r="L34" s="19"/>
      <c r="M34" s="170">
        <f t="shared" si="3"/>
        <v>473789.9948000001</v>
      </c>
      <c r="N34" s="19"/>
    </row>
    <row r="35" spans="1:14">
      <c r="A35" s="216"/>
      <c r="B35" s="216"/>
      <c r="C35" s="216"/>
      <c r="D35" s="216"/>
      <c r="E35" s="216">
        <f>SUM(E4:E34)</f>
        <v>4805.1400000000012</v>
      </c>
      <c r="F35" s="216"/>
      <c r="G35" s="216">
        <f>SUM(G4:G34)</f>
        <v>439574.20720000012</v>
      </c>
      <c r="H35" s="216">
        <f>SUM(H4:H34)</f>
        <v>161</v>
      </c>
      <c r="I35" s="216"/>
      <c r="J35" s="216">
        <f>SUM(J4:J34)</f>
        <v>16649.009999999998</v>
      </c>
      <c r="K35" s="216">
        <f>SUM(K4:K34)</f>
        <v>456223.21720000007</v>
      </c>
      <c r="L35" s="216">
        <f>SUM(L4:L34)</f>
        <v>0</v>
      </c>
      <c r="M35" s="216"/>
      <c r="N35" s="216"/>
    </row>
  </sheetData>
  <mergeCells count="1">
    <mergeCell ref="A1:N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6D91-1F13-477B-A610-F4DB0E64F2F7}">
  <sheetPr>
    <tabColor rgb="FF002060"/>
  </sheetPr>
  <dimension ref="A1:P35"/>
  <sheetViews>
    <sheetView topLeftCell="A33" workbookViewId="0">
      <selection activeCell="B34" sqref="B34"/>
    </sheetView>
  </sheetViews>
  <sheetFormatPr defaultRowHeight="15"/>
  <cols>
    <col min="2" max="2" width="16" customWidth="1"/>
    <col min="5" max="5" width="21" customWidth="1"/>
    <col min="13" max="13" width="15" customWidth="1"/>
  </cols>
  <sheetData>
    <row r="1" spans="1:16" ht="15.75">
      <c r="A1" s="433" t="s">
        <v>137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24"/>
    </row>
    <row r="2" spans="1:16" ht="30.75">
      <c r="A2" s="142" t="s">
        <v>81</v>
      </c>
      <c r="B2" s="272" t="s">
        <v>82</v>
      </c>
      <c r="C2" s="272"/>
      <c r="D2" s="272" t="s">
        <v>83</v>
      </c>
      <c r="E2" s="272" t="s">
        <v>108</v>
      </c>
      <c r="F2" s="272" t="s">
        <v>85</v>
      </c>
      <c r="G2" s="272" t="s">
        <v>86</v>
      </c>
      <c r="H2" s="272" t="s">
        <v>87</v>
      </c>
      <c r="I2" s="272" t="s">
        <v>88</v>
      </c>
      <c r="J2" s="272" t="s">
        <v>86</v>
      </c>
      <c r="K2" s="272" t="s">
        <v>87</v>
      </c>
      <c r="L2" s="207" t="s">
        <v>89</v>
      </c>
      <c r="M2" s="207" t="s">
        <v>90</v>
      </c>
      <c r="N2" s="207" t="s">
        <v>97</v>
      </c>
      <c r="O2" s="272" t="s">
        <v>92</v>
      </c>
      <c r="P2" s="24"/>
    </row>
    <row r="3" spans="1:16">
      <c r="A3" s="434" t="s">
        <v>93</v>
      </c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 t="s">
        <v>135</v>
      </c>
      <c r="O3" s="434"/>
      <c r="P3" s="24"/>
    </row>
    <row r="4" spans="1:16">
      <c r="A4" s="245">
        <v>1</v>
      </c>
      <c r="B4" s="284">
        <v>45748</v>
      </c>
      <c r="C4" s="284"/>
      <c r="D4" s="46">
        <v>0</v>
      </c>
      <c r="E4" s="46"/>
      <c r="F4" s="46">
        <v>0</v>
      </c>
      <c r="G4" s="46">
        <v>0</v>
      </c>
      <c r="H4" s="46">
        <f>F4*G4</f>
        <v>0</v>
      </c>
      <c r="I4" s="46">
        <v>0</v>
      </c>
      <c r="J4" s="46">
        <v>0</v>
      </c>
      <c r="K4" s="46">
        <f>I4*J4</f>
        <v>0</v>
      </c>
      <c r="L4" s="46">
        <f>H4+K4</f>
        <v>0</v>
      </c>
      <c r="M4" s="46">
        <f>+L4</f>
        <v>0</v>
      </c>
      <c r="N4" s="46"/>
      <c r="O4" s="46"/>
      <c r="P4" s="24"/>
    </row>
    <row r="5" spans="1:16">
      <c r="A5" s="56">
        <v>2</v>
      </c>
      <c r="B5" s="284">
        <v>45749</v>
      </c>
      <c r="C5" s="251"/>
      <c r="D5" s="46">
        <v>0</v>
      </c>
      <c r="E5" s="46"/>
      <c r="F5" s="46">
        <v>0</v>
      </c>
      <c r="G5" s="46">
        <v>0</v>
      </c>
      <c r="H5" s="46">
        <f t="shared" ref="H5:H33" si="0">F5*G5</f>
        <v>0</v>
      </c>
      <c r="I5" s="46">
        <v>0</v>
      </c>
      <c r="J5" s="46">
        <v>0</v>
      </c>
      <c r="K5" s="46">
        <f t="shared" ref="K5:K33" si="1">I5*J5</f>
        <v>0</v>
      </c>
      <c r="L5" s="46">
        <f t="shared" ref="L5:L33" si="2">H5+K5</f>
        <v>0</v>
      </c>
      <c r="M5" s="46">
        <f t="shared" ref="M5:M33" si="3">+L5</f>
        <v>0</v>
      </c>
      <c r="N5" s="46"/>
      <c r="O5" s="46"/>
      <c r="P5" s="24"/>
    </row>
    <row r="6" spans="1:16">
      <c r="A6" s="56">
        <v>3</v>
      </c>
      <c r="B6" s="284">
        <v>45750</v>
      </c>
      <c r="C6" s="251"/>
      <c r="D6" s="46">
        <v>0</v>
      </c>
      <c r="E6" s="46"/>
      <c r="F6" s="46">
        <v>0</v>
      </c>
      <c r="G6" s="46">
        <v>0</v>
      </c>
      <c r="H6" s="46">
        <f t="shared" si="0"/>
        <v>0</v>
      </c>
      <c r="I6" s="46">
        <v>0</v>
      </c>
      <c r="J6" s="46">
        <v>0</v>
      </c>
      <c r="K6" s="46">
        <f t="shared" si="1"/>
        <v>0</v>
      </c>
      <c r="L6" s="46">
        <f t="shared" si="2"/>
        <v>0</v>
      </c>
      <c r="M6" s="46">
        <f t="shared" si="3"/>
        <v>0</v>
      </c>
      <c r="N6" s="46"/>
      <c r="O6" s="46"/>
      <c r="P6" s="24"/>
    </row>
    <row r="7" spans="1:16">
      <c r="A7" s="56">
        <v>4</v>
      </c>
      <c r="B7" s="284">
        <v>45751</v>
      </c>
      <c r="C7" s="251"/>
      <c r="D7" s="46">
        <v>0</v>
      </c>
      <c r="E7" s="46"/>
      <c r="F7" s="46">
        <v>0</v>
      </c>
      <c r="G7" s="46">
        <v>0</v>
      </c>
      <c r="H7" s="46">
        <f t="shared" si="0"/>
        <v>0</v>
      </c>
      <c r="I7" s="46">
        <v>0</v>
      </c>
      <c r="J7" s="46">
        <v>0</v>
      </c>
      <c r="K7" s="46">
        <f t="shared" si="1"/>
        <v>0</v>
      </c>
      <c r="L7" s="46">
        <f t="shared" si="2"/>
        <v>0</v>
      </c>
      <c r="M7" s="46">
        <f t="shared" si="3"/>
        <v>0</v>
      </c>
      <c r="N7" s="46"/>
      <c r="O7" s="46"/>
      <c r="P7" s="24"/>
    </row>
    <row r="8" spans="1:16">
      <c r="A8" s="56">
        <v>5</v>
      </c>
      <c r="B8" s="284">
        <v>45752</v>
      </c>
      <c r="C8" s="251"/>
      <c r="D8" s="46">
        <v>0</v>
      </c>
      <c r="E8" s="46"/>
      <c r="F8" s="46">
        <v>0</v>
      </c>
      <c r="G8" s="46">
        <v>0</v>
      </c>
      <c r="H8" s="46">
        <f t="shared" si="0"/>
        <v>0</v>
      </c>
      <c r="I8" s="46">
        <v>0</v>
      </c>
      <c r="J8" s="46">
        <v>0</v>
      </c>
      <c r="K8" s="46">
        <f t="shared" si="1"/>
        <v>0</v>
      </c>
      <c r="L8" s="46">
        <f t="shared" si="2"/>
        <v>0</v>
      </c>
      <c r="M8" s="46">
        <f t="shared" si="3"/>
        <v>0</v>
      </c>
      <c r="N8" s="46"/>
      <c r="O8" s="46"/>
      <c r="P8" s="24"/>
    </row>
    <row r="9" spans="1:16">
      <c r="A9" s="56">
        <v>6</v>
      </c>
      <c r="B9" s="284">
        <v>45753</v>
      </c>
      <c r="C9" s="251"/>
      <c r="D9" s="46">
        <v>0</v>
      </c>
      <c r="E9" s="46"/>
      <c r="F9" s="46">
        <v>0</v>
      </c>
      <c r="G9" s="46">
        <v>0</v>
      </c>
      <c r="H9" s="46">
        <f t="shared" si="0"/>
        <v>0</v>
      </c>
      <c r="I9" s="46">
        <v>0</v>
      </c>
      <c r="J9" s="46">
        <v>0</v>
      </c>
      <c r="K9" s="46">
        <f t="shared" si="1"/>
        <v>0</v>
      </c>
      <c r="L9" s="46">
        <f t="shared" si="2"/>
        <v>0</v>
      </c>
      <c r="M9" s="46">
        <f t="shared" si="3"/>
        <v>0</v>
      </c>
      <c r="N9" s="46"/>
      <c r="O9" s="46"/>
      <c r="P9" s="24"/>
    </row>
    <row r="10" spans="1:16">
      <c r="A10" s="56">
        <v>7</v>
      </c>
      <c r="B10" s="284">
        <v>45754</v>
      </c>
      <c r="C10" s="251"/>
      <c r="D10" s="46">
        <v>0</v>
      </c>
      <c r="E10" s="46"/>
      <c r="F10" s="46">
        <v>0</v>
      </c>
      <c r="G10" s="46">
        <v>0</v>
      </c>
      <c r="H10" s="46">
        <f t="shared" si="0"/>
        <v>0</v>
      </c>
      <c r="I10" s="46">
        <v>0</v>
      </c>
      <c r="J10" s="46">
        <v>0</v>
      </c>
      <c r="K10" s="46">
        <f t="shared" si="1"/>
        <v>0</v>
      </c>
      <c r="L10" s="46">
        <f t="shared" si="2"/>
        <v>0</v>
      </c>
      <c r="M10" s="46">
        <f t="shared" si="3"/>
        <v>0</v>
      </c>
      <c r="N10" s="46"/>
      <c r="O10" s="46"/>
      <c r="P10" s="24"/>
    </row>
    <row r="11" spans="1:16">
      <c r="A11" s="56">
        <v>8</v>
      </c>
      <c r="B11" s="284">
        <v>45755</v>
      </c>
      <c r="C11" s="251"/>
      <c r="D11" s="46">
        <v>0</v>
      </c>
      <c r="E11" s="46"/>
      <c r="F11" s="46">
        <v>0</v>
      </c>
      <c r="G11" s="46">
        <v>0</v>
      </c>
      <c r="H11" s="46">
        <f t="shared" si="0"/>
        <v>0</v>
      </c>
      <c r="I11" s="46">
        <v>0</v>
      </c>
      <c r="J11" s="46">
        <v>0</v>
      </c>
      <c r="K11" s="46">
        <f t="shared" si="1"/>
        <v>0</v>
      </c>
      <c r="L11" s="46">
        <f t="shared" si="2"/>
        <v>0</v>
      </c>
      <c r="M11" s="46">
        <f t="shared" si="3"/>
        <v>0</v>
      </c>
      <c r="N11" s="46"/>
      <c r="O11" s="46"/>
      <c r="P11" s="24"/>
    </row>
    <row r="12" spans="1:16">
      <c r="A12" s="56">
        <v>9</v>
      </c>
      <c r="B12" s="284">
        <v>45756</v>
      </c>
      <c r="C12" s="251"/>
      <c r="D12" s="46">
        <v>0</v>
      </c>
      <c r="E12" s="46"/>
      <c r="F12" s="46">
        <v>0</v>
      </c>
      <c r="G12" s="46">
        <v>0</v>
      </c>
      <c r="H12" s="46">
        <f t="shared" si="0"/>
        <v>0</v>
      </c>
      <c r="I12" s="46">
        <v>0</v>
      </c>
      <c r="J12" s="46">
        <v>0</v>
      </c>
      <c r="K12" s="46">
        <f t="shared" si="1"/>
        <v>0</v>
      </c>
      <c r="L12" s="46">
        <f t="shared" si="2"/>
        <v>0</v>
      </c>
      <c r="M12" s="46">
        <f t="shared" si="3"/>
        <v>0</v>
      </c>
      <c r="N12" s="46"/>
      <c r="O12" s="46"/>
      <c r="P12" s="24"/>
    </row>
    <row r="13" spans="1:16">
      <c r="A13" s="56">
        <v>10</v>
      </c>
      <c r="B13" s="284">
        <v>45757</v>
      </c>
      <c r="C13" s="251"/>
      <c r="D13" s="46">
        <v>0</v>
      </c>
      <c r="E13" s="46"/>
      <c r="F13" s="46">
        <v>0</v>
      </c>
      <c r="G13" s="46">
        <v>0</v>
      </c>
      <c r="H13" s="46">
        <f t="shared" si="0"/>
        <v>0</v>
      </c>
      <c r="I13" s="46">
        <v>0</v>
      </c>
      <c r="J13" s="46">
        <v>0</v>
      </c>
      <c r="K13" s="46">
        <f t="shared" si="1"/>
        <v>0</v>
      </c>
      <c r="L13" s="46">
        <f t="shared" si="2"/>
        <v>0</v>
      </c>
      <c r="M13" s="46">
        <f t="shared" si="3"/>
        <v>0</v>
      </c>
      <c r="N13" s="46"/>
      <c r="O13" s="46"/>
      <c r="P13" s="24"/>
    </row>
    <row r="14" spans="1:16">
      <c r="A14" s="56">
        <v>11</v>
      </c>
      <c r="B14" s="284">
        <v>45758</v>
      </c>
      <c r="C14" s="251"/>
      <c r="D14" s="46">
        <v>0</v>
      </c>
      <c r="E14" s="46"/>
      <c r="F14" s="46">
        <v>0</v>
      </c>
      <c r="G14" s="46">
        <v>0</v>
      </c>
      <c r="H14" s="46">
        <f t="shared" si="0"/>
        <v>0</v>
      </c>
      <c r="I14" s="46">
        <v>0</v>
      </c>
      <c r="J14" s="46">
        <v>0</v>
      </c>
      <c r="K14" s="46">
        <f t="shared" si="1"/>
        <v>0</v>
      </c>
      <c r="L14" s="46">
        <f t="shared" si="2"/>
        <v>0</v>
      </c>
      <c r="M14" s="46">
        <f t="shared" si="3"/>
        <v>0</v>
      </c>
      <c r="N14" s="46"/>
      <c r="O14" s="46"/>
      <c r="P14" s="24"/>
    </row>
    <row r="15" spans="1:16">
      <c r="A15" s="56">
        <v>12</v>
      </c>
      <c r="B15" s="284">
        <v>45759</v>
      </c>
      <c r="C15" s="251"/>
      <c r="D15" s="46">
        <v>0</v>
      </c>
      <c r="E15" s="46"/>
      <c r="F15" s="46">
        <v>0</v>
      </c>
      <c r="G15" s="46">
        <v>0</v>
      </c>
      <c r="H15" s="46">
        <f t="shared" si="0"/>
        <v>0</v>
      </c>
      <c r="I15" s="46">
        <v>0</v>
      </c>
      <c r="J15" s="46">
        <v>0</v>
      </c>
      <c r="K15" s="46">
        <f t="shared" si="1"/>
        <v>0</v>
      </c>
      <c r="L15" s="46">
        <f t="shared" si="2"/>
        <v>0</v>
      </c>
      <c r="M15" s="46">
        <f t="shared" si="3"/>
        <v>0</v>
      </c>
      <c r="N15" s="46"/>
      <c r="O15" s="46"/>
      <c r="P15" s="24"/>
    </row>
    <row r="16" spans="1:16">
      <c r="A16" s="56">
        <v>13</v>
      </c>
      <c r="B16" s="284">
        <v>45760</v>
      </c>
      <c r="C16" s="251"/>
      <c r="D16" s="46">
        <v>0</v>
      </c>
      <c r="E16" s="46"/>
      <c r="F16" s="46">
        <v>0</v>
      </c>
      <c r="G16" s="46">
        <v>0</v>
      </c>
      <c r="H16" s="46">
        <f t="shared" si="0"/>
        <v>0</v>
      </c>
      <c r="I16" s="46">
        <v>0</v>
      </c>
      <c r="J16" s="46">
        <v>0</v>
      </c>
      <c r="K16" s="46">
        <f t="shared" si="1"/>
        <v>0</v>
      </c>
      <c r="L16" s="46">
        <f t="shared" si="2"/>
        <v>0</v>
      </c>
      <c r="M16" s="46">
        <f t="shared" si="3"/>
        <v>0</v>
      </c>
      <c r="N16" s="46"/>
      <c r="O16" s="46"/>
      <c r="P16" s="24"/>
    </row>
    <row r="17" spans="1:16">
      <c r="A17" s="56">
        <v>14</v>
      </c>
      <c r="B17" s="284">
        <v>45761</v>
      </c>
      <c r="C17" s="251"/>
      <c r="D17" s="46">
        <v>0</v>
      </c>
      <c r="E17" s="46"/>
      <c r="F17" s="46">
        <v>0</v>
      </c>
      <c r="G17" s="46">
        <v>0</v>
      </c>
      <c r="H17" s="46">
        <f t="shared" si="0"/>
        <v>0</v>
      </c>
      <c r="I17" s="46">
        <v>0</v>
      </c>
      <c r="J17" s="46">
        <v>0</v>
      </c>
      <c r="K17" s="46">
        <f t="shared" si="1"/>
        <v>0</v>
      </c>
      <c r="L17" s="46">
        <f t="shared" si="2"/>
        <v>0</v>
      </c>
      <c r="M17" s="46">
        <f t="shared" si="3"/>
        <v>0</v>
      </c>
      <c r="N17" s="46"/>
      <c r="O17" s="46"/>
      <c r="P17" s="24"/>
    </row>
    <row r="18" spans="1:16">
      <c r="A18" s="56">
        <v>15</v>
      </c>
      <c r="B18" s="284">
        <v>45762</v>
      </c>
      <c r="C18" s="251"/>
      <c r="D18" s="46">
        <v>0</v>
      </c>
      <c r="E18" s="46"/>
      <c r="F18" s="46">
        <v>0</v>
      </c>
      <c r="G18" s="46">
        <v>0</v>
      </c>
      <c r="H18" s="46">
        <f t="shared" si="0"/>
        <v>0</v>
      </c>
      <c r="I18" s="46">
        <v>0</v>
      </c>
      <c r="J18" s="46">
        <v>0</v>
      </c>
      <c r="K18" s="46">
        <f t="shared" si="1"/>
        <v>0</v>
      </c>
      <c r="L18" s="46">
        <f t="shared" si="2"/>
        <v>0</v>
      </c>
      <c r="M18" s="46">
        <f t="shared" si="3"/>
        <v>0</v>
      </c>
      <c r="N18" s="46"/>
      <c r="O18" s="46"/>
      <c r="P18" s="24"/>
    </row>
    <row r="19" spans="1:16">
      <c r="A19" s="56">
        <v>16</v>
      </c>
      <c r="B19" s="284">
        <v>45763</v>
      </c>
      <c r="C19" s="251"/>
      <c r="D19" s="46">
        <v>0</v>
      </c>
      <c r="E19" s="46"/>
      <c r="F19" s="46">
        <v>0</v>
      </c>
      <c r="G19" s="46">
        <v>0</v>
      </c>
      <c r="H19" s="46">
        <f t="shared" si="0"/>
        <v>0</v>
      </c>
      <c r="I19" s="46">
        <v>0</v>
      </c>
      <c r="J19" s="46">
        <v>0</v>
      </c>
      <c r="K19" s="46">
        <f t="shared" si="1"/>
        <v>0</v>
      </c>
      <c r="L19" s="46">
        <f t="shared" si="2"/>
        <v>0</v>
      </c>
      <c r="M19" s="46">
        <f t="shared" si="3"/>
        <v>0</v>
      </c>
      <c r="N19" s="46"/>
      <c r="O19" s="46"/>
      <c r="P19" s="24"/>
    </row>
    <row r="20" spans="1:16">
      <c r="A20" s="56">
        <v>17</v>
      </c>
      <c r="B20" s="284">
        <v>45764</v>
      </c>
      <c r="C20" s="251"/>
      <c r="D20" s="46">
        <v>0</v>
      </c>
      <c r="E20" s="46"/>
      <c r="F20" s="46">
        <v>0</v>
      </c>
      <c r="G20" s="46">
        <v>0</v>
      </c>
      <c r="H20" s="46">
        <f t="shared" si="0"/>
        <v>0</v>
      </c>
      <c r="I20" s="46">
        <v>0</v>
      </c>
      <c r="J20" s="46">
        <v>0</v>
      </c>
      <c r="K20" s="46">
        <f t="shared" si="1"/>
        <v>0</v>
      </c>
      <c r="L20" s="46">
        <f t="shared" si="2"/>
        <v>0</v>
      </c>
      <c r="M20" s="46">
        <f t="shared" si="3"/>
        <v>0</v>
      </c>
      <c r="N20" s="46"/>
      <c r="O20" s="46"/>
      <c r="P20" s="24"/>
    </row>
    <row r="21" spans="1:16">
      <c r="A21" s="56">
        <v>18</v>
      </c>
      <c r="B21" s="284">
        <v>45765</v>
      </c>
      <c r="C21" s="251"/>
      <c r="D21" s="46">
        <v>0</v>
      </c>
      <c r="E21" s="46"/>
      <c r="F21" s="46">
        <v>0</v>
      </c>
      <c r="G21" s="46">
        <v>0</v>
      </c>
      <c r="H21" s="46">
        <f t="shared" si="0"/>
        <v>0</v>
      </c>
      <c r="I21" s="46">
        <v>0</v>
      </c>
      <c r="J21" s="46">
        <v>0</v>
      </c>
      <c r="K21" s="46">
        <f t="shared" si="1"/>
        <v>0</v>
      </c>
      <c r="L21" s="46">
        <f t="shared" si="2"/>
        <v>0</v>
      </c>
      <c r="M21" s="46">
        <f t="shared" si="3"/>
        <v>0</v>
      </c>
      <c r="N21" s="46"/>
      <c r="O21" s="46"/>
      <c r="P21" s="24"/>
    </row>
    <row r="22" spans="1:16">
      <c r="A22" s="56">
        <v>19</v>
      </c>
      <c r="B22" s="284">
        <v>45766</v>
      </c>
      <c r="C22" s="251"/>
      <c r="D22" s="46">
        <v>0</v>
      </c>
      <c r="E22" s="46"/>
      <c r="F22" s="46">
        <v>0</v>
      </c>
      <c r="G22" s="46">
        <v>0</v>
      </c>
      <c r="H22" s="46">
        <f t="shared" si="0"/>
        <v>0</v>
      </c>
      <c r="I22" s="46">
        <v>0</v>
      </c>
      <c r="J22" s="46">
        <v>0</v>
      </c>
      <c r="K22" s="46">
        <f t="shared" si="1"/>
        <v>0</v>
      </c>
      <c r="L22" s="46">
        <f t="shared" si="2"/>
        <v>0</v>
      </c>
      <c r="M22" s="46">
        <f t="shared" si="3"/>
        <v>0</v>
      </c>
      <c r="N22" s="46"/>
      <c r="O22" s="46"/>
      <c r="P22" s="24"/>
    </row>
    <row r="23" spans="1:16">
      <c r="A23" s="56">
        <v>20</v>
      </c>
      <c r="B23" s="284">
        <v>45767</v>
      </c>
      <c r="C23" s="251"/>
      <c r="D23" s="46">
        <v>0</v>
      </c>
      <c r="E23" s="46"/>
      <c r="F23" s="46">
        <v>0</v>
      </c>
      <c r="G23" s="46">
        <v>0</v>
      </c>
      <c r="H23" s="46">
        <f t="shared" si="0"/>
        <v>0</v>
      </c>
      <c r="I23" s="46">
        <v>0</v>
      </c>
      <c r="J23" s="46">
        <v>0</v>
      </c>
      <c r="K23" s="46">
        <f t="shared" si="1"/>
        <v>0</v>
      </c>
      <c r="L23" s="46">
        <f t="shared" si="2"/>
        <v>0</v>
      </c>
      <c r="M23" s="46">
        <f t="shared" si="3"/>
        <v>0</v>
      </c>
      <c r="N23" s="46"/>
      <c r="O23" s="46"/>
      <c r="P23" s="24"/>
    </row>
    <row r="24" spans="1:16">
      <c r="A24" s="56">
        <v>21</v>
      </c>
      <c r="B24" s="284">
        <v>45768</v>
      </c>
      <c r="C24" s="251"/>
      <c r="D24" s="46">
        <v>0</v>
      </c>
      <c r="E24" s="46"/>
      <c r="F24" s="46">
        <v>0</v>
      </c>
      <c r="G24" s="46">
        <v>0</v>
      </c>
      <c r="H24" s="46">
        <f t="shared" si="0"/>
        <v>0</v>
      </c>
      <c r="I24" s="46">
        <v>0</v>
      </c>
      <c r="J24" s="46">
        <v>0</v>
      </c>
      <c r="K24" s="46">
        <f t="shared" si="1"/>
        <v>0</v>
      </c>
      <c r="L24" s="46">
        <f t="shared" si="2"/>
        <v>0</v>
      </c>
      <c r="M24" s="46">
        <f t="shared" si="3"/>
        <v>0</v>
      </c>
      <c r="N24" s="46"/>
      <c r="O24" s="46"/>
      <c r="P24" s="24"/>
    </row>
    <row r="25" spans="1:16">
      <c r="A25" s="56">
        <v>22</v>
      </c>
      <c r="B25" s="284">
        <v>45769</v>
      </c>
      <c r="C25" s="251"/>
      <c r="D25" s="46">
        <v>0</v>
      </c>
      <c r="E25" s="46"/>
      <c r="F25" s="46">
        <v>0</v>
      </c>
      <c r="G25" s="46">
        <v>0</v>
      </c>
      <c r="H25" s="46">
        <f t="shared" si="0"/>
        <v>0</v>
      </c>
      <c r="I25" s="46">
        <v>0</v>
      </c>
      <c r="J25" s="46">
        <v>0</v>
      </c>
      <c r="K25" s="46">
        <f t="shared" si="1"/>
        <v>0</v>
      </c>
      <c r="L25" s="46">
        <f t="shared" si="2"/>
        <v>0</v>
      </c>
      <c r="M25" s="46">
        <f t="shared" si="3"/>
        <v>0</v>
      </c>
      <c r="N25" s="46"/>
      <c r="O25" s="46"/>
      <c r="P25" s="24"/>
    </row>
    <row r="26" spans="1:16">
      <c r="A26" s="56">
        <v>23</v>
      </c>
      <c r="B26" s="284">
        <v>45770</v>
      </c>
      <c r="C26" s="251"/>
      <c r="D26" s="46">
        <v>0</v>
      </c>
      <c r="E26" s="46"/>
      <c r="F26" s="46">
        <v>0</v>
      </c>
      <c r="G26" s="46">
        <v>0</v>
      </c>
      <c r="H26" s="46">
        <f t="shared" si="0"/>
        <v>0</v>
      </c>
      <c r="I26" s="46">
        <v>0</v>
      </c>
      <c r="J26" s="46">
        <v>0</v>
      </c>
      <c r="K26" s="46">
        <f t="shared" si="1"/>
        <v>0</v>
      </c>
      <c r="L26" s="46">
        <f t="shared" si="2"/>
        <v>0</v>
      </c>
      <c r="M26" s="46">
        <f t="shared" si="3"/>
        <v>0</v>
      </c>
      <c r="N26" s="46"/>
      <c r="O26" s="46"/>
      <c r="P26" s="24"/>
    </row>
    <row r="27" spans="1:16">
      <c r="A27" s="56">
        <v>24</v>
      </c>
      <c r="B27" s="284">
        <v>45771</v>
      </c>
      <c r="C27" s="282"/>
      <c r="D27" s="46">
        <v>0</v>
      </c>
      <c r="E27" s="46"/>
      <c r="F27" s="46">
        <v>0</v>
      </c>
      <c r="G27" s="46">
        <v>0</v>
      </c>
      <c r="H27" s="46">
        <f t="shared" si="0"/>
        <v>0</v>
      </c>
      <c r="I27" s="46">
        <v>0</v>
      </c>
      <c r="J27" s="46">
        <v>0</v>
      </c>
      <c r="K27" s="46">
        <f t="shared" si="1"/>
        <v>0</v>
      </c>
      <c r="L27" s="46">
        <f t="shared" si="2"/>
        <v>0</v>
      </c>
      <c r="M27" s="46">
        <f t="shared" si="3"/>
        <v>0</v>
      </c>
      <c r="N27" s="270"/>
      <c r="O27" s="270"/>
      <c r="P27" s="24"/>
    </row>
    <row r="28" spans="1:16">
      <c r="A28" s="286">
        <v>25</v>
      </c>
      <c r="B28" s="284">
        <v>45772</v>
      </c>
      <c r="C28" s="101"/>
      <c r="D28" s="46">
        <v>0</v>
      </c>
      <c r="E28" s="46"/>
      <c r="F28" s="46">
        <v>0</v>
      </c>
      <c r="G28" s="46">
        <v>0</v>
      </c>
      <c r="H28" s="46">
        <f t="shared" si="0"/>
        <v>0</v>
      </c>
      <c r="I28" s="46">
        <v>0</v>
      </c>
      <c r="J28" s="46">
        <v>0</v>
      </c>
      <c r="K28" s="46">
        <f t="shared" si="1"/>
        <v>0</v>
      </c>
      <c r="L28" s="46">
        <f t="shared" si="2"/>
        <v>0</v>
      </c>
      <c r="M28" s="46">
        <f t="shared" si="3"/>
        <v>0</v>
      </c>
      <c r="N28" s="46"/>
      <c r="O28" s="46"/>
      <c r="P28" s="24"/>
    </row>
    <row r="29" spans="1:16">
      <c r="A29" s="286">
        <v>26</v>
      </c>
      <c r="B29" s="284">
        <v>45773</v>
      </c>
      <c r="C29" s="101"/>
      <c r="D29" s="46">
        <v>0</v>
      </c>
      <c r="E29" s="46"/>
      <c r="F29" s="46">
        <v>0</v>
      </c>
      <c r="G29" s="46">
        <v>0</v>
      </c>
      <c r="H29" s="46">
        <f t="shared" si="0"/>
        <v>0</v>
      </c>
      <c r="I29" s="46">
        <v>0</v>
      </c>
      <c r="J29" s="46">
        <v>0</v>
      </c>
      <c r="K29" s="46">
        <f t="shared" si="1"/>
        <v>0</v>
      </c>
      <c r="L29" s="46">
        <f t="shared" si="2"/>
        <v>0</v>
      </c>
      <c r="M29" s="46">
        <f t="shared" si="3"/>
        <v>0</v>
      </c>
      <c r="N29" s="46"/>
      <c r="O29" s="46"/>
      <c r="P29" s="24"/>
    </row>
    <row r="30" spans="1:16">
      <c r="A30" s="286">
        <v>27</v>
      </c>
      <c r="B30" s="284">
        <v>45774</v>
      </c>
      <c r="C30" s="101"/>
      <c r="D30" s="46">
        <v>0</v>
      </c>
      <c r="E30" s="46"/>
      <c r="F30" s="46">
        <v>0</v>
      </c>
      <c r="G30" s="46">
        <v>0</v>
      </c>
      <c r="H30" s="46">
        <f t="shared" si="0"/>
        <v>0</v>
      </c>
      <c r="I30" s="46">
        <v>0</v>
      </c>
      <c r="J30" s="46">
        <v>0</v>
      </c>
      <c r="K30" s="46">
        <f t="shared" si="1"/>
        <v>0</v>
      </c>
      <c r="L30" s="46">
        <f t="shared" si="2"/>
        <v>0</v>
      </c>
      <c r="M30" s="46">
        <f t="shared" si="3"/>
        <v>0</v>
      </c>
      <c r="N30" s="46"/>
      <c r="O30" s="46"/>
      <c r="P30" s="24"/>
    </row>
    <row r="31" spans="1:16">
      <c r="A31" s="286">
        <v>28</v>
      </c>
      <c r="B31" s="284">
        <v>45775</v>
      </c>
      <c r="C31" s="101"/>
      <c r="D31" s="46">
        <v>0</v>
      </c>
      <c r="E31" s="46"/>
      <c r="F31" s="46">
        <v>0</v>
      </c>
      <c r="G31" s="46">
        <v>0</v>
      </c>
      <c r="H31" s="46">
        <f t="shared" si="0"/>
        <v>0</v>
      </c>
      <c r="I31" s="46">
        <v>0</v>
      </c>
      <c r="J31" s="46">
        <v>0</v>
      </c>
      <c r="K31" s="46">
        <f t="shared" si="1"/>
        <v>0</v>
      </c>
      <c r="L31" s="46">
        <f t="shared" si="2"/>
        <v>0</v>
      </c>
      <c r="M31" s="46">
        <f t="shared" si="3"/>
        <v>0</v>
      </c>
      <c r="N31" s="46"/>
      <c r="O31" s="46"/>
      <c r="P31" s="24"/>
    </row>
    <row r="32" spans="1:16">
      <c r="A32" s="287">
        <v>29</v>
      </c>
      <c r="B32" s="284">
        <v>45776</v>
      </c>
      <c r="C32" s="101"/>
      <c r="D32" s="46">
        <v>0</v>
      </c>
      <c r="E32" s="46"/>
      <c r="F32" s="46">
        <v>0</v>
      </c>
      <c r="G32" s="46">
        <v>0</v>
      </c>
      <c r="H32" s="46">
        <f t="shared" si="0"/>
        <v>0</v>
      </c>
      <c r="I32" s="46">
        <v>0</v>
      </c>
      <c r="J32" s="46">
        <v>0</v>
      </c>
      <c r="K32" s="46">
        <f t="shared" si="1"/>
        <v>0</v>
      </c>
      <c r="L32" s="46">
        <f t="shared" si="2"/>
        <v>0</v>
      </c>
      <c r="M32" s="46">
        <f t="shared" si="3"/>
        <v>0</v>
      </c>
      <c r="N32" s="46"/>
      <c r="O32" s="46"/>
      <c r="P32" s="24"/>
    </row>
    <row r="33" spans="1:16">
      <c r="A33" s="287">
        <v>30</v>
      </c>
      <c r="B33" s="284">
        <v>45777</v>
      </c>
      <c r="C33" s="101"/>
      <c r="D33" s="46">
        <v>0</v>
      </c>
      <c r="E33" s="46"/>
      <c r="F33" s="46">
        <v>0</v>
      </c>
      <c r="G33" s="46">
        <v>0</v>
      </c>
      <c r="H33" s="46">
        <f t="shared" si="0"/>
        <v>0</v>
      </c>
      <c r="I33" s="46">
        <v>0</v>
      </c>
      <c r="J33" s="46">
        <v>0</v>
      </c>
      <c r="K33" s="46">
        <f t="shared" si="1"/>
        <v>0</v>
      </c>
      <c r="L33" s="46">
        <f t="shared" si="2"/>
        <v>0</v>
      </c>
      <c r="M33" s="46">
        <f t="shared" si="3"/>
        <v>0</v>
      </c>
      <c r="N33" s="46"/>
      <c r="O33" s="46"/>
      <c r="P33" s="24"/>
    </row>
    <row r="34" spans="1:16">
      <c r="A34" s="287">
        <v>31</v>
      </c>
      <c r="B34" s="284"/>
      <c r="C34" s="101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24"/>
    </row>
    <row r="35" spans="1:16">
      <c r="A35" s="216"/>
      <c r="B35" s="216"/>
      <c r="C35" s="216"/>
      <c r="D35" s="216"/>
      <c r="E35" s="216"/>
      <c r="F35" s="216">
        <f>SUM(F4:F31)</f>
        <v>0</v>
      </c>
      <c r="G35" s="216"/>
      <c r="H35" s="216">
        <f>SUM(H4:H31)</f>
        <v>0</v>
      </c>
      <c r="I35" s="216">
        <f>SUM(I4:I31)</f>
        <v>0</v>
      </c>
      <c r="J35" s="216"/>
      <c r="K35" s="216">
        <f>SUM(K4:K31)</f>
        <v>0</v>
      </c>
      <c r="L35" s="216">
        <f>SUM(L4:L31)</f>
        <v>0</v>
      </c>
      <c r="M35" s="216">
        <f>SUM(M4:M31)</f>
        <v>0</v>
      </c>
      <c r="N35" s="216"/>
      <c r="O35" s="216"/>
      <c r="P35" s="24"/>
    </row>
  </sheetData>
  <mergeCells count="3">
    <mergeCell ref="A1:O1"/>
    <mergeCell ref="A3:M3"/>
    <mergeCell ref="N3:O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C963-B60D-4715-AD8E-589A10C36850}">
  <sheetPr>
    <tabColor rgb="FF002060"/>
  </sheetPr>
  <dimension ref="A1:N36"/>
  <sheetViews>
    <sheetView topLeftCell="A24" workbookViewId="0">
      <selection activeCell="F44" sqref="F44"/>
    </sheetView>
  </sheetViews>
  <sheetFormatPr defaultRowHeight="15"/>
  <cols>
    <col min="2" max="2" width="12.7109375" customWidth="1"/>
    <col min="4" max="4" width="13.7109375" customWidth="1"/>
    <col min="7" max="7" width="15" customWidth="1"/>
    <col min="9" max="9" width="15.28515625" customWidth="1"/>
    <col min="11" max="11" width="12" customWidth="1"/>
    <col min="12" max="12" width="12.5703125" customWidth="1"/>
    <col min="13" max="13" width="13.140625" customWidth="1"/>
  </cols>
  <sheetData>
    <row r="1" spans="1:14" ht="15.75">
      <c r="A1" s="433" t="s">
        <v>65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</row>
    <row r="2" spans="1:14" ht="30.75">
      <c r="A2" s="142" t="s">
        <v>81</v>
      </c>
      <c r="B2" s="272" t="s">
        <v>82</v>
      </c>
      <c r="C2" s="272" t="s">
        <v>83</v>
      </c>
      <c r="D2" s="272" t="s">
        <v>108</v>
      </c>
      <c r="E2" s="272" t="s">
        <v>85</v>
      </c>
      <c r="F2" s="272" t="s">
        <v>86</v>
      </c>
      <c r="G2" s="272" t="s">
        <v>87</v>
      </c>
      <c r="H2" s="272" t="s">
        <v>88</v>
      </c>
      <c r="I2" s="272" t="s">
        <v>86</v>
      </c>
      <c r="J2" s="272" t="s">
        <v>87</v>
      </c>
      <c r="K2" s="207" t="s">
        <v>89</v>
      </c>
      <c r="L2" s="207" t="s">
        <v>90</v>
      </c>
      <c r="M2" s="207" t="s">
        <v>97</v>
      </c>
      <c r="N2" s="272" t="s">
        <v>92</v>
      </c>
    </row>
    <row r="3" spans="1:14">
      <c r="A3" s="434" t="s">
        <v>93</v>
      </c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 t="s">
        <v>135</v>
      </c>
      <c r="N3" s="434"/>
    </row>
    <row r="4" spans="1:14">
      <c r="A4" s="245">
        <v>1</v>
      </c>
      <c r="B4" s="284">
        <v>45748</v>
      </c>
      <c r="C4" s="46">
        <v>0</v>
      </c>
      <c r="D4" s="46"/>
      <c r="E4" s="46">
        <v>0</v>
      </c>
      <c r="F4" s="46">
        <v>0</v>
      </c>
      <c r="G4" s="46">
        <f>E4*F4</f>
        <v>0</v>
      </c>
      <c r="H4" s="46">
        <v>0</v>
      </c>
      <c r="I4" s="46">
        <v>0</v>
      </c>
      <c r="J4" s="46">
        <f>H4*I4</f>
        <v>0</v>
      </c>
      <c r="K4" s="46">
        <f>G4+J4</f>
        <v>0</v>
      </c>
      <c r="L4" s="46">
        <f>+K4</f>
        <v>0</v>
      </c>
      <c r="M4" s="46"/>
      <c r="N4" s="46"/>
    </row>
    <row r="5" spans="1:14">
      <c r="A5" s="56">
        <v>2</v>
      </c>
      <c r="B5" s="284">
        <v>45749</v>
      </c>
      <c r="C5" s="46">
        <v>0</v>
      </c>
      <c r="D5" s="46"/>
      <c r="E5" s="46">
        <v>0</v>
      </c>
      <c r="F5" s="46">
        <v>0</v>
      </c>
      <c r="G5" s="46">
        <f t="shared" ref="G5:G29" si="0">E5*F5</f>
        <v>0</v>
      </c>
      <c r="H5" s="46">
        <v>0</v>
      </c>
      <c r="I5" s="46">
        <v>0</v>
      </c>
      <c r="J5" s="46">
        <f t="shared" ref="J5:J29" si="1">H5*I5</f>
        <v>0</v>
      </c>
      <c r="K5" s="46">
        <f t="shared" ref="K5:K29" si="2">G5+J5</f>
        <v>0</v>
      </c>
      <c r="L5" s="46">
        <f t="shared" ref="L5:L29" si="3">+K5</f>
        <v>0</v>
      </c>
      <c r="M5" s="46"/>
      <c r="N5" s="46"/>
    </row>
    <row r="6" spans="1:14">
      <c r="A6" s="56">
        <v>3</v>
      </c>
      <c r="B6" s="284">
        <v>45750</v>
      </c>
      <c r="C6" s="46">
        <v>0</v>
      </c>
      <c r="D6" s="46"/>
      <c r="E6" s="46">
        <v>0</v>
      </c>
      <c r="F6" s="46">
        <v>0</v>
      </c>
      <c r="G6" s="46">
        <f t="shared" si="0"/>
        <v>0</v>
      </c>
      <c r="H6" s="46">
        <v>0</v>
      </c>
      <c r="I6" s="46">
        <v>0</v>
      </c>
      <c r="J6" s="46">
        <f t="shared" si="1"/>
        <v>0</v>
      </c>
      <c r="K6" s="46">
        <f t="shared" si="2"/>
        <v>0</v>
      </c>
      <c r="L6" s="46">
        <f t="shared" si="3"/>
        <v>0</v>
      </c>
      <c r="M6" s="46"/>
      <c r="N6" s="46"/>
    </row>
    <row r="7" spans="1:14">
      <c r="A7" s="245">
        <v>4</v>
      </c>
      <c r="B7" s="284">
        <v>45751</v>
      </c>
      <c r="C7" s="46">
        <v>0</v>
      </c>
      <c r="D7" s="46"/>
      <c r="E7" s="46">
        <v>0</v>
      </c>
      <c r="F7" s="46">
        <v>0</v>
      </c>
      <c r="G7" s="46">
        <f t="shared" si="0"/>
        <v>0</v>
      </c>
      <c r="H7" s="46">
        <v>0</v>
      </c>
      <c r="I7" s="46">
        <v>0</v>
      </c>
      <c r="J7" s="46">
        <f t="shared" si="1"/>
        <v>0</v>
      </c>
      <c r="K7" s="46">
        <f t="shared" si="2"/>
        <v>0</v>
      </c>
      <c r="L7" s="46">
        <f t="shared" si="3"/>
        <v>0</v>
      </c>
      <c r="M7" s="46"/>
      <c r="N7" s="46"/>
    </row>
    <row r="8" spans="1:14">
      <c r="A8" s="56">
        <v>5</v>
      </c>
      <c r="B8" s="284">
        <v>45752</v>
      </c>
      <c r="C8" s="46">
        <v>0</v>
      </c>
      <c r="D8" s="46"/>
      <c r="E8" s="46">
        <v>0</v>
      </c>
      <c r="F8" s="46">
        <v>0</v>
      </c>
      <c r="G8" s="46">
        <f t="shared" si="0"/>
        <v>0</v>
      </c>
      <c r="H8" s="46">
        <v>0</v>
      </c>
      <c r="I8" s="46">
        <v>0</v>
      </c>
      <c r="J8" s="46">
        <f t="shared" si="1"/>
        <v>0</v>
      </c>
      <c r="K8" s="46">
        <f t="shared" si="2"/>
        <v>0</v>
      </c>
      <c r="L8" s="46">
        <f t="shared" si="3"/>
        <v>0</v>
      </c>
      <c r="M8" s="46"/>
      <c r="N8" s="46"/>
    </row>
    <row r="9" spans="1:14">
      <c r="A9" s="56">
        <v>6</v>
      </c>
      <c r="B9" s="284">
        <v>45753</v>
      </c>
      <c r="C9" s="46">
        <v>0</v>
      </c>
      <c r="D9" s="46"/>
      <c r="E9" s="46">
        <v>0</v>
      </c>
      <c r="F9" s="46">
        <v>0</v>
      </c>
      <c r="G9" s="46">
        <f t="shared" si="0"/>
        <v>0</v>
      </c>
      <c r="H9" s="46">
        <v>0</v>
      </c>
      <c r="I9" s="46">
        <v>0</v>
      </c>
      <c r="J9" s="46">
        <f t="shared" si="1"/>
        <v>0</v>
      </c>
      <c r="K9" s="46">
        <f t="shared" si="2"/>
        <v>0</v>
      </c>
      <c r="L9" s="46">
        <f t="shared" si="3"/>
        <v>0</v>
      </c>
      <c r="M9" s="46"/>
      <c r="N9" s="46"/>
    </row>
    <row r="10" spans="1:14">
      <c r="A10" s="245">
        <v>7</v>
      </c>
      <c r="B10" s="284">
        <v>45754</v>
      </c>
      <c r="C10" s="46">
        <v>0</v>
      </c>
      <c r="D10" s="46"/>
      <c r="E10" s="46">
        <v>0</v>
      </c>
      <c r="F10" s="46">
        <v>0</v>
      </c>
      <c r="G10" s="46">
        <f t="shared" si="0"/>
        <v>0</v>
      </c>
      <c r="H10" s="46">
        <v>0</v>
      </c>
      <c r="I10" s="46">
        <v>0</v>
      </c>
      <c r="J10" s="46">
        <f t="shared" si="1"/>
        <v>0</v>
      </c>
      <c r="K10" s="46">
        <f t="shared" si="2"/>
        <v>0</v>
      </c>
      <c r="L10" s="46">
        <f t="shared" si="3"/>
        <v>0</v>
      </c>
      <c r="M10" s="46"/>
      <c r="N10" s="46"/>
    </row>
    <row r="11" spans="1:14">
      <c r="A11" s="56">
        <v>8</v>
      </c>
      <c r="B11" s="284">
        <v>45755</v>
      </c>
      <c r="C11" s="46">
        <v>0</v>
      </c>
      <c r="D11" s="46"/>
      <c r="E11" s="46">
        <v>0</v>
      </c>
      <c r="F11" s="46">
        <v>0</v>
      </c>
      <c r="G11" s="46">
        <f t="shared" si="0"/>
        <v>0</v>
      </c>
      <c r="H11" s="46">
        <v>0</v>
      </c>
      <c r="I11" s="46">
        <v>0</v>
      </c>
      <c r="J11" s="46">
        <f t="shared" si="1"/>
        <v>0</v>
      </c>
      <c r="K11" s="46">
        <f t="shared" si="2"/>
        <v>0</v>
      </c>
      <c r="L11" s="46">
        <f t="shared" si="3"/>
        <v>0</v>
      </c>
      <c r="M11" s="46"/>
      <c r="N11" s="46"/>
    </row>
    <row r="12" spans="1:14">
      <c r="A12" s="56">
        <v>9</v>
      </c>
      <c r="B12" s="284">
        <v>45756</v>
      </c>
      <c r="C12" s="46">
        <v>0</v>
      </c>
      <c r="D12" s="46"/>
      <c r="E12" s="46">
        <v>0</v>
      </c>
      <c r="F12" s="46">
        <v>0</v>
      </c>
      <c r="G12" s="46">
        <f t="shared" si="0"/>
        <v>0</v>
      </c>
      <c r="H12" s="46">
        <v>0</v>
      </c>
      <c r="I12" s="46">
        <v>0</v>
      </c>
      <c r="J12" s="46">
        <f t="shared" si="1"/>
        <v>0</v>
      </c>
      <c r="K12" s="46">
        <f t="shared" si="2"/>
        <v>0</v>
      </c>
      <c r="L12" s="46">
        <f t="shared" si="3"/>
        <v>0</v>
      </c>
      <c r="M12" s="46"/>
      <c r="N12" s="46"/>
    </row>
    <row r="13" spans="1:14">
      <c r="A13" s="245">
        <v>10</v>
      </c>
      <c r="B13" s="284">
        <v>45757</v>
      </c>
      <c r="C13" s="46">
        <v>0</v>
      </c>
      <c r="D13" s="46"/>
      <c r="E13" s="46">
        <v>70</v>
      </c>
      <c r="F13" s="46">
        <v>91.56</v>
      </c>
      <c r="G13" s="46">
        <f t="shared" si="0"/>
        <v>6409.2</v>
      </c>
      <c r="H13" s="46">
        <v>0</v>
      </c>
      <c r="I13" s="46">
        <v>0</v>
      </c>
      <c r="J13" s="46">
        <f t="shared" si="1"/>
        <v>0</v>
      </c>
      <c r="K13" s="46">
        <f t="shared" si="2"/>
        <v>6409.2</v>
      </c>
      <c r="L13" s="46">
        <f t="shared" si="3"/>
        <v>6409.2</v>
      </c>
      <c r="M13" s="46"/>
      <c r="N13" s="46"/>
    </row>
    <row r="14" spans="1:14">
      <c r="A14" s="56">
        <v>11</v>
      </c>
      <c r="B14" s="284">
        <v>45758</v>
      </c>
      <c r="C14" s="46">
        <v>0</v>
      </c>
      <c r="D14" s="46"/>
      <c r="E14" s="46">
        <v>80</v>
      </c>
      <c r="F14" s="46">
        <v>91.78</v>
      </c>
      <c r="G14" s="46">
        <f t="shared" si="0"/>
        <v>7342.4</v>
      </c>
      <c r="H14" s="46">
        <v>5</v>
      </c>
      <c r="I14" s="46">
        <v>103.73</v>
      </c>
      <c r="J14" s="46">
        <f t="shared" si="1"/>
        <v>518.65</v>
      </c>
      <c r="K14" s="46">
        <f t="shared" si="2"/>
        <v>7861.0499999999993</v>
      </c>
      <c r="L14" s="46">
        <f t="shared" si="3"/>
        <v>7861.0499999999993</v>
      </c>
      <c r="M14" s="46"/>
      <c r="N14" s="46"/>
    </row>
    <row r="15" spans="1:14">
      <c r="A15" s="56">
        <v>12</v>
      </c>
      <c r="B15" s="284">
        <v>45759</v>
      </c>
      <c r="C15" s="46">
        <v>0</v>
      </c>
      <c r="D15" s="46"/>
      <c r="E15" s="46">
        <v>0</v>
      </c>
      <c r="F15" s="46">
        <v>0</v>
      </c>
      <c r="G15" s="46">
        <f t="shared" si="0"/>
        <v>0</v>
      </c>
      <c r="H15" s="46">
        <v>0</v>
      </c>
      <c r="I15" s="46">
        <v>0</v>
      </c>
      <c r="J15" s="46">
        <f t="shared" si="1"/>
        <v>0</v>
      </c>
      <c r="K15" s="46">
        <f t="shared" si="2"/>
        <v>0</v>
      </c>
      <c r="L15" s="46">
        <f t="shared" si="3"/>
        <v>0</v>
      </c>
      <c r="M15" s="46"/>
      <c r="N15" s="46"/>
    </row>
    <row r="16" spans="1:14">
      <c r="A16" s="245">
        <v>13</v>
      </c>
      <c r="B16" s="284">
        <v>45760</v>
      </c>
      <c r="C16" s="46">
        <v>0</v>
      </c>
      <c r="D16" s="46"/>
      <c r="E16" s="46">
        <v>0</v>
      </c>
      <c r="F16" s="46">
        <v>0</v>
      </c>
      <c r="G16" s="46">
        <f t="shared" si="0"/>
        <v>0</v>
      </c>
      <c r="H16" s="46">
        <v>0</v>
      </c>
      <c r="I16" s="46">
        <v>0</v>
      </c>
      <c r="J16" s="46">
        <f t="shared" si="1"/>
        <v>0</v>
      </c>
      <c r="K16" s="46">
        <f t="shared" si="2"/>
        <v>0</v>
      </c>
      <c r="L16" s="46">
        <f t="shared" si="3"/>
        <v>0</v>
      </c>
      <c r="M16" s="46"/>
      <c r="N16" s="46"/>
    </row>
    <row r="17" spans="1:14">
      <c r="A17" s="56">
        <v>14</v>
      </c>
      <c r="B17" s="284">
        <v>45761</v>
      </c>
      <c r="C17" s="46"/>
      <c r="D17" s="46"/>
      <c r="E17" s="46">
        <v>0</v>
      </c>
      <c r="F17" s="46">
        <v>0</v>
      </c>
      <c r="G17" s="46">
        <f t="shared" si="0"/>
        <v>0</v>
      </c>
      <c r="H17" s="46">
        <v>0</v>
      </c>
      <c r="I17" s="46">
        <v>0</v>
      </c>
      <c r="J17" s="46">
        <f t="shared" si="1"/>
        <v>0</v>
      </c>
      <c r="K17" s="46">
        <f t="shared" si="2"/>
        <v>0</v>
      </c>
      <c r="L17" s="46">
        <f t="shared" si="3"/>
        <v>0</v>
      </c>
      <c r="M17" s="46"/>
      <c r="N17" s="46"/>
    </row>
    <row r="18" spans="1:14">
      <c r="A18" s="56">
        <v>15</v>
      </c>
      <c r="B18" s="284">
        <v>45762</v>
      </c>
      <c r="C18" s="46"/>
      <c r="D18" s="46"/>
      <c r="E18" s="46">
        <v>0</v>
      </c>
      <c r="F18" s="46">
        <v>0</v>
      </c>
      <c r="G18" s="46">
        <f t="shared" si="0"/>
        <v>0</v>
      </c>
      <c r="H18" s="46">
        <v>0</v>
      </c>
      <c r="I18" s="46">
        <v>0</v>
      </c>
      <c r="J18" s="46">
        <f t="shared" si="1"/>
        <v>0</v>
      </c>
      <c r="K18" s="46">
        <f t="shared" si="2"/>
        <v>0</v>
      </c>
      <c r="L18" s="46">
        <f t="shared" si="3"/>
        <v>0</v>
      </c>
      <c r="M18" s="46"/>
      <c r="N18" s="46"/>
    </row>
    <row r="19" spans="1:14">
      <c r="A19" s="245">
        <v>16</v>
      </c>
      <c r="B19" s="284">
        <v>45763</v>
      </c>
      <c r="C19" s="46"/>
      <c r="D19" s="46"/>
      <c r="E19" s="46">
        <v>0</v>
      </c>
      <c r="F19" s="46">
        <v>0</v>
      </c>
      <c r="G19" s="46">
        <f t="shared" si="0"/>
        <v>0</v>
      </c>
      <c r="H19" s="46">
        <v>0</v>
      </c>
      <c r="I19" s="46">
        <v>0</v>
      </c>
      <c r="J19" s="46">
        <f t="shared" si="1"/>
        <v>0</v>
      </c>
      <c r="K19" s="46">
        <f t="shared" si="2"/>
        <v>0</v>
      </c>
      <c r="L19" s="46">
        <f t="shared" si="3"/>
        <v>0</v>
      </c>
      <c r="M19" s="46"/>
      <c r="N19" s="46"/>
    </row>
    <row r="20" spans="1:14">
      <c r="A20" s="56">
        <v>17</v>
      </c>
      <c r="B20" s="284">
        <v>45764</v>
      </c>
      <c r="C20" s="46"/>
      <c r="D20" s="46"/>
      <c r="E20" s="46">
        <v>0</v>
      </c>
      <c r="F20" s="46">
        <v>0</v>
      </c>
      <c r="G20" s="46">
        <f t="shared" si="0"/>
        <v>0</v>
      </c>
      <c r="H20" s="46">
        <v>0</v>
      </c>
      <c r="I20" s="46">
        <v>0</v>
      </c>
      <c r="J20" s="46">
        <f t="shared" si="1"/>
        <v>0</v>
      </c>
      <c r="K20" s="46">
        <f t="shared" si="2"/>
        <v>0</v>
      </c>
      <c r="L20" s="46">
        <f t="shared" si="3"/>
        <v>0</v>
      </c>
      <c r="M20" s="46"/>
      <c r="N20" s="46"/>
    </row>
    <row r="21" spans="1:14">
      <c r="A21" s="56">
        <v>18</v>
      </c>
      <c r="B21" s="284">
        <v>45765</v>
      </c>
      <c r="C21" s="46"/>
      <c r="D21" s="46"/>
      <c r="E21" s="46">
        <v>0</v>
      </c>
      <c r="F21" s="46">
        <v>0</v>
      </c>
      <c r="G21" s="46">
        <f t="shared" si="0"/>
        <v>0</v>
      </c>
      <c r="H21" s="46">
        <v>0</v>
      </c>
      <c r="I21" s="46">
        <v>0</v>
      </c>
      <c r="J21" s="46">
        <f t="shared" si="1"/>
        <v>0</v>
      </c>
      <c r="K21" s="46">
        <f t="shared" si="2"/>
        <v>0</v>
      </c>
      <c r="L21" s="46">
        <f t="shared" si="3"/>
        <v>0</v>
      </c>
      <c r="M21" s="46"/>
      <c r="N21" s="46"/>
    </row>
    <row r="22" spans="1:14">
      <c r="A22" s="245">
        <v>19</v>
      </c>
      <c r="B22" s="284">
        <v>45766</v>
      </c>
      <c r="C22" s="46"/>
      <c r="D22" s="46"/>
      <c r="E22" s="46">
        <v>5</v>
      </c>
      <c r="F22" s="46">
        <v>91.78</v>
      </c>
      <c r="G22" s="46">
        <f t="shared" si="0"/>
        <v>458.9</v>
      </c>
      <c r="H22" s="46">
        <v>0</v>
      </c>
      <c r="I22" s="46">
        <v>0</v>
      </c>
      <c r="J22" s="46">
        <f t="shared" si="1"/>
        <v>0</v>
      </c>
      <c r="K22" s="46">
        <f t="shared" si="2"/>
        <v>458.9</v>
      </c>
      <c r="L22" s="46">
        <f t="shared" si="3"/>
        <v>458.9</v>
      </c>
      <c r="M22" s="46"/>
      <c r="N22" s="46"/>
    </row>
    <row r="23" spans="1:14">
      <c r="A23" s="56">
        <v>20</v>
      </c>
      <c r="B23" s="284">
        <v>45767</v>
      </c>
      <c r="C23" s="46"/>
      <c r="D23" s="46"/>
      <c r="E23" s="46">
        <v>0</v>
      </c>
      <c r="F23" s="46">
        <v>0</v>
      </c>
      <c r="G23" s="46">
        <f t="shared" si="0"/>
        <v>0</v>
      </c>
      <c r="H23" s="46">
        <v>0</v>
      </c>
      <c r="I23" s="46">
        <v>0</v>
      </c>
      <c r="J23" s="46">
        <f t="shared" si="1"/>
        <v>0</v>
      </c>
      <c r="K23" s="46">
        <f t="shared" si="2"/>
        <v>0</v>
      </c>
      <c r="L23" s="46">
        <f t="shared" si="3"/>
        <v>0</v>
      </c>
      <c r="M23" s="46"/>
      <c r="N23" s="46"/>
    </row>
    <row r="24" spans="1:14">
      <c r="A24" s="56">
        <v>21</v>
      </c>
      <c r="B24" s="284">
        <v>45768</v>
      </c>
      <c r="C24" s="46"/>
      <c r="D24" s="46"/>
      <c r="E24" s="46">
        <v>0</v>
      </c>
      <c r="F24" s="46">
        <v>0</v>
      </c>
      <c r="G24" s="46">
        <f t="shared" si="0"/>
        <v>0</v>
      </c>
      <c r="H24" s="46">
        <v>0</v>
      </c>
      <c r="I24" s="46">
        <v>0</v>
      </c>
      <c r="J24" s="46">
        <f t="shared" si="1"/>
        <v>0</v>
      </c>
      <c r="K24" s="46">
        <f t="shared" si="2"/>
        <v>0</v>
      </c>
      <c r="L24" s="46">
        <f t="shared" si="3"/>
        <v>0</v>
      </c>
      <c r="M24" s="46"/>
      <c r="N24" s="46"/>
    </row>
    <row r="25" spans="1:14">
      <c r="A25" s="245">
        <v>22</v>
      </c>
      <c r="B25" s="284">
        <v>45769</v>
      </c>
      <c r="C25" s="46"/>
      <c r="D25" s="46"/>
      <c r="E25" s="46">
        <v>0</v>
      </c>
      <c r="F25" s="46">
        <v>0</v>
      </c>
      <c r="G25" s="46">
        <f t="shared" si="0"/>
        <v>0</v>
      </c>
      <c r="H25" s="46">
        <v>0</v>
      </c>
      <c r="I25" s="46">
        <v>0</v>
      </c>
      <c r="J25" s="46">
        <f t="shared" si="1"/>
        <v>0</v>
      </c>
      <c r="K25" s="46">
        <f t="shared" si="2"/>
        <v>0</v>
      </c>
      <c r="L25" s="46">
        <f t="shared" si="3"/>
        <v>0</v>
      </c>
      <c r="M25" s="46"/>
      <c r="N25" s="46"/>
    </row>
    <row r="26" spans="1:14">
      <c r="A26" s="56">
        <v>23</v>
      </c>
      <c r="B26" s="284">
        <v>45770</v>
      </c>
      <c r="C26" s="46"/>
      <c r="D26" s="46"/>
      <c r="E26" s="46">
        <v>0</v>
      </c>
      <c r="F26" s="46">
        <v>0</v>
      </c>
      <c r="G26" s="46">
        <f t="shared" si="0"/>
        <v>0</v>
      </c>
      <c r="H26" s="46">
        <v>0</v>
      </c>
      <c r="I26" s="46">
        <v>0</v>
      </c>
      <c r="J26" s="46">
        <f t="shared" si="1"/>
        <v>0</v>
      </c>
      <c r="K26" s="46">
        <f t="shared" si="2"/>
        <v>0</v>
      </c>
      <c r="L26" s="46">
        <f t="shared" si="3"/>
        <v>0</v>
      </c>
      <c r="M26" s="46"/>
      <c r="N26" s="46"/>
    </row>
    <row r="27" spans="1:14">
      <c r="A27" s="56">
        <v>24</v>
      </c>
      <c r="B27" s="284">
        <v>45771</v>
      </c>
      <c r="C27" s="46"/>
      <c r="D27" s="46"/>
      <c r="E27" s="46">
        <v>0</v>
      </c>
      <c r="F27" s="46">
        <v>0</v>
      </c>
      <c r="G27" s="46">
        <f t="shared" si="0"/>
        <v>0</v>
      </c>
      <c r="H27" s="46">
        <v>0</v>
      </c>
      <c r="I27" s="46">
        <v>0</v>
      </c>
      <c r="J27" s="46">
        <f t="shared" si="1"/>
        <v>0</v>
      </c>
      <c r="K27" s="46">
        <f t="shared" si="2"/>
        <v>0</v>
      </c>
      <c r="L27" s="46">
        <f t="shared" si="3"/>
        <v>0</v>
      </c>
      <c r="M27" s="46"/>
      <c r="N27" s="46"/>
    </row>
    <row r="28" spans="1:14">
      <c r="A28" s="245">
        <v>25</v>
      </c>
      <c r="B28" s="284">
        <v>45772</v>
      </c>
      <c r="C28" s="270"/>
      <c r="D28" s="46"/>
      <c r="E28" s="46">
        <v>0</v>
      </c>
      <c r="F28" s="46">
        <v>0</v>
      </c>
      <c r="G28" s="46">
        <f t="shared" si="0"/>
        <v>0</v>
      </c>
      <c r="H28" s="46">
        <v>0</v>
      </c>
      <c r="I28" s="46">
        <v>0</v>
      </c>
      <c r="J28" s="46">
        <f t="shared" si="1"/>
        <v>0</v>
      </c>
      <c r="K28" s="46">
        <f t="shared" si="2"/>
        <v>0</v>
      </c>
      <c r="L28" s="46">
        <f t="shared" si="3"/>
        <v>0</v>
      </c>
      <c r="M28" s="270"/>
      <c r="N28" s="270"/>
    </row>
    <row r="29" spans="1:14">
      <c r="A29" s="56">
        <v>26</v>
      </c>
      <c r="B29" s="284">
        <v>45773</v>
      </c>
      <c r="C29" s="46"/>
      <c r="D29" s="46"/>
      <c r="E29" s="46">
        <v>0</v>
      </c>
      <c r="F29" s="46">
        <v>0</v>
      </c>
      <c r="G29" s="46">
        <f t="shared" si="0"/>
        <v>0</v>
      </c>
      <c r="H29" s="46">
        <v>0</v>
      </c>
      <c r="I29" s="46">
        <v>0</v>
      </c>
      <c r="J29" s="46">
        <f t="shared" si="1"/>
        <v>0</v>
      </c>
      <c r="K29" s="46">
        <f t="shared" si="2"/>
        <v>0</v>
      </c>
      <c r="L29" s="46">
        <f t="shared" si="3"/>
        <v>0</v>
      </c>
      <c r="M29" s="46"/>
      <c r="N29" s="46"/>
    </row>
    <row r="30" spans="1:14">
      <c r="A30" s="56">
        <v>27</v>
      </c>
      <c r="B30" s="284">
        <v>45774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</row>
    <row r="31" spans="1:14">
      <c r="A31" s="245">
        <v>28</v>
      </c>
      <c r="B31" s="284">
        <v>45775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</row>
    <row r="32" spans="1:14">
      <c r="A32" s="56">
        <v>29</v>
      </c>
      <c r="B32" s="284">
        <v>45776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</row>
    <row r="33" spans="1:14">
      <c r="A33" s="56">
        <v>30</v>
      </c>
      <c r="B33" s="284">
        <v>45777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spans="1:14">
      <c r="A34" s="245">
        <v>31</v>
      </c>
      <c r="B34" s="284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</row>
    <row r="35" spans="1:14">
      <c r="A35" s="56">
        <v>32</v>
      </c>
      <c r="B35" s="284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</row>
    <row r="36" spans="1:14">
      <c r="A36" s="216"/>
      <c r="B36" s="216"/>
      <c r="C36" s="216"/>
      <c r="D36" s="216"/>
      <c r="E36" s="216">
        <f>SUM(E4:E35)</f>
        <v>155</v>
      </c>
      <c r="F36" s="216"/>
      <c r="G36" s="216">
        <f>SUM(G4:G35)</f>
        <v>14210.499999999998</v>
      </c>
      <c r="H36" s="216">
        <f>SUM(H4:H35)</f>
        <v>5</v>
      </c>
      <c r="I36" s="216"/>
      <c r="J36" s="216">
        <f>SUM(J4:J35)</f>
        <v>518.65</v>
      </c>
      <c r="K36" s="216">
        <f>SUM(K4:K35)</f>
        <v>14729.15</v>
      </c>
      <c r="L36" s="216">
        <f>SUM(L4:L35)</f>
        <v>14729.15</v>
      </c>
      <c r="M36" s="216"/>
      <c r="N36" s="216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N35"/>
  <sheetViews>
    <sheetView workbookViewId="0">
      <pane ySplit="2" topLeftCell="A3" activePane="bottomLeft" state="frozen"/>
      <selection pane="bottomLeft" activeCell="N38" sqref="N38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4" ht="15.75" customHeight="1">
      <c r="A1" s="435" t="s">
        <v>47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</row>
    <row r="2" spans="1:14">
      <c r="A2" s="78" t="s">
        <v>81</v>
      </c>
      <c r="B2" s="78" t="s">
        <v>82</v>
      </c>
      <c r="C2" s="78" t="s">
        <v>83</v>
      </c>
      <c r="D2" s="78" t="s">
        <v>84</v>
      </c>
      <c r="E2" s="107" t="s">
        <v>85</v>
      </c>
      <c r="F2" s="107" t="s">
        <v>86</v>
      </c>
      <c r="G2" s="107" t="s">
        <v>87</v>
      </c>
      <c r="H2" s="107" t="s">
        <v>88</v>
      </c>
      <c r="I2" s="107" t="s">
        <v>86</v>
      </c>
      <c r="J2" s="107" t="s">
        <v>87</v>
      </c>
      <c r="K2" s="107" t="s">
        <v>89</v>
      </c>
      <c r="L2" s="100" t="s">
        <v>90</v>
      </c>
      <c r="M2" s="100" t="s">
        <v>97</v>
      </c>
      <c r="N2" s="78" t="s">
        <v>92</v>
      </c>
    </row>
    <row r="3" spans="1:14">
      <c r="A3" s="436" t="s">
        <v>93</v>
      </c>
      <c r="B3" s="436"/>
      <c r="C3" s="436"/>
      <c r="D3" s="436"/>
      <c r="E3" s="436"/>
      <c r="F3" s="436"/>
      <c r="G3" s="436"/>
      <c r="H3" s="436"/>
      <c r="I3" s="436"/>
      <c r="J3" s="436"/>
      <c r="K3" s="210">
        <v>0</v>
      </c>
      <c r="L3" s="118"/>
      <c r="M3" s="118">
        <f>+K3</f>
        <v>0</v>
      </c>
    </row>
    <row r="4" spans="1:14">
      <c r="A4" s="28">
        <v>1</v>
      </c>
      <c r="B4" s="29">
        <v>45748</v>
      </c>
      <c r="C4" s="6"/>
      <c r="D4" s="6"/>
      <c r="E4" s="54">
        <v>0</v>
      </c>
      <c r="F4" s="54">
        <v>0</v>
      </c>
      <c r="G4" s="80">
        <f>E4*F4</f>
        <v>0</v>
      </c>
      <c r="H4" s="54">
        <v>0</v>
      </c>
      <c r="I4" s="54">
        <v>0</v>
      </c>
      <c r="J4" s="80">
        <f>H4*I4</f>
        <v>0</v>
      </c>
      <c r="K4" s="80">
        <f>G4+J4</f>
        <v>0</v>
      </c>
      <c r="L4" s="80">
        <f>+K4</f>
        <v>0</v>
      </c>
      <c r="M4" s="80">
        <f>M3+K4-L4</f>
        <v>0</v>
      </c>
      <c r="N4" s="6" t="s">
        <v>112</v>
      </c>
    </row>
    <row r="5" spans="1:14">
      <c r="A5" s="28">
        <v>2</v>
      </c>
      <c r="B5" s="29">
        <v>45749</v>
      </c>
      <c r="C5" s="6"/>
      <c r="D5" s="6"/>
      <c r="E5" s="54">
        <v>60</v>
      </c>
      <c r="F5" s="54">
        <v>91.92</v>
      </c>
      <c r="G5" s="80">
        <f t="shared" ref="G5:G34" si="0">E5*F5</f>
        <v>5515.2</v>
      </c>
      <c r="H5" s="54">
        <v>0</v>
      </c>
      <c r="I5" s="54">
        <v>0</v>
      </c>
      <c r="J5" s="80">
        <f t="shared" ref="J5:J34" si="1">H5*I5</f>
        <v>0</v>
      </c>
      <c r="K5" s="80">
        <f t="shared" ref="K5:K34" si="2">G5+J5</f>
        <v>5515.2</v>
      </c>
      <c r="L5" s="80">
        <f t="shared" ref="L5:L34" si="3">+K5</f>
        <v>5515.2</v>
      </c>
      <c r="M5" s="80">
        <f t="shared" ref="M5:M31" si="4">M4+K5-L5</f>
        <v>0</v>
      </c>
      <c r="N5" s="6"/>
    </row>
    <row r="6" spans="1:14">
      <c r="A6" s="28">
        <v>3</v>
      </c>
      <c r="B6" s="29">
        <v>45750</v>
      </c>
      <c r="C6" s="6"/>
      <c r="D6" s="6"/>
      <c r="E6" s="54">
        <v>0</v>
      </c>
      <c r="F6" s="54">
        <v>0</v>
      </c>
      <c r="G6" s="80">
        <f t="shared" si="0"/>
        <v>0</v>
      </c>
      <c r="H6" s="54">
        <v>0</v>
      </c>
      <c r="I6" s="54">
        <v>0</v>
      </c>
      <c r="J6" s="80">
        <f t="shared" si="1"/>
        <v>0</v>
      </c>
      <c r="K6" s="80">
        <f t="shared" si="2"/>
        <v>0</v>
      </c>
      <c r="L6" s="80">
        <f t="shared" si="3"/>
        <v>0</v>
      </c>
      <c r="M6" s="80">
        <f t="shared" si="4"/>
        <v>0</v>
      </c>
      <c r="N6" s="6"/>
    </row>
    <row r="7" spans="1:14">
      <c r="A7" s="28">
        <v>4</v>
      </c>
      <c r="B7" s="29">
        <v>45751</v>
      </c>
      <c r="C7" s="6"/>
      <c r="D7" s="6"/>
      <c r="E7" s="54">
        <v>0</v>
      </c>
      <c r="F7" s="54">
        <v>0</v>
      </c>
      <c r="G7" s="80">
        <f t="shared" si="0"/>
        <v>0</v>
      </c>
      <c r="H7" s="54">
        <v>0</v>
      </c>
      <c r="I7" s="54">
        <v>0</v>
      </c>
      <c r="J7" s="80">
        <f t="shared" si="1"/>
        <v>0</v>
      </c>
      <c r="K7" s="80">
        <f t="shared" si="2"/>
        <v>0</v>
      </c>
      <c r="L7" s="80">
        <f t="shared" si="3"/>
        <v>0</v>
      </c>
      <c r="M7" s="80">
        <f t="shared" si="4"/>
        <v>0</v>
      </c>
      <c r="N7" s="6"/>
    </row>
    <row r="8" spans="1:14">
      <c r="A8" s="28">
        <v>5</v>
      </c>
      <c r="B8" s="29">
        <v>45752</v>
      </c>
      <c r="C8" s="6"/>
      <c r="D8" s="6"/>
      <c r="E8" s="54">
        <v>44.2</v>
      </c>
      <c r="F8" s="54">
        <v>91.92</v>
      </c>
      <c r="G8" s="80">
        <f t="shared" si="0"/>
        <v>4062.8640000000005</v>
      </c>
      <c r="H8" s="54">
        <v>0</v>
      </c>
      <c r="I8" s="54">
        <v>0</v>
      </c>
      <c r="J8" s="80">
        <f t="shared" si="1"/>
        <v>0</v>
      </c>
      <c r="K8" s="80">
        <f t="shared" si="2"/>
        <v>4062.8640000000005</v>
      </c>
      <c r="L8" s="80">
        <f t="shared" si="3"/>
        <v>4062.8640000000005</v>
      </c>
      <c r="M8" s="80">
        <f t="shared" si="4"/>
        <v>0</v>
      </c>
      <c r="N8" s="6"/>
    </row>
    <row r="9" spans="1:14">
      <c r="A9" s="28">
        <v>6</v>
      </c>
      <c r="B9" s="29">
        <v>45753</v>
      </c>
      <c r="C9" s="6"/>
      <c r="D9" s="6"/>
      <c r="E9" s="54">
        <v>79.489999999999995</v>
      </c>
      <c r="F9" s="54">
        <v>91.92</v>
      </c>
      <c r="G9" s="80">
        <f t="shared" si="0"/>
        <v>7306.7208000000001</v>
      </c>
      <c r="H9" s="54">
        <v>0</v>
      </c>
      <c r="I9" s="54">
        <v>0</v>
      </c>
      <c r="J9" s="80">
        <f t="shared" si="1"/>
        <v>0</v>
      </c>
      <c r="K9" s="80">
        <f t="shared" si="2"/>
        <v>7306.7208000000001</v>
      </c>
      <c r="L9" s="80">
        <f t="shared" si="3"/>
        <v>7306.7208000000001</v>
      </c>
      <c r="M9" s="80">
        <f t="shared" si="4"/>
        <v>0</v>
      </c>
      <c r="N9" s="6"/>
    </row>
    <row r="10" spans="1:14">
      <c r="A10" s="28">
        <v>7</v>
      </c>
      <c r="B10" s="29">
        <v>45754</v>
      </c>
      <c r="C10" s="6"/>
      <c r="D10" s="6"/>
      <c r="E10" s="54">
        <v>0</v>
      </c>
      <c r="F10" s="54">
        <v>0</v>
      </c>
      <c r="G10" s="80">
        <f t="shared" si="0"/>
        <v>0</v>
      </c>
      <c r="H10" s="54">
        <v>5.59</v>
      </c>
      <c r="I10" s="54">
        <v>103.96</v>
      </c>
      <c r="J10" s="80">
        <f t="shared" si="1"/>
        <v>581.13639999999998</v>
      </c>
      <c r="K10" s="80">
        <f t="shared" si="2"/>
        <v>581.13639999999998</v>
      </c>
      <c r="L10" s="80">
        <f t="shared" si="3"/>
        <v>581.13639999999998</v>
      </c>
      <c r="M10" s="80">
        <f t="shared" si="4"/>
        <v>0</v>
      </c>
      <c r="N10" s="6"/>
    </row>
    <row r="11" spans="1:14">
      <c r="A11" s="28">
        <v>8</v>
      </c>
      <c r="B11" s="29">
        <v>45755</v>
      </c>
      <c r="C11" s="6"/>
      <c r="D11" s="6"/>
      <c r="E11" s="54">
        <v>40</v>
      </c>
      <c r="F11" s="54">
        <v>91.92</v>
      </c>
      <c r="G11" s="80">
        <f t="shared" si="0"/>
        <v>3676.8</v>
      </c>
      <c r="H11" s="54">
        <v>5.82</v>
      </c>
      <c r="I11" s="54">
        <v>103.96</v>
      </c>
      <c r="J11" s="80">
        <f t="shared" si="1"/>
        <v>605.04719999999998</v>
      </c>
      <c r="K11" s="80">
        <f t="shared" si="2"/>
        <v>4281.8472000000002</v>
      </c>
      <c r="L11" s="80">
        <f t="shared" si="3"/>
        <v>4281.8472000000002</v>
      </c>
      <c r="M11" s="80">
        <f t="shared" si="4"/>
        <v>0</v>
      </c>
      <c r="N11" s="6"/>
    </row>
    <row r="12" spans="1:14">
      <c r="A12" s="28">
        <v>9</v>
      </c>
      <c r="B12" s="29">
        <v>45756</v>
      </c>
      <c r="C12" s="6"/>
      <c r="D12" s="6"/>
      <c r="E12" s="54">
        <v>0</v>
      </c>
      <c r="F12" s="54">
        <v>0</v>
      </c>
      <c r="G12" s="80">
        <f t="shared" si="0"/>
        <v>0</v>
      </c>
      <c r="H12" s="54">
        <v>5.95</v>
      </c>
      <c r="I12" s="54">
        <v>103.96</v>
      </c>
      <c r="J12" s="80">
        <f t="shared" si="1"/>
        <v>618.56200000000001</v>
      </c>
      <c r="K12" s="80">
        <f t="shared" si="2"/>
        <v>618.56200000000001</v>
      </c>
      <c r="L12" s="80">
        <f t="shared" si="3"/>
        <v>618.56200000000001</v>
      </c>
      <c r="M12" s="80">
        <f t="shared" si="4"/>
        <v>0</v>
      </c>
      <c r="N12" s="6"/>
    </row>
    <row r="13" spans="1:14">
      <c r="A13" s="28">
        <v>10</v>
      </c>
      <c r="B13" s="29">
        <v>45757</v>
      </c>
      <c r="C13" s="6"/>
      <c r="D13" s="6"/>
      <c r="E13" s="54">
        <v>142.91</v>
      </c>
      <c r="F13" s="54">
        <v>91.92</v>
      </c>
      <c r="G13" s="80">
        <f t="shared" si="0"/>
        <v>13136.287200000001</v>
      </c>
      <c r="H13" s="54">
        <v>5</v>
      </c>
      <c r="I13" s="54">
        <v>103.96</v>
      </c>
      <c r="J13" s="80">
        <f t="shared" si="1"/>
        <v>519.79999999999995</v>
      </c>
      <c r="K13" s="80">
        <f t="shared" si="2"/>
        <v>13656.0872</v>
      </c>
      <c r="L13" s="80">
        <f t="shared" si="3"/>
        <v>13656.0872</v>
      </c>
      <c r="M13" s="80">
        <f t="shared" si="4"/>
        <v>0</v>
      </c>
      <c r="N13" s="6"/>
    </row>
    <row r="14" spans="1:14">
      <c r="A14" s="28">
        <v>11</v>
      </c>
      <c r="B14" s="29">
        <v>45758</v>
      </c>
      <c r="C14" s="6"/>
      <c r="D14" s="6"/>
      <c r="E14" s="54">
        <v>0</v>
      </c>
      <c r="F14" s="54">
        <v>0</v>
      </c>
      <c r="G14" s="80">
        <f t="shared" si="0"/>
        <v>0</v>
      </c>
      <c r="H14" s="54">
        <v>0</v>
      </c>
      <c r="I14" s="54">
        <v>0</v>
      </c>
      <c r="J14" s="80">
        <f t="shared" si="1"/>
        <v>0</v>
      </c>
      <c r="K14" s="80">
        <f t="shared" si="2"/>
        <v>0</v>
      </c>
      <c r="L14" s="80">
        <f t="shared" si="3"/>
        <v>0</v>
      </c>
      <c r="M14" s="80">
        <f t="shared" si="4"/>
        <v>0</v>
      </c>
      <c r="N14" s="6"/>
    </row>
    <row r="15" spans="1:14">
      <c r="A15" s="28">
        <v>12</v>
      </c>
      <c r="B15" s="29">
        <v>45759</v>
      </c>
      <c r="C15" s="6"/>
      <c r="D15" s="6"/>
      <c r="E15" s="54">
        <v>50</v>
      </c>
      <c r="F15" s="54">
        <v>91.91</v>
      </c>
      <c r="G15" s="80">
        <f t="shared" si="0"/>
        <v>4595.5</v>
      </c>
      <c r="H15" s="54">
        <v>5.81</v>
      </c>
      <c r="I15" s="54">
        <v>103.96</v>
      </c>
      <c r="J15" s="80">
        <f t="shared" si="1"/>
        <v>604.00759999999991</v>
      </c>
      <c r="K15" s="80">
        <f t="shared" si="2"/>
        <v>5199.5075999999999</v>
      </c>
      <c r="L15" s="80">
        <f t="shared" si="3"/>
        <v>5199.5075999999999</v>
      </c>
      <c r="M15" s="80">
        <f t="shared" si="4"/>
        <v>0</v>
      </c>
      <c r="N15" s="6"/>
    </row>
    <row r="16" spans="1:14">
      <c r="A16" s="28">
        <v>13</v>
      </c>
      <c r="B16" s="29">
        <v>45760</v>
      </c>
      <c r="C16" s="6"/>
      <c r="D16" s="6"/>
      <c r="E16" s="54">
        <v>20</v>
      </c>
      <c r="F16" s="54">
        <v>91.91</v>
      </c>
      <c r="G16" s="80">
        <f t="shared" si="0"/>
        <v>1838.1999999999998</v>
      </c>
      <c r="H16" s="54">
        <v>0</v>
      </c>
      <c r="I16" s="54">
        <v>0</v>
      </c>
      <c r="J16" s="80">
        <f t="shared" si="1"/>
        <v>0</v>
      </c>
      <c r="K16" s="80">
        <f t="shared" si="2"/>
        <v>1838.1999999999998</v>
      </c>
      <c r="L16" s="80">
        <f t="shared" si="3"/>
        <v>1838.1999999999998</v>
      </c>
      <c r="M16" s="80">
        <f t="shared" si="4"/>
        <v>0</v>
      </c>
      <c r="N16" s="6"/>
    </row>
    <row r="17" spans="1:14">
      <c r="A17" s="28">
        <v>14</v>
      </c>
      <c r="B17" s="29">
        <v>45761</v>
      </c>
      <c r="C17" s="209"/>
      <c r="D17" s="6"/>
      <c r="E17" s="54">
        <v>0</v>
      </c>
      <c r="F17" s="54">
        <v>0</v>
      </c>
      <c r="G17" s="80">
        <f t="shared" si="0"/>
        <v>0</v>
      </c>
      <c r="H17" s="54">
        <v>6.73</v>
      </c>
      <c r="I17" s="54">
        <v>103.96</v>
      </c>
      <c r="J17" s="80">
        <f t="shared" si="1"/>
        <v>699.6508</v>
      </c>
      <c r="K17" s="80">
        <f t="shared" si="2"/>
        <v>699.6508</v>
      </c>
      <c r="L17" s="80">
        <f t="shared" si="3"/>
        <v>699.6508</v>
      </c>
      <c r="M17" s="80">
        <f t="shared" si="4"/>
        <v>0</v>
      </c>
      <c r="N17" s="6"/>
    </row>
    <row r="18" spans="1:14">
      <c r="A18" s="28">
        <v>15</v>
      </c>
      <c r="B18" s="29">
        <v>45762</v>
      </c>
      <c r="C18" s="209"/>
      <c r="D18" s="6"/>
      <c r="E18" s="54">
        <v>72.59</v>
      </c>
      <c r="F18" s="54">
        <v>91.92</v>
      </c>
      <c r="G18" s="80">
        <f t="shared" si="0"/>
        <v>6672.4728000000005</v>
      </c>
      <c r="H18" s="54">
        <v>5.1100000000000003</v>
      </c>
      <c r="I18" s="54">
        <v>103.96</v>
      </c>
      <c r="J18" s="80">
        <f t="shared" si="1"/>
        <v>531.23559999999998</v>
      </c>
      <c r="K18" s="80">
        <f t="shared" si="2"/>
        <v>7203.7084000000004</v>
      </c>
      <c r="L18" s="80">
        <f t="shared" si="3"/>
        <v>7203.7084000000004</v>
      </c>
      <c r="M18" s="80">
        <f t="shared" si="4"/>
        <v>0</v>
      </c>
      <c r="N18" s="6"/>
    </row>
    <row r="19" spans="1:14">
      <c r="A19" s="28">
        <v>16</v>
      </c>
      <c r="B19" s="29">
        <v>45763</v>
      </c>
      <c r="C19" s="209"/>
      <c r="D19" s="6"/>
      <c r="E19" s="54">
        <v>0</v>
      </c>
      <c r="F19" s="54">
        <v>0</v>
      </c>
      <c r="G19" s="80">
        <f t="shared" si="0"/>
        <v>0</v>
      </c>
      <c r="H19" s="54">
        <v>0</v>
      </c>
      <c r="I19" s="54">
        <v>0</v>
      </c>
      <c r="J19" s="80">
        <f t="shared" si="1"/>
        <v>0</v>
      </c>
      <c r="K19" s="80">
        <f t="shared" si="2"/>
        <v>0</v>
      </c>
      <c r="L19" s="80">
        <f t="shared" si="3"/>
        <v>0</v>
      </c>
      <c r="M19" s="80">
        <f t="shared" si="4"/>
        <v>0</v>
      </c>
      <c r="N19" s="6"/>
    </row>
    <row r="20" spans="1:14">
      <c r="A20" s="28">
        <v>17</v>
      </c>
      <c r="B20" s="29">
        <v>45764</v>
      </c>
      <c r="C20" s="209"/>
      <c r="D20" s="6"/>
      <c r="E20" s="54">
        <v>90</v>
      </c>
      <c r="F20" s="54">
        <v>91.92</v>
      </c>
      <c r="G20" s="80">
        <f t="shared" si="0"/>
        <v>8272.7999999999993</v>
      </c>
      <c r="H20" s="54">
        <v>0</v>
      </c>
      <c r="I20" s="54">
        <v>0</v>
      </c>
      <c r="J20" s="80">
        <f t="shared" si="1"/>
        <v>0</v>
      </c>
      <c r="K20" s="80">
        <f t="shared" si="2"/>
        <v>8272.7999999999993</v>
      </c>
      <c r="L20" s="80">
        <f t="shared" si="3"/>
        <v>8272.7999999999993</v>
      </c>
      <c r="M20" s="80">
        <f t="shared" si="4"/>
        <v>0</v>
      </c>
      <c r="N20" s="6"/>
    </row>
    <row r="21" spans="1:14">
      <c r="A21" s="28">
        <v>18</v>
      </c>
      <c r="B21" s="29">
        <v>45765</v>
      </c>
      <c r="C21" s="209"/>
      <c r="D21" s="6"/>
      <c r="E21" s="54">
        <v>0</v>
      </c>
      <c r="F21" s="54">
        <v>0</v>
      </c>
      <c r="G21" s="80">
        <f t="shared" si="0"/>
        <v>0</v>
      </c>
      <c r="H21" s="54">
        <v>0</v>
      </c>
      <c r="I21" s="54">
        <v>0</v>
      </c>
      <c r="J21" s="80">
        <f t="shared" si="1"/>
        <v>0</v>
      </c>
      <c r="K21" s="80">
        <f t="shared" si="2"/>
        <v>0</v>
      </c>
      <c r="L21" s="80">
        <f t="shared" si="3"/>
        <v>0</v>
      </c>
      <c r="M21" s="80">
        <f t="shared" si="4"/>
        <v>0</v>
      </c>
      <c r="N21" s="6"/>
    </row>
    <row r="22" spans="1:14">
      <c r="A22" s="28">
        <v>19</v>
      </c>
      <c r="B22" s="29">
        <v>45766</v>
      </c>
      <c r="C22" s="209"/>
      <c r="D22" s="6"/>
      <c r="E22" s="54">
        <v>100</v>
      </c>
      <c r="F22" s="54">
        <v>91.92</v>
      </c>
      <c r="G22" s="80">
        <f t="shared" si="0"/>
        <v>9192</v>
      </c>
      <c r="H22" s="54">
        <v>4.8099999999999996</v>
      </c>
      <c r="I22" s="54">
        <v>103.96</v>
      </c>
      <c r="J22" s="80">
        <f t="shared" si="1"/>
        <v>500.04759999999993</v>
      </c>
      <c r="K22" s="80">
        <f t="shared" si="2"/>
        <v>9692.0475999999999</v>
      </c>
      <c r="L22" s="80">
        <f t="shared" si="3"/>
        <v>9692.0475999999999</v>
      </c>
      <c r="M22" s="80">
        <f t="shared" si="4"/>
        <v>0</v>
      </c>
      <c r="N22" s="6"/>
    </row>
    <row r="23" spans="1:14">
      <c r="A23" s="28">
        <v>20</v>
      </c>
      <c r="B23" s="29">
        <v>45767</v>
      </c>
      <c r="C23" s="209"/>
      <c r="D23" s="6"/>
      <c r="E23" s="54">
        <v>40</v>
      </c>
      <c r="F23" s="54">
        <v>91.92</v>
      </c>
      <c r="G23" s="80">
        <f t="shared" si="0"/>
        <v>3676.8</v>
      </c>
      <c r="H23" s="54">
        <v>7.65</v>
      </c>
      <c r="I23" s="54">
        <v>103.96</v>
      </c>
      <c r="J23" s="80">
        <f t="shared" si="1"/>
        <v>795.29399999999998</v>
      </c>
      <c r="K23" s="80">
        <f t="shared" si="2"/>
        <v>4472.0940000000001</v>
      </c>
      <c r="L23" s="80">
        <f t="shared" si="3"/>
        <v>4472.0940000000001</v>
      </c>
      <c r="M23" s="80">
        <f t="shared" si="4"/>
        <v>0</v>
      </c>
      <c r="N23" s="6"/>
    </row>
    <row r="24" spans="1:14">
      <c r="A24" s="28">
        <v>21</v>
      </c>
      <c r="B24" s="29">
        <v>45768</v>
      </c>
      <c r="C24" s="209"/>
      <c r="D24" s="6"/>
      <c r="E24" s="54">
        <v>37.24</v>
      </c>
      <c r="F24" s="54">
        <v>91.92</v>
      </c>
      <c r="G24" s="80">
        <f t="shared" si="0"/>
        <v>3423.1008000000002</v>
      </c>
      <c r="H24" s="54">
        <v>0</v>
      </c>
      <c r="I24" s="54">
        <v>0</v>
      </c>
      <c r="J24" s="80">
        <f t="shared" si="1"/>
        <v>0</v>
      </c>
      <c r="K24" s="80">
        <f t="shared" si="2"/>
        <v>3423.1008000000002</v>
      </c>
      <c r="L24" s="80">
        <f t="shared" si="3"/>
        <v>3423.1008000000002</v>
      </c>
      <c r="M24" s="80">
        <f t="shared" si="4"/>
        <v>0</v>
      </c>
      <c r="N24" s="6"/>
    </row>
    <row r="25" spans="1:14">
      <c r="A25" s="28">
        <v>22</v>
      </c>
      <c r="B25" s="29">
        <v>45769</v>
      </c>
      <c r="C25" s="209"/>
      <c r="D25" s="6"/>
      <c r="E25" s="54">
        <v>0</v>
      </c>
      <c r="F25" s="54">
        <v>0</v>
      </c>
      <c r="G25" s="80">
        <f t="shared" si="0"/>
        <v>0</v>
      </c>
      <c r="H25" s="54">
        <v>5.97</v>
      </c>
      <c r="I25" s="54">
        <v>103.96</v>
      </c>
      <c r="J25" s="80">
        <f t="shared" si="1"/>
        <v>620.64119999999991</v>
      </c>
      <c r="K25" s="80">
        <f t="shared" si="2"/>
        <v>620.64119999999991</v>
      </c>
      <c r="L25" s="80">
        <f t="shared" si="3"/>
        <v>620.64119999999991</v>
      </c>
      <c r="M25" s="80">
        <f t="shared" si="4"/>
        <v>0</v>
      </c>
      <c r="N25" s="6"/>
    </row>
    <row r="26" spans="1:14">
      <c r="A26" s="28">
        <v>23</v>
      </c>
      <c r="B26" s="29">
        <v>45770</v>
      </c>
      <c r="C26" s="209"/>
      <c r="D26" s="6"/>
      <c r="E26" s="54">
        <v>80</v>
      </c>
      <c r="F26" s="54">
        <v>91.92</v>
      </c>
      <c r="G26" s="80">
        <f t="shared" si="0"/>
        <v>7353.6</v>
      </c>
      <c r="H26" s="54">
        <v>4.8099999999999996</v>
      </c>
      <c r="I26" s="54">
        <v>103.96</v>
      </c>
      <c r="J26" s="80">
        <f t="shared" si="1"/>
        <v>500.04759999999993</v>
      </c>
      <c r="K26" s="80">
        <f t="shared" si="2"/>
        <v>7853.6476000000002</v>
      </c>
      <c r="L26" s="80">
        <f t="shared" si="3"/>
        <v>7853.6476000000002</v>
      </c>
      <c r="M26" s="80">
        <f t="shared" si="4"/>
        <v>0</v>
      </c>
      <c r="N26" s="6"/>
    </row>
    <row r="27" spans="1:14">
      <c r="A27" s="28">
        <v>24</v>
      </c>
      <c r="B27" s="29">
        <v>45771</v>
      </c>
      <c r="C27" s="209"/>
      <c r="D27" s="6"/>
      <c r="E27" s="54">
        <v>96.32</v>
      </c>
      <c r="F27" s="54">
        <v>91.92</v>
      </c>
      <c r="G27" s="80">
        <f t="shared" si="0"/>
        <v>8853.7343999999994</v>
      </c>
      <c r="H27" s="54">
        <v>6.35</v>
      </c>
      <c r="I27" s="54">
        <v>103.96</v>
      </c>
      <c r="J27" s="80">
        <f t="shared" si="1"/>
        <v>660.14599999999996</v>
      </c>
      <c r="K27" s="80">
        <f t="shared" si="2"/>
        <v>9513.8804</v>
      </c>
      <c r="L27" s="80">
        <f t="shared" si="3"/>
        <v>9513.8804</v>
      </c>
      <c r="M27" s="80">
        <f t="shared" si="4"/>
        <v>0</v>
      </c>
      <c r="N27" s="6"/>
    </row>
    <row r="28" spans="1:14">
      <c r="A28" s="28">
        <v>25</v>
      </c>
      <c r="B28" s="29">
        <v>45772</v>
      </c>
      <c r="C28" s="209"/>
      <c r="D28" s="6"/>
      <c r="E28" s="54">
        <v>0</v>
      </c>
      <c r="F28" s="54">
        <v>0</v>
      </c>
      <c r="G28" s="80">
        <f t="shared" si="0"/>
        <v>0</v>
      </c>
      <c r="H28" s="54">
        <v>0</v>
      </c>
      <c r="I28" s="54">
        <v>0</v>
      </c>
      <c r="J28" s="80">
        <f t="shared" si="1"/>
        <v>0</v>
      </c>
      <c r="K28" s="80">
        <f t="shared" si="2"/>
        <v>0</v>
      </c>
      <c r="L28" s="80">
        <f t="shared" si="3"/>
        <v>0</v>
      </c>
      <c r="M28" s="80">
        <f t="shared" si="4"/>
        <v>0</v>
      </c>
      <c r="N28" s="6"/>
    </row>
    <row r="29" spans="1:14">
      <c r="A29" s="28">
        <v>26</v>
      </c>
      <c r="B29" s="29">
        <v>45773</v>
      </c>
      <c r="C29" s="209"/>
      <c r="D29" s="6"/>
      <c r="E29" s="54">
        <v>142.15</v>
      </c>
      <c r="F29" s="54">
        <v>91.92</v>
      </c>
      <c r="G29" s="80">
        <f t="shared" si="0"/>
        <v>13066.428</v>
      </c>
      <c r="H29" s="54">
        <v>0</v>
      </c>
      <c r="I29" s="54">
        <v>0</v>
      </c>
      <c r="J29" s="80">
        <f t="shared" si="1"/>
        <v>0</v>
      </c>
      <c r="K29" s="80">
        <f t="shared" si="2"/>
        <v>13066.428</v>
      </c>
      <c r="L29" s="80">
        <f t="shared" si="3"/>
        <v>13066.428</v>
      </c>
      <c r="M29" s="80">
        <f t="shared" si="4"/>
        <v>0</v>
      </c>
      <c r="N29" s="6"/>
    </row>
    <row r="30" spans="1:14">
      <c r="A30" s="28">
        <v>27</v>
      </c>
      <c r="B30" s="29">
        <v>45774</v>
      </c>
      <c r="C30" s="209"/>
      <c r="D30" s="6"/>
      <c r="E30" s="54">
        <v>80</v>
      </c>
      <c r="F30" s="54">
        <v>91.92</v>
      </c>
      <c r="G30" s="80">
        <f t="shared" si="0"/>
        <v>7353.6</v>
      </c>
      <c r="H30" s="54">
        <v>11.75</v>
      </c>
      <c r="I30" s="54">
        <v>103.96</v>
      </c>
      <c r="J30" s="80">
        <f t="shared" si="1"/>
        <v>1221.53</v>
      </c>
      <c r="K30" s="80">
        <f t="shared" si="2"/>
        <v>8575.130000000001</v>
      </c>
      <c r="L30" s="80">
        <f t="shared" si="3"/>
        <v>8575.130000000001</v>
      </c>
      <c r="M30" s="80">
        <f t="shared" si="4"/>
        <v>0</v>
      </c>
      <c r="N30" s="6"/>
    </row>
    <row r="31" spans="1:14">
      <c r="A31" s="280">
        <v>28</v>
      </c>
      <c r="B31" s="29">
        <v>45775</v>
      </c>
      <c r="C31" s="209"/>
      <c r="D31" s="6"/>
      <c r="E31" s="54">
        <v>80</v>
      </c>
      <c r="F31" s="54">
        <v>91.92</v>
      </c>
      <c r="G31" s="80">
        <f t="shared" si="0"/>
        <v>7353.6</v>
      </c>
      <c r="H31" s="54">
        <v>0</v>
      </c>
      <c r="I31" s="54">
        <v>0</v>
      </c>
      <c r="J31" s="80">
        <f t="shared" si="1"/>
        <v>0</v>
      </c>
      <c r="K31" s="80">
        <f t="shared" si="2"/>
        <v>7353.6</v>
      </c>
      <c r="L31" s="80">
        <f t="shared" si="3"/>
        <v>7353.6</v>
      </c>
      <c r="M31" s="80">
        <f t="shared" si="4"/>
        <v>0</v>
      </c>
      <c r="N31" s="6"/>
    </row>
    <row r="32" spans="1:14">
      <c r="A32" s="28">
        <v>29</v>
      </c>
      <c r="B32" s="29">
        <v>45776</v>
      </c>
      <c r="C32" s="209"/>
      <c r="D32" s="6"/>
      <c r="E32" s="54">
        <v>50</v>
      </c>
      <c r="F32" s="54">
        <v>91.92</v>
      </c>
      <c r="G32" s="80">
        <f t="shared" si="0"/>
        <v>4596</v>
      </c>
      <c r="H32" s="54">
        <v>5.01</v>
      </c>
      <c r="I32" s="54">
        <v>103.96</v>
      </c>
      <c r="J32" s="80">
        <f t="shared" si="1"/>
        <v>520.8395999999999</v>
      </c>
      <c r="K32" s="80">
        <f t="shared" si="2"/>
        <v>5116.8396000000002</v>
      </c>
      <c r="L32" s="80">
        <f t="shared" si="3"/>
        <v>5116.8396000000002</v>
      </c>
      <c r="M32" s="80">
        <f t="shared" ref="M32:M34" si="5">M31+K32-L32</f>
        <v>0</v>
      </c>
      <c r="N32" s="6"/>
    </row>
    <row r="33" spans="1:14">
      <c r="A33" s="28">
        <v>30</v>
      </c>
      <c r="B33" s="29">
        <v>45777</v>
      </c>
      <c r="C33" s="209"/>
      <c r="D33" s="6"/>
      <c r="E33" s="54">
        <v>100</v>
      </c>
      <c r="F33" s="54">
        <v>91.92</v>
      </c>
      <c r="G33" s="80">
        <f t="shared" si="0"/>
        <v>9192</v>
      </c>
      <c r="H33" s="54">
        <v>0</v>
      </c>
      <c r="I33" s="54">
        <v>0</v>
      </c>
      <c r="J33" s="80">
        <f t="shared" si="1"/>
        <v>0</v>
      </c>
      <c r="K33" s="80">
        <f t="shared" si="2"/>
        <v>9192</v>
      </c>
      <c r="L33" s="80">
        <f t="shared" si="3"/>
        <v>9192</v>
      </c>
      <c r="M33" s="80">
        <f t="shared" si="5"/>
        <v>0</v>
      </c>
      <c r="N33" s="6"/>
    </row>
    <row r="34" spans="1:14">
      <c r="A34" s="28">
        <v>31</v>
      </c>
      <c r="B34" s="29"/>
      <c r="C34" s="209"/>
      <c r="D34" s="6"/>
      <c r="E34" s="54">
        <v>0</v>
      </c>
      <c r="F34" s="54">
        <v>0</v>
      </c>
      <c r="G34" s="80">
        <f t="shared" si="0"/>
        <v>0</v>
      </c>
      <c r="H34" s="54">
        <v>0</v>
      </c>
      <c r="I34" s="54">
        <v>0</v>
      </c>
      <c r="J34" s="80">
        <f t="shared" si="1"/>
        <v>0</v>
      </c>
      <c r="K34" s="80">
        <f t="shared" si="2"/>
        <v>0</v>
      </c>
      <c r="L34" s="80">
        <f t="shared" si="3"/>
        <v>0</v>
      </c>
      <c r="M34" s="80">
        <f t="shared" si="5"/>
        <v>0</v>
      </c>
      <c r="N34" s="6"/>
    </row>
    <row r="35" spans="1:14">
      <c r="A35" s="52"/>
      <c r="B35" s="52"/>
      <c r="C35" s="52"/>
      <c r="D35" s="52"/>
      <c r="E35" s="52">
        <f>SUM(E4:E34)</f>
        <v>1404.9</v>
      </c>
      <c r="F35" s="52"/>
      <c r="G35" s="52">
        <f>SUM(G4:G34)</f>
        <v>129137.70800000003</v>
      </c>
      <c r="H35" s="52">
        <f>SUM(H4:H34)</f>
        <v>86.36</v>
      </c>
      <c r="I35" s="52"/>
      <c r="J35" s="52">
        <f>SUM(J4:J34)</f>
        <v>8977.9855999999982</v>
      </c>
      <c r="K35" s="52">
        <f>SUM(K4:K34)</f>
        <v>138115.6936</v>
      </c>
      <c r="L35" s="52">
        <f>SUM(L4:L34)</f>
        <v>138115.6936</v>
      </c>
      <c r="M35" s="52"/>
      <c r="N35" s="52"/>
    </row>
  </sheetData>
  <mergeCells count="2">
    <mergeCell ref="A1:N1"/>
    <mergeCell ref="A3:J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O44"/>
  <sheetViews>
    <sheetView workbookViewId="0">
      <pane ySplit="2" topLeftCell="A21" activePane="bottomLeft" state="frozen"/>
      <selection pane="bottomLeft" activeCell="P34" sqref="P34"/>
    </sheetView>
  </sheetViews>
  <sheetFormatPr defaultRowHeight="15"/>
  <cols>
    <col min="1" max="1" width="5.140625" style="92" bestFit="1" customWidth="1"/>
    <col min="2" max="2" width="10.85546875" style="92" bestFit="1" customWidth="1"/>
    <col min="3" max="3" width="16" style="92" bestFit="1" customWidth="1"/>
    <col min="4" max="4" width="13.28515625" style="92" bestFit="1" customWidth="1"/>
    <col min="5" max="6" width="10.7109375" style="92" bestFit="1" customWidth="1"/>
    <col min="7" max="7" width="11.5703125" style="92" bestFit="1" customWidth="1"/>
    <col min="8" max="8" width="10.7109375" style="92" bestFit="1" customWidth="1"/>
    <col min="9" max="9" width="7.140625" style="92" bestFit="1" customWidth="1"/>
    <col min="10" max="10" width="9.7109375" style="92" bestFit="1" customWidth="1"/>
    <col min="11" max="12" width="13.5703125" style="92" bestFit="1" customWidth="1"/>
    <col min="13" max="13" width="15" style="92" customWidth="1"/>
    <col min="14" max="14" width="14.28515625" style="92" bestFit="1" customWidth="1"/>
    <col min="15" max="16384" width="9.140625" style="92"/>
  </cols>
  <sheetData>
    <row r="1" spans="1:15" ht="15.75">
      <c r="A1" s="401" t="s">
        <v>41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66"/>
    </row>
    <row r="2" spans="1:15">
      <c r="A2" s="114" t="s">
        <v>81</v>
      </c>
      <c r="B2" s="115" t="s">
        <v>82</v>
      </c>
      <c r="C2" s="115" t="s">
        <v>83</v>
      </c>
      <c r="D2" s="115" t="s">
        <v>108</v>
      </c>
      <c r="E2" s="115" t="s">
        <v>85</v>
      </c>
      <c r="F2" s="115" t="s">
        <v>86</v>
      </c>
      <c r="G2" s="115" t="s">
        <v>87</v>
      </c>
      <c r="H2" s="115" t="s">
        <v>88</v>
      </c>
      <c r="I2" s="115" t="s">
        <v>86</v>
      </c>
      <c r="J2" s="159" t="s">
        <v>87</v>
      </c>
      <c r="K2" s="116" t="s">
        <v>89</v>
      </c>
      <c r="L2" s="160" t="s">
        <v>90</v>
      </c>
      <c r="M2" s="165" t="s">
        <v>97</v>
      </c>
      <c r="N2" s="117" t="s">
        <v>92</v>
      </c>
      <c r="O2" s="73"/>
    </row>
    <row r="3" spans="1:15">
      <c r="A3" s="438" t="s">
        <v>93</v>
      </c>
      <c r="B3" s="439"/>
      <c r="C3" s="439"/>
      <c r="D3" s="439"/>
      <c r="E3" s="439"/>
      <c r="F3" s="439"/>
      <c r="G3" s="439"/>
      <c r="H3" s="439"/>
      <c r="I3" s="439"/>
      <c r="J3" s="440"/>
      <c r="K3" s="260">
        <v>9494.547499999986</v>
      </c>
      <c r="L3" s="237"/>
      <c r="M3" s="176">
        <f>+K3</f>
        <v>9494.547499999986</v>
      </c>
      <c r="N3" s="184"/>
      <c r="O3" s="8"/>
    </row>
    <row r="4" spans="1:15">
      <c r="A4" s="28">
        <v>1</v>
      </c>
      <c r="B4" s="29">
        <v>45748</v>
      </c>
      <c r="C4" s="27"/>
      <c r="D4" s="20"/>
      <c r="E4" s="57">
        <v>17.02</v>
      </c>
      <c r="F4" s="57">
        <v>89.75</v>
      </c>
      <c r="G4" s="8">
        <f>E4*F4</f>
        <v>1527.5450000000001</v>
      </c>
      <c r="H4" s="57"/>
      <c r="I4" s="57"/>
      <c r="J4" s="8">
        <f>H4*I4</f>
        <v>0</v>
      </c>
      <c r="K4" s="8">
        <f>G4+J4</f>
        <v>1527.5450000000001</v>
      </c>
      <c r="L4" s="8"/>
      <c r="M4" s="8">
        <f>M3+K4-L4</f>
        <v>11022.092499999986</v>
      </c>
      <c r="N4" s="8"/>
      <c r="O4" s="73"/>
    </row>
    <row r="5" spans="1:15">
      <c r="A5" s="28">
        <v>2</v>
      </c>
      <c r="B5" s="29">
        <v>45749</v>
      </c>
      <c r="C5" s="27"/>
      <c r="D5" s="20"/>
      <c r="E5" s="57">
        <v>50</v>
      </c>
      <c r="F5" s="57">
        <v>91.77</v>
      </c>
      <c r="G5" s="8">
        <f t="shared" ref="G5:G34" si="0">E5*F5</f>
        <v>4588.5</v>
      </c>
      <c r="H5" s="57"/>
      <c r="I5" s="57"/>
      <c r="J5" s="8">
        <f t="shared" ref="J5:J34" si="1">H5*I5</f>
        <v>0</v>
      </c>
      <c r="K5" s="8">
        <f t="shared" ref="K5:K34" si="2">G5+J5</f>
        <v>4588.5</v>
      </c>
      <c r="L5" s="8"/>
      <c r="M5" s="8">
        <f t="shared" ref="M5:M16" si="3">M4+K5-L5</f>
        <v>15610.592499999986</v>
      </c>
      <c r="N5" s="8"/>
      <c r="O5" s="73"/>
    </row>
    <row r="6" spans="1:15">
      <c r="A6" s="28">
        <v>3</v>
      </c>
      <c r="B6" s="29">
        <v>45750</v>
      </c>
      <c r="C6" s="27"/>
      <c r="D6" s="20"/>
      <c r="E6" s="57">
        <v>0</v>
      </c>
      <c r="F6" s="57">
        <v>0</v>
      </c>
      <c r="G6" s="8">
        <f t="shared" si="0"/>
        <v>0</v>
      </c>
      <c r="H6" s="57"/>
      <c r="I6" s="57"/>
      <c r="J6" s="8">
        <f t="shared" si="1"/>
        <v>0</v>
      </c>
      <c r="K6" s="8">
        <f t="shared" si="2"/>
        <v>0</v>
      </c>
      <c r="L6" s="8"/>
      <c r="M6" s="8">
        <f t="shared" si="3"/>
        <v>15610.592499999986</v>
      </c>
      <c r="N6" s="8"/>
      <c r="O6" s="73"/>
    </row>
    <row r="7" spans="1:15">
      <c r="A7" s="28">
        <v>4</v>
      </c>
      <c r="B7" s="29">
        <v>45751</v>
      </c>
      <c r="C7" s="27"/>
      <c r="D7" s="20"/>
      <c r="E7" s="57">
        <v>140.01</v>
      </c>
      <c r="F7" s="57">
        <v>91.77</v>
      </c>
      <c r="G7" s="8">
        <f t="shared" si="0"/>
        <v>12848.717699999999</v>
      </c>
      <c r="H7" s="57"/>
      <c r="I7" s="57"/>
      <c r="J7" s="8">
        <f t="shared" si="1"/>
        <v>0</v>
      </c>
      <c r="K7" s="8">
        <f t="shared" si="2"/>
        <v>12848.717699999999</v>
      </c>
      <c r="L7" s="8"/>
      <c r="M7" s="8">
        <f t="shared" si="3"/>
        <v>28459.310199999985</v>
      </c>
      <c r="N7" s="8"/>
      <c r="O7" s="73"/>
    </row>
    <row r="8" spans="1:15">
      <c r="A8" s="28">
        <v>5</v>
      </c>
      <c r="B8" s="29">
        <v>45752</v>
      </c>
      <c r="C8" s="27"/>
      <c r="D8" s="20"/>
      <c r="E8" s="57">
        <v>73.8</v>
      </c>
      <c r="F8" s="57">
        <v>91.77</v>
      </c>
      <c r="G8" s="8">
        <f t="shared" si="0"/>
        <v>6772.6259999999993</v>
      </c>
      <c r="H8" s="57">
        <v>5</v>
      </c>
      <c r="I8" s="57">
        <v>103.73</v>
      </c>
      <c r="J8" s="8">
        <f t="shared" si="1"/>
        <v>518.65</v>
      </c>
      <c r="K8" s="8">
        <f t="shared" si="2"/>
        <v>7291.2759999999989</v>
      </c>
      <c r="L8" s="8"/>
      <c r="M8" s="8">
        <f t="shared" si="3"/>
        <v>35750.586199999983</v>
      </c>
      <c r="N8" s="8"/>
      <c r="O8" s="73"/>
    </row>
    <row r="9" spans="1:15">
      <c r="A9" s="28">
        <v>6</v>
      </c>
      <c r="B9" s="29">
        <v>45753</v>
      </c>
      <c r="C9" s="27"/>
      <c r="D9" s="20"/>
      <c r="E9" s="57">
        <v>90</v>
      </c>
      <c r="F9" s="57">
        <v>91.77</v>
      </c>
      <c r="G9" s="8">
        <f t="shared" si="0"/>
        <v>8259.2999999999993</v>
      </c>
      <c r="H9" s="57"/>
      <c r="I9" s="57"/>
      <c r="J9" s="8">
        <f t="shared" si="1"/>
        <v>0</v>
      </c>
      <c r="K9" s="8">
        <f t="shared" si="2"/>
        <v>8259.2999999999993</v>
      </c>
      <c r="L9" s="8"/>
      <c r="M9" s="8">
        <f t="shared" si="3"/>
        <v>44009.886199999979</v>
      </c>
      <c r="N9" s="8"/>
      <c r="O9" s="73"/>
    </row>
    <row r="10" spans="1:15">
      <c r="A10" s="28">
        <v>7</v>
      </c>
      <c r="B10" s="29">
        <v>45754</v>
      </c>
      <c r="C10" s="27"/>
      <c r="D10" s="20"/>
      <c r="E10" s="57">
        <v>20</v>
      </c>
      <c r="F10" s="57">
        <v>91.77</v>
      </c>
      <c r="G10" s="8">
        <f t="shared" si="0"/>
        <v>1835.3999999999999</v>
      </c>
      <c r="H10" s="57"/>
      <c r="I10" s="57"/>
      <c r="J10" s="8">
        <f t="shared" si="1"/>
        <v>0</v>
      </c>
      <c r="K10" s="8">
        <f t="shared" si="2"/>
        <v>1835.3999999999999</v>
      </c>
      <c r="L10" s="8"/>
      <c r="M10" s="8">
        <f t="shared" si="3"/>
        <v>45845.28619999998</v>
      </c>
      <c r="N10" s="8"/>
      <c r="O10" s="73">
        <v>33436.271499999944</v>
      </c>
    </row>
    <row r="11" spans="1:15">
      <c r="A11" s="28">
        <v>8</v>
      </c>
      <c r="B11" s="29">
        <v>45755</v>
      </c>
      <c r="C11" s="27"/>
      <c r="D11" s="20"/>
      <c r="E11" s="57">
        <v>70</v>
      </c>
      <c r="F11" s="57">
        <v>91.77</v>
      </c>
      <c r="G11" s="8">
        <f t="shared" si="0"/>
        <v>6423.9</v>
      </c>
      <c r="H11" s="57"/>
      <c r="I11" s="57"/>
      <c r="J11" s="8">
        <f t="shared" si="1"/>
        <v>0</v>
      </c>
      <c r="K11" s="8">
        <f t="shared" si="2"/>
        <v>6423.9</v>
      </c>
      <c r="L11" s="8"/>
      <c r="M11" s="8">
        <f t="shared" si="3"/>
        <v>52269.186199999982</v>
      </c>
      <c r="N11" s="8"/>
      <c r="O11" s="73"/>
    </row>
    <row r="12" spans="1:15">
      <c r="A12" s="28">
        <v>9</v>
      </c>
      <c r="B12" s="29">
        <v>45756</v>
      </c>
      <c r="C12" s="27"/>
      <c r="D12" s="20"/>
      <c r="E12" s="57">
        <v>90</v>
      </c>
      <c r="F12" s="57">
        <v>91.77</v>
      </c>
      <c r="G12" s="8">
        <f t="shared" si="0"/>
        <v>8259.2999999999993</v>
      </c>
      <c r="H12" s="57"/>
      <c r="I12" s="57"/>
      <c r="J12" s="8">
        <f t="shared" si="1"/>
        <v>0</v>
      </c>
      <c r="K12" s="8">
        <f t="shared" si="2"/>
        <v>8259.2999999999993</v>
      </c>
      <c r="L12" s="8"/>
      <c r="M12" s="8">
        <f t="shared" si="3"/>
        <v>60528.486199999985</v>
      </c>
      <c r="N12" s="8"/>
      <c r="O12" s="73"/>
    </row>
    <row r="13" spans="1:15">
      <c r="A13" s="28">
        <v>10</v>
      </c>
      <c r="B13" s="29">
        <v>45757</v>
      </c>
      <c r="C13" s="27"/>
      <c r="D13" s="20"/>
      <c r="E13" s="57">
        <v>0</v>
      </c>
      <c r="F13" s="57">
        <v>91.77</v>
      </c>
      <c r="G13" s="8">
        <f t="shared" si="0"/>
        <v>0</v>
      </c>
      <c r="H13" s="57">
        <v>0</v>
      </c>
      <c r="I13" s="57">
        <v>103.73</v>
      </c>
      <c r="J13" s="8">
        <f t="shared" si="1"/>
        <v>0</v>
      </c>
      <c r="K13" s="8">
        <f t="shared" si="2"/>
        <v>0</v>
      </c>
      <c r="L13" s="8"/>
      <c r="M13" s="8">
        <f t="shared" si="3"/>
        <v>60528.486199999985</v>
      </c>
      <c r="N13" s="21"/>
      <c r="O13" s="73"/>
    </row>
    <row r="14" spans="1:15">
      <c r="A14" s="28">
        <v>11</v>
      </c>
      <c r="B14" s="29">
        <v>45758</v>
      </c>
      <c r="C14" s="27"/>
      <c r="D14" s="20"/>
      <c r="E14" s="57">
        <v>80</v>
      </c>
      <c r="F14" s="57">
        <v>91.77</v>
      </c>
      <c r="G14" s="8">
        <f t="shared" si="0"/>
        <v>7341.5999999999995</v>
      </c>
      <c r="H14" s="57">
        <v>5</v>
      </c>
      <c r="I14" s="57">
        <v>103.73</v>
      </c>
      <c r="J14" s="8">
        <f t="shared" si="1"/>
        <v>518.65</v>
      </c>
      <c r="K14" s="8">
        <f t="shared" si="2"/>
        <v>7860.2499999999991</v>
      </c>
      <c r="L14" s="8"/>
      <c r="M14" s="8">
        <f t="shared" si="3"/>
        <v>68388.736199999985</v>
      </c>
      <c r="N14" s="21"/>
      <c r="O14" s="73"/>
    </row>
    <row r="15" spans="1:15">
      <c r="A15" s="28">
        <v>12</v>
      </c>
      <c r="B15" s="29">
        <v>45759</v>
      </c>
      <c r="C15" s="27"/>
      <c r="D15" s="20"/>
      <c r="E15" s="57">
        <v>70</v>
      </c>
      <c r="F15" s="57">
        <v>91.77</v>
      </c>
      <c r="G15" s="8">
        <f t="shared" si="0"/>
        <v>6423.9</v>
      </c>
      <c r="H15" s="57"/>
      <c r="I15" s="57"/>
      <c r="J15" s="8">
        <f t="shared" si="1"/>
        <v>0</v>
      </c>
      <c r="K15" s="8">
        <f t="shared" si="2"/>
        <v>6423.9</v>
      </c>
      <c r="L15" s="8"/>
      <c r="M15" s="8">
        <f t="shared" si="3"/>
        <v>74812.636199999979</v>
      </c>
      <c r="N15" s="21"/>
      <c r="O15" s="73"/>
    </row>
    <row r="16" spans="1:15">
      <c r="A16" s="28">
        <v>13</v>
      </c>
      <c r="B16" s="29">
        <v>45760</v>
      </c>
      <c r="C16" s="27"/>
      <c r="D16" s="20"/>
      <c r="E16" s="57">
        <v>20</v>
      </c>
      <c r="F16" s="57">
        <v>91.77</v>
      </c>
      <c r="G16" s="8">
        <f t="shared" si="0"/>
        <v>1835.3999999999999</v>
      </c>
      <c r="H16" s="57"/>
      <c r="I16" s="57"/>
      <c r="J16" s="8">
        <f t="shared" si="1"/>
        <v>0</v>
      </c>
      <c r="K16" s="8">
        <f t="shared" si="2"/>
        <v>1835.3999999999999</v>
      </c>
      <c r="L16" s="8"/>
      <c r="M16" s="8">
        <f>M15+K16-L16</f>
        <v>76648.036199999973</v>
      </c>
      <c r="N16" s="21"/>
      <c r="O16" s="73"/>
    </row>
    <row r="17" spans="1:15">
      <c r="A17" s="28">
        <v>14</v>
      </c>
      <c r="B17" s="29">
        <v>45761</v>
      </c>
      <c r="C17" s="27"/>
      <c r="D17" s="20"/>
      <c r="E17" s="57">
        <v>0</v>
      </c>
      <c r="F17" s="57">
        <v>0</v>
      </c>
      <c r="G17" s="8">
        <f t="shared" si="0"/>
        <v>0</v>
      </c>
      <c r="H17" s="57"/>
      <c r="I17" s="57"/>
      <c r="J17" s="8">
        <f t="shared" si="1"/>
        <v>0</v>
      </c>
      <c r="K17" s="8">
        <f t="shared" si="2"/>
        <v>0</v>
      </c>
      <c r="L17" s="8"/>
      <c r="M17" s="8">
        <f>M16+K17-L17</f>
        <v>76648.036199999973</v>
      </c>
      <c r="N17" s="21"/>
      <c r="O17" s="73"/>
    </row>
    <row r="18" spans="1:15">
      <c r="A18" s="28">
        <v>15</v>
      </c>
      <c r="B18" s="29">
        <v>45762</v>
      </c>
      <c r="C18" s="27"/>
      <c r="D18" s="20"/>
      <c r="E18" s="57">
        <v>416.5</v>
      </c>
      <c r="F18" s="57">
        <v>91.77</v>
      </c>
      <c r="G18" s="8">
        <f t="shared" si="0"/>
        <v>38222.205000000002</v>
      </c>
      <c r="H18" s="57"/>
      <c r="I18" s="57"/>
      <c r="J18" s="8">
        <f t="shared" si="1"/>
        <v>0</v>
      </c>
      <c r="K18" s="8">
        <f t="shared" si="2"/>
        <v>38222.205000000002</v>
      </c>
      <c r="L18" s="8"/>
      <c r="M18" s="8">
        <f>M17+K18-L18</f>
        <v>114870.24119999997</v>
      </c>
      <c r="N18" s="21"/>
      <c r="O18" s="73"/>
    </row>
    <row r="19" spans="1:15">
      <c r="A19" s="28">
        <v>16</v>
      </c>
      <c r="B19" s="29">
        <v>45763</v>
      </c>
      <c r="C19" s="27"/>
      <c r="D19" s="20"/>
      <c r="E19" s="57">
        <v>95</v>
      </c>
      <c r="F19" s="57">
        <v>91.77</v>
      </c>
      <c r="G19" s="8">
        <f t="shared" si="0"/>
        <v>8718.15</v>
      </c>
      <c r="H19" s="57"/>
      <c r="I19" s="57"/>
      <c r="J19" s="8">
        <f t="shared" si="1"/>
        <v>0</v>
      </c>
      <c r="K19" s="8">
        <f t="shared" si="2"/>
        <v>8718.15</v>
      </c>
      <c r="L19" s="8"/>
      <c r="M19" s="8">
        <f>M18+K19-L19</f>
        <v>123588.39119999997</v>
      </c>
      <c r="N19" s="21"/>
      <c r="O19" s="73"/>
    </row>
    <row r="20" spans="1:15">
      <c r="A20" s="28">
        <v>17</v>
      </c>
      <c r="B20" s="29">
        <v>45764</v>
      </c>
      <c r="C20" s="27"/>
      <c r="D20" s="20"/>
      <c r="E20" s="57">
        <v>90</v>
      </c>
      <c r="F20" s="57">
        <v>91.77</v>
      </c>
      <c r="G20" s="8">
        <f t="shared" si="0"/>
        <v>8259.2999999999993</v>
      </c>
      <c r="H20" s="57">
        <v>5</v>
      </c>
      <c r="I20" s="57">
        <v>103.73</v>
      </c>
      <c r="J20" s="8">
        <f t="shared" si="1"/>
        <v>518.65</v>
      </c>
      <c r="K20" s="8">
        <f t="shared" si="2"/>
        <v>8777.9499999999989</v>
      </c>
      <c r="L20" s="8"/>
      <c r="M20" s="8">
        <f>M19+K20-L20</f>
        <v>132366.34119999997</v>
      </c>
      <c r="N20" s="21"/>
      <c r="O20" s="73"/>
    </row>
    <row r="21" spans="1:15">
      <c r="A21" s="28">
        <v>18</v>
      </c>
      <c r="B21" s="29">
        <v>45765</v>
      </c>
      <c r="C21" s="27"/>
      <c r="D21" s="20"/>
      <c r="E21" s="57">
        <v>369</v>
      </c>
      <c r="F21" s="57">
        <v>91.77</v>
      </c>
      <c r="G21" s="8">
        <f t="shared" si="0"/>
        <v>33863.129999999997</v>
      </c>
      <c r="H21" s="57"/>
      <c r="I21" s="57"/>
      <c r="J21" s="8">
        <f t="shared" si="1"/>
        <v>0</v>
      </c>
      <c r="K21" s="8">
        <f t="shared" si="2"/>
        <v>33863.129999999997</v>
      </c>
      <c r="L21" s="8"/>
      <c r="M21" s="8">
        <f>M20+K21-L21</f>
        <v>166229.47119999997</v>
      </c>
      <c r="N21" s="21"/>
      <c r="O21" s="73"/>
    </row>
    <row r="22" spans="1:15">
      <c r="A22" s="28">
        <v>19</v>
      </c>
      <c r="B22" s="29">
        <v>45766</v>
      </c>
      <c r="C22" s="27"/>
      <c r="D22" s="20"/>
      <c r="E22" s="57">
        <v>60</v>
      </c>
      <c r="F22" s="57">
        <v>91.77</v>
      </c>
      <c r="G22" s="8">
        <f t="shared" si="0"/>
        <v>5506.2</v>
      </c>
      <c r="H22" s="57"/>
      <c r="I22" s="57"/>
      <c r="J22" s="8">
        <f t="shared" si="1"/>
        <v>0</v>
      </c>
      <c r="K22" s="8">
        <f t="shared" si="2"/>
        <v>5506.2</v>
      </c>
      <c r="L22" s="8"/>
      <c r="M22" s="8">
        <f>M21+K22-L22</f>
        <v>171735.67119999998</v>
      </c>
      <c r="N22" s="21"/>
      <c r="O22" s="73"/>
    </row>
    <row r="23" spans="1:15">
      <c r="A23" s="28">
        <v>20</v>
      </c>
      <c r="B23" s="29">
        <v>45767</v>
      </c>
      <c r="C23" s="27"/>
      <c r="D23" s="20"/>
      <c r="E23" s="57">
        <v>60</v>
      </c>
      <c r="F23" s="57">
        <v>91.77</v>
      </c>
      <c r="G23" s="8">
        <f t="shared" si="0"/>
        <v>5506.2</v>
      </c>
      <c r="H23" s="57"/>
      <c r="I23" s="57"/>
      <c r="J23" s="8">
        <f t="shared" si="1"/>
        <v>0</v>
      </c>
      <c r="K23" s="8">
        <f t="shared" si="2"/>
        <v>5506.2</v>
      </c>
      <c r="L23" s="8"/>
      <c r="M23" s="8">
        <f>M22+K23-L23</f>
        <v>177241.87119999999</v>
      </c>
      <c r="N23" s="21"/>
      <c r="O23" s="73"/>
    </row>
    <row r="24" spans="1:15">
      <c r="A24" s="28">
        <v>21</v>
      </c>
      <c r="B24" s="29">
        <v>45768</v>
      </c>
      <c r="C24" s="27"/>
      <c r="D24" s="20"/>
      <c r="E24" s="57">
        <v>50</v>
      </c>
      <c r="F24" s="57">
        <v>91.77</v>
      </c>
      <c r="G24" s="8">
        <f t="shared" si="0"/>
        <v>4588.5</v>
      </c>
      <c r="H24" s="57">
        <v>5</v>
      </c>
      <c r="I24" s="57">
        <v>103.73</v>
      </c>
      <c r="J24" s="8">
        <f t="shared" si="1"/>
        <v>518.65</v>
      </c>
      <c r="K24" s="8">
        <f t="shared" si="2"/>
        <v>5107.1499999999996</v>
      </c>
      <c r="L24" s="8"/>
      <c r="M24" s="8">
        <f>M23+K24-L24</f>
        <v>182349.02119999999</v>
      </c>
      <c r="N24" s="21"/>
      <c r="O24" s="73"/>
    </row>
    <row r="25" spans="1:15">
      <c r="A25" s="28">
        <v>22</v>
      </c>
      <c r="B25" s="29">
        <v>45769</v>
      </c>
      <c r="C25" s="27"/>
      <c r="D25" s="20"/>
      <c r="E25" s="57">
        <v>80</v>
      </c>
      <c r="F25" s="57">
        <v>91.77</v>
      </c>
      <c r="G25" s="8">
        <f t="shared" si="0"/>
        <v>7341.5999999999995</v>
      </c>
      <c r="H25" s="57">
        <v>2</v>
      </c>
      <c r="I25" s="57">
        <v>103.73</v>
      </c>
      <c r="J25" s="8">
        <f t="shared" si="1"/>
        <v>207.46</v>
      </c>
      <c r="K25" s="8">
        <f t="shared" si="2"/>
        <v>7549.0599999999995</v>
      </c>
      <c r="L25" s="8"/>
      <c r="M25" s="8">
        <f t="shared" ref="M25:M34" si="4">M24+K25-L25</f>
        <v>189898.08119999999</v>
      </c>
      <c r="N25" s="21"/>
      <c r="O25" s="73"/>
    </row>
    <row r="26" spans="1:15">
      <c r="A26" s="28">
        <v>23</v>
      </c>
      <c r="B26" s="29">
        <v>45770</v>
      </c>
      <c r="C26" s="27"/>
      <c r="D26" s="20"/>
      <c r="E26" s="57">
        <v>0</v>
      </c>
      <c r="F26" s="57">
        <v>0</v>
      </c>
      <c r="G26" s="8">
        <f t="shared" si="0"/>
        <v>0</v>
      </c>
      <c r="H26" s="57">
        <v>5</v>
      </c>
      <c r="I26" s="57">
        <v>103.73</v>
      </c>
      <c r="J26" s="8">
        <f t="shared" si="1"/>
        <v>518.65</v>
      </c>
      <c r="K26" s="8">
        <f t="shared" si="2"/>
        <v>518.65</v>
      </c>
      <c r="L26" s="8"/>
      <c r="M26" s="8">
        <f t="shared" si="4"/>
        <v>190416.73119999998</v>
      </c>
      <c r="N26" s="21"/>
      <c r="O26" s="73"/>
    </row>
    <row r="27" spans="1:15">
      <c r="A27" s="28">
        <v>24</v>
      </c>
      <c r="B27" s="29">
        <v>45771</v>
      </c>
      <c r="C27" s="27"/>
      <c r="D27" s="20"/>
      <c r="E27" s="57">
        <v>60</v>
      </c>
      <c r="F27" s="57">
        <v>91.77</v>
      </c>
      <c r="G27" s="8">
        <f t="shared" si="0"/>
        <v>5506.2</v>
      </c>
      <c r="H27" s="57"/>
      <c r="I27" s="57"/>
      <c r="J27" s="8">
        <f t="shared" si="1"/>
        <v>0</v>
      </c>
      <c r="K27" s="8">
        <f t="shared" si="2"/>
        <v>5506.2</v>
      </c>
      <c r="L27" s="8"/>
      <c r="M27" s="8">
        <f t="shared" si="4"/>
        <v>195922.93119999999</v>
      </c>
      <c r="N27" s="21"/>
      <c r="O27" s="73"/>
    </row>
    <row r="28" spans="1:15">
      <c r="A28" s="28">
        <v>25</v>
      </c>
      <c r="B28" s="29">
        <v>45772</v>
      </c>
      <c r="C28" s="27"/>
      <c r="D28" s="20"/>
      <c r="E28" s="57">
        <v>115</v>
      </c>
      <c r="F28" s="57">
        <v>91.77</v>
      </c>
      <c r="G28" s="8">
        <f t="shared" si="0"/>
        <v>10553.55</v>
      </c>
      <c r="H28" s="57"/>
      <c r="I28" s="57"/>
      <c r="J28" s="8">
        <f t="shared" si="1"/>
        <v>0</v>
      </c>
      <c r="K28" s="8">
        <f t="shared" si="2"/>
        <v>10553.55</v>
      </c>
      <c r="L28" s="8"/>
      <c r="M28" s="8">
        <f t="shared" si="4"/>
        <v>206476.48119999998</v>
      </c>
      <c r="N28" s="21"/>
      <c r="O28" s="73"/>
    </row>
    <row r="29" spans="1:15">
      <c r="A29" s="28">
        <v>26</v>
      </c>
      <c r="B29" s="29">
        <v>45773</v>
      </c>
      <c r="C29" s="27"/>
      <c r="D29" s="20"/>
      <c r="E29" s="57">
        <v>50</v>
      </c>
      <c r="F29" s="57">
        <v>91.77</v>
      </c>
      <c r="G29" s="8">
        <f t="shared" si="0"/>
        <v>4588.5</v>
      </c>
      <c r="H29" s="57">
        <v>5</v>
      </c>
      <c r="I29" s="57">
        <v>103.73</v>
      </c>
      <c r="J29" s="8">
        <f t="shared" si="1"/>
        <v>518.65</v>
      </c>
      <c r="K29" s="8">
        <f t="shared" si="2"/>
        <v>5107.1499999999996</v>
      </c>
      <c r="L29" s="8"/>
      <c r="M29" s="8">
        <f t="shared" si="4"/>
        <v>211583.63119999997</v>
      </c>
      <c r="N29" s="21"/>
      <c r="O29" s="73"/>
    </row>
    <row r="30" spans="1:15">
      <c r="A30" s="28">
        <v>27</v>
      </c>
      <c r="B30" s="29">
        <v>45774</v>
      </c>
      <c r="C30" s="27"/>
      <c r="D30" s="20"/>
      <c r="E30" s="57">
        <v>110</v>
      </c>
      <c r="F30" s="57">
        <v>91.77</v>
      </c>
      <c r="G30" s="8">
        <f t="shared" si="0"/>
        <v>10094.699999999999</v>
      </c>
      <c r="H30" s="57"/>
      <c r="I30" s="57"/>
      <c r="J30" s="8">
        <f t="shared" si="1"/>
        <v>0</v>
      </c>
      <c r="K30" s="8">
        <f t="shared" si="2"/>
        <v>10094.699999999999</v>
      </c>
      <c r="L30" s="8"/>
      <c r="M30" s="8">
        <f t="shared" si="4"/>
        <v>221678.33119999999</v>
      </c>
      <c r="N30" s="21"/>
      <c r="O30" s="73"/>
    </row>
    <row r="31" spans="1:15">
      <c r="A31" s="280">
        <v>28</v>
      </c>
      <c r="B31" s="29">
        <v>45775</v>
      </c>
      <c r="C31" s="27"/>
      <c r="D31" s="20"/>
      <c r="E31" s="57">
        <v>80</v>
      </c>
      <c r="F31" s="57">
        <v>91.77</v>
      </c>
      <c r="G31" s="8">
        <f t="shared" si="0"/>
        <v>7341.5999999999995</v>
      </c>
      <c r="H31" s="57"/>
      <c r="I31" s="57"/>
      <c r="J31" s="8">
        <f t="shared" si="1"/>
        <v>0</v>
      </c>
      <c r="K31" s="8">
        <f t="shared" si="2"/>
        <v>7341.5999999999995</v>
      </c>
      <c r="L31" s="8"/>
      <c r="M31" s="8">
        <f t="shared" si="4"/>
        <v>229019.93119999999</v>
      </c>
      <c r="N31" s="21"/>
      <c r="O31" s="73"/>
    </row>
    <row r="32" spans="1:15">
      <c r="A32" s="28">
        <v>29</v>
      </c>
      <c r="B32" s="29">
        <v>45776</v>
      </c>
      <c r="C32" s="27"/>
      <c r="D32" s="20"/>
      <c r="E32" s="57">
        <v>20</v>
      </c>
      <c r="F32" s="57">
        <v>91.77</v>
      </c>
      <c r="G32" s="8">
        <f t="shared" si="0"/>
        <v>1835.3999999999999</v>
      </c>
      <c r="H32" s="57"/>
      <c r="I32" s="57"/>
      <c r="J32" s="8">
        <f t="shared" si="1"/>
        <v>0</v>
      </c>
      <c r="K32" s="8">
        <f t="shared" si="2"/>
        <v>1835.3999999999999</v>
      </c>
      <c r="L32" s="8"/>
      <c r="M32" s="8">
        <f t="shared" si="4"/>
        <v>230855.33119999999</v>
      </c>
      <c r="N32" s="21"/>
      <c r="O32" s="73"/>
    </row>
    <row r="33" spans="1:15">
      <c r="A33" s="28">
        <v>30</v>
      </c>
      <c r="B33" s="29">
        <v>45777</v>
      </c>
      <c r="C33" s="27"/>
      <c r="D33" s="20"/>
      <c r="E33" s="57">
        <v>40</v>
      </c>
      <c r="F33" s="57">
        <v>91.77</v>
      </c>
      <c r="G33" s="8">
        <f t="shared" si="0"/>
        <v>3670.7999999999997</v>
      </c>
      <c r="H33" s="57"/>
      <c r="I33" s="57"/>
      <c r="J33" s="8">
        <f t="shared" si="1"/>
        <v>0</v>
      </c>
      <c r="K33" s="8">
        <f t="shared" si="2"/>
        <v>3670.7999999999997</v>
      </c>
      <c r="L33" s="8"/>
      <c r="M33" s="8">
        <f t="shared" si="4"/>
        <v>234526.13119999997</v>
      </c>
      <c r="N33" s="21"/>
      <c r="O33" s="73"/>
    </row>
    <row r="34" spans="1:15">
      <c r="A34" s="28">
        <v>31</v>
      </c>
      <c r="B34" s="29"/>
      <c r="C34" s="27"/>
      <c r="D34" s="20"/>
      <c r="E34" s="57">
        <v>0</v>
      </c>
      <c r="F34" s="57">
        <v>0</v>
      </c>
      <c r="G34" s="8">
        <f t="shared" si="0"/>
        <v>0</v>
      </c>
      <c r="H34" s="57"/>
      <c r="I34" s="57"/>
      <c r="J34" s="8">
        <f t="shared" si="1"/>
        <v>0</v>
      </c>
      <c r="K34" s="8">
        <f t="shared" si="2"/>
        <v>0</v>
      </c>
      <c r="L34" s="8"/>
      <c r="M34" s="8">
        <f t="shared" si="4"/>
        <v>234526.13119999997</v>
      </c>
      <c r="N34" s="21"/>
      <c r="O34" s="73"/>
    </row>
    <row r="35" spans="1:15">
      <c r="A35" s="188"/>
      <c r="B35" s="188"/>
      <c r="C35" s="188"/>
      <c r="D35" s="188"/>
      <c r="E35" s="189">
        <f>SUM(E4:E34)</f>
        <v>2416.33</v>
      </c>
      <c r="F35" s="189"/>
      <c r="G35" s="189">
        <f>SUM(G4:G34)</f>
        <v>221712.22370000003</v>
      </c>
      <c r="H35" s="189">
        <f>SUM(H4:H34)</f>
        <v>32</v>
      </c>
      <c r="I35" s="189"/>
      <c r="J35" s="189">
        <f>SUM(J4:J34)</f>
        <v>3319.36</v>
      </c>
      <c r="K35" s="189">
        <f>SUM(K4:K34)</f>
        <v>225031.58369999999</v>
      </c>
      <c r="L35" s="189">
        <f>SUM(L4:L12)</f>
        <v>0</v>
      </c>
      <c r="M35" s="189"/>
      <c r="N35" s="189"/>
      <c r="O35" s="73"/>
    </row>
    <row r="36" spans="1:15">
      <c r="A36" s="88"/>
      <c r="B36" s="88"/>
      <c r="C36" s="88"/>
      <c r="D36" s="88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73"/>
    </row>
    <row r="37" spans="1:15">
      <c r="O37" s="73"/>
    </row>
    <row r="38" spans="1:15">
      <c r="O38" s="73"/>
    </row>
    <row r="39" spans="1:15">
      <c r="O39" s="73"/>
    </row>
    <row r="40" spans="1:15">
      <c r="O40" s="73"/>
    </row>
    <row r="41" spans="1:15">
      <c r="O41" s="73"/>
    </row>
    <row r="42" spans="1:15">
      <c r="A42" s="73"/>
      <c r="B42" s="73"/>
      <c r="C42" s="73"/>
      <c r="D42" s="73"/>
      <c r="E42" s="73"/>
      <c r="F42" s="73"/>
      <c r="G42" s="96"/>
      <c r="H42" s="73"/>
      <c r="I42" s="73"/>
      <c r="J42" s="73"/>
      <c r="K42" s="73"/>
      <c r="L42" s="73"/>
      <c r="M42" s="73"/>
      <c r="N42" s="73"/>
      <c r="O42" s="90"/>
    </row>
    <row r="43" spans="1:15">
      <c r="A43" s="73"/>
      <c r="B43" s="437"/>
      <c r="C43" s="437"/>
      <c r="D43" s="437"/>
      <c r="E43" s="437"/>
      <c r="F43" s="73"/>
      <c r="G43" s="73"/>
      <c r="H43" s="73"/>
      <c r="I43" s="437"/>
      <c r="J43" s="437"/>
      <c r="K43" s="437"/>
      <c r="L43" s="437"/>
      <c r="M43" s="437"/>
      <c r="N43" s="437"/>
      <c r="O43" s="90"/>
    </row>
    <row r="44" spans="1:15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90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4"/>
  <sheetViews>
    <sheetView workbookViewId="0">
      <pane ySplit="2" topLeftCell="A15" activePane="bottomLeft" state="frozen"/>
      <selection pane="bottomLeft" activeCell="K35" sqref="K35"/>
    </sheetView>
  </sheetViews>
  <sheetFormatPr defaultRowHeight="15"/>
  <cols>
    <col min="1" max="1" width="5.140625" style="83" bestFit="1" customWidth="1"/>
    <col min="2" max="2" width="10.85546875" style="83" bestFit="1" customWidth="1"/>
    <col min="3" max="3" width="8" style="83" bestFit="1" customWidth="1"/>
    <col min="4" max="4" width="16" style="83" bestFit="1" customWidth="1"/>
    <col min="5" max="5" width="10.7109375" style="83" bestFit="1" customWidth="1"/>
    <col min="6" max="6" width="14.5703125" style="83" bestFit="1" customWidth="1"/>
    <col min="7" max="7" width="11.85546875" style="83" bestFit="1" customWidth="1"/>
    <col min="8" max="8" width="10.7109375" style="83" bestFit="1" customWidth="1"/>
    <col min="9" max="9" width="7.140625" style="83" bestFit="1" customWidth="1"/>
    <col min="10" max="10" width="10.85546875" style="83" bestFit="1" customWidth="1"/>
    <col min="11" max="11" width="14.5703125" style="83" bestFit="1" customWidth="1"/>
    <col min="12" max="12" width="13.5703125" style="83" bestFit="1" customWidth="1"/>
    <col min="13" max="13" width="13.5703125" style="83" customWidth="1"/>
    <col min="14" max="14" width="14.140625" style="83" bestFit="1" customWidth="1"/>
    <col min="15" max="15" width="11.28515625" style="83" customWidth="1"/>
    <col min="16" max="16" width="9.140625" style="83" customWidth="1"/>
    <col min="17" max="16384" width="9.140625" style="83"/>
  </cols>
  <sheetData>
    <row r="1" spans="1:17" ht="15.75">
      <c r="A1" s="417" t="s">
        <v>43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97"/>
    </row>
    <row r="2" spans="1:17">
      <c r="A2" s="78" t="s">
        <v>81</v>
      </c>
      <c r="B2" s="98" t="s">
        <v>82</v>
      </c>
      <c r="C2" s="98" t="s">
        <v>83</v>
      </c>
      <c r="D2" s="98" t="s">
        <v>84</v>
      </c>
      <c r="E2" s="98" t="s">
        <v>85</v>
      </c>
      <c r="F2" s="98" t="s">
        <v>86</v>
      </c>
      <c r="G2" s="98" t="s">
        <v>87</v>
      </c>
      <c r="H2" s="98" t="s">
        <v>88</v>
      </c>
      <c r="I2" s="98" t="s">
        <v>86</v>
      </c>
      <c r="J2" s="99" t="s">
        <v>87</v>
      </c>
      <c r="K2" s="78" t="s">
        <v>89</v>
      </c>
      <c r="L2" s="100" t="s">
        <v>90</v>
      </c>
      <c r="M2" s="100" t="s">
        <v>97</v>
      </c>
      <c r="N2" s="98" t="s">
        <v>92</v>
      </c>
      <c r="O2" s="73"/>
    </row>
    <row r="3" spans="1:17">
      <c r="A3" s="407" t="s">
        <v>93</v>
      </c>
      <c r="B3" s="408"/>
      <c r="C3" s="408"/>
      <c r="D3" s="408"/>
      <c r="E3" s="408"/>
      <c r="F3" s="408"/>
      <c r="G3" s="408"/>
      <c r="H3" s="408"/>
      <c r="I3" s="408"/>
      <c r="J3" s="420"/>
      <c r="K3" s="191">
        <v>32208.096100000192</v>
      </c>
      <c r="L3" s="81"/>
      <c r="M3" s="187">
        <f>+K3</f>
        <v>32208.096100000192</v>
      </c>
      <c r="N3" s="81"/>
      <c r="O3" s="73"/>
    </row>
    <row r="4" spans="1:17">
      <c r="A4" s="28">
        <v>1</v>
      </c>
      <c r="B4" s="29">
        <v>45748</v>
      </c>
      <c r="C4" s="81"/>
      <c r="D4" s="187"/>
      <c r="E4" s="192">
        <v>0</v>
      </c>
      <c r="F4" s="192">
        <v>89.98</v>
      </c>
      <c r="G4" s="8">
        <f>E4*F4</f>
        <v>0</v>
      </c>
      <c r="H4" s="192">
        <v>6</v>
      </c>
      <c r="I4" s="192">
        <v>103.89</v>
      </c>
      <c r="J4" s="8">
        <f>H4*I4</f>
        <v>623.34</v>
      </c>
      <c r="K4" s="8">
        <f>G4+J4</f>
        <v>623.34</v>
      </c>
      <c r="L4" s="193">
        <v>0</v>
      </c>
      <c r="M4" s="193">
        <f>M3+K4-L4</f>
        <v>32831.436100000188</v>
      </c>
      <c r="N4" s="48" t="s">
        <v>138</v>
      </c>
    </row>
    <row r="5" spans="1:17">
      <c r="A5" s="28">
        <v>2</v>
      </c>
      <c r="B5" s="29">
        <v>45749</v>
      </c>
      <c r="C5" s="81"/>
      <c r="D5" s="187"/>
      <c r="E5" s="192">
        <v>83.58</v>
      </c>
      <c r="F5" s="192">
        <v>91.93</v>
      </c>
      <c r="G5" s="8">
        <f t="shared" ref="G5:G34" si="0">E5*F5</f>
        <v>7683.5094000000008</v>
      </c>
      <c r="H5" s="192">
        <v>6</v>
      </c>
      <c r="I5" s="192">
        <v>103.89</v>
      </c>
      <c r="J5" s="8">
        <f t="shared" ref="J5:J34" si="1">H5*I5</f>
        <v>623.34</v>
      </c>
      <c r="K5" s="8">
        <f t="shared" ref="K5:K34" si="2">G5+J5</f>
        <v>8306.849400000001</v>
      </c>
      <c r="L5" s="193">
        <v>0</v>
      </c>
      <c r="M5" s="193">
        <f>M4+K5-L5</f>
        <v>41138.285500000187</v>
      </c>
      <c r="N5" s="48"/>
    </row>
    <row r="6" spans="1:17">
      <c r="A6" s="28">
        <v>3</v>
      </c>
      <c r="B6" s="29">
        <v>45750</v>
      </c>
      <c r="C6" s="81"/>
      <c r="D6" s="187"/>
      <c r="E6" s="192">
        <v>348.7</v>
      </c>
      <c r="F6" s="192">
        <v>91.93</v>
      </c>
      <c r="G6" s="8">
        <f t="shared" si="0"/>
        <v>32055.991000000002</v>
      </c>
      <c r="H6" s="192">
        <v>12</v>
      </c>
      <c r="I6" s="192">
        <v>103.89</v>
      </c>
      <c r="J6" s="8">
        <f t="shared" si="1"/>
        <v>1246.68</v>
      </c>
      <c r="K6" s="8">
        <f t="shared" si="2"/>
        <v>33302.671000000002</v>
      </c>
      <c r="L6" s="193">
        <v>0</v>
      </c>
      <c r="M6" s="193">
        <f>M5+K6-L6</f>
        <v>74440.956500000189</v>
      </c>
      <c r="N6" s="48"/>
    </row>
    <row r="7" spans="1:17">
      <c r="A7" s="28">
        <v>4</v>
      </c>
      <c r="B7" s="29">
        <v>45751</v>
      </c>
      <c r="C7" s="81"/>
      <c r="D7" s="187"/>
      <c r="E7" s="192">
        <v>0</v>
      </c>
      <c r="F7" s="192">
        <v>0</v>
      </c>
      <c r="G7" s="8">
        <f t="shared" si="0"/>
        <v>0</v>
      </c>
      <c r="H7" s="192">
        <v>10</v>
      </c>
      <c r="I7" s="192">
        <v>103.89</v>
      </c>
      <c r="J7" s="8">
        <f t="shared" si="1"/>
        <v>1038.9000000000001</v>
      </c>
      <c r="K7" s="8">
        <f t="shared" si="2"/>
        <v>1038.9000000000001</v>
      </c>
      <c r="L7" s="193">
        <v>0</v>
      </c>
      <c r="M7" s="193">
        <f>M6+K7-L7</f>
        <v>75479.856500000184</v>
      </c>
      <c r="N7" s="48"/>
    </row>
    <row r="8" spans="1:17">
      <c r="A8" s="28">
        <v>5</v>
      </c>
      <c r="B8" s="29">
        <v>45752</v>
      </c>
      <c r="C8" s="81"/>
      <c r="D8" s="187"/>
      <c r="E8" s="192">
        <v>45</v>
      </c>
      <c r="F8" s="192">
        <v>91.93</v>
      </c>
      <c r="G8" s="8">
        <f t="shared" si="0"/>
        <v>4136.8500000000004</v>
      </c>
      <c r="H8" s="192">
        <v>11</v>
      </c>
      <c r="I8" s="192">
        <v>103.89</v>
      </c>
      <c r="J8" s="8">
        <f t="shared" si="1"/>
        <v>1142.79</v>
      </c>
      <c r="K8" s="8">
        <f t="shared" si="2"/>
        <v>5279.64</v>
      </c>
      <c r="L8" s="193">
        <v>0</v>
      </c>
      <c r="M8" s="193">
        <f>M7+K8-L8</f>
        <v>80759.496500000183</v>
      </c>
      <c r="N8" s="48"/>
    </row>
    <row r="9" spans="1:17">
      <c r="A9" s="28">
        <v>6</v>
      </c>
      <c r="B9" s="29">
        <v>45753</v>
      </c>
      <c r="C9" s="81"/>
      <c r="D9" s="187"/>
      <c r="E9" s="192">
        <v>60</v>
      </c>
      <c r="F9" s="192">
        <v>91.93</v>
      </c>
      <c r="G9" s="8">
        <f t="shared" si="0"/>
        <v>5515.8</v>
      </c>
      <c r="H9" s="192">
        <v>5</v>
      </c>
      <c r="I9" s="192">
        <v>103.89</v>
      </c>
      <c r="J9" s="8">
        <f t="shared" si="1"/>
        <v>519.45000000000005</v>
      </c>
      <c r="K9" s="8">
        <f t="shared" si="2"/>
        <v>6035.25</v>
      </c>
      <c r="L9" s="193">
        <v>0</v>
      </c>
      <c r="M9" s="193">
        <f>M8+K9-L9</f>
        <v>86794.746500000183</v>
      </c>
      <c r="N9" s="48"/>
    </row>
    <row r="10" spans="1:17">
      <c r="A10" s="28">
        <v>7</v>
      </c>
      <c r="B10" s="29">
        <v>45754</v>
      </c>
      <c r="C10" s="81"/>
      <c r="D10" s="187"/>
      <c r="E10" s="192">
        <v>0</v>
      </c>
      <c r="F10" s="192">
        <v>0</v>
      </c>
      <c r="G10" s="8">
        <f t="shared" si="0"/>
        <v>0</v>
      </c>
      <c r="H10" s="192">
        <v>0</v>
      </c>
      <c r="I10" s="192">
        <v>0</v>
      </c>
      <c r="J10" s="8">
        <f t="shared" si="1"/>
        <v>0</v>
      </c>
      <c r="K10" s="8">
        <f t="shared" si="2"/>
        <v>0</v>
      </c>
      <c r="L10" s="193">
        <v>0</v>
      </c>
      <c r="M10" s="193">
        <f>M9+K10-L10</f>
        <v>86794.746500000183</v>
      </c>
      <c r="N10" s="48"/>
    </row>
    <row r="11" spans="1:17">
      <c r="A11" s="28">
        <v>8</v>
      </c>
      <c r="B11" s="29">
        <v>45755</v>
      </c>
      <c r="C11" s="81"/>
      <c r="D11" s="187"/>
      <c r="E11" s="192">
        <v>280</v>
      </c>
      <c r="F11" s="192">
        <v>91.93</v>
      </c>
      <c r="G11" s="8">
        <f t="shared" si="0"/>
        <v>25740.400000000001</v>
      </c>
      <c r="H11" s="192">
        <v>10</v>
      </c>
      <c r="I11" s="192">
        <v>103.89</v>
      </c>
      <c r="J11" s="8">
        <f t="shared" si="1"/>
        <v>1038.9000000000001</v>
      </c>
      <c r="K11" s="8">
        <f t="shared" si="2"/>
        <v>26779.300000000003</v>
      </c>
      <c r="L11" s="193">
        <v>0</v>
      </c>
      <c r="M11" s="193">
        <f>M10+K11-L11</f>
        <v>113574.04650000019</v>
      </c>
      <c r="N11" s="48" t="s">
        <v>139</v>
      </c>
      <c r="P11" s="327"/>
      <c r="Q11" s="328"/>
    </row>
    <row r="12" spans="1:17">
      <c r="A12" s="28">
        <v>9</v>
      </c>
      <c r="B12" s="29">
        <v>45756</v>
      </c>
      <c r="C12" s="81"/>
      <c r="D12" s="187"/>
      <c r="E12" s="192">
        <v>75</v>
      </c>
      <c r="F12" s="192">
        <v>91.93</v>
      </c>
      <c r="G12" s="8">
        <f t="shared" si="0"/>
        <v>6894.7500000000009</v>
      </c>
      <c r="H12" s="192">
        <v>0</v>
      </c>
      <c r="I12" s="192">
        <v>0</v>
      </c>
      <c r="J12" s="8">
        <f t="shared" si="1"/>
        <v>0</v>
      </c>
      <c r="K12" s="8">
        <f t="shared" si="2"/>
        <v>6894.7500000000009</v>
      </c>
      <c r="L12" s="193">
        <v>0</v>
      </c>
      <c r="M12" s="193">
        <f>M11+K12-L12</f>
        <v>120468.79650000019</v>
      </c>
      <c r="N12" s="48"/>
    </row>
    <row r="13" spans="1:17">
      <c r="A13" s="28">
        <v>10</v>
      </c>
      <c r="B13" s="29">
        <v>45757</v>
      </c>
      <c r="C13" s="81"/>
      <c r="D13" s="187"/>
      <c r="E13" s="192">
        <v>220</v>
      </c>
      <c r="F13" s="192">
        <v>91.93</v>
      </c>
      <c r="G13" s="8">
        <f t="shared" si="0"/>
        <v>20224.600000000002</v>
      </c>
      <c r="H13" s="192">
        <v>0</v>
      </c>
      <c r="I13" s="192">
        <v>0</v>
      </c>
      <c r="J13" s="8">
        <f t="shared" si="1"/>
        <v>0</v>
      </c>
      <c r="K13" s="8">
        <f t="shared" si="2"/>
        <v>20224.600000000002</v>
      </c>
      <c r="L13" s="193">
        <v>0</v>
      </c>
      <c r="M13" s="193">
        <f>M12+K13-L13</f>
        <v>140693.39650000018</v>
      </c>
      <c r="N13" s="48"/>
    </row>
    <row r="14" spans="1:17">
      <c r="A14" s="28">
        <v>11</v>
      </c>
      <c r="B14" s="29">
        <v>45758</v>
      </c>
      <c r="C14" s="81"/>
      <c r="D14" s="187"/>
      <c r="E14" s="192">
        <v>80</v>
      </c>
      <c r="F14" s="192">
        <v>91.93</v>
      </c>
      <c r="G14" s="8">
        <f t="shared" si="0"/>
        <v>7354.4000000000005</v>
      </c>
      <c r="H14" s="192">
        <v>5</v>
      </c>
      <c r="I14" s="192">
        <v>103.89</v>
      </c>
      <c r="J14" s="8">
        <f t="shared" si="1"/>
        <v>519.45000000000005</v>
      </c>
      <c r="K14" s="8">
        <f t="shared" si="2"/>
        <v>7873.85</v>
      </c>
      <c r="L14" s="193">
        <v>0</v>
      </c>
      <c r="M14" s="193">
        <f>M13+K14-L14</f>
        <v>148567.24650000018</v>
      </c>
      <c r="N14" s="48"/>
    </row>
    <row r="15" spans="1:17">
      <c r="A15" s="28">
        <v>12</v>
      </c>
      <c r="B15" s="29">
        <v>45759</v>
      </c>
      <c r="C15" s="81"/>
      <c r="D15" s="187"/>
      <c r="E15" s="192">
        <v>0</v>
      </c>
      <c r="F15" s="192">
        <v>0</v>
      </c>
      <c r="G15" s="8">
        <f t="shared" si="0"/>
        <v>0</v>
      </c>
      <c r="H15" s="192">
        <v>0</v>
      </c>
      <c r="I15" s="192">
        <v>0</v>
      </c>
      <c r="J15" s="8">
        <f t="shared" si="1"/>
        <v>0</v>
      </c>
      <c r="K15" s="8">
        <f t="shared" si="2"/>
        <v>0</v>
      </c>
      <c r="L15" s="193">
        <v>0</v>
      </c>
      <c r="M15" s="193">
        <f>M14+K15-L15</f>
        <v>148567.24650000018</v>
      </c>
      <c r="N15" s="48"/>
    </row>
    <row r="16" spans="1:17">
      <c r="A16" s="28">
        <v>13</v>
      </c>
      <c r="B16" s="29">
        <v>45760</v>
      </c>
      <c r="C16" s="81"/>
      <c r="D16" s="187"/>
      <c r="E16" s="192">
        <v>0</v>
      </c>
      <c r="F16" s="192">
        <v>0</v>
      </c>
      <c r="G16" s="8">
        <f t="shared" si="0"/>
        <v>0</v>
      </c>
      <c r="H16" s="192">
        <v>0</v>
      </c>
      <c r="I16" s="192">
        <v>0</v>
      </c>
      <c r="J16" s="8">
        <f t="shared" si="1"/>
        <v>0</v>
      </c>
      <c r="K16" s="8">
        <f t="shared" si="2"/>
        <v>0</v>
      </c>
      <c r="L16" s="193">
        <v>0</v>
      </c>
      <c r="M16" s="193">
        <f>M15+K16-L16</f>
        <v>148567.24650000018</v>
      </c>
      <c r="N16" s="48"/>
    </row>
    <row r="17" spans="1:14">
      <c r="A17" s="28">
        <v>14</v>
      </c>
      <c r="B17" s="29">
        <v>45761</v>
      </c>
      <c r="C17" s="81"/>
      <c r="D17" s="187"/>
      <c r="E17" s="192">
        <v>110</v>
      </c>
      <c r="F17" s="192">
        <v>91.93</v>
      </c>
      <c r="G17" s="8">
        <f t="shared" si="0"/>
        <v>10112.300000000001</v>
      </c>
      <c r="H17" s="192">
        <v>20</v>
      </c>
      <c r="I17" s="192">
        <v>103.89</v>
      </c>
      <c r="J17" s="8">
        <f t="shared" si="1"/>
        <v>2077.8000000000002</v>
      </c>
      <c r="K17" s="8">
        <f t="shared" si="2"/>
        <v>12190.100000000002</v>
      </c>
      <c r="L17" s="193">
        <v>0</v>
      </c>
      <c r="M17" s="193">
        <f>M16+K17-L17</f>
        <v>160757.34650000019</v>
      </c>
      <c r="N17" s="48"/>
    </row>
    <row r="18" spans="1:14">
      <c r="A18" s="28">
        <v>15</v>
      </c>
      <c r="B18" s="29">
        <v>45762</v>
      </c>
      <c r="C18" s="81"/>
      <c r="D18" s="187"/>
      <c r="E18" s="192">
        <v>237</v>
      </c>
      <c r="F18" s="192">
        <v>91.93</v>
      </c>
      <c r="G18" s="8">
        <f t="shared" si="0"/>
        <v>21787.41</v>
      </c>
      <c r="H18" s="192">
        <v>10</v>
      </c>
      <c r="I18" s="192">
        <v>103.89</v>
      </c>
      <c r="J18" s="8">
        <f t="shared" si="1"/>
        <v>1038.9000000000001</v>
      </c>
      <c r="K18" s="8">
        <f t="shared" si="2"/>
        <v>22826.31</v>
      </c>
      <c r="L18" s="193">
        <v>0</v>
      </c>
      <c r="M18" s="193">
        <f>M17+K18-L18</f>
        <v>183583.65650000019</v>
      </c>
      <c r="N18" s="48"/>
    </row>
    <row r="19" spans="1:14">
      <c r="A19" s="28">
        <v>16</v>
      </c>
      <c r="B19" s="29">
        <v>45763</v>
      </c>
      <c r="C19" s="81"/>
      <c r="D19" s="187"/>
      <c r="E19" s="192">
        <v>0</v>
      </c>
      <c r="F19" s="192">
        <v>0</v>
      </c>
      <c r="G19" s="8">
        <f t="shared" si="0"/>
        <v>0</v>
      </c>
      <c r="H19" s="192">
        <v>0</v>
      </c>
      <c r="I19" s="192">
        <v>0</v>
      </c>
      <c r="J19" s="8">
        <f t="shared" si="1"/>
        <v>0</v>
      </c>
      <c r="K19" s="8">
        <f t="shared" si="2"/>
        <v>0</v>
      </c>
      <c r="L19" s="193">
        <v>0</v>
      </c>
      <c r="M19" s="193">
        <f>M18+K19-L19</f>
        <v>183583.65650000019</v>
      </c>
      <c r="N19" s="48"/>
    </row>
    <row r="20" spans="1:14">
      <c r="A20" s="28">
        <v>17</v>
      </c>
      <c r="B20" s="29">
        <v>45764</v>
      </c>
      <c r="C20" s="81"/>
      <c r="D20" s="187"/>
      <c r="E20" s="192">
        <v>0</v>
      </c>
      <c r="F20" s="192">
        <v>0</v>
      </c>
      <c r="G20" s="8">
        <f t="shared" si="0"/>
        <v>0</v>
      </c>
      <c r="H20" s="192">
        <v>6</v>
      </c>
      <c r="I20" s="192">
        <v>103.89</v>
      </c>
      <c r="J20" s="8">
        <f t="shared" si="1"/>
        <v>623.34</v>
      </c>
      <c r="K20" s="8">
        <f t="shared" si="2"/>
        <v>623.34</v>
      </c>
      <c r="L20" s="193">
        <v>0</v>
      </c>
      <c r="M20" s="193">
        <f t="shared" ref="M20:M34" si="3">M19+K20-L20</f>
        <v>184206.99650000018</v>
      </c>
      <c r="N20" s="48"/>
    </row>
    <row r="21" spans="1:14">
      <c r="A21" s="28">
        <v>18</v>
      </c>
      <c r="B21" s="29">
        <v>45765</v>
      </c>
      <c r="C21" s="81"/>
      <c r="D21" s="187"/>
      <c r="E21" s="192">
        <v>27.56</v>
      </c>
      <c r="F21" s="192">
        <v>91.93</v>
      </c>
      <c r="G21" s="8">
        <f t="shared" si="0"/>
        <v>2533.5907999999999</v>
      </c>
      <c r="H21" s="192">
        <v>0</v>
      </c>
      <c r="I21" s="192">
        <v>0</v>
      </c>
      <c r="J21" s="8">
        <f t="shared" si="1"/>
        <v>0</v>
      </c>
      <c r="K21" s="8">
        <f t="shared" si="2"/>
        <v>2533.5907999999999</v>
      </c>
      <c r="L21" s="193">
        <v>0</v>
      </c>
      <c r="M21" s="193">
        <f t="shared" si="3"/>
        <v>186740.58730000019</v>
      </c>
      <c r="N21" s="48"/>
    </row>
    <row r="22" spans="1:14">
      <c r="A22" s="28">
        <v>19</v>
      </c>
      <c r="B22" s="29">
        <v>45766</v>
      </c>
      <c r="C22" s="81"/>
      <c r="D22" s="187"/>
      <c r="E22" s="192">
        <v>0</v>
      </c>
      <c r="F22" s="192">
        <v>0</v>
      </c>
      <c r="G22" s="8">
        <f t="shared" si="0"/>
        <v>0</v>
      </c>
      <c r="H22" s="192">
        <v>12</v>
      </c>
      <c r="I22" s="192">
        <v>103.89</v>
      </c>
      <c r="J22" s="8">
        <f t="shared" si="1"/>
        <v>1246.68</v>
      </c>
      <c r="K22" s="8">
        <f t="shared" si="2"/>
        <v>1246.68</v>
      </c>
      <c r="L22" s="193">
        <v>0</v>
      </c>
      <c r="M22" s="193">
        <f t="shared" si="3"/>
        <v>187987.26730000018</v>
      </c>
      <c r="N22" s="48"/>
    </row>
    <row r="23" spans="1:14">
      <c r="A23" s="28">
        <v>20</v>
      </c>
      <c r="B23" s="29">
        <v>45767</v>
      </c>
      <c r="C23" s="81"/>
      <c r="D23" s="187"/>
      <c r="E23" s="192">
        <v>125</v>
      </c>
      <c r="F23" s="192">
        <v>91.93</v>
      </c>
      <c r="G23" s="8">
        <f t="shared" si="0"/>
        <v>11491.25</v>
      </c>
      <c r="H23" s="192">
        <v>22</v>
      </c>
      <c r="I23" s="192">
        <v>103.89</v>
      </c>
      <c r="J23" s="8">
        <f t="shared" si="1"/>
        <v>2285.58</v>
      </c>
      <c r="K23" s="8">
        <f t="shared" si="2"/>
        <v>13776.83</v>
      </c>
      <c r="L23" s="193">
        <v>0</v>
      </c>
      <c r="M23" s="193">
        <f t="shared" si="3"/>
        <v>201764.09730000017</v>
      </c>
      <c r="N23" s="48"/>
    </row>
    <row r="24" spans="1:14">
      <c r="A24" s="28">
        <v>21</v>
      </c>
      <c r="B24" s="29">
        <v>45768</v>
      </c>
      <c r="C24" s="81"/>
      <c r="D24" s="187"/>
      <c r="E24" s="192">
        <v>0</v>
      </c>
      <c r="F24" s="192">
        <v>0</v>
      </c>
      <c r="G24" s="8">
        <f t="shared" si="0"/>
        <v>0</v>
      </c>
      <c r="H24" s="192">
        <v>0</v>
      </c>
      <c r="I24" s="192">
        <v>0</v>
      </c>
      <c r="J24" s="8">
        <f t="shared" si="1"/>
        <v>0</v>
      </c>
      <c r="K24" s="8">
        <f t="shared" si="2"/>
        <v>0</v>
      </c>
      <c r="L24" s="193">
        <v>0</v>
      </c>
      <c r="M24" s="193">
        <f t="shared" si="3"/>
        <v>201764.09730000017</v>
      </c>
      <c r="N24" s="48"/>
    </row>
    <row r="25" spans="1:14">
      <c r="A25" s="28">
        <v>22</v>
      </c>
      <c r="B25" s="29">
        <v>45769</v>
      </c>
      <c r="C25" s="81"/>
      <c r="D25" s="187"/>
      <c r="E25" s="192">
        <v>35</v>
      </c>
      <c r="F25" s="192">
        <v>91.93</v>
      </c>
      <c r="G25" s="8">
        <f t="shared" si="0"/>
        <v>3217.55</v>
      </c>
      <c r="H25" s="192">
        <v>0</v>
      </c>
      <c r="I25" s="192">
        <v>0</v>
      </c>
      <c r="J25" s="8">
        <f t="shared" si="1"/>
        <v>0</v>
      </c>
      <c r="K25" s="8">
        <f t="shared" si="2"/>
        <v>3217.55</v>
      </c>
      <c r="L25" s="193">
        <v>0</v>
      </c>
      <c r="M25" s="193">
        <f t="shared" si="3"/>
        <v>204981.64730000016</v>
      </c>
      <c r="N25" s="48"/>
    </row>
    <row r="26" spans="1:14">
      <c r="A26" s="28">
        <v>23</v>
      </c>
      <c r="B26" s="29">
        <v>45770</v>
      </c>
      <c r="C26" s="81"/>
      <c r="D26" s="187"/>
      <c r="E26" s="192">
        <v>0</v>
      </c>
      <c r="F26" s="192">
        <v>0</v>
      </c>
      <c r="G26" s="8">
        <f t="shared" si="0"/>
        <v>0</v>
      </c>
      <c r="H26" s="192">
        <v>0</v>
      </c>
      <c r="I26" s="192">
        <v>0</v>
      </c>
      <c r="J26" s="8">
        <f t="shared" si="1"/>
        <v>0</v>
      </c>
      <c r="K26" s="8">
        <f t="shared" si="2"/>
        <v>0</v>
      </c>
      <c r="L26" s="193">
        <v>0</v>
      </c>
      <c r="M26" s="193">
        <f t="shared" si="3"/>
        <v>204981.64730000016</v>
      </c>
      <c r="N26" s="48"/>
    </row>
    <row r="27" spans="1:14">
      <c r="A27" s="28">
        <v>24</v>
      </c>
      <c r="B27" s="29">
        <v>45771</v>
      </c>
      <c r="C27" s="81"/>
      <c r="D27" s="187"/>
      <c r="E27" s="192">
        <v>95</v>
      </c>
      <c r="F27" s="192">
        <v>91.93</v>
      </c>
      <c r="G27" s="8">
        <f t="shared" si="0"/>
        <v>8733.35</v>
      </c>
      <c r="H27" s="192">
        <v>18</v>
      </c>
      <c r="I27" s="192">
        <v>103.89</v>
      </c>
      <c r="J27" s="8">
        <f t="shared" si="1"/>
        <v>1870.02</v>
      </c>
      <c r="K27" s="8">
        <f t="shared" si="2"/>
        <v>10603.37</v>
      </c>
      <c r="L27" s="193">
        <v>0</v>
      </c>
      <c r="M27" s="193">
        <f t="shared" si="3"/>
        <v>215585.01730000015</v>
      </c>
      <c r="N27" s="48"/>
    </row>
    <row r="28" spans="1:14">
      <c r="A28" s="28">
        <v>25</v>
      </c>
      <c r="B28" s="29">
        <v>45772</v>
      </c>
      <c r="C28" s="81"/>
      <c r="D28" s="187"/>
      <c r="E28" s="192">
        <v>0</v>
      </c>
      <c r="F28" s="192">
        <v>0</v>
      </c>
      <c r="G28" s="8">
        <f t="shared" si="0"/>
        <v>0</v>
      </c>
      <c r="H28" s="192">
        <v>0</v>
      </c>
      <c r="I28" s="192">
        <v>0</v>
      </c>
      <c r="J28" s="8">
        <f t="shared" si="1"/>
        <v>0</v>
      </c>
      <c r="K28" s="8">
        <f t="shared" si="2"/>
        <v>0</v>
      </c>
      <c r="L28" s="193">
        <v>0</v>
      </c>
      <c r="M28" s="193">
        <f t="shared" si="3"/>
        <v>215585.01730000015</v>
      </c>
      <c r="N28" s="48"/>
    </row>
    <row r="29" spans="1:14">
      <c r="A29" s="28">
        <v>26</v>
      </c>
      <c r="B29" s="29">
        <v>45773</v>
      </c>
      <c r="C29" s="244"/>
      <c r="D29" s="187"/>
      <c r="E29" s="192">
        <v>270</v>
      </c>
      <c r="F29" s="192">
        <v>91.93</v>
      </c>
      <c r="G29" s="8">
        <f t="shared" si="0"/>
        <v>24821.100000000002</v>
      </c>
      <c r="H29" s="192">
        <v>26</v>
      </c>
      <c r="I29" s="192">
        <v>103.89</v>
      </c>
      <c r="J29" s="8">
        <f t="shared" si="1"/>
        <v>2701.14</v>
      </c>
      <c r="K29" s="8">
        <f t="shared" si="2"/>
        <v>27522.240000000002</v>
      </c>
      <c r="L29" s="193">
        <v>0</v>
      </c>
      <c r="M29" s="193">
        <f t="shared" si="3"/>
        <v>243107.25730000014</v>
      </c>
      <c r="N29" s="48"/>
    </row>
    <row r="30" spans="1:14">
      <c r="A30" s="28">
        <v>27</v>
      </c>
      <c r="B30" s="29">
        <v>45774</v>
      </c>
      <c r="C30" s="81"/>
      <c r="D30" s="187"/>
      <c r="E30" s="192">
        <v>0</v>
      </c>
      <c r="F30" s="192">
        <v>0</v>
      </c>
      <c r="G30" s="8">
        <f t="shared" si="0"/>
        <v>0</v>
      </c>
      <c r="H30" s="192">
        <v>0</v>
      </c>
      <c r="I30" s="192">
        <v>0</v>
      </c>
      <c r="J30" s="8">
        <f t="shared" si="1"/>
        <v>0</v>
      </c>
      <c r="K30" s="8">
        <f t="shared" si="2"/>
        <v>0</v>
      </c>
      <c r="L30" s="193">
        <v>0</v>
      </c>
      <c r="M30" s="193">
        <f t="shared" si="3"/>
        <v>243107.25730000014</v>
      </c>
      <c r="N30" s="48"/>
    </row>
    <row r="31" spans="1:14">
      <c r="A31" s="28">
        <v>28</v>
      </c>
      <c r="B31" s="29">
        <v>45775</v>
      </c>
      <c r="C31" s="81"/>
      <c r="D31" s="187"/>
      <c r="E31" s="192">
        <v>0</v>
      </c>
      <c r="F31" s="192">
        <v>0</v>
      </c>
      <c r="G31" s="8">
        <f t="shared" si="0"/>
        <v>0</v>
      </c>
      <c r="H31" s="192">
        <v>0</v>
      </c>
      <c r="I31" s="192">
        <v>0</v>
      </c>
      <c r="J31" s="8">
        <f t="shared" si="1"/>
        <v>0</v>
      </c>
      <c r="K31" s="8">
        <f t="shared" si="2"/>
        <v>0</v>
      </c>
      <c r="L31" s="193">
        <v>0</v>
      </c>
      <c r="M31" s="193">
        <f t="shared" si="3"/>
        <v>243107.25730000014</v>
      </c>
      <c r="N31" s="48"/>
    </row>
    <row r="32" spans="1:14">
      <c r="A32" s="28">
        <v>29</v>
      </c>
      <c r="B32" s="29">
        <v>45776</v>
      </c>
      <c r="C32" s="81"/>
      <c r="D32" s="187"/>
      <c r="E32" s="192">
        <v>265</v>
      </c>
      <c r="F32" s="192">
        <v>91.93</v>
      </c>
      <c r="G32" s="8">
        <f t="shared" si="0"/>
        <v>24361.45</v>
      </c>
      <c r="H32" s="192">
        <v>12</v>
      </c>
      <c r="I32" s="192">
        <v>103.89</v>
      </c>
      <c r="J32" s="8">
        <f t="shared" si="1"/>
        <v>1246.68</v>
      </c>
      <c r="K32" s="8">
        <f>G32+J32</f>
        <v>25608.13</v>
      </c>
      <c r="L32" s="193">
        <v>0</v>
      </c>
      <c r="M32" s="193">
        <f t="shared" si="3"/>
        <v>268715.38730000012</v>
      </c>
      <c r="N32" s="48"/>
    </row>
    <row r="33" spans="1:15">
      <c r="A33" s="28">
        <v>30</v>
      </c>
      <c r="B33" s="29">
        <v>45777</v>
      </c>
      <c r="C33" s="81"/>
      <c r="D33" s="187"/>
      <c r="E33" s="192">
        <v>35</v>
      </c>
      <c r="F33" s="192">
        <v>91.93</v>
      </c>
      <c r="G33" s="8">
        <f t="shared" si="0"/>
        <v>3217.55</v>
      </c>
      <c r="H33" s="192">
        <v>12</v>
      </c>
      <c r="I33" s="192">
        <v>103.89</v>
      </c>
      <c r="J33" s="8">
        <f t="shared" si="1"/>
        <v>1246.68</v>
      </c>
      <c r="K33" s="8">
        <f t="shared" si="2"/>
        <v>4464.2300000000005</v>
      </c>
      <c r="L33" s="193">
        <v>0</v>
      </c>
      <c r="M33" s="193">
        <f t="shared" si="3"/>
        <v>273179.6173000001</v>
      </c>
      <c r="N33" s="48"/>
    </row>
    <row r="34" spans="1:15">
      <c r="A34" s="28">
        <v>31</v>
      </c>
      <c r="B34" s="29"/>
      <c r="C34" s="81"/>
      <c r="D34" s="187"/>
      <c r="E34" s="192">
        <v>0</v>
      </c>
      <c r="F34" s="192">
        <v>0</v>
      </c>
      <c r="G34" s="8">
        <f t="shared" si="0"/>
        <v>0</v>
      </c>
      <c r="H34" s="192">
        <v>0</v>
      </c>
      <c r="I34" s="192">
        <v>0</v>
      </c>
      <c r="J34" s="8">
        <f t="shared" si="1"/>
        <v>0</v>
      </c>
      <c r="K34" s="8">
        <f t="shared" si="2"/>
        <v>0</v>
      </c>
      <c r="L34" s="193">
        <v>0</v>
      </c>
      <c r="M34" s="193">
        <f t="shared" si="3"/>
        <v>273179.6173000001</v>
      </c>
      <c r="N34" s="48"/>
    </row>
    <row r="35" spans="1:15">
      <c r="A35" s="188"/>
      <c r="B35" s="188"/>
      <c r="C35" s="188"/>
      <c r="D35" s="188"/>
      <c r="E35" s="189">
        <f>SUM(E4:E34)</f>
        <v>2391.84</v>
      </c>
      <c r="F35" s="189"/>
      <c r="G35" s="189">
        <f>SUM(G4:G34)</f>
        <v>219881.8512</v>
      </c>
      <c r="H35" s="189">
        <f>SUM(H4:H34)</f>
        <v>203</v>
      </c>
      <c r="I35" s="77"/>
      <c r="J35" s="189">
        <f>SUM(J4:J34)</f>
        <v>21089.670000000002</v>
      </c>
      <c r="K35" s="189">
        <f>SUM(K4:K34)</f>
        <v>240971.52119999999</v>
      </c>
      <c r="L35" s="189">
        <f>SUM(L4:L31)</f>
        <v>0</v>
      </c>
      <c r="M35" s="77"/>
      <c r="N35" s="77"/>
      <c r="O35" s="73"/>
    </row>
    <row r="36" spans="1:15">
      <c r="A36" s="87"/>
      <c r="B36" s="88"/>
      <c r="C36" s="87"/>
      <c r="D36" s="87"/>
      <c r="E36" s="89"/>
      <c r="F36" s="89"/>
      <c r="G36" s="89"/>
      <c r="H36" s="89"/>
      <c r="I36" s="89"/>
      <c r="J36" s="90"/>
      <c r="K36" s="90"/>
      <c r="L36" s="90"/>
      <c r="M36" s="90"/>
      <c r="N36" s="89"/>
    </row>
    <row r="42" spans="1:15">
      <c r="B42" s="73"/>
      <c r="G42" s="91"/>
      <c r="J42" s="73"/>
      <c r="K42" s="73"/>
      <c r="L42" s="73"/>
      <c r="M42" s="73"/>
      <c r="O42" s="89"/>
    </row>
    <row r="43" spans="1:15">
      <c r="B43" s="423"/>
      <c r="C43" s="423"/>
      <c r="D43" s="423"/>
      <c r="E43" s="423"/>
      <c r="I43" s="423"/>
      <c r="J43" s="423"/>
      <c r="K43" s="423"/>
      <c r="L43" s="423"/>
      <c r="M43" s="423"/>
      <c r="N43" s="423"/>
      <c r="O43" s="89"/>
    </row>
    <row r="44" spans="1:15">
      <c r="B44" s="73"/>
      <c r="J44" s="73"/>
      <c r="K44" s="73"/>
      <c r="L44" s="73"/>
      <c r="M44" s="73"/>
      <c r="O44" s="89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N35"/>
  <sheetViews>
    <sheetView workbookViewId="0">
      <selection activeCell="T40" sqref="T40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4" customWidth="1"/>
    <col min="8" max="8" width="12" style="24" customWidth="1"/>
    <col min="9" max="9" width="9.140625" style="24"/>
    <col min="10" max="10" width="11.140625" style="24" customWidth="1"/>
    <col min="11" max="11" width="12" style="24" customWidth="1"/>
    <col min="12" max="12" width="11.85546875" style="24" customWidth="1"/>
    <col min="13" max="13" width="13.85546875" customWidth="1"/>
  </cols>
  <sheetData>
    <row r="1" spans="1:14" ht="15.75">
      <c r="A1" s="401" t="s">
        <v>45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</row>
    <row r="2" spans="1:14">
      <c r="A2" s="114" t="s">
        <v>81</v>
      </c>
      <c r="B2" s="115" t="s">
        <v>82</v>
      </c>
      <c r="C2" s="115" t="s">
        <v>83</v>
      </c>
      <c r="D2" s="115" t="s">
        <v>108</v>
      </c>
      <c r="E2" s="115" t="s">
        <v>85</v>
      </c>
      <c r="F2" s="115" t="s">
        <v>86</v>
      </c>
      <c r="G2" s="301" t="s">
        <v>87</v>
      </c>
      <c r="H2" s="301" t="s">
        <v>88</v>
      </c>
      <c r="I2" s="301" t="s">
        <v>86</v>
      </c>
      <c r="J2" s="301" t="s">
        <v>87</v>
      </c>
      <c r="K2" s="302" t="s">
        <v>89</v>
      </c>
      <c r="L2" s="302" t="s">
        <v>90</v>
      </c>
      <c r="M2" s="165" t="s">
        <v>97</v>
      </c>
      <c r="N2" s="117" t="s">
        <v>92</v>
      </c>
    </row>
    <row r="3" spans="1:14">
      <c r="A3" s="441" t="s">
        <v>93</v>
      </c>
      <c r="B3" s="442"/>
      <c r="C3" s="442"/>
      <c r="D3" s="442"/>
      <c r="E3" s="442"/>
      <c r="F3" s="442"/>
      <c r="G3" s="442"/>
      <c r="H3" s="442"/>
      <c r="I3" s="442"/>
      <c r="J3" s="443"/>
      <c r="K3" s="273">
        <v>0</v>
      </c>
      <c r="L3" s="273"/>
      <c r="M3" s="204">
        <f>+K3</f>
        <v>0</v>
      </c>
      <c r="N3" s="274"/>
    </row>
    <row r="4" spans="1:14">
      <c r="A4" s="28">
        <v>1</v>
      </c>
      <c r="B4" s="29">
        <v>45748</v>
      </c>
      <c r="C4" s="19"/>
      <c r="D4" s="19"/>
      <c r="E4" s="237">
        <v>0</v>
      </c>
      <c r="F4" s="237">
        <v>0</v>
      </c>
      <c r="G4" s="260">
        <f>E4*F4</f>
        <v>0</v>
      </c>
      <c r="H4" s="260"/>
      <c r="I4" s="260"/>
      <c r="J4" s="260"/>
      <c r="K4" s="260">
        <f>G4+J4</f>
        <v>0</v>
      </c>
      <c r="L4" s="260">
        <f>+K4</f>
        <v>0</v>
      </c>
      <c r="M4" s="237"/>
      <c r="N4" s="19"/>
    </row>
    <row r="5" spans="1:14">
      <c r="A5" s="28">
        <v>2</v>
      </c>
      <c r="B5" s="29">
        <v>45749</v>
      </c>
      <c r="C5" s="19"/>
      <c r="D5" s="19"/>
      <c r="E5" s="237">
        <v>0</v>
      </c>
      <c r="F5" s="237">
        <v>0</v>
      </c>
      <c r="G5" s="260">
        <f t="shared" ref="G5:G34" si="0">E5*F5</f>
        <v>0</v>
      </c>
      <c r="H5" s="260"/>
      <c r="I5" s="260"/>
      <c r="J5" s="260"/>
      <c r="K5" s="260">
        <f>G5+J5</f>
        <v>0</v>
      </c>
      <c r="L5" s="260">
        <f>+K5</f>
        <v>0</v>
      </c>
      <c r="M5" s="237"/>
      <c r="N5" s="19"/>
    </row>
    <row r="6" spans="1:14">
      <c r="A6" s="28">
        <v>3</v>
      </c>
      <c r="B6" s="29">
        <v>45750</v>
      </c>
      <c r="C6" s="19"/>
      <c r="D6" s="19"/>
      <c r="E6" s="237">
        <v>0</v>
      </c>
      <c r="F6" s="237">
        <v>0</v>
      </c>
      <c r="G6" s="260">
        <f t="shared" si="0"/>
        <v>0</v>
      </c>
      <c r="H6" s="260"/>
      <c r="I6" s="260"/>
      <c r="J6" s="260"/>
      <c r="K6" s="260">
        <f t="shared" ref="K6:K17" si="1">G6+J6</f>
        <v>0</v>
      </c>
      <c r="L6" s="260">
        <f t="shared" ref="L6:L17" si="2">+K6</f>
        <v>0</v>
      </c>
      <c r="M6" s="237"/>
      <c r="N6" s="19"/>
    </row>
    <row r="7" spans="1:14">
      <c r="A7" s="28">
        <v>4</v>
      </c>
      <c r="B7" s="29">
        <v>45751</v>
      </c>
      <c r="C7" s="19"/>
      <c r="D7" s="19"/>
      <c r="E7" s="237">
        <v>0</v>
      </c>
      <c r="F7" s="237">
        <v>0</v>
      </c>
      <c r="G7" s="260">
        <f t="shared" si="0"/>
        <v>0</v>
      </c>
      <c r="H7" s="260">
        <v>5.79</v>
      </c>
      <c r="I7" s="260">
        <v>103.56</v>
      </c>
      <c r="J7" s="260">
        <f>H7*I7</f>
        <v>599.61239999999998</v>
      </c>
      <c r="K7" s="260">
        <f t="shared" si="1"/>
        <v>599.61239999999998</v>
      </c>
      <c r="L7" s="260">
        <f t="shared" si="2"/>
        <v>599.61239999999998</v>
      </c>
      <c r="M7" s="237"/>
      <c r="N7" s="19"/>
    </row>
    <row r="8" spans="1:14">
      <c r="A8" s="28">
        <v>5</v>
      </c>
      <c r="B8" s="29">
        <v>45752</v>
      </c>
      <c r="C8" s="19"/>
      <c r="D8" s="19"/>
      <c r="E8" s="237">
        <v>0</v>
      </c>
      <c r="F8" s="237">
        <v>0</v>
      </c>
      <c r="G8" s="260">
        <f t="shared" si="0"/>
        <v>0</v>
      </c>
      <c r="H8" s="260"/>
      <c r="I8" s="260"/>
      <c r="J8" s="260"/>
      <c r="K8" s="260">
        <f t="shared" si="1"/>
        <v>0</v>
      </c>
      <c r="L8" s="260">
        <f t="shared" si="2"/>
        <v>0</v>
      </c>
      <c r="M8" s="237"/>
      <c r="N8" s="19"/>
    </row>
    <row r="9" spans="1:14">
      <c r="A9" s="28">
        <v>6</v>
      </c>
      <c r="B9" s="29">
        <v>45753</v>
      </c>
      <c r="C9" s="19"/>
      <c r="D9" s="19"/>
      <c r="E9" s="237">
        <v>0</v>
      </c>
      <c r="F9" s="237">
        <v>0</v>
      </c>
      <c r="G9" s="260">
        <f t="shared" si="0"/>
        <v>0</v>
      </c>
      <c r="H9" s="260"/>
      <c r="I9" s="260"/>
      <c r="J9" s="260"/>
      <c r="K9" s="260">
        <f t="shared" si="1"/>
        <v>0</v>
      </c>
      <c r="L9" s="260">
        <f t="shared" si="2"/>
        <v>0</v>
      </c>
      <c r="M9" s="237"/>
      <c r="N9" s="19"/>
    </row>
    <row r="10" spans="1:14">
      <c r="A10" s="28">
        <v>7</v>
      </c>
      <c r="B10" s="29">
        <v>45754</v>
      </c>
      <c r="C10" s="19"/>
      <c r="D10" s="19"/>
      <c r="E10" s="237">
        <v>0</v>
      </c>
      <c r="F10" s="237">
        <v>0</v>
      </c>
      <c r="G10" s="260">
        <f t="shared" si="0"/>
        <v>0</v>
      </c>
      <c r="H10" s="260"/>
      <c r="I10" s="260"/>
      <c r="J10" s="260"/>
      <c r="K10" s="260">
        <f t="shared" si="1"/>
        <v>0</v>
      </c>
      <c r="L10" s="260">
        <f t="shared" si="2"/>
        <v>0</v>
      </c>
      <c r="M10" s="237"/>
      <c r="N10" s="19"/>
    </row>
    <row r="11" spans="1:14">
      <c r="A11" s="28">
        <v>8</v>
      </c>
      <c r="B11" s="29">
        <v>45755</v>
      </c>
      <c r="C11" s="19"/>
      <c r="D11" s="19"/>
      <c r="E11" s="237">
        <v>0</v>
      </c>
      <c r="F11" s="237">
        <v>0</v>
      </c>
      <c r="G11" s="260">
        <f t="shared" si="0"/>
        <v>0</v>
      </c>
      <c r="H11" s="260"/>
      <c r="I11" s="260"/>
      <c r="J11" s="260"/>
      <c r="K11" s="260">
        <f t="shared" si="1"/>
        <v>0</v>
      </c>
      <c r="L11" s="260">
        <f t="shared" si="2"/>
        <v>0</v>
      </c>
      <c r="M11" s="237"/>
      <c r="N11" s="19"/>
    </row>
    <row r="12" spans="1:14">
      <c r="A12" s="28">
        <v>9</v>
      </c>
      <c r="B12" s="29">
        <v>45756</v>
      </c>
      <c r="C12" s="19"/>
      <c r="D12" s="19"/>
      <c r="E12" s="237">
        <v>0</v>
      </c>
      <c r="F12" s="237">
        <v>0</v>
      </c>
      <c r="G12" s="260">
        <f t="shared" si="0"/>
        <v>0</v>
      </c>
      <c r="H12" s="260"/>
      <c r="I12" s="260"/>
      <c r="J12" s="260"/>
      <c r="K12" s="260">
        <f t="shared" si="1"/>
        <v>0</v>
      </c>
      <c r="L12" s="260">
        <f t="shared" si="2"/>
        <v>0</v>
      </c>
      <c r="M12" s="237"/>
      <c r="N12" s="19"/>
    </row>
    <row r="13" spans="1:14">
      <c r="A13" s="28">
        <v>10</v>
      </c>
      <c r="B13" s="29">
        <v>45757</v>
      </c>
      <c r="C13" s="19"/>
      <c r="D13" s="19"/>
      <c r="E13" s="237">
        <v>0</v>
      </c>
      <c r="F13" s="237">
        <v>0</v>
      </c>
      <c r="G13" s="260">
        <f t="shared" si="0"/>
        <v>0</v>
      </c>
      <c r="H13" s="260"/>
      <c r="I13" s="260"/>
      <c r="J13" s="260"/>
      <c r="K13" s="260">
        <f t="shared" si="1"/>
        <v>0</v>
      </c>
      <c r="L13" s="260">
        <f t="shared" si="2"/>
        <v>0</v>
      </c>
      <c r="M13" s="237"/>
      <c r="N13" s="19"/>
    </row>
    <row r="14" spans="1:14">
      <c r="A14" s="28">
        <v>11</v>
      </c>
      <c r="B14" s="29">
        <v>45758</v>
      </c>
      <c r="C14" s="19"/>
      <c r="D14" s="19"/>
      <c r="E14" s="237">
        <v>20</v>
      </c>
      <c r="F14" s="237">
        <v>91.59</v>
      </c>
      <c r="G14" s="260">
        <f t="shared" si="0"/>
        <v>1831.8000000000002</v>
      </c>
      <c r="H14" s="260"/>
      <c r="I14" s="260"/>
      <c r="J14" s="260"/>
      <c r="K14" s="260">
        <f t="shared" si="1"/>
        <v>1831.8000000000002</v>
      </c>
      <c r="L14" s="260">
        <f t="shared" si="2"/>
        <v>1831.8000000000002</v>
      </c>
      <c r="M14" s="237"/>
      <c r="N14" s="19"/>
    </row>
    <row r="15" spans="1:14">
      <c r="A15" s="28">
        <v>12</v>
      </c>
      <c r="B15" s="29">
        <v>45759</v>
      </c>
      <c r="C15" s="19"/>
      <c r="D15" s="19"/>
      <c r="E15" s="237">
        <v>0</v>
      </c>
      <c r="F15" s="237">
        <v>0</v>
      </c>
      <c r="G15" s="260">
        <f t="shared" si="0"/>
        <v>0</v>
      </c>
      <c r="H15" s="260"/>
      <c r="I15" s="260"/>
      <c r="J15" s="260"/>
      <c r="K15" s="260">
        <f t="shared" si="1"/>
        <v>0</v>
      </c>
      <c r="L15" s="260">
        <f t="shared" si="2"/>
        <v>0</v>
      </c>
      <c r="M15" s="237"/>
      <c r="N15" s="19"/>
    </row>
    <row r="16" spans="1:14">
      <c r="A16" s="28">
        <v>13</v>
      </c>
      <c r="B16" s="29">
        <v>45760</v>
      </c>
      <c r="C16" s="19"/>
      <c r="D16" s="19"/>
      <c r="E16" s="237">
        <v>0</v>
      </c>
      <c r="F16" s="237">
        <v>0</v>
      </c>
      <c r="G16" s="260">
        <f t="shared" si="0"/>
        <v>0</v>
      </c>
      <c r="H16" s="260"/>
      <c r="I16" s="260"/>
      <c r="J16" s="260"/>
      <c r="K16" s="260">
        <f t="shared" si="1"/>
        <v>0</v>
      </c>
      <c r="L16" s="260">
        <f t="shared" si="2"/>
        <v>0</v>
      </c>
      <c r="M16" s="237"/>
      <c r="N16" s="19"/>
    </row>
    <row r="17" spans="1:14">
      <c r="A17" s="28">
        <v>14</v>
      </c>
      <c r="B17" s="29">
        <v>45761</v>
      </c>
      <c r="C17" s="19"/>
      <c r="D17" s="19"/>
      <c r="E17" s="237">
        <v>0</v>
      </c>
      <c r="F17" s="237">
        <v>0</v>
      </c>
      <c r="G17" s="260">
        <f t="shared" si="0"/>
        <v>0</v>
      </c>
      <c r="H17" s="260"/>
      <c r="I17" s="260"/>
      <c r="J17" s="260"/>
      <c r="K17" s="260">
        <f t="shared" si="1"/>
        <v>0</v>
      </c>
      <c r="L17" s="260">
        <f t="shared" si="2"/>
        <v>0</v>
      </c>
      <c r="M17" s="237"/>
      <c r="N17" s="19"/>
    </row>
    <row r="18" spans="1:14">
      <c r="A18" s="28">
        <v>15</v>
      </c>
      <c r="B18" s="29">
        <v>45762</v>
      </c>
      <c r="C18" s="19"/>
      <c r="D18" s="19"/>
      <c r="E18" s="237">
        <v>0</v>
      </c>
      <c r="F18" s="237">
        <v>0</v>
      </c>
      <c r="G18" s="260">
        <f t="shared" si="0"/>
        <v>0</v>
      </c>
      <c r="H18" s="260"/>
      <c r="I18" s="260"/>
      <c r="J18" s="260"/>
      <c r="K18" s="260">
        <f t="shared" ref="K18:K21" si="3">G18+J18</f>
        <v>0</v>
      </c>
      <c r="L18" s="260">
        <f t="shared" ref="L18:L21" si="4">+K18</f>
        <v>0</v>
      </c>
      <c r="M18" s="237"/>
      <c r="N18" s="19"/>
    </row>
    <row r="19" spans="1:14">
      <c r="A19" s="28">
        <v>16</v>
      </c>
      <c r="B19" s="29">
        <v>45763</v>
      </c>
      <c r="C19" s="19"/>
      <c r="D19" s="19"/>
      <c r="E19" s="237">
        <v>0</v>
      </c>
      <c r="F19" s="237">
        <v>0</v>
      </c>
      <c r="G19" s="260">
        <f t="shared" si="0"/>
        <v>0</v>
      </c>
      <c r="H19" s="260"/>
      <c r="I19" s="260"/>
      <c r="J19" s="260"/>
      <c r="K19" s="260">
        <f t="shared" si="3"/>
        <v>0</v>
      </c>
      <c r="L19" s="260">
        <f t="shared" si="4"/>
        <v>0</v>
      </c>
      <c r="M19" s="237"/>
      <c r="N19" s="19"/>
    </row>
    <row r="20" spans="1:14">
      <c r="A20" s="28">
        <v>17</v>
      </c>
      <c r="B20" s="29">
        <v>45764</v>
      </c>
      <c r="C20" s="19"/>
      <c r="D20" s="19"/>
      <c r="E20" s="237">
        <v>50</v>
      </c>
      <c r="F20" s="237">
        <v>91.59</v>
      </c>
      <c r="G20" s="260">
        <f t="shared" si="0"/>
        <v>4579.5</v>
      </c>
      <c r="H20" s="260"/>
      <c r="I20" s="260"/>
      <c r="J20" s="260"/>
      <c r="K20" s="260">
        <f t="shared" si="3"/>
        <v>4579.5</v>
      </c>
      <c r="L20" s="260">
        <f t="shared" si="4"/>
        <v>4579.5</v>
      </c>
      <c r="M20" s="237"/>
      <c r="N20" s="19"/>
    </row>
    <row r="21" spans="1:14">
      <c r="A21" s="28">
        <v>18</v>
      </c>
      <c r="B21" s="29">
        <v>45765</v>
      </c>
      <c r="C21" s="19"/>
      <c r="D21" s="19"/>
      <c r="E21" s="237">
        <v>46</v>
      </c>
      <c r="F21" s="237">
        <v>91.59</v>
      </c>
      <c r="G21" s="260">
        <f t="shared" si="0"/>
        <v>4213.1400000000003</v>
      </c>
      <c r="H21" s="260"/>
      <c r="I21" s="260"/>
      <c r="J21" s="260"/>
      <c r="K21" s="260">
        <f t="shared" si="3"/>
        <v>4213.1400000000003</v>
      </c>
      <c r="L21" s="260">
        <f t="shared" si="4"/>
        <v>4213.1400000000003</v>
      </c>
      <c r="M21" s="237"/>
      <c r="N21" s="19"/>
    </row>
    <row r="22" spans="1:14">
      <c r="A22" s="28">
        <v>19</v>
      </c>
      <c r="B22" s="29">
        <v>45766</v>
      </c>
      <c r="C22" s="19"/>
      <c r="D22" s="19"/>
      <c r="E22" s="237">
        <v>30</v>
      </c>
      <c r="F22" s="237">
        <v>91.59</v>
      </c>
      <c r="G22" s="260">
        <f t="shared" si="0"/>
        <v>2747.7000000000003</v>
      </c>
      <c r="H22" s="260"/>
      <c r="I22" s="260"/>
      <c r="J22" s="260"/>
      <c r="K22" s="260">
        <f t="shared" ref="K22:K24" si="5">G22+J22</f>
        <v>2747.7000000000003</v>
      </c>
      <c r="L22" s="260">
        <f t="shared" ref="L22:L24" si="6">+K22</f>
        <v>2747.7000000000003</v>
      </c>
      <c r="M22" s="237"/>
      <c r="N22" s="19"/>
    </row>
    <row r="23" spans="1:14">
      <c r="A23" s="28">
        <v>20</v>
      </c>
      <c r="B23" s="29">
        <v>45767</v>
      </c>
      <c r="C23" s="19"/>
      <c r="D23" s="19"/>
      <c r="E23" s="237">
        <v>0</v>
      </c>
      <c r="F23" s="237">
        <v>0</v>
      </c>
      <c r="G23" s="260">
        <f t="shared" si="0"/>
        <v>0</v>
      </c>
      <c r="H23" s="260"/>
      <c r="I23" s="260"/>
      <c r="J23" s="260"/>
      <c r="K23" s="260">
        <f t="shared" si="5"/>
        <v>0</v>
      </c>
      <c r="L23" s="260">
        <f t="shared" si="6"/>
        <v>0</v>
      </c>
      <c r="M23" s="237"/>
      <c r="N23" s="19"/>
    </row>
    <row r="24" spans="1:14">
      <c r="A24" s="28">
        <v>21</v>
      </c>
      <c r="B24" s="29">
        <v>45768</v>
      </c>
      <c r="C24" s="19"/>
      <c r="D24" s="19"/>
      <c r="E24" s="237">
        <v>30</v>
      </c>
      <c r="F24" s="237">
        <v>91.59</v>
      </c>
      <c r="G24" s="260">
        <f t="shared" si="0"/>
        <v>2747.7000000000003</v>
      </c>
      <c r="H24" s="260"/>
      <c r="I24" s="260"/>
      <c r="J24" s="260"/>
      <c r="K24" s="260">
        <f t="shared" si="5"/>
        <v>2747.7000000000003</v>
      </c>
      <c r="L24" s="260">
        <f t="shared" si="6"/>
        <v>2747.7000000000003</v>
      </c>
      <c r="M24" s="237"/>
      <c r="N24" s="19"/>
    </row>
    <row r="25" spans="1:14">
      <c r="A25" s="28">
        <v>22</v>
      </c>
      <c r="B25" s="29">
        <v>45769</v>
      </c>
      <c r="C25" s="19"/>
      <c r="D25" s="19"/>
      <c r="E25" s="237">
        <v>0</v>
      </c>
      <c r="F25" s="237">
        <v>0</v>
      </c>
      <c r="G25" s="260">
        <f t="shared" si="0"/>
        <v>0</v>
      </c>
      <c r="H25" s="260">
        <v>5.81</v>
      </c>
      <c r="I25" s="260">
        <v>103.22</v>
      </c>
      <c r="J25" s="260">
        <f>H25*I25</f>
        <v>599.70819999999992</v>
      </c>
      <c r="K25" s="260">
        <f t="shared" ref="K25:K26" si="7">G25+J25</f>
        <v>599.70819999999992</v>
      </c>
      <c r="L25" s="260">
        <f t="shared" ref="L25:L26" si="8">+K25</f>
        <v>599.70819999999992</v>
      </c>
      <c r="M25" s="237"/>
      <c r="N25" s="19"/>
    </row>
    <row r="26" spans="1:14">
      <c r="A26" s="28">
        <v>23</v>
      </c>
      <c r="B26" s="29">
        <v>45770</v>
      </c>
      <c r="C26" s="19"/>
      <c r="D26" s="19"/>
      <c r="E26" s="237">
        <v>0</v>
      </c>
      <c r="F26" s="237">
        <v>0</v>
      </c>
      <c r="G26" s="260">
        <f t="shared" si="0"/>
        <v>0</v>
      </c>
      <c r="H26" s="260"/>
      <c r="I26" s="260"/>
      <c r="J26" s="260"/>
      <c r="K26" s="260">
        <f t="shared" si="7"/>
        <v>0</v>
      </c>
      <c r="L26" s="260">
        <f t="shared" si="8"/>
        <v>0</v>
      </c>
      <c r="M26" s="237"/>
      <c r="N26" s="19"/>
    </row>
    <row r="27" spans="1:14">
      <c r="A27" s="28">
        <v>24</v>
      </c>
      <c r="B27" s="29">
        <v>45771</v>
      </c>
      <c r="C27" s="19"/>
      <c r="D27" s="19"/>
      <c r="E27" s="237">
        <v>30</v>
      </c>
      <c r="F27" s="237">
        <v>91.59</v>
      </c>
      <c r="G27" s="260">
        <f t="shared" si="0"/>
        <v>2747.7000000000003</v>
      </c>
      <c r="H27" s="260"/>
      <c r="I27" s="260"/>
      <c r="J27" s="260"/>
      <c r="K27" s="260">
        <f t="shared" ref="K27:K29" si="9">G27+J27</f>
        <v>2747.7000000000003</v>
      </c>
      <c r="L27" s="260">
        <f t="shared" ref="L27:L29" si="10">+K27</f>
        <v>2747.7000000000003</v>
      </c>
      <c r="M27" s="237"/>
      <c r="N27" s="19"/>
    </row>
    <row r="28" spans="1:14">
      <c r="A28" s="28">
        <v>25</v>
      </c>
      <c r="B28" s="29">
        <v>45772</v>
      </c>
      <c r="C28" s="19"/>
      <c r="D28" s="19"/>
      <c r="E28" s="237">
        <v>0</v>
      </c>
      <c r="F28" s="237">
        <v>0</v>
      </c>
      <c r="G28" s="260">
        <f t="shared" si="0"/>
        <v>0</v>
      </c>
      <c r="H28" s="260"/>
      <c r="I28" s="260"/>
      <c r="J28" s="260"/>
      <c r="K28" s="260">
        <f t="shared" si="9"/>
        <v>0</v>
      </c>
      <c r="L28" s="260">
        <f t="shared" si="10"/>
        <v>0</v>
      </c>
      <c r="M28" s="237"/>
      <c r="N28" s="19"/>
    </row>
    <row r="29" spans="1:14">
      <c r="A29" s="28">
        <v>26</v>
      </c>
      <c r="B29" s="29">
        <v>45773</v>
      </c>
      <c r="C29" s="19"/>
      <c r="D29" s="19"/>
      <c r="E29" s="237">
        <v>0</v>
      </c>
      <c r="F29" s="237">
        <v>0</v>
      </c>
      <c r="G29" s="260">
        <f t="shared" si="0"/>
        <v>0</v>
      </c>
      <c r="H29" s="260"/>
      <c r="I29" s="260"/>
      <c r="J29" s="260"/>
      <c r="K29" s="260">
        <f t="shared" si="9"/>
        <v>0</v>
      </c>
      <c r="L29" s="260">
        <f t="shared" si="10"/>
        <v>0</v>
      </c>
      <c r="M29" s="237"/>
      <c r="N29" s="19"/>
    </row>
    <row r="30" spans="1:14">
      <c r="A30" s="28">
        <v>27</v>
      </c>
      <c r="B30" s="29">
        <v>45774</v>
      </c>
      <c r="C30" s="19"/>
      <c r="D30" s="19"/>
      <c r="E30" s="237">
        <v>0</v>
      </c>
      <c r="F30" s="237">
        <v>0</v>
      </c>
      <c r="G30" s="260">
        <f t="shared" si="0"/>
        <v>0</v>
      </c>
      <c r="H30" s="260"/>
      <c r="I30" s="260"/>
      <c r="J30" s="260"/>
      <c r="K30" s="260">
        <f t="shared" ref="K30" si="11">G30+J30</f>
        <v>0</v>
      </c>
      <c r="L30" s="260">
        <f t="shared" ref="L30" si="12">+K30</f>
        <v>0</v>
      </c>
      <c r="M30" s="237"/>
      <c r="N30" s="19"/>
    </row>
    <row r="31" spans="1:14">
      <c r="A31" s="280">
        <v>28</v>
      </c>
      <c r="B31" s="29">
        <v>45775</v>
      </c>
      <c r="C31" s="19"/>
      <c r="D31" s="19"/>
      <c r="E31" s="237">
        <v>0</v>
      </c>
      <c r="F31" s="237">
        <v>0</v>
      </c>
      <c r="G31" s="260">
        <f t="shared" si="0"/>
        <v>0</v>
      </c>
      <c r="H31" s="260"/>
      <c r="I31" s="260"/>
      <c r="J31" s="260"/>
      <c r="K31" s="260">
        <f t="shared" ref="K31:K33" si="13">G31+J31</f>
        <v>0</v>
      </c>
      <c r="L31" s="260">
        <f t="shared" ref="L31:L33" si="14">+K31</f>
        <v>0</v>
      </c>
      <c r="M31" s="237"/>
      <c r="N31" s="110"/>
    </row>
    <row r="32" spans="1:14">
      <c r="A32" s="28">
        <v>29</v>
      </c>
      <c r="B32" s="29">
        <v>45776</v>
      </c>
      <c r="C32" s="19"/>
      <c r="D32" s="19"/>
      <c r="E32" s="237">
        <v>0</v>
      </c>
      <c r="F32" s="237">
        <v>0</v>
      </c>
      <c r="G32" s="260">
        <f t="shared" si="0"/>
        <v>0</v>
      </c>
      <c r="H32" s="260"/>
      <c r="I32" s="260"/>
      <c r="J32" s="260"/>
      <c r="K32" s="260">
        <f t="shared" si="13"/>
        <v>0</v>
      </c>
      <c r="L32" s="260">
        <f t="shared" si="14"/>
        <v>0</v>
      </c>
      <c r="M32" s="237"/>
      <c r="N32" s="19"/>
    </row>
    <row r="33" spans="1:14">
      <c r="A33" s="28">
        <v>30</v>
      </c>
      <c r="B33" s="29">
        <v>45777</v>
      </c>
      <c r="C33" s="19"/>
      <c r="D33" s="19"/>
      <c r="E33" s="237">
        <v>0</v>
      </c>
      <c r="F33" s="237">
        <v>0</v>
      </c>
      <c r="G33" s="260">
        <f t="shared" si="0"/>
        <v>0</v>
      </c>
      <c r="H33" s="260"/>
      <c r="I33" s="260"/>
      <c r="J33" s="260"/>
      <c r="K33" s="260">
        <f t="shared" si="13"/>
        <v>0</v>
      </c>
      <c r="L33" s="260">
        <f t="shared" si="14"/>
        <v>0</v>
      </c>
      <c r="M33" s="237"/>
      <c r="N33" s="19"/>
    </row>
    <row r="34" spans="1:14">
      <c r="A34" s="28">
        <v>31</v>
      </c>
      <c r="B34" s="29"/>
      <c r="C34" s="19"/>
      <c r="D34" s="19"/>
      <c r="E34" s="237">
        <v>0</v>
      </c>
      <c r="F34" s="237">
        <v>0</v>
      </c>
      <c r="G34" s="260">
        <f t="shared" si="0"/>
        <v>0</v>
      </c>
      <c r="H34" s="260"/>
      <c r="I34" s="260"/>
      <c r="J34" s="260"/>
      <c r="K34" s="260"/>
      <c r="L34" s="260"/>
      <c r="M34" s="237"/>
      <c r="N34" s="19"/>
    </row>
    <row r="35" spans="1:14">
      <c r="A35" s="216"/>
      <c r="B35" s="216"/>
      <c r="C35" s="216"/>
      <c r="D35" s="216"/>
      <c r="E35" s="216">
        <f>SUM(E4:E34)</f>
        <v>206</v>
      </c>
      <c r="F35" s="216"/>
      <c r="G35" s="216">
        <f>SUM(G4:G34)</f>
        <v>18867.54</v>
      </c>
      <c r="H35" s="216">
        <f>SUM(H4:H34)</f>
        <v>11.6</v>
      </c>
      <c r="I35" s="216"/>
      <c r="J35" s="216">
        <f>SUM(J4:J34)</f>
        <v>1199.3206</v>
      </c>
      <c r="K35" s="216">
        <f>SUM(K4:K34)</f>
        <v>20066.860600000004</v>
      </c>
      <c r="L35" s="216">
        <f>SUM(L4:L34)</f>
        <v>20066.860600000004</v>
      </c>
      <c r="M35" s="216"/>
      <c r="N35" s="216"/>
    </row>
  </sheetData>
  <mergeCells count="2">
    <mergeCell ref="A1:N1"/>
    <mergeCell ref="A3:J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view="pageBreakPreview" zoomScale="60" zoomScaleNormal="90" workbookViewId="0">
      <pane ySplit="2" topLeftCell="A3" activePane="bottomLeft" state="frozen"/>
      <selection pane="bottomLeft" activeCell="P9" sqref="P9"/>
    </sheetView>
  </sheetViews>
  <sheetFormatPr defaultColWidth="9.140625" defaultRowHeight="12.75"/>
  <cols>
    <col min="1" max="1" width="5.28515625" style="35" bestFit="1" customWidth="1"/>
    <col min="2" max="2" width="11.85546875" style="35" bestFit="1" customWidth="1"/>
    <col min="3" max="3" width="10.7109375" style="35" bestFit="1" customWidth="1"/>
    <col min="4" max="4" width="21.5703125" style="35" customWidth="1"/>
    <col min="5" max="5" width="10.85546875" style="35" bestFit="1" customWidth="1"/>
    <col min="6" max="6" width="13.7109375" style="35" bestFit="1" customWidth="1"/>
    <col min="7" max="7" width="15.28515625" style="35" customWidth="1"/>
    <col min="8" max="8" width="10.85546875" style="35" bestFit="1" customWidth="1"/>
    <col min="9" max="9" width="8.140625" style="35" bestFit="1" customWidth="1"/>
    <col min="10" max="10" width="10.85546875" style="35" bestFit="1" customWidth="1"/>
    <col min="11" max="11" width="13.85546875" style="35" bestFit="1" customWidth="1"/>
    <col min="12" max="12" width="12.7109375" style="35" bestFit="1" customWidth="1"/>
    <col min="13" max="13" width="12.7109375" style="35" customWidth="1"/>
    <col min="14" max="14" width="17.7109375" style="35" bestFit="1" customWidth="1"/>
    <col min="15" max="15" width="13.7109375" style="35" customWidth="1"/>
    <col min="16" max="16384" width="9.140625" style="35"/>
  </cols>
  <sheetData>
    <row r="1" spans="1:24" ht="12.75" customHeight="1">
      <c r="A1" s="417" t="s">
        <v>25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</row>
    <row r="2" spans="1:24" ht="13.5">
      <c r="A2" s="119" t="s">
        <v>81</v>
      </c>
      <c r="B2" s="124" t="s">
        <v>82</v>
      </c>
      <c r="C2" s="124" t="s">
        <v>83</v>
      </c>
      <c r="D2" s="124" t="s">
        <v>84</v>
      </c>
      <c r="E2" s="124" t="s">
        <v>85</v>
      </c>
      <c r="F2" s="124" t="s">
        <v>86</v>
      </c>
      <c r="G2" s="124" t="s">
        <v>87</v>
      </c>
      <c r="H2" s="124" t="s">
        <v>88</v>
      </c>
      <c r="I2" s="124" t="s">
        <v>86</v>
      </c>
      <c r="J2" s="124" t="s">
        <v>87</v>
      </c>
      <c r="K2" s="124" t="s">
        <v>89</v>
      </c>
      <c r="L2" s="124" t="s">
        <v>90</v>
      </c>
      <c r="M2" s="124" t="s">
        <v>97</v>
      </c>
      <c r="N2" s="124" t="s">
        <v>92</v>
      </c>
    </row>
    <row r="3" spans="1:24" ht="15">
      <c r="A3" s="407" t="s">
        <v>93</v>
      </c>
      <c r="B3" s="408"/>
      <c r="C3" s="408"/>
      <c r="D3" s="408"/>
      <c r="E3" s="408"/>
      <c r="F3" s="408"/>
      <c r="G3" s="408"/>
      <c r="H3" s="408"/>
      <c r="I3" s="408"/>
      <c r="J3" s="420"/>
      <c r="K3" s="178">
        <v>0</v>
      </c>
      <c r="L3" s="177"/>
      <c r="M3" s="177">
        <f>+K3</f>
        <v>0</v>
      </c>
      <c r="N3" s="125"/>
    </row>
    <row r="4" spans="1:24" ht="15">
      <c r="A4" s="28">
        <v>1</v>
      </c>
      <c r="B4" s="29">
        <v>45748</v>
      </c>
      <c r="C4" s="125"/>
      <c r="D4" s="139"/>
      <c r="E4" s="38">
        <v>1670.75</v>
      </c>
      <c r="F4" s="38">
        <v>89.78</v>
      </c>
      <c r="G4" s="38">
        <f>E4*F4</f>
        <v>149999.935</v>
      </c>
      <c r="H4" s="140">
        <v>0</v>
      </c>
      <c r="I4" s="140">
        <v>0</v>
      </c>
      <c r="J4" s="38">
        <f>H4*I4</f>
        <v>0</v>
      </c>
      <c r="K4" s="39">
        <f>G4+J4</f>
        <v>149999.935</v>
      </c>
      <c r="L4" s="39">
        <v>2320</v>
      </c>
      <c r="M4" s="39">
        <f>M3+K4-L4</f>
        <v>147679.935</v>
      </c>
      <c r="N4" s="54"/>
    </row>
    <row r="5" spans="1:24" ht="15">
      <c r="A5" s="28">
        <v>2</v>
      </c>
      <c r="B5" s="29">
        <v>45749</v>
      </c>
      <c r="C5" s="125"/>
      <c r="D5" s="139"/>
      <c r="E5" s="38">
        <v>0</v>
      </c>
      <c r="F5" s="38">
        <v>0</v>
      </c>
      <c r="G5" s="38">
        <f t="shared" ref="G5:G33" si="0">E5*F5</f>
        <v>0</v>
      </c>
      <c r="H5" s="140">
        <v>0</v>
      </c>
      <c r="I5" s="140">
        <v>0</v>
      </c>
      <c r="J5" s="38">
        <f t="shared" ref="J5:J33" si="1">H5*I5</f>
        <v>0</v>
      </c>
      <c r="K5" s="39">
        <f t="shared" ref="K5:K33" si="2">G5+J5</f>
        <v>0</v>
      </c>
      <c r="L5" s="39">
        <v>0</v>
      </c>
      <c r="M5" s="39">
        <f>M4+K5-L5</f>
        <v>147679.935</v>
      </c>
      <c r="N5" s="54"/>
    </row>
    <row r="6" spans="1:24" ht="15">
      <c r="A6" s="28">
        <v>3</v>
      </c>
      <c r="B6" s="29">
        <v>45750</v>
      </c>
      <c r="C6" s="125"/>
      <c r="D6" s="139"/>
      <c r="E6" s="38">
        <v>0</v>
      </c>
      <c r="F6" s="38">
        <v>0</v>
      </c>
      <c r="G6" s="38">
        <f t="shared" si="0"/>
        <v>0</v>
      </c>
      <c r="H6" s="140">
        <v>100</v>
      </c>
      <c r="I6" s="140">
        <v>103.72</v>
      </c>
      <c r="J6" s="38">
        <f t="shared" si="1"/>
        <v>10372</v>
      </c>
      <c r="K6" s="39">
        <f t="shared" si="2"/>
        <v>10372</v>
      </c>
      <c r="L6" s="39">
        <v>0</v>
      </c>
      <c r="M6" s="39">
        <f>M5+K6-L6</f>
        <v>158051.935</v>
      </c>
      <c r="N6" s="54"/>
    </row>
    <row r="7" spans="1:24" ht="15">
      <c r="A7" s="28">
        <v>4</v>
      </c>
      <c r="B7" s="29">
        <v>45751</v>
      </c>
      <c r="C7" s="125"/>
      <c r="D7" s="139"/>
      <c r="E7" s="38">
        <v>0</v>
      </c>
      <c r="F7" s="38">
        <v>0</v>
      </c>
      <c r="G7" s="38">
        <f t="shared" si="0"/>
        <v>0</v>
      </c>
      <c r="H7" s="140">
        <v>0</v>
      </c>
      <c r="I7" s="140">
        <v>0</v>
      </c>
      <c r="J7" s="38">
        <f t="shared" si="1"/>
        <v>0</v>
      </c>
      <c r="K7" s="39">
        <f t="shared" si="2"/>
        <v>0</v>
      </c>
      <c r="L7" s="39">
        <v>0</v>
      </c>
      <c r="M7" s="39">
        <f>M6+K7-L7</f>
        <v>158051.935</v>
      </c>
      <c r="N7" s="54"/>
    </row>
    <row r="8" spans="1:24" ht="15">
      <c r="A8" s="28">
        <v>5</v>
      </c>
      <c r="B8" s="29">
        <v>45752</v>
      </c>
      <c r="C8" s="125"/>
      <c r="D8" s="139"/>
      <c r="E8" s="38">
        <v>0</v>
      </c>
      <c r="F8" s="38">
        <v>0</v>
      </c>
      <c r="G8" s="38">
        <f t="shared" si="0"/>
        <v>0</v>
      </c>
      <c r="H8" s="140">
        <v>0</v>
      </c>
      <c r="I8" s="140">
        <v>0</v>
      </c>
      <c r="J8" s="38">
        <f t="shared" si="1"/>
        <v>0</v>
      </c>
      <c r="K8" s="39">
        <f t="shared" si="2"/>
        <v>0</v>
      </c>
      <c r="L8" s="39">
        <v>0</v>
      </c>
      <c r="M8" s="39">
        <f>M7+K8-L8</f>
        <v>158051.935</v>
      </c>
      <c r="N8" s="54"/>
    </row>
    <row r="9" spans="1:24" ht="15">
      <c r="A9" s="28">
        <v>6</v>
      </c>
      <c r="B9" s="29">
        <v>45753</v>
      </c>
      <c r="C9" s="125"/>
      <c r="D9" s="139"/>
      <c r="E9" s="38">
        <v>0</v>
      </c>
      <c r="F9" s="38">
        <v>0</v>
      </c>
      <c r="G9" s="38">
        <f t="shared" si="0"/>
        <v>0</v>
      </c>
      <c r="H9" s="140">
        <v>0</v>
      </c>
      <c r="I9" s="140">
        <v>0</v>
      </c>
      <c r="J9" s="38">
        <f t="shared" si="1"/>
        <v>0</v>
      </c>
      <c r="K9" s="39">
        <f t="shared" si="2"/>
        <v>0</v>
      </c>
      <c r="L9" s="39">
        <v>0</v>
      </c>
      <c r="M9" s="39">
        <f t="shared" ref="M9:M27" si="3">M8+K9-L9</f>
        <v>158051.935</v>
      </c>
      <c r="N9" s="54"/>
    </row>
    <row r="10" spans="1:24" ht="15">
      <c r="A10" s="28">
        <v>7</v>
      </c>
      <c r="B10" s="29">
        <v>45754</v>
      </c>
      <c r="C10" s="125"/>
      <c r="D10" s="139"/>
      <c r="E10" s="38">
        <v>0</v>
      </c>
      <c r="F10" s="38">
        <v>0</v>
      </c>
      <c r="G10" s="38">
        <f t="shared" si="0"/>
        <v>0</v>
      </c>
      <c r="H10" s="140">
        <v>0</v>
      </c>
      <c r="I10" s="140">
        <v>0</v>
      </c>
      <c r="J10" s="38">
        <f t="shared" si="1"/>
        <v>0</v>
      </c>
      <c r="K10" s="39">
        <f t="shared" si="2"/>
        <v>0</v>
      </c>
      <c r="L10" s="39">
        <v>0</v>
      </c>
      <c r="M10" s="39">
        <f t="shared" si="3"/>
        <v>158051.935</v>
      </c>
      <c r="N10" s="54"/>
    </row>
    <row r="11" spans="1:24" ht="15">
      <c r="A11" s="28">
        <v>8</v>
      </c>
      <c r="B11" s="29">
        <v>45755</v>
      </c>
      <c r="C11" s="125"/>
      <c r="D11" s="139"/>
      <c r="E11" s="38">
        <v>0</v>
      </c>
      <c r="F11" s="38">
        <v>0</v>
      </c>
      <c r="G11" s="38">
        <f t="shared" si="0"/>
        <v>0</v>
      </c>
      <c r="H11" s="140">
        <v>0</v>
      </c>
      <c r="I11" s="140">
        <v>0</v>
      </c>
      <c r="J11" s="38">
        <f t="shared" si="1"/>
        <v>0</v>
      </c>
      <c r="K11" s="39">
        <f t="shared" si="2"/>
        <v>0</v>
      </c>
      <c r="L11" s="39">
        <v>0</v>
      </c>
      <c r="M11" s="39">
        <f t="shared" si="3"/>
        <v>158051.935</v>
      </c>
      <c r="N11" s="54"/>
    </row>
    <row r="12" spans="1:24" ht="15">
      <c r="A12" s="28">
        <v>9</v>
      </c>
      <c r="B12" s="29">
        <v>45756</v>
      </c>
      <c r="C12" s="125"/>
      <c r="D12" s="139"/>
      <c r="E12" s="38">
        <v>0</v>
      </c>
      <c r="F12" s="38">
        <v>0</v>
      </c>
      <c r="G12" s="38">
        <f t="shared" si="0"/>
        <v>0</v>
      </c>
      <c r="H12" s="140">
        <v>0</v>
      </c>
      <c r="I12" s="140">
        <v>0</v>
      </c>
      <c r="J12" s="38">
        <f t="shared" si="1"/>
        <v>0</v>
      </c>
      <c r="K12" s="39">
        <f t="shared" si="2"/>
        <v>0</v>
      </c>
      <c r="L12" s="39">
        <v>0</v>
      </c>
      <c r="M12" s="39">
        <f t="shared" si="3"/>
        <v>158051.935</v>
      </c>
      <c r="N12" s="54"/>
    </row>
    <row r="13" spans="1:24" ht="15">
      <c r="A13" s="28">
        <v>10</v>
      </c>
      <c r="B13" s="29">
        <v>45757</v>
      </c>
      <c r="C13" s="125"/>
      <c r="D13" s="139"/>
      <c r="E13" s="38">
        <v>0</v>
      </c>
      <c r="F13" s="38">
        <v>0</v>
      </c>
      <c r="G13" s="38">
        <f t="shared" si="0"/>
        <v>0</v>
      </c>
      <c r="H13" s="140">
        <v>0</v>
      </c>
      <c r="I13" s="140">
        <v>0</v>
      </c>
      <c r="J13" s="38">
        <f t="shared" si="1"/>
        <v>0</v>
      </c>
      <c r="K13" s="39">
        <f t="shared" si="2"/>
        <v>0</v>
      </c>
      <c r="L13" s="39">
        <v>158051.94</v>
      </c>
      <c r="M13" s="39">
        <f t="shared" si="3"/>
        <v>-5.0000000046566129E-3</v>
      </c>
      <c r="N13" s="54"/>
    </row>
    <row r="14" spans="1:24" ht="15">
      <c r="A14" s="28">
        <v>11</v>
      </c>
      <c r="B14" s="29">
        <v>45758</v>
      </c>
      <c r="C14" s="125"/>
      <c r="D14" s="139"/>
      <c r="E14" s="38">
        <v>0</v>
      </c>
      <c r="F14" s="38">
        <v>0</v>
      </c>
      <c r="G14" s="38">
        <f t="shared" si="0"/>
        <v>0</v>
      </c>
      <c r="H14" s="140">
        <v>0</v>
      </c>
      <c r="I14" s="140">
        <v>0</v>
      </c>
      <c r="J14" s="38">
        <f t="shared" si="1"/>
        <v>0</v>
      </c>
      <c r="K14" s="39">
        <f t="shared" si="2"/>
        <v>0</v>
      </c>
      <c r="L14" s="39">
        <v>0</v>
      </c>
      <c r="M14" s="39">
        <f t="shared" si="3"/>
        <v>-5.0000000046566129E-3</v>
      </c>
      <c r="N14" s="54"/>
    </row>
    <row r="15" spans="1:24" ht="15">
      <c r="A15" s="28">
        <v>12</v>
      </c>
      <c r="B15" s="29">
        <v>45759</v>
      </c>
      <c r="C15" s="125"/>
      <c r="D15" s="139"/>
      <c r="E15" s="38">
        <v>0</v>
      </c>
      <c r="F15" s="38">
        <v>0</v>
      </c>
      <c r="G15" s="38">
        <f t="shared" si="0"/>
        <v>0</v>
      </c>
      <c r="H15" s="140">
        <v>0</v>
      </c>
      <c r="I15" s="140">
        <v>0</v>
      </c>
      <c r="J15" s="38">
        <f t="shared" si="1"/>
        <v>0</v>
      </c>
      <c r="K15" s="39">
        <f t="shared" si="2"/>
        <v>0</v>
      </c>
      <c r="L15" s="39">
        <v>0</v>
      </c>
      <c r="M15" s="39">
        <f t="shared" si="3"/>
        <v>-5.0000000046566129E-3</v>
      </c>
      <c r="N15" s="54"/>
    </row>
    <row r="16" spans="1:24" ht="15">
      <c r="A16" s="28">
        <v>13</v>
      </c>
      <c r="B16" s="29">
        <v>45760</v>
      </c>
      <c r="C16" s="125"/>
      <c r="D16" s="139"/>
      <c r="E16" s="38">
        <v>0</v>
      </c>
      <c r="F16" s="38">
        <v>0</v>
      </c>
      <c r="G16" s="38">
        <f t="shared" si="0"/>
        <v>0</v>
      </c>
      <c r="H16" s="140">
        <v>0</v>
      </c>
      <c r="I16" s="140">
        <v>0</v>
      </c>
      <c r="J16" s="38">
        <f t="shared" si="1"/>
        <v>0</v>
      </c>
      <c r="K16" s="39">
        <f t="shared" si="2"/>
        <v>0</v>
      </c>
      <c r="L16" s="39">
        <v>0</v>
      </c>
      <c r="M16" s="39">
        <f t="shared" si="3"/>
        <v>-5.0000000046566129E-3</v>
      </c>
      <c r="N16" s="54"/>
      <c r="X16" s="35">
        <f>100*104</f>
        <v>10400</v>
      </c>
    </row>
    <row r="17" spans="1:14" ht="15">
      <c r="A17" s="28">
        <v>14</v>
      </c>
      <c r="B17" s="29">
        <v>45761</v>
      </c>
      <c r="C17" s="125"/>
      <c r="D17" s="139"/>
      <c r="E17" s="38">
        <v>0</v>
      </c>
      <c r="F17" s="38">
        <v>0</v>
      </c>
      <c r="G17" s="38">
        <f t="shared" si="0"/>
        <v>0</v>
      </c>
      <c r="H17" s="140">
        <v>100</v>
      </c>
      <c r="I17" s="140">
        <v>103.72</v>
      </c>
      <c r="J17" s="38">
        <f t="shared" si="1"/>
        <v>10372</v>
      </c>
      <c r="K17" s="39">
        <f t="shared" si="2"/>
        <v>10372</v>
      </c>
      <c r="L17" s="39">
        <v>0</v>
      </c>
      <c r="M17" s="39">
        <f t="shared" si="3"/>
        <v>10371.994999999995</v>
      </c>
      <c r="N17" s="54"/>
    </row>
    <row r="18" spans="1:14" ht="15">
      <c r="A18" s="28">
        <v>15</v>
      </c>
      <c r="B18" s="29">
        <v>45762</v>
      </c>
      <c r="C18" s="125"/>
      <c r="D18" s="139"/>
      <c r="E18" s="38">
        <v>1091.22</v>
      </c>
      <c r="F18" s="38">
        <v>91.64</v>
      </c>
      <c r="G18" s="38">
        <f t="shared" si="0"/>
        <v>99999.400800000003</v>
      </c>
      <c r="H18" s="140">
        <v>0</v>
      </c>
      <c r="I18" s="140">
        <v>0</v>
      </c>
      <c r="J18" s="38">
        <f t="shared" si="1"/>
        <v>0</v>
      </c>
      <c r="K18" s="39">
        <f t="shared" si="2"/>
        <v>99999.400800000003</v>
      </c>
      <c r="L18" s="39">
        <v>0</v>
      </c>
      <c r="M18" s="39">
        <f t="shared" si="3"/>
        <v>110371.3958</v>
      </c>
      <c r="N18" s="54"/>
    </row>
    <row r="19" spans="1:14" ht="15">
      <c r="A19" s="28">
        <v>16</v>
      </c>
      <c r="B19" s="29">
        <v>45763</v>
      </c>
      <c r="C19" s="125"/>
      <c r="D19" s="139"/>
      <c r="E19" s="38">
        <v>0</v>
      </c>
      <c r="F19" s="38">
        <v>0</v>
      </c>
      <c r="G19" s="38">
        <f t="shared" si="0"/>
        <v>0</v>
      </c>
      <c r="H19" s="140">
        <v>0</v>
      </c>
      <c r="I19" s="140">
        <v>0</v>
      </c>
      <c r="J19" s="38">
        <f t="shared" si="1"/>
        <v>0</v>
      </c>
      <c r="K19" s="39">
        <f t="shared" si="2"/>
        <v>0</v>
      </c>
      <c r="L19" s="39">
        <v>109360</v>
      </c>
      <c r="M19" s="39">
        <f t="shared" si="3"/>
        <v>1011.3957999999984</v>
      </c>
      <c r="N19" s="54"/>
    </row>
    <row r="20" spans="1:14" ht="15">
      <c r="A20" s="28">
        <v>17</v>
      </c>
      <c r="B20" s="29">
        <v>45764</v>
      </c>
      <c r="C20" s="125"/>
      <c r="D20" s="139"/>
      <c r="E20" s="38">
        <v>0</v>
      </c>
      <c r="F20" s="38">
        <v>0</v>
      </c>
      <c r="G20" s="38">
        <f t="shared" si="0"/>
        <v>0</v>
      </c>
      <c r="H20" s="140">
        <v>0</v>
      </c>
      <c r="I20" s="140">
        <v>0</v>
      </c>
      <c r="J20" s="38">
        <f t="shared" si="1"/>
        <v>0</v>
      </c>
      <c r="K20" s="39">
        <f t="shared" si="2"/>
        <v>0</v>
      </c>
      <c r="L20" s="354">
        <v>1012</v>
      </c>
      <c r="M20" s="39">
        <f t="shared" si="3"/>
        <v>-0.60420000000158325</v>
      </c>
      <c r="N20" s="54"/>
    </row>
    <row r="21" spans="1:14" ht="15">
      <c r="A21" s="28">
        <v>18</v>
      </c>
      <c r="B21" s="29">
        <v>45765</v>
      </c>
      <c r="C21" s="125"/>
      <c r="D21" s="139"/>
      <c r="E21" s="38">
        <v>0</v>
      </c>
      <c r="F21" s="38">
        <v>0</v>
      </c>
      <c r="G21" s="38">
        <f t="shared" si="0"/>
        <v>0</v>
      </c>
      <c r="H21" s="140">
        <v>0</v>
      </c>
      <c r="I21" s="140">
        <v>0</v>
      </c>
      <c r="J21" s="38">
        <f t="shared" si="1"/>
        <v>0</v>
      </c>
      <c r="K21" s="39">
        <f t="shared" si="2"/>
        <v>0</v>
      </c>
      <c r="L21" s="39">
        <v>0</v>
      </c>
      <c r="M21" s="39">
        <f t="shared" si="3"/>
        <v>-0.60420000000158325</v>
      </c>
      <c r="N21" s="54"/>
    </row>
    <row r="22" spans="1:14" ht="15">
      <c r="A22" s="28">
        <v>19</v>
      </c>
      <c r="B22" s="29">
        <v>45766</v>
      </c>
      <c r="C22" s="125"/>
      <c r="D22" s="139"/>
      <c r="E22" s="38">
        <v>0</v>
      </c>
      <c r="F22" s="38">
        <v>0</v>
      </c>
      <c r="G22" s="38">
        <f t="shared" si="0"/>
        <v>0</v>
      </c>
      <c r="H22" s="140">
        <v>0</v>
      </c>
      <c r="I22" s="140">
        <v>0</v>
      </c>
      <c r="J22" s="38">
        <f t="shared" si="1"/>
        <v>0</v>
      </c>
      <c r="K22" s="39">
        <f t="shared" si="2"/>
        <v>0</v>
      </c>
      <c r="L22" s="39">
        <v>0</v>
      </c>
      <c r="M22" s="39">
        <f t="shared" si="3"/>
        <v>-0.60420000000158325</v>
      </c>
      <c r="N22" s="54"/>
    </row>
    <row r="23" spans="1:14" ht="15">
      <c r="A23" s="28">
        <v>20</v>
      </c>
      <c r="B23" s="29">
        <v>45767</v>
      </c>
      <c r="C23" s="125"/>
      <c r="D23" s="139"/>
      <c r="E23" s="38">
        <v>0</v>
      </c>
      <c r="F23" s="38">
        <v>0</v>
      </c>
      <c r="G23" s="38">
        <f t="shared" si="0"/>
        <v>0</v>
      </c>
      <c r="H23" s="140">
        <v>0</v>
      </c>
      <c r="I23" s="140">
        <v>0</v>
      </c>
      <c r="J23" s="38">
        <f t="shared" si="1"/>
        <v>0</v>
      </c>
      <c r="K23" s="39">
        <f t="shared" si="2"/>
        <v>0</v>
      </c>
      <c r="L23" s="39">
        <v>0</v>
      </c>
      <c r="M23" s="39">
        <f t="shared" si="3"/>
        <v>-0.60420000000158325</v>
      </c>
      <c r="N23" s="54"/>
    </row>
    <row r="24" spans="1:14" ht="15">
      <c r="A24" s="28">
        <v>21</v>
      </c>
      <c r="B24" s="29">
        <v>45768</v>
      </c>
      <c r="C24" s="125"/>
      <c r="D24" s="139"/>
      <c r="E24" s="38">
        <v>0</v>
      </c>
      <c r="F24" s="38">
        <v>0</v>
      </c>
      <c r="G24" s="38">
        <f t="shared" si="0"/>
        <v>0</v>
      </c>
      <c r="H24" s="140">
        <v>0</v>
      </c>
      <c r="I24" s="140">
        <v>0</v>
      </c>
      <c r="J24" s="38">
        <f t="shared" si="1"/>
        <v>0</v>
      </c>
      <c r="K24" s="39">
        <f t="shared" si="2"/>
        <v>0</v>
      </c>
      <c r="L24" s="39">
        <v>0</v>
      </c>
      <c r="M24" s="39">
        <f t="shared" si="3"/>
        <v>-0.60420000000158325</v>
      </c>
      <c r="N24" s="54"/>
    </row>
    <row r="25" spans="1:14" ht="15">
      <c r="A25" s="28">
        <v>22</v>
      </c>
      <c r="B25" s="29">
        <v>45769</v>
      </c>
      <c r="C25" s="125"/>
      <c r="D25" s="139"/>
      <c r="E25" s="38">
        <v>0</v>
      </c>
      <c r="F25" s="38">
        <v>0</v>
      </c>
      <c r="G25" s="38">
        <f t="shared" si="0"/>
        <v>0</v>
      </c>
      <c r="H25" s="140">
        <v>0</v>
      </c>
      <c r="I25" s="140">
        <v>0</v>
      </c>
      <c r="J25" s="38">
        <f t="shared" si="1"/>
        <v>0</v>
      </c>
      <c r="K25" s="39">
        <f t="shared" si="2"/>
        <v>0</v>
      </c>
      <c r="L25" s="39">
        <v>0</v>
      </c>
      <c r="M25" s="39">
        <f t="shared" si="3"/>
        <v>-0.60420000000158325</v>
      </c>
      <c r="N25" s="54"/>
    </row>
    <row r="26" spans="1:14" ht="15">
      <c r="A26" s="28">
        <v>23</v>
      </c>
      <c r="B26" s="29">
        <v>45770</v>
      </c>
      <c r="C26" s="125"/>
      <c r="D26" s="139"/>
      <c r="E26" s="38">
        <v>0</v>
      </c>
      <c r="F26" s="38">
        <v>0</v>
      </c>
      <c r="G26" s="38">
        <f t="shared" si="0"/>
        <v>0</v>
      </c>
      <c r="H26" s="140">
        <v>0</v>
      </c>
      <c r="I26" s="140">
        <v>0</v>
      </c>
      <c r="J26" s="38">
        <f t="shared" si="1"/>
        <v>0</v>
      </c>
      <c r="K26" s="39">
        <f t="shared" si="2"/>
        <v>0</v>
      </c>
      <c r="L26" s="39">
        <v>0</v>
      </c>
      <c r="M26" s="39">
        <f t="shared" si="3"/>
        <v>-0.60420000000158325</v>
      </c>
      <c r="N26" s="54"/>
    </row>
    <row r="27" spans="1:14" ht="15">
      <c r="A27" s="28">
        <v>24</v>
      </c>
      <c r="B27" s="29">
        <v>45771</v>
      </c>
      <c r="C27" s="125"/>
      <c r="D27" s="139"/>
      <c r="E27" s="38">
        <v>0</v>
      </c>
      <c r="F27" s="38">
        <v>0</v>
      </c>
      <c r="G27" s="38">
        <f t="shared" si="0"/>
        <v>0</v>
      </c>
      <c r="H27" s="140">
        <v>0</v>
      </c>
      <c r="I27" s="140">
        <v>0</v>
      </c>
      <c r="J27" s="38">
        <f t="shared" si="1"/>
        <v>0</v>
      </c>
      <c r="K27" s="39">
        <f t="shared" si="2"/>
        <v>0</v>
      </c>
      <c r="L27" s="39">
        <v>0</v>
      </c>
      <c r="M27" s="39">
        <f>M26+K27-L27</f>
        <v>-0.60420000000158325</v>
      </c>
      <c r="N27" s="54"/>
    </row>
    <row r="28" spans="1:14" ht="15">
      <c r="A28" s="28">
        <v>25</v>
      </c>
      <c r="B28" s="29">
        <v>45772</v>
      </c>
      <c r="C28" s="125"/>
      <c r="D28" s="139"/>
      <c r="E28" s="38">
        <v>0</v>
      </c>
      <c r="F28" s="38">
        <v>0</v>
      </c>
      <c r="G28" s="38">
        <f t="shared" si="0"/>
        <v>0</v>
      </c>
      <c r="H28" s="140">
        <v>0</v>
      </c>
      <c r="I28" s="140">
        <v>0</v>
      </c>
      <c r="J28" s="38">
        <f t="shared" si="1"/>
        <v>0</v>
      </c>
      <c r="K28" s="39">
        <f t="shared" si="2"/>
        <v>0</v>
      </c>
      <c r="L28" s="39">
        <v>0</v>
      </c>
      <c r="M28" s="39">
        <f t="shared" ref="M28:M31" si="4">M27+K28-L28</f>
        <v>-0.60420000000158325</v>
      </c>
      <c r="N28" s="54"/>
    </row>
    <row r="29" spans="1:14" ht="15">
      <c r="A29" s="28">
        <v>26</v>
      </c>
      <c r="B29" s="29">
        <v>45773</v>
      </c>
      <c r="C29" s="125"/>
      <c r="D29" s="139"/>
      <c r="E29" s="38">
        <v>0</v>
      </c>
      <c r="F29" s="38">
        <v>0</v>
      </c>
      <c r="G29" s="38">
        <f t="shared" si="0"/>
        <v>0</v>
      </c>
      <c r="H29" s="140">
        <v>0</v>
      </c>
      <c r="I29" s="140">
        <v>0</v>
      </c>
      <c r="J29" s="38">
        <f t="shared" si="1"/>
        <v>0</v>
      </c>
      <c r="K29" s="39">
        <f t="shared" si="2"/>
        <v>0</v>
      </c>
      <c r="L29" s="39">
        <v>0</v>
      </c>
      <c r="M29" s="39">
        <f t="shared" si="4"/>
        <v>-0.60420000000158325</v>
      </c>
      <c r="N29" s="54"/>
    </row>
    <row r="30" spans="1:14" ht="15">
      <c r="A30" s="28">
        <v>27</v>
      </c>
      <c r="B30" s="29">
        <v>45774</v>
      </c>
      <c r="C30" s="125"/>
      <c r="D30" s="139"/>
      <c r="E30" s="38">
        <v>0</v>
      </c>
      <c r="F30" s="38">
        <v>0</v>
      </c>
      <c r="G30" s="38">
        <f t="shared" si="0"/>
        <v>0</v>
      </c>
      <c r="H30" s="140">
        <v>0</v>
      </c>
      <c r="I30" s="140">
        <v>0</v>
      </c>
      <c r="J30" s="38">
        <f t="shared" si="1"/>
        <v>0</v>
      </c>
      <c r="K30" s="39">
        <f t="shared" si="2"/>
        <v>0</v>
      </c>
      <c r="L30" s="39">
        <v>0</v>
      </c>
      <c r="M30" s="39">
        <f t="shared" si="4"/>
        <v>-0.60420000000158325</v>
      </c>
      <c r="N30" s="54"/>
    </row>
    <row r="31" spans="1:14" ht="15">
      <c r="A31" s="28">
        <v>28</v>
      </c>
      <c r="B31" s="29">
        <v>45775</v>
      </c>
      <c r="C31" s="125"/>
      <c r="D31" s="139"/>
      <c r="E31" s="38">
        <v>0</v>
      </c>
      <c r="F31" s="38">
        <v>0</v>
      </c>
      <c r="G31" s="38">
        <f t="shared" si="0"/>
        <v>0</v>
      </c>
      <c r="H31" s="140">
        <v>0</v>
      </c>
      <c r="I31" s="140">
        <v>0</v>
      </c>
      <c r="J31" s="38">
        <f t="shared" si="1"/>
        <v>0</v>
      </c>
      <c r="K31" s="39">
        <f t="shared" si="2"/>
        <v>0</v>
      </c>
      <c r="L31" s="39">
        <v>0</v>
      </c>
      <c r="M31" s="39">
        <f t="shared" si="4"/>
        <v>-0.60420000000158325</v>
      </c>
      <c r="N31" s="54"/>
    </row>
    <row r="32" spans="1:14" ht="15">
      <c r="A32" s="28">
        <v>29</v>
      </c>
      <c r="B32" s="29">
        <v>45776</v>
      </c>
      <c r="C32" s="125"/>
      <c r="D32" s="139"/>
      <c r="E32" s="38">
        <v>0</v>
      </c>
      <c r="F32" s="38">
        <v>0</v>
      </c>
      <c r="G32" s="38">
        <f t="shared" si="0"/>
        <v>0</v>
      </c>
      <c r="H32" s="140">
        <v>0</v>
      </c>
      <c r="I32" s="140">
        <v>0</v>
      </c>
      <c r="J32" s="38">
        <f t="shared" si="1"/>
        <v>0</v>
      </c>
      <c r="K32" s="39">
        <f t="shared" si="2"/>
        <v>0</v>
      </c>
      <c r="L32" s="39">
        <v>0</v>
      </c>
      <c r="M32" s="39"/>
      <c r="N32" s="54"/>
    </row>
    <row r="33" spans="1:14" ht="15">
      <c r="A33" s="28">
        <v>30</v>
      </c>
      <c r="B33" s="29">
        <v>45777</v>
      </c>
      <c r="C33" s="125"/>
      <c r="D33" s="139"/>
      <c r="E33" s="38">
        <v>0</v>
      </c>
      <c r="F33" s="38">
        <v>0</v>
      </c>
      <c r="G33" s="38">
        <f t="shared" si="0"/>
        <v>0</v>
      </c>
      <c r="H33" s="140">
        <v>0</v>
      </c>
      <c r="I33" s="140">
        <v>0</v>
      </c>
      <c r="J33" s="38">
        <f t="shared" si="1"/>
        <v>0</v>
      </c>
      <c r="K33" s="39">
        <f t="shared" si="2"/>
        <v>0</v>
      </c>
      <c r="L33" s="39">
        <v>0</v>
      </c>
      <c r="M33" s="39"/>
      <c r="N33" s="54"/>
    </row>
    <row r="34" spans="1:14" ht="15">
      <c r="A34" s="28">
        <v>31</v>
      </c>
      <c r="B34" s="29"/>
      <c r="C34" s="125"/>
      <c r="D34" s="139"/>
      <c r="E34" s="38"/>
      <c r="F34" s="38"/>
      <c r="G34" s="38"/>
      <c r="H34" s="140"/>
      <c r="I34" s="140"/>
      <c r="J34" s="38"/>
      <c r="K34" s="39"/>
      <c r="L34" s="39"/>
      <c r="M34" s="39"/>
      <c r="N34" s="54"/>
    </row>
    <row r="35" spans="1:14">
      <c r="A35" s="52"/>
      <c r="B35" s="52"/>
      <c r="C35" s="52"/>
      <c r="D35" s="52"/>
      <c r="E35" s="53">
        <f>SUM(E4:E24)</f>
        <v>2761.9700000000003</v>
      </c>
      <c r="F35" s="53"/>
      <c r="G35" s="53">
        <f>SUM(G4:G24)</f>
        <v>249999.3358</v>
      </c>
      <c r="H35" s="53">
        <f>SUM(H4:H24)</f>
        <v>200</v>
      </c>
      <c r="I35" s="53"/>
      <c r="J35" s="53">
        <f>SUM(J4:J24)</f>
        <v>20744</v>
      </c>
      <c r="K35" s="53">
        <f>SUM(K4:K24)</f>
        <v>270743.3358</v>
      </c>
      <c r="L35" s="53">
        <f>SUM(L4:L24)</f>
        <v>270743.94</v>
      </c>
      <c r="M35" s="53"/>
      <c r="N35" s="53"/>
    </row>
    <row r="36" spans="1:14">
      <c r="A36" s="40"/>
      <c r="B36" s="40"/>
      <c r="C36" s="40"/>
      <c r="D36" s="40"/>
      <c r="E36" s="41"/>
      <c r="F36" s="41"/>
      <c r="G36" s="41"/>
      <c r="H36" s="41"/>
      <c r="I36" s="41"/>
      <c r="J36" s="41"/>
      <c r="K36" s="41"/>
      <c r="L36" s="41"/>
      <c r="M36" s="41"/>
      <c r="N36" s="41"/>
    </row>
    <row r="37" spans="1:14">
      <c r="G37" s="42"/>
    </row>
    <row r="38" spans="1:14">
      <c r="B38" s="444"/>
      <c r="C38" s="444"/>
      <c r="D38" s="444"/>
      <c r="E38" s="444"/>
      <c r="I38" s="444"/>
      <c r="J38" s="444"/>
      <c r="K38" s="444"/>
      <c r="L38" s="444"/>
      <c r="M38" s="444"/>
      <c r="N38" s="444"/>
    </row>
  </sheetData>
  <mergeCells count="4">
    <mergeCell ref="A1:N1"/>
    <mergeCell ref="I38:N38"/>
    <mergeCell ref="B38:E38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workbookViewId="0">
      <selection activeCell="T36" sqref="T36"/>
    </sheetView>
  </sheetViews>
  <sheetFormatPr defaultRowHeight="15"/>
  <cols>
    <col min="2" max="2" width="9.5703125" bestFit="1" customWidth="1"/>
    <col min="3" max="3" width="11.7109375" customWidth="1"/>
    <col min="7" max="7" width="10.140625" bestFit="1" customWidth="1"/>
    <col min="11" max="11" width="10.140625" bestFit="1" customWidth="1"/>
    <col min="13" max="13" width="10.7109375" bestFit="1" customWidth="1"/>
  </cols>
  <sheetData>
    <row r="1" spans="1:14" ht="15.75" customHeight="1">
      <c r="A1" s="417" t="s">
        <v>27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</row>
    <row r="2" spans="1:14" ht="27">
      <c r="A2" s="119" t="s">
        <v>81</v>
      </c>
      <c r="B2" s="124" t="s">
        <v>82</v>
      </c>
      <c r="C2" s="124" t="s">
        <v>83</v>
      </c>
      <c r="D2" s="124" t="s">
        <v>84</v>
      </c>
      <c r="E2" s="124" t="s">
        <v>85</v>
      </c>
      <c r="F2" s="124" t="s">
        <v>86</v>
      </c>
      <c r="G2" s="124" t="s">
        <v>87</v>
      </c>
      <c r="H2" s="124" t="s">
        <v>88</v>
      </c>
      <c r="I2" s="124" t="s">
        <v>86</v>
      </c>
      <c r="J2" s="124" t="s">
        <v>87</v>
      </c>
      <c r="K2" s="124" t="s">
        <v>89</v>
      </c>
      <c r="L2" s="124" t="s">
        <v>90</v>
      </c>
      <c r="M2" s="124" t="s">
        <v>97</v>
      </c>
      <c r="N2" s="124" t="s">
        <v>92</v>
      </c>
    </row>
    <row r="3" spans="1:14">
      <c r="A3" s="407" t="s">
        <v>93</v>
      </c>
      <c r="B3" s="408"/>
      <c r="C3" s="408"/>
      <c r="D3" s="408"/>
      <c r="E3" s="408"/>
      <c r="F3" s="408"/>
      <c r="G3" s="408"/>
      <c r="H3" s="408"/>
      <c r="I3" s="408"/>
      <c r="J3" s="420"/>
      <c r="K3" s="178">
        <v>0</v>
      </c>
      <c r="L3" s="177"/>
      <c r="M3" s="177">
        <f>+K3</f>
        <v>0</v>
      </c>
      <c r="N3" s="125"/>
    </row>
    <row r="4" spans="1:14">
      <c r="A4" s="28">
        <v>1</v>
      </c>
      <c r="B4" s="29">
        <v>45748</v>
      </c>
      <c r="C4" s="125"/>
      <c r="D4" s="139"/>
      <c r="E4" s="39">
        <v>0</v>
      </c>
      <c r="F4" s="39">
        <v>0</v>
      </c>
      <c r="G4" s="39">
        <f>E4*F4</f>
        <v>0</v>
      </c>
      <c r="H4" s="140">
        <v>0</v>
      </c>
      <c r="I4" s="140">
        <v>0</v>
      </c>
      <c r="J4" s="39">
        <f>H4*I4</f>
        <v>0</v>
      </c>
      <c r="K4" s="39">
        <f>G4+J4</f>
        <v>0</v>
      </c>
      <c r="L4" s="39">
        <v>0</v>
      </c>
      <c r="M4" s="39">
        <f>M3+K4-L4</f>
        <v>0</v>
      </c>
      <c r="N4" s="54"/>
    </row>
    <row r="5" spans="1:14">
      <c r="A5" s="28">
        <v>2</v>
      </c>
      <c r="B5" s="29">
        <v>45749</v>
      </c>
      <c r="C5" s="125"/>
      <c r="D5" s="139"/>
      <c r="E5" s="39">
        <v>0</v>
      </c>
      <c r="F5" s="39">
        <v>0</v>
      </c>
      <c r="G5" s="39">
        <f>E5*F5</f>
        <v>0</v>
      </c>
      <c r="H5" s="140">
        <v>0</v>
      </c>
      <c r="I5" s="140">
        <v>0</v>
      </c>
      <c r="J5" s="39">
        <f>H5*I5</f>
        <v>0</v>
      </c>
      <c r="K5" s="39">
        <f>G5+J5</f>
        <v>0</v>
      </c>
      <c r="L5" s="39">
        <v>0</v>
      </c>
      <c r="M5" s="39">
        <f>M4+K5-L5</f>
        <v>0</v>
      </c>
      <c r="N5" s="54"/>
    </row>
    <row r="6" spans="1:14">
      <c r="A6" s="28">
        <v>3</v>
      </c>
      <c r="B6" s="29">
        <v>45750</v>
      </c>
      <c r="C6" s="125"/>
      <c r="D6" s="139"/>
      <c r="E6" s="39">
        <v>0</v>
      </c>
      <c r="F6" s="39">
        <v>0</v>
      </c>
      <c r="G6" s="39">
        <f>E6*F6</f>
        <v>0</v>
      </c>
      <c r="H6" s="140">
        <v>0</v>
      </c>
      <c r="I6" s="140">
        <v>0</v>
      </c>
      <c r="J6" s="39">
        <f>H6*I6</f>
        <v>0</v>
      </c>
      <c r="K6" s="39">
        <f>G6+J6</f>
        <v>0</v>
      </c>
      <c r="L6" s="39">
        <v>0</v>
      </c>
      <c r="M6" s="39">
        <f>M5+K6-L6</f>
        <v>0</v>
      </c>
      <c r="N6" s="54"/>
    </row>
    <row r="7" spans="1:14">
      <c r="A7" s="28">
        <v>4</v>
      </c>
      <c r="B7" s="29">
        <v>45751</v>
      </c>
      <c r="C7" s="125"/>
      <c r="D7" s="139"/>
      <c r="E7" s="39">
        <v>0</v>
      </c>
      <c r="F7" s="39">
        <v>0</v>
      </c>
      <c r="G7" s="39">
        <f>E7*F7</f>
        <v>0</v>
      </c>
      <c r="H7" s="140">
        <v>0</v>
      </c>
      <c r="I7" s="140">
        <v>0</v>
      </c>
      <c r="J7" s="39">
        <f>H7*I7</f>
        <v>0</v>
      </c>
      <c r="K7" s="39">
        <f>G7+J7</f>
        <v>0</v>
      </c>
      <c r="L7" s="39">
        <v>0</v>
      </c>
      <c r="M7" s="39">
        <f>M6+K7-L7</f>
        <v>0</v>
      </c>
      <c r="N7" s="54"/>
    </row>
    <row r="8" spans="1:14">
      <c r="A8" s="28">
        <v>5</v>
      </c>
      <c r="B8" s="29">
        <v>45752</v>
      </c>
      <c r="C8" s="125"/>
      <c r="D8" s="139"/>
      <c r="E8" s="39">
        <v>0</v>
      </c>
      <c r="F8" s="39">
        <v>0</v>
      </c>
      <c r="G8" s="39">
        <f>E8*F8</f>
        <v>0</v>
      </c>
      <c r="H8" s="140">
        <v>0</v>
      </c>
      <c r="I8" s="140">
        <v>0</v>
      </c>
      <c r="J8" s="39">
        <f>H8*I8</f>
        <v>0</v>
      </c>
      <c r="K8" s="39">
        <f>G8+J8</f>
        <v>0</v>
      </c>
      <c r="L8" s="39">
        <v>0</v>
      </c>
      <c r="M8" s="39">
        <f>M7+K8-L8</f>
        <v>0</v>
      </c>
      <c r="N8" s="54"/>
    </row>
    <row r="9" spans="1:14">
      <c r="A9" s="28">
        <v>6</v>
      </c>
      <c r="B9" s="29">
        <v>45753</v>
      </c>
      <c r="C9" s="125"/>
      <c r="D9" s="139"/>
      <c r="E9" s="39">
        <v>0</v>
      </c>
      <c r="F9" s="39">
        <v>0</v>
      </c>
      <c r="G9" s="39">
        <f>E9*F9</f>
        <v>0</v>
      </c>
      <c r="H9" s="140">
        <v>0</v>
      </c>
      <c r="I9" s="140">
        <v>0</v>
      </c>
      <c r="J9" s="39">
        <f>H9*I9</f>
        <v>0</v>
      </c>
      <c r="K9" s="39">
        <f>G9+J9</f>
        <v>0</v>
      </c>
      <c r="L9" s="39">
        <v>0</v>
      </c>
      <c r="M9" s="39">
        <f>M8+K9-L9</f>
        <v>0</v>
      </c>
      <c r="N9" s="54"/>
    </row>
    <row r="10" spans="1:14">
      <c r="A10" s="28">
        <v>7</v>
      </c>
      <c r="B10" s="29">
        <v>45754</v>
      </c>
      <c r="C10" s="125"/>
      <c r="D10" s="139"/>
      <c r="E10" s="39">
        <v>0</v>
      </c>
      <c r="F10" s="39">
        <v>0</v>
      </c>
      <c r="G10" s="39">
        <f>E10*F10</f>
        <v>0</v>
      </c>
      <c r="H10" s="140">
        <v>0</v>
      </c>
      <c r="I10" s="140">
        <v>0</v>
      </c>
      <c r="J10" s="39">
        <f>H10*I10</f>
        <v>0</v>
      </c>
      <c r="K10" s="39">
        <f>G10+J10</f>
        <v>0</v>
      </c>
      <c r="L10" s="39">
        <v>0</v>
      </c>
      <c r="M10" s="39">
        <f>M9+K10-L10</f>
        <v>0</v>
      </c>
      <c r="N10" s="54"/>
    </row>
    <row r="11" spans="1:14">
      <c r="A11" s="28">
        <v>8</v>
      </c>
      <c r="B11" s="29">
        <v>45755</v>
      </c>
      <c r="C11" s="125"/>
      <c r="D11" s="139"/>
      <c r="E11" s="39">
        <v>0</v>
      </c>
      <c r="F11" s="39">
        <v>0</v>
      </c>
      <c r="G11" s="39">
        <f>E11*F11</f>
        <v>0</v>
      </c>
      <c r="H11" s="140">
        <v>0</v>
      </c>
      <c r="I11" s="140">
        <v>0</v>
      </c>
      <c r="J11" s="39">
        <f>H11*I11</f>
        <v>0</v>
      </c>
      <c r="K11" s="39">
        <f>G11+J11</f>
        <v>0</v>
      </c>
      <c r="L11" s="39">
        <v>0</v>
      </c>
      <c r="M11" s="39">
        <f>M10+K11-L11</f>
        <v>0</v>
      </c>
      <c r="N11" s="54"/>
    </row>
    <row r="12" spans="1:14">
      <c r="A12" s="28">
        <v>9</v>
      </c>
      <c r="B12" s="29">
        <v>45756</v>
      </c>
      <c r="C12" s="125"/>
      <c r="D12" s="139"/>
      <c r="E12" s="39">
        <v>0</v>
      </c>
      <c r="F12" s="39">
        <v>0</v>
      </c>
      <c r="G12" s="39">
        <f>E12*F12</f>
        <v>0</v>
      </c>
      <c r="H12" s="140">
        <v>0</v>
      </c>
      <c r="I12" s="140">
        <v>0</v>
      </c>
      <c r="J12" s="39">
        <f>H12*I12</f>
        <v>0</v>
      </c>
      <c r="K12" s="39">
        <f>G12+J12</f>
        <v>0</v>
      </c>
      <c r="L12" s="39">
        <v>0</v>
      </c>
      <c r="M12" s="39">
        <f>M11+K12-L12</f>
        <v>0</v>
      </c>
      <c r="N12" s="54"/>
    </row>
    <row r="13" spans="1:14">
      <c r="A13" s="28">
        <v>10</v>
      </c>
      <c r="B13" s="29">
        <v>45757</v>
      </c>
      <c r="C13" s="125"/>
      <c r="D13" s="139"/>
      <c r="E13" s="39">
        <v>0</v>
      </c>
      <c r="F13" s="39">
        <v>0</v>
      </c>
      <c r="G13" s="39">
        <f>E13*F13</f>
        <v>0</v>
      </c>
      <c r="H13" s="140">
        <v>0</v>
      </c>
      <c r="I13" s="140">
        <v>0</v>
      </c>
      <c r="J13" s="39">
        <f>H13*I13</f>
        <v>0</v>
      </c>
      <c r="K13" s="39">
        <f>G13+J13</f>
        <v>0</v>
      </c>
      <c r="L13" s="39">
        <v>0</v>
      </c>
      <c r="M13" s="39">
        <f>M12+K13-L13</f>
        <v>0</v>
      </c>
      <c r="N13" s="54"/>
    </row>
    <row r="14" spans="1:14">
      <c r="A14" s="28">
        <v>11</v>
      </c>
      <c r="B14" s="29">
        <v>45758</v>
      </c>
      <c r="C14" s="125"/>
      <c r="D14" s="139"/>
      <c r="E14" s="39">
        <v>0</v>
      </c>
      <c r="F14" s="39">
        <v>0</v>
      </c>
      <c r="G14" s="39">
        <f>E14*F14</f>
        <v>0</v>
      </c>
      <c r="H14" s="140">
        <v>0</v>
      </c>
      <c r="I14" s="140">
        <v>0</v>
      </c>
      <c r="J14" s="39">
        <f>H14*I14</f>
        <v>0</v>
      </c>
      <c r="K14" s="39">
        <f>G14+J14</f>
        <v>0</v>
      </c>
      <c r="L14" s="39">
        <v>0</v>
      </c>
      <c r="M14" s="39">
        <f>M13+K14-L14</f>
        <v>0</v>
      </c>
      <c r="N14" s="54"/>
    </row>
    <row r="15" spans="1:14">
      <c r="A15" s="28">
        <v>12</v>
      </c>
      <c r="B15" s="29">
        <v>45759</v>
      </c>
      <c r="C15" s="125"/>
      <c r="D15" s="139"/>
      <c r="E15" s="39">
        <v>0</v>
      </c>
      <c r="F15" s="39">
        <v>0</v>
      </c>
      <c r="G15" s="39">
        <f>E15*F15</f>
        <v>0</v>
      </c>
      <c r="H15" s="140">
        <v>0</v>
      </c>
      <c r="I15" s="140">
        <v>0</v>
      </c>
      <c r="J15" s="39">
        <f>H15*I15</f>
        <v>0</v>
      </c>
      <c r="K15" s="39">
        <f>G15+J15</f>
        <v>0</v>
      </c>
      <c r="L15" s="39">
        <v>0</v>
      </c>
      <c r="M15" s="39">
        <f>M14+K15-L15</f>
        <v>0</v>
      </c>
      <c r="N15" s="54"/>
    </row>
    <row r="16" spans="1:14">
      <c r="A16" s="28">
        <v>13</v>
      </c>
      <c r="B16" s="29">
        <v>45760</v>
      </c>
      <c r="C16" s="125"/>
      <c r="D16" s="139"/>
      <c r="E16" s="39">
        <v>0</v>
      </c>
      <c r="F16" s="39">
        <v>0</v>
      </c>
      <c r="G16" s="39">
        <f>E16*F16</f>
        <v>0</v>
      </c>
      <c r="H16" s="140">
        <v>0</v>
      </c>
      <c r="I16" s="140">
        <v>0</v>
      </c>
      <c r="J16" s="39">
        <f>H16*I16</f>
        <v>0</v>
      </c>
      <c r="K16" s="39">
        <f>G16+J16</f>
        <v>0</v>
      </c>
      <c r="L16" s="39">
        <v>0</v>
      </c>
      <c r="M16" s="39">
        <f>M15+K16-L16</f>
        <v>0</v>
      </c>
      <c r="N16" s="54"/>
    </row>
    <row r="17" spans="1:14">
      <c r="A17" s="28">
        <v>14</v>
      </c>
      <c r="B17" s="29">
        <v>45761</v>
      </c>
      <c r="C17" s="125"/>
      <c r="D17" s="139"/>
      <c r="E17" s="39">
        <v>0</v>
      </c>
      <c r="F17" s="39">
        <v>0</v>
      </c>
      <c r="G17" s="39">
        <f>E17*F17</f>
        <v>0</v>
      </c>
      <c r="H17" s="140">
        <v>0</v>
      </c>
      <c r="I17" s="140">
        <v>0</v>
      </c>
      <c r="J17" s="39">
        <f>H17*I17</f>
        <v>0</v>
      </c>
      <c r="K17" s="39">
        <f>G17+J17</f>
        <v>0</v>
      </c>
      <c r="L17" s="39">
        <v>0</v>
      </c>
      <c r="M17" s="39">
        <f>M16+K17-L17</f>
        <v>0</v>
      </c>
      <c r="N17" s="54"/>
    </row>
    <row r="18" spans="1:14">
      <c r="A18" s="28">
        <v>15</v>
      </c>
      <c r="B18" s="29">
        <v>45762</v>
      </c>
      <c r="C18" s="125"/>
      <c r="D18" s="139"/>
      <c r="E18" s="39">
        <v>0</v>
      </c>
      <c r="F18" s="39">
        <v>0</v>
      </c>
      <c r="G18" s="39">
        <f>E18*F18</f>
        <v>0</v>
      </c>
      <c r="H18" s="140">
        <v>0</v>
      </c>
      <c r="I18" s="140">
        <v>0</v>
      </c>
      <c r="J18" s="39">
        <f>H18*I18</f>
        <v>0</v>
      </c>
      <c r="K18" s="39">
        <f>G18+J18</f>
        <v>0</v>
      </c>
      <c r="L18" s="39">
        <v>0</v>
      </c>
      <c r="M18" s="39">
        <f>M17+K18-L18</f>
        <v>0</v>
      </c>
      <c r="N18" s="54"/>
    </row>
    <row r="19" spans="1:14">
      <c r="A19" s="28">
        <v>16</v>
      </c>
      <c r="B19" s="29">
        <v>45763</v>
      </c>
      <c r="C19" s="125"/>
      <c r="D19" s="139"/>
      <c r="E19" s="39">
        <v>0</v>
      </c>
      <c r="F19" s="39">
        <v>0</v>
      </c>
      <c r="G19" s="39">
        <f>E19*F19</f>
        <v>0</v>
      </c>
      <c r="H19" s="140">
        <v>0</v>
      </c>
      <c r="I19" s="140">
        <v>0</v>
      </c>
      <c r="J19" s="39">
        <f>H19*I19</f>
        <v>0</v>
      </c>
      <c r="K19" s="39">
        <f>G19+J19</f>
        <v>0</v>
      </c>
      <c r="L19" s="39">
        <v>0</v>
      </c>
      <c r="M19" s="39">
        <f>M18+K19-L19</f>
        <v>0</v>
      </c>
      <c r="N19" s="54"/>
    </row>
    <row r="20" spans="1:14">
      <c r="A20" s="28">
        <v>17</v>
      </c>
      <c r="B20" s="29">
        <v>45764</v>
      </c>
      <c r="C20" s="125"/>
      <c r="D20" s="139"/>
      <c r="E20" s="39">
        <v>0</v>
      </c>
      <c r="F20" s="39">
        <v>0</v>
      </c>
      <c r="G20" s="39">
        <f>E20*F20</f>
        <v>0</v>
      </c>
      <c r="H20" s="140">
        <v>0</v>
      </c>
      <c r="I20" s="140">
        <v>0</v>
      </c>
      <c r="J20" s="39">
        <f>H20*I20</f>
        <v>0</v>
      </c>
      <c r="K20" s="39">
        <f>G20+J20</f>
        <v>0</v>
      </c>
      <c r="L20" s="39">
        <v>0</v>
      </c>
      <c r="M20" s="39">
        <f>M19+K20-L20</f>
        <v>0</v>
      </c>
      <c r="N20" s="54"/>
    </row>
    <row r="21" spans="1:14">
      <c r="A21" s="28">
        <v>18</v>
      </c>
      <c r="B21" s="29">
        <v>45765</v>
      </c>
      <c r="C21" s="125"/>
      <c r="D21" s="139"/>
      <c r="E21" s="39">
        <v>0</v>
      </c>
      <c r="F21" s="39">
        <v>0</v>
      </c>
      <c r="G21" s="39">
        <f>E21*F21</f>
        <v>0</v>
      </c>
      <c r="H21" s="140">
        <v>0</v>
      </c>
      <c r="I21" s="140">
        <v>0</v>
      </c>
      <c r="J21" s="39">
        <f>H21*I21</f>
        <v>0</v>
      </c>
      <c r="K21" s="39">
        <f>G21+J21</f>
        <v>0</v>
      </c>
      <c r="L21" s="39">
        <v>0</v>
      </c>
      <c r="M21" s="39">
        <f>M20+K21-L21</f>
        <v>0</v>
      </c>
      <c r="N21" s="54"/>
    </row>
    <row r="22" spans="1:14">
      <c r="A22" s="28">
        <v>19</v>
      </c>
      <c r="B22" s="29">
        <v>45766</v>
      </c>
      <c r="C22" s="125"/>
      <c r="D22" s="139"/>
      <c r="E22" s="39">
        <v>0</v>
      </c>
      <c r="F22" s="39">
        <v>0</v>
      </c>
      <c r="G22" s="39">
        <f>E22*F22</f>
        <v>0</v>
      </c>
      <c r="H22" s="140">
        <v>0</v>
      </c>
      <c r="I22" s="140">
        <v>0</v>
      </c>
      <c r="J22" s="39">
        <f>H22*I22</f>
        <v>0</v>
      </c>
      <c r="K22" s="39">
        <f>G22+J22</f>
        <v>0</v>
      </c>
      <c r="L22" s="39">
        <v>0</v>
      </c>
      <c r="M22" s="39">
        <f>M21+K22-L22</f>
        <v>0</v>
      </c>
      <c r="N22" s="54"/>
    </row>
    <row r="23" spans="1:14">
      <c r="A23" s="28">
        <v>20</v>
      </c>
      <c r="B23" s="29">
        <v>45767</v>
      </c>
      <c r="C23" s="125"/>
      <c r="D23" s="139"/>
      <c r="E23" s="39">
        <v>0</v>
      </c>
      <c r="F23" s="39">
        <v>0</v>
      </c>
      <c r="G23" s="39">
        <f>E23*F23</f>
        <v>0</v>
      </c>
      <c r="H23" s="140">
        <v>0</v>
      </c>
      <c r="I23" s="140">
        <v>0</v>
      </c>
      <c r="J23" s="39">
        <f>H23*I23</f>
        <v>0</v>
      </c>
      <c r="K23" s="39">
        <f>G23+J23</f>
        <v>0</v>
      </c>
      <c r="L23" s="39">
        <v>0</v>
      </c>
      <c r="M23" s="39">
        <f>M22+K23-L23</f>
        <v>0</v>
      </c>
      <c r="N23" s="54"/>
    </row>
    <row r="24" spans="1:14">
      <c r="A24" s="28">
        <v>21</v>
      </c>
      <c r="B24" s="29">
        <v>45768</v>
      </c>
      <c r="C24" s="125"/>
      <c r="D24" s="139"/>
      <c r="E24" s="39">
        <v>0</v>
      </c>
      <c r="F24" s="39">
        <v>0</v>
      </c>
      <c r="G24" s="39">
        <f>E24*F24</f>
        <v>0</v>
      </c>
      <c r="H24" s="140">
        <v>0</v>
      </c>
      <c r="I24" s="140">
        <v>0</v>
      </c>
      <c r="J24" s="39">
        <f>H24*I24</f>
        <v>0</v>
      </c>
      <c r="K24" s="39">
        <f>G24+J24</f>
        <v>0</v>
      </c>
      <c r="L24" s="39">
        <v>0</v>
      </c>
      <c r="M24" s="39">
        <f>M23+K24-L24</f>
        <v>0</v>
      </c>
      <c r="N24" s="54"/>
    </row>
    <row r="25" spans="1:14">
      <c r="A25" s="28">
        <v>22</v>
      </c>
      <c r="B25" s="29">
        <v>45769</v>
      </c>
      <c r="C25" s="125" t="s">
        <v>140</v>
      </c>
      <c r="D25" s="139"/>
      <c r="E25" s="39">
        <v>1500</v>
      </c>
      <c r="F25" s="39">
        <v>91.39</v>
      </c>
      <c r="G25" s="39">
        <f>E25*F25</f>
        <v>137085</v>
      </c>
      <c r="H25" s="140">
        <v>70</v>
      </c>
      <c r="I25" s="140">
        <v>103.46</v>
      </c>
      <c r="J25" s="39">
        <f>H25*I25</f>
        <v>7242.2</v>
      </c>
      <c r="K25" s="39">
        <f>G25+J25</f>
        <v>144327.20000000001</v>
      </c>
      <c r="L25" s="39">
        <v>0</v>
      </c>
      <c r="M25" s="39">
        <f>M24+K25-L25</f>
        <v>144327.20000000001</v>
      </c>
      <c r="N25" s="54"/>
    </row>
    <row r="26" spans="1:14">
      <c r="A26" s="28">
        <v>23</v>
      </c>
      <c r="B26" s="29">
        <v>45770</v>
      </c>
      <c r="C26" s="125"/>
      <c r="D26" s="139"/>
      <c r="E26" s="39">
        <v>0</v>
      </c>
      <c r="F26" s="39">
        <v>0</v>
      </c>
      <c r="G26" s="39">
        <f>E26*F26</f>
        <v>0</v>
      </c>
      <c r="H26" s="140">
        <v>0</v>
      </c>
      <c r="I26" s="140">
        <v>0</v>
      </c>
      <c r="J26" s="39">
        <f>H26*I26</f>
        <v>0</v>
      </c>
      <c r="K26" s="39">
        <f>G26+J26</f>
        <v>0</v>
      </c>
      <c r="L26" s="39">
        <v>0</v>
      </c>
      <c r="M26" s="39">
        <f>M25+K26-L26</f>
        <v>144327.20000000001</v>
      </c>
      <c r="N26" s="54"/>
    </row>
    <row r="27" spans="1:14">
      <c r="A27" s="28">
        <v>24</v>
      </c>
      <c r="B27" s="29">
        <v>45771</v>
      </c>
      <c r="C27" s="125"/>
      <c r="D27" s="139"/>
      <c r="E27" s="39">
        <v>0</v>
      </c>
      <c r="F27" s="39">
        <v>0</v>
      </c>
      <c r="G27" s="39">
        <f>E27*F27</f>
        <v>0</v>
      </c>
      <c r="H27" s="140">
        <v>0</v>
      </c>
      <c r="I27" s="140">
        <v>0</v>
      </c>
      <c r="J27" s="39">
        <f>H27*I27</f>
        <v>0</v>
      </c>
      <c r="K27" s="39">
        <f>G27+J27</f>
        <v>0</v>
      </c>
      <c r="L27" s="39">
        <v>0</v>
      </c>
      <c r="M27" s="39">
        <f>M26+K27-L27</f>
        <v>144327.20000000001</v>
      </c>
      <c r="N27" s="54"/>
    </row>
    <row r="28" spans="1:14">
      <c r="A28" s="28">
        <v>25</v>
      </c>
      <c r="B28" s="29">
        <v>45772</v>
      </c>
      <c r="C28" s="125"/>
      <c r="D28" s="139"/>
      <c r="E28" s="39">
        <v>0</v>
      </c>
      <c r="F28" s="39">
        <v>0</v>
      </c>
      <c r="G28" s="39">
        <f>E28*F28</f>
        <v>0</v>
      </c>
      <c r="H28" s="140">
        <v>0</v>
      </c>
      <c r="I28" s="140">
        <v>0</v>
      </c>
      <c r="J28" s="39">
        <f>H28*I28</f>
        <v>0</v>
      </c>
      <c r="K28" s="39">
        <f>G28+J28</f>
        <v>0</v>
      </c>
      <c r="L28" s="39">
        <v>0</v>
      </c>
      <c r="M28" s="39">
        <f>M27+K28-L28</f>
        <v>144327.20000000001</v>
      </c>
      <c r="N28" s="54"/>
    </row>
    <row r="29" spans="1:14">
      <c r="A29" s="28">
        <v>26</v>
      </c>
      <c r="B29" s="29">
        <v>45773</v>
      </c>
      <c r="C29" s="125"/>
      <c r="D29" s="139"/>
      <c r="E29" s="39">
        <v>0</v>
      </c>
      <c r="F29" s="39">
        <v>0</v>
      </c>
      <c r="G29" s="39">
        <f>E29*F29</f>
        <v>0</v>
      </c>
      <c r="H29" s="140">
        <v>0</v>
      </c>
      <c r="I29" s="140">
        <v>0</v>
      </c>
      <c r="J29" s="39">
        <f>H29*I29</f>
        <v>0</v>
      </c>
      <c r="K29" s="39">
        <f>G29+J29</f>
        <v>0</v>
      </c>
      <c r="L29" s="39">
        <v>0</v>
      </c>
      <c r="M29" s="39">
        <f>M28+K29-L29</f>
        <v>144327.20000000001</v>
      </c>
      <c r="N29" s="54"/>
    </row>
    <row r="30" spans="1:14">
      <c r="A30" s="28">
        <v>27</v>
      </c>
      <c r="B30" s="29">
        <v>45774</v>
      </c>
      <c r="C30" s="125"/>
      <c r="D30" s="139"/>
      <c r="E30" s="39">
        <v>0</v>
      </c>
      <c r="F30" s="39">
        <v>0</v>
      </c>
      <c r="G30" s="39">
        <f>E30*F30</f>
        <v>0</v>
      </c>
      <c r="H30" s="140">
        <v>0</v>
      </c>
      <c r="I30" s="140">
        <v>0</v>
      </c>
      <c r="J30" s="39">
        <f>H30*I30</f>
        <v>0</v>
      </c>
      <c r="K30" s="39">
        <f>G30+J30</f>
        <v>0</v>
      </c>
      <c r="L30" s="39">
        <v>0</v>
      </c>
      <c r="M30" s="39">
        <f>M29+K30-L30</f>
        <v>144327.20000000001</v>
      </c>
      <c r="N30" s="54"/>
    </row>
    <row r="31" spans="1:14">
      <c r="A31" s="28">
        <v>28</v>
      </c>
      <c r="B31" s="29">
        <v>45775</v>
      </c>
      <c r="C31" s="125"/>
      <c r="D31" s="139"/>
      <c r="E31" s="39">
        <v>0</v>
      </c>
      <c r="F31" s="39">
        <v>0</v>
      </c>
      <c r="G31" s="39">
        <f>E31*F31</f>
        <v>0</v>
      </c>
      <c r="H31" s="140">
        <v>70</v>
      </c>
      <c r="I31" s="140">
        <v>103.46</v>
      </c>
      <c r="J31" s="39">
        <f>H31*I31</f>
        <v>7242.2</v>
      </c>
      <c r="K31" s="39">
        <f>G31+J31</f>
        <v>7242.2</v>
      </c>
      <c r="L31" s="39">
        <v>0</v>
      </c>
      <c r="M31" s="39">
        <f>M30+K31-L31</f>
        <v>151569.40000000002</v>
      </c>
      <c r="N31" s="54"/>
    </row>
    <row r="32" spans="1:14">
      <c r="A32" s="28">
        <v>29</v>
      </c>
      <c r="B32" s="29">
        <v>45776</v>
      </c>
      <c r="C32" s="125"/>
      <c r="D32" s="139"/>
      <c r="E32" s="39">
        <v>0</v>
      </c>
      <c r="F32" s="39">
        <v>0</v>
      </c>
      <c r="G32" s="39">
        <f>E32*F32</f>
        <v>0</v>
      </c>
      <c r="H32" s="140">
        <v>0</v>
      </c>
      <c r="I32" s="140">
        <v>0</v>
      </c>
      <c r="J32" s="39">
        <f>H32*I32</f>
        <v>0</v>
      </c>
      <c r="K32" s="39">
        <f>G32+J32</f>
        <v>0</v>
      </c>
      <c r="L32" s="39">
        <v>0</v>
      </c>
      <c r="M32" s="39"/>
      <c r="N32" s="54"/>
    </row>
    <row r="33" spans="1:14">
      <c r="A33" s="28">
        <v>30</v>
      </c>
      <c r="B33" s="29">
        <v>45777</v>
      </c>
      <c r="C33" s="125"/>
      <c r="D33" s="139"/>
      <c r="E33" s="39">
        <v>0</v>
      </c>
      <c r="F33" s="39">
        <v>0</v>
      </c>
      <c r="G33" s="39">
        <f>E33*F33</f>
        <v>0</v>
      </c>
      <c r="H33" s="140">
        <v>0</v>
      </c>
      <c r="I33" s="140">
        <v>0</v>
      </c>
      <c r="J33" s="39">
        <f>H33*I33</f>
        <v>0</v>
      </c>
      <c r="K33" s="39">
        <f>G33+J33</f>
        <v>0</v>
      </c>
      <c r="L33" s="39">
        <v>0</v>
      </c>
      <c r="M33" s="39"/>
      <c r="N33" s="54"/>
    </row>
    <row r="34" spans="1:14">
      <c r="A34" s="28">
        <v>31</v>
      </c>
      <c r="B34" s="29"/>
      <c r="C34" s="125"/>
      <c r="D34" s="139"/>
      <c r="E34" s="39"/>
      <c r="F34" s="39"/>
      <c r="G34" s="39"/>
      <c r="H34" s="140"/>
      <c r="I34" s="140"/>
      <c r="J34" s="39"/>
      <c r="K34" s="39"/>
      <c r="L34" s="39"/>
      <c r="M34" s="39"/>
      <c r="N34" s="54"/>
    </row>
    <row r="35" spans="1:14">
      <c r="A35" s="52"/>
      <c r="B35" s="52"/>
      <c r="C35" s="52"/>
      <c r="D35" s="52"/>
      <c r="E35" s="53">
        <f>SUM(E4:E34)</f>
        <v>1500</v>
      </c>
      <c r="F35" s="53"/>
      <c r="G35" s="53">
        <f>SUM(G4:G34)</f>
        <v>137085</v>
      </c>
      <c r="H35" s="53">
        <f>SUM(H4:H34)</f>
        <v>140</v>
      </c>
      <c r="I35" s="53"/>
      <c r="J35" s="53">
        <f>SUM(J4:J34)</f>
        <v>14484.4</v>
      </c>
      <c r="K35" s="53">
        <f>SUM(K4:K34)</f>
        <v>151569.40000000002</v>
      </c>
      <c r="L35" s="53">
        <f>SUM(L4:L24)</f>
        <v>0</v>
      </c>
      <c r="M35" s="53"/>
      <c r="N35" s="53"/>
    </row>
  </sheetData>
  <mergeCells count="2">
    <mergeCell ref="A1:N1"/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2204-C6ED-4369-81D2-ED69740A2A89}">
  <dimension ref="A1:S185"/>
  <sheetViews>
    <sheetView workbookViewId="0">
      <pane ySplit="3" topLeftCell="A114" activePane="bottomLeft" state="frozen"/>
      <selection pane="bottomLeft" activeCell="D139" sqref="D139"/>
    </sheetView>
  </sheetViews>
  <sheetFormatPr defaultRowHeight="15"/>
  <cols>
    <col min="2" max="2" width="11.5703125" customWidth="1"/>
    <col min="3" max="3" width="40.7109375" customWidth="1"/>
    <col min="4" max="4" width="19.7109375" customWidth="1"/>
    <col min="5" max="5" width="21.5703125" style="226" customWidth="1"/>
    <col min="6" max="6" width="13.42578125" customWidth="1"/>
    <col min="8" max="8" width="14.85546875" customWidth="1"/>
    <col min="10" max="10" width="15.5703125" customWidth="1"/>
    <col min="11" max="11" width="13.140625" customWidth="1"/>
    <col min="12" max="12" width="13.28515625" customWidth="1"/>
    <col min="13" max="13" width="19" customWidth="1"/>
    <col min="14" max="14" width="17.42578125" style="24" customWidth="1"/>
    <col min="15" max="15" width="19.5703125" customWidth="1"/>
    <col min="16" max="16" width="16.28515625" customWidth="1"/>
    <col min="18" max="18" width="10.5703125" bestFit="1" customWidth="1"/>
  </cols>
  <sheetData>
    <row r="1" spans="1:16" ht="15.75">
      <c r="A1" s="417" t="s">
        <v>141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</row>
    <row r="2" spans="1:16" ht="26.25" customHeight="1">
      <c r="A2" s="142" t="s">
        <v>81</v>
      </c>
      <c r="B2" s="289" t="s">
        <v>82</v>
      </c>
      <c r="C2" s="143" t="s">
        <v>142</v>
      </c>
      <c r="D2" s="143" t="s">
        <v>143</v>
      </c>
      <c r="E2" s="330" t="s">
        <v>144</v>
      </c>
      <c r="F2" s="143" t="s">
        <v>85</v>
      </c>
      <c r="G2" s="143" t="s">
        <v>86</v>
      </c>
      <c r="H2" s="272" t="s">
        <v>87</v>
      </c>
      <c r="I2" s="143" t="s">
        <v>88</v>
      </c>
      <c r="J2" s="143" t="s">
        <v>86</v>
      </c>
      <c r="K2" s="272" t="s">
        <v>87</v>
      </c>
      <c r="L2" s="142" t="s">
        <v>89</v>
      </c>
      <c r="M2" s="207" t="s">
        <v>145</v>
      </c>
      <c r="N2" s="207" t="s">
        <v>97</v>
      </c>
      <c r="O2" s="143" t="s">
        <v>92</v>
      </c>
      <c r="P2" s="143" t="s">
        <v>146</v>
      </c>
    </row>
    <row r="3" spans="1:16" ht="15.75" customHeight="1">
      <c r="A3" s="445" t="s">
        <v>93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6">
        <v>132594.57999999999</v>
      </c>
      <c r="M3" s="447"/>
      <c r="N3" s="447"/>
      <c r="O3" s="447"/>
      <c r="P3" s="448"/>
    </row>
    <row r="4" spans="1:16">
      <c r="A4" s="278"/>
      <c r="B4" s="278"/>
      <c r="C4" s="237"/>
      <c r="D4" s="278"/>
      <c r="E4" s="331"/>
      <c r="F4" s="278"/>
      <c r="G4" s="278"/>
      <c r="H4" s="278"/>
      <c r="I4" s="278"/>
      <c r="J4" s="278"/>
      <c r="K4" s="278"/>
      <c r="L4" s="288"/>
      <c r="M4" s="57"/>
      <c r="N4" s="288">
        <v>132594.57999999999</v>
      </c>
      <c r="O4" s="19"/>
      <c r="P4" s="19"/>
    </row>
    <row r="5" spans="1:16">
      <c r="A5" s="158">
        <v>1</v>
      </c>
      <c r="B5" s="158" t="s">
        <v>111</v>
      </c>
      <c r="C5" s="290" t="s">
        <v>147</v>
      </c>
      <c r="D5" s="290" t="s">
        <v>148</v>
      </c>
      <c r="E5" s="332">
        <v>7126022478060230</v>
      </c>
      <c r="F5" s="214">
        <v>30</v>
      </c>
      <c r="G5" s="214">
        <v>89.33</v>
      </c>
      <c r="H5" s="214">
        <f>F5*G5</f>
        <v>2679.9</v>
      </c>
      <c r="I5" s="214">
        <v>7.01</v>
      </c>
      <c r="J5" s="214">
        <v>103.26</v>
      </c>
      <c r="K5" s="214">
        <f>I5*J5</f>
        <v>723.85260000000005</v>
      </c>
      <c r="L5" s="214">
        <f>H5+K5</f>
        <v>3403.7526000000003</v>
      </c>
      <c r="M5" s="57"/>
      <c r="N5" s="214">
        <f>N4+M5-L5</f>
        <v>129190.82739999998</v>
      </c>
      <c r="O5" s="158"/>
      <c r="P5" s="158"/>
    </row>
    <row r="6" spans="1:16">
      <c r="A6" s="19">
        <v>2</v>
      </c>
      <c r="B6" s="158" t="s">
        <v>111</v>
      </c>
      <c r="C6" s="121" t="s">
        <v>149</v>
      </c>
      <c r="D6" s="121" t="s">
        <v>110</v>
      </c>
      <c r="E6" s="332">
        <v>7126022478060250</v>
      </c>
      <c r="F6" s="214">
        <v>36.270000000000003</v>
      </c>
      <c r="G6" s="214">
        <v>89.49</v>
      </c>
      <c r="H6" s="214">
        <f t="shared" ref="H6:H69" si="0">F6*G6</f>
        <v>3245.8023000000003</v>
      </c>
      <c r="I6" s="214"/>
      <c r="J6" s="214">
        <v>0</v>
      </c>
      <c r="K6" s="214">
        <f t="shared" ref="K6:K69" si="1">I6*J6</f>
        <v>0</v>
      </c>
      <c r="L6" s="214">
        <f t="shared" ref="L6:L69" si="2">H6+K6</f>
        <v>3245.8023000000003</v>
      </c>
      <c r="M6" s="57"/>
      <c r="N6" s="46">
        <f t="shared" ref="N6:N62" si="3">N5+M6-L6</f>
        <v>125945.02509999998</v>
      </c>
      <c r="O6" s="19"/>
      <c r="P6" s="19"/>
    </row>
    <row r="7" spans="1:16">
      <c r="A7" s="19">
        <v>3</v>
      </c>
      <c r="B7" s="19" t="s">
        <v>150</v>
      </c>
      <c r="C7" s="121" t="s">
        <v>151</v>
      </c>
      <c r="D7" s="121" t="s">
        <v>152</v>
      </c>
      <c r="E7" s="333" t="s">
        <v>153</v>
      </c>
      <c r="F7" s="214">
        <v>60</v>
      </c>
      <c r="G7" s="214">
        <v>91.92</v>
      </c>
      <c r="H7" s="214">
        <f t="shared" si="0"/>
        <v>5515.2</v>
      </c>
      <c r="I7" s="214"/>
      <c r="J7" s="214">
        <v>0</v>
      </c>
      <c r="K7" s="214">
        <f t="shared" si="1"/>
        <v>0</v>
      </c>
      <c r="L7" s="214">
        <f t="shared" si="2"/>
        <v>5515.2</v>
      </c>
      <c r="M7" s="57">
        <v>200000</v>
      </c>
      <c r="N7" s="46">
        <f t="shared" si="3"/>
        <v>320429.82509999996</v>
      </c>
      <c r="O7" s="19"/>
      <c r="P7" s="19"/>
    </row>
    <row r="8" spans="1:16">
      <c r="A8" s="19">
        <v>4</v>
      </c>
      <c r="B8" s="19" t="s">
        <v>150</v>
      </c>
      <c r="C8" s="121" t="s">
        <v>154</v>
      </c>
      <c r="D8" s="121" t="s">
        <v>155</v>
      </c>
      <c r="E8" s="333" t="s">
        <v>156</v>
      </c>
      <c r="F8" s="214">
        <v>3.29</v>
      </c>
      <c r="G8" s="214">
        <v>91.14</v>
      </c>
      <c r="H8" s="214">
        <f t="shared" si="0"/>
        <v>299.85059999999999</v>
      </c>
      <c r="I8" s="214"/>
      <c r="J8" s="214">
        <v>0</v>
      </c>
      <c r="K8" s="214">
        <f t="shared" si="1"/>
        <v>0</v>
      </c>
      <c r="L8" s="214">
        <f t="shared" si="2"/>
        <v>299.85059999999999</v>
      </c>
      <c r="M8" s="57"/>
      <c r="N8" s="46">
        <f t="shared" si="3"/>
        <v>320129.97449999995</v>
      </c>
      <c r="O8" s="19"/>
      <c r="P8" s="19"/>
    </row>
    <row r="9" spans="1:16">
      <c r="A9" s="19">
        <v>5</v>
      </c>
      <c r="B9" s="19" t="s">
        <v>150</v>
      </c>
      <c r="C9" s="121" t="s">
        <v>157</v>
      </c>
      <c r="D9" s="121" t="s">
        <v>158</v>
      </c>
      <c r="E9" s="333" t="s">
        <v>159</v>
      </c>
      <c r="F9" s="214">
        <v>27.17</v>
      </c>
      <c r="G9" s="214">
        <v>92.03</v>
      </c>
      <c r="H9" s="214">
        <f t="shared" si="0"/>
        <v>2500.4551000000001</v>
      </c>
      <c r="I9" s="214"/>
      <c r="J9" s="214">
        <v>0</v>
      </c>
      <c r="K9" s="214">
        <f t="shared" si="1"/>
        <v>0</v>
      </c>
      <c r="L9" s="214">
        <f t="shared" si="2"/>
        <v>2500.4551000000001</v>
      </c>
      <c r="M9" s="57"/>
      <c r="N9" s="46">
        <f t="shared" si="3"/>
        <v>317629.51939999993</v>
      </c>
      <c r="O9" s="19"/>
      <c r="P9" s="19"/>
    </row>
    <row r="10" spans="1:16">
      <c r="A10" s="19">
        <v>6</v>
      </c>
      <c r="B10" s="19" t="s">
        <v>150</v>
      </c>
      <c r="C10" s="121" t="s">
        <v>160</v>
      </c>
      <c r="D10" s="121" t="s">
        <v>161</v>
      </c>
      <c r="E10" s="333" t="s">
        <v>162</v>
      </c>
      <c r="F10" s="214">
        <v>286</v>
      </c>
      <c r="G10" s="214">
        <v>92.09</v>
      </c>
      <c r="H10" s="214">
        <f t="shared" si="0"/>
        <v>26337.74</v>
      </c>
      <c r="I10" s="214">
        <v>35</v>
      </c>
      <c r="J10" s="214">
        <v>103.86</v>
      </c>
      <c r="K10" s="214">
        <f t="shared" si="1"/>
        <v>3635.1</v>
      </c>
      <c r="L10" s="214">
        <f t="shared" si="2"/>
        <v>29972.84</v>
      </c>
      <c r="M10" s="57"/>
      <c r="N10" s="46">
        <f t="shared" si="3"/>
        <v>287656.67939999991</v>
      </c>
      <c r="O10" s="19"/>
      <c r="P10" s="19"/>
    </row>
    <row r="11" spans="1:16">
      <c r="A11" s="19">
        <v>7</v>
      </c>
      <c r="B11" s="19" t="s">
        <v>150</v>
      </c>
      <c r="C11" s="121" t="s">
        <v>147</v>
      </c>
      <c r="D11" s="121" t="s">
        <v>148</v>
      </c>
      <c r="E11" s="333" t="s">
        <v>163</v>
      </c>
      <c r="F11" s="214">
        <v>5.48</v>
      </c>
      <c r="G11" s="214">
        <v>91.33</v>
      </c>
      <c r="H11" s="214">
        <f t="shared" si="0"/>
        <v>500.48840000000001</v>
      </c>
      <c r="I11" s="214"/>
      <c r="J11" s="214">
        <v>0</v>
      </c>
      <c r="K11" s="214">
        <f t="shared" si="1"/>
        <v>0</v>
      </c>
      <c r="L11" s="214">
        <f t="shared" si="2"/>
        <v>500.48840000000001</v>
      </c>
      <c r="M11" s="57"/>
      <c r="N11" s="46">
        <f t="shared" si="3"/>
        <v>287156.19099999993</v>
      </c>
      <c r="O11" s="19"/>
      <c r="P11" s="19"/>
    </row>
    <row r="12" spans="1:16">
      <c r="A12" s="110">
        <v>8</v>
      </c>
      <c r="B12" s="19" t="s">
        <v>150</v>
      </c>
      <c r="C12" s="294" t="s">
        <v>164</v>
      </c>
      <c r="D12" s="294" t="s">
        <v>165</v>
      </c>
      <c r="E12" s="334" t="s">
        <v>166</v>
      </c>
      <c r="F12" s="214">
        <v>105</v>
      </c>
      <c r="G12" s="214">
        <v>91.8</v>
      </c>
      <c r="H12" s="214">
        <f t="shared" si="0"/>
        <v>9639</v>
      </c>
      <c r="I12" s="214"/>
      <c r="J12" s="214">
        <v>0</v>
      </c>
      <c r="K12" s="214">
        <f t="shared" si="1"/>
        <v>0</v>
      </c>
      <c r="L12" s="214">
        <f t="shared" si="2"/>
        <v>9639</v>
      </c>
      <c r="M12" s="57"/>
      <c r="N12" s="270">
        <f t="shared" si="3"/>
        <v>277517.19099999993</v>
      </c>
      <c r="O12" s="110"/>
      <c r="P12" s="110"/>
    </row>
    <row r="13" spans="1:16">
      <c r="A13" s="19">
        <v>9</v>
      </c>
      <c r="B13" s="19" t="s">
        <v>113</v>
      </c>
      <c r="C13" s="121" t="s">
        <v>151</v>
      </c>
      <c r="D13" s="121" t="s">
        <v>152</v>
      </c>
      <c r="E13" s="333" t="s">
        <v>153</v>
      </c>
      <c r="F13" s="214"/>
      <c r="G13" s="214">
        <v>0</v>
      </c>
      <c r="H13" s="214">
        <f t="shared" si="0"/>
        <v>0</v>
      </c>
      <c r="I13" s="214">
        <v>6</v>
      </c>
      <c r="J13" s="214">
        <v>103.96</v>
      </c>
      <c r="K13" s="214">
        <f t="shared" si="1"/>
        <v>623.76</v>
      </c>
      <c r="L13" s="214">
        <f t="shared" si="2"/>
        <v>623.76</v>
      </c>
      <c r="M13" s="57"/>
      <c r="N13" s="46">
        <f t="shared" si="3"/>
        <v>276893.43099999992</v>
      </c>
      <c r="O13" s="19"/>
      <c r="P13" s="19"/>
    </row>
    <row r="14" spans="1:16">
      <c r="A14" s="19">
        <v>10</v>
      </c>
      <c r="B14" s="19" t="s">
        <v>113</v>
      </c>
      <c r="C14" s="121" t="s">
        <v>154</v>
      </c>
      <c r="D14" s="121" t="s">
        <v>155</v>
      </c>
      <c r="E14" s="333" t="s">
        <v>156</v>
      </c>
      <c r="F14" s="214">
        <v>52.12</v>
      </c>
      <c r="G14" s="214">
        <v>91.14</v>
      </c>
      <c r="H14" s="214">
        <f t="shared" si="0"/>
        <v>4750.2168000000001</v>
      </c>
      <c r="I14" s="214"/>
      <c r="J14" s="214">
        <v>0</v>
      </c>
      <c r="K14" s="214">
        <f t="shared" si="1"/>
        <v>0</v>
      </c>
      <c r="L14" s="214">
        <f t="shared" si="2"/>
        <v>4750.2168000000001</v>
      </c>
      <c r="M14" s="57"/>
      <c r="N14" s="46">
        <f t="shared" si="3"/>
        <v>272143.21419999993</v>
      </c>
      <c r="O14" s="19"/>
      <c r="P14" s="19"/>
    </row>
    <row r="15" spans="1:16">
      <c r="A15" s="19">
        <v>11</v>
      </c>
      <c r="B15" s="19" t="s">
        <v>113</v>
      </c>
      <c r="C15" s="121" t="s">
        <v>147</v>
      </c>
      <c r="D15" s="121" t="s">
        <v>148</v>
      </c>
      <c r="E15" s="333" t="s">
        <v>163</v>
      </c>
      <c r="F15" s="214">
        <v>70</v>
      </c>
      <c r="G15" s="214">
        <v>91.33</v>
      </c>
      <c r="H15" s="214">
        <f t="shared" si="0"/>
        <v>6393.0999999999995</v>
      </c>
      <c r="I15" s="214">
        <v>9.85</v>
      </c>
      <c r="J15" s="214">
        <v>103.26</v>
      </c>
      <c r="K15" s="214">
        <f t="shared" si="1"/>
        <v>1017.111</v>
      </c>
      <c r="L15" s="214">
        <f t="shared" si="2"/>
        <v>7410.2109999999993</v>
      </c>
      <c r="M15" s="57"/>
      <c r="N15" s="46">
        <f t="shared" si="3"/>
        <v>264733.00319999992</v>
      </c>
      <c r="O15" s="19"/>
      <c r="P15" s="19"/>
    </row>
    <row r="16" spans="1:16">
      <c r="A16" s="19">
        <v>12</v>
      </c>
      <c r="B16" s="19" t="s">
        <v>113</v>
      </c>
      <c r="C16" s="121" t="s">
        <v>149</v>
      </c>
      <c r="D16" s="121" t="s">
        <v>110</v>
      </c>
      <c r="E16" s="333" t="s">
        <v>167</v>
      </c>
      <c r="F16" s="214">
        <v>25</v>
      </c>
      <c r="G16" s="214">
        <v>91.5</v>
      </c>
      <c r="H16" s="214">
        <f t="shared" si="0"/>
        <v>2287.5</v>
      </c>
      <c r="I16" s="214">
        <v>9.67</v>
      </c>
      <c r="J16" s="214">
        <v>103.44</v>
      </c>
      <c r="K16" s="214">
        <f t="shared" si="1"/>
        <v>1000.2647999999999</v>
      </c>
      <c r="L16" s="214">
        <f t="shared" si="2"/>
        <v>3287.7647999999999</v>
      </c>
      <c r="M16" s="57"/>
      <c r="N16" s="46">
        <f t="shared" si="3"/>
        <v>261445.23839999991</v>
      </c>
      <c r="O16" s="19"/>
      <c r="P16" s="19"/>
    </row>
    <row r="17" spans="1:19">
      <c r="A17" s="19">
        <v>13</v>
      </c>
      <c r="B17" s="19" t="s">
        <v>113</v>
      </c>
      <c r="C17" s="121" t="s">
        <v>164</v>
      </c>
      <c r="D17" s="121" t="s">
        <v>165</v>
      </c>
      <c r="E17" s="333" t="s">
        <v>166</v>
      </c>
      <c r="F17" s="214">
        <v>35</v>
      </c>
      <c r="G17" s="214">
        <v>91.8</v>
      </c>
      <c r="H17" s="214">
        <f t="shared" si="0"/>
        <v>3213</v>
      </c>
      <c r="I17" s="214">
        <v>4</v>
      </c>
      <c r="J17" s="214">
        <v>103.76</v>
      </c>
      <c r="K17" s="214">
        <f t="shared" si="1"/>
        <v>415.04</v>
      </c>
      <c r="L17" s="214">
        <f t="shared" si="2"/>
        <v>3628.04</v>
      </c>
      <c r="M17" s="57"/>
      <c r="N17" s="46">
        <f t="shared" si="3"/>
        <v>257817.19839999991</v>
      </c>
      <c r="O17" s="19"/>
      <c r="P17" s="19"/>
    </row>
    <row r="18" spans="1:19">
      <c r="A18" s="19">
        <v>14</v>
      </c>
      <c r="B18" s="19" t="s">
        <v>113</v>
      </c>
      <c r="C18" s="121" t="s">
        <v>168</v>
      </c>
      <c r="D18" s="121" t="s">
        <v>169</v>
      </c>
      <c r="E18" s="333" t="s">
        <v>170</v>
      </c>
      <c r="F18" s="214">
        <v>30</v>
      </c>
      <c r="G18" s="214">
        <v>92.04</v>
      </c>
      <c r="H18" s="214">
        <f t="shared" si="0"/>
        <v>2761.2000000000003</v>
      </c>
      <c r="I18" s="214">
        <v>5.51</v>
      </c>
      <c r="J18" s="214">
        <v>104.02</v>
      </c>
      <c r="K18" s="214">
        <f t="shared" si="1"/>
        <v>573.15019999999993</v>
      </c>
      <c r="L18" s="214">
        <f t="shared" si="2"/>
        <v>3334.3502000000003</v>
      </c>
      <c r="M18" s="57"/>
      <c r="N18" s="46">
        <f t="shared" si="3"/>
        <v>254482.84819999992</v>
      </c>
      <c r="O18" s="19"/>
      <c r="P18" s="19"/>
    </row>
    <row r="19" spans="1:19">
      <c r="A19" s="19">
        <v>15</v>
      </c>
      <c r="B19" s="19" t="s">
        <v>171</v>
      </c>
      <c r="C19" s="121" t="s">
        <v>151</v>
      </c>
      <c r="D19" s="121" t="s">
        <v>152</v>
      </c>
      <c r="E19" s="333" t="s">
        <v>153</v>
      </c>
      <c r="F19" s="214"/>
      <c r="G19" s="214">
        <v>0</v>
      </c>
      <c r="H19" s="214">
        <f t="shared" si="0"/>
        <v>0</v>
      </c>
      <c r="I19" s="214">
        <v>7.7</v>
      </c>
      <c r="J19" s="214">
        <v>103.96</v>
      </c>
      <c r="K19" s="214">
        <f t="shared" si="1"/>
        <v>800.49199999999996</v>
      </c>
      <c r="L19" s="214">
        <f t="shared" si="2"/>
        <v>800.49199999999996</v>
      </c>
      <c r="M19" s="57"/>
      <c r="N19" s="46">
        <f t="shared" si="3"/>
        <v>253682.35619999992</v>
      </c>
      <c r="O19" s="19"/>
      <c r="P19" s="19"/>
    </row>
    <row r="20" spans="1:19">
      <c r="A20" s="19">
        <v>16</v>
      </c>
      <c r="B20" s="19" t="s">
        <v>171</v>
      </c>
      <c r="C20" s="121" t="s">
        <v>154</v>
      </c>
      <c r="D20" s="121" t="s">
        <v>155</v>
      </c>
      <c r="E20" s="333" t="s">
        <v>156</v>
      </c>
      <c r="F20" s="214">
        <v>19.71</v>
      </c>
      <c r="G20" s="214">
        <v>91.14</v>
      </c>
      <c r="H20" s="214">
        <f t="shared" si="0"/>
        <v>1796.3694</v>
      </c>
      <c r="I20" s="214">
        <v>7.76</v>
      </c>
      <c r="J20" s="214">
        <v>103.05</v>
      </c>
      <c r="K20" s="214">
        <f t="shared" si="1"/>
        <v>799.66800000000001</v>
      </c>
      <c r="L20" s="214">
        <f t="shared" si="2"/>
        <v>2596.0374000000002</v>
      </c>
      <c r="M20" s="57"/>
      <c r="N20" s="46">
        <f t="shared" si="3"/>
        <v>251086.31879999992</v>
      </c>
      <c r="O20" s="19"/>
      <c r="P20" s="19"/>
    </row>
    <row r="21" spans="1:19">
      <c r="A21" s="19">
        <v>17</v>
      </c>
      <c r="B21" s="19" t="s">
        <v>171</v>
      </c>
      <c r="C21" s="121" t="s">
        <v>172</v>
      </c>
      <c r="D21" s="313" t="s">
        <v>173</v>
      </c>
      <c r="E21" s="333" t="s">
        <v>174</v>
      </c>
      <c r="F21" s="214">
        <v>651.47</v>
      </c>
      <c r="G21" s="214">
        <v>92.1</v>
      </c>
      <c r="H21" s="214">
        <f t="shared" si="0"/>
        <v>60000.387000000002</v>
      </c>
      <c r="I21" s="214"/>
      <c r="J21" s="214">
        <v>0</v>
      </c>
      <c r="K21" s="214">
        <f t="shared" si="1"/>
        <v>0</v>
      </c>
      <c r="L21" s="214">
        <f t="shared" si="2"/>
        <v>60000.387000000002</v>
      </c>
      <c r="M21" s="57"/>
      <c r="N21" s="46">
        <f t="shared" si="3"/>
        <v>191085.9317999999</v>
      </c>
      <c r="O21" s="19"/>
      <c r="P21" s="19"/>
    </row>
    <row r="22" spans="1:19">
      <c r="A22" s="19">
        <v>18</v>
      </c>
      <c r="B22" s="19" t="s">
        <v>171</v>
      </c>
      <c r="C22" s="121" t="s">
        <v>175</v>
      </c>
      <c r="D22" s="121" t="s">
        <v>176</v>
      </c>
      <c r="E22" s="333" t="s">
        <v>177</v>
      </c>
      <c r="F22" s="214"/>
      <c r="G22" s="214">
        <v>0</v>
      </c>
      <c r="H22" s="214">
        <f t="shared" si="0"/>
        <v>0</v>
      </c>
      <c r="I22" s="214">
        <v>5.8</v>
      </c>
      <c r="J22" s="214">
        <v>103.53</v>
      </c>
      <c r="K22" s="214">
        <f t="shared" si="1"/>
        <v>600.47399999999993</v>
      </c>
      <c r="L22" s="214">
        <f t="shared" si="2"/>
        <v>600.47399999999993</v>
      </c>
      <c r="M22" s="57"/>
      <c r="N22" s="46">
        <f t="shared" si="3"/>
        <v>190485.45779999992</v>
      </c>
      <c r="O22" s="19"/>
      <c r="P22" s="19"/>
    </row>
    <row r="23" spans="1:19">
      <c r="A23" s="19">
        <v>19</v>
      </c>
      <c r="B23" s="19" t="s">
        <v>171</v>
      </c>
      <c r="C23" s="121" t="s">
        <v>149</v>
      </c>
      <c r="D23" s="121" t="s">
        <v>110</v>
      </c>
      <c r="E23" s="333" t="s">
        <v>167</v>
      </c>
      <c r="F23" s="214">
        <v>120.74</v>
      </c>
      <c r="G23" s="214">
        <v>91.5</v>
      </c>
      <c r="H23" s="214">
        <f t="shared" si="0"/>
        <v>11047.71</v>
      </c>
      <c r="I23" s="214"/>
      <c r="J23" s="214">
        <v>0</v>
      </c>
      <c r="K23" s="214">
        <f t="shared" si="1"/>
        <v>0</v>
      </c>
      <c r="L23" s="214">
        <f t="shared" si="2"/>
        <v>11047.71</v>
      </c>
      <c r="M23" s="57"/>
      <c r="N23" s="46">
        <f t="shared" si="3"/>
        <v>179437.74779999992</v>
      </c>
      <c r="O23" s="19"/>
      <c r="P23" s="19"/>
      <c r="R23" s="329"/>
      <c r="S23" s="329"/>
    </row>
    <row r="24" spans="1:19">
      <c r="A24" s="19">
        <v>20</v>
      </c>
      <c r="B24" s="19" t="s">
        <v>171</v>
      </c>
      <c r="C24" s="121" t="s">
        <v>164</v>
      </c>
      <c r="D24" s="121" t="s">
        <v>165</v>
      </c>
      <c r="E24" s="333" t="s">
        <v>166</v>
      </c>
      <c r="F24" s="214">
        <v>0</v>
      </c>
      <c r="G24" s="214">
        <v>0</v>
      </c>
      <c r="H24" s="214">
        <f t="shared" si="0"/>
        <v>0</v>
      </c>
      <c r="I24" s="214">
        <v>10</v>
      </c>
      <c r="J24" s="214">
        <v>103.76</v>
      </c>
      <c r="K24" s="214">
        <f t="shared" si="1"/>
        <v>1037.6000000000001</v>
      </c>
      <c r="L24" s="214">
        <f t="shared" si="2"/>
        <v>1037.6000000000001</v>
      </c>
      <c r="M24" s="57"/>
      <c r="N24" s="46">
        <f t="shared" si="3"/>
        <v>178400.14779999992</v>
      </c>
      <c r="O24" s="19"/>
      <c r="P24" s="19"/>
    </row>
    <row r="25" spans="1:19">
      <c r="A25" s="110">
        <v>21</v>
      </c>
      <c r="B25" s="110" t="s">
        <v>178</v>
      </c>
      <c r="C25" t="s">
        <v>151</v>
      </c>
      <c r="D25" s="294" t="s">
        <v>152</v>
      </c>
      <c r="E25" s="334" t="s">
        <v>153</v>
      </c>
      <c r="F25" s="214">
        <v>44.2</v>
      </c>
      <c r="G25" s="214">
        <v>91.92</v>
      </c>
      <c r="H25" s="214">
        <f t="shared" si="0"/>
        <v>4062.8640000000005</v>
      </c>
      <c r="I25" s="214"/>
      <c r="J25" s="214">
        <v>0</v>
      </c>
      <c r="K25" s="214">
        <f t="shared" si="1"/>
        <v>0</v>
      </c>
      <c r="L25" s="214">
        <f t="shared" si="2"/>
        <v>4062.8640000000005</v>
      </c>
      <c r="M25" s="57"/>
      <c r="N25" s="270">
        <f t="shared" si="3"/>
        <v>174337.28379999992</v>
      </c>
      <c r="O25" s="110"/>
      <c r="P25" s="110"/>
    </row>
    <row r="26" spans="1:19">
      <c r="A26" s="19">
        <v>22</v>
      </c>
      <c r="B26" s="110" t="s">
        <v>178</v>
      </c>
      <c r="C26" s="121" t="s">
        <v>154</v>
      </c>
      <c r="D26" s="121" t="s">
        <v>155</v>
      </c>
      <c r="E26" s="333" t="s">
        <v>156</v>
      </c>
      <c r="F26" s="214">
        <v>65.84</v>
      </c>
      <c r="G26" s="214">
        <v>91.14</v>
      </c>
      <c r="H26" s="214">
        <f t="shared" si="0"/>
        <v>6000.6576000000005</v>
      </c>
      <c r="I26" s="214">
        <v>5</v>
      </c>
      <c r="J26" s="214">
        <v>103.5</v>
      </c>
      <c r="K26" s="214">
        <f t="shared" si="1"/>
        <v>517.5</v>
      </c>
      <c r="L26" s="214">
        <f t="shared" si="2"/>
        <v>6518.1576000000005</v>
      </c>
      <c r="M26" s="57"/>
      <c r="N26" s="46">
        <f t="shared" si="3"/>
        <v>167819.12619999991</v>
      </c>
      <c r="O26" s="19"/>
      <c r="P26" s="19"/>
    </row>
    <row r="27" spans="1:19">
      <c r="A27" s="19">
        <v>23</v>
      </c>
      <c r="B27" s="110" t="s">
        <v>178</v>
      </c>
      <c r="C27" s="19" t="s">
        <v>179</v>
      </c>
      <c r="D27" s="19" t="s">
        <v>180</v>
      </c>
      <c r="E27" s="335" t="s">
        <v>159</v>
      </c>
      <c r="F27" s="214">
        <v>45.26</v>
      </c>
      <c r="G27" s="214">
        <v>91.47</v>
      </c>
      <c r="H27" s="214">
        <f t="shared" si="0"/>
        <v>4139.9322000000002</v>
      </c>
      <c r="I27" s="214"/>
      <c r="J27" s="214">
        <v>0</v>
      </c>
      <c r="K27" s="214">
        <f t="shared" si="1"/>
        <v>0</v>
      </c>
      <c r="L27" s="214">
        <f t="shared" si="2"/>
        <v>4139.9322000000002</v>
      </c>
      <c r="M27" s="57"/>
      <c r="N27" s="46">
        <f t="shared" si="3"/>
        <v>163679.1939999999</v>
      </c>
      <c r="O27" s="19"/>
      <c r="P27" s="19"/>
    </row>
    <row r="28" spans="1:19">
      <c r="A28" s="19">
        <v>24</v>
      </c>
      <c r="B28" s="110" t="s">
        <v>178</v>
      </c>
      <c r="C28" s="19" t="s">
        <v>147</v>
      </c>
      <c r="D28" s="19" t="s">
        <v>148</v>
      </c>
      <c r="E28" s="335" t="s">
        <v>163</v>
      </c>
      <c r="F28" s="214">
        <v>36.25</v>
      </c>
      <c r="G28" s="214">
        <v>91.33</v>
      </c>
      <c r="H28" s="214">
        <f t="shared" si="0"/>
        <v>3310.7125000000001</v>
      </c>
      <c r="I28" s="214"/>
      <c r="J28" s="214">
        <v>0</v>
      </c>
      <c r="K28" s="214">
        <f t="shared" si="1"/>
        <v>0</v>
      </c>
      <c r="L28" s="214">
        <f t="shared" si="2"/>
        <v>3310.7125000000001</v>
      </c>
      <c r="M28" s="57"/>
      <c r="N28" s="46">
        <f t="shared" si="3"/>
        <v>160368.48149999991</v>
      </c>
      <c r="O28" s="19"/>
      <c r="P28" s="19"/>
    </row>
    <row r="29" spans="1:19">
      <c r="A29" s="110">
        <v>25</v>
      </c>
      <c r="B29" s="110" t="s">
        <v>178</v>
      </c>
      <c r="C29" s="294" t="s">
        <v>181</v>
      </c>
      <c r="D29" s="294" t="s">
        <v>182</v>
      </c>
      <c r="E29" s="334" t="s">
        <v>183</v>
      </c>
      <c r="F29" s="214">
        <v>65.61</v>
      </c>
      <c r="G29" s="214">
        <v>91.45</v>
      </c>
      <c r="H29" s="214">
        <f t="shared" si="0"/>
        <v>6000.0344999999998</v>
      </c>
      <c r="I29" s="214">
        <v>9.67</v>
      </c>
      <c r="J29" s="214">
        <v>103.39</v>
      </c>
      <c r="K29" s="214">
        <f t="shared" si="1"/>
        <v>999.78129999999999</v>
      </c>
      <c r="L29" s="214">
        <f t="shared" si="2"/>
        <v>6999.8157999999994</v>
      </c>
      <c r="M29" s="57"/>
      <c r="N29" s="270">
        <f t="shared" si="3"/>
        <v>153368.6656999999</v>
      </c>
      <c r="O29" s="110"/>
      <c r="P29" s="110"/>
    </row>
    <row r="30" spans="1:19">
      <c r="A30" s="19">
        <v>26</v>
      </c>
      <c r="B30" s="110" t="s">
        <v>178</v>
      </c>
      <c r="C30" s="121" t="s">
        <v>168</v>
      </c>
      <c r="D30" s="121" t="s">
        <v>169</v>
      </c>
      <c r="E30" s="333" t="s">
        <v>170</v>
      </c>
      <c r="F30" s="214">
        <v>30</v>
      </c>
      <c r="G30" s="214">
        <v>92.04</v>
      </c>
      <c r="H30" s="214">
        <f t="shared" si="0"/>
        <v>2761.2000000000003</v>
      </c>
      <c r="I30" s="214">
        <v>5</v>
      </c>
      <c r="J30" s="214">
        <v>104.02</v>
      </c>
      <c r="K30" s="214">
        <f t="shared" si="1"/>
        <v>520.1</v>
      </c>
      <c r="L30" s="214">
        <f t="shared" si="2"/>
        <v>3281.3</v>
      </c>
      <c r="M30" s="57"/>
      <c r="N30" s="46">
        <f t="shared" si="3"/>
        <v>150087.36569999991</v>
      </c>
      <c r="O30" s="19"/>
      <c r="P30" s="19"/>
    </row>
    <row r="31" spans="1:19">
      <c r="A31" s="19">
        <v>27</v>
      </c>
      <c r="B31" s="110" t="s">
        <v>178</v>
      </c>
      <c r="C31" s="121" t="s">
        <v>184</v>
      </c>
      <c r="D31" s="121" t="s">
        <v>185</v>
      </c>
      <c r="E31" s="333" t="s">
        <v>186</v>
      </c>
      <c r="F31" s="214">
        <v>117.36</v>
      </c>
      <c r="G31" s="214">
        <v>91.62</v>
      </c>
      <c r="H31" s="214">
        <f t="shared" si="0"/>
        <v>10752.5232</v>
      </c>
      <c r="I31" s="214"/>
      <c r="J31" s="214">
        <v>0</v>
      </c>
      <c r="K31" s="214">
        <f t="shared" si="1"/>
        <v>0</v>
      </c>
      <c r="L31" s="214">
        <f t="shared" si="2"/>
        <v>10752.5232</v>
      </c>
      <c r="M31" s="57"/>
      <c r="N31" s="46">
        <f t="shared" si="3"/>
        <v>139334.84249999991</v>
      </c>
      <c r="O31" s="19"/>
      <c r="P31" s="19"/>
    </row>
    <row r="32" spans="1:19">
      <c r="A32" s="19">
        <v>28</v>
      </c>
      <c r="B32" s="19" t="s">
        <v>115</v>
      </c>
      <c r="C32" s="121" t="s">
        <v>151</v>
      </c>
      <c r="D32" s="121" t="s">
        <v>152</v>
      </c>
      <c r="E32" s="333" t="s">
        <v>153</v>
      </c>
      <c r="F32" s="214">
        <v>79.489999999999995</v>
      </c>
      <c r="G32" s="214">
        <v>91.92</v>
      </c>
      <c r="H32" s="214">
        <f t="shared" si="0"/>
        <v>7306.7208000000001</v>
      </c>
      <c r="I32" s="214"/>
      <c r="J32" s="214">
        <v>0</v>
      </c>
      <c r="K32" s="214">
        <f t="shared" si="1"/>
        <v>0</v>
      </c>
      <c r="L32" s="214">
        <f t="shared" si="2"/>
        <v>7306.7208000000001</v>
      </c>
      <c r="M32" s="57"/>
      <c r="N32" s="46">
        <f t="shared" si="3"/>
        <v>132028.1216999999</v>
      </c>
      <c r="O32" s="19"/>
      <c r="P32" s="19"/>
    </row>
    <row r="33" spans="1:16">
      <c r="A33" s="19">
        <v>29</v>
      </c>
      <c r="B33" s="19" t="s">
        <v>115</v>
      </c>
      <c r="C33" s="19" t="s">
        <v>179</v>
      </c>
      <c r="D33" s="19" t="s">
        <v>180</v>
      </c>
      <c r="E33" s="335" t="s">
        <v>159</v>
      </c>
      <c r="F33" s="214">
        <v>38.49</v>
      </c>
      <c r="G33" s="214">
        <v>91.47</v>
      </c>
      <c r="H33" s="214">
        <f t="shared" si="0"/>
        <v>3520.6803</v>
      </c>
      <c r="I33" s="214"/>
      <c r="J33" s="214">
        <v>0</v>
      </c>
      <c r="K33" s="214">
        <f t="shared" si="1"/>
        <v>0</v>
      </c>
      <c r="L33" s="214">
        <f t="shared" si="2"/>
        <v>3520.6803</v>
      </c>
      <c r="M33" s="57"/>
      <c r="N33" s="46">
        <f t="shared" si="3"/>
        <v>128507.44139999989</v>
      </c>
      <c r="O33" s="19"/>
      <c r="P33" s="19"/>
    </row>
    <row r="34" spans="1:16">
      <c r="A34" s="19">
        <v>30</v>
      </c>
      <c r="B34" s="19" t="s">
        <v>115</v>
      </c>
      <c r="C34" s="19" t="s">
        <v>149</v>
      </c>
      <c r="D34" s="19" t="s">
        <v>110</v>
      </c>
      <c r="E34" s="335" t="s">
        <v>167</v>
      </c>
      <c r="F34" s="214">
        <v>39.020000000000003</v>
      </c>
      <c r="G34" s="214">
        <v>91.5</v>
      </c>
      <c r="H34" s="214">
        <f t="shared" si="0"/>
        <v>3570.3300000000004</v>
      </c>
      <c r="I34" s="214"/>
      <c r="J34" s="214">
        <v>0</v>
      </c>
      <c r="K34" s="214">
        <f t="shared" si="1"/>
        <v>0</v>
      </c>
      <c r="L34" s="214">
        <f t="shared" si="2"/>
        <v>3570.3300000000004</v>
      </c>
      <c r="M34" s="57"/>
      <c r="N34" s="46">
        <f t="shared" si="3"/>
        <v>124937.11139999989</v>
      </c>
      <c r="O34" s="19"/>
      <c r="P34" s="19"/>
    </row>
    <row r="35" spans="1:16">
      <c r="A35" s="19">
        <v>31</v>
      </c>
      <c r="B35" s="19" t="s">
        <v>116</v>
      </c>
      <c r="C35" s="19" t="s">
        <v>151</v>
      </c>
      <c r="D35" s="19" t="s">
        <v>152</v>
      </c>
      <c r="E35" s="335" t="s">
        <v>153</v>
      </c>
      <c r="F35" s="214"/>
      <c r="G35" s="214">
        <v>0</v>
      </c>
      <c r="H35" s="214">
        <f t="shared" si="0"/>
        <v>0</v>
      </c>
      <c r="I35" s="214">
        <v>5.59</v>
      </c>
      <c r="J35" s="214">
        <v>103.96</v>
      </c>
      <c r="K35" s="214">
        <f t="shared" si="1"/>
        <v>581.13639999999998</v>
      </c>
      <c r="L35" s="214">
        <f t="shared" si="2"/>
        <v>581.13639999999998</v>
      </c>
      <c r="M35" s="57"/>
      <c r="N35" s="46">
        <f t="shared" si="3"/>
        <v>124355.97499999989</v>
      </c>
      <c r="O35" s="19"/>
      <c r="P35" s="19"/>
    </row>
    <row r="36" spans="1:16">
      <c r="A36" s="19">
        <v>32</v>
      </c>
      <c r="B36" s="19" t="s">
        <v>116</v>
      </c>
      <c r="C36" s="19" t="s">
        <v>154</v>
      </c>
      <c r="D36" s="19" t="s">
        <v>155</v>
      </c>
      <c r="E36" s="335" t="s">
        <v>156</v>
      </c>
      <c r="F36" s="214">
        <v>32.92</v>
      </c>
      <c r="G36" s="214">
        <v>91.14</v>
      </c>
      <c r="H36" s="214">
        <f t="shared" si="0"/>
        <v>3000.3288000000002</v>
      </c>
      <c r="I36" s="214"/>
      <c r="J36" s="214">
        <v>0</v>
      </c>
      <c r="K36" s="214">
        <f t="shared" si="1"/>
        <v>0</v>
      </c>
      <c r="L36" s="214">
        <f t="shared" si="2"/>
        <v>3000.3288000000002</v>
      </c>
      <c r="M36" s="57"/>
      <c r="N36" s="46">
        <f t="shared" si="3"/>
        <v>121355.64619999989</v>
      </c>
      <c r="O36" s="19"/>
      <c r="P36" s="19"/>
    </row>
    <row r="37" spans="1:16">
      <c r="A37" s="19">
        <v>33</v>
      </c>
      <c r="B37" s="19" t="s">
        <v>116</v>
      </c>
      <c r="C37" s="19" t="s">
        <v>179</v>
      </c>
      <c r="D37" s="19" t="s">
        <v>180</v>
      </c>
      <c r="E37" s="335" t="s">
        <v>159</v>
      </c>
      <c r="F37" s="214">
        <v>35.880000000000003</v>
      </c>
      <c r="G37" s="214">
        <v>91.47</v>
      </c>
      <c r="H37" s="214">
        <f t="shared" si="0"/>
        <v>3281.9436000000001</v>
      </c>
      <c r="I37" s="214"/>
      <c r="J37" s="214">
        <v>0</v>
      </c>
      <c r="K37" s="214">
        <f t="shared" si="1"/>
        <v>0</v>
      </c>
      <c r="L37" s="214">
        <f t="shared" si="2"/>
        <v>3281.9436000000001</v>
      </c>
      <c r="M37" s="57"/>
      <c r="N37" s="46">
        <f t="shared" si="3"/>
        <v>118073.70259999989</v>
      </c>
      <c r="O37" s="19"/>
      <c r="P37" s="19"/>
    </row>
    <row r="38" spans="1:16">
      <c r="A38" s="19">
        <v>34</v>
      </c>
      <c r="B38" s="19" t="s">
        <v>116</v>
      </c>
      <c r="C38" s="19" t="s">
        <v>147</v>
      </c>
      <c r="D38" s="19" t="s">
        <v>148</v>
      </c>
      <c r="E38" s="335" t="s">
        <v>163</v>
      </c>
      <c r="F38" s="214">
        <v>70</v>
      </c>
      <c r="G38" s="214">
        <v>91.33</v>
      </c>
      <c r="H38" s="214">
        <f t="shared" si="0"/>
        <v>6393.0999999999995</v>
      </c>
      <c r="I38" s="214"/>
      <c r="J38" s="214">
        <v>0</v>
      </c>
      <c r="K38" s="214">
        <f t="shared" si="1"/>
        <v>0</v>
      </c>
      <c r="L38" s="214">
        <f t="shared" si="2"/>
        <v>6393.0999999999995</v>
      </c>
      <c r="M38" s="57"/>
      <c r="N38" s="46">
        <f t="shared" si="3"/>
        <v>111680.60259999988</v>
      </c>
      <c r="O38" s="19"/>
      <c r="P38" s="19"/>
    </row>
    <row r="39" spans="1:16">
      <c r="A39" s="19">
        <v>35</v>
      </c>
      <c r="B39" s="19" t="s">
        <v>116</v>
      </c>
      <c r="C39" s="19" t="s">
        <v>181</v>
      </c>
      <c r="D39" s="19" t="s">
        <v>182</v>
      </c>
      <c r="E39" s="335" t="s">
        <v>183</v>
      </c>
      <c r="F39" s="214">
        <v>65.61</v>
      </c>
      <c r="G39" s="214">
        <v>91.45</v>
      </c>
      <c r="H39" s="214">
        <f t="shared" si="0"/>
        <v>6000.0344999999998</v>
      </c>
      <c r="I39" s="214"/>
      <c r="J39" s="214">
        <v>0</v>
      </c>
      <c r="K39" s="214">
        <f t="shared" si="1"/>
        <v>0</v>
      </c>
      <c r="L39" s="214">
        <f t="shared" si="2"/>
        <v>6000.0344999999998</v>
      </c>
      <c r="M39" s="57"/>
      <c r="N39" s="46">
        <f t="shared" si="3"/>
        <v>105680.56809999989</v>
      </c>
      <c r="O39" s="19"/>
      <c r="P39" s="19"/>
    </row>
    <row r="40" spans="1:16">
      <c r="A40" s="19">
        <v>36</v>
      </c>
      <c r="B40" s="19" t="s">
        <v>116</v>
      </c>
      <c r="C40" s="19" t="s">
        <v>164</v>
      </c>
      <c r="D40" s="19" t="s">
        <v>165</v>
      </c>
      <c r="E40" s="335" t="s">
        <v>166</v>
      </c>
      <c r="F40" s="214">
        <v>140</v>
      </c>
      <c r="G40" s="214">
        <v>91.8</v>
      </c>
      <c r="H40" s="214">
        <f t="shared" si="0"/>
        <v>12852</v>
      </c>
      <c r="I40" s="214">
        <v>5</v>
      </c>
      <c r="J40" s="214">
        <v>103.76</v>
      </c>
      <c r="K40" s="214">
        <f t="shared" si="1"/>
        <v>518.80000000000007</v>
      </c>
      <c r="L40" s="214">
        <f t="shared" si="2"/>
        <v>13370.8</v>
      </c>
      <c r="M40" s="57"/>
      <c r="N40" s="46">
        <f t="shared" si="3"/>
        <v>92309.768099999885</v>
      </c>
      <c r="O40" s="19"/>
      <c r="P40" s="19"/>
    </row>
    <row r="41" spans="1:16">
      <c r="A41" s="19">
        <v>37</v>
      </c>
      <c r="B41" s="19" t="s">
        <v>117</v>
      </c>
      <c r="C41" s="19" t="s">
        <v>151</v>
      </c>
      <c r="D41" s="19" t="s">
        <v>152</v>
      </c>
      <c r="E41" s="335" t="s">
        <v>153</v>
      </c>
      <c r="F41" s="214">
        <v>40</v>
      </c>
      <c r="G41" s="214">
        <v>91.92</v>
      </c>
      <c r="H41" s="214">
        <f t="shared" si="0"/>
        <v>3676.8</v>
      </c>
      <c r="I41" s="214">
        <v>5.82</v>
      </c>
      <c r="J41" s="214">
        <v>103.96</v>
      </c>
      <c r="K41" s="214">
        <f t="shared" si="1"/>
        <v>605.04719999999998</v>
      </c>
      <c r="L41" s="214">
        <f t="shared" si="2"/>
        <v>4281.8472000000002</v>
      </c>
      <c r="M41" s="57"/>
      <c r="N41" s="46">
        <f t="shared" si="3"/>
        <v>88027.920899999881</v>
      </c>
      <c r="O41" s="19"/>
      <c r="P41" s="19"/>
    </row>
    <row r="42" spans="1:16">
      <c r="A42" s="19">
        <v>38</v>
      </c>
      <c r="B42" s="19" t="s">
        <v>117</v>
      </c>
      <c r="C42" s="19" t="s">
        <v>187</v>
      </c>
      <c r="D42" s="19" t="s">
        <v>188</v>
      </c>
      <c r="E42" s="335" t="s">
        <v>159</v>
      </c>
      <c r="F42" s="214">
        <v>48.4</v>
      </c>
      <c r="G42" s="214">
        <v>90.56</v>
      </c>
      <c r="H42" s="214">
        <f t="shared" si="0"/>
        <v>4383.1040000000003</v>
      </c>
      <c r="I42" s="214"/>
      <c r="J42" s="214">
        <v>0</v>
      </c>
      <c r="K42" s="214">
        <f t="shared" si="1"/>
        <v>0</v>
      </c>
      <c r="L42" s="214">
        <f t="shared" si="2"/>
        <v>4383.1040000000003</v>
      </c>
      <c r="M42" s="57"/>
      <c r="N42" s="46">
        <f t="shared" si="3"/>
        <v>83644.816899999874</v>
      </c>
      <c r="O42" s="19"/>
      <c r="P42" s="19"/>
    </row>
    <row r="43" spans="1:16">
      <c r="A43" s="110">
        <v>39</v>
      </c>
      <c r="B43" s="19" t="s">
        <v>117</v>
      </c>
      <c r="C43" s="110" t="s">
        <v>189</v>
      </c>
      <c r="D43" s="110" t="s">
        <v>190</v>
      </c>
      <c r="E43" s="336" t="s">
        <v>191</v>
      </c>
      <c r="F43" s="214">
        <v>0</v>
      </c>
      <c r="G43" s="214">
        <v>0</v>
      </c>
      <c r="H43" s="214">
        <f t="shared" si="0"/>
        <v>0</v>
      </c>
      <c r="I43" s="214">
        <v>8.9700000000000006</v>
      </c>
      <c r="J43" s="214">
        <v>102.46</v>
      </c>
      <c r="K43" s="214">
        <f t="shared" si="1"/>
        <v>919.06619999999998</v>
      </c>
      <c r="L43" s="214">
        <f t="shared" si="2"/>
        <v>919.06619999999998</v>
      </c>
      <c r="M43" s="57"/>
      <c r="N43" s="270">
        <f t="shared" si="3"/>
        <v>82725.750699999873</v>
      </c>
      <c r="O43" s="110"/>
      <c r="P43" s="110"/>
    </row>
    <row r="44" spans="1:16">
      <c r="A44" s="19">
        <v>40</v>
      </c>
      <c r="B44" s="19" t="s">
        <v>117</v>
      </c>
      <c r="C44" s="121" t="s">
        <v>192</v>
      </c>
      <c r="D44" s="121" t="s">
        <v>193</v>
      </c>
      <c r="E44" s="333" t="s">
        <v>194</v>
      </c>
      <c r="F44" s="214">
        <v>29.82</v>
      </c>
      <c r="G44" s="214">
        <v>90.57</v>
      </c>
      <c r="H44" s="214">
        <f t="shared" si="0"/>
        <v>2700.7973999999999</v>
      </c>
      <c r="I44" s="214"/>
      <c r="J44" s="214">
        <v>0</v>
      </c>
      <c r="K44" s="214">
        <f t="shared" si="1"/>
        <v>0</v>
      </c>
      <c r="L44" s="214">
        <f t="shared" si="2"/>
        <v>2700.7973999999999</v>
      </c>
      <c r="M44" s="57"/>
      <c r="N44" s="46">
        <f t="shared" si="3"/>
        <v>80024.953299999877</v>
      </c>
      <c r="O44" s="19"/>
      <c r="P44" s="19"/>
    </row>
    <row r="45" spans="1:16">
      <c r="A45" s="19">
        <v>41</v>
      </c>
      <c r="B45" s="19" t="s">
        <v>117</v>
      </c>
      <c r="C45" s="19" t="s">
        <v>181</v>
      </c>
      <c r="D45" s="19" t="s">
        <v>182</v>
      </c>
      <c r="E45" s="335" t="s">
        <v>183</v>
      </c>
      <c r="F45" s="214">
        <v>65.61</v>
      </c>
      <c r="G45" s="214">
        <v>91.45</v>
      </c>
      <c r="H45" s="214">
        <f t="shared" si="0"/>
        <v>6000.0344999999998</v>
      </c>
      <c r="I45" s="214"/>
      <c r="J45" s="214">
        <v>0</v>
      </c>
      <c r="K45" s="214">
        <f t="shared" si="1"/>
        <v>0</v>
      </c>
      <c r="L45" s="214">
        <f t="shared" si="2"/>
        <v>6000.0344999999998</v>
      </c>
      <c r="M45" s="57"/>
      <c r="N45" s="46">
        <f t="shared" si="3"/>
        <v>74024.918799999883</v>
      </c>
      <c r="O45" s="19"/>
      <c r="P45" s="19"/>
    </row>
    <row r="46" spans="1:16">
      <c r="A46" s="158">
        <v>42</v>
      </c>
      <c r="B46" s="19" t="s">
        <v>117</v>
      </c>
      <c r="C46" s="158" t="s">
        <v>149</v>
      </c>
      <c r="D46" s="158" t="s">
        <v>110</v>
      </c>
      <c r="E46" s="337" t="s">
        <v>167</v>
      </c>
      <c r="F46" s="214">
        <v>35.07</v>
      </c>
      <c r="G46" s="214">
        <v>91.5</v>
      </c>
      <c r="H46" s="214">
        <f t="shared" si="0"/>
        <v>3208.9050000000002</v>
      </c>
      <c r="I46" s="214"/>
      <c r="J46" s="214">
        <v>0</v>
      </c>
      <c r="K46" s="214">
        <f t="shared" si="1"/>
        <v>0</v>
      </c>
      <c r="L46" s="214">
        <f t="shared" si="2"/>
        <v>3208.9050000000002</v>
      </c>
      <c r="M46" s="57"/>
      <c r="N46" s="214">
        <f t="shared" si="3"/>
        <v>70816.013799999884</v>
      </c>
      <c r="O46" s="158"/>
      <c r="P46" s="158"/>
    </row>
    <row r="47" spans="1:16">
      <c r="A47" s="19">
        <v>43</v>
      </c>
      <c r="B47" s="19" t="s">
        <v>117</v>
      </c>
      <c r="C47" s="121" t="s">
        <v>164</v>
      </c>
      <c r="D47" s="121" t="s">
        <v>165</v>
      </c>
      <c r="E47" s="333" t="s">
        <v>166</v>
      </c>
      <c r="F47" s="214">
        <v>120</v>
      </c>
      <c r="G47" s="214">
        <v>91.8</v>
      </c>
      <c r="H47" s="214">
        <f t="shared" si="0"/>
        <v>11016</v>
      </c>
      <c r="I47" s="214">
        <v>5</v>
      </c>
      <c r="J47" s="214">
        <v>103.76</v>
      </c>
      <c r="K47" s="214">
        <f t="shared" si="1"/>
        <v>518.80000000000007</v>
      </c>
      <c r="L47" s="214">
        <f t="shared" si="2"/>
        <v>11534.8</v>
      </c>
      <c r="M47" s="57"/>
      <c r="N47" s="46">
        <f t="shared" si="3"/>
        <v>59281.213799999881</v>
      </c>
      <c r="O47" s="19"/>
      <c r="P47" s="19"/>
    </row>
    <row r="48" spans="1:16">
      <c r="A48" s="110">
        <v>44</v>
      </c>
      <c r="B48" s="110" t="s">
        <v>118</v>
      </c>
      <c r="C48" s="110" t="s">
        <v>151</v>
      </c>
      <c r="D48" s="110" t="s">
        <v>152</v>
      </c>
      <c r="E48" s="336" t="s">
        <v>153</v>
      </c>
      <c r="F48" s="214"/>
      <c r="G48" s="214">
        <v>0</v>
      </c>
      <c r="H48" s="214">
        <f t="shared" si="0"/>
        <v>0</v>
      </c>
      <c r="I48" s="214">
        <v>5.95</v>
      </c>
      <c r="J48" s="214">
        <v>103.96</v>
      </c>
      <c r="K48" s="214">
        <f t="shared" si="1"/>
        <v>618.56200000000001</v>
      </c>
      <c r="L48" s="214">
        <f t="shared" si="2"/>
        <v>618.56200000000001</v>
      </c>
      <c r="M48" s="57"/>
      <c r="N48" s="270">
        <f t="shared" si="3"/>
        <v>58662.651799999883</v>
      </c>
      <c r="O48" s="110"/>
      <c r="P48" s="110"/>
    </row>
    <row r="49" spans="1:16">
      <c r="A49" s="19">
        <v>45</v>
      </c>
      <c r="B49" s="110" t="s">
        <v>118</v>
      </c>
      <c r="C49" s="19" t="s">
        <v>154</v>
      </c>
      <c r="D49" s="19" t="s">
        <v>155</v>
      </c>
      <c r="E49" s="335" t="s">
        <v>156</v>
      </c>
      <c r="F49" s="214">
        <v>65.84</v>
      </c>
      <c r="G49" s="214">
        <v>91.14</v>
      </c>
      <c r="H49" s="214">
        <f t="shared" si="0"/>
        <v>6000.6576000000005</v>
      </c>
      <c r="I49" s="214"/>
      <c r="J49" s="214">
        <v>0</v>
      </c>
      <c r="K49" s="214">
        <f t="shared" si="1"/>
        <v>0</v>
      </c>
      <c r="L49" s="214">
        <f t="shared" si="2"/>
        <v>6000.6576000000005</v>
      </c>
      <c r="M49" s="57"/>
      <c r="N49" s="46">
        <f t="shared" si="3"/>
        <v>52661.994199999885</v>
      </c>
      <c r="O49" s="19"/>
      <c r="P49" s="19"/>
    </row>
    <row r="50" spans="1:16">
      <c r="A50" s="110">
        <v>46</v>
      </c>
      <c r="B50" s="110" t="s">
        <v>118</v>
      </c>
      <c r="C50" s="294" t="s">
        <v>147</v>
      </c>
      <c r="D50" s="294" t="s">
        <v>148</v>
      </c>
      <c r="E50" s="334" t="s">
        <v>163</v>
      </c>
      <c r="F50" s="214">
        <v>96.58</v>
      </c>
      <c r="G50" s="214">
        <v>91.33</v>
      </c>
      <c r="H50" s="214">
        <f t="shared" si="0"/>
        <v>8820.6513999999988</v>
      </c>
      <c r="I50" s="214">
        <v>5.81</v>
      </c>
      <c r="J50" s="214">
        <v>103.26</v>
      </c>
      <c r="K50" s="214">
        <f t="shared" si="1"/>
        <v>599.94060000000002</v>
      </c>
      <c r="L50" s="214">
        <f t="shared" si="2"/>
        <v>9420.5919999999987</v>
      </c>
      <c r="M50" s="57"/>
      <c r="N50" s="270">
        <f t="shared" si="3"/>
        <v>43241.402199999888</v>
      </c>
      <c r="O50" s="110"/>
      <c r="P50" s="110"/>
    </row>
    <row r="51" spans="1:16">
      <c r="A51" s="19">
        <v>47</v>
      </c>
      <c r="B51" s="110" t="s">
        <v>118</v>
      </c>
      <c r="C51" s="121" t="s">
        <v>149</v>
      </c>
      <c r="D51" s="121" t="s">
        <v>110</v>
      </c>
      <c r="E51" s="333" t="s">
        <v>167</v>
      </c>
      <c r="F51" s="214">
        <v>5.46</v>
      </c>
      <c r="G51" s="214">
        <v>91.5</v>
      </c>
      <c r="H51" s="214">
        <f t="shared" si="0"/>
        <v>499.59</v>
      </c>
      <c r="I51" s="214">
        <v>4.83</v>
      </c>
      <c r="J51" s="214">
        <v>103.44</v>
      </c>
      <c r="K51" s="214">
        <f t="shared" si="1"/>
        <v>499.61520000000002</v>
      </c>
      <c r="L51" s="214">
        <f t="shared" si="2"/>
        <v>999.20519999999999</v>
      </c>
      <c r="M51" s="57"/>
      <c r="N51" s="46">
        <f t="shared" si="3"/>
        <v>42242.196999999891</v>
      </c>
      <c r="O51" s="19"/>
      <c r="P51" s="19"/>
    </row>
    <row r="52" spans="1:16">
      <c r="A52" s="19">
        <v>48</v>
      </c>
      <c r="B52" s="110" t="s">
        <v>118</v>
      </c>
      <c r="C52" s="19" t="s">
        <v>164</v>
      </c>
      <c r="D52" s="19" t="s">
        <v>165</v>
      </c>
      <c r="E52" s="335" t="s">
        <v>166</v>
      </c>
      <c r="F52" s="214">
        <v>100</v>
      </c>
      <c r="G52" s="214">
        <v>91.8</v>
      </c>
      <c r="H52" s="214">
        <f t="shared" si="0"/>
        <v>9180</v>
      </c>
      <c r="I52" s="214"/>
      <c r="J52" s="214">
        <v>0</v>
      </c>
      <c r="K52" s="214">
        <f t="shared" si="1"/>
        <v>0</v>
      </c>
      <c r="L52" s="214">
        <f t="shared" si="2"/>
        <v>9180</v>
      </c>
      <c r="M52" s="57"/>
      <c r="N52" s="46">
        <f t="shared" si="3"/>
        <v>33062.196999999891</v>
      </c>
      <c r="O52" s="19"/>
      <c r="P52" s="19"/>
    </row>
    <row r="53" spans="1:16">
      <c r="A53" s="19">
        <v>49</v>
      </c>
      <c r="B53" s="110" t="s">
        <v>118</v>
      </c>
      <c r="C53" s="19" t="s">
        <v>168</v>
      </c>
      <c r="D53" s="19" t="s">
        <v>169</v>
      </c>
      <c r="E53" s="335" t="s">
        <v>170</v>
      </c>
      <c r="F53" s="214">
        <v>30</v>
      </c>
      <c r="G53" s="214">
        <v>92.04</v>
      </c>
      <c r="H53" s="214">
        <f t="shared" si="0"/>
        <v>2761.2000000000003</v>
      </c>
      <c r="I53" s="214"/>
      <c r="J53" s="214">
        <v>0</v>
      </c>
      <c r="K53" s="214">
        <f t="shared" si="1"/>
        <v>0</v>
      </c>
      <c r="L53" s="214">
        <f t="shared" si="2"/>
        <v>2761.2000000000003</v>
      </c>
      <c r="M53" s="57"/>
      <c r="N53" s="46">
        <f t="shared" si="3"/>
        <v>30300.99699999989</v>
      </c>
      <c r="O53" s="19"/>
      <c r="P53" s="19"/>
    </row>
    <row r="54" spans="1:16">
      <c r="A54" s="19">
        <v>50</v>
      </c>
      <c r="B54" s="19" t="s">
        <v>119</v>
      </c>
      <c r="C54" s="121" t="s">
        <v>151</v>
      </c>
      <c r="D54" s="121" t="s">
        <v>152</v>
      </c>
      <c r="E54" s="333" t="s">
        <v>153</v>
      </c>
      <c r="F54" s="214">
        <v>142.91</v>
      </c>
      <c r="G54" s="214">
        <v>91.92</v>
      </c>
      <c r="H54" s="214">
        <f t="shared" si="0"/>
        <v>13136.287200000001</v>
      </c>
      <c r="I54" s="214">
        <v>5</v>
      </c>
      <c r="J54" s="214">
        <v>103.96</v>
      </c>
      <c r="K54" s="214">
        <f t="shared" si="1"/>
        <v>519.79999999999995</v>
      </c>
      <c r="L54" s="214">
        <f t="shared" si="2"/>
        <v>13656.0872</v>
      </c>
      <c r="M54" s="57">
        <v>1200000</v>
      </c>
      <c r="N54" s="46">
        <f t="shared" si="3"/>
        <v>1216644.9098</v>
      </c>
      <c r="O54" s="19"/>
      <c r="P54" s="19"/>
    </row>
    <row r="55" spans="1:16">
      <c r="A55" s="19">
        <v>51</v>
      </c>
      <c r="B55" s="19" t="s">
        <v>119</v>
      </c>
      <c r="C55" s="19" t="s">
        <v>157</v>
      </c>
      <c r="D55" s="121" t="s">
        <v>158</v>
      </c>
      <c r="E55" s="333" t="s">
        <v>159</v>
      </c>
      <c r="F55" s="214">
        <v>32.6</v>
      </c>
      <c r="G55" s="214">
        <v>92.03</v>
      </c>
      <c r="H55" s="214">
        <f t="shared" si="0"/>
        <v>3000.1780000000003</v>
      </c>
      <c r="I55" s="214"/>
      <c r="J55" s="214">
        <v>0</v>
      </c>
      <c r="K55" s="214">
        <f t="shared" si="1"/>
        <v>0</v>
      </c>
      <c r="L55" s="214">
        <f t="shared" si="2"/>
        <v>3000.1780000000003</v>
      </c>
      <c r="M55" s="57"/>
      <c r="N55" s="46">
        <f t="shared" si="3"/>
        <v>1213644.7318</v>
      </c>
      <c r="O55" s="19"/>
      <c r="P55" s="19"/>
    </row>
    <row r="56" spans="1:16">
      <c r="A56" s="19">
        <v>52</v>
      </c>
      <c r="B56" s="19" t="s">
        <v>119</v>
      </c>
      <c r="C56" s="19" t="s">
        <v>195</v>
      </c>
      <c r="D56" s="19" t="s">
        <v>196</v>
      </c>
      <c r="E56" s="335" t="s">
        <v>197</v>
      </c>
      <c r="F56" s="214">
        <v>3285.87</v>
      </c>
      <c r="G56" s="214">
        <v>91.3</v>
      </c>
      <c r="H56" s="214">
        <f t="shared" si="0"/>
        <v>299999.93099999998</v>
      </c>
      <c r="I56" s="214"/>
      <c r="J56" s="214">
        <v>0</v>
      </c>
      <c r="K56" s="214">
        <f t="shared" si="1"/>
        <v>0</v>
      </c>
      <c r="L56" s="214">
        <f t="shared" si="2"/>
        <v>299999.93099999998</v>
      </c>
      <c r="M56" s="57"/>
      <c r="N56" s="46">
        <f t="shared" si="3"/>
        <v>913644.80079999997</v>
      </c>
      <c r="O56" s="19"/>
      <c r="P56" s="19"/>
    </row>
    <row r="57" spans="1:16">
      <c r="A57" s="110">
        <v>53</v>
      </c>
      <c r="B57" s="19" t="s">
        <v>119</v>
      </c>
      <c r="C57" s="294" t="s">
        <v>160</v>
      </c>
      <c r="D57" s="294" t="s">
        <v>161</v>
      </c>
      <c r="E57" s="334" t="s">
        <v>162</v>
      </c>
      <c r="F57" s="214">
        <v>430</v>
      </c>
      <c r="G57" s="214">
        <v>92.09</v>
      </c>
      <c r="H57" s="214">
        <f t="shared" si="0"/>
        <v>39598.700000000004</v>
      </c>
      <c r="I57" s="214"/>
      <c r="J57" s="214">
        <v>0</v>
      </c>
      <c r="K57" s="214">
        <f t="shared" si="1"/>
        <v>0</v>
      </c>
      <c r="L57" s="214">
        <f t="shared" si="2"/>
        <v>39598.700000000004</v>
      </c>
      <c r="M57" s="57"/>
      <c r="N57" s="270">
        <f t="shared" si="3"/>
        <v>874046.10080000001</v>
      </c>
      <c r="O57" s="110"/>
      <c r="P57" s="110"/>
    </row>
    <row r="58" spans="1:16">
      <c r="A58" s="19">
        <v>54</v>
      </c>
      <c r="B58" s="19" t="s">
        <v>119</v>
      </c>
      <c r="C58" s="121" t="s">
        <v>33</v>
      </c>
      <c r="D58" s="121" t="s">
        <v>198</v>
      </c>
      <c r="E58" s="333" t="s">
        <v>199</v>
      </c>
      <c r="F58" s="214">
        <v>1845.42</v>
      </c>
      <c r="G58" s="214">
        <v>92.1</v>
      </c>
      <c r="H58" s="214">
        <v>170000</v>
      </c>
      <c r="I58" s="214"/>
      <c r="J58" s="214">
        <v>0</v>
      </c>
      <c r="K58" s="214">
        <f t="shared" si="1"/>
        <v>0</v>
      </c>
      <c r="L58" s="214">
        <f t="shared" si="2"/>
        <v>170000</v>
      </c>
      <c r="M58" s="57"/>
      <c r="N58" s="46">
        <f t="shared" si="3"/>
        <v>704046.10080000001</v>
      </c>
      <c r="O58" s="19"/>
      <c r="P58" s="19"/>
    </row>
    <row r="59" spans="1:16">
      <c r="A59" s="19">
        <v>55</v>
      </c>
      <c r="B59" s="19" t="s">
        <v>119</v>
      </c>
      <c r="C59" s="19" t="s">
        <v>200</v>
      </c>
      <c r="D59" s="19" t="s">
        <v>201</v>
      </c>
      <c r="E59" s="335" t="s">
        <v>202</v>
      </c>
      <c r="F59" s="214">
        <v>1724.71</v>
      </c>
      <c r="G59" s="214">
        <v>91.64</v>
      </c>
      <c r="H59" s="214">
        <f t="shared" si="0"/>
        <v>158052.42440000002</v>
      </c>
      <c r="I59" s="214"/>
      <c r="J59" s="214">
        <v>0</v>
      </c>
      <c r="K59" s="214">
        <f t="shared" si="1"/>
        <v>0</v>
      </c>
      <c r="L59" s="214">
        <f t="shared" si="2"/>
        <v>158052.42440000002</v>
      </c>
      <c r="M59" s="57"/>
      <c r="N59" s="46">
        <f t="shared" si="3"/>
        <v>545993.6764</v>
      </c>
      <c r="O59" s="19"/>
      <c r="P59" s="19"/>
    </row>
    <row r="60" spans="1:16">
      <c r="A60" s="19">
        <v>56</v>
      </c>
      <c r="B60" s="19" t="s">
        <v>119</v>
      </c>
      <c r="C60" s="338" t="s">
        <v>147</v>
      </c>
      <c r="D60" s="338" t="s">
        <v>148</v>
      </c>
      <c r="E60" s="339" t="s">
        <v>163</v>
      </c>
      <c r="F60" s="214">
        <v>100</v>
      </c>
      <c r="G60" s="214">
        <v>91.33</v>
      </c>
      <c r="H60" s="214">
        <f t="shared" si="0"/>
        <v>9133</v>
      </c>
      <c r="I60" s="214">
        <v>5</v>
      </c>
      <c r="J60" s="214">
        <v>103.26</v>
      </c>
      <c r="K60" s="214">
        <f t="shared" si="1"/>
        <v>516.30000000000007</v>
      </c>
      <c r="L60" s="214">
        <f t="shared" si="2"/>
        <v>9649.2999999999993</v>
      </c>
      <c r="M60" s="57"/>
      <c r="N60" s="46">
        <f t="shared" si="3"/>
        <v>536344.37639999995</v>
      </c>
      <c r="O60" s="19"/>
      <c r="P60" s="19"/>
    </row>
    <row r="61" spans="1:16">
      <c r="A61" s="19">
        <v>57</v>
      </c>
      <c r="B61" s="19" t="s">
        <v>119</v>
      </c>
      <c r="C61" s="19" t="s">
        <v>164</v>
      </c>
      <c r="D61" s="19" t="s">
        <v>165</v>
      </c>
      <c r="E61" s="335" t="s">
        <v>166</v>
      </c>
      <c r="F61" s="214">
        <v>75</v>
      </c>
      <c r="G61" s="214">
        <v>91.8</v>
      </c>
      <c r="H61" s="214">
        <f t="shared" si="0"/>
        <v>6885</v>
      </c>
      <c r="I61" s="214"/>
      <c r="J61" s="214">
        <v>0</v>
      </c>
      <c r="K61" s="214">
        <f t="shared" si="1"/>
        <v>0</v>
      </c>
      <c r="L61" s="214">
        <f t="shared" si="2"/>
        <v>6885</v>
      </c>
      <c r="M61" s="57"/>
      <c r="N61" s="46">
        <f t="shared" si="3"/>
        <v>529459.37639999995</v>
      </c>
      <c r="O61" s="19"/>
      <c r="P61" s="19"/>
    </row>
    <row r="62" spans="1:16">
      <c r="A62" s="19">
        <v>58</v>
      </c>
      <c r="B62" s="19" t="s">
        <v>119</v>
      </c>
      <c r="C62" s="19" t="s">
        <v>168</v>
      </c>
      <c r="D62" s="19" t="s">
        <v>169</v>
      </c>
      <c r="E62" s="335" t="s">
        <v>170</v>
      </c>
      <c r="F62" s="214">
        <v>30</v>
      </c>
      <c r="G62" s="214">
        <v>92.03</v>
      </c>
      <c r="H62" s="214">
        <f t="shared" si="0"/>
        <v>2760.9</v>
      </c>
      <c r="I62" s="214">
        <v>10</v>
      </c>
      <c r="J62" s="214">
        <v>104.02</v>
      </c>
      <c r="K62" s="214">
        <f t="shared" si="1"/>
        <v>1040.2</v>
      </c>
      <c r="L62" s="214">
        <f t="shared" si="2"/>
        <v>3801.1000000000004</v>
      </c>
      <c r="M62" s="57"/>
      <c r="N62" s="46">
        <f t="shared" si="3"/>
        <v>525658.27639999997</v>
      </c>
      <c r="O62" s="19"/>
      <c r="P62" s="19"/>
    </row>
    <row r="63" spans="1:16">
      <c r="A63" s="19">
        <v>59</v>
      </c>
      <c r="B63" s="19" t="s">
        <v>120</v>
      </c>
      <c r="C63" s="19" t="s">
        <v>172</v>
      </c>
      <c r="D63" s="19" t="s">
        <v>203</v>
      </c>
      <c r="E63" s="335" t="s">
        <v>174</v>
      </c>
      <c r="F63" s="214">
        <v>740.07</v>
      </c>
      <c r="G63" s="214">
        <v>92.1</v>
      </c>
      <c r="H63" s="214">
        <f t="shared" si="0"/>
        <v>68160.447</v>
      </c>
      <c r="I63" s="214"/>
      <c r="J63" s="214">
        <v>0</v>
      </c>
      <c r="K63" s="214">
        <f t="shared" si="1"/>
        <v>0</v>
      </c>
      <c r="L63" s="214">
        <f t="shared" si="2"/>
        <v>68160.447</v>
      </c>
      <c r="M63" s="57"/>
      <c r="N63" s="46">
        <f t="shared" ref="N63:N64" si="4">N62+M63-L63</f>
        <v>457497.82939999999</v>
      </c>
      <c r="O63" s="19"/>
      <c r="P63" s="19"/>
    </row>
    <row r="64" spans="1:16">
      <c r="A64" s="19">
        <v>60</v>
      </c>
      <c r="B64" s="19" t="s">
        <v>120</v>
      </c>
      <c r="C64" s="19" t="s">
        <v>175</v>
      </c>
      <c r="D64" s="19" t="s">
        <v>176</v>
      </c>
      <c r="E64" s="335" t="s">
        <v>177</v>
      </c>
      <c r="F64" s="214">
        <v>20</v>
      </c>
      <c r="G64" s="214">
        <v>92.59</v>
      </c>
      <c r="H64" s="214">
        <f t="shared" si="0"/>
        <v>1851.8000000000002</v>
      </c>
      <c r="I64" s="214"/>
      <c r="J64" s="214">
        <v>0</v>
      </c>
      <c r="K64" s="214">
        <f t="shared" si="1"/>
        <v>0</v>
      </c>
      <c r="L64" s="214">
        <f t="shared" si="2"/>
        <v>1851.8000000000002</v>
      </c>
      <c r="M64" s="57"/>
      <c r="N64" s="46">
        <f t="shared" si="4"/>
        <v>455646.0294</v>
      </c>
      <c r="O64" s="19"/>
      <c r="P64" s="19"/>
    </row>
    <row r="65" spans="1:18">
      <c r="A65" s="110">
        <v>61</v>
      </c>
      <c r="B65" s="19" t="s">
        <v>120</v>
      </c>
      <c r="C65" s="110" t="s">
        <v>149</v>
      </c>
      <c r="D65" s="110" t="s">
        <v>110</v>
      </c>
      <c r="E65" s="336" t="s">
        <v>167</v>
      </c>
      <c r="F65" s="214">
        <v>121.32</v>
      </c>
      <c r="G65" s="214">
        <v>91.5</v>
      </c>
      <c r="H65" s="214">
        <f t="shared" si="0"/>
        <v>11100.779999999999</v>
      </c>
      <c r="I65" s="214"/>
      <c r="J65" s="214">
        <v>0</v>
      </c>
      <c r="K65" s="214">
        <f t="shared" si="1"/>
        <v>0</v>
      </c>
      <c r="L65" s="214">
        <f t="shared" si="2"/>
        <v>11100.779999999999</v>
      </c>
      <c r="M65" s="57"/>
      <c r="N65" s="270">
        <f t="shared" ref="N65:N98" si="5">N64+M65-L65</f>
        <v>444545.24939999997</v>
      </c>
      <c r="O65" s="110"/>
      <c r="P65" s="110"/>
    </row>
    <row r="66" spans="1:18">
      <c r="A66" s="19">
        <v>62</v>
      </c>
      <c r="B66" s="19" t="s">
        <v>120</v>
      </c>
      <c r="C66" s="19" t="s">
        <v>164</v>
      </c>
      <c r="D66" s="19" t="s">
        <v>165</v>
      </c>
      <c r="E66" s="335" t="s">
        <v>166</v>
      </c>
      <c r="F66" s="214">
        <v>70</v>
      </c>
      <c r="G66" s="214">
        <v>91.8</v>
      </c>
      <c r="H66" s="214">
        <f t="shared" si="0"/>
        <v>6426</v>
      </c>
      <c r="I66" s="214">
        <v>4</v>
      </c>
      <c r="J66" s="214">
        <v>103.76</v>
      </c>
      <c r="K66" s="214">
        <f t="shared" si="1"/>
        <v>415.04</v>
      </c>
      <c r="L66" s="214">
        <f t="shared" si="2"/>
        <v>6841.04</v>
      </c>
      <c r="M66" s="57"/>
      <c r="N66" s="46">
        <f t="shared" si="5"/>
        <v>437704.20939999999</v>
      </c>
      <c r="O66" s="19"/>
      <c r="P66" s="19"/>
    </row>
    <row r="67" spans="1:18">
      <c r="A67" s="19">
        <v>63</v>
      </c>
      <c r="B67" s="19" t="s">
        <v>120</v>
      </c>
      <c r="C67" s="121" t="s">
        <v>168</v>
      </c>
      <c r="D67" s="121" t="s">
        <v>169</v>
      </c>
      <c r="E67" s="333" t="s">
        <v>170</v>
      </c>
      <c r="F67" s="214">
        <v>60</v>
      </c>
      <c r="G67" s="214">
        <v>92.04</v>
      </c>
      <c r="H67" s="214">
        <f t="shared" si="0"/>
        <v>5522.4000000000005</v>
      </c>
      <c r="I67" s="214">
        <v>5</v>
      </c>
      <c r="J67" s="214">
        <v>104.02</v>
      </c>
      <c r="K67" s="214">
        <f t="shared" si="1"/>
        <v>520.1</v>
      </c>
      <c r="L67" s="214">
        <f t="shared" si="2"/>
        <v>6042.5000000000009</v>
      </c>
      <c r="M67" s="57"/>
      <c r="N67" s="46">
        <f t="shared" si="5"/>
        <v>431661.70939999999</v>
      </c>
      <c r="O67" s="19"/>
      <c r="P67" s="19"/>
    </row>
    <row r="68" spans="1:18">
      <c r="A68" s="19">
        <v>64</v>
      </c>
      <c r="B68" s="19" t="s">
        <v>121</v>
      </c>
      <c r="C68" s="19" t="s">
        <v>151</v>
      </c>
      <c r="D68" s="19" t="s">
        <v>152</v>
      </c>
      <c r="E68" s="335" t="s">
        <v>153</v>
      </c>
      <c r="F68" s="214">
        <v>50</v>
      </c>
      <c r="G68" s="214">
        <v>91.92</v>
      </c>
      <c r="H68" s="214">
        <f t="shared" si="0"/>
        <v>4596</v>
      </c>
      <c r="I68" s="214">
        <v>5.81</v>
      </c>
      <c r="J68" s="214">
        <v>103.96</v>
      </c>
      <c r="K68" s="214">
        <f t="shared" si="1"/>
        <v>604.00759999999991</v>
      </c>
      <c r="L68" s="214">
        <f t="shared" si="2"/>
        <v>5200.0075999999999</v>
      </c>
      <c r="M68" s="57"/>
      <c r="N68" s="46">
        <f t="shared" si="5"/>
        <v>426461.70179999998</v>
      </c>
      <c r="O68" s="19"/>
      <c r="P68" s="19"/>
    </row>
    <row r="69" spans="1:18">
      <c r="A69" s="19">
        <v>65</v>
      </c>
      <c r="B69" s="19" t="s">
        <v>121</v>
      </c>
      <c r="C69" s="19" t="s">
        <v>154</v>
      </c>
      <c r="D69" s="19" t="s">
        <v>155</v>
      </c>
      <c r="E69" s="335" t="s">
        <v>156</v>
      </c>
      <c r="F69" s="214">
        <v>52.92</v>
      </c>
      <c r="G69" s="214">
        <v>91.14</v>
      </c>
      <c r="H69" s="214">
        <f t="shared" si="0"/>
        <v>4823.1288000000004</v>
      </c>
      <c r="I69" s="214"/>
      <c r="J69" s="214">
        <v>0</v>
      </c>
      <c r="K69" s="214">
        <f t="shared" si="1"/>
        <v>0</v>
      </c>
      <c r="L69" s="214">
        <f t="shared" si="2"/>
        <v>4823.1288000000004</v>
      </c>
      <c r="M69" s="57"/>
      <c r="N69" s="46">
        <f t="shared" si="5"/>
        <v>421638.57299999997</v>
      </c>
      <c r="O69" s="19"/>
      <c r="P69" s="19"/>
    </row>
    <row r="70" spans="1:18">
      <c r="A70" s="19">
        <v>66</v>
      </c>
      <c r="B70" s="19" t="s">
        <v>121</v>
      </c>
      <c r="C70" s="19" t="s">
        <v>204</v>
      </c>
      <c r="D70" s="19" t="s">
        <v>205</v>
      </c>
      <c r="E70" s="335" t="s">
        <v>206</v>
      </c>
      <c r="F70" s="214">
        <v>507.86</v>
      </c>
      <c r="G70" s="214">
        <v>91.47</v>
      </c>
      <c r="H70" s="214">
        <f>F70*G70</f>
        <v>46453.9542</v>
      </c>
      <c r="I70" s="214">
        <v>33</v>
      </c>
      <c r="J70" s="214">
        <v>103.4</v>
      </c>
      <c r="K70" s="214">
        <f t="shared" ref="K70:K133" si="6">I70*J70</f>
        <v>3412.2000000000003</v>
      </c>
      <c r="L70" s="214">
        <f>H70+K70</f>
        <v>49866.154199999997</v>
      </c>
      <c r="M70" s="57"/>
      <c r="N70" s="46">
        <f t="shared" si="5"/>
        <v>371772.41879999998</v>
      </c>
      <c r="O70" s="19"/>
      <c r="P70" s="19"/>
    </row>
    <row r="71" spans="1:18">
      <c r="A71" s="19">
        <v>67</v>
      </c>
      <c r="B71" s="19" t="s">
        <v>121</v>
      </c>
      <c r="C71" s="19" t="s">
        <v>181</v>
      </c>
      <c r="D71" s="19" t="s">
        <v>182</v>
      </c>
      <c r="E71" s="335" t="s">
        <v>183</v>
      </c>
      <c r="F71" s="214"/>
      <c r="G71" s="214">
        <v>0</v>
      </c>
      <c r="H71" s="214">
        <f t="shared" ref="H70:H133" si="7">F71*G71</f>
        <v>0</v>
      </c>
      <c r="I71" s="214">
        <v>9.68</v>
      </c>
      <c r="J71" s="214">
        <v>103.39</v>
      </c>
      <c r="K71" s="214">
        <f t="shared" si="6"/>
        <v>1000.8152</v>
      </c>
      <c r="L71" s="214">
        <f t="shared" ref="L70:L133" si="8">H71+K71</f>
        <v>1000.8152</v>
      </c>
      <c r="M71" s="57"/>
      <c r="N71" s="46">
        <f t="shared" si="5"/>
        <v>370771.60359999997</v>
      </c>
      <c r="O71" s="19"/>
      <c r="P71" s="19"/>
    </row>
    <row r="72" spans="1:18">
      <c r="A72" s="19">
        <v>68</v>
      </c>
      <c r="B72" s="19" t="s">
        <v>121</v>
      </c>
      <c r="C72" s="19" t="s">
        <v>149</v>
      </c>
      <c r="D72" s="121" t="s">
        <v>110</v>
      </c>
      <c r="E72" s="333" t="s">
        <v>167</v>
      </c>
      <c r="F72" s="214">
        <v>121.16</v>
      </c>
      <c r="G72" s="214">
        <v>91.5</v>
      </c>
      <c r="H72" s="214">
        <f t="shared" si="7"/>
        <v>11086.14</v>
      </c>
      <c r="I72" s="214">
        <v>4.83</v>
      </c>
      <c r="J72" s="214">
        <v>103.44</v>
      </c>
      <c r="K72" s="214">
        <f t="shared" si="6"/>
        <v>499.61520000000002</v>
      </c>
      <c r="L72" s="214">
        <f t="shared" si="8"/>
        <v>11585.7552</v>
      </c>
      <c r="M72" s="57"/>
      <c r="N72" s="46">
        <f t="shared" si="5"/>
        <v>359185.84839999996</v>
      </c>
      <c r="O72" s="19"/>
      <c r="P72" s="19"/>
    </row>
    <row r="73" spans="1:18">
      <c r="A73" s="110">
        <v>69</v>
      </c>
      <c r="B73" s="19" t="s">
        <v>121</v>
      </c>
      <c r="C73" s="110" t="s">
        <v>164</v>
      </c>
      <c r="D73" s="110" t="s">
        <v>165</v>
      </c>
      <c r="E73" s="336" t="s">
        <v>166</v>
      </c>
      <c r="F73" s="214">
        <v>80</v>
      </c>
      <c r="G73" s="214">
        <v>91.8</v>
      </c>
      <c r="H73" s="214">
        <f t="shared" si="7"/>
        <v>7344</v>
      </c>
      <c r="I73" s="214"/>
      <c r="J73" s="214">
        <v>0</v>
      </c>
      <c r="K73" s="214">
        <f t="shared" si="6"/>
        <v>0</v>
      </c>
      <c r="L73" s="214">
        <f t="shared" si="8"/>
        <v>7344</v>
      </c>
      <c r="M73" s="57"/>
      <c r="N73" s="270">
        <f t="shared" si="5"/>
        <v>351841.84839999996</v>
      </c>
      <c r="O73" s="110"/>
      <c r="P73" s="110"/>
    </row>
    <row r="74" spans="1:18">
      <c r="A74" s="19">
        <v>70</v>
      </c>
      <c r="B74" s="19" t="s">
        <v>122</v>
      </c>
      <c r="C74" s="19" t="s">
        <v>154</v>
      </c>
      <c r="D74" s="19" t="s">
        <v>155</v>
      </c>
      <c r="E74" s="335" t="s">
        <v>156</v>
      </c>
      <c r="F74" s="214"/>
      <c r="G74" s="214">
        <v>0</v>
      </c>
      <c r="H74" s="214">
        <f t="shared" si="7"/>
        <v>0</v>
      </c>
      <c r="I74" s="214">
        <v>4.95</v>
      </c>
      <c r="J74" s="214">
        <v>103.05</v>
      </c>
      <c r="K74" s="214">
        <f t="shared" si="6"/>
        <v>510.09750000000003</v>
      </c>
      <c r="L74" s="214">
        <f t="shared" si="8"/>
        <v>510.09750000000003</v>
      </c>
      <c r="M74" s="57"/>
      <c r="N74" s="46">
        <f t="shared" si="5"/>
        <v>351331.75089999998</v>
      </c>
      <c r="O74" s="19"/>
      <c r="P74" s="19"/>
    </row>
    <row r="75" spans="1:18">
      <c r="A75" s="19">
        <v>71</v>
      </c>
      <c r="B75" s="19" t="s">
        <v>122</v>
      </c>
      <c r="C75" s="19" t="s">
        <v>151</v>
      </c>
      <c r="D75" s="19" t="s">
        <v>152</v>
      </c>
      <c r="E75" s="335" t="s">
        <v>153</v>
      </c>
      <c r="F75" s="214">
        <v>20</v>
      </c>
      <c r="G75" s="214">
        <v>91.92</v>
      </c>
      <c r="H75" s="214">
        <f t="shared" si="7"/>
        <v>1838.4</v>
      </c>
      <c r="I75" s="214"/>
      <c r="J75" s="214">
        <v>0</v>
      </c>
      <c r="K75" s="214">
        <f t="shared" si="6"/>
        <v>0</v>
      </c>
      <c r="L75" s="214">
        <f t="shared" si="8"/>
        <v>1838.4</v>
      </c>
      <c r="M75" s="57"/>
      <c r="N75" s="46">
        <f t="shared" si="5"/>
        <v>349493.35089999996</v>
      </c>
      <c r="O75" s="19"/>
      <c r="P75" s="19"/>
    </row>
    <row r="76" spans="1:18">
      <c r="A76" s="19">
        <v>72</v>
      </c>
      <c r="B76" s="19" t="s">
        <v>122</v>
      </c>
      <c r="C76" s="121" t="s">
        <v>149</v>
      </c>
      <c r="D76" s="121" t="s">
        <v>110</v>
      </c>
      <c r="E76" s="333" t="s">
        <v>167</v>
      </c>
      <c r="F76" s="214">
        <v>10</v>
      </c>
      <c r="G76" s="214">
        <v>91.5</v>
      </c>
      <c r="H76" s="214">
        <f t="shared" si="7"/>
        <v>915</v>
      </c>
      <c r="I76" s="214"/>
      <c r="J76" s="214">
        <v>0</v>
      </c>
      <c r="K76" s="214">
        <f t="shared" si="6"/>
        <v>0</v>
      </c>
      <c r="L76" s="214">
        <f t="shared" si="8"/>
        <v>915</v>
      </c>
      <c r="M76" s="57"/>
      <c r="N76" s="46">
        <f t="shared" si="5"/>
        <v>348578.35089999996</v>
      </c>
      <c r="O76" s="19"/>
      <c r="P76" s="19"/>
    </row>
    <row r="77" spans="1:18">
      <c r="A77" s="19">
        <v>73</v>
      </c>
      <c r="B77" s="19" t="s">
        <v>122</v>
      </c>
      <c r="C77" s="19" t="s">
        <v>147</v>
      </c>
      <c r="D77" s="19" t="s">
        <v>148</v>
      </c>
      <c r="E77" s="335" t="s">
        <v>163</v>
      </c>
      <c r="F77" s="214">
        <v>30</v>
      </c>
      <c r="G77" s="214">
        <v>91.33</v>
      </c>
      <c r="H77" s="214">
        <f t="shared" si="7"/>
        <v>2739.9</v>
      </c>
      <c r="I77" s="214"/>
      <c r="J77" s="214">
        <v>0</v>
      </c>
      <c r="K77" s="214">
        <f t="shared" si="6"/>
        <v>0</v>
      </c>
      <c r="L77" s="214">
        <f t="shared" si="8"/>
        <v>2739.9</v>
      </c>
      <c r="M77" s="57"/>
      <c r="N77" s="46">
        <f t="shared" si="5"/>
        <v>345838.45089999994</v>
      </c>
      <c r="O77" s="19"/>
      <c r="P77" s="19"/>
      <c r="R77" s="329">
        <v>345860.14</v>
      </c>
    </row>
    <row r="78" spans="1:18">
      <c r="A78" s="19">
        <v>74</v>
      </c>
      <c r="B78" s="19" t="s">
        <v>123</v>
      </c>
      <c r="C78" s="19" t="s">
        <v>151</v>
      </c>
      <c r="D78" s="19" t="s">
        <v>152</v>
      </c>
      <c r="E78" s="335" t="s">
        <v>153</v>
      </c>
      <c r="F78" s="214"/>
      <c r="G78" s="214">
        <v>0</v>
      </c>
      <c r="H78" s="214">
        <f t="shared" si="7"/>
        <v>0</v>
      </c>
      <c r="I78" s="214">
        <v>6.73</v>
      </c>
      <c r="J78" s="214">
        <v>103.96</v>
      </c>
      <c r="K78" s="214">
        <f t="shared" si="6"/>
        <v>699.6508</v>
      </c>
      <c r="L78" s="214">
        <f t="shared" si="8"/>
        <v>699.6508</v>
      </c>
      <c r="M78" s="57"/>
      <c r="N78" s="46">
        <f t="shared" si="5"/>
        <v>345138.80009999993</v>
      </c>
      <c r="O78" s="19"/>
      <c r="P78" s="19"/>
    </row>
    <row r="79" spans="1:18">
      <c r="A79" s="19">
        <v>75</v>
      </c>
      <c r="B79" s="19" t="s">
        <v>123</v>
      </c>
      <c r="C79" s="19" t="s">
        <v>154</v>
      </c>
      <c r="D79" s="19" t="s">
        <v>155</v>
      </c>
      <c r="E79" s="335" t="s">
        <v>156</v>
      </c>
      <c r="F79" s="214"/>
      <c r="G79" s="214">
        <v>0</v>
      </c>
      <c r="H79" s="214">
        <f t="shared" si="7"/>
        <v>0</v>
      </c>
      <c r="I79" s="214">
        <v>10</v>
      </c>
      <c r="J79" s="214">
        <v>103.05</v>
      </c>
      <c r="K79" s="214">
        <f t="shared" si="6"/>
        <v>1030.5</v>
      </c>
      <c r="L79" s="214">
        <f t="shared" si="8"/>
        <v>1030.5</v>
      </c>
      <c r="M79" s="57"/>
      <c r="N79" s="46">
        <f t="shared" si="5"/>
        <v>344108.30009999993</v>
      </c>
      <c r="O79" s="19"/>
      <c r="P79" s="19"/>
    </row>
    <row r="80" spans="1:18">
      <c r="A80" s="19">
        <v>76</v>
      </c>
      <c r="B80" s="19" t="s">
        <v>123</v>
      </c>
      <c r="C80" s="19" t="s">
        <v>189</v>
      </c>
      <c r="D80" s="19" t="s">
        <v>190</v>
      </c>
      <c r="E80" s="335" t="s">
        <v>191</v>
      </c>
      <c r="F80" s="214"/>
      <c r="G80" s="214">
        <v>0</v>
      </c>
      <c r="H80" s="214">
        <f t="shared" si="7"/>
        <v>0</v>
      </c>
      <c r="I80" s="214">
        <v>5.86</v>
      </c>
      <c r="J80" s="214">
        <v>102.46</v>
      </c>
      <c r="K80" s="214">
        <f t="shared" si="6"/>
        <v>600.41560000000004</v>
      </c>
      <c r="L80" s="214">
        <f t="shared" si="8"/>
        <v>600.41560000000004</v>
      </c>
      <c r="M80" s="57"/>
      <c r="N80" s="46">
        <f t="shared" si="5"/>
        <v>343507.88449999993</v>
      </c>
      <c r="O80" s="19"/>
      <c r="P80" s="19"/>
      <c r="R80" s="46">
        <v>345838.45</v>
      </c>
    </row>
    <row r="81" spans="1:18">
      <c r="A81" s="19">
        <v>77</v>
      </c>
      <c r="B81" s="19" t="s">
        <v>123</v>
      </c>
      <c r="C81" s="19" t="s">
        <v>160</v>
      </c>
      <c r="D81" s="19" t="s">
        <v>161</v>
      </c>
      <c r="E81" s="335" t="s">
        <v>162</v>
      </c>
      <c r="F81" s="214">
        <v>400</v>
      </c>
      <c r="G81" s="214">
        <v>92.09</v>
      </c>
      <c r="H81" s="214">
        <f t="shared" si="7"/>
        <v>36836</v>
      </c>
      <c r="I81" s="214">
        <v>30</v>
      </c>
      <c r="J81" s="214">
        <v>103.86</v>
      </c>
      <c r="K81" s="214">
        <f t="shared" si="6"/>
        <v>3115.8</v>
      </c>
      <c r="L81" s="214">
        <f t="shared" si="8"/>
        <v>39951.800000000003</v>
      </c>
      <c r="M81" s="57"/>
      <c r="N81" s="46">
        <f t="shared" si="5"/>
        <v>303556.08449999994</v>
      </c>
      <c r="O81" s="19"/>
      <c r="P81" s="19"/>
      <c r="R81" s="329">
        <f>R77-R80</f>
        <v>21.690000000002328</v>
      </c>
    </row>
    <row r="82" spans="1:18">
      <c r="A82" s="110">
        <v>78</v>
      </c>
      <c r="B82" s="19" t="s">
        <v>123</v>
      </c>
      <c r="C82" s="110" t="s">
        <v>192</v>
      </c>
      <c r="D82" s="110" t="s">
        <v>193</v>
      </c>
      <c r="E82" s="336" t="s">
        <v>194</v>
      </c>
      <c r="F82" s="214">
        <v>37.549999999999997</v>
      </c>
      <c r="G82" s="214">
        <v>90.57</v>
      </c>
      <c r="H82" s="214">
        <f t="shared" si="7"/>
        <v>3400.9034999999994</v>
      </c>
      <c r="I82" s="214"/>
      <c r="J82" s="214">
        <v>0</v>
      </c>
      <c r="K82" s="214">
        <f t="shared" si="6"/>
        <v>0</v>
      </c>
      <c r="L82" s="214">
        <f t="shared" si="8"/>
        <v>3400.9034999999994</v>
      </c>
      <c r="M82" s="57"/>
      <c r="N82" s="270">
        <f t="shared" si="5"/>
        <v>300155.18099999992</v>
      </c>
      <c r="O82" s="110"/>
      <c r="P82" s="110"/>
    </row>
    <row r="83" spans="1:18">
      <c r="A83" s="19">
        <v>79</v>
      </c>
      <c r="B83" s="19" t="s">
        <v>123</v>
      </c>
      <c r="C83" s="19" t="s">
        <v>149</v>
      </c>
      <c r="D83" s="19" t="s">
        <v>110</v>
      </c>
      <c r="E83" s="335" t="s">
        <v>167</v>
      </c>
      <c r="F83" s="214">
        <v>86.16</v>
      </c>
      <c r="G83" s="214">
        <v>91.5</v>
      </c>
      <c r="H83" s="214">
        <f t="shared" si="7"/>
        <v>7883.6399999999994</v>
      </c>
      <c r="I83" s="214">
        <v>4.83</v>
      </c>
      <c r="J83" s="214">
        <v>103.44</v>
      </c>
      <c r="K83" s="214">
        <f t="shared" si="6"/>
        <v>499.61520000000002</v>
      </c>
      <c r="L83" s="214">
        <f t="shared" si="8"/>
        <v>8383.2551999999996</v>
      </c>
      <c r="M83" s="57"/>
      <c r="N83" s="46">
        <f t="shared" si="5"/>
        <v>291771.92579999991</v>
      </c>
      <c r="O83" s="19"/>
      <c r="P83" s="19"/>
    </row>
    <row r="84" spans="1:18">
      <c r="A84" s="19">
        <v>80</v>
      </c>
      <c r="B84" s="19" t="s">
        <v>123</v>
      </c>
      <c r="C84" s="121" t="s">
        <v>164</v>
      </c>
      <c r="D84" s="121" t="s">
        <v>165</v>
      </c>
      <c r="E84" s="333" t="s">
        <v>166</v>
      </c>
      <c r="F84" s="214">
        <v>55</v>
      </c>
      <c r="G84" s="214">
        <v>91.8</v>
      </c>
      <c r="H84" s="214">
        <f t="shared" si="7"/>
        <v>5049</v>
      </c>
      <c r="I84" s="214"/>
      <c r="J84" s="214">
        <v>0</v>
      </c>
      <c r="K84" s="214">
        <f t="shared" si="6"/>
        <v>0</v>
      </c>
      <c r="L84" s="214">
        <f t="shared" si="8"/>
        <v>5049</v>
      </c>
      <c r="M84" s="57"/>
      <c r="N84" s="46">
        <f t="shared" si="5"/>
        <v>286722.92579999991</v>
      </c>
      <c r="O84" s="19"/>
      <c r="P84" s="19"/>
    </row>
    <row r="85" spans="1:18">
      <c r="A85" s="110">
        <v>81</v>
      </c>
      <c r="B85" s="19" t="s">
        <v>123</v>
      </c>
      <c r="C85" s="121" t="s">
        <v>184</v>
      </c>
      <c r="D85" s="121" t="s">
        <v>185</v>
      </c>
      <c r="E85" s="333" t="s">
        <v>186</v>
      </c>
      <c r="F85" s="214">
        <v>250.46</v>
      </c>
      <c r="G85" s="214">
        <v>91.62</v>
      </c>
      <c r="H85" s="214">
        <f t="shared" si="7"/>
        <v>22947.145200000003</v>
      </c>
      <c r="I85" s="214"/>
      <c r="J85" s="214">
        <v>0</v>
      </c>
      <c r="K85" s="214">
        <f t="shared" si="6"/>
        <v>0</v>
      </c>
      <c r="L85" s="214">
        <f t="shared" si="8"/>
        <v>22947.145200000003</v>
      </c>
      <c r="M85" s="57"/>
      <c r="N85" s="46">
        <f t="shared" si="5"/>
        <v>263775.78059999988</v>
      </c>
      <c r="O85" s="19"/>
      <c r="P85" s="19"/>
    </row>
    <row r="86" spans="1:18">
      <c r="A86" s="19">
        <v>82</v>
      </c>
      <c r="B86" s="19" t="s">
        <v>123</v>
      </c>
      <c r="C86" s="19" t="s">
        <v>184</v>
      </c>
      <c r="D86" s="19" t="s">
        <v>185</v>
      </c>
      <c r="E86" s="335" t="s">
        <v>186</v>
      </c>
      <c r="F86" s="214">
        <v>60</v>
      </c>
      <c r="G86" s="214">
        <v>95.31</v>
      </c>
      <c r="H86" s="214">
        <f t="shared" si="7"/>
        <v>5718.6</v>
      </c>
      <c r="I86" s="214"/>
      <c r="J86" s="214">
        <v>0</v>
      </c>
      <c r="K86" s="214">
        <f t="shared" si="6"/>
        <v>0</v>
      </c>
      <c r="L86" s="214">
        <f t="shared" si="8"/>
        <v>5718.6</v>
      </c>
      <c r="M86" s="57"/>
      <c r="N86" s="46">
        <f t="shared" si="5"/>
        <v>258057.18059999988</v>
      </c>
      <c r="O86" s="19"/>
      <c r="P86" s="19"/>
    </row>
    <row r="87" spans="1:18">
      <c r="A87" s="110">
        <v>83</v>
      </c>
      <c r="B87" s="110" t="s">
        <v>124</v>
      </c>
      <c r="C87" s="110" t="s">
        <v>151</v>
      </c>
      <c r="D87" s="19" t="s">
        <v>152</v>
      </c>
      <c r="E87" s="335" t="s">
        <v>153</v>
      </c>
      <c r="F87" s="214">
        <v>72.59</v>
      </c>
      <c r="G87" s="214">
        <v>91.92</v>
      </c>
      <c r="H87" s="214">
        <f t="shared" si="7"/>
        <v>6672.4728000000005</v>
      </c>
      <c r="I87" s="214">
        <v>5.1100000000000003</v>
      </c>
      <c r="J87" s="214">
        <v>103.96</v>
      </c>
      <c r="K87" s="214">
        <f t="shared" si="6"/>
        <v>531.23559999999998</v>
      </c>
      <c r="L87" s="214">
        <f t="shared" si="8"/>
        <v>7203.7084000000004</v>
      </c>
      <c r="M87" s="57"/>
      <c r="N87" s="46">
        <f t="shared" si="5"/>
        <v>250853.47219999987</v>
      </c>
      <c r="O87" s="19"/>
      <c r="P87" s="19"/>
    </row>
    <row r="88" spans="1:18">
      <c r="A88" s="110">
        <v>84</v>
      </c>
      <c r="B88" s="110" t="s">
        <v>124</v>
      </c>
      <c r="C88" s="110" t="s">
        <v>154</v>
      </c>
      <c r="D88" s="306" t="s">
        <v>155</v>
      </c>
      <c r="E88" s="336" t="s">
        <v>156</v>
      </c>
      <c r="F88" s="214">
        <v>43.88</v>
      </c>
      <c r="G88" s="214">
        <v>91.14</v>
      </c>
      <c r="H88" s="214">
        <f t="shared" si="7"/>
        <v>3999.2232000000004</v>
      </c>
      <c r="I88" s="214">
        <v>5</v>
      </c>
      <c r="J88" s="214">
        <v>103.05</v>
      </c>
      <c r="K88" s="214">
        <f t="shared" si="6"/>
        <v>515.25</v>
      </c>
      <c r="L88" s="214">
        <f t="shared" si="8"/>
        <v>4514.4732000000004</v>
      </c>
      <c r="M88" s="57"/>
      <c r="N88" s="270">
        <f t="shared" si="5"/>
        <v>246338.99899999987</v>
      </c>
      <c r="O88" s="110"/>
      <c r="P88" s="110"/>
    </row>
    <row r="89" spans="1:18">
      <c r="A89" s="19">
        <v>85</v>
      </c>
      <c r="B89" s="110" t="s">
        <v>124</v>
      </c>
      <c r="C89" s="19" t="s">
        <v>157</v>
      </c>
      <c r="D89" s="19" t="s">
        <v>158</v>
      </c>
      <c r="E89" s="335" t="s">
        <v>159</v>
      </c>
      <c r="F89" s="214">
        <v>40.119999999999997</v>
      </c>
      <c r="G89" s="214">
        <v>92.03</v>
      </c>
      <c r="H89" s="214">
        <f t="shared" si="7"/>
        <v>3692.2435999999998</v>
      </c>
      <c r="I89" s="214"/>
      <c r="J89" s="214">
        <v>0</v>
      </c>
      <c r="K89" s="214">
        <f t="shared" si="6"/>
        <v>0</v>
      </c>
      <c r="L89" s="214">
        <f t="shared" si="8"/>
        <v>3692.2435999999998</v>
      </c>
      <c r="M89" s="57"/>
      <c r="N89" s="46">
        <f t="shared" si="5"/>
        <v>242646.75539999988</v>
      </c>
      <c r="O89" s="19"/>
      <c r="P89" s="19"/>
    </row>
    <row r="90" spans="1:18">
      <c r="A90" s="19">
        <v>86</v>
      </c>
      <c r="B90" s="110" t="s">
        <v>124</v>
      </c>
      <c r="C90" s="19" t="s">
        <v>172</v>
      </c>
      <c r="D90" s="312" t="s">
        <v>173</v>
      </c>
      <c r="E90" s="335" t="s">
        <v>174</v>
      </c>
      <c r="F90" s="214">
        <v>739.46</v>
      </c>
      <c r="G90" s="214">
        <v>92.1</v>
      </c>
      <c r="H90" s="214">
        <f t="shared" si="7"/>
        <v>68104.266000000003</v>
      </c>
      <c r="I90" s="214"/>
      <c r="J90" s="214">
        <v>0</v>
      </c>
      <c r="K90" s="214">
        <f t="shared" si="6"/>
        <v>0</v>
      </c>
      <c r="L90" s="214">
        <f t="shared" si="8"/>
        <v>68104.266000000003</v>
      </c>
      <c r="M90" s="57"/>
      <c r="N90" s="46">
        <f t="shared" si="5"/>
        <v>174542.48939999987</v>
      </c>
      <c r="O90" s="19"/>
      <c r="P90" s="19"/>
    </row>
    <row r="91" spans="1:18">
      <c r="A91" s="110">
        <v>87</v>
      </c>
      <c r="B91" s="110" t="s">
        <v>124</v>
      </c>
      <c r="C91" s="110" t="s">
        <v>181</v>
      </c>
      <c r="D91" s="110" t="s">
        <v>182</v>
      </c>
      <c r="E91" s="336" t="s">
        <v>183</v>
      </c>
      <c r="F91" s="214">
        <v>32.81</v>
      </c>
      <c r="G91" s="214">
        <v>91.45</v>
      </c>
      <c r="H91" s="214">
        <f t="shared" si="7"/>
        <v>3000.4745000000003</v>
      </c>
      <c r="I91" s="214"/>
      <c r="J91" s="214">
        <v>0</v>
      </c>
      <c r="K91" s="214">
        <f t="shared" si="6"/>
        <v>0</v>
      </c>
      <c r="L91" s="214">
        <f t="shared" si="8"/>
        <v>3000.4745000000003</v>
      </c>
      <c r="M91" s="57"/>
      <c r="N91" s="270">
        <f t="shared" si="5"/>
        <v>171542.01489999986</v>
      </c>
      <c r="O91" s="110"/>
      <c r="P91" s="110"/>
    </row>
    <row r="92" spans="1:18">
      <c r="A92" s="19">
        <v>88</v>
      </c>
      <c r="B92" s="110" t="s">
        <v>124</v>
      </c>
      <c r="C92" s="19" t="s">
        <v>164</v>
      </c>
      <c r="D92" s="19" t="s">
        <v>165</v>
      </c>
      <c r="E92" s="335" t="s">
        <v>166</v>
      </c>
      <c r="F92" s="214">
        <v>100</v>
      </c>
      <c r="G92" s="214">
        <v>91.8</v>
      </c>
      <c r="H92" s="214">
        <f t="shared" si="7"/>
        <v>9180</v>
      </c>
      <c r="I92" s="214">
        <v>5</v>
      </c>
      <c r="J92" s="214">
        <v>103.76</v>
      </c>
      <c r="K92" s="214">
        <f t="shared" si="6"/>
        <v>518.80000000000007</v>
      </c>
      <c r="L92" s="214">
        <f t="shared" si="8"/>
        <v>9698.7999999999993</v>
      </c>
      <c r="M92" s="57">
        <v>1330000</v>
      </c>
      <c r="N92" s="46">
        <f t="shared" si="5"/>
        <v>1491843.2148999998</v>
      </c>
      <c r="O92" s="19"/>
      <c r="P92" s="19"/>
    </row>
    <row r="93" spans="1:18">
      <c r="A93" s="19">
        <v>89</v>
      </c>
      <c r="B93" s="19" t="s">
        <v>125</v>
      </c>
      <c r="C93" s="19" t="s">
        <v>154</v>
      </c>
      <c r="D93" s="19" t="s">
        <v>155</v>
      </c>
      <c r="E93" s="335" t="s">
        <v>156</v>
      </c>
      <c r="F93" s="214">
        <v>32.92</v>
      </c>
      <c r="G93" s="214">
        <v>91.14</v>
      </c>
      <c r="H93" s="214">
        <f t="shared" si="7"/>
        <v>3000.3288000000002</v>
      </c>
      <c r="I93" s="214"/>
      <c r="J93" s="214">
        <v>0</v>
      </c>
      <c r="K93" s="214">
        <f t="shared" si="6"/>
        <v>0</v>
      </c>
      <c r="L93" s="214">
        <f t="shared" si="8"/>
        <v>3000.3288000000002</v>
      </c>
      <c r="M93" s="57"/>
      <c r="N93" s="46">
        <f t="shared" si="5"/>
        <v>1488842.8860999998</v>
      </c>
      <c r="O93" s="19"/>
      <c r="P93" s="19"/>
    </row>
    <row r="94" spans="1:18">
      <c r="A94" s="19">
        <v>90</v>
      </c>
      <c r="B94" s="19" t="s">
        <v>125</v>
      </c>
      <c r="C94" s="19" t="s">
        <v>207</v>
      </c>
      <c r="D94" s="19" t="s">
        <v>208</v>
      </c>
      <c r="E94" s="335" t="s">
        <v>206</v>
      </c>
      <c r="F94" s="214">
        <v>70</v>
      </c>
      <c r="G94" s="214">
        <v>92.09</v>
      </c>
      <c r="H94" s="214">
        <f t="shared" si="7"/>
        <v>6446.3</v>
      </c>
      <c r="I94" s="214">
        <v>6</v>
      </c>
      <c r="J94" s="214">
        <v>103.86</v>
      </c>
      <c r="K94" s="214">
        <f t="shared" si="6"/>
        <v>623.16</v>
      </c>
      <c r="L94" s="214">
        <f t="shared" si="8"/>
        <v>7069.46</v>
      </c>
      <c r="M94" s="57"/>
      <c r="N94" s="46">
        <f t="shared" si="5"/>
        <v>1481773.4260999998</v>
      </c>
      <c r="O94" s="19"/>
      <c r="P94" s="19"/>
    </row>
    <row r="95" spans="1:18">
      <c r="A95" s="19">
        <v>91</v>
      </c>
      <c r="B95" s="19" t="s">
        <v>125</v>
      </c>
      <c r="C95" s="19" t="s">
        <v>209</v>
      </c>
      <c r="D95" s="19" t="s">
        <v>76</v>
      </c>
      <c r="E95" s="335" t="s">
        <v>191</v>
      </c>
      <c r="F95" s="214"/>
      <c r="G95" s="214">
        <v>0</v>
      </c>
      <c r="H95" s="214">
        <f t="shared" si="7"/>
        <v>0</v>
      </c>
      <c r="I95" s="214">
        <v>8.1999999999999993</v>
      </c>
      <c r="J95" s="214">
        <v>102.46</v>
      </c>
      <c r="K95" s="214">
        <f t="shared" si="6"/>
        <v>840.17199999999991</v>
      </c>
      <c r="L95" s="214">
        <f t="shared" si="8"/>
        <v>840.17199999999991</v>
      </c>
      <c r="M95" s="57"/>
      <c r="N95" s="46">
        <f t="shared" si="5"/>
        <v>1480933.2540999998</v>
      </c>
      <c r="O95" s="19"/>
      <c r="P95" s="19"/>
    </row>
    <row r="96" spans="1:18">
      <c r="A96" s="19">
        <v>92</v>
      </c>
      <c r="B96" s="19" t="s">
        <v>125</v>
      </c>
      <c r="C96" s="19" t="s">
        <v>149</v>
      </c>
      <c r="D96" s="19" t="s">
        <v>110</v>
      </c>
      <c r="E96" s="335" t="s">
        <v>167</v>
      </c>
      <c r="F96" s="214">
        <v>102</v>
      </c>
      <c r="G96" s="214">
        <v>91.5</v>
      </c>
      <c r="H96" s="214">
        <f t="shared" si="7"/>
        <v>9333</v>
      </c>
      <c r="I96" s="214">
        <v>5</v>
      </c>
      <c r="J96" s="214">
        <v>103.44</v>
      </c>
      <c r="K96" s="214">
        <f t="shared" si="6"/>
        <v>517.20000000000005</v>
      </c>
      <c r="L96" s="214">
        <f t="shared" si="8"/>
        <v>9850.2000000000007</v>
      </c>
      <c r="M96" s="57"/>
      <c r="N96" s="46">
        <f t="shared" si="5"/>
        <v>1471083.0540999998</v>
      </c>
      <c r="O96" s="343"/>
      <c r="P96" s="46"/>
    </row>
    <row r="97" spans="1:16">
      <c r="A97" s="19">
        <v>93</v>
      </c>
      <c r="B97" s="19" t="s">
        <v>125</v>
      </c>
      <c r="C97" s="19" t="s">
        <v>164</v>
      </c>
      <c r="D97" s="19" t="s">
        <v>165</v>
      </c>
      <c r="E97" s="335" t="s">
        <v>166</v>
      </c>
      <c r="F97" s="214">
        <v>30</v>
      </c>
      <c r="G97" s="214">
        <v>91.8</v>
      </c>
      <c r="H97" s="214">
        <f t="shared" si="7"/>
        <v>2754</v>
      </c>
      <c r="I97" s="214"/>
      <c r="J97" s="214">
        <v>0</v>
      </c>
      <c r="K97" s="214">
        <f t="shared" si="6"/>
        <v>0</v>
      </c>
      <c r="L97" s="214">
        <f t="shared" si="8"/>
        <v>2754</v>
      </c>
      <c r="M97" s="57"/>
      <c r="N97" s="46">
        <f t="shared" si="5"/>
        <v>1468329.0540999998</v>
      </c>
      <c r="O97" s="19"/>
      <c r="P97" s="19"/>
    </row>
    <row r="98" spans="1:16">
      <c r="A98" s="19">
        <v>94</v>
      </c>
      <c r="B98" s="19" t="s">
        <v>126</v>
      </c>
      <c r="C98" s="19" t="s">
        <v>151</v>
      </c>
      <c r="D98" s="19" t="s">
        <v>152</v>
      </c>
      <c r="E98" s="335" t="s">
        <v>153</v>
      </c>
      <c r="F98" s="214">
        <v>90</v>
      </c>
      <c r="G98" s="214">
        <v>91.92</v>
      </c>
      <c r="H98" s="214">
        <f t="shared" si="7"/>
        <v>8272.7999999999993</v>
      </c>
      <c r="I98" s="214"/>
      <c r="J98" s="214">
        <v>0</v>
      </c>
      <c r="K98" s="214">
        <f t="shared" si="6"/>
        <v>0</v>
      </c>
      <c r="L98" s="214">
        <f>H98+K98</f>
        <v>8272.7999999999993</v>
      </c>
      <c r="M98" s="57"/>
      <c r="N98" s="46">
        <f t="shared" si="5"/>
        <v>1460056.2540999998</v>
      </c>
      <c r="O98" s="19"/>
      <c r="P98" s="19"/>
    </row>
    <row r="99" spans="1:16">
      <c r="A99" s="110">
        <v>95</v>
      </c>
      <c r="B99" s="19" t="s">
        <v>126</v>
      </c>
      <c r="C99" s="110" t="s">
        <v>154</v>
      </c>
      <c r="D99" s="110" t="s">
        <v>155</v>
      </c>
      <c r="E99" s="336" t="s">
        <v>156</v>
      </c>
      <c r="F99" s="214">
        <v>32.92</v>
      </c>
      <c r="G99" s="214">
        <v>91.14</v>
      </c>
      <c r="H99" s="214">
        <f t="shared" si="7"/>
        <v>3000.3288000000002</v>
      </c>
      <c r="I99" s="214"/>
      <c r="J99" s="214">
        <v>0</v>
      </c>
      <c r="K99" s="214">
        <f t="shared" si="6"/>
        <v>0</v>
      </c>
      <c r="L99" s="214">
        <f>H99+K99</f>
        <v>3000.3288000000002</v>
      </c>
      <c r="M99" s="57"/>
      <c r="N99" s="270">
        <f t="shared" ref="N99:N136" si="9">N98+M99-L99</f>
        <v>1457055.9252999998</v>
      </c>
      <c r="O99" s="110"/>
      <c r="P99" s="110"/>
    </row>
    <row r="100" spans="1:16">
      <c r="A100" s="19">
        <v>96</v>
      </c>
      <c r="B100" s="19" t="s">
        <v>126</v>
      </c>
      <c r="C100" s="19" t="s">
        <v>179</v>
      </c>
      <c r="D100" s="19" t="s">
        <v>180</v>
      </c>
      <c r="E100" s="335" t="s">
        <v>159</v>
      </c>
      <c r="F100" s="214">
        <v>36.85</v>
      </c>
      <c r="G100" s="214">
        <v>91.47</v>
      </c>
      <c r="H100" s="214">
        <f t="shared" si="7"/>
        <v>3370.6695</v>
      </c>
      <c r="I100" s="214"/>
      <c r="J100" s="214">
        <v>0</v>
      </c>
      <c r="K100" s="214">
        <f t="shared" si="6"/>
        <v>0</v>
      </c>
      <c r="L100" s="214">
        <f>H100+K100</f>
        <v>3370.6695</v>
      </c>
      <c r="M100" s="57"/>
      <c r="N100" s="46">
        <f t="shared" si="9"/>
        <v>1453685.2557999997</v>
      </c>
      <c r="O100" s="19"/>
      <c r="P100" s="19"/>
    </row>
    <row r="101" spans="1:16">
      <c r="A101" s="19">
        <v>97</v>
      </c>
      <c r="B101" s="19" t="s">
        <v>126</v>
      </c>
      <c r="C101" s="19" t="s">
        <v>160</v>
      </c>
      <c r="D101" s="19" t="s">
        <v>161</v>
      </c>
      <c r="E101" s="335" t="s">
        <v>162</v>
      </c>
      <c r="F101" s="214">
        <v>325</v>
      </c>
      <c r="G101" s="214">
        <v>92.09</v>
      </c>
      <c r="H101" s="214">
        <f t="shared" si="7"/>
        <v>29929.25</v>
      </c>
      <c r="I101" s="214"/>
      <c r="J101" s="214">
        <v>0</v>
      </c>
      <c r="K101" s="214">
        <f t="shared" si="6"/>
        <v>0</v>
      </c>
      <c r="L101" s="214">
        <f>H101+K101</f>
        <v>29929.25</v>
      </c>
      <c r="M101" s="57"/>
      <c r="N101" s="46">
        <f t="shared" si="9"/>
        <v>1423756.0057999997</v>
      </c>
      <c r="O101" s="19"/>
      <c r="P101" s="19"/>
    </row>
    <row r="102" spans="1:16">
      <c r="A102" s="110">
        <v>98</v>
      </c>
      <c r="B102" s="19" t="s">
        <v>126</v>
      </c>
      <c r="C102" s="110" t="s">
        <v>175</v>
      </c>
      <c r="D102" s="110" t="s">
        <v>176</v>
      </c>
      <c r="E102" s="336" t="s">
        <v>177</v>
      </c>
      <c r="F102" s="214">
        <v>50</v>
      </c>
      <c r="G102" s="214">
        <v>91.59</v>
      </c>
      <c r="H102" s="214">
        <f t="shared" si="7"/>
        <v>4579.5</v>
      </c>
      <c r="I102" s="214"/>
      <c r="J102" s="214">
        <v>0</v>
      </c>
      <c r="K102" s="214">
        <f t="shared" si="6"/>
        <v>0</v>
      </c>
      <c r="L102" s="214">
        <f>H102+K102</f>
        <v>4579.5</v>
      </c>
      <c r="M102" s="57"/>
      <c r="N102" s="270">
        <f t="shared" si="9"/>
        <v>1419176.5057999997</v>
      </c>
      <c r="O102" s="110"/>
      <c r="P102" s="110"/>
    </row>
    <row r="103" spans="1:16">
      <c r="A103" s="110">
        <v>99</v>
      </c>
      <c r="B103" s="19" t="s">
        <v>126</v>
      </c>
      <c r="C103" s="110" t="s">
        <v>181</v>
      </c>
      <c r="D103" s="110" t="s">
        <v>182</v>
      </c>
      <c r="E103" s="336" t="s">
        <v>183</v>
      </c>
      <c r="F103" s="214">
        <v>32.81</v>
      </c>
      <c r="G103" s="214">
        <v>91.45</v>
      </c>
      <c r="H103" s="214">
        <f t="shared" si="7"/>
        <v>3000.4745000000003</v>
      </c>
      <c r="I103" s="214"/>
      <c r="J103" s="214">
        <v>0</v>
      </c>
      <c r="K103" s="214">
        <f t="shared" si="6"/>
        <v>0</v>
      </c>
      <c r="L103" s="214">
        <f>H103+K103</f>
        <v>3000.4745000000003</v>
      </c>
      <c r="M103" s="57"/>
      <c r="N103" s="270">
        <f t="shared" si="9"/>
        <v>1416176.0312999997</v>
      </c>
      <c r="O103" s="110"/>
      <c r="P103" s="110"/>
    </row>
    <row r="104" spans="1:16">
      <c r="A104" s="19">
        <v>100</v>
      </c>
      <c r="B104" s="19" t="s">
        <v>126</v>
      </c>
      <c r="C104" s="19" t="s">
        <v>149</v>
      </c>
      <c r="D104" s="19" t="s">
        <v>110</v>
      </c>
      <c r="E104" s="335" t="s">
        <v>167</v>
      </c>
      <c r="F104" s="214">
        <v>92.66</v>
      </c>
      <c r="G104" s="214">
        <v>91.5</v>
      </c>
      <c r="H104" s="214">
        <f t="shared" si="7"/>
        <v>8478.39</v>
      </c>
      <c r="I104" s="214">
        <v>4.7</v>
      </c>
      <c r="J104" s="214">
        <v>103.44</v>
      </c>
      <c r="K104" s="214">
        <f t="shared" si="6"/>
        <v>486.16800000000001</v>
      </c>
      <c r="L104" s="214">
        <f>H104+K104</f>
        <v>8964.5579999999991</v>
      </c>
      <c r="M104" s="57"/>
      <c r="N104" s="46">
        <f t="shared" si="9"/>
        <v>1407211.4732999997</v>
      </c>
      <c r="O104" s="19"/>
      <c r="P104" s="19"/>
    </row>
    <row r="105" spans="1:16">
      <c r="A105" s="19">
        <v>101</v>
      </c>
      <c r="B105" s="19" t="s">
        <v>126</v>
      </c>
      <c r="C105" s="19" t="s">
        <v>164</v>
      </c>
      <c r="D105" s="19" t="s">
        <v>165</v>
      </c>
      <c r="E105" s="335" t="s">
        <v>166</v>
      </c>
      <c r="F105" s="214">
        <v>70</v>
      </c>
      <c r="G105" s="214">
        <v>91.8</v>
      </c>
      <c r="H105" s="214">
        <f t="shared" si="7"/>
        <v>6426</v>
      </c>
      <c r="I105" s="214">
        <v>9</v>
      </c>
      <c r="J105" s="214">
        <v>103.76</v>
      </c>
      <c r="K105" s="214">
        <f t="shared" si="6"/>
        <v>933.84</v>
      </c>
      <c r="L105" s="214">
        <f>H105+K105</f>
        <v>7359.84</v>
      </c>
      <c r="M105" s="57"/>
      <c r="N105" s="46">
        <f t="shared" si="9"/>
        <v>1399851.6332999996</v>
      </c>
      <c r="O105" s="19"/>
      <c r="P105" s="19"/>
    </row>
    <row r="106" spans="1:16">
      <c r="A106" s="19">
        <v>102</v>
      </c>
      <c r="B106" s="110" t="s">
        <v>210</v>
      </c>
      <c r="C106" s="110" t="s">
        <v>157</v>
      </c>
      <c r="D106" s="110" t="s">
        <v>158</v>
      </c>
      <c r="E106" s="336" t="s">
        <v>159</v>
      </c>
      <c r="F106" s="214">
        <v>46.2</v>
      </c>
      <c r="G106" s="214">
        <v>92.03</v>
      </c>
      <c r="H106" s="214">
        <f t="shared" si="7"/>
        <v>4251.7860000000001</v>
      </c>
      <c r="I106" s="214"/>
      <c r="J106" s="214">
        <v>0</v>
      </c>
      <c r="K106" s="214">
        <f t="shared" si="6"/>
        <v>0</v>
      </c>
      <c r="L106" s="214">
        <f t="shared" si="8"/>
        <v>4251.7860000000001</v>
      </c>
      <c r="M106" s="57"/>
      <c r="N106" s="270">
        <f t="shared" si="9"/>
        <v>1395599.8472999996</v>
      </c>
      <c r="O106" s="347"/>
      <c r="P106" s="270"/>
    </row>
    <row r="107" spans="1:16">
      <c r="A107" s="113">
        <v>103</v>
      </c>
      <c r="B107" s="110" t="s">
        <v>210</v>
      </c>
      <c r="C107" s="19" t="s">
        <v>211</v>
      </c>
      <c r="D107" s="19" t="s">
        <v>212</v>
      </c>
      <c r="E107" s="335" t="s">
        <v>159</v>
      </c>
      <c r="F107" s="214">
        <v>25.33</v>
      </c>
      <c r="G107" s="214">
        <v>91.27</v>
      </c>
      <c r="H107" s="214">
        <f t="shared" si="7"/>
        <v>2311.8690999999999</v>
      </c>
      <c r="I107" s="214"/>
      <c r="J107" s="214">
        <v>0</v>
      </c>
      <c r="K107" s="214">
        <f t="shared" si="6"/>
        <v>0</v>
      </c>
      <c r="L107" s="214">
        <f t="shared" si="8"/>
        <v>2311.8690999999999</v>
      </c>
      <c r="M107" s="57"/>
      <c r="N107" s="46">
        <f t="shared" si="9"/>
        <v>1393287.9781999995</v>
      </c>
      <c r="O107" s="19"/>
      <c r="P107" s="19"/>
    </row>
    <row r="108" spans="1:16">
      <c r="A108" s="113">
        <v>104</v>
      </c>
      <c r="B108" s="110" t="s">
        <v>210</v>
      </c>
      <c r="C108" s="19" t="s">
        <v>175</v>
      </c>
      <c r="D108" s="19" t="s">
        <v>176</v>
      </c>
      <c r="E108" s="335" t="s">
        <v>177</v>
      </c>
      <c r="F108" s="214">
        <v>46</v>
      </c>
      <c r="G108" s="214">
        <v>91.59</v>
      </c>
      <c r="H108" s="214">
        <f t="shared" si="7"/>
        <v>4213.1400000000003</v>
      </c>
      <c r="I108" s="214"/>
      <c r="J108" s="214">
        <v>0</v>
      </c>
      <c r="K108" s="214">
        <f t="shared" si="6"/>
        <v>0</v>
      </c>
      <c r="L108" s="214">
        <f t="shared" si="8"/>
        <v>4213.1400000000003</v>
      </c>
      <c r="M108" s="57"/>
      <c r="N108" s="46">
        <f t="shared" si="9"/>
        <v>1389074.8381999996</v>
      </c>
      <c r="O108" s="19"/>
      <c r="P108" s="19"/>
    </row>
    <row r="109" spans="1:16">
      <c r="A109" s="113">
        <v>105</v>
      </c>
      <c r="B109" s="110" t="s">
        <v>210</v>
      </c>
      <c r="C109" s="19" t="s">
        <v>164</v>
      </c>
      <c r="D109" s="19" t="s">
        <v>165</v>
      </c>
      <c r="E109" s="335" t="s">
        <v>166</v>
      </c>
      <c r="F109" s="214">
        <v>105</v>
      </c>
      <c r="G109" s="214">
        <v>91.8</v>
      </c>
      <c r="H109" s="214">
        <f t="shared" si="7"/>
        <v>9639</v>
      </c>
      <c r="I109" s="214">
        <v>5</v>
      </c>
      <c r="J109" s="214">
        <v>103.76</v>
      </c>
      <c r="K109" s="214">
        <f t="shared" si="6"/>
        <v>518.80000000000007</v>
      </c>
      <c r="L109" s="214">
        <f t="shared" si="8"/>
        <v>10157.799999999999</v>
      </c>
      <c r="M109" s="57"/>
      <c r="N109" s="46">
        <f t="shared" si="9"/>
        <v>1378917.0381999996</v>
      </c>
      <c r="O109" s="19"/>
      <c r="P109" s="19"/>
    </row>
    <row r="110" spans="1:16">
      <c r="A110" s="113">
        <v>106</v>
      </c>
      <c r="B110" s="110" t="s">
        <v>210</v>
      </c>
      <c r="C110" s="19" t="s">
        <v>168</v>
      </c>
      <c r="D110" s="19" t="s">
        <v>169</v>
      </c>
      <c r="E110" s="335" t="s">
        <v>170</v>
      </c>
      <c r="F110" s="214">
        <v>130</v>
      </c>
      <c r="G110" s="214">
        <v>92.04</v>
      </c>
      <c r="H110" s="214">
        <f t="shared" si="7"/>
        <v>11965.2</v>
      </c>
      <c r="I110" s="214"/>
      <c r="J110" s="214">
        <v>0</v>
      </c>
      <c r="K110" s="214">
        <f t="shared" si="6"/>
        <v>0</v>
      </c>
      <c r="L110" s="214">
        <f t="shared" si="8"/>
        <v>11965.2</v>
      </c>
      <c r="M110" s="57"/>
      <c r="N110" s="46">
        <f t="shared" si="9"/>
        <v>1366951.8381999996</v>
      </c>
      <c r="O110" s="19"/>
      <c r="P110" s="19"/>
    </row>
    <row r="111" spans="1:16">
      <c r="A111" s="113">
        <v>107</v>
      </c>
      <c r="B111" s="110" t="s">
        <v>213</v>
      </c>
      <c r="C111" s="110" t="s">
        <v>151</v>
      </c>
      <c r="D111" s="110" t="s">
        <v>152</v>
      </c>
      <c r="E111" s="336" t="s">
        <v>153</v>
      </c>
      <c r="F111" s="214">
        <v>100.21</v>
      </c>
      <c r="G111" s="214">
        <v>91.92</v>
      </c>
      <c r="H111" s="214">
        <f t="shared" si="7"/>
        <v>9211.3032000000003</v>
      </c>
      <c r="I111" s="214">
        <v>4.8099999999999996</v>
      </c>
      <c r="J111" s="214">
        <v>103.96</v>
      </c>
      <c r="K111" s="214">
        <f t="shared" si="6"/>
        <v>500.04759999999993</v>
      </c>
      <c r="L111" s="214">
        <f t="shared" si="8"/>
        <v>9711.3508000000002</v>
      </c>
      <c r="M111" s="57"/>
      <c r="N111" s="270">
        <f t="shared" si="9"/>
        <v>1357240.4873999998</v>
      </c>
      <c r="O111" s="347"/>
      <c r="P111" s="270"/>
    </row>
    <row r="112" spans="1:16">
      <c r="A112" s="113">
        <v>108</v>
      </c>
      <c r="B112" s="110" t="s">
        <v>213</v>
      </c>
      <c r="C112" s="19" t="s">
        <v>154</v>
      </c>
      <c r="D112" s="19" t="s">
        <v>155</v>
      </c>
      <c r="E112" s="335" t="s">
        <v>156</v>
      </c>
      <c r="F112" s="214">
        <v>32.92</v>
      </c>
      <c r="G112" s="214">
        <v>91.14</v>
      </c>
      <c r="H112" s="214">
        <f t="shared" si="7"/>
        <v>3000.3288000000002</v>
      </c>
      <c r="I112" s="214"/>
      <c r="J112" s="214">
        <v>0</v>
      </c>
      <c r="K112" s="214">
        <f t="shared" si="6"/>
        <v>0</v>
      </c>
      <c r="L112" s="214">
        <f t="shared" si="8"/>
        <v>3000.3288000000002</v>
      </c>
      <c r="M112" s="57"/>
      <c r="N112" s="46">
        <f t="shared" si="9"/>
        <v>1354240.1585999997</v>
      </c>
      <c r="O112" s="19"/>
      <c r="P112" s="19"/>
    </row>
    <row r="113" spans="1:16">
      <c r="A113" s="113">
        <v>109</v>
      </c>
      <c r="B113" s="110" t="s">
        <v>213</v>
      </c>
      <c r="C113" s="19" t="s">
        <v>175</v>
      </c>
      <c r="D113" s="19" t="s">
        <v>176</v>
      </c>
      <c r="E113" s="335" t="s">
        <v>177</v>
      </c>
      <c r="F113" s="214">
        <v>30</v>
      </c>
      <c r="G113" s="214">
        <v>91.59</v>
      </c>
      <c r="H113" s="214">
        <f t="shared" si="7"/>
        <v>2747.7000000000003</v>
      </c>
      <c r="I113" s="214"/>
      <c r="J113" s="214">
        <v>0</v>
      </c>
      <c r="K113" s="214">
        <f t="shared" si="6"/>
        <v>0</v>
      </c>
      <c r="L113" s="214">
        <f t="shared" si="8"/>
        <v>2747.7000000000003</v>
      </c>
      <c r="M113" s="57"/>
      <c r="N113" s="46">
        <f t="shared" si="9"/>
        <v>1351492.4585999998</v>
      </c>
      <c r="O113" s="19"/>
      <c r="P113" s="19"/>
    </row>
    <row r="114" spans="1:16">
      <c r="A114" s="113">
        <v>110</v>
      </c>
      <c r="B114" s="110" t="s">
        <v>213</v>
      </c>
      <c r="C114" s="19" t="s">
        <v>164</v>
      </c>
      <c r="D114" s="19" t="s">
        <v>165</v>
      </c>
      <c r="E114" s="335" t="s">
        <v>166</v>
      </c>
      <c r="F114" s="214">
        <v>70</v>
      </c>
      <c r="G114" s="214">
        <v>91.8</v>
      </c>
      <c r="H114" s="214">
        <f t="shared" si="7"/>
        <v>6426</v>
      </c>
      <c r="I114" s="214">
        <v>5</v>
      </c>
      <c r="J114" s="214">
        <v>103.76</v>
      </c>
      <c r="K114" s="214">
        <f t="shared" si="6"/>
        <v>518.80000000000007</v>
      </c>
      <c r="L114" s="214">
        <f t="shared" si="8"/>
        <v>6944.8</v>
      </c>
      <c r="M114" s="57"/>
      <c r="N114" s="46">
        <f t="shared" si="9"/>
        <v>1344547.6585999997</v>
      </c>
      <c r="O114" s="19"/>
      <c r="P114" s="19"/>
    </row>
    <row r="115" spans="1:16">
      <c r="A115" s="113">
        <v>111</v>
      </c>
      <c r="B115" s="19" t="s">
        <v>127</v>
      </c>
      <c r="C115" s="19" t="s">
        <v>151</v>
      </c>
      <c r="D115" s="19" t="s">
        <v>152</v>
      </c>
      <c r="E115" s="335" t="s">
        <v>153</v>
      </c>
      <c r="F115" s="214">
        <v>40</v>
      </c>
      <c r="G115" s="214">
        <v>91.92</v>
      </c>
      <c r="H115" s="214">
        <f t="shared" si="7"/>
        <v>3676.8</v>
      </c>
      <c r="I115" s="214">
        <v>7.65</v>
      </c>
      <c r="J115" s="214">
        <v>103.96</v>
      </c>
      <c r="K115" s="214">
        <f t="shared" si="6"/>
        <v>795.29399999999998</v>
      </c>
      <c r="L115" s="214">
        <f t="shared" si="8"/>
        <v>4472.0940000000001</v>
      </c>
      <c r="M115" s="57"/>
      <c r="N115" s="46">
        <f t="shared" si="9"/>
        <v>1340075.5645999997</v>
      </c>
      <c r="O115" s="19"/>
      <c r="P115" s="19"/>
    </row>
    <row r="116" spans="1:16">
      <c r="A116" s="113">
        <v>112</v>
      </c>
      <c r="B116" s="19" t="s">
        <v>127</v>
      </c>
      <c r="C116" s="19" t="s">
        <v>154</v>
      </c>
      <c r="D116" s="19" t="s">
        <v>155</v>
      </c>
      <c r="E116" s="335" t="s">
        <v>156</v>
      </c>
      <c r="F116" s="214"/>
      <c r="G116" s="214">
        <v>0</v>
      </c>
      <c r="H116" s="214">
        <f t="shared" si="7"/>
        <v>0</v>
      </c>
      <c r="I116" s="214">
        <v>14.95</v>
      </c>
      <c r="J116" s="214">
        <v>103.05</v>
      </c>
      <c r="K116" s="214">
        <f t="shared" si="6"/>
        <v>1540.5974999999999</v>
      </c>
      <c r="L116" s="214">
        <f t="shared" si="8"/>
        <v>1540.5974999999999</v>
      </c>
      <c r="M116" s="57"/>
      <c r="N116" s="46">
        <f t="shared" si="9"/>
        <v>1338534.9670999998</v>
      </c>
      <c r="O116" s="19"/>
      <c r="P116" s="19"/>
    </row>
    <row r="117" spans="1:16">
      <c r="A117" s="113">
        <v>113</v>
      </c>
      <c r="B117" s="19" t="s">
        <v>127</v>
      </c>
      <c r="C117" s="110" t="s">
        <v>179</v>
      </c>
      <c r="D117" s="110" t="s">
        <v>180</v>
      </c>
      <c r="E117" s="336" t="s">
        <v>159</v>
      </c>
      <c r="F117" s="214">
        <v>201.71</v>
      </c>
      <c r="G117" s="214">
        <v>91.47</v>
      </c>
      <c r="H117" s="214">
        <f t="shared" si="7"/>
        <v>18450.413700000001</v>
      </c>
      <c r="I117" s="214"/>
      <c r="J117" s="214">
        <v>0</v>
      </c>
      <c r="K117" s="214">
        <f t="shared" si="6"/>
        <v>0</v>
      </c>
      <c r="L117" s="214">
        <f t="shared" si="8"/>
        <v>18450.413700000001</v>
      </c>
      <c r="M117" s="57"/>
      <c r="N117" s="270">
        <f t="shared" si="9"/>
        <v>1320084.5533999999</v>
      </c>
      <c r="O117" s="110"/>
      <c r="P117" s="110"/>
    </row>
    <row r="118" spans="1:16">
      <c r="A118" s="113">
        <v>114</v>
      </c>
      <c r="B118" s="19" t="s">
        <v>127</v>
      </c>
      <c r="C118" s="19" t="s">
        <v>181</v>
      </c>
      <c r="D118" s="19" t="s">
        <v>182</v>
      </c>
      <c r="E118" s="335" t="s">
        <v>183</v>
      </c>
      <c r="F118" s="214">
        <v>32.81</v>
      </c>
      <c r="G118" s="214">
        <v>91.45</v>
      </c>
      <c r="H118" s="214">
        <f t="shared" si="7"/>
        <v>3000.4745000000003</v>
      </c>
      <c r="I118" s="214">
        <v>4.8499999999999996</v>
      </c>
      <c r="J118" s="214">
        <v>103.39</v>
      </c>
      <c r="K118" s="214">
        <f t="shared" si="6"/>
        <v>501.44149999999996</v>
      </c>
      <c r="L118" s="214">
        <f t="shared" si="8"/>
        <v>3501.9160000000002</v>
      </c>
      <c r="M118" s="57"/>
      <c r="N118" s="46">
        <f t="shared" si="9"/>
        <v>1316582.6373999999</v>
      </c>
      <c r="O118" s="19"/>
      <c r="P118" s="19"/>
    </row>
    <row r="119" spans="1:16">
      <c r="A119" s="113">
        <v>115</v>
      </c>
      <c r="B119" s="19" t="s">
        <v>127</v>
      </c>
      <c r="C119" s="19" t="s">
        <v>149</v>
      </c>
      <c r="D119" s="19" t="s">
        <v>110</v>
      </c>
      <c r="E119" s="335" t="s">
        <v>167</v>
      </c>
      <c r="F119" s="214">
        <v>36.729999999999997</v>
      </c>
      <c r="G119" s="214">
        <v>91.5</v>
      </c>
      <c r="H119" s="214">
        <f t="shared" si="7"/>
        <v>3360.7949999999996</v>
      </c>
      <c r="I119" s="214"/>
      <c r="J119" s="214">
        <v>0</v>
      </c>
      <c r="K119" s="214">
        <f t="shared" si="6"/>
        <v>0</v>
      </c>
      <c r="L119" s="214">
        <f t="shared" si="8"/>
        <v>3360.7949999999996</v>
      </c>
      <c r="M119" s="57"/>
      <c r="N119" s="46">
        <f t="shared" si="9"/>
        <v>1313221.8424</v>
      </c>
      <c r="O119" s="19"/>
      <c r="P119" s="19"/>
    </row>
    <row r="120" spans="1:16">
      <c r="A120" s="113">
        <v>116</v>
      </c>
      <c r="B120" s="19" t="s">
        <v>214</v>
      </c>
      <c r="C120" s="19" t="s">
        <v>151</v>
      </c>
      <c r="D120" s="19" t="s">
        <v>152</v>
      </c>
      <c r="E120" s="335" t="s">
        <v>153</v>
      </c>
      <c r="F120" s="214">
        <v>37.24</v>
      </c>
      <c r="G120" s="214">
        <v>91.92</v>
      </c>
      <c r="H120" s="214">
        <f t="shared" si="7"/>
        <v>3423.1008000000002</v>
      </c>
      <c r="I120" s="214"/>
      <c r="J120" s="214">
        <v>0</v>
      </c>
      <c r="K120" s="214">
        <f t="shared" si="6"/>
        <v>0</v>
      </c>
      <c r="L120" s="214">
        <f t="shared" si="8"/>
        <v>3423.1008000000002</v>
      </c>
      <c r="M120" s="57"/>
      <c r="N120" s="46">
        <f t="shared" si="9"/>
        <v>1309798.7416000001</v>
      </c>
      <c r="O120" s="343"/>
      <c r="P120" s="270"/>
    </row>
    <row r="121" spans="1:16">
      <c r="A121" s="113">
        <v>117</v>
      </c>
      <c r="B121" s="19" t="s">
        <v>214</v>
      </c>
      <c r="C121" s="110" t="s">
        <v>154</v>
      </c>
      <c r="D121" s="110" t="s">
        <v>155</v>
      </c>
      <c r="E121" s="336" t="s">
        <v>156</v>
      </c>
      <c r="F121" s="214">
        <v>49.38</v>
      </c>
      <c r="G121" s="214">
        <v>91.14</v>
      </c>
      <c r="H121" s="214">
        <f t="shared" si="7"/>
        <v>4500.4931999999999</v>
      </c>
      <c r="I121" s="214"/>
      <c r="J121" s="214">
        <v>0</v>
      </c>
      <c r="K121" s="214">
        <f t="shared" si="6"/>
        <v>0</v>
      </c>
      <c r="L121" s="214">
        <f t="shared" si="8"/>
        <v>4500.4931999999999</v>
      </c>
      <c r="M121" s="57"/>
      <c r="N121" s="270">
        <f t="shared" si="9"/>
        <v>1305298.2484000002</v>
      </c>
      <c r="O121" s="110"/>
      <c r="P121" s="110"/>
    </row>
    <row r="122" spans="1:16">
      <c r="A122" s="113">
        <v>118</v>
      </c>
      <c r="B122" s="19" t="s">
        <v>214</v>
      </c>
      <c r="C122" s="19" t="s">
        <v>160</v>
      </c>
      <c r="D122" s="19" t="s">
        <v>161</v>
      </c>
      <c r="E122" s="335" t="s">
        <v>162</v>
      </c>
      <c r="F122" s="214">
        <v>325</v>
      </c>
      <c r="G122" s="214">
        <v>92.09</v>
      </c>
      <c r="H122" s="214">
        <f t="shared" si="7"/>
        <v>29929.25</v>
      </c>
      <c r="I122" s="214"/>
      <c r="J122" s="214">
        <v>0</v>
      </c>
      <c r="K122" s="214">
        <f t="shared" si="6"/>
        <v>0</v>
      </c>
      <c r="L122" s="214">
        <f t="shared" si="8"/>
        <v>29929.25</v>
      </c>
      <c r="M122" s="57"/>
      <c r="N122" s="270">
        <f t="shared" si="9"/>
        <v>1275368.9984000002</v>
      </c>
      <c r="O122" s="19"/>
      <c r="P122" s="19"/>
    </row>
    <row r="123" spans="1:16">
      <c r="A123" s="113">
        <v>119</v>
      </c>
      <c r="B123" s="19" t="s">
        <v>214</v>
      </c>
      <c r="C123" s="19" t="s">
        <v>33</v>
      </c>
      <c r="D123" s="19" t="s">
        <v>198</v>
      </c>
      <c r="E123" s="335" t="s">
        <v>199</v>
      </c>
      <c r="F123" s="214">
        <v>890.99</v>
      </c>
      <c r="G123" s="214">
        <v>92.1</v>
      </c>
      <c r="H123" s="214">
        <f t="shared" si="7"/>
        <v>82060.178999999989</v>
      </c>
      <c r="I123" s="214"/>
      <c r="J123" s="214">
        <v>0</v>
      </c>
      <c r="K123" s="214">
        <f t="shared" si="6"/>
        <v>0</v>
      </c>
      <c r="L123" s="214">
        <f t="shared" si="8"/>
        <v>82060.178999999989</v>
      </c>
      <c r="M123" s="57"/>
      <c r="N123" s="270">
        <f t="shared" si="9"/>
        <v>1193308.8194000002</v>
      </c>
      <c r="O123" s="19"/>
      <c r="P123" s="19"/>
    </row>
    <row r="124" spans="1:16">
      <c r="A124" s="113">
        <v>120</v>
      </c>
      <c r="B124" s="19" t="s">
        <v>214</v>
      </c>
      <c r="C124" s="19" t="s">
        <v>175</v>
      </c>
      <c r="D124" s="19" t="s">
        <v>176</v>
      </c>
      <c r="E124" s="335" t="s">
        <v>177</v>
      </c>
      <c r="F124" s="214">
        <v>30</v>
      </c>
      <c r="G124" s="214">
        <v>91.59</v>
      </c>
      <c r="H124" s="214">
        <f t="shared" si="7"/>
        <v>2747.7000000000003</v>
      </c>
      <c r="I124" s="214"/>
      <c r="J124" s="214">
        <v>0</v>
      </c>
      <c r="K124" s="214">
        <f t="shared" si="6"/>
        <v>0</v>
      </c>
      <c r="L124" s="214">
        <f t="shared" si="8"/>
        <v>2747.7000000000003</v>
      </c>
      <c r="M124" s="57"/>
      <c r="N124" s="270">
        <f t="shared" si="9"/>
        <v>1190561.1194000002</v>
      </c>
      <c r="O124" s="19"/>
      <c r="P124" s="19"/>
    </row>
    <row r="125" spans="1:16">
      <c r="A125" s="113">
        <v>121</v>
      </c>
      <c r="B125" s="19" t="s">
        <v>214</v>
      </c>
      <c r="C125" s="110" t="s">
        <v>181</v>
      </c>
      <c r="D125" s="110" t="s">
        <v>182</v>
      </c>
      <c r="E125" s="336" t="s">
        <v>183</v>
      </c>
      <c r="F125" s="214">
        <v>54.68</v>
      </c>
      <c r="G125" s="214">
        <v>91.45</v>
      </c>
      <c r="H125" s="214">
        <f t="shared" si="7"/>
        <v>5000.4859999999999</v>
      </c>
      <c r="I125" s="214"/>
      <c r="J125" s="214">
        <v>0</v>
      </c>
      <c r="K125" s="214">
        <f t="shared" si="6"/>
        <v>0</v>
      </c>
      <c r="L125" s="214">
        <f t="shared" si="8"/>
        <v>5000.4859999999999</v>
      </c>
      <c r="M125" s="57"/>
      <c r="N125" s="270">
        <f t="shared" si="9"/>
        <v>1185560.6334000002</v>
      </c>
      <c r="O125" s="110"/>
      <c r="P125" s="110"/>
    </row>
    <row r="126" spans="1:16">
      <c r="A126" s="113">
        <v>122</v>
      </c>
      <c r="B126" s="19" t="s">
        <v>214</v>
      </c>
      <c r="C126" s="121" t="s">
        <v>149</v>
      </c>
      <c r="D126" s="121" t="s">
        <v>110</v>
      </c>
      <c r="E126" s="333" t="s">
        <v>167</v>
      </c>
      <c r="F126" s="214">
        <v>50</v>
      </c>
      <c r="G126" s="214">
        <v>91.5</v>
      </c>
      <c r="H126" s="214">
        <f t="shared" si="7"/>
        <v>4575</v>
      </c>
      <c r="I126" s="214"/>
      <c r="J126" s="214">
        <v>0</v>
      </c>
      <c r="K126" s="214">
        <f t="shared" si="6"/>
        <v>0</v>
      </c>
      <c r="L126" s="214">
        <f t="shared" si="8"/>
        <v>4575</v>
      </c>
      <c r="M126" s="57"/>
      <c r="N126" s="270">
        <f t="shared" si="9"/>
        <v>1180985.6334000002</v>
      </c>
      <c r="O126" s="19"/>
      <c r="P126" s="19"/>
    </row>
    <row r="127" spans="1:16">
      <c r="A127" s="113">
        <v>123</v>
      </c>
      <c r="B127" s="19" t="s">
        <v>214</v>
      </c>
      <c r="C127" s="19" t="s">
        <v>164</v>
      </c>
      <c r="D127" s="19" t="s">
        <v>165</v>
      </c>
      <c r="E127" s="335" t="s">
        <v>166</v>
      </c>
      <c r="F127" s="214">
        <v>165</v>
      </c>
      <c r="G127" s="214">
        <v>91.8</v>
      </c>
      <c r="H127" s="214">
        <f t="shared" si="7"/>
        <v>15147</v>
      </c>
      <c r="I127" s="214"/>
      <c r="J127" s="214">
        <v>0</v>
      </c>
      <c r="K127" s="214">
        <f t="shared" si="6"/>
        <v>0</v>
      </c>
      <c r="L127" s="214">
        <f t="shared" si="8"/>
        <v>15147</v>
      </c>
      <c r="M127" s="57"/>
      <c r="N127" s="270">
        <f t="shared" si="9"/>
        <v>1165838.6334000002</v>
      </c>
      <c r="O127" s="19"/>
      <c r="P127" s="19"/>
    </row>
    <row r="128" spans="1:16" s="373" customFormat="1">
      <c r="A128" s="366">
        <v>124</v>
      </c>
      <c r="B128" s="195" t="s">
        <v>128</v>
      </c>
      <c r="C128" s="367" t="s">
        <v>151</v>
      </c>
      <c r="D128" s="367" t="s">
        <v>152</v>
      </c>
      <c r="E128" s="368" t="s">
        <v>153</v>
      </c>
      <c r="F128" s="369"/>
      <c r="G128" s="369">
        <v>0</v>
      </c>
      <c r="H128" s="369">
        <f t="shared" si="7"/>
        <v>0</v>
      </c>
      <c r="I128" s="369">
        <v>5.97</v>
      </c>
      <c r="J128" s="369">
        <v>103.96</v>
      </c>
      <c r="K128" s="369">
        <f t="shared" si="6"/>
        <v>620.64119999999991</v>
      </c>
      <c r="L128" s="369">
        <f t="shared" si="8"/>
        <v>620.64119999999991</v>
      </c>
      <c r="M128" s="370"/>
      <c r="N128" s="371">
        <f t="shared" si="9"/>
        <v>1165217.9922000002</v>
      </c>
      <c r="O128" s="372"/>
      <c r="P128" s="197"/>
    </row>
    <row r="129" spans="1:16" s="363" customFormat="1">
      <c r="A129" s="356">
        <v>125</v>
      </c>
      <c r="B129" s="357" t="s">
        <v>128</v>
      </c>
      <c r="C129" s="358" t="s">
        <v>154</v>
      </c>
      <c r="D129" s="358" t="s">
        <v>155</v>
      </c>
      <c r="E129" s="359" t="s">
        <v>156</v>
      </c>
      <c r="F129" s="360"/>
      <c r="G129" s="360">
        <v>0</v>
      </c>
      <c r="H129" s="360">
        <f t="shared" si="7"/>
        <v>0</v>
      </c>
      <c r="I129" s="360">
        <v>10</v>
      </c>
      <c r="J129" s="360">
        <v>103.05</v>
      </c>
      <c r="K129" s="360">
        <f t="shared" si="6"/>
        <v>1030.5</v>
      </c>
      <c r="L129" s="360">
        <f t="shared" si="8"/>
        <v>1030.5</v>
      </c>
      <c r="M129" s="361"/>
      <c r="N129" s="362">
        <f t="shared" si="9"/>
        <v>1164187.4922000002</v>
      </c>
      <c r="O129" s="357"/>
      <c r="P129" s="357"/>
    </row>
    <row r="130" spans="1:16" s="373" customFormat="1">
      <c r="A130" s="366">
        <v>126</v>
      </c>
      <c r="B130" s="195" t="s">
        <v>128</v>
      </c>
      <c r="C130" s="196" t="s">
        <v>215</v>
      </c>
      <c r="D130" s="196" t="s">
        <v>216</v>
      </c>
      <c r="E130" s="374" t="s">
        <v>177</v>
      </c>
      <c r="F130" s="369"/>
      <c r="G130" s="369">
        <v>0</v>
      </c>
      <c r="H130" s="369">
        <f t="shared" si="7"/>
        <v>0</v>
      </c>
      <c r="I130" s="369">
        <v>5.81</v>
      </c>
      <c r="J130" s="369">
        <v>103.22</v>
      </c>
      <c r="K130" s="369">
        <f t="shared" si="6"/>
        <v>599.70819999999992</v>
      </c>
      <c r="L130" s="369">
        <f t="shared" si="8"/>
        <v>599.70819999999992</v>
      </c>
      <c r="M130" s="370"/>
      <c r="N130" s="371">
        <f t="shared" si="9"/>
        <v>1163587.7840000002</v>
      </c>
      <c r="O130" s="195"/>
      <c r="P130" s="195"/>
    </row>
    <row r="131" spans="1:16" s="373" customFormat="1">
      <c r="A131" s="366">
        <v>127</v>
      </c>
      <c r="B131" s="195" t="s">
        <v>128</v>
      </c>
      <c r="C131" s="196" t="s">
        <v>147</v>
      </c>
      <c r="D131" s="196" t="s">
        <v>148</v>
      </c>
      <c r="E131" s="374" t="s">
        <v>163</v>
      </c>
      <c r="F131" s="369">
        <v>140</v>
      </c>
      <c r="G131" s="369">
        <v>91.33</v>
      </c>
      <c r="H131" s="369">
        <f t="shared" si="7"/>
        <v>12786.199999999999</v>
      </c>
      <c r="I131" s="369">
        <v>10</v>
      </c>
      <c r="J131" s="369">
        <v>103.26</v>
      </c>
      <c r="K131" s="369">
        <f t="shared" si="6"/>
        <v>1032.6000000000001</v>
      </c>
      <c r="L131" s="369">
        <f t="shared" si="8"/>
        <v>13818.8</v>
      </c>
      <c r="M131" s="370"/>
      <c r="N131" s="371">
        <f t="shared" si="9"/>
        <v>1149768.9840000002</v>
      </c>
      <c r="O131" s="195"/>
      <c r="P131" s="195"/>
    </row>
    <row r="132" spans="1:16" s="373" customFormat="1">
      <c r="A132" s="375">
        <v>128</v>
      </c>
      <c r="B132" s="195" t="s">
        <v>128</v>
      </c>
      <c r="C132" s="376" t="s">
        <v>149</v>
      </c>
      <c r="D132" s="376" t="s">
        <v>110</v>
      </c>
      <c r="E132" s="377" t="s">
        <v>167</v>
      </c>
      <c r="F132" s="369">
        <v>44.26</v>
      </c>
      <c r="G132" s="369">
        <v>91.5</v>
      </c>
      <c r="H132" s="369">
        <f t="shared" si="7"/>
        <v>4049.79</v>
      </c>
      <c r="I132" s="369"/>
      <c r="J132" s="369">
        <v>0</v>
      </c>
      <c r="K132" s="369">
        <f t="shared" si="6"/>
        <v>0</v>
      </c>
      <c r="L132" s="369">
        <f t="shared" si="8"/>
        <v>4049.79</v>
      </c>
      <c r="M132" s="370"/>
      <c r="N132" s="371">
        <f t="shared" si="9"/>
        <v>1145719.1940000001</v>
      </c>
      <c r="O132" s="378"/>
      <c r="P132" s="378"/>
    </row>
    <row r="133" spans="1:16" s="373" customFormat="1">
      <c r="A133" s="195">
        <v>129</v>
      </c>
      <c r="B133" s="195" t="s">
        <v>128</v>
      </c>
      <c r="C133" s="196" t="s">
        <v>164</v>
      </c>
      <c r="D133" s="196" t="s">
        <v>165</v>
      </c>
      <c r="E133" s="374" t="s">
        <v>166</v>
      </c>
      <c r="F133" s="369">
        <v>90</v>
      </c>
      <c r="G133" s="369">
        <v>91.8</v>
      </c>
      <c r="H133" s="369">
        <f t="shared" si="7"/>
        <v>8262</v>
      </c>
      <c r="I133" s="369"/>
      <c r="J133" s="369">
        <v>0</v>
      </c>
      <c r="K133" s="369">
        <f t="shared" si="6"/>
        <v>0</v>
      </c>
      <c r="L133" s="369">
        <f t="shared" si="8"/>
        <v>8262</v>
      </c>
      <c r="M133" s="370"/>
      <c r="N133" s="197">
        <f t="shared" si="9"/>
        <v>1137457.1940000001</v>
      </c>
      <c r="O133" s="195"/>
      <c r="P133" s="195"/>
    </row>
    <row r="134" spans="1:16" s="373" customFormat="1">
      <c r="A134" s="195">
        <v>130</v>
      </c>
      <c r="B134" s="195" t="s">
        <v>128</v>
      </c>
      <c r="C134" s="195" t="s">
        <v>168</v>
      </c>
      <c r="D134" s="195" t="s">
        <v>169</v>
      </c>
      <c r="E134" s="368" t="s">
        <v>170</v>
      </c>
      <c r="F134" s="369">
        <v>37.549999999999997</v>
      </c>
      <c r="G134" s="369">
        <v>92.04</v>
      </c>
      <c r="H134" s="369">
        <f t="shared" ref="H134:H181" si="10">F134*G134</f>
        <v>3456.1019999999999</v>
      </c>
      <c r="I134" s="369">
        <v>15</v>
      </c>
      <c r="J134" s="369">
        <v>104.02</v>
      </c>
      <c r="K134" s="369">
        <f t="shared" ref="K134:K181" si="11">I134*J134</f>
        <v>1560.3</v>
      </c>
      <c r="L134" s="369">
        <f t="shared" ref="L134:L181" si="12">H134+K134</f>
        <v>5016.402</v>
      </c>
      <c r="M134" s="370"/>
      <c r="N134" s="197">
        <f t="shared" si="9"/>
        <v>1132440.7920000001</v>
      </c>
      <c r="O134" s="195"/>
      <c r="P134" s="195"/>
    </row>
    <row r="135" spans="1:16" s="373" customFormat="1">
      <c r="A135" s="195">
        <v>131</v>
      </c>
      <c r="B135" s="195" t="s">
        <v>129</v>
      </c>
      <c r="C135" s="195" t="s">
        <v>151</v>
      </c>
      <c r="D135" s="195" t="s">
        <v>152</v>
      </c>
      <c r="E135" s="368" t="s">
        <v>153</v>
      </c>
      <c r="F135" s="369">
        <v>80</v>
      </c>
      <c r="G135" s="369">
        <v>91.92</v>
      </c>
      <c r="H135" s="369">
        <f t="shared" si="10"/>
        <v>7353.6</v>
      </c>
      <c r="I135" s="369">
        <v>4.8099999999999996</v>
      </c>
      <c r="J135" s="369">
        <v>103.96</v>
      </c>
      <c r="K135" s="369">
        <f t="shared" si="11"/>
        <v>500.04759999999993</v>
      </c>
      <c r="L135" s="369">
        <f t="shared" si="12"/>
        <v>7853.6476000000002</v>
      </c>
      <c r="M135" s="370">
        <v>500000</v>
      </c>
      <c r="N135" s="197">
        <f t="shared" si="9"/>
        <v>1624587.1444000001</v>
      </c>
      <c r="O135" s="195"/>
      <c r="P135" s="195"/>
    </row>
    <row r="136" spans="1:16" s="363" customFormat="1">
      <c r="A136" s="357">
        <v>132</v>
      </c>
      <c r="B136" s="357" t="s">
        <v>129</v>
      </c>
      <c r="C136" s="357" t="s">
        <v>154</v>
      </c>
      <c r="D136" s="357" t="s">
        <v>155</v>
      </c>
      <c r="E136" s="364" t="s">
        <v>156</v>
      </c>
      <c r="F136" s="360">
        <v>32.92</v>
      </c>
      <c r="G136" s="360">
        <v>91.14</v>
      </c>
      <c r="H136" s="360">
        <f t="shared" si="10"/>
        <v>3000.3288000000002</v>
      </c>
      <c r="I136" s="360">
        <v>15</v>
      </c>
      <c r="J136" s="360">
        <v>103.05</v>
      </c>
      <c r="K136" s="360">
        <v>1550.5</v>
      </c>
      <c r="L136" s="360">
        <f t="shared" si="12"/>
        <v>4550.8288000000002</v>
      </c>
      <c r="M136" s="361"/>
      <c r="N136" s="365">
        <f t="shared" si="9"/>
        <v>1620036.3156000001</v>
      </c>
      <c r="O136" s="357"/>
      <c r="P136" s="357"/>
    </row>
    <row r="137" spans="1:16" s="373" customFormat="1">
      <c r="A137" s="195">
        <v>133</v>
      </c>
      <c r="B137" s="195" t="s">
        <v>129</v>
      </c>
      <c r="C137" s="195" t="s">
        <v>195</v>
      </c>
      <c r="D137" s="195" t="s">
        <v>196</v>
      </c>
      <c r="E137" s="368" t="s">
        <v>197</v>
      </c>
      <c r="F137" s="369">
        <v>2190</v>
      </c>
      <c r="G137" s="369">
        <v>91.3</v>
      </c>
      <c r="H137" s="369">
        <f t="shared" si="10"/>
        <v>199947</v>
      </c>
      <c r="I137" s="369"/>
      <c r="J137" s="369">
        <v>0</v>
      </c>
      <c r="K137" s="369">
        <f t="shared" si="11"/>
        <v>0</v>
      </c>
      <c r="L137" s="369">
        <f t="shared" si="12"/>
        <v>199947</v>
      </c>
      <c r="M137" s="370"/>
      <c r="N137" s="197">
        <f t="shared" ref="N137:N139" si="13">N136+M137-L137</f>
        <v>1420089.3156000001</v>
      </c>
      <c r="O137" s="195"/>
      <c r="P137" s="195"/>
    </row>
    <row r="138" spans="1:16" s="373" customFormat="1">
      <c r="A138" s="195">
        <v>134</v>
      </c>
      <c r="B138" s="195" t="s">
        <v>129</v>
      </c>
      <c r="C138" s="195" t="s">
        <v>160</v>
      </c>
      <c r="D138" s="195" t="s">
        <v>161</v>
      </c>
      <c r="E138" s="368" t="s">
        <v>162</v>
      </c>
      <c r="F138" s="369">
        <v>350</v>
      </c>
      <c r="G138" s="369">
        <v>92.09</v>
      </c>
      <c r="H138" s="369">
        <f t="shared" si="10"/>
        <v>32231.5</v>
      </c>
      <c r="I138" s="369">
        <v>25</v>
      </c>
      <c r="J138" s="369">
        <v>103.86</v>
      </c>
      <c r="K138" s="369">
        <f t="shared" si="11"/>
        <v>2596.5</v>
      </c>
      <c r="L138" s="369">
        <f t="shared" si="12"/>
        <v>34828</v>
      </c>
      <c r="M138" s="370"/>
      <c r="N138" s="197">
        <f t="shared" si="13"/>
        <v>1385261.3156000001</v>
      </c>
      <c r="O138" s="195"/>
      <c r="P138" s="195"/>
    </row>
    <row r="139" spans="1:16" s="373" customFormat="1">
      <c r="A139" s="195">
        <v>135</v>
      </c>
      <c r="B139" s="195" t="s">
        <v>129</v>
      </c>
      <c r="C139" s="195" t="s">
        <v>200</v>
      </c>
      <c r="D139" s="195" t="s">
        <v>201</v>
      </c>
      <c r="E139" s="368" t="s">
        <v>202</v>
      </c>
      <c r="F139" s="369">
        <v>1193.3599999999999</v>
      </c>
      <c r="G139" s="369">
        <v>91.64</v>
      </c>
      <c r="H139" s="369">
        <f t="shared" si="10"/>
        <v>109359.51039999998</v>
      </c>
      <c r="I139" s="369"/>
      <c r="J139" s="369">
        <v>0</v>
      </c>
      <c r="K139" s="369">
        <f t="shared" si="11"/>
        <v>0</v>
      </c>
      <c r="L139" s="369">
        <f t="shared" si="12"/>
        <v>109359.51039999998</v>
      </c>
      <c r="M139" s="370"/>
      <c r="N139" s="197">
        <f t="shared" si="13"/>
        <v>1275901.8052000001</v>
      </c>
      <c r="O139" s="195"/>
      <c r="P139" s="195"/>
    </row>
    <row r="140" spans="1:16">
      <c r="A140" s="19">
        <v>136</v>
      </c>
      <c r="B140" s="19" t="s">
        <v>129</v>
      </c>
      <c r="C140" s="19" t="s">
        <v>181</v>
      </c>
      <c r="D140" s="19" t="s">
        <v>182</v>
      </c>
      <c r="E140" s="335" t="s">
        <v>183</v>
      </c>
      <c r="F140" s="214">
        <v>32.81</v>
      </c>
      <c r="G140" s="214">
        <v>91.45</v>
      </c>
      <c r="H140" s="214">
        <f t="shared" si="10"/>
        <v>3000.4745000000003</v>
      </c>
      <c r="I140" s="214"/>
      <c r="J140" s="214">
        <v>0</v>
      </c>
      <c r="K140" s="214">
        <f t="shared" si="11"/>
        <v>0</v>
      </c>
      <c r="L140" s="214">
        <f t="shared" si="12"/>
        <v>3000.4745000000003</v>
      </c>
      <c r="M140" s="57"/>
      <c r="N140" s="46">
        <f t="shared" ref="N140:N141" si="14">N139+M140-L140</f>
        <v>1272901.3307</v>
      </c>
      <c r="O140" s="19"/>
      <c r="P140" s="19"/>
    </row>
    <row r="141" spans="1:16">
      <c r="A141" s="19">
        <v>137</v>
      </c>
      <c r="B141" s="19" t="s">
        <v>129</v>
      </c>
      <c r="C141" s="19" t="s">
        <v>149</v>
      </c>
      <c r="D141" s="19" t="s">
        <v>110</v>
      </c>
      <c r="E141" s="335" t="s">
        <v>167</v>
      </c>
      <c r="F141" s="214">
        <v>94.29</v>
      </c>
      <c r="G141" s="214">
        <v>91.5</v>
      </c>
      <c r="H141" s="214">
        <f t="shared" si="10"/>
        <v>8627.5349999999999</v>
      </c>
      <c r="I141" s="214">
        <v>4.83</v>
      </c>
      <c r="J141" s="214">
        <v>103.44</v>
      </c>
      <c r="K141" s="214">
        <f t="shared" si="11"/>
        <v>499.61520000000002</v>
      </c>
      <c r="L141" s="214">
        <f t="shared" si="12"/>
        <v>9127.1502</v>
      </c>
      <c r="M141" s="57"/>
      <c r="N141" s="46">
        <f t="shared" si="14"/>
        <v>1263774.1805</v>
      </c>
      <c r="O141" s="19"/>
      <c r="P141" s="19"/>
    </row>
    <row r="142" spans="1:16">
      <c r="A142" s="19">
        <v>138</v>
      </c>
      <c r="B142" s="19" t="s">
        <v>129</v>
      </c>
      <c r="C142" s="110" t="s">
        <v>217</v>
      </c>
      <c r="D142" s="110" t="s">
        <v>218</v>
      </c>
      <c r="E142" s="336" t="s">
        <v>219</v>
      </c>
      <c r="F142" s="214">
        <v>420</v>
      </c>
      <c r="G142" s="214">
        <v>91.19</v>
      </c>
      <c r="H142" s="214">
        <f t="shared" si="10"/>
        <v>38299.799999999996</v>
      </c>
      <c r="I142" s="214"/>
      <c r="J142" s="214">
        <v>0</v>
      </c>
      <c r="K142" s="214">
        <f t="shared" si="11"/>
        <v>0</v>
      </c>
      <c r="L142" s="214">
        <f t="shared" si="12"/>
        <v>38299.799999999996</v>
      </c>
      <c r="M142" s="57"/>
      <c r="N142" s="270">
        <f t="shared" ref="N142:N181" si="15">N141+M142-L142</f>
        <v>1225474.3805</v>
      </c>
      <c r="O142" s="110"/>
      <c r="P142" s="110"/>
    </row>
    <row r="143" spans="1:16">
      <c r="A143" s="113">
        <v>139</v>
      </c>
      <c r="B143" s="19" t="s">
        <v>129</v>
      </c>
      <c r="C143" s="19" t="s">
        <v>164</v>
      </c>
      <c r="D143" s="19" t="s">
        <v>165</v>
      </c>
      <c r="E143" s="335" t="s">
        <v>166</v>
      </c>
      <c r="F143" s="214">
        <v>148.13</v>
      </c>
      <c r="G143" s="214">
        <v>91.8</v>
      </c>
      <c r="H143" s="214">
        <f t="shared" si="10"/>
        <v>13598.333999999999</v>
      </c>
      <c r="I143" s="214"/>
      <c r="J143" s="214">
        <v>0</v>
      </c>
      <c r="K143" s="214">
        <f t="shared" si="11"/>
        <v>0</v>
      </c>
      <c r="L143" s="214">
        <f t="shared" si="12"/>
        <v>13598.333999999999</v>
      </c>
      <c r="M143" s="57"/>
      <c r="N143" s="46">
        <f t="shared" si="15"/>
        <v>1211876.0464999999</v>
      </c>
      <c r="O143" s="19"/>
      <c r="P143" s="19"/>
    </row>
    <row r="144" spans="1:16">
      <c r="A144" s="113">
        <v>140</v>
      </c>
      <c r="B144" s="19" t="s">
        <v>129</v>
      </c>
      <c r="C144" s="312" t="s">
        <v>220</v>
      </c>
      <c r="D144" s="19" t="s">
        <v>221</v>
      </c>
      <c r="E144" s="335" t="s">
        <v>222</v>
      </c>
      <c r="F144" s="214">
        <v>7783.33</v>
      </c>
      <c r="G144" s="214">
        <v>96.36</v>
      </c>
      <c r="H144" s="214">
        <f t="shared" si="10"/>
        <v>750001.67879999999</v>
      </c>
      <c r="I144" s="214"/>
      <c r="J144" s="214">
        <v>0</v>
      </c>
      <c r="K144" s="214">
        <f t="shared" si="11"/>
        <v>0</v>
      </c>
      <c r="L144" s="214">
        <v>750000</v>
      </c>
      <c r="M144" s="57"/>
      <c r="N144" s="46">
        <f t="shared" si="15"/>
        <v>461876.04649999994</v>
      </c>
      <c r="O144" s="19"/>
      <c r="P144" s="19"/>
    </row>
    <row r="145" spans="1:16">
      <c r="A145" s="113">
        <v>141</v>
      </c>
      <c r="B145" s="19" t="s">
        <v>130</v>
      </c>
      <c r="C145" s="19" t="s">
        <v>151</v>
      </c>
      <c r="D145" s="19" t="s">
        <v>152</v>
      </c>
      <c r="E145" s="335" t="s">
        <v>153</v>
      </c>
      <c r="F145" s="214">
        <v>96.32</v>
      </c>
      <c r="G145" s="214">
        <v>91.92</v>
      </c>
      <c r="H145" s="214">
        <f t="shared" si="10"/>
        <v>8853.7343999999994</v>
      </c>
      <c r="I145" s="214">
        <v>6.35</v>
      </c>
      <c r="J145" s="214">
        <v>103.96</v>
      </c>
      <c r="K145" s="214">
        <f t="shared" si="11"/>
        <v>660.14599999999996</v>
      </c>
      <c r="L145" s="214">
        <f t="shared" si="12"/>
        <v>9513.8804</v>
      </c>
      <c r="M145" s="57"/>
      <c r="N145" s="46">
        <f t="shared" si="15"/>
        <v>452362.16609999991</v>
      </c>
      <c r="O145" s="343"/>
      <c r="P145" s="343"/>
    </row>
    <row r="146" spans="1:16">
      <c r="A146" s="113">
        <v>142</v>
      </c>
      <c r="B146" s="19" t="s">
        <v>130</v>
      </c>
      <c r="C146" s="19" t="s">
        <v>179</v>
      </c>
      <c r="D146" s="19" t="s">
        <v>180</v>
      </c>
      <c r="E146" s="335" t="s">
        <v>159</v>
      </c>
      <c r="F146" s="214">
        <v>32.25</v>
      </c>
      <c r="G146" s="214">
        <v>91.47</v>
      </c>
      <c r="H146" s="214">
        <f t="shared" si="10"/>
        <v>2949.9074999999998</v>
      </c>
      <c r="I146" s="214"/>
      <c r="J146" s="214">
        <v>0</v>
      </c>
      <c r="K146" s="214">
        <f t="shared" si="11"/>
        <v>0</v>
      </c>
      <c r="L146" s="214">
        <f t="shared" si="12"/>
        <v>2949.9074999999998</v>
      </c>
      <c r="M146" s="57"/>
      <c r="N146" s="46">
        <f t="shared" si="15"/>
        <v>449412.25859999994</v>
      </c>
      <c r="O146" s="19"/>
      <c r="P146" s="19"/>
    </row>
    <row r="147" spans="1:16">
      <c r="A147" s="311">
        <v>143</v>
      </c>
      <c r="B147" s="19" t="s">
        <v>130</v>
      </c>
      <c r="C147" s="110" t="s">
        <v>209</v>
      </c>
      <c r="D147" s="110" t="s">
        <v>76</v>
      </c>
      <c r="E147" s="336" t="s">
        <v>191</v>
      </c>
      <c r="F147" s="214">
        <v>0</v>
      </c>
      <c r="G147" s="214">
        <v>0</v>
      </c>
      <c r="H147" s="214">
        <f t="shared" si="10"/>
        <v>0</v>
      </c>
      <c r="I147" s="214">
        <v>5.86</v>
      </c>
      <c r="J147" s="214">
        <v>102.46</v>
      </c>
      <c r="K147" s="214">
        <f t="shared" si="11"/>
        <v>600.41560000000004</v>
      </c>
      <c r="L147" s="214">
        <f t="shared" si="12"/>
        <v>600.41560000000004</v>
      </c>
      <c r="M147" s="57"/>
      <c r="N147" s="270">
        <f t="shared" si="15"/>
        <v>448811.84299999994</v>
      </c>
      <c r="O147" s="110"/>
      <c r="P147" s="110"/>
    </row>
    <row r="148" spans="1:16">
      <c r="A148" s="19">
        <v>144</v>
      </c>
      <c r="B148" s="19" t="s">
        <v>130</v>
      </c>
      <c r="C148" s="19" t="s">
        <v>172</v>
      </c>
      <c r="D148" s="312" t="s">
        <v>203</v>
      </c>
      <c r="E148" s="335" t="s">
        <v>174</v>
      </c>
      <c r="F148" s="214">
        <v>1045.1099999999999</v>
      </c>
      <c r="G148" s="214">
        <v>92.1</v>
      </c>
      <c r="H148" s="214">
        <f t="shared" si="10"/>
        <v>96254.630999999979</v>
      </c>
      <c r="I148" s="214"/>
      <c r="J148" s="214">
        <v>0</v>
      </c>
      <c r="K148" s="214">
        <f t="shared" si="11"/>
        <v>0</v>
      </c>
      <c r="L148" s="214">
        <f t="shared" si="12"/>
        <v>96254.630999999979</v>
      </c>
      <c r="M148" s="57"/>
      <c r="N148" s="46">
        <f t="shared" si="15"/>
        <v>352557.21199999994</v>
      </c>
      <c r="O148" s="19"/>
      <c r="P148" s="19"/>
    </row>
    <row r="149" spans="1:16">
      <c r="A149" s="19">
        <v>145</v>
      </c>
      <c r="B149" s="19" t="s">
        <v>130</v>
      </c>
      <c r="C149" s="19" t="s">
        <v>175</v>
      </c>
      <c r="D149" s="19" t="s">
        <v>176</v>
      </c>
      <c r="E149" s="335" t="s">
        <v>177</v>
      </c>
      <c r="F149" s="214">
        <v>30</v>
      </c>
      <c r="G149" s="214">
        <v>91.59</v>
      </c>
      <c r="H149" s="214">
        <f t="shared" si="10"/>
        <v>2747.7000000000003</v>
      </c>
      <c r="I149" s="214"/>
      <c r="J149" s="214">
        <v>0</v>
      </c>
      <c r="K149" s="214">
        <f t="shared" si="11"/>
        <v>0</v>
      </c>
      <c r="L149" s="214">
        <f t="shared" si="12"/>
        <v>2747.7000000000003</v>
      </c>
      <c r="M149" s="57"/>
      <c r="N149" s="46">
        <f t="shared" si="15"/>
        <v>349809.51199999993</v>
      </c>
      <c r="O149" s="19"/>
      <c r="P149" s="19"/>
    </row>
    <row r="150" spans="1:16">
      <c r="A150" s="19">
        <v>146</v>
      </c>
      <c r="B150" s="19" t="s">
        <v>130</v>
      </c>
      <c r="C150" s="19" t="s">
        <v>147</v>
      </c>
      <c r="D150" s="19" t="s">
        <v>148</v>
      </c>
      <c r="E150" s="335" t="s">
        <v>163</v>
      </c>
      <c r="F150" s="214">
        <v>0</v>
      </c>
      <c r="G150" s="214">
        <v>0</v>
      </c>
      <c r="H150" s="214">
        <f t="shared" si="10"/>
        <v>0</v>
      </c>
      <c r="I150" s="214">
        <v>10.81</v>
      </c>
      <c r="J150" s="214">
        <v>103.26</v>
      </c>
      <c r="K150" s="214">
        <f t="shared" si="11"/>
        <v>1116.2406000000001</v>
      </c>
      <c r="L150" s="214">
        <f t="shared" si="12"/>
        <v>1116.2406000000001</v>
      </c>
      <c r="M150" s="57"/>
      <c r="N150" s="46">
        <f t="shared" si="15"/>
        <v>348693.27139999991</v>
      </c>
      <c r="O150" s="19"/>
      <c r="P150" s="19"/>
    </row>
    <row r="151" spans="1:16">
      <c r="A151" s="19">
        <v>147</v>
      </c>
      <c r="B151" s="19" t="s">
        <v>130</v>
      </c>
      <c r="C151" s="19" t="s">
        <v>164</v>
      </c>
      <c r="D151" s="19" t="s">
        <v>165</v>
      </c>
      <c r="E151" s="335" t="s">
        <v>166</v>
      </c>
      <c r="F151" s="214">
        <v>70</v>
      </c>
      <c r="G151" s="214">
        <v>91.8</v>
      </c>
      <c r="H151" s="214">
        <f t="shared" si="10"/>
        <v>6426</v>
      </c>
      <c r="I151" s="214">
        <v>5</v>
      </c>
      <c r="J151" s="214">
        <v>103.76</v>
      </c>
      <c r="K151" s="214">
        <f t="shared" si="11"/>
        <v>518.80000000000007</v>
      </c>
      <c r="L151" s="214">
        <f t="shared" si="12"/>
        <v>6944.8</v>
      </c>
      <c r="M151" s="57"/>
      <c r="N151" s="46">
        <f t="shared" si="15"/>
        <v>341748.47139999992</v>
      </c>
      <c r="O151" s="19"/>
      <c r="P151" s="19"/>
    </row>
    <row r="152" spans="1:16">
      <c r="A152" s="19">
        <v>148</v>
      </c>
      <c r="B152" s="19" t="s">
        <v>130</v>
      </c>
      <c r="C152" s="19" t="s">
        <v>168</v>
      </c>
      <c r="D152" s="19" t="s">
        <v>169</v>
      </c>
      <c r="E152" s="335" t="s">
        <v>170</v>
      </c>
      <c r="F152" s="214">
        <v>40.04</v>
      </c>
      <c r="G152" s="214">
        <v>92.04</v>
      </c>
      <c r="H152" s="214">
        <f t="shared" si="10"/>
        <v>3685.2816000000003</v>
      </c>
      <c r="I152" s="214">
        <v>10</v>
      </c>
      <c r="J152" s="214">
        <v>104.2</v>
      </c>
      <c r="K152" s="214">
        <f t="shared" si="11"/>
        <v>1042</v>
      </c>
      <c r="L152" s="214">
        <f t="shared" si="12"/>
        <v>4727.2816000000003</v>
      </c>
      <c r="M152" s="57"/>
      <c r="N152" s="46">
        <f t="shared" si="15"/>
        <v>337021.18979999993</v>
      </c>
      <c r="O152" s="19"/>
      <c r="P152" s="19"/>
    </row>
    <row r="153" spans="1:16">
      <c r="A153" s="19">
        <v>149</v>
      </c>
      <c r="B153" s="19" t="s">
        <v>131</v>
      </c>
      <c r="C153" s="19" t="s">
        <v>160</v>
      </c>
      <c r="D153" s="19" t="s">
        <v>161</v>
      </c>
      <c r="E153" s="335" t="s">
        <v>162</v>
      </c>
      <c r="F153" s="214">
        <v>325</v>
      </c>
      <c r="G153" s="214">
        <v>92.09</v>
      </c>
      <c r="H153" s="214">
        <f t="shared" si="10"/>
        <v>29929.25</v>
      </c>
      <c r="I153" s="214"/>
      <c r="J153" s="214">
        <v>0</v>
      </c>
      <c r="K153" s="214">
        <f t="shared" si="11"/>
        <v>0</v>
      </c>
      <c r="L153" s="214">
        <f t="shared" si="12"/>
        <v>29929.25</v>
      </c>
      <c r="M153" s="57"/>
      <c r="N153" s="46">
        <f t="shared" si="15"/>
        <v>307091.93979999993</v>
      </c>
      <c r="O153" s="343"/>
      <c r="P153" s="46"/>
    </row>
    <row r="154" spans="1:16">
      <c r="A154" s="19">
        <v>150</v>
      </c>
      <c r="B154" s="19" t="s">
        <v>131</v>
      </c>
      <c r="C154" s="19" t="s">
        <v>181</v>
      </c>
      <c r="D154" s="19" t="s">
        <v>182</v>
      </c>
      <c r="E154" s="335" t="s">
        <v>183</v>
      </c>
      <c r="F154" s="214">
        <v>80.599999999999994</v>
      </c>
      <c r="G154" s="214">
        <v>91.45</v>
      </c>
      <c r="H154" s="214">
        <f t="shared" si="10"/>
        <v>7370.87</v>
      </c>
      <c r="I154" s="214"/>
      <c r="J154" s="214">
        <v>0</v>
      </c>
      <c r="K154" s="214">
        <f t="shared" si="11"/>
        <v>0</v>
      </c>
      <c r="L154" s="214">
        <f t="shared" si="12"/>
        <v>7370.87</v>
      </c>
      <c r="M154" s="57"/>
      <c r="N154" s="46">
        <f t="shared" si="15"/>
        <v>299721.06979999994</v>
      </c>
      <c r="O154" s="19"/>
      <c r="P154" s="19"/>
    </row>
    <row r="155" spans="1:16">
      <c r="A155" s="19">
        <v>151</v>
      </c>
      <c r="B155" s="19" t="s">
        <v>131</v>
      </c>
      <c r="C155" s="313" t="s">
        <v>149</v>
      </c>
      <c r="D155" s="121" t="s">
        <v>110</v>
      </c>
      <c r="E155" s="333" t="s">
        <v>167</v>
      </c>
      <c r="F155" s="214">
        <v>0</v>
      </c>
      <c r="G155" s="214">
        <v>0</v>
      </c>
      <c r="H155" s="214">
        <f t="shared" si="10"/>
        <v>0</v>
      </c>
      <c r="I155" s="214">
        <v>23.68</v>
      </c>
      <c r="J155" s="214">
        <v>103.44</v>
      </c>
      <c r="K155" s="214">
        <f t="shared" si="11"/>
        <v>2449.4591999999998</v>
      </c>
      <c r="L155" s="214">
        <f t="shared" si="12"/>
        <v>2449.4591999999998</v>
      </c>
      <c r="M155" s="57"/>
      <c r="N155" s="46">
        <f t="shared" si="15"/>
        <v>297271.61059999996</v>
      </c>
      <c r="O155" s="19"/>
      <c r="P155" s="19"/>
    </row>
    <row r="156" spans="1:16">
      <c r="A156" s="19">
        <v>152</v>
      </c>
      <c r="B156" s="19" t="s">
        <v>131</v>
      </c>
      <c r="C156" s="121" t="s">
        <v>164</v>
      </c>
      <c r="D156" s="121" t="s">
        <v>165</v>
      </c>
      <c r="E156" s="333" t="s">
        <v>166</v>
      </c>
      <c r="F156" s="214">
        <v>190</v>
      </c>
      <c r="G156" s="214">
        <v>91.8</v>
      </c>
      <c r="H156" s="214">
        <f t="shared" si="10"/>
        <v>17442</v>
      </c>
      <c r="I156" s="214"/>
      <c r="J156" s="214">
        <v>0</v>
      </c>
      <c r="K156" s="214">
        <f t="shared" si="11"/>
        <v>0</v>
      </c>
      <c r="L156" s="214">
        <f t="shared" si="12"/>
        <v>17442</v>
      </c>
      <c r="M156" s="57"/>
      <c r="N156" s="46">
        <f t="shared" si="15"/>
        <v>279829.61059999996</v>
      </c>
      <c r="O156" s="19"/>
      <c r="P156" s="19"/>
    </row>
    <row r="157" spans="1:16">
      <c r="A157" s="19">
        <v>153</v>
      </c>
      <c r="B157" s="19" t="s">
        <v>132</v>
      </c>
      <c r="C157" s="121" t="s">
        <v>151</v>
      </c>
      <c r="D157" s="121" t="s">
        <v>152</v>
      </c>
      <c r="E157" s="333" t="s">
        <v>153</v>
      </c>
      <c r="F157" s="214">
        <v>142.15</v>
      </c>
      <c r="G157" s="214">
        <v>91.92</v>
      </c>
      <c r="H157" s="214">
        <f t="shared" si="10"/>
        <v>13066.428</v>
      </c>
      <c r="I157" s="214"/>
      <c r="J157" s="214">
        <v>0</v>
      </c>
      <c r="K157" s="214">
        <f t="shared" si="11"/>
        <v>0</v>
      </c>
      <c r="L157" s="214">
        <f t="shared" si="12"/>
        <v>13066.428</v>
      </c>
      <c r="M157" s="57"/>
      <c r="N157" s="46">
        <f t="shared" si="15"/>
        <v>266763.18259999994</v>
      </c>
      <c r="O157" s="19"/>
      <c r="P157" s="19"/>
    </row>
    <row r="158" spans="1:16">
      <c r="A158" s="19">
        <v>154</v>
      </c>
      <c r="B158" s="19" t="s">
        <v>132</v>
      </c>
      <c r="C158" s="19" t="s">
        <v>154</v>
      </c>
      <c r="D158" s="19" t="s">
        <v>155</v>
      </c>
      <c r="E158" s="335" t="s">
        <v>156</v>
      </c>
      <c r="F158" s="214">
        <v>32.92</v>
      </c>
      <c r="G158" s="214">
        <v>91.14</v>
      </c>
      <c r="H158" s="214">
        <f t="shared" si="10"/>
        <v>3000.3288000000002</v>
      </c>
      <c r="I158" s="214"/>
      <c r="J158" s="214">
        <v>0</v>
      </c>
      <c r="K158" s="214">
        <f t="shared" si="11"/>
        <v>0</v>
      </c>
      <c r="L158" s="214">
        <f t="shared" si="12"/>
        <v>3000.3288000000002</v>
      </c>
      <c r="M158" s="57"/>
      <c r="N158" s="46">
        <f t="shared" si="15"/>
        <v>263762.85379999992</v>
      </c>
      <c r="O158" s="19"/>
      <c r="P158" s="19"/>
    </row>
    <row r="159" spans="1:16">
      <c r="A159" s="110">
        <v>155</v>
      </c>
      <c r="B159" s="19" t="s">
        <v>132</v>
      </c>
      <c r="C159" s="314" t="s">
        <v>179</v>
      </c>
      <c r="D159" s="110" t="s">
        <v>180</v>
      </c>
      <c r="E159" s="336" t="s">
        <v>159</v>
      </c>
      <c r="F159" s="214">
        <v>34.44</v>
      </c>
      <c r="G159" s="214">
        <v>91.47</v>
      </c>
      <c r="H159" s="214">
        <f t="shared" si="10"/>
        <v>3150.2267999999999</v>
      </c>
      <c r="I159" s="214"/>
      <c r="J159" s="214">
        <v>0</v>
      </c>
      <c r="K159" s="214">
        <f t="shared" si="11"/>
        <v>0</v>
      </c>
      <c r="L159" s="214">
        <f t="shared" si="12"/>
        <v>3150.2267999999999</v>
      </c>
      <c r="M159" s="57"/>
      <c r="N159" s="270">
        <f t="shared" si="15"/>
        <v>260612.62699999992</v>
      </c>
      <c r="O159" s="110"/>
      <c r="P159" s="110"/>
    </row>
    <row r="160" spans="1:16">
      <c r="A160" s="19">
        <v>156</v>
      </c>
      <c r="B160" s="19" t="s">
        <v>132</v>
      </c>
      <c r="C160" s="19" t="s">
        <v>149</v>
      </c>
      <c r="D160" s="19" t="s">
        <v>110</v>
      </c>
      <c r="E160" s="335" t="s">
        <v>167</v>
      </c>
      <c r="F160" s="214">
        <v>30</v>
      </c>
      <c r="G160" s="214">
        <v>91.5</v>
      </c>
      <c r="H160" s="214">
        <f t="shared" si="10"/>
        <v>2745</v>
      </c>
      <c r="I160" s="214">
        <v>16.559999999999999</v>
      </c>
      <c r="J160" s="214">
        <v>103.44</v>
      </c>
      <c r="K160" s="214">
        <f t="shared" si="11"/>
        <v>1712.9663999999998</v>
      </c>
      <c r="L160" s="214">
        <f t="shared" si="12"/>
        <v>4457.9663999999993</v>
      </c>
      <c r="M160" s="57"/>
      <c r="N160" s="46">
        <f t="shared" si="15"/>
        <v>256154.66059999992</v>
      </c>
      <c r="O160" s="19"/>
      <c r="P160" s="19"/>
    </row>
    <row r="161" spans="1:16">
      <c r="A161" s="19">
        <v>157</v>
      </c>
      <c r="B161" s="19" t="s">
        <v>132</v>
      </c>
      <c r="C161" s="19" t="s">
        <v>164</v>
      </c>
      <c r="D161" s="19" t="s">
        <v>165</v>
      </c>
      <c r="E161" s="335" t="s">
        <v>166</v>
      </c>
      <c r="F161" s="214">
        <v>70</v>
      </c>
      <c r="G161" s="214">
        <v>91.8</v>
      </c>
      <c r="H161" s="214">
        <f t="shared" si="10"/>
        <v>6426</v>
      </c>
      <c r="I161" s="214"/>
      <c r="J161" s="214">
        <v>0</v>
      </c>
      <c r="K161" s="214">
        <f t="shared" si="11"/>
        <v>0</v>
      </c>
      <c r="L161" s="214">
        <f t="shared" si="12"/>
        <v>6426</v>
      </c>
      <c r="M161" s="57"/>
      <c r="N161" s="46">
        <f t="shared" si="15"/>
        <v>249728.66059999992</v>
      </c>
      <c r="O161" s="19"/>
      <c r="P161" s="19"/>
    </row>
    <row r="162" spans="1:16">
      <c r="A162" s="19">
        <v>158</v>
      </c>
      <c r="B162" s="19" t="s">
        <v>132</v>
      </c>
      <c r="C162" s="19" t="s">
        <v>168</v>
      </c>
      <c r="D162" s="19" t="s">
        <v>169</v>
      </c>
      <c r="E162" s="335" t="s">
        <v>170</v>
      </c>
      <c r="F162" s="214">
        <v>130</v>
      </c>
      <c r="G162" s="214">
        <v>92.04</v>
      </c>
      <c r="H162" s="214">
        <f t="shared" si="10"/>
        <v>11965.2</v>
      </c>
      <c r="I162" s="214"/>
      <c r="J162" s="214">
        <v>0</v>
      </c>
      <c r="K162" s="214">
        <f t="shared" si="11"/>
        <v>0</v>
      </c>
      <c r="L162" s="214">
        <f t="shared" si="12"/>
        <v>11965.2</v>
      </c>
      <c r="M162" s="57"/>
      <c r="N162" s="46">
        <f t="shared" si="15"/>
        <v>237763.4605999999</v>
      </c>
      <c r="O162" s="19"/>
      <c r="P162" s="19"/>
    </row>
    <row r="163" spans="1:16">
      <c r="A163" s="19">
        <v>159</v>
      </c>
      <c r="B163" s="312" t="s">
        <v>223</v>
      </c>
      <c r="C163" s="19" t="s">
        <v>151</v>
      </c>
      <c r="D163" s="19" t="s">
        <v>152</v>
      </c>
      <c r="E163" s="335" t="s">
        <v>153</v>
      </c>
      <c r="F163" s="214">
        <v>80</v>
      </c>
      <c r="G163" s="214">
        <v>91.92</v>
      </c>
      <c r="H163" s="214">
        <f t="shared" si="10"/>
        <v>7353.6</v>
      </c>
      <c r="I163" s="214">
        <v>11.75</v>
      </c>
      <c r="J163" s="214">
        <v>103.96</v>
      </c>
      <c r="K163" s="214">
        <f t="shared" si="11"/>
        <v>1221.53</v>
      </c>
      <c r="L163" s="214">
        <f t="shared" si="12"/>
        <v>8575.130000000001</v>
      </c>
      <c r="M163" s="57"/>
      <c r="N163" s="46">
        <f t="shared" si="15"/>
        <v>229188.3305999999</v>
      </c>
      <c r="O163" s="19"/>
      <c r="P163" s="19"/>
    </row>
    <row r="164" spans="1:16">
      <c r="A164" s="19">
        <v>160</v>
      </c>
      <c r="B164" s="312" t="s">
        <v>223</v>
      </c>
      <c r="C164" s="19" t="s">
        <v>181</v>
      </c>
      <c r="D164" s="19" t="s">
        <v>182</v>
      </c>
      <c r="E164" s="335" t="s">
        <v>183</v>
      </c>
      <c r="F164" s="214">
        <v>0</v>
      </c>
      <c r="G164" s="214">
        <v>0</v>
      </c>
      <c r="H164" s="214">
        <f t="shared" si="10"/>
        <v>0</v>
      </c>
      <c r="I164" s="214">
        <v>9.68</v>
      </c>
      <c r="J164" s="214">
        <v>103.39</v>
      </c>
      <c r="K164" s="214">
        <f t="shared" si="11"/>
        <v>1000.8152</v>
      </c>
      <c r="L164" s="214">
        <f t="shared" si="12"/>
        <v>1000.8152</v>
      </c>
      <c r="M164" s="57"/>
      <c r="N164" s="46">
        <f t="shared" si="15"/>
        <v>228187.51539999989</v>
      </c>
      <c r="O164" s="19"/>
      <c r="P164" s="19"/>
    </row>
    <row r="165" spans="1:16">
      <c r="A165" s="19">
        <v>161</v>
      </c>
      <c r="B165" s="312" t="s">
        <v>223</v>
      </c>
      <c r="C165" s="19" t="s">
        <v>224</v>
      </c>
      <c r="D165" s="19" t="s">
        <v>218</v>
      </c>
      <c r="E165" s="335" t="s">
        <v>219</v>
      </c>
      <c r="F165" s="214">
        <v>262</v>
      </c>
      <c r="G165" s="214">
        <v>91.19</v>
      </c>
      <c r="H165" s="214">
        <f t="shared" si="10"/>
        <v>23891.78</v>
      </c>
      <c r="I165" s="214">
        <v>10</v>
      </c>
      <c r="J165" s="214">
        <v>103.11</v>
      </c>
      <c r="K165" s="214">
        <f t="shared" si="11"/>
        <v>1031.0999999999999</v>
      </c>
      <c r="L165" s="214">
        <f t="shared" si="12"/>
        <v>24922.879999999997</v>
      </c>
      <c r="M165" s="57"/>
      <c r="N165" s="46">
        <f t="shared" si="15"/>
        <v>203264.63539999988</v>
      </c>
      <c r="O165" s="19"/>
      <c r="P165" s="19"/>
    </row>
    <row r="166" spans="1:16">
      <c r="A166" s="19">
        <v>162</v>
      </c>
      <c r="B166" s="312" t="s">
        <v>223</v>
      </c>
      <c r="C166" s="19" t="s">
        <v>207</v>
      </c>
      <c r="D166" s="19" t="s">
        <v>208</v>
      </c>
      <c r="E166" s="335" t="s">
        <v>170</v>
      </c>
      <c r="F166" s="214"/>
      <c r="G166" s="214">
        <v>0</v>
      </c>
      <c r="H166" s="214">
        <f t="shared" si="10"/>
        <v>0</v>
      </c>
      <c r="I166" s="214">
        <v>5</v>
      </c>
      <c r="J166" s="214">
        <v>103.86</v>
      </c>
      <c r="K166" s="214">
        <f t="shared" si="11"/>
        <v>519.29999999999995</v>
      </c>
      <c r="L166" s="214">
        <f t="shared" si="12"/>
        <v>519.29999999999995</v>
      </c>
      <c r="M166" s="57"/>
      <c r="N166" s="46">
        <f t="shared" si="15"/>
        <v>202745.33539999989</v>
      </c>
      <c r="O166" s="343"/>
      <c r="P166" s="46"/>
    </row>
    <row r="167" spans="1:16">
      <c r="A167" s="19">
        <v>163</v>
      </c>
      <c r="B167" s="19" t="s">
        <v>225</v>
      </c>
      <c r="C167" s="19" t="s">
        <v>151</v>
      </c>
      <c r="D167" s="19" t="s">
        <v>152</v>
      </c>
      <c r="E167" s="335" t="s">
        <v>153</v>
      </c>
      <c r="F167" s="214">
        <v>80</v>
      </c>
      <c r="G167" s="214">
        <v>91.92</v>
      </c>
      <c r="H167" s="214">
        <f t="shared" si="10"/>
        <v>7353.6</v>
      </c>
      <c r="I167" s="214">
        <v>0</v>
      </c>
      <c r="J167" s="214">
        <v>0</v>
      </c>
      <c r="K167" s="214">
        <f t="shared" si="11"/>
        <v>0</v>
      </c>
      <c r="L167" s="214">
        <f t="shared" si="12"/>
        <v>7353.6</v>
      </c>
      <c r="M167" s="57"/>
      <c r="N167" s="46">
        <f t="shared" si="15"/>
        <v>195391.73539999989</v>
      </c>
      <c r="O167" s="19"/>
      <c r="P167" s="19"/>
    </row>
    <row r="168" spans="1:16">
      <c r="A168" s="19">
        <v>164</v>
      </c>
      <c r="B168" s="19" t="s">
        <v>225</v>
      </c>
      <c r="C168" s="110" t="s">
        <v>154</v>
      </c>
      <c r="D168" s="110" t="s">
        <v>155</v>
      </c>
      <c r="E168" s="336" t="s">
        <v>156</v>
      </c>
      <c r="F168" s="214">
        <v>70.97</v>
      </c>
      <c r="G168" s="214">
        <v>91.14</v>
      </c>
      <c r="H168" s="214">
        <f t="shared" si="10"/>
        <v>6468.2057999999997</v>
      </c>
      <c r="I168" s="214">
        <v>0</v>
      </c>
      <c r="J168" s="214">
        <v>0</v>
      </c>
      <c r="K168" s="214">
        <f t="shared" si="11"/>
        <v>0</v>
      </c>
      <c r="L168" s="214">
        <f t="shared" si="12"/>
        <v>6468.2057999999997</v>
      </c>
      <c r="M168" s="57"/>
      <c r="N168" s="270">
        <f t="shared" si="15"/>
        <v>188923.52959999989</v>
      </c>
      <c r="O168" s="110"/>
      <c r="P168" s="110"/>
    </row>
    <row r="169" spans="1:16">
      <c r="A169" s="113">
        <v>165</v>
      </c>
      <c r="B169" s="19" t="s">
        <v>225</v>
      </c>
      <c r="C169" s="19" t="s">
        <v>226</v>
      </c>
      <c r="D169" s="19" t="s">
        <v>227</v>
      </c>
      <c r="E169" s="335" t="s">
        <v>174</v>
      </c>
      <c r="F169" s="214">
        <v>148.75</v>
      </c>
      <c r="G169" s="214">
        <v>92.1</v>
      </c>
      <c r="H169" s="214">
        <f t="shared" si="10"/>
        <v>13699.875</v>
      </c>
      <c r="I169" s="214">
        <v>30</v>
      </c>
      <c r="J169" s="214">
        <v>103.86</v>
      </c>
      <c r="K169" s="214">
        <f t="shared" si="11"/>
        <v>3115.8</v>
      </c>
      <c r="L169" s="214">
        <f t="shared" si="12"/>
        <v>16815.674999999999</v>
      </c>
      <c r="M169" s="57"/>
      <c r="N169" s="46">
        <f t="shared" si="15"/>
        <v>172107.8545999999</v>
      </c>
      <c r="O169" s="19"/>
      <c r="P169" s="19"/>
    </row>
    <row r="170" spans="1:16">
      <c r="A170" s="113">
        <v>166</v>
      </c>
      <c r="B170" s="19" t="s">
        <v>225</v>
      </c>
      <c r="C170" s="19" t="s">
        <v>160</v>
      </c>
      <c r="D170" s="19" t="s">
        <v>161</v>
      </c>
      <c r="E170" s="335" t="s">
        <v>162</v>
      </c>
      <c r="F170" s="214">
        <v>200</v>
      </c>
      <c r="G170" s="214">
        <v>92.09</v>
      </c>
      <c r="H170" s="214">
        <f t="shared" si="10"/>
        <v>18418</v>
      </c>
      <c r="I170" s="214">
        <v>15</v>
      </c>
      <c r="J170" s="214">
        <v>103.86</v>
      </c>
      <c r="K170" s="214">
        <f t="shared" si="11"/>
        <v>1557.9</v>
      </c>
      <c r="L170" s="214">
        <f t="shared" si="12"/>
        <v>19975.900000000001</v>
      </c>
      <c r="M170" s="57"/>
      <c r="N170" s="46">
        <f t="shared" si="15"/>
        <v>152131.95459999991</v>
      </c>
      <c r="O170" s="19"/>
      <c r="P170" s="19"/>
    </row>
    <row r="171" spans="1:16">
      <c r="A171" s="113">
        <v>167</v>
      </c>
      <c r="B171" s="19" t="s">
        <v>225</v>
      </c>
      <c r="C171" s="121" t="s">
        <v>164</v>
      </c>
      <c r="D171" s="121" t="s">
        <v>165</v>
      </c>
      <c r="E171" s="333" t="s">
        <v>166</v>
      </c>
      <c r="F171" s="214">
        <v>130</v>
      </c>
      <c r="G171" s="214">
        <v>91.8</v>
      </c>
      <c r="H171" s="214">
        <f t="shared" si="10"/>
        <v>11934</v>
      </c>
      <c r="I171" s="214">
        <v>0</v>
      </c>
      <c r="J171" s="214">
        <v>0</v>
      </c>
      <c r="K171" s="214">
        <f t="shared" si="11"/>
        <v>0</v>
      </c>
      <c r="L171" s="214">
        <f t="shared" si="12"/>
        <v>11934</v>
      </c>
      <c r="M171" s="57"/>
      <c r="N171" s="46">
        <f t="shared" si="15"/>
        <v>140197.95459999991</v>
      </c>
      <c r="O171" s="19"/>
      <c r="P171" s="19"/>
    </row>
    <row r="172" spans="1:16">
      <c r="A172" s="113">
        <v>168</v>
      </c>
      <c r="B172" s="19" t="s">
        <v>225</v>
      </c>
      <c r="C172" s="19" t="s">
        <v>168</v>
      </c>
      <c r="D172" s="19" t="s">
        <v>169</v>
      </c>
      <c r="E172" s="335" t="s">
        <v>170</v>
      </c>
      <c r="F172" s="214">
        <v>138.99</v>
      </c>
      <c r="G172" s="214">
        <v>91.8</v>
      </c>
      <c r="H172" s="214">
        <f t="shared" si="10"/>
        <v>12759.282000000001</v>
      </c>
      <c r="I172" s="214">
        <v>0</v>
      </c>
      <c r="J172" s="214">
        <v>0</v>
      </c>
      <c r="K172" s="214">
        <f t="shared" si="11"/>
        <v>0</v>
      </c>
      <c r="L172" s="214">
        <f t="shared" si="12"/>
        <v>12759.282000000001</v>
      </c>
      <c r="M172" s="57"/>
      <c r="N172" s="46">
        <f t="shared" si="15"/>
        <v>127438.6725999999</v>
      </c>
      <c r="O172" s="19"/>
      <c r="P172" s="19"/>
    </row>
    <row r="173" spans="1:16">
      <c r="A173" s="113">
        <v>169</v>
      </c>
      <c r="B173" s="19" t="s">
        <v>228</v>
      </c>
      <c r="C173" s="19" t="s">
        <v>151</v>
      </c>
      <c r="D173" s="19" t="s">
        <v>152</v>
      </c>
      <c r="E173" s="335" t="s">
        <v>153</v>
      </c>
      <c r="F173" s="214">
        <v>50</v>
      </c>
      <c r="G173" s="214">
        <v>91.92</v>
      </c>
      <c r="H173" s="214">
        <f t="shared" si="10"/>
        <v>4596</v>
      </c>
      <c r="I173" s="214">
        <v>5.01</v>
      </c>
      <c r="J173" s="214">
        <v>103.96</v>
      </c>
      <c r="K173" s="214">
        <f t="shared" si="11"/>
        <v>520.8395999999999</v>
      </c>
      <c r="L173" s="214">
        <f t="shared" si="12"/>
        <v>5116.8396000000002</v>
      </c>
      <c r="M173" s="57">
        <v>100000</v>
      </c>
      <c r="N173" s="46">
        <f t="shared" si="15"/>
        <v>222321.8329999999</v>
      </c>
      <c r="O173" s="19"/>
      <c r="P173" s="19"/>
    </row>
    <row r="174" spans="1:16">
      <c r="A174" s="113">
        <v>170</v>
      </c>
      <c r="B174" s="19" t="s">
        <v>228</v>
      </c>
      <c r="C174" s="19" t="s">
        <v>226</v>
      </c>
      <c r="D174" s="19" t="s">
        <v>227</v>
      </c>
      <c r="E174" s="335" t="s">
        <v>174</v>
      </c>
      <c r="F174" s="214">
        <v>143.15</v>
      </c>
      <c r="G174" s="214">
        <v>92.1</v>
      </c>
      <c r="H174" s="214">
        <f t="shared" si="10"/>
        <v>13184.115</v>
      </c>
      <c r="I174" s="214">
        <v>0</v>
      </c>
      <c r="J174" s="214">
        <v>0</v>
      </c>
      <c r="K174" s="214">
        <f t="shared" si="11"/>
        <v>0</v>
      </c>
      <c r="L174" s="214">
        <f t="shared" si="12"/>
        <v>13184.115</v>
      </c>
      <c r="M174" s="57"/>
      <c r="N174" s="46">
        <f t="shared" si="15"/>
        <v>209137.71799999991</v>
      </c>
      <c r="O174" s="19"/>
      <c r="P174" s="19"/>
    </row>
    <row r="175" spans="1:16">
      <c r="A175" s="113">
        <v>171</v>
      </c>
      <c r="B175" s="19" t="s">
        <v>228</v>
      </c>
      <c r="C175" s="312" t="s">
        <v>147</v>
      </c>
      <c r="D175" s="19" t="s">
        <v>148</v>
      </c>
      <c r="E175" s="335" t="s">
        <v>163</v>
      </c>
      <c r="F175" s="214">
        <v>5</v>
      </c>
      <c r="G175" s="214">
        <v>91.33</v>
      </c>
      <c r="H175" s="214">
        <f t="shared" si="10"/>
        <v>456.65</v>
      </c>
      <c r="I175" s="214">
        <v>0</v>
      </c>
      <c r="J175" s="214">
        <v>0</v>
      </c>
      <c r="K175" s="214">
        <f t="shared" si="11"/>
        <v>0</v>
      </c>
      <c r="L175" s="214">
        <f t="shared" si="12"/>
        <v>456.65</v>
      </c>
      <c r="M175" s="57"/>
      <c r="N175" s="46">
        <f t="shared" si="15"/>
        <v>208681.06799999991</v>
      </c>
      <c r="O175" s="19"/>
      <c r="P175" s="19"/>
    </row>
    <row r="176" spans="1:16">
      <c r="A176" s="113">
        <v>172</v>
      </c>
      <c r="B176" s="19" t="s">
        <v>228</v>
      </c>
      <c r="C176" s="19" t="s">
        <v>164</v>
      </c>
      <c r="D176" s="19" t="s">
        <v>165</v>
      </c>
      <c r="E176" s="335" t="s">
        <v>166</v>
      </c>
      <c r="F176" s="214">
        <v>20</v>
      </c>
      <c r="G176" s="214">
        <v>91.8</v>
      </c>
      <c r="H176" s="214">
        <f t="shared" si="10"/>
        <v>1836</v>
      </c>
      <c r="I176" s="214">
        <v>0</v>
      </c>
      <c r="J176" s="214">
        <v>0</v>
      </c>
      <c r="K176" s="214">
        <f t="shared" si="11"/>
        <v>0</v>
      </c>
      <c r="L176" s="214">
        <f t="shared" si="12"/>
        <v>1836</v>
      </c>
      <c r="M176" s="57"/>
      <c r="N176" s="46">
        <f t="shared" si="15"/>
        <v>206845.06799999991</v>
      </c>
      <c r="O176" s="19"/>
      <c r="P176" s="19"/>
    </row>
    <row r="177" spans="1:16">
      <c r="A177" s="113">
        <v>173</v>
      </c>
      <c r="B177" s="19" t="s">
        <v>133</v>
      </c>
      <c r="C177" s="19" t="s">
        <v>151</v>
      </c>
      <c r="D177" s="19" t="s">
        <v>152</v>
      </c>
      <c r="E177" s="335" t="s">
        <v>153</v>
      </c>
      <c r="F177" s="214">
        <v>100</v>
      </c>
      <c r="G177" s="214">
        <v>91.92</v>
      </c>
      <c r="H177" s="214">
        <f t="shared" si="10"/>
        <v>9192</v>
      </c>
      <c r="I177" s="214"/>
      <c r="J177" s="214">
        <v>0</v>
      </c>
      <c r="K177" s="214">
        <f t="shared" si="11"/>
        <v>0</v>
      </c>
      <c r="L177" s="214">
        <f t="shared" si="12"/>
        <v>9192</v>
      </c>
      <c r="M177" s="57">
        <v>37649.4</v>
      </c>
      <c r="N177" s="46">
        <f t="shared" si="15"/>
        <v>235302.46799999991</v>
      </c>
      <c r="O177" s="19"/>
      <c r="P177" s="19"/>
    </row>
    <row r="178" spans="1:16">
      <c r="A178" s="113">
        <v>174</v>
      </c>
      <c r="B178" s="19" t="s">
        <v>133</v>
      </c>
      <c r="C178" s="19" t="s">
        <v>160</v>
      </c>
      <c r="D178" s="19" t="s">
        <v>161</v>
      </c>
      <c r="E178" s="335" t="s">
        <v>162</v>
      </c>
      <c r="F178" s="214">
        <v>310</v>
      </c>
      <c r="G178" s="214">
        <v>92.09</v>
      </c>
      <c r="H178" s="214">
        <f t="shared" si="10"/>
        <v>28547.9</v>
      </c>
      <c r="I178" s="214">
        <v>10</v>
      </c>
      <c r="J178" s="214">
        <v>103.86</v>
      </c>
      <c r="K178" s="214">
        <f t="shared" si="11"/>
        <v>1038.5999999999999</v>
      </c>
      <c r="L178" s="214">
        <f t="shared" si="12"/>
        <v>29586.5</v>
      </c>
      <c r="M178" s="57"/>
      <c r="N178" s="46">
        <f t="shared" si="15"/>
        <v>205715.96799999991</v>
      </c>
      <c r="O178" s="19"/>
      <c r="P178" s="19"/>
    </row>
    <row r="179" spans="1:16">
      <c r="A179" s="113">
        <v>175</v>
      </c>
      <c r="B179" s="19" t="s">
        <v>133</v>
      </c>
      <c r="C179" s="19" t="s">
        <v>149</v>
      </c>
      <c r="D179" s="19" t="s">
        <v>110</v>
      </c>
      <c r="E179" s="335" t="s">
        <v>167</v>
      </c>
      <c r="F179" s="214">
        <v>62.98</v>
      </c>
      <c r="G179" s="214">
        <v>91.5</v>
      </c>
      <c r="H179" s="214">
        <f t="shared" si="10"/>
        <v>5762.67</v>
      </c>
      <c r="I179" s="214">
        <v>0</v>
      </c>
      <c r="J179" s="214">
        <v>0</v>
      </c>
      <c r="K179" s="214">
        <f t="shared" si="11"/>
        <v>0</v>
      </c>
      <c r="L179" s="214">
        <f t="shared" si="12"/>
        <v>5762.67</v>
      </c>
      <c r="M179" s="57"/>
      <c r="N179" s="46">
        <f t="shared" si="15"/>
        <v>199953.29799999989</v>
      </c>
      <c r="O179" s="19"/>
      <c r="P179" s="19"/>
    </row>
    <row r="180" spans="1:16">
      <c r="A180" s="311">
        <v>176</v>
      </c>
      <c r="B180" s="110" t="s">
        <v>133</v>
      </c>
      <c r="C180" s="110" t="s">
        <v>217</v>
      </c>
      <c r="D180" s="110" t="s">
        <v>218</v>
      </c>
      <c r="E180" s="336" t="s">
        <v>219</v>
      </c>
      <c r="F180" s="388">
        <v>540</v>
      </c>
      <c r="G180" s="388">
        <v>91.19</v>
      </c>
      <c r="H180" s="388">
        <f t="shared" si="10"/>
        <v>49242.6</v>
      </c>
      <c r="I180" s="388">
        <v>0</v>
      </c>
      <c r="J180" s="388">
        <v>0</v>
      </c>
      <c r="K180" s="388">
        <f t="shared" si="11"/>
        <v>0</v>
      </c>
      <c r="L180" s="388">
        <f t="shared" si="12"/>
        <v>49242.6</v>
      </c>
      <c r="M180" s="198"/>
      <c r="N180" s="270">
        <f t="shared" si="15"/>
        <v>150710.69799999989</v>
      </c>
      <c r="O180" s="110"/>
      <c r="P180" s="110"/>
    </row>
    <row r="181" spans="1:16">
      <c r="A181" s="19">
        <v>177</v>
      </c>
      <c r="B181" s="19" t="s">
        <v>133</v>
      </c>
      <c r="C181" s="19" t="s">
        <v>164</v>
      </c>
      <c r="D181" s="19" t="s">
        <v>165</v>
      </c>
      <c r="E181" s="335" t="s">
        <v>166</v>
      </c>
      <c r="F181" s="46">
        <v>0</v>
      </c>
      <c r="G181" s="46">
        <v>0</v>
      </c>
      <c r="H181" s="46">
        <f t="shared" si="10"/>
        <v>0</v>
      </c>
      <c r="I181" s="46">
        <v>10</v>
      </c>
      <c r="J181" s="46">
        <v>103.76</v>
      </c>
      <c r="K181" s="46">
        <f t="shared" si="11"/>
        <v>1037.6000000000001</v>
      </c>
      <c r="L181" s="46">
        <f t="shared" si="12"/>
        <v>1037.6000000000001</v>
      </c>
      <c r="M181" s="57"/>
      <c r="N181" s="46">
        <f t="shared" si="15"/>
        <v>149673.09799999988</v>
      </c>
      <c r="O181" s="19"/>
      <c r="P181" s="19"/>
    </row>
    <row r="183" spans="1:16">
      <c r="N183" s="24">
        <v>132613.01</v>
      </c>
    </row>
    <row r="184" spans="1:16">
      <c r="N184" s="24">
        <v>132594.57999999999</v>
      </c>
    </row>
    <row r="185" spans="1:16">
      <c r="N185" s="24">
        <f>N183-N184</f>
        <v>18.430000000022119</v>
      </c>
    </row>
  </sheetData>
  <mergeCells count="3">
    <mergeCell ref="A1:P1"/>
    <mergeCell ref="A3:K3"/>
    <mergeCell ref="L3:P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O82"/>
  <sheetViews>
    <sheetView workbookViewId="0">
      <pane ySplit="3" topLeftCell="A36" activePane="bottomLeft" state="frozen"/>
      <selection pane="bottomLeft" activeCell="F88" sqref="C88:F91"/>
    </sheetView>
  </sheetViews>
  <sheetFormatPr defaultRowHeight="15"/>
  <cols>
    <col min="2" max="2" width="16.28515625" customWidth="1"/>
    <col min="3" max="3" width="31.5703125" customWidth="1"/>
    <col min="4" max="4" width="15.5703125" customWidth="1"/>
    <col min="5" max="5" width="12.28515625" customWidth="1"/>
    <col min="6" max="6" width="12.85546875" customWidth="1"/>
    <col min="7" max="7" width="11.42578125" bestFit="1" customWidth="1"/>
    <col min="8" max="8" width="12.5703125" customWidth="1"/>
    <col min="11" max="11" width="18.7109375" customWidth="1"/>
    <col min="12" max="12" width="24.140625" customWidth="1"/>
    <col min="13" max="13" width="16.5703125" customWidth="1"/>
    <col min="14" max="14" width="19.85546875" customWidth="1"/>
    <col min="15" max="15" width="13.42578125" customWidth="1"/>
  </cols>
  <sheetData>
    <row r="1" spans="1:15" ht="15.75">
      <c r="A1" s="379" t="s">
        <v>229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</row>
    <row r="2" spans="1:15" ht="26.25" customHeight="1">
      <c r="A2" s="78" t="s">
        <v>81</v>
      </c>
      <c r="B2" s="98" t="s">
        <v>82</v>
      </c>
      <c r="C2" s="98" t="s">
        <v>142</v>
      </c>
      <c r="D2" s="98" t="s">
        <v>144</v>
      </c>
      <c r="E2" s="98" t="s">
        <v>85</v>
      </c>
      <c r="F2" s="98" t="s">
        <v>86</v>
      </c>
      <c r="G2" s="106" t="s">
        <v>87</v>
      </c>
      <c r="H2" s="98" t="s">
        <v>88</v>
      </c>
      <c r="I2" s="98" t="s">
        <v>86</v>
      </c>
      <c r="J2" s="106" t="s">
        <v>87</v>
      </c>
      <c r="K2" s="78" t="s">
        <v>89</v>
      </c>
      <c r="L2" s="107" t="s">
        <v>145</v>
      </c>
      <c r="M2" s="100" t="s">
        <v>97</v>
      </c>
      <c r="N2" s="98" t="s">
        <v>92</v>
      </c>
      <c r="O2" s="98" t="s">
        <v>146</v>
      </c>
    </row>
    <row r="3" spans="1:15" ht="15.75">
      <c r="A3" s="380" t="s">
        <v>93</v>
      </c>
      <c r="B3" s="380"/>
      <c r="C3" s="380"/>
      <c r="D3" s="380"/>
      <c r="E3" s="380"/>
      <c r="F3" s="380"/>
      <c r="G3" s="380"/>
      <c r="H3" s="380"/>
      <c r="I3" s="380"/>
      <c r="J3" s="380"/>
      <c r="K3" s="381">
        <v>47676.21</v>
      </c>
      <c r="L3" s="382"/>
      <c r="M3" s="382"/>
      <c r="N3" s="382"/>
      <c r="O3" s="383"/>
    </row>
    <row r="4" spans="1:15">
      <c r="A4" s="195">
        <v>1</v>
      </c>
      <c r="B4" s="291"/>
      <c r="C4" s="196"/>
      <c r="D4" s="196"/>
      <c r="E4" s="197"/>
      <c r="F4" s="197"/>
      <c r="G4" s="197"/>
      <c r="H4" s="197"/>
      <c r="I4" s="197"/>
      <c r="J4" s="197"/>
      <c r="K4" s="197"/>
      <c r="L4" s="197"/>
      <c r="M4" s="197">
        <f>K3+L4-K4</f>
        <v>47676.21</v>
      </c>
      <c r="N4" s="197"/>
      <c r="O4" s="197"/>
    </row>
    <row r="5" spans="1:15">
      <c r="A5" s="19">
        <v>2</v>
      </c>
      <c r="B5" s="19" t="s">
        <v>111</v>
      </c>
      <c r="C5" s="121" t="s">
        <v>230</v>
      </c>
      <c r="D5" s="121" t="s">
        <v>231</v>
      </c>
      <c r="E5" s="46">
        <v>90</v>
      </c>
      <c r="F5" s="46">
        <v>89.26</v>
      </c>
      <c r="G5" s="46">
        <f>E5*F5</f>
        <v>8033.4000000000005</v>
      </c>
      <c r="H5" s="46">
        <v>6</v>
      </c>
      <c r="I5" s="46">
        <v>103.18</v>
      </c>
      <c r="J5" s="46">
        <f>H5*I5</f>
        <v>619.08000000000004</v>
      </c>
      <c r="K5" s="46">
        <f>G5+J5</f>
        <v>8652.4800000000014</v>
      </c>
      <c r="L5" s="46"/>
      <c r="M5" s="46">
        <f>M4+L5-K5</f>
        <v>39023.729999999996</v>
      </c>
      <c r="N5" s="46"/>
      <c r="O5" s="46"/>
    </row>
    <row r="6" spans="1:15">
      <c r="A6" s="19">
        <v>3</v>
      </c>
      <c r="B6" s="19" t="s">
        <v>232</v>
      </c>
      <c r="C6" s="121" t="s">
        <v>230</v>
      </c>
      <c r="D6" s="121" t="s">
        <v>231</v>
      </c>
      <c r="E6" s="46">
        <v>59.99</v>
      </c>
      <c r="F6" s="46">
        <v>91.26</v>
      </c>
      <c r="G6" s="46">
        <f t="shared" ref="G6:G67" si="0">E6*F6</f>
        <v>5474.6874000000007</v>
      </c>
      <c r="H6" s="46">
        <v>0</v>
      </c>
      <c r="I6" s="46">
        <v>0</v>
      </c>
      <c r="J6" s="46">
        <f t="shared" ref="J6:J67" si="1">H6*I6</f>
        <v>0</v>
      </c>
      <c r="K6" s="46">
        <f t="shared" ref="K6:K67" si="2">G6+J6</f>
        <v>5474.6874000000007</v>
      </c>
      <c r="L6" s="46">
        <v>300000</v>
      </c>
      <c r="M6" s="46">
        <f>M5+L6-K6</f>
        <v>333549.04259999999</v>
      </c>
      <c r="N6" s="46"/>
      <c r="O6" s="46"/>
    </row>
    <row r="7" spans="1:15">
      <c r="A7" s="19">
        <v>4</v>
      </c>
      <c r="B7" s="19" t="s">
        <v>232</v>
      </c>
      <c r="C7" s="121" t="s">
        <v>233</v>
      </c>
      <c r="D7" s="121" t="s">
        <v>231</v>
      </c>
      <c r="E7" s="46">
        <v>20</v>
      </c>
      <c r="F7" s="46">
        <v>91.41</v>
      </c>
      <c r="G7" s="46">
        <f t="shared" si="0"/>
        <v>1828.1999999999998</v>
      </c>
      <c r="H7" s="46">
        <v>0</v>
      </c>
      <c r="I7" s="46">
        <v>0</v>
      </c>
      <c r="J7" s="46">
        <f t="shared" si="1"/>
        <v>0</v>
      </c>
      <c r="K7" s="46">
        <f t="shared" si="2"/>
        <v>1828.1999999999998</v>
      </c>
      <c r="L7" s="46"/>
      <c r="M7" s="46">
        <f t="shared" ref="M6:M52" si="3">M6+L7-K7</f>
        <v>331720.84259999997</v>
      </c>
      <c r="N7" s="46"/>
      <c r="O7" s="46"/>
    </row>
    <row r="8" spans="1:15">
      <c r="A8" s="19">
        <v>5</v>
      </c>
      <c r="B8" s="19" t="s">
        <v>232</v>
      </c>
      <c r="C8" s="121" t="s">
        <v>234</v>
      </c>
      <c r="D8" s="121" t="s">
        <v>235</v>
      </c>
      <c r="E8" s="46">
        <v>15.53</v>
      </c>
      <c r="F8" s="46">
        <v>96.59</v>
      </c>
      <c r="G8" s="46">
        <f t="shared" si="0"/>
        <v>1500.0427</v>
      </c>
      <c r="H8" s="46">
        <v>0</v>
      </c>
      <c r="I8" s="46">
        <v>0</v>
      </c>
      <c r="J8" s="46">
        <f t="shared" si="1"/>
        <v>0</v>
      </c>
      <c r="K8" s="46">
        <f t="shared" si="2"/>
        <v>1500.0427</v>
      </c>
      <c r="L8" s="46"/>
      <c r="M8" s="46">
        <f>M7+L8-K8</f>
        <v>330220.79989999998</v>
      </c>
      <c r="N8" s="46"/>
      <c r="O8" s="46"/>
    </row>
    <row r="9" spans="1:15">
      <c r="A9" s="19">
        <v>6</v>
      </c>
      <c r="B9" s="19" t="s">
        <v>113</v>
      </c>
      <c r="C9" s="121" t="s">
        <v>230</v>
      </c>
      <c r="D9" s="121" t="s">
        <v>231</v>
      </c>
      <c r="E9" s="46">
        <v>105.99</v>
      </c>
      <c r="F9" s="46">
        <v>91.26</v>
      </c>
      <c r="G9" s="46">
        <f t="shared" si="0"/>
        <v>9672.6473999999998</v>
      </c>
      <c r="H9" s="46">
        <v>0</v>
      </c>
      <c r="I9" s="46">
        <v>0</v>
      </c>
      <c r="J9" s="46">
        <f t="shared" si="1"/>
        <v>0</v>
      </c>
      <c r="K9" s="46">
        <f t="shared" si="2"/>
        <v>9672.6473999999998</v>
      </c>
      <c r="L9" s="46"/>
      <c r="M9" s="46">
        <f t="shared" si="3"/>
        <v>320548.15249999997</v>
      </c>
      <c r="N9" s="46"/>
      <c r="O9" s="46"/>
    </row>
    <row r="10" spans="1:15">
      <c r="A10" s="110">
        <v>7</v>
      </c>
      <c r="B10" s="19" t="s">
        <v>113</v>
      </c>
      <c r="C10" s="294" t="s">
        <v>236</v>
      </c>
      <c r="D10" s="294" t="s">
        <v>237</v>
      </c>
      <c r="E10" s="46">
        <v>74.81</v>
      </c>
      <c r="F10" s="46">
        <v>90.88</v>
      </c>
      <c r="G10" s="46">
        <f t="shared" si="0"/>
        <v>6798.7327999999998</v>
      </c>
      <c r="H10" s="46">
        <v>0</v>
      </c>
      <c r="I10" s="46">
        <v>0</v>
      </c>
      <c r="J10" s="46">
        <f t="shared" si="1"/>
        <v>0</v>
      </c>
      <c r="K10" s="46">
        <f t="shared" si="2"/>
        <v>6798.7327999999998</v>
      </c>
      <c r="L10" s="46"/>
      <c r="M10" s="270">
        <f t="shared" si="3"/>
        <v>313749.41969999997</v>
      </c>
      <c r="N10" s="270"/>
      <c r="O10" s="270"/>
    </row>
    <row r="11" spans="1:15">
      <c r="A11" s="110">
        <v>8</v>
      </c>
      <c r="B11" s="110" t="s">
        <v>114</v>
      </c>
      <c r="C11" s="121" t="s">
        <v>230</v>
      </c>
      <c r="D11" s="121" t="s">
        <v>231</v>
      </c>
      <c r="E11" s="46">
        <v>294.98</v>
      </c>
      <c r="F11" s="46">
        <v>91.26</v>
      </c>
      <c r="G11" s="46">
        <f t="shared" si="0"/>
        <v>26919.874800000001</v>
      </c>
      <c r="H11" s="46">
        <v>13.64</v>
      </c>
      <c r="I11" s="46">
        <v>103.18</v>
      </c>
      <c r="J11" s="46">
        <f t="shared" si="1"/>
        <v>1407.3752000000002</v>
      </c>
      <c r="K11" s="46">
        <f t="shared" si="2"/>
        <v>28327.25</v>
      </c>
      <c r="L11" s="46"/>
      <c r="M11" s="270">
        <f t="shared" si="3"/>
        <v>285422.16969999997</v>
      </c>
      <c r="N11" s="270"/>
      <c r="O11" s="270"/>
    </row>
    <row r="12" spans="1:15">
      <c r="A12" s="110">
        <v>9</v>
      </c>
      <c r="B12" s="110" t="s">
        <v>114</v>
      </c>
      <c r="C12" s="294" t="s">
        <v>236</v>
      </c>
      <c r="D12" s="294" t="s">
        <v>237</v>
      </c>
      <c r="E12" s="46">
        <v>10</v>
      </c>
      <c r="F12" s="46">
        <v>90.88</v>
      </c>
      <c r="G12" s="46">
        <f t="shared" si="0"/>
        <v>908.8</v>
      </c>
      <c r="H12" s="46">
        <v>0</v>
      </c>
      <c r="I12" s="46">
        <v>0</v>
      </c>
      <c r="J12" s="46">
        <f t="shared" si="1"/>
        <v>0</v>
      </c>
      <c r="K12" s="46">
        <f t="shared" si="2"/>
        <v>908.8</v>
      </c>
      <c r="L12" s="46"/>
      <c r="M12" s="270">
        <f t="shared" si="3"/>
        <v>284513.36969999998</v>
      </c>
      <c r="N12" s="270"/>
      <c r="O12" s="270"/>
    </row>
    <row r="13" spans="1:15">
      <c r="A13" s="19">
        <v>10</v>
      </c>
      <c r="B13" s="19" t="s">
        <v>178</v>
      </c>
      <c r="C13" s="294" t="s">
        <v>238</v>
      </c>
      <c r="D13" s="294" t="s">
        <v>239</v>
      </c>
      <c r="E13" s="46">
        <v>0</v>
      </c>
      <c r="F13" s="46">
        <v>0</v>
      </c>
      <c r="G13" s="46">
        <f t="shared" si="0"/>
        <v>0</v>
      </c>
      <c r="H13" s="46">
        <v>4.74</v>
      </c>
      <c r="I13" s="46">
        <v>107.46</v>
      </c>
      <c r="J13" s="46">
        <f t="shared" si="1"/>
        <v>509.36039999999997</v>
      </c>
      <c r="K13" s="46">
        <f t="shared" si="2"/>
        <v>509.36039999999997</v>
      </c>
      <c r="L13" s="46"/>
      <c r="M13" s="46">
        <f t="shared" si="3"/>
        <v>284004.00929999998</v>
      </c>
      <c r="N13" s="46"/>
      <c r="O13" s="46"/>
    </row>
    <row r="14" spans="1:15">
      <c r="A14" s="19">
        <v>11</v>
      </c>
      <c r="B14" s="19" t="s">
        <v>178</v>
      </c>
      <c r="C14" s="121" t="s">
        <v>230</v>
      </c>
      <c r="D14" s="121" t="s">
        <v>231</v>
      </c>
      <c r="E14" s="46">
        <v>154</v>
      </c>
      <c r="F14" s="46">
        <v>91.26</v>
      </c>
      <c r="G14" s="46">
        <f t="shared" si="0"/>
        <v>14054.04</v>
      </c>
      <c r="H14" s="46">
        <v>6</v>
      </c>
      <c r="I14" s="46">
        <v>103.18</v>
      </c>
      <c r="J14" s="46">
        <f t="shared" si="1"/>
        <v>619.08000000000004</v>
      </c>
      <c r="K14" s="46">
        <f t="shared" si="2"/>
        <v>14673.12</v>
      </c>
      <c r="L14" s="46"/>
      <c r="M14" s="46">
        <f t="shared" si="3"/>
        <v>269330.88929999998</v>
      </c>
      <c r="N14" s="46"/>
      <c r="O14" s="46"/>
    </row>
    <row r="15" spans="1:15">
      <c r="A15" s="19">
        <v>12</v>
      </c>
      <c r="B15" s="19" t="s">
        <v>178</v>
      </c>
      <c r="C15" s="121" t="s">
        <v>240</v>
      </c>
      <c r="D15" s="121" t="s">
        <v>235</v>
      </c>
      <c r="E15" s="46">
        <v>31.35</v>
      </c>
      <c r="F15" s="46">
        <v>95.7</v>
      </c>
      <c r="G15" s="46">
        <f t="shared" si="0"/>
        <v>3000.1950000000002</v>
      </c>
      <c r="H15" s="46">
        <v>0</v>
      </c>
      <c r="I15" s="46">
        <v>0</v>
      </c>
      <c r="J15" s="46">
        <f t="shared" si="1"/>
        <v>0</v>
      </c>
      <c r="K15" s="46">
        <f t="shared" si="2"/>
        <v>3000.1950000000002</v>
      </c>
      <c r="L15" s="46"/>
      <c r="M15" s="46">
        <f t="shared" si="3"/>
        <v>266330.69429999997</v>
      </c>
      <c r="N15" s="46"/>
      <c r="O15" s="46"/>
    </row>
    <row r="16" spans="1:15">
      <c r="A16" s="19">
        <v>13</v>
      </c>
      <c r="B16" s="19" t="s">
        <v>178</v>
      </c>
      <c r="C16" s="294" t="s">
        <v>236</v>
      </c>
      <c r="D16" s="294" t="s">
        <v>237</v>
      </c>
      <c r="E16" s="46">
        <v>5</v>
      </c>
      <c r="F16" s="46">
        <v>90.88</v>
      </c>
      <c r="G16" s="46">
        <f t="shared" si="0"/>
        <v>454.4</v>
      </c>
      <c r="H16" s="46">
        <v>0</v>
      </c>
      <c r="I16" s="46">
        <v>0</v>
      </c>
      <c r="J16" s="46">
        <f t="shared" si="1"/>
        <v>0</v>
      </c>
      <c r="K16" s="46">
        <f t="shared" si="2"/>
        <v>454.4</v>
      </c>
      <c r="L16" s="46"/>
      <c r="M16" s="46">
        <f t="shared" si="3"/>
        <v>265876.29429999995</v>
      </c>
      <c r="N16" s="46"/>
      <c r="O16" s="46"/>
    </row>
    <row r="17" spans="1:15">
      <c r="A17" s="19">
        <v>14</v>
      </c>
      <c r="B17" s="19" t="s">
        <v>115</v>
      </c>
      <c r="C17" s="113" t="s">
        <v>241</v>
      </c>
      <c r="D17" s="113" t="s">
        <v>231</v>
      </c>
      <c r="E17" s="324">
        <v>25.01</v>
      </c>
      <c r="F17" s="46">
        <v>91.41</v>
      </c>
      <c r="G17" s="46">
        <f t="shared" si="0"/>
        <v>2286.1641</v>
      </c>
      <c r="H17" s="46">
        <v>0</v>
      </c>
      <c r="I17" s="46">
        <v>0</v>
      </c>
      <c r="J17" s="46">
        <f t="shared" si="1"/>
        <v>0</v>
      </c>
      <c r="K17" s="46">
        <f t="shared" si="2"/>
        <v>2286.1641</v>
      </c>
      <c r="L17" s="46"/>
      <c r="M17" s="46">
        <f t="shared" si="3"/>
        <v>263590.13019999996</v>
      </c>
      <c r="N17" s="46"/>
      <c r="O17" s="46"/>
    </row>
    <row r="18" spans="1:15">
      <c r="A18" s="110">
        <v>15</v>
      </c>
      <c r="B18" s="19" t="s">
        <v>115</v>
      </c>
      <c r="C18" s="294" t="s">
        <v>236</v>
      </c>
      <c r="D18" s="294" t="s">
        <v>237</v>
      </c>
      <c r="E18" s="46">
        <v>30.91</v>
      </c>
      <c r="F18" s="46">
        <v>90.88</v>
      </c>
      <c r="G18" s="46">
        <f t="shared" si="0"/>
        <v>2809.1007999999997</v>
      </c>
      <c r="H18" s="46">
        <v>0</v>
      </c>
      <c r="I18" s="46">
        <v>0</v>
      </c>
      <c r="J18" s="46">
        <f t="shared" si="1"/>
        <v>0</v>
      </c>
      <c r="K18" s="46">
        <f t="shared" si="2"/>
        <v>2809.1007999999997</v>
      </c>
      <c r="L18" s="46"/>
      <c r="M18" s="270">
        <f t="shared" si="3"/>
        <v>260781.02939999997</v>
      </c>
      <c r="N18" s="270"/>
      <c r="O18" s="270"/>
    </row>
    <row r="19" spans="1:15">
      <c r="A19" s="19">
        <v>16</v>
      </c>
      <c r="B19" s="19" t="s">
        <v>116</v>
      </c>
      <c r="C19" s="121" t="s">
        <v>230</v>
      </c>
      <c r="D19" s="121" t="s">
        <v>231</v>
      </c>
      <c r="E19" s="46">
        <v>314.99</v>
      </c>
      <c r="F19" s="46">
        <v>91.26</v>
      </c>
      <c r="G19" s="46">
        <f t="shared" si="0"/>
        <v>28745.987400000002</v>
      </c>
      <c r="H19" s="46">
        <v>4.8499999999999996</v>
      </c>
      <c r="I19" s="46">
        <v>103.18</v>
      </c>
      <c r="J19" s="46">
        <f t="shared" si="1"/>
        <v>500.423</v>
      </c>
      <c r="K19" s="46">
        <f t="shared" si="2"/>
        <v>29246.410400000001</v>
      </c>
      <c r="L19" s="46"/>
      <c r="M19" s="46">
        <f t="shared" si="3"/>
        <v>231534.61899999998</v>
      </c>
      <c r="N19" s="46"/>
      <c r="O19" s="46"/>
    </row>
    <row r="20" spans="1:15">
      <c r="A20" s="19">
        <v>17</v>
      </c>
      <c r="B20" s="19" t="s">
        <v>116</v>
      </c>
      <c r="C20" s="294" t="s">
        <v>236</v>
      </c>
      <c r="D20" s="294" t="s">
        <v>237</v>
      </c>
      <c r="E20" s="46">
        <v>30</v>
      </c>
      <c r="F20" s="46">
        <v>90.88</v>
      </c>
      <c r="G20" s="46">
        <f t="shared" si="0"/>
        <v>2726.3999999999996</v>
      </c>
      <c r="H20" s="46">
        <v>5</v>
      </c>
      <c r="I20" s="46">
        <v>102.77</v>
      </c>
      <c r="J20" s="46">
        <f t="shared" si="1"/>
        <v>513.85</v>
      </c>
      <c r="K20" s="46">
        <f t="shared" si="2"/>
        <v>3240.2499999999995</v>
      </c>
      <c r="L20" s="46"/>
      <c r="M20" s="46">
        <f t="shared" si="3"/>
        <v>228294.36899999998</v>
      </c>
      <c r="N20" s="46"/>
      <c r="O20" s="46"/>
    </row>
    <row r="21" spans="1:15">
      <c r="A21" s="110">
        <v>18</v>
      </c>
      <c r="B21" s="110" t="s">
        <v>117</v>
      </c>
      <c r="C21" s="110" t="s">
        <v>242</v>
      </c>
      <c r="D21" s="110" t="s">
        <v>243</v>
      </c>
      <c r="E21" s="46">
        <v>0</v>
      </c>
      <c r="F21" s="46">
        <v>0</v>
      </c>
      <c r="G21" s="46">
        <f t="shared" si="0"/>
        <v>0</v>
      </c>
      <c r="H21" s="46">
        <v>4.28</v>
      </c>
      <c r="I21" s="46">
        <v>107.46</v>
      </c>
      <c r="J21" s="46">
        <f t="shared" si="1"/>
        <v>459.92880000000002</v>
      </c>
      <c r="K21" s="46">
        <f t="shared" si="2"/>
        <v>459.92880000000002</v>
      </c>
      <c r="L21" s="46"/>
      <c r="M21" s="270">
        <f t="shared" si="3"/>
        <v>227834.44019999998</v>
      </c>
      <c r="N21" s="270"/>
      <c r="O21" s="270"/>
    </row>
    <row r="22" spans="1:15">
      <c r="A22" s="19">
        <v>19</v>
      </c>
      <c r="B22" s="110" t="s">
        <v>117</v>
      </c>
      <c r="C22" s="121" t="s">
        <v>230</v>
      </c>
      <c r="D22" s="121" t="s">
        <v>231</v>
      </c>
      <c r="E22" s="46">
        <v>190</v>
      </c>
      <c r="F22" s="46">
        <v>91.26</v>
      </c>
      <c r="G22" s="46">
        <f t="shared" si="0"/>
        <v>17339.400000000001</v>
      </c>
      <c r="H22" s="46">
        <v>0</v>
      </c>
      <c r="I22" s="46">
        <v>0</v>
      </c>
      <c r="J22" s="46">
        <f t="shared" si="1"/>
        <v>0</v>
      </c>
      <c r="K22" s="46">
        <f t="shared" si="2"/>
        <v>17339.400000000001</v>
      </c>
      <c r="L22" s="46"/>
      <c r="M22" s="46">
        <f t="shared" si="3"/>
        <v>210495.04019999999</v>
      </c>
      <c r="N22" s="46"/>
      <c r="O22" s="46"/>
    </row>
    <row r="23" spans="1:15">
      <c r="A23" s="110">
        <v>20</v>
      </c>
      <c r="B23" s="110" t="s">
        <v>117</v>
      </c>
      <c r="C23" s="294" t="s">
        <v>236</v>
      </c>
      <c r="D23" s="294" t="s">
        <v>237</v>
      </c>
      <c r="E23" s="46">
        <v>20</v>
      </c>
      <c r="F23" s="46">
        <v>90.88</v>
      </c>
      <c r="G23" s="46">
        <f t="shared" si="0"/>
        <v>1817.6</v>
      </c>
      <c r="H23" s="46">
        <v>0</v>
      </c>
      <c r="I23" s="46">
        <v>0</v>
      </c>
      <c r="J23" s="46">
        <f t="shared" si="1"/>
        <v>0</v>
      </c>
      <c r="K23" s="46">
        <f t="shared" si="2"/>
        <v>1817.6</v>
      </c>
      <c r="L23" s="46"/>
      <c r="M23" s="270">
        <f t="shared" si="3"/>
        <v>208677.44019999998</v>
      </c>
      <c r="N23" s="270"/>
      <c r="O23" s="270"/>
    </row>
    <row r="24" spans="1:15">
      <c r="A24" s="19">
        <v>21</v>
      </c>
      <c r="B24" s="19" t="s">
        <v>118</v>
      </c>
      <c r="C24" s="121" t="s">
        <v>230</v>
      </c>
      <c r="D24" s="121" t="s">
        <v>231</v>
      </c>
      <c r="E24" s="46">
        <v>390.3</v>
      </c>
      <c r="F24" s="46">
        <v>91.26</v>
      </c>
      <c r="G24" s="46">
        <f t="shared" si="0"/>
        <v>35618.778000000006</v>
      </c>
      <c r="H24" s="46">
        <v>17.04</v>
      </c>
      <c r="I24" s="46">
        <v>103.18</v>
      </c>
      <c r="J24" s="46">
        <f t="shared" si="1"/>
        <v>1758.1872000000001</v>
      </c>
      <c r="K24" s="46">
        <f t="shared" si="2"/>
        <v>37376.965200000006</v>
      </c>
      <c r="L24" s="46"/>
      <c r="M24" s="46">
        <f t="shared" si="3"/>
        <v>171300.47499999998</v>
      </c>
      <c r="N24" s="46"/>
      <c r="O24" s="46"/>
    </row>
    <row r="25" spans="1:15">
      <c r="A25" s="19">
        <v>22</v>
      </c>
      <c r="B25" s="19" t="s">
        <v>118</v>
      </c>
      <c r="C25" s="294" t="s">
        <v>236</v>
      </c>
      <c r="D25" s="294" t="s">
        <v>237</v>
      </c>
      <c r="E25" s="46">
        <v>10</v>
      </c>
      <c r="F25" s="46">
        <v>90.88</v>
      </c>
      <c r="G25" s="46">
        <f t="shared" si="0"/>
        <v>908.8</v>
      </c>
      <c r="H25" s="46">
        <v>0</v>
      </c>
      <c r="I25" s="46">
        <v>0</v>
      </c>
      <c r="J25" s="46">
        <f t="shared" si="1"/>
        <v>0</v>
      </c>
      <c r="K25" s="46">
        <f t="shared" si="2"/>
        <v>908.8</v>
      </c>
      <c r="L25" s="46"/>
      <c r="M25" s="46">
        <f t="shared" si="3"/>
        <v>170391.67499999999</v>
      </c>
      <c r="N25" s="46"/>
      <c r="O25" s="46"/>
    </row>
    <row r="26" spans="1:15">
      <c r="A26" s="19">
        <v>23</v>
      </c>
      <c r="B26" s="19" t="s">
        <v>118</v>
      </c>
      <c r="C26" s="121" t="s">
        <v>244</v>
      </c>
      <c r="D26" s="121" t="s">
        <v>245</v>
      </c>
      <c r="E26" s="46">
        <v>0</v>
      </c>
      <c r="F26" s="46">
        <v>0</v>
      </c>
      <c r="G26" s="46">
        <f t="shared" si="0"/>
        <v>0</v>
      </c>
      <c r="H26" s="46">
        <v>34.82</v>
      </c>
      <c r="I26" s="46">
        <v>103.73</v>
      </c>
      <c r="J26" s="46">
        <f t="shared" si="1"/>
        <v>3611.8786</v>
      </c>
      <c r="K26" s="46">
        <f t="shared" si="2"/>
        <v>3611.8786</v>
      </c>
      <c r="L26" s="46"/>
      <c r="M26" s="46">
        <f t="shared" si="3"/>
        <v>166779.79639999999</v>
      </c>
      <c r="N26" s="46"/>
      <c r="O26" s="46"/>
    </row>
    <row r="27" spans="1:15">
      <c r="A27" s="19">
        <v>24</v>
      </c>
      <c r="B27" s="19" t="s">
        <v>119</v>
      </c>
      <c r="C27" s="294" t="s">
        <v>230</v>
      </c>
      <c r="D27" s="294" t="s">
        <v>231</v>
      </c>
      <c r="E27" s="46">
        <v>361.77</v>
      </c>
      <c r="F27" s="46">
        <v>91.26</v>
      </c>
      <c r="G27" s="46">
        <f t="shared" si="0"/>
        <v>33015.1302</v>
      </c>
      <c r="H27" s="46">
        <v>0</v>
      </c>
      <c r="I27" s="46">
        <v>0</v>
      </c>
      <c r="J27" s="46">
        <f t="shared" si="1"/>
        <v>0</v>
      </c>
      <c r="K27" s="46">
        <f t="shared" si="2"/>
        <v>33015.1302</v>
      </c>
      <c r="L27" s="46"/>
      <c r="M27" s="46">
        <f t="shared" si="3"/>
        <v>133764.66619999998</v>
      </c>
      <c r="N27" s="46"/>
      <c r="O27" s="46"/>
    </row>
    <row r="28" spans="1:15">
      <c r="A28" s="110">
        <v>25</v>
      </c>
      <c r="B28" s="113" t="s">
        <v>119</v>
      </c>
      <c r="C28" s="121" t="s">
        <v>236</v>
      </c>
      <c r="D28" s="121" t="s">
        <v>237</v>
      </c>
      <c r="E28" s="324">
        <v>25</v>
      </c>
      <c r="F28" s="46">
        <v>90.88</v>
      </c>
      <c r="G28" s="46">
        <f t="shared" si="0"/>
        <v>2272</v>
      </c>
      <c r="H28" s="46">
        <v>0</v>
      </c>
      <c r="I28" s="46">
        <v>0</v>
      </c>
      <c r="J28" s="46">
        <f t="shared" si="1"/>
        <v>0</v>
      </c>
      <c r="K28" s="46">
        <f t="shared" si="2"/>
        <v>2272</v>
      </c>
      <c r="L28" s="46"/>
      <c r="M28" s="270">
        <f t="shared" si="3"/>
        <v>131492.66619999998</v>
      </c>
      <c r="N28" s="270"/>
      <c r="O28" s="270"/>
    </row>
    <row r="29" spans="1:15" ht="14.25" customHeight="1">
      <c r="A29" s="19">
        <v>26</v>
      </c>
      <c r="B29" s="113" t="s">
        <v>119</v>
      </c>
      <c r="C29" s="313" t="s">
        <v>246</v>
      </c>
      <c r="D29" s="313" t="s">
        <v>245</v>
      </c>
      <c r="E29" s="324">
        <v>30</v>
      </c>
      <c r="F29" s="46">
        <v>91.78</v>
      </c>
      <c r="G29" s="46">
        <f t="shared" si="0"/>
        <v>2753.4</v>
      </c>
      <c r="H29" s="46">
        <v>0</v>
      </c>
      <c r="I29" s="46">
        <v>0</v>
      </c>
      <c r="J29" s="46">
        <f t="shared" si="1"/>
        <v>0</v>
      </c>
      <c r="K29" s="46">
        <f t="shared" si="2"/>
        <v>2753.4</v>
      </c>
      <c r="L29" s="46"/>
      <c r="M29" s="46">
        <f t="shared" si="3"/>
        <v>128739.26619999998</v>
      </c>
      <c r="N29" s="46"/>
      <c r="O29" s="46"/>
    </row>
    <row r="30" spans="1:15">
      <c r="A30" s="19">
        <v>27</v>
      </c>
      <c r="B30" s="113" t="s">
        <v>119</v>
      </c>
      <c r="C30" s="313" t="s">
        <v>247</v>
      </c>
      <c r="D30" s="313" t="s">
        <v>245</v>
      </c>
      <c r="E30" s="324">
        <v>70</v>
      </c>
      <c r="F30" s="46">
        <v>91.56</v>
      </c>
      <c r="G30" s="46">
        <f t="shared" si="0"/>
        <v>6409.2</v>
      </c>
      <c r="H30" s="46">
        <v>0</v>
      </c>
      <c r="I30" s="46">
        <v>0</v>
      </c>
      <c r="J30" s="46">
        <f t="shared" si="1"/>
        <v>0</v>
      </c>
      <c r="K30" s="46">
        <f t="shared" si="2"/>
        <v>6409.2</v>
      </c>
      <c r="L30" s="46"/>
      <c r="M30" s="46">
        <f t="shared" si="3"/>
        <v>122330.06619999999</v>
      </c>
      <c r="N30" s="46"/>
      <c r="O30" s="46"/>
    </row>
    <row r="31" spans="1:15">
      <c r="A31" s="19">
        <v>28</v>
      </c>
      <c r="B31" s="19" t="s">
        <v>120</v>
      </c>
      <c r="C31" s="158" t="s">
        <v>248</v>
      </c>
      <c r="D31" s="158" t="s">
        <v>239</v>
      </c>
      <c r="E31" s="46">
        <v>0</v>
      </c>
      <c r="F31" s="46">
        <v>0</v>
      </c>
      <c r="G31" s="46">
        <f t="shared" si="0"/>
        <v>0</v>
      </c>
      <c r="H31" s="46">
        <v>4.55</v>
      </c>
      <c r="I31" s="46">
        <v>107.46</v>
      </c>
      <c r="J31" s="46">
        <f t="shared" si="1"/>
        <v>488.94299999999993</v>
      </c>
      <c r="K31" s="46">
        <f t="shared" si="2"/>
        <v>488.94299999999993</v>
      </c>
      <c r="L31" s="46"/>
      <c r="M31" s="46">
        <f>M30+L31-K31</f>
        <v>121841.12319999999</v>
      </c>
      <c r="N31" s="46"/>
      <c r="O31" s="46"/>
    </row>
    <row r="32" spans="1:15">
      <c r="A32" s="19">
        <v>29</v>
      </c>
      <c r="B32" s="19" t="s">
        <v>120</v>
      </c>
      <c r="C32" s="294" t="s">
        <v>230</v>
      </c>
      <c r="D32" s="294" t="s">
        <v>231</v>
      </c>
      <c r="E32" s="46">
        <v>394.99</v>
      </c>
      <c r="F32" s="46">
        <v>91.26</v>
      </c>
      <c r="G32" s="46">
        <f t="shared" si="0"/>
        <v>36046.787400000001</v>
      </c>
      <c r="H32" s="46">
        <v>0</v>
      </c>
      <c r="I32" s="46">
        <v>0</v>
      </c>
      <c r="J32" s="46">
        <f t="shared" si="1"/>
        <v>0</v>
      </c>
      <c r="K32" s="46">
        <f t="shared" si="2"/>
        <v>36046.787400000001</v>
      </c>
      <c r="L32" s="46"/>
      <c r="M32" s="46">
        <f t="shared" si="3"/>
        <v>85794.335799999986</v>
      </c>
      <c r="N32" s="46"/>
      <c r="O32" s="46"/>
    </row>
    <row r="33" spans="1:15">
      <c r="A33" s="110">
        <v>30</v>
      </c>
      <c r="B33" s="19" t="s">
        <v>120</v>
      </c>
      <c r="C33" s="294" t="s">
        <v>236</v>
      </c>
      <c r="D33" s="294" t="s">
        <v>237</v>
      </c>
      <c r="E33" s="46">
        <v>40</v>
      </c>
      <c r="F33" s="46">
        <v>90.88</v>
      </c>
      <c r="G33" s="46">
        <f t="shared" si="0"/>
        <v>3635.2</v>
      </c>
      <c r="H33" s="46">
        <v>0</v>
      </c>
      <c r="I33" s="46">
        <v>0</v>
      </c>
      <c r="J33" s="46">
        <f t="shared" si="1"/>
        <v>0</v>
      </c>
      <c r="K33" s="46">
        <f t="shared" si="2"/>
        <v>3635.2</v>
      </c>
      <c r="L33" s="46"/>
      <c r="M33" s="270">
        <f t="shared" si="3"/>
        <v>82159.135799999989</v>
      </c>
      <c r="N33" s="270"/>
      <c r="O33" s="270"/>
    </row>
    <row r="34" spans="1:15">
      <c r="A34" s="19">
        <v>31</v>
      </c>
      <c r="B34" s="19" t="s">
        <v>120</v>
      </c>
      <c r="C34" s="19" t="s">
        <v>249</v>
      </c>
      <c r="D34" s="19" t="s">
        <v>245</v>
      </c>
      <c r="E34" s="46">
        <v>50</v>
      </c>
      <c r="F34" s="46">
        <v>91.78</v>
      </c>
      <c r="G34" s="46">
        <f t="shared" si="0"/>
        <v>4589</v>
      </c>
      <c r="H34" s="46">
        <v>5</v>
      </c>
      <c r="I34" s="46">
        <v>103.73</v>
      </c>
      <c r="J34" s="46">
        <f t="shared" si="1"/>
        <v>518.65</v>
      </c>
      <c r="K34" s="46">
        <f t="shared" si="2"/>
        <v>5107.6499999999996</v>
      </c>
      <c r="L34" s="46"/>
      <c r="M34" s="46">
        <f t="shared" si="3"/>
        <v>77051.485799999995</v>
      </c>
      <c r="N34" s="46"/>
      <c r="O34" s="46"/>
    </row>
    <row r="35" spans="1:15">
      <c r="A35" s="19">
        <v>32</v>
      </c>
      <c r="B35" s="19" t="s">
        <v>120</v>
      </c>
      <c r="C35" s="19" t="s">
        <v>250</v>
      </c>
      <c r="D35" s="19" t="s">
        <v>235</v>
      </c>
      <c r="E35" s="46">
        <v>31.35</v>
      </c>
      <c r="F35" s="46">
        <v>95.7</v>
      </c>
      <c r="G35" s="46">
        <f t="shared" si="0"/>
        <v>3000.1950000000002</v>
      </c>
      <c r="H35" s="46">
        <v>0</v>
      </c>
      <c r="I35" s="46">
        <v>0</v>
      </c>
      <c r="J35" s="46">
        <f t="shared" si="1"/>
        <v>0</v>
      </c>
      <c r="K35" s="46">
        <f t="shared" si="2"/>
        <v>3000.1950000000002</v>
      </c>
      <c r="L35" s="46"/>
      <c r="M35" s="46">
        <f t="shared" si="3"/>
        <v>74051.290799999988</v>
      </c>
      <c r="N35" s="46"/>
      <c r="O35" s="46"/>
    </row>
    <row r="36" spans="1:15">
      <c r="A36" s="19">
        <v>33</v>
      </c>
      <c r="B36" s="19" t="s">
        <v>121</v>
      </c>
      <c r="C36" s="294" t="s">
        <v>230</v>
      </c>
      <c r="D36" s="294" t="s">
        <v>231</v>
      </c>
      <c r="E36" s="46">
        <v>351.98</v>
      </c>
      <c r="F36" s="46">
        <v>91.26</v>
      </c>
      <c r="G36" s="46">
        <f t="shared" si="0"/>
        <v>32121.694800000005</v>
      </c>
      <c r="H36" s="46">
        <v>0</v>
      </c>
      <c r="I36" s="46">
        <v>0</v>
      </c>
      <c r="J36" s="46">
        <f t="shared" si="1"/>
        <v>0</v>
      </c>
      <c r="K36" s="46">
        <f t="shared" si="2"/>
        <v>32121.694800000005</v>
      </c>
      <c r="L36" s="46"/>
      <c r="M36" s="46">
        <f t="shared" si="3"/>
        <v>41929.595999999983</v>
      </c>
      <c r="N36" s="46"/>
      <c r="O36" s="46"/>
    </row>
    <row r="37" spans="1:15">
      <c r="A37" s="19">
        <v>34</v>
      </c>
      <c r="B37" s="19" t="s">
        <v>121</v>
      </c>
      <c r="C37" s="294" t="s">
        <v>236</v>
      </c>
      <c r="D37" s="294" t="s">
        <v>237</v>
      </c>
      <c r="E37" s="46">
        <v>30</v>
      </c>
      <c r="F37" s="46">
        <v>90.88</v>
      </c>
      <c r="G37" s="46">
        <f t="shared" si="0"/>
        <v>2726.3999999999996</v>
      </c>
      <c r="H37" s="46">
        <v>0</v>
      </c>
      <c r="I37" s="46">
        <v>0</v>
      </c>
      <c r="J37" s="46">
        <f t="shared" si="1"/>
        <v>0</v>
      </c>
      <c r="K37" s="46">
        <f t="shared" si="2"/>
        <v>2726.3999999999996</v>
      </c>
      <c r="L37" s="46"/>
      <c r="M37" s="46">
        <f t="shared" si="3"/>
        <v>39203.195999999982</v>
      </c>
      <c r="N37" s="46"/>
      <c r="O37" s="46"/>
    </row>
    <row r="38" spans="1:15">
      <c r="A38" s="19">
        <v>35</v>
      </c>
      <c r="B38" s="19" t="s">
        <v>122</v>
      </c>
      <c r="C38" s="294" t="s">
        <v>230</v>
      </c>
      <c r="D38" s="294" t="s">
        <v>231</v>
      </c>
      <c r="E38" s="46">
        <v>64.989999999999995</v>
      </c>
      <c r="F38" s="46">
        <v>91.26</v>
      </c>
      <c r="G38" s="46">
        <f t="shared" si="0"/>
        <v>5930.9874</v>
      </c>
      <c r="H38" s="46">
        <v>0</v>
      </c>
      <c r="I38" s="46">
        <v>0</v>
      </c>
      <c r="J38" s="46">
        <f t="shared" si="1"/>
        <v>0</v>
      </c>
      <c r="K38" s="46">
        <f t="shared" si="2"/>
        <v>5930.9874</v>
      </c>
      <c r="L38" s="46"/>
      <c r="M38" s="46">
        <f t="shared" si="3"/>
        <v>33272.208599999984</v>
      </c>
      <c r="N38" s="46"/>
      <c r="O38" s="46"/>
    </row>
    <row r="39" spans="1:15">
      <c r="A39" s="110">
        <v>36</v>
      </c>
      <c r="B39" s="19" t="s">
        <v>122</v>
      </c>
      <c r="C39" s="294" t="s">
        <v>236</v>
      </c>
      <c r="D39" s="294" t="s">
        <v>237</v>
      </c>
      <c r="E39" s="46">
        <v>21.16</v>
      </c>
      <c r="F39" s="46">
        <v>90.88</v>
      </c>
      <c r="G39" s="46">
        <f t="shared" si="0"/>
        <v>1923.0208</v>
      </c>
      <c r="H39" s="46">
        <v>0</v>
      </c>
      <c r="I39" s="46">
        <v>0</v>
      </c>
      <c r="J39" s="46">
        <f t="shared" si="1"/>
        <v>0</v>
      </c>
      <c r="K39" s="46">
        <f t="shared" si="2"/>
        <v>1923.0208</v>
      </c>
      <c r="L39" s="46"/>
      <c r="M39" s="270">
        <f t="shared" si="3"/>
        <v>31349.187799999985</v>
      </c>
      <c r="N39" s="270"/>
      <c r="O39" s="270"/>
    </row>
    <row r="40" spans="1:15">
      <c r="A40" s="110">
        <v>37</v>
      </c>
      <c r="B40" s="110" t="s">
        <v>123</v>
      </c>
      <c r="C40" s="294" t="s">
        <v>230</v>
      </c>
      <c r="D40" s="294" t="s">
        <v>231</v>
      </c>
      <c r="E40" s="46">
        <v>324.99</v>
      </c>
      <c r="F40" s="46">
        <v>91.26</v>
      </c>
      <c r="G40" s="46">
        <f t="shared" si="0"/>
        <v>29658.587400000004</v>
      </c>
      <c r="H40" s="46">
        <v>10.94</v>
      </c>
      <c r="I40" s="46">
        <v>103.18</v>
      </c>
      <c r="J40" s="46">
        <f t="shared" si="1"/>
        <v>1128.7891999999999</v>
      </c>
      <c r="K40" s="46">
        <f t="shared" si="2"/>
        <v>30787.376600000003</v>
      </c>
      <c r="L40" s="46"/>
      <c r="M40" s="270">
        <f t="shared" si="3"/>
        <v>561.81119999998191</v>
      </c>
      <c r="N40" s="270"/>
      <c r="O40" s="270"/>
    </row>
    <row r="41" spans="1:15">
      <c r="A41" s="110">
        <v>40</v>
      </c>
      <c r="B41" s="110" t="s">
        <v>124</v>
      </c>
      <c r="C41" s="294" t="s">
        <v>251</v>
      </c>
      <c r="D41" s="294" t="s">
        <v>252</v>
      </c>
      <c r="E41" s="46">
        <v>10972.12</v>
      </c>
      <c r="F41" s="46">
        <v>91.14</v>
      </c>
      <c r="G41" s="46">
        <f t="shared" si="0"/>
        <v>999999.0168000001</v>
      </c>
      <c r="H41" s="46">
        <v>0</v>
      </c>
      <c r="I41" s="46">
        <v>0</v>
      </c>
      <c r="J41" s="46">
        <f t="shared" si="1"/>
        <v>0</v>
      </c>
      <c r="K41" s="46">
        <f t="shared" si="2"/>
        <v>999999.0168000001</v>
      </c>
      <c r="L41" s="46">
        <v>1350000</v>
      </c>
      <c r="M41" s="270">
        <f t="shared" si="3"/>
        <v>350562.79439999978</v>
      </c>
      <c r="N41" s="270"/>
      <c r="O41" s="270"/>
    </row>
    <row r="42" spans="1:15">
      <c r="A42" s="110">
        <v>41</v>
      </c>
      <c r="B42" s="110" t="s">
        <v>124</v>
      </c>
      <c r="C42" s="110" t="s">
        <v>242</v>
      </c>
      <c r="D42" s="294" t="s">
        <v>239</v>
      </c>
      <c r="E42" s="46">
        <v>0</v>
      </c>
      <c r="F42" s="46">
        <v>0</v>
      </c>
      <c r="G42" s="46">
        <f t="shared" si="0"/>
        <v>0</v>
      </c>
      <c r="H42" s="46">
        <v>4.09</v>
      </c>
      <c r="I42" s="46">
        <v>107.46</v>
      </c>
      <c r="J42" s="46">
        <f t="shared" si="1"/>
        <v>439.51139999999998</v>
      </c>
      <c r="K42" s="46">
        <f t="shared" si="2"/>
        <v>439.51139999999998</v>
      </c>
      <c r="L42" s="46">
        <v>35511</v>
      </c>
      <c r="M42" s="270">
        <f t="shared" si="3"/>
        <v>385634.28299999976</v>
      </c>
      <c r="N42" s="270"/>
      <c r="O42" s="270"/>
    </row>
    <row r="43" spans="1:15">
      <c r="A43" s="19">
        <v>42</v>
      </c>
      <c r="B43" s="110" t="s">
        <v>124</v>
      </c>
      <c r="C43" s="344" t="s">
        <v>230</v>
      </c>
      <c r="D43" s="121" t="s">
        <v>231</v>
      </c>
      <c r="E43" s="324">
        <v>454.98</v>
      </c>
      <c r="F43" s="46">
        <v>91.26</v>
      </c>
      <c r="G43" s="46">
        <f t="shared" si="0"/>
        <v>41521.474800000004</v>
      </c>
      <c r="H43" s="46">
        <v>5.03</v>
      </c>
      <c r="I43" s="46">
        <v>103.18</v>
      </c>
      <c r="J43" s="46">
        <f t="shared" si="1"/>
        <v>518.99540000000002</v>
      </c>
      <c r="K43" s="46">
        <f t="shared" si="2"/>
        <v>42040.470200000003</v>
      </c>
      <c r="L43" s="46"/>
      <c r="M43" s="46">
        <f t="shared" si="3"/>
        <v>343593.81279999978</v>
      </c>
      <c r="N43" s="46"/>
      <c r="O43" s="46"/>
    </row>
    <row r="44" spans="1:15">
      <c r="A44" s="19">
        <v>43</v>
      </c>
      <c r="B44" s="110" t="s">
        <v>124</v>
      </c>
      <c r="C44" s="344" t="s">
        <v>236</v>
      </c>
      <c r="D44" s="121" t="s">
        <v>237</v>
      </c>
      <c r="E44" s="324">
        <v>115</v>
      </c>
      <c r="F44" s="46">
        <v>90.88</v>
      </c>
      <c r="G44" s="46">
        <f t="shared" si="0"/>
        <v>10451.199999999999</v>
      </c>
      <c r="H44" s="46">
        <v>0</v>
      </c>
      <c r="I44" s="46">
        <v>0</v>
      </c>
      <c r="J44" s="46">
        <f t="shared" si="1"/>
        <v>0</v>
      </c>
      <c r="K44" s="46">
        <f t="shared" si="2"/>
        <v>10451.199999999999</v>
      </c>
      <c r="L44" s="46"/>
      <c r="M44" s="46">
        <f t="shared" si="3"/>
        <v>333142.61279999977</v>
      </c>
      <c r="N44" s="46"/>
      <c r="O44" s="46"/>
    </row>
    <row r="45" spans="1:15">
      <c r="A45" s="19">
        <v>44</v>
      </c>
      <c r="B45" s="110" t="s">
        <v>124</v>
      </c>
      <c r="C45" s="345" t="s">
        <v>240</v>
      </c>
      <c r="D45" s="121" t="s">
        <v>235</v>
      </c>
      <c r="E45" s="324">
        <v>31.35</v>
      </c>
      <c r="F45" s="46">
        <v>95.7</v>
      </c>
      <c r="G45" s="46">
        <f t="shared" si="0"/>
        <v>3000.1950000000002</v>
      </c>
      <c r="H45" s="46">
        <v>0</v>
      </c>
      <c r="I45" s="46">
        <v>0</v>
      </c>
      <c r="J45" s="46">
        <f t="shared" si="1"/>
        <v>0</v>
      </c>
      <c r="K45" s="46">
        <f t="shared" si="2"/>
        <v>3000.1950000000002</v>
      </c>
      <c r="L45" s="46"/>
      <c r="M45" s="46">
        <f t="shared" si="3"/>
        <v>330142.41779999976</v>
      </c>
      <c r="N45" s="46"/>
      <c r="O45" s="46"/>
    </row>
    <row r="46" spans="1:15">
      <c r="A46" s="19">
        <v>45</v>
      </c>
      <c r="B46" s="19" t="s">
        <v>125</v>
      </c>
      <c r="C46" s="344" t="s">
        <v>236</v>
      </c>
      <c r="D46" s="121" t="s">
        <v>237</v>
      </c>
      <c r="E46" s="324">
        <v>20</v>
      </c>
      <c r="F46" s="46">
        <v>90.88</v>
      </c>
      <c r="G46" s="46">
        <f t="shared" si="0"/>
        <v>1817.6</v>
      </c>
      <c r="H46" s="46">
        <v>0</v>
      </c>
      <c r="I46" s="46">
        <v>0</v>
      </c>
      <c r="J46" s="46">
        <f t="shared" si="1"/>
        <v>0</v>
      </c>
      <c r="K46" s="46">
        <f t="shared" si="2"/>
        <v>1817.6</v>
      </c>
      <c r="L46" s="46"/>
      <c r="M46" s="46">
        <f t="shared" si="3"/>
        <v>328324.81779999979</v>
      </c>
      <c r="N46" s="46"/>
      <c r="O46" s="46"/>
    </row>
    <row r="47" spans="1:15">
      <c r="A47" s="110">
        <v>46</v>
      </c>
      <c r="B47" s="19" t="s">
        <v>125</v>
      </c>
      <c r="C47" s="345" t="s">
        <v>240</v>
      </c>
      <c r="D47" s="121" t="s">
        <v>235</v>
      </c>
      <c r="E47" s="324">
        <v>424.99</v>
      </c>
      <c r="F47" s="46">
        <v>91.26</v>
      </c>
      <c r="G47" s="46">
        <f t="shared" si="0"/>
        <v>38784.587400000004</v>
      </c>
      <c r="H47" s="46">
        <v>0</v>
      </c>
      <c r="I47" s="46">
        <v>0</v>
      </c>
      <c r="J47" s="46">
        <f t="shared" si="1"/>
        <v>0</v>
      </c>
      <c r="K47" s="46">
        <f t="shared" si="2"/>
        <v>38784.587400000004</v>
      </c>
      <c r="L47" s="46"/>
      <c r="M47" s="270">
        <f t="shared" si="3"/>
        <v>289540.23039999977</v>
      </c>
      <c r="N47" s="270"/>
      <c r="O47" s="270"/>
    </row>
    <row r="48" spans="1:15">
      <c r="A48" s="19">
        <v>47</v>
      </c>
      <c r="B48" s="19" t="s">
        <v>126</v>
      </c>
      <c r="C48" s="386" t="s">
        <v>248</v>
      </c>
      <c r="D48" s="19" t="s">
        <v>239</v>
      </c>
      <c r="E48" s="324">
        <v>53.34</v>
      </c>
      <c r="F48" s="46">
        <v>95.7</v>
      </c>
      <c r="G48" s="46">
        <f t="shared" si="0"/>
        <v>5104.6380000000008</v>
      </c>
      <c r="H48" s="46">
        <v>3.63</v>
      </c>
      <c r="I48" s="46">
        <v>107.46</v>
      </c>
      <c r="J48" s="46">
        <f t="shared" si="1"/>
        <v>390.07979999999998</v>
      </c>
      <c r="K48" s="46">
        <f t="shared" si="2"/>
        <v>5494.7178000000004</v>
      </c>
      <c r="L48" s="46"/>
      <c r="M48" s="46">
        <f t="shared" si="3"/>
        <v>284045.51259999978</v>
      </c>
      <c r="N48" s="46"/>
      <c r="O48" s="46"/>
    </row>
    <row r="49" spans="1:15">
      <c r="A49" s="110">
        <v>48</v>
      </c>
      <c r="B49" s="19" t="s">
        <v>126</v>
      </c>
      <c r="C49" s="344" t="s">
        <v>230</v>
      </c>
      <c r="D49" s="121" t="s">
        <v>231</v>
      </c>
      <c r="E49" s="324">
        <v>185</v>
      </c>
      <c r="F49" s="46">
        <v>91.26</v>
      </c>
      <c r="G49" s="46">
        <f t="shared" si="0"/>
        <v>16883.100000000002</v>
      </c>
      <c r="H49" s="46">
        <v>5</v>
      </c>
      <c r="I49" s="46">
        <v>103.18</v>
      </c>
      <c r="J49" s="46">
        <f t="shared" si="1"/>
        <v>515.90000000000009</v>
      </c>
      <c r="K49" s="46">
        <f t="shared" si="2"/>
        <v>17399.000000000004</v>
      </c>
      <c r="L49" s="46"/>
      <c r="M49" s="270">
        <f t="shared" si="3"/>
        <v>266646.51259999978</v>
      </c>
      <c r="N49" s="270"/>
      <c r="O49" s="270"/>
    </row>
    <row r="50" spans="1:15">
      <c r="A50" s="19">
        <v>49</v>
      </c>
      <c r="B50" s="19" t="s">
        <v>126</v>
      </c>
      <c r="C50" s="344" t="s">
        <v>236</v>
      </c>
      <c r="D50" s="121" t="s">
        <v>237</v>
      </c>
      <c r="E50" s="324">
        <v>20</v>
      </c>
      <c r="F50" s="46">
        <v>90.88</v>
      </c>
      <c r="G50" s="46">
        <f t="shared" si="0"/>
        <v>1817.6</v>
      </c>
      <c r="H50" s="46">
        <v>0</v>
      </c>
      <c r="I50" s="46">
        <v>0</v>
      </c>
      <c r="J50" s="46">
        <f t="shared" si="1"/>
        <v>0</v>
      </c>
      <c r="K50" s="46">
        <f t="shared" si="2"/>
        <v>1817.6</v>
      </c>
      <c r="L50" s="46"/>
      <c r="M50" s="46">
        <f t="shared" si="3"/>
        <v>264828.91259999981</v>
      </c>
      <c r="N50" s="46"/>
      <c r="O50" s="46"/>
    </row>
    <row r="51" spans="1:15">
      <c r="A51" s="19">
        <v>50</v>
      </c>
      <c r="B51" s="19" t="s">
        <v>210</v>
      </c>
      <c r="C51" s="350" t="s">
        <v>236</v>
      </c>
      <c r="D51" s="54" t="s">
        <v>237</v>
      </c>
      <c r="E51" s="324">
        <v>40</v>
      </c>
      <c r="F51" s="46">
        <v>90.88</v>
      </c>
      <c r="G51" s="46">
        <f t="shared" si="0"/>
        <v>3635.2</v>
      </c>
      <c r="H51" s="46">
        <v>5</v>
      </c>
      <c r="I51" s="46">
        <v>102.77</v>
      </c>
      <c r="J51" s="46">
        <f t="shared" si="1"/>
        <v>513.85</v>
      </c>
      <c r="K51" s="46">
        <f t="shared" si="2"/>
        <v>4149.05</v>
      </c>
      <c r="L51" s="46"/>
      <c r="M51" s="46">
        <f t="shared" si="3"/>
        <v>260679.86259999982</v>
      </c>
      <c r="N51" s="46"/>
      <c r="O51" s="46"/>
    </row>
    <row r="52" spans="1:15">
      <c r="A52" s="19">
        <v>51</v>
      </c>
      <c r="B52" s="19" t="s">
        <v>213</v>
      </c>
      <c r="C52" s="294" t="s">
        <v>230</v>
      </c>
      <c r="D52" s="385" t="s">
        <v>231</v>
      </c>
      <c r="E52" s="46">
        <v>985</v>
      </c>
      <c r="F52" s="46">
        <v>91.26</v>
      </c>
      <c r="G52" s="46">
        <f t="shared" si="0"/>
        <v>89891.1</v>
      </c>
      <c r="H52" s="46">
        <v>3.99</v>
      </c>
      <c r="I52" s="46">
        <v>103.18</v>
      </c>
      <c r="J52" s="46">
        <f t="shared" si="1"/>
        <v>411.68820000000005</v>
      </c>
      <c r="K52" s="46">
        <f t="shared" si="2"/>
        <v>90302.78820000001</v>
      </c>
      <c r="L52" s="46"/>
      <c r="M52" s="46">
        <f t="shared" si="3"/>
        <v>170377.07439999981</v>
      </c>
      <c r="N52" s="46"/>
      <c r="O52" s="46"/>
    </row>
    <row r="53" spans="1:15">
      <c r="A53" s="19">
        <v>52</v>
      </c>
      <c r="B53" s="19" t="s">
        <v>213</v>
      </c>
      <c r="C53" s="350" t="s">
        <v>236</v>
      </c>
      <c r="D53" s="350" t="s">
        <v>237</v>
      </c>
      <c r="E53" s="46">
        <v>0</v>
      </c>
      <c r="F53" s="46">
        <v>0</v>
      </c>
      <c r="G53" s="46">
        <f t="shared" si="0"/>
        <v>0</v>
      </c>
      <c r="H53" s="46">
        <v>10</v>
      </c>
      <c r="I53" s="46">
        <v>102.77</v>
      </c>
      <c r="J53" s="46">
        <f t="shared" si="1"/>
        <v>1027.7</v>
      </c>
      <c r="K53" s="46">
        <f t="shared" si="2"/>
        <v>1027.7</v>
      </c>
      <c r="L53" s="46"/>
      <c r="M53" s="46">
        <f t="shared" ref="M53:M57" si="4">M52+L53-K53</f>
        <v>169349.3743999998</v>
      </c>
      <c r="N53" s="19"/>
      <c r="O53" s="19"/>
    </row>
    <row r="54" spans="1:15">
      <c r="A54" s="19">
        <v>53</v>
      </c>
      <c r="B54" s="19" t="s">
        <v>127</v>
      </c>
      <c r="C54" s="350" t="s">
        <v>236</v>
      </c>
      <c r="D54" s="350" t="s">
        <v>237</v>
      </c>
      <c r="E54" s="46">
        <v>20</v>
      </c>
      <c r="F54" s="46">
        <v>90.88</v>
      </c>
      <c r="G54" s="46">
        <f t="shared" si="0"/>
        <v>1817.6</v>
      </c>
      <c r="H54" s="46">
        <v>0</v>
      </c>
      <c r="I54" s="46">
        <v>0</v>
      </c>
      <c r="J54" s="46">
        <f t="shared" si="1"/>
        <v>0</v>
      </c>
      <c r="K54" s="46">
        <f t="shared" si="2"/>
        <v>1817.6</v>
      </c>
      <c r="L54" s="46"/>
      <c r="M54" s="46">
        <f t="shared" si="4"/>
        <v>167531.77439999979</v>
      </c>
      <c r="N54" s="19"/>
      <c r="O54" s="19"/>
    </row>
    <row r="55" spans="1:15">
      <c r="A55" s="19">
        <v>54</v>
      </c>
      <c r="B55" s="19" t="s">
        <v>127</v>
      </c>
      <c r="C55" s="294" t="s">
        <v>230</v>
      </c>
      <c r="D55" s="294" t="s">
        <v>231</v>
      </c>
      <c r="E55" s="46">
        <v>592.22</v>
      </c>
      <c r="F55" s="46">
        <v>91.26</v>
      </c>
      <c r="G55" s="46">
        <f t="shared" si="0"/>
        <v>54045.997200000005</v>
      </c>
      <c r="H55" s="46">
        <v>5.82</v>
      </c>
      <c r="I55" s="46">
        <v>103.18</v>
      </c>
      <c r="J55" s="46">
        <f t="shared" si="1"/>
        <v>600.50760000000002</v>
      </c>
      <c r="K55" s="46">
        <f t="shared" si="2"/>
        <v>54646.504800000002</v>
      </c>
      <c r="L55" s="46"/>
      <c r="M55" s="46">
        <f t="shared" si="4"/>
        <v>112885.2695999998</v>
      </c>
      <c r="N55" s="19"/>
      <c r="O55" s="19"/>
    </row>
    <row r="56" spans="1:15">
      <c r="A56" s="19">
        <v>55</v>
      </c>
      <c r="B56" s="19" t="s">
        <v>214</v>
      </c>
      <c r="C56" s="294" t="s">
        <v>230</v>
      </c>
      <c r="D56" s="294" t="s">
        <v>231</v>
      </c>
      <c r="E56" s="46">
        <v>529.69000000000005</v>
      </c>
      <c r="F56" s="46">
        <v>91.26</v>
      </c>
      <c r="G56" s="46">
        <f t="shared" si="0"/>
        <v>48339.50940000001</v>
      </c>
      <c r="H56" s="46">
        <v>7.84</v>
      </c>
      <c r="I56" s="46">
        <v>103.18</v>
      </c>
      <c r="J56" s="46">
        <f t="shared" si="1"/>
        <v>808.93119999999999</v>
      </c>
      <c r="K56" s="46">
        <f t="shared" si="2"/>
        <v>49148.440600000009</v>
      </c>
      <c r="L56" s="46"/>
      <c r="M56" s="46">
        <f t="shared" si="4"/>
        <v>63736.828999999787</v>
      </c>
      <c r="N56" s="19"/>
      <c r="O56" s="19"/>
    </row>
    <row r="57" spans="1:15">
      <c r="A57" s="19">
        <v>56</v>
      </c>
      <c r="B57" s="19" t="s">
        <v>214</v>
      </c>
      <c r="C57" s="110" t="s">
        <v>236</v>
      </c>
      <c r="D57" s="110" t="s">
        <v>237</v>
      </c>
      <c r="E57" s="46">
        <v>50</v>
      </c>
      <c r="F57" s="46">
        <v>90.88</v>
      </c>
      <c r="G57" s="46">
        <f t="shared" si="0"/>
        <v>4544</v>
      </c>
      <c r="H57" s="46">
        <v>5</v>
      </c>
      <c r="I57" s="46">
        <v>102.77</v>
      </c>
      <c r="J57" s="46">
        <f t="shared" si="1"/>
        <v>513.85</v>
      </c>
      <c r="K57" s="46">
        <f t="shared" si="2"/>
        <v>5057.8500000000004</v>
      </c>
      <c r="L57" s="46"/>
      <c r="M57" s="270">
        <f t="shared" si="4"/>
        <v>58678.978999999788</v>
      </c>
      <c r="N57" s="110"/>
      <c r="O57" s="110"/>
    </row>
    <row r="58" spans="1:15">
      <c r="A58" s="113">
        <v>57</v>
      </c>
      <c r="B58" s="19" t="s">
        <v>214</v>
      </c>
      <c r="C58" s="19" t="s">
        <v>244</v>
      </c>
      <c r="D58" s="19" t="s">
        <v>245</v>
      </c>
      <c r="E58" s="46">
        <v>5</v>
      </c>
      <c r="F58" s="46">
        <v>91.78</v>
      </c>
      <c r="G58" s="46">
        <f t="shared" si="0"/>
        <v>458.9</v>
      </c>
      <c r="H58" s="46">
        <v>0</v>
      </c>
      <c r="I58" s="46">
        <v>0</v>
      </c>
      <c r="J58" s="46">
        <f t="shared" si="1"/>
        <v>0</v>
      </c>
      <c r="K58" s="46">
        <f t="shared" si="2"/>
        <v>458.9</v>
      </c>
      <c r="L58" s="46"/>
      <c r="M58" s="46">
        <f t="shared" ref="M58:M77" si="5">M57+L58-K58</f>
        <v>58220.078999999787</v>
      </c>
      <c r="N58" s="19"/>
      <c r="O58" s="19"/>
    </row>
    <row r="59" spans="1:15">
      <c r="A59" s="113">
        <v>58</v>
      </c>
      <c r="B59" s="19" t="s">
        <v>128</v>
      </c>
      <c r="C59" s="355" t="s">
        <v>253</v>
      </c>
      <c r="D59" s="355" t="s">
        <v>239</v>
      </c>
      <c r="E59" s="46">
        <v>0</v>
      </c>
      <c r="F59" s="46">
        <v>0</v>
      </c>
      <c r="G59" s="46">
        <f t="shared" si="0"/>
        <v>0</v>
      </c>
      <c r="H59" s="46">
        <v>4.5</v>
      </c>
      <c r="I59" s="46">
        <v>107.46</v>
      </c>
      <c r="J59" s="46">
        <f t="shared" si="1"/>
        <v>483.57</v>
      </c>
      <c r="K59" s="46">
        <f t="shared" si="2"/>
        <v>483.57</v>
      </c>
      <c r="L59" s="46"/>
      <c r="M59" s="46">
        <f t="shared" si="5"/>
        <v>57736.508999999787</v>
      </c>
      <c r="N59" s="19"/>
      <c r="O59" s="19"/>
    </row>
    <row r="60" spans="1:15">
      <c r="A60" s="113">
        <v>59</v>
      </c>
      <c r="B60" s="19" t="s">
        <v>128</v>
      </c>
      <c r="C60" s="294" t="s">
        <v>230</v>
      </c>
      <c r="D60" s="294" t="s">
        <v>231</v>
      </c>
      <c r="E60" s="46">
        <v>435.31</v>
      </c>
      <c r="F60" s="46">
        <v>91.26</v>
      </c>
      <c r="G60" s="46">
        <f t="shared" si="0"/>
        <v>39726.390599999999</v>
      </c>
      <c r="H60" s="46">
        <v>0</v>
      </c>
      <c r="I60" s="46">
        <v>0</v>
      </c>
      <c r="J60" s="46">
        <f t="shared" si="1"/>
        <v>0</v>
      </c>
      <c r="K60" s="46">
        <f t="shared" si="2"/>
        <v>39726.390599999999</v>
      </c>
      <c r="L60" s="46"/>
      <c r="M60" s="46">
        <f t="shared" si="5"/>
        <v>18010.118399999788</v>
      </c>
      <c r="N60" s="19"/>
      <c r="O60" s="19"/>
    </row>
    <row r="61" spans="1:15">
      <c r="A61" s="311">
        <v>60</v>
      </c>
      <c r="B61" s="19" t="s">
        <v>128</v>
      </c>
      <c r="C61" s="294" t="s">
        <v>236</v>
      </c>
      <c r="D61" s="294" t="s">
        <v>237</v>
      </c>
      <c r="E61" s="46">
        <v>60</v>
      </c>
      <c r="F61" s="46">
        <v>90.88</v>
      </c>
      <c r="G61" s="46">
        <f t="shared" si="0"/>
        <v>5452.7999999999993</v>
      </c>
      <c r="H61" s="46">
        <v>5</v>
      </c>
      <c r="I61" s="46">
        <v>102.77</v>
      </c>
      <c r="J61" s="46">
        <f t="shared" si="1"/>
        <v>513.85</v>
      </c>
      <c r="K61" s="46">
        <f t="shared" si="2"/>
        <v>5966.65</v>
      </c>
      <c r="L61" s="46"/>
      <c r="M61" s="270">
        <f t="shared" si="5"/>
        <v>12043.468399999789</v>
      </c>
      <c r="N61" s="110"/>
      <c r="O61" s="110"/>
    </row>
    <row r="62" spans="1:15">
      <c r="A62" s="19">
        <v>61</v>
      </c>
      <c r="B62" s="19" t="s">
        <v>128</v>
      </c>
      <c r="C62" s="312" t="s">
        <v>254</v>
      </c>
      <c r="D62" s="312" t="s">
        <v>235</v>
      </c>
      <c r="E62" s="46">
        <v>0</v>
      </c>
      <c r="F62" s="46">
        <v>0</v>
      </c>
      <c r="G62" s="46">
        <f t="shared" si="0"/>
        <v>0</v>
      </c>
      <c r="H62" s="46">
        <v>9.31</v>
      </c>
      <c r="I62" s="46">
        <v>107.46</v>
      </c>
      <c r="J62" s="46">
        <f t="shared" si="1"/>
        <v>1000.4526</v>
      </c>
      <c r="K62" s="46">
        <f t="shared" si="2"/>
        <v>1000.4526</v>
      </c>
      <c r="L62" s="46"/>
      <c r="M62" s="270">
        <f t="shared" si="5"/>
        <v>11043.015799999788</v>
      </c>
      <c r="N62" s="19"/>
      <c r="O62" s="19"/>
    </row>
    <row r="63" spans="1:15">
      <c r="A63" s="110">
        <v>62</v>
      </c>
      <c r="B63" s="110" t="s">
        <v>129</v>
      </c>
      <c r="C63" s="294" t="s">
        <v>255</v>
      </c>
      <c r="D63" s="294" t="s">
        <v>256</v>
      </c>
      <c r="E63" s="270">
        <v>10.43</v>
      </c>
      <c r="F63" s="46">
        <v>95.84</v>
      </c>
      <c r="G63" s="46">
        <f t="shared" si="0"/>
        <v>999.61120000000005</v>
      </c>
      <c r="H63" s="46">
        <v>0</v>
      </c>
      <c r="I63" s="46">
        <v>0</v>
      </c>
      <c r="J63" s="46">
        <f t="shared" si="1"/>
        <v>0</v>
      </c>
      <c r="K63" s="46">
        <f t="shared" si="2"/>
        <v>999.61120000000005</v>
      </c>
      <c r="L63" s="46">
        <v>200000</v>
      </c>
      <c r="M63" s="270">
        <f t="shared" si="5"/>
        <v>210043.40459999978</v>
      </c>
      <c r="N63" s="110"/>
      <c r="O63" s="110"/>
    </row>
    <row r="64" spans="1:15">
      <c r="A64" s="110">
        <v>63</v>
      </c>
      <c r="B64" s="311" t="s">
        <v>129</v>
      </c>
      <c r="C64" s="121" t="s">
        <v>236</v>
      </c>
      <c r="D64" s="121" t="s">
        <v>237</v>
      </c>
      <c r="E64" s="46">
        <v>40</v>
      </c>
      <c r="F64" s="324">
        <v>90.88</v>
      </c>
      <c r="G64" s="46">
        <f t="shared" si="0"/>
        <v>3635.2</v>
      </c>
      <c r="H64" s="46">
        <v>0</v>
      </c>
      <c r="I64" s="46">
        <v>0</v>
      </c>
      <c r="J64" s="46">
        <f t="shared" si="1"/>
        <v>0</v>
      </c>
      <c r="K64" s="46">
        <f t="shared" si="2"/>
        <v>3635.2</v>
      </c>
      <c r="L64" s="46"/>
      <c r="M64" s="270">
        <f t="shared" si="5"/>
        <v>206408.20459999976</v>
      </c>
      <c r="N64" s="110"/>
      <c r="O64" s="110"/>
    </row>
    <row r="65" spans="1:15">
      <c r="A65" s="19">
        <v>64</v>
      </c>
      <c r="B65" s="311" t="s">
        <v>129</v>
      </c>
      <c r="C65" s="313" t="s">
        <v>253</v>
      </c>
      <c r="D65" s="313" t="s">
        <v>239</v>
      </c>
      <c r="E65" s="46">
        <v>532.54</v>
      </c>
      <c r="F65" s="324">
        <v>91.26</v>
      </c>
      <c r="G65" s="46">
        <f t="shared" si="0"/>
        <v>48599.600400000003</v>
      </c>
      <c r="H65" s="46">
        <v>0</v>
      </c>
      <c r="I65" s="46">
        <v>0</v>
      </c>
      <c r="J65" s="46">
        <f t="shared" si="1"/>
        <v>0</v>
      </c>
      <c r="K65" s="46">
        <f t="shared" si="2"/>
        <v>48599.600400000003</v>
      </c>
      <c r="L65" s="46"/>
      <c r="M65" s="46">
        <f t="shared" si="5"/>
        <v>157808.60419999977</v>
      </c>
      <c r="N65" s="19"/>
      <c r="O65" s="19"/>
    </row>
    <row r="66" spans="1:15">
      <c r="A66" s="110">
        <v>65</v>
      </c>
      <c r="B66" s="110" t="s">
        <v>130</v>
      </c>
      <c r="C66" s="121" t="s">
        <v>236</v>
      </c>
      <c r="D66" s="121" t="s">
        <v>237</v>
      </c>
      <c r="E66" s="214">
        <v>20</v>
      </c>
      <c r="F66" s="46">
        <v>90.88</v>
      </c>
      <c r="G66" s="46">
        <f t="shared" si="0"/>
        <v>1817.6</v>
      </c>
      <c r="H66" s="46">
        <v>0</v>
      </c>
      <c r="I66" s="46">
        <v>0</v>
      </c>
      <c r="J66" s="46">
        <f t="shared" si="1"/>
        <v>0</v>
      </c>
      <c r="K66" s="46">
        <f t="shared" si="2"/>
        <v>1817.6</v>
      </c>
      <c r="L66" s="46"/>
      <c r="M66" s="270">
        <f t="shared" si="5"/>
        <v>155991.00419999976</v>
      </c>
      <c r="N66" s="110"/>
      <c r="O66" s="110"/>
    </row>
    <row r="67" spans="1:15">
      <c r="A67" s="19">
        <v>66</v>
      </c>
      <c r="B67" s="19" t="s">
        <v>131</v>
      </c>
      <c r="C67" s="294" t="s">
        <v>230</v>
      </c>
      <c r="D67" s="294" t="s">
        <v>257</v>
      </c>
      <c r="E67" s="46">
        <v>562.98</v>
      </c>
      <c r="F67" s="46">
        <v>91.26</v>
      </c>
      <c r="G67" s="46">
        <f t="shared" si="0"/>
        <v>51377.554800000005</v>
      </c>
      <c r="H67" s="46">
        <v>0</v>
      </c>
      <c r="I67" s="46">
        <v>0</v>
      </c>
      <c r="J67" s="46">
        <f t="shared" si="1"/>
        <v>0</v>
      </c>
      <c r="K67" s="46">
        <f t="shared" si="2"/>
        <v>51377.554800000005</v>
      </c>
      <c r="L67" s="46"/>
      <c r="M67" s="46">
        <f t="shared" si="5"/>
        <v>104613.44939999975</v>
      </c>
      <c r="N67" s="19"/>
      <c r="O67" s="19"/>
    </row>
    <row r="68" spans="1:15">
      <c r="A68" s="19">
        <v>67</v>
      </c>
      <c r="B68" s="113" t="s">
        <v>132</v>
      </c>
      <c r="C68" s="313" t="s">
        <v>258</v>
      </c>
      <c r="D68" s="313" t="s">
        <v>239</v>
      </c>
      <c r="E68" s="46">
        <v>0</v>
      </c>
      <c r="F68" s="46">
        <v>0</v>
      </c>
      <c r="G68" s="46">
        <f t="shared" ref="G68:G77" si="6">E68*F68</f>
        <v>0</v>
      </c>
      <c r="H68" s="46">
        <v>3.84</v>
      </c>
      <c r="I68" s="46">
        <v>107.46</v>
      </c>
      <c r="J68" s="46">
        <f t="shared" ref="J68:J77" si="7">H68*I68</f>
        <v>412.64639999999997</v>
      </c>
      <c r="K68" s="46">
        <f t="shared" ref="K68:K77" si="8">G68+J68</f>
        <v>412.64639999999997</v>
      </c>
      <c r="L68" s="46"/>
      <c r="M68" s="46">
        <f t="shared" si="5"/>
        <v>104200.80299999975</v>
      </c>
      <c r="N68" s="19"/>
      <c r="O68" s="19"/>
    </row>
    <row r="69" spans="1:15">
      <c r="A69" s="19">
        <v>68</v>
      </c>
      <c r="B69" s="19" t="s">
        <v>132</v>
      </c>
      <c r="C69" s="385" t="s">
        <v>230</v>
      </c>
      <c r="D69" s="385" t="s">
        <v>231</v>
      </c>
      <c r="E69" s="46">
        <v>355</v>
      </c>
      <c r="F69" s="46">
        <v>91.26</v>
      </c>
      <c r="G69" s="46">
        <f t="shared" si="6"/>
        <v>32397.300000000003</v>
      </c>
      <c r="H69" s="46">
        <v>19.989999999999998</v>
      </c>
      <c r="I69" s="46">
        <v>103.18</v>
      </c>
      <c r="J69" s="46">
        <f t="shared" si="7"/>
        <v>2062.5682000000002</v>
      </c>
      <c r="K69" s="46">
        <f t="shared" si="8"/>
        <v>34459.868200000004</v>
      </c>
      <c r="L69" s="46"/>
      <c r="M69" s="46">
        <f t="shared" si="5"/>
        <v>69740.934799999755</v>
      </c>
      <c r="N69" s="19"/>
      <c r="O69" s="19"/>
    </row>
    <row r="70" spans="1:15">
      <c r="A70" s="19">
        <v>69</v>
      </c>
      <c r="B70" s="19" t="s">
        <v>132</v>
      </c>
      <c r="C70" s="121" t="s">
        <v>236</v>
      </c>
      <c r="D70" s="121" t="s">
        <v>237</v>
      </c>
      <c r="E70" s="46">
        <v>0</v>
      </c>
      <c r="F70" s="46">
        <v>0</v>
      </c>
      <c r="G70" s="46">
        <f t="shared" si="6"/>
        <v>0</v>
      </c>
      <c r="H70" s="46">
        <v>6.23</v>
      </c>
      <c r="I70" s="46">
        <v>102.77</v>
      </c>
      <c r="J70" s="46">
        <f t="shared" si="7"/>
        <v>640.25710000000004</v>
      </c>
      <c r="K70" s="46">
        <f t="shared" si="8"/>
        <v>640.25710000000004</v>
      </c>
      <c r="L70" s="46"/>
      <c r="M70" s="46">
        <f t="shared" si="5"/>
        <v>69100.677699999753</v>
      </c>
      <c r="N70" s="19"/>
      <c r="O70" s="19"/>
    </row>
    <row r="71" spans="1:15">
      <c r="A71" s="19">
        <v>70</v>
      </c>
      <c r="B71" s="19" t="s">
        <v>225</v>
      </c>
      <c r="C71" s="294" t="s">
        <v>230</v>
      </c>
      <c r="D71" s="294" t="s">
        <v>231</v>
      </c>
      <c r="E71" s="46">
        <v>563.89</v>
      </c>
      <c r="F71" s="46">
        <v>91.26</v>
      </c>
      <c r="G71" s="46">
        <f t="shared" si="6"/>
        <v>51460.6014</v>
      </c>
      <c r="H71" s="46">
        <v>28.24</v>
      </c>
      <c r="I71" s="46">
        <v>103.18</v>
      </c>
      <c r="J71" s="46">
        <f t="shared" si="7"/>
        <v>2913.8031999999998</v>
      </c>
      <c r="K71" s="46">
        <f t="shared" si="8"/>
        <v>54374.404600000002</v>
      </c>
      <c r="L71" s="46"/>
      <c r="M71" s="46">
        <f t="shared" si="5"/>
        <v>14726.273099999751</v>
      </c>
      <c r="N71" s="19"/>
      <c r="O71" s="19"/>
    </row>
    <row r="72" spans="1:15">
      <c r="A72" s="19">
        <v>71</v>
      </c>
      <c r="B72" s="387">
        <v>29.042024999999999</v>
      </c>
      <c r="C72" s="19" t="s">
        <v>242</v>
      </c>
      <c r="D72" s="19" t="s">
        <v>239</v>
      </c>
      <c r="E72" s="46">
        <v>0</v>
      </c>
      <c r="F72" s="46">
        <v>0</v>
      </c>
      <c r="G72" s="46">
        <f t="shared" si="6"/>
        <v>0</v>
      </c>
      <c r="H72" s="46">
        <v>3.75</v>
      </c>
      <c r="I72" s="46">
        <v>107.46</v>
      </c>
      <c r="J72" s="46">
        <f t="shared" si="7"/>
        <v>402.97499999999997</v>
      </c>
      <c r="K72" s="46">
        <f t="shared" si="8"/>
        <v>402.97499999999997</v>
      </c>
      <c r="L72" s="46">
        <v>100000</v>
      </c>
      <c r="M72" s="46">
        <f t="shared" si="5"/>
        <v>114323.29809999975</v>
      </c>
      <c r="N72" s="19"/>
      <c r="O72" s="19"/>
    </row>
    <row r="73" spans="1:15">
      <c r="A73" s="19">
        <v>72</v>
      </c>
      <c r="B73" s="387">
        <v>29.042024999999999</v>
      </c>
      <c r="C73" s="312" t="s">
        <v>248</v>
      </c>
      <c r="D73" s="312" t="s">
        <v>235</v>
      </c>
      <c r="E73" s="46">
        <v>31.35</v>
      </c>
      <c r="F73" s="46">
        <v>95.7</v>
      </c>
      <c r="G73" s="46">
        <f t="shared" si="6"/>
        <v>3000.1950000000002</v>
      </c>
      <c r="H73" s="46">
        <v>0</v>
      </c>
      <c r="I73" s="46">
        <v>0</v>
      </c>
      <c r="J73" s="46">
        <f t="shared" si="7"/>
        <v>0</v>
      </c>
      <c r="K73" s="46">
        <f t="shared" si="8"/>
        <v>3000.1950000000002</v>
      </c>
      <c r="L73" s="46"/>
      <c r="M73" s="46">
        <f t="shared" si="5"/>
        <v>111323.10309999975</v>
      </c>
      <c r="N73" s="19"/>
      <c r="O73" s="19"/>
    </row>
    <row r="74" spans="1:15">
      <c r="A74" s="110">
        <v>73</v>
      </c>
      <c r="B74" s="387">
        <v>29.042024999999999</v>
      </c>
      <c r="C74" s="385" t="s">
        <v>230</v>
      </c>
      <c r="D74" s="385" t="s">
        <v>231</v>
      </c>
      <c r="E74" s="46">
        <v>717</v>
      </c>
      <c r="F74" s="46">
        <v>91.26</v>
      </c>
      <c r="G74" s="46">
        <f t="shared" si="6"/>
        <v>65433.420000000006</v>
      </c>
      <c r="H74" s="46">
        <v>0</v>
      </c>
      <c r="I74" s="46">
        <v>0</v>
      </c>
      <c r="J74" s="46">
        <f t="shared" si="7"/>
        <v>0</v>
      </c>
      <c r="K74" s="46">
        <f t="shared" si="8"/>
        <v>65433.420000000006</v>
      </c>
      <c r="L74" s="46"/>
      <c r="M74" s="270">
        <f t="shared" si="5"/>
        <v>45889.68309999974</v>
      </c>
      <c r="N74" s="110"/>
      <c r="O74" s="110"/>
    </row>
    <row r="75" spans="1:15">
      <c r="A75" s="19">
        <v>74</v>
      </c>
      <c r="B75" s="19"/>
      <c r="C75" s="121"/>
      <c r="D75" s="121"/>
      <c r="E75" s="46">
        <v>0</v>
      </c>
      <c r="F75" s="46">
        <v>0</v>
      </c>
      <c r="G75" s="46">
        <f t="shared" si="6"/>
        <v>0</v>
      </c>
      <c r="H75" s="46">
        <v>0</v>
      </c>
      <c r="I75" s="46">
        <v>0</v>
      </c>
      <c r="J75" s="46">
        <f t="shared" si="7"/>
        <v>0</v>
      </c>
      <c r="K75" s="46">
        <f t="shared" si="8"/>
        <v>0</v>
      </c>
      <c r="L75" s="46"/>
      <c r="M75" s="46">
        <f t="shared" si="5"/>
        <v>45889.68309999974</v>
      </c>
      <c r="N75" s="19"/>
      <c r="O75" s="19"/>
    </row>
    <row r="76" spans="1:15">
      <c r="A76" s="19">
        <v>75</v>
      </c>
      <c r="B76" s="19"/>
      <c r="C76" s="312"/>
      <c r="D76" s="312"/>
      <c r="E76" s="46">
        <v>0</v>
      </c>
      <c r="F76" s="46">
        <v>0</v>
      </c>
      <c r="G76" s="46">
        <f t="shared" si="6"/>
        <v>0</v>
      </c>
      <c r="H76" s="46">
        <v>0</v>
      </c>
      <c r="I76" s="46">
        <v>0</v>
      </c>
      <c r="J76" s="46">
        <f t="shared" si="7"/>
        <v>0</v>
      </c>
      <c r="K76" s="46">
        <f t="shared" si="8"/>
        <v>0</v>
      </c>
      <c r="L76" s="46"/>
      <c r="M76" s="46">
        <f t="shared" si="5"/>
        <v>45889.68309999974</v>
      </c>
      <c r="N76" s="19"/>
      <c r="O76" s="19"/>
    </row>
    <row r="77" spans="1:15">
      <c r="A77" s="19">
        <v>76</v>
      </c>
      <c r="B77" s="19"/>
      <c r="C77" s="19"/>
      <c r="D77" s="19"/>
      <c r="E77" s="46">
        <v>0</v>
      </c>
      <c r="F77" s="46">
        <v>0</v>
      </c>
      <c r="G77" s="46">
        <f t="shared" si="6"/>
        <v>0</v>
      </c>
      <c r="H77" s="46">
        <v>0</v>
      </c>
      <c r="I77" s="46">
        <v>0</v>
      </c>
      <c r="J77" s="46">
        <f t="shared" si="7"/>
        <v>0</v>
      </c>
      <c r="K77" s="46">
        <f t="shared" si="8"/>
        <v>0</v>
      </c>
      <c r="L77" s="46"/>
      <c r="M77" s="46">
        <f t="shared" si="5"/>
        <v>45889.68309999974</v>
      </c>
      <c r="N77" s="19"/>
      <c r="O77" s="19"/>
    </row>
    <row r="80" spans="1:15">
      <c r="M80" s="329"/>
    </row>
    <row r="82" spans="13:13">
      <c r="M82" s="329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18"/>
  <sheetViews>
    <sheetView workbookViewId="0">
      <selection activeCell="L5" sqref="L5"/>
    </sheetView>
  </sheetViews>
  <sheetFormatPr defaultRowHeight="15"/>
  <cols>
    <col min="2" max="2" width="11.5703125" customWidth="1"/>
    <col min="3" max="3" width="36.5703125" bestFit="1" customWidth="1"/>
    <col min="4" max="4" width="21.7109375" bestFit="1" customWidth="1"/>
    <col min="5" max="5" width="15.7109375" customWidth="1"/>
    <col min="7" max="7" width="22.42578125" customWidth="1"/>
    <col min="8" max="8" width="22.140625" customWidth="1"/>
    <col min="9" max="9" width="17.7109375" bestFit="1" customWidth="1"/>
    <col min="11" max="11" width="15.42578125" customWidth="1"/>
    <col min="12" max="12" width="17.7109375" customWidth="1"/>
    <col min="13" max="13" width="12.7109375" customWidth="1"/>
    <col min="14" max="14" width="15.140625" customWidth="1"/>
    <col min="15" max="15" width="20.5703125" customWidth="1"/>
  </cols>
  <sheetData>
    <row r="1" spans="1:15" ht="15.75">
      <c r="A1" s="417" t="s">
        <v>259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</row>
    <row r="2" spans="1:15">
      <c r="A2" s="78" t="s">
        <v>81</v>
      </c>
      <c r="B2" s="98" t="s">
        <v>82</v>
      </c>
      <c r="C2" s="98" t="s">
        <v>142</v>
      </c>
      <c r="D2" s="98" t="s">
        <v>144</v>
      </c>
      <c r="E2" s="98" t="s">
        <v>85</v>
      </c>
      <c r="F2" s="98" t="s">
        <v>86</v>
      </c>
      <c r="G2" s="106" t="s">
        <v>87</v>
      </c>
      <c r="H2" s="98" t="s">
        <v>88</v>
      </c>
      <c r="I2" s="98" t="s">
        <v>86</v>
      </c>
      <c r="J2" s="106" t="s">
        <v>87</v>
      </c>
      <c r="K2" s="78" t="s">
        <v>89</v>
      </c>
      <c r="L2" s="107" t="s">
        <v>145</v>
      </c>
      <c r="M2" s="100" t="s">
        <v>97</v>
      </c>
      <c r="N2" s="98" t="s">
        <v>92</v>
      </c>
      <c r="O2" s="98" t="s">
        <v>146</v>
      </c>
    </row>
    <row r="3" spans="1:15">
      <c r="A3" s="415" t="s">
        <v>93</v>
      </c>
      <c r="B3" s="415"/>
      <c r="C3" s="415"/>
      <c r="D3" s="415"/>
      <c r="E3" s="415"/>
      <c r="F3" s="415"/>
      <c r="G3" s="415"/>
      <c r="H3" s="415"/>
      <c r="I3" s="415"/>
      <c r="J3" s="415"/>
      <c r="L3" s="198"/>
      <c r="M3" s="292">
        <v>182049.42279999971</v>
      </c>
      <c r="N3" s="110"/>
      <c r="O3" s="110"/>
    </row>
    <row r="4" spans="1:15" ht="23.25" customHeight="1">
      <c r="A4" s="19">
        <v>1</v>
      </c>
      <c r="B4" s="19" t="s">
        <v>124</v>
      </c>
      <c r="C4" s="312" t="s">
        <v>260</v>
      </c>
      <c r="D4" s="293"/>
      <c r="E4" s="46">
        <v>15677.27</v>
      </c>
      <c r="F4" s="46">
        <v>95.68</v>
      </c>
      <c r="G4" s="46">
        <v>1500000</v>
      </c>
      <c r="H4" s="46"/>
      <c r="I4" s="46"/>
      <c r="J4" s="46">
        <f>H4*I4</f>
        <v>0</v>
      </c>
      <c r="K4" s="323">
        <f>G4+J4</f>
        <v>1500000</v>
      </c>
      <c r="L4" s="57">
        <v>1320000</v>
      </c>
      <c r="M4" s="324">
        <f>M3+L4-K4</f>
        <v>2049.4227999998257</v>
      </c>
      <c r="N4" s="19"/>
      <c r="O4" s="19"/>
    </row>
    <row r="5" spans="1:15">
      <c r="A5" s="19">
        <v>2</v>
      </c>
      <c r="B5" s="19"/>
      <c r="C5" s="19"/>
      <c r="D5" s="293"/>
      <c r="E5" s="46">
        <v>0</v>
      </c>
      <c r="F5" s="46">
        <v>0</v>
      </c>
      <c r="G5" s="46">
        <f t="shared" ref="G5:G8" si="0">E5*F5</f>
        <v>0</v>
      </c>
      <c r="H5" s="46"/>
      <c r="I5" s="46"/>
      <c r="J5" s="46">
        <f>H5*I5</f>
        <v>0</v>
      </c>
      <c r="K5" s="323">
        <f>G5+J5</f>
        <v>0</v>
      </c>
      <c r="L5" s="57"/>
      <c r="M5" s="324">
        <f t="shared" ref="M3:M8" si="1">M4+L5-K5</f>
        <v>2049.4227999998257</v>
      </c>
      <c r="N5" s="19"/>
      <c r="O5" s="19"/>
    </row>
    <row r="6" spans="1:15">
      <c r="A6" s="19">
        <v>3</v>
      </c>
      <c r="B6" s="19"/>
      <c r="C6" s="19"/>
      <c r="D6" s="293"/>
      <c r="E6" s="46">
        <v>0</v>
      </c>
      <c r="F6" s="46">
        <v>0</v>
      </c>
      <c r="G6" s="46">
        <f t="shared" si="0"/>
        <v>0</v>
      </c>
      <c r="H6" s="46"/>
      <c r="I6" s="46"/>
      <c r="J6" s="46"/>
      <c r="K6" s="323">
        <f t="shared" ref="K6:K8" si="2">G6+J6</f>
        <v>0</v>
      </c>
      <c r="L6" s="57"/>
      <c r="M6" s="324">
        <f t="shared" si="1"/>
        <v>2049.4227999998257</v>
      </c>
      <c r="N6" s="19"/>
      <c r="O6" s="19"/>
    </row>
    <row r="7" spans="1:15">
      <c r="A7" s="110">
        <v>4</v>
      </c>
      <c r="B7" s="110"/>
      <c r="C7" s="110"/>
      <c r="D7" s="315"/>
      <c r="E7" s="46">
        <v>0</v>
      </c>
      <c r="F7" s="46">
        <v>0</v>
      </c>
      <c r="G7" s="46">
        <f t="shared" si="0"/>
        <v>0</v>
      </c>
      <c r="H7" s="270"/>
      <c r="I7" s="270"/>
      <c r="J7" s="270"/>
      <c r="K7" s="316">
        <f t="shared" si="2"/>
        <v>0</v>
      </c>
      <c r="L7" s="57"/>
      <c r="M7" s="325">
        <f t="shared" si="1"/>
        <v>2049.4227999998257</v>
      </c>
      <c r="N7" s="110"/>
      <c r="O7" s="110"/>
    </row>
    <row r="8" spans="1:15">
      <c r="A8" s="19">
        <v>5</v>
      </c>
      <c r="B8" s="19"/>
      <c r="C8" s="19"/>
      <c r="D8" s="293"/>
      <c r="E8" s="46">
        <v>0</v>
      </c>
      <c r="F8" s="46">
        <v>0</v>
      </c>
      <c r="G8" s="46">
        <f t="shared" si="0"/>
        <v>0</v>
      </c>
      <c r="H8" s="46"/>
      <c r="I8" s="46"/>
      <c r="J8" s="46"/>
      <c r="K8" s="323">
        <f t="shared" si="2"/>
        <v>0</v>
      </c>
      <c r="L8" s="57"/>
      <c r="M8" s="324">
        <f t="shared" si="1"/>
        <v>2049.4227999998257</v>
      </c>
      <c r="N8" s="19"/>
      <c r="O8" s="19"/>
    </row>
    <row r="18" spans="9:9">
      <c r="I18" s="305"/>
    </row>
  </sheetData>
  <mergeCells count="2">
    <mergeCell ref="A1:O1"/>
    <mergeCell ref="A3:J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8D09-8842-4F6A-8828-1D1304B346C4}">
  <sheetPr>
    <tabColor rgb="FF00B050"/>
  </sheetPr>
  <dimension ref="A1:P38"/>
  <sheetViews>
    <sheetView workbookViewId="0">
      <pane ySplit="2" topLeftCell="A3" activePane="bottomLeft" state="frozen"/>
      <selection pane="bottomLeft" activeCell="H14" sqref="H14"/>
    </sheetView>
  </sheetViews>
  <sheetFormatPr defaultColWidth="11" defaultRowHeight="15"/>
  <cols>
    <col min="1" max="1" width="9.42578125" style="5" customWidth="1"/>
    <col min="2" max="3" width="11" style="5"/>
    <col min="4" max="4" width="16" style="5" bestFit="1" customWidth="1"/>
    <col min="5" max="5" width="11" style="5"/>
    <col min="6" max="6" width="15.5703125" style="5" customWidth="1"/>
    <col min="7" max="7" width="13.28515625" style="5" customWidth="1"/>
    <col min="8" max="9" width="11" style="5"/>
    <col min="10" max="10" width="11.5703125" style="5" customWidth="1"/>
    <col min="11" max="11" width="16.140625" style="5" customWidth="1"/>
    <col min="12" max="13" width="13.140625" style="5" customWidth="1"/>
    <col min="14" max="14" width="17.85546875" style="5" customWidth="1"/>
    <col min="15" max="16384" width="11" style="5"/>
  </cols>
  <sheetData>
    <row r="1" spans="1:15" ht="15.75" customHeight="1">
      <c r="A1" s="413" t="s">
        <v>261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66"/>
    </row>
    <row r="2" spans="1:15" ht="16.5" customHeight="1">
      <c r="A2" s="78" t="s">
        <v>81</v>
      </c>
      <c r="B2" s="98" t="s">
        <v>82</v>
      </c>
      <c r="C2" s="98" t="s">
        <v>83</v>
      </c>
      <c r="D2" s="98" t="s">
        <v>84</v>
      </c>
      <c r="E2" s="98" t="s">
        <v>85</v>
      </c>
      <c r="F2" s="98" t="s">
        <v>86</v>
      </c>
      <c r="G2" s="98" t="s">
        <v>87</v>
      </c>
      <c r="H2" s="98" t="s">
        <v>88</v>
      </c>
      <c r="I2" s="98" t="s">
        <v>86</v>
      </c>
      <c r="J2" s="99" t="s">
        <v>87</v>
      </c>
      <c r="K2" s="78" t="s">
        <v>89</v>
      </c>
      <c r="L2" s="100" t="s">
        <v>90</v>
      </c>
      <c r="M2" s="100" t="s">
        <v>97</v>
      </c>
      <c r="N2" s="98" t="s">
        <v>92</v>
      </c>
      <c r="O2" s="73"/>
    </row>
    <row r="3" spans="1:15">
      <c r="A3" s="449" t="s">
        <v>93</v>
      </c>
      <c r="B3" s="449"/>
      <c r="C3" s="449"/>
      <c r="D3" s="449"/>
      <c r="E3" s="449"/>
      <c r="F3" s="449"/>
      <c r="G3" s="449"/>
      <c r="H3" s="449"/>
      <c r="I3" s="449"/>
      <c r="J3" s="449"/>
      <c r="K3" s="118">
        <v>-63.18</v>
      </c>
      <c r="L3" s="166"/>
      <c r="M3" s="149">
        <v>63.18</v>
      </c>
      <c r="N3" s="6"/>
      <c r="O3" s="1">
        <v>-63.18</v>
      </c>
    </row>
    <row r="4" spans="1:15">
      <c r="A4" s="28">
        <v>1</v>
      </c>
      <c r="B4" s="29">
        <v>45748</v>
      </c>
      <c r="C4" s="27"/>
      <c r="D4" s="27"/>
      <c r="E4" s="8"/>
      <c r="F4" s="8"/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47">
        <v>0</v>
      </c>
      <c r="M4" s="150">
        <f>M3+K4-L4</f>
        <v>63.18</v>
      </c>
      <c r="N4" s="8"/>
      <c r="O4" s="1"/>
    </row>
    <row r="5" spans="1:15">
      <c r="A5" s="28">
        <v>2</v>
      </c>
      <c r="B5" s="29">
        <v>45749</v>
      </c>
      <c r="C5" s="27"/>
      <c r="D5" s="27"/>
      <c r="E5" s="8"/>
      <c r="F5" s="8"/>
      <c r="G5" s="8">
        <f t="shared" ref="G5:G34" si="0">E5*F5</f>
        <v>0</v>
      </c>
      <c r="H5" s="9">
        <v>0</v>
      </c>
      <c r="I5" s="9">
        <v>0</v>
      </c>
      <c r="J5" s="8">
        <f t="shared" ref="J5:J34" si="1">H5*I5</f>
        <v>0</v>
      </c>
      <c r="K5" s="8">
        <f t="shared" ref="K5:K28" si="2">G5+J5</f>
        <v>0</v>
      </c>
      <c r="L5" s="47">
        <v>0</v>
      </c>
      <c r="M5" s="150">
        <f t="shared" ref="M5:M34" si="3">M4+K5-L5</f>
        <v>63.18</v>
      </c>
      <c r="N5" s="8"/>
      <c r="O5" s="1"/>
    </row>
    <row r="6" spans="1:15">
      <c r="A6" s="28">
        <v>3</v>
      </c>
      <c r="B6" s="29">
        <v>45750</v>
      </c>
      <c r="C6" s="27"/>
      <c r="D6" s="27"/>
      <c r="E6" s="8"/>
      <c r="F6" s="8"/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47">
        <v>0</v>
      </c>
      <c r="M6" s="150">
        <f t="shared" si="3"/>
        <v>63.18</v>
      </c>
      <c r="N6" s="8"/>
      <c r="O6" s="1"/>
    </row>
    <row r="7" spans="1:15">
      <c r="A7" s="28">
        <v>4</v>
      </c>
      <c r="B7" s="29">
        <v>45751</v>
      </c>
      <c r="C7" s="27"/>
      <c r="D7" s="27"/>
      <c r="E7" s="8"/>
      <c r="F7" s="8"/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47">
        <v>0</v>
      </c>
      <c r="M7" s="150">
        <f t="shared" si="3"/>
        <v>63.18</v>
      </c>
      <c r="N7" s="8"/>
      <c r="O7" s="1"/>
    </row>
    <row r="8" spans="1:15">
      <c r="A8" s="28">
        <v>5</v>
      </c>
      <c r="B8" s="29">
        <v>45752</v>
      </c>
      <c r="C8" s="27"/>
      <c r="D8" s="27"/>
      <c r="E8" s="8"/>
      <c r="F8" s="8"/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47">
        <v>0</v>
      </c>
      <c r="M8" s="150">
        <f t="shared" si="3"/>
        <v>63.18</v>
      </c>
      <c r="N8" s="121"/>
      <c r="O8" s="1"/>
    </row>
    <row r="9" spans="1:15">
      <c r="A9" s="28">
        <v>6</v>
      </c>
      <c r="B9" s="29">
        <v>45753</v>
      </c>
      <c r="C9" s="27"/>
      <c r="D9" s="27"/>
      <c r="E9" s="8"/>
      <c r="F9" s="8"/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47">
        <v>0</v>
      </c>
      <c r="M9" s="150">
        <f t="shared" si="3"/>
        <v>63.18</v>
      </c>
      <c r="N9" s="8"/>
      <c r="O9" s="1"/>
    </row>
    <row r="10" spans="1:15">
      <c r="A10" s="28">
        <v>7</v>
      </c>
      <c r="B10" s="29">
        <v>45754</v>
      </c>
      <c r="C10" s="27"/>
      <c r="D10" s="27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47">
        <v>0</v>
      </c>
      <c r="M10" s="150">
        <f t="shared" si="3"/>
        <v>63.18</v>
      </c>
      <c r="N10" s="8"/>
      <c r="O10" s="1"/>
    </row>
    <row r="11" spans="1:15">
      <c r="A11" s="28">
        <v>8</v>
      </c>
      <c r="B11" s="29">
        <v>45755</v>
      </c>
      <c r="C11" s="27"/>
      <c r="D11" s="27"/>
      <c r="E11" s="8">
        <v>0</v>
      </c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47">
        <v>0</v>
      </c>
      <c r="M11" s="150">
        <f t="shared" si="3"/>
        <v>63.18</v>
      </c>
      <c r="N11" s="8"/>
      <c r="O11" s="1"/>
    </row>
    <row r="12" spans="1:15">
      <c r="A12" s="28">
        <v>9</v>
      </c>
      <c r="B12" s="29">
        <v>45756</v>
      </c>
      <c r="C12" s="27"/>
      <c r="D12" s="27"/>
      <c r="E12" s="8">
        <v>0</v>
      </c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47">
        <v>0</v>
      </c>
      <c r="M12" s="150">
        <f t="shared" si="3"/>
        <v>63.18</v>
      </c>
      <c r="N12" s="8"/>
      <c r="O12" s="1"/>
    </row>
    <row r="13" spans="1:15">
      <c r="A13" s="28">
        <v>10</v>
      </c>
      <c r="B13" s="29">
        <v>45757</v>
      </c>
      <c r="C13" s="27"/>
      <c r="D13" s="27"/>
      <c r="E13" s="8">
        <v>0</v>
      </c>
      <c r="F13" s="8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47">
        <v>0</v>
      </c>
      <c r="M13" s="150">
        <f t="shared" si="3"/>
        <v>63.18</v>
      </c>
      <c r="N13" s="8"/>
      <c r="O13" s="1"/>
    </row>
    <row r="14" spans="1:15">
      <c r="A14" s="28">
        <v>11</v>
      </c>
      <c r="B14" s="29">
        <v>45758</v>
      </c>
      <c r="C14" s="27"/>
      <c r="D14" s="27"/>
      <c r="E14" s="8">
        <v>0</v>
      </c>
      <c r="F14" s="8">
        <v>0</v>
      </c>
      <c r="G14" s="8">
        <f t="shared" si="0"/>
        <v>0</v>
      </c>
      <c r="H14" s="9">
        <v>0</v>
      </c>
      <c r="I14" s="9">
        <v>0</v>
      </c>
      <c r="J14" s="8">
        <f t="shared" si="1"/>
        <v>0</v>
      </c>
      <c r="K14" s="8">
        <f t="shared" si="2"/>
        <v>0</v>
      </c>
      <c r="L14" s="47">
        <v>0</v>
      </c>
      <c r="M14" s="150">
        <f t="shared" si="3"/>
        <v>63.18</v>
      </c>
      <c r="N14" s="8"/>
      <c r="O14" s="1"/>
    </row>
    <row r="15" spans="1:15">
      <c r="A15" s="28">
        <v>12</v>
      </c>
      <c r="B15" s="29">
        <v>45759</v>
      </c>
      <c r="C15" s="27"/>
      <c r="D15" s="27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47">
        <v>0</v>
      </c>
      <c r="M15" s="150">
        <f t="shared" si="3"/>
        <v>63.18</v>
      </c>
      <c r="N15" s="8"/>
      <c r="O15" s="1"/>
    </row>
    <row r="16" spans="1:15">
      <c r="A16" s="28">
        <v>13</v>
      </c>
      <c r="B16" s="29">
        <v>45760</v>
      </c>
      <c r="C16" s="27"/>
      <c r="D16" s="27"/>
      <c r="E16" s="8">
        <v>0</v>
      </c>
      <c r="F16" s="8">
        <v>0</v>
      </c>
      <c r="G16" s="8">
        <f t="shared" si="0"/>
        <v>0</v>
      </c>
      <c r="H16" s="9">
        <v>0</v>
      </c>
      <c r="I16" s="9">
        <v>0</v>
      </c>
      <c r="J16" s="8">
        <f t="shared" si="1"/>
        <v>0</v>
      </c>
      <c r="K16" s="8">
        <f t="shared" si="2"/>
        <v>0</v>
      </c>
      <c r="L16" s="47">
        <v>0</v>
      </c>
      <c r="M16" s="150">
        <f t="shared" si="3"/>
        <v>63.18</v>
      </c>
      <c r="N16" s="8"/>
      <c r="O16" s="1"/>
    </row>
    <row r="17" spans="1:16">
      <c r="A17" s="28">
        <v>14</v>
      </c>
      <c r="B17" s="29">
        <v>45761</v>
      </c>
      <c r="C17" s="27"/>
      <c r="D17" s="27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47">
        <v>0</v>
      </c>
      <c r="M17" s="150">
        <f t="shared" si="3"/>
        <v>63.18</v>
      </c>
      <c r="N17" s="8"/>
      <c r="O17" s="1"/>
    </row>
    <row r="18" spans="1:16">
      <c r="A18" s="28">
        <v>15</v>
      </c>
      <c r="B18" s="29">
        <v>45762</v>
      </c>
      <c r="C18" s="27"/>
      <c r="D18" s="27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47">
        <v>0</v>
      </c>
      <c r="M18" s="150">
        <f t="shared" si="3"/>
        <v>63.18</v>
      </c>
      <c r="N18" s="8"/>
      <c r="O18" s="1"/>
    </row>
    <row r="19" spans="1:16">
      <c r="A19" s="28">
        <v>16</v>
      </c>
      <c r="B19" s="29">
        <v>45763</v>
      </c>
      <c r="C19" s="27"/>
      <c r="D19" s="27"/>
      <c r="E19" s="8">
        <v>0</v>
      </c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47">
        <v>0</v>
      </c>
      <c r="M19" s="150">
        <f t="shared" si="3"/>
        <v>63.18</v>
      </c>
      <c r="N19" s="8"/>
      <c r="O19" s="1"/>
    </row>
    <row r="20" spans="1:16">
      <c r="A20" s="28">
        <v>17</v>
      </c>
      <c r="B20" s="29">
        <v>45764</v>
      </c>
      <c r="C20" s="27"/>
      <c r="D20" s="27"/>
      <c r="E20" s="8">
        <v>0</v>
      </c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47">
        <v>0</v>
      </c>
      <c r="M20" s="150">
        <f t="shared" si="3"/>
        <v>63.18</v>
      </c>
      <c r="N20" s="8"/>
      <c r="O20" s="1"/>
    </row>
    <row r="21" spans="1:16">
      <c r="A21" s="28">
        <v>18</v>
      </c>
      <c r="B21" s="29">
        <v>45765</v>
      </c>
      <c r="C21" s="27"/>
      <c r="D21" s="27"/>
      <c r="E21" s="8">
        <v>0</v>
      </c>
      <c r="F21" s="8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47">
        <v>0</v>
      </c>
      <c r="M21" s="150">
        <f t="shared" si="3"/>
        <v>63.18</v>
      </c>
      <c r="N21" s="8"/>
      <c r="O21" s="1"/>
    </row>
    <row r="22" spans="1:16">
      <c r="A22" s="28">
        <v>19</v>
      </c>
      <c r="B22" s="29">
        <v>45766</v>
      </c>
      <c r="C22" s="27"/>
      <c r="D22" s="27"/>
      <c r="E22" s="8">
        <v>0</v>
      </c>
      <c r="F22" s="8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47">
        <v>0</v>
      </c>
      <c r="M22" s="150">
        <f t="shared" si="3"/>
        <v>63.18</v>
      </c>
      <c r="N22" s="8"/>
      <c r="O22" s="1"/>
    </row>
    <row r="23" spans="1:16">
      <c r="A23" s="28">
        <v>20</v>
      </c>
      <c r="B23" s="29">
        <v>45767</v>
      </c>
      <c r="C23" s="27"/>
      <c r="D23" s="27"/>
      <c r="E23" s="8">
        <v>0</v>
      </c>
      <c r="F23" s="8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47">
        <v>0</v>
      </c>
      <c r="M23" s="150">
        <f t="shared" si="3"/>
        <v>63.18</v>
      </c>
      <c r="N23" s="8"/>
      <c r="O23" s="1"/>
      <c r="P23" s="118"/>
    </row>
    <row r="24" spans="1:16">
      <c r="A24" s="28">
        <v>21</v>
      </c>
      <c r="B24" s="29">
        <v>45768</v>
      </c>
      <c r="C24" s="27"/>
      <c r="D24" s="27"/>
      <c r="E24" s="8">
        <v>0</v>
      </c>
      <c r="F24" s="8">
        <v>0</v>
      </c>
      <c r="G24" s="8">
        <f t="shared" si="0"/>
        <v>0</v>
      </c>
      <c r="H24" s="9">
        <v>0</v>
      </c>
      <c r="I24" s="9">
        <v>0</v>
      </c>
      <c r="J24" s="8">
        <f t="shared" si="1"/>
        <v>0</v>
      </c>
      <c r="K24" s="8">
        <f t="shared" si="2"/>
        <v>0</v>
      </c>
      <c r="L24" s="47">
        <v>0</v>
      </c>
      <c r="M24" s="150">
        <f t="shared" si="3"/>
        <v>63.18</v>
      </c>
      <c r="N24" s="8"/>
      <c r="O24" s="1"/>
    </row>
    <row r="25" spans="1:16">
      <c r="A25" s="28">
        <v>22</v>
      </c>
      <c r="B25" s="29">
        <v>45769</v>
      </c>
      <c r="C25" s="27"/>
      <c r="D25" s="27"/>
      <c r="E25" s="8">
        <v>0</v>
      </c>
      <c r="F25" s="8">
        <v>0</v>
      </c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47">
        <v>0</v>
      </c>
      <c r="M25" s="150">
        <f>M24+K25-L25</f>
        <v>63.18</v>
      </c>
      <c r="N25" s="8"/>
      <c r="O25" s="1"/>
    </row>
    <row r="26" spans="1:16">
      <c r="A26" s="28">
        <v>23</v>
      </c>
      <c r="B26" s="29">
        <v>45770</v>
      </c>
      <c r="C26" s="27"/>
      <c r="D26" s="27"/>
      <c r="E26" s="8">
        <v>0</v>
      </c>
      <c r="F26" s="8">
        <v>0</v>
      </c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47">
        <v>0</v>
      </c>
      <c r="M26" s="150">
        <f>M25+K26-L26</f>
        <v>63.18</v>
      </c>
      <c r="N26" s="8"/>
      <c r="O26" s="1"/>
    </row>
    <row r="27" spans="1:16">
      <c r="A27" s="28">
        <v>24</v>
      </c>
      <c r="B27" s="29">
        <v>45771</v>
      </c>
      <c r="C27" s="27"/>
      <c r="D27" s="27"/>
      <c r="E27" s="8">
        <v>0</v>
      </c>
      <c r="F27" s="8">
        <v>0</v>
      </c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47">
        <v>0</v>
      </c>
      <c r="M27" s="150">
        <f t="shared" si="3"/>
        <v>63.18</v>
      </c>
      <c r="N27" s="8"/>
      <c r="O27" s="1"/>
    </row>
    <row r="28" spans="1:16">
      <c r="A28" s="28">
        <v>25</v>
      </c>
      <c r="B28" s="29">
        <v>45772</v>
      </c>
      <c r="C28" s="27"/>
      <c r="D28" s="27"/>
      <c r="E28" s="8">
        <v>0</v>
      </c>
      <c r="F28" s="8">
        <v>0</v>
      </c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47">
        <v>0</v>
      </c>
      <c r="M28" s="150">
        <f t="shared" si="3"/>
        <v>63.18</v>
      </c>
      <c r="N28" s="8"/>
      <c r="O28" s="1"/>
    </row>
    <row r="29" spans="1:16">
      <c r="A29" s="28">
        <v>26</v>
      </c>
      <c r="B29" s="29">
        <v>45773</v>
      </c>
      <c r="C29" s="27"/>
      <c r="D29" s="27"/>
      <c r="E29" s="8">
        <v>0</v>
      </c>
      <c r="F29" s="8">
        <v>0</v>
      </c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/>
      <c r="L29" s="47">
        <v>0</v>
      </c>
      <c r="M29" s="150">
        <f t="shared" si="3"/>
        <v>63.18</v>
      </c>
      <c r="N29" s="8"/>
      <c r="O29" s="1"/>
    </row>
    <row r="30" spans="1:16">
      <c r="A30" s="28">
        <v>27</v>
      </c>
      <c r="B30" s="29">
        <v>45774</v>
      </c>
      <c r="C30" s="27"/>
      <c r="D30" s="27"/>
      <c r="E30" s="8">
        <v>0</v>
      </c>
      <c r="F30" s="8">
        <v>0</v>
      </c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/>
      <c r="L30" s="47">
        <v>0</v>
      </c>
      <c r="M30" s="150">
        <f t="shared" si="3"/>
        <v>63.18</v>
      </c>
      <c r="N30" s="8"/>
      <c r="O30" s="1"/>
    </row>
    <row r="31" spans="1:16">
      <c r="A31" s="28">
        <v>28</v>
      </c>
      <c r="B31" s="29">
        <v>45775</v>
      </c>
      <c r="C31" s="27"/>
      <c r="D31" s="27"/>
      <c r="E31" s="8">
        <v>0</v>
      </c>
      <c r="F31" s="8">
        <v>0</v>
      </c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/>
      <c r="L31" s="47">
        <v>0</v>
      </c>
      <c r="M31" s="150">
        <f t="shared" si="3"/>
        <v>63.18</v>
      </c>
      <c r="N31" s="8"/>
      <c r="O31" s="1"/>
    </row>
    <row r="32" spans="1:16">
      <c r="A32" s="28">
        <v>29</v>
      </c>
      <c r="B32" s="29">
        <v>45776</v>
      </c>
      <c r="C32" s="27"/>
      <c r="D32" s="27"/>
      <c r="E32" s="8">
        <v>0</v>
      </c>
      <c r="F32" s="8">
        <v>0</v>
      </c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/>
      <c r="L32" s="47"/>
      <c r="M32" s="150">
        <f t="shared" si="3"/>
        <v>63.18</v>
      </c>
      <c r="N32" s="8"/>
      <c r="O32" s="1"/>
    </row>
    <row r="33" spans="1:15">
      <c r="A33" s="28">
        <v>30</v>
      </c>
      <c r="B33" s="29">
        <v>45777</v>
      </c>
      <c r="C33" s="27"/>
      <c r="D33" s="27"/>
      <c r="E33" s="8">
        <v>0</v>
      </c>
      <c r="F33" s="8">
        <v>0</v>
      </c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/>
      <c r="L33" s="47">
        <v>0</v>
      </c>
      <c r="M33" s="150">
        <f t="shared" si="3"/>
        <v>63.18</v>
      </c>
      <c r="N33" s="8"/>
      <c r="O33" s="1"/>
    </row>
    <row r="34" spans="1:15">
      <c r="A34" s="28">
        <v>31</v>
      </c>
      <c r="B34" s="29"/>
      <c r="C34" s="27"/>
      <c r="D34" s="27"/>
      <c r="E34" s="8">
        <v>0</v>
      </c>
      <c r="F34" s="8">
        <v>0</v>
      </c>
      <c r="G34" s="8">
        <f t="shared" si="0"/>
        <v>0</v>
      </c>
      <c r="H34" s="9">
        <v>0</v>
      </c>
      <c r="I34" s="9">
        <v>0</v>
      </c>
      <c r="J34" s="8">
        <f t="shared" si="1"/>
        <v>0</v>
      </c>
      <c r="K34" s="8"/>
      <c r="L34" s="8"/>
      <c r="M34" s="150">
        <f t="shared" si="3"/>
        <v>63.18</v>
      </c>
      <c r="N34" s="8"/>
      <c r="O34" s="1"/>
    </row>
    <row r="35" spans="1:15">
      <c r="A35" s="52"/>
      <c r="B35" s="52"/>
      <c r="C35" s="52"/>
      <c r="D35" s="52"/>
      <c r="E35" s="53">
        <f>SUM(E3:E31)</f>
        <v>0</v>
      </c>
      <c r="F35" s="53"/>
      <c r="G35" s="53">
        <f>SUM(G3:G31)</f>
        <v>0</v>
      </c>
      <c r="H35" s="53">
        <f>SUM(H3:H31)</f>
        <v>0</v>
      </c>
      <c r="I35" s="53"/>
      <c r="J35" s="53">
        <f>SUM(J3:J31)</f>
        <v>0</v>
      </c>
      <c r="K35" s="53">
        <f>SUM(K3:K31)</f>
        <v>-63.18</v>
      </c>
      <c r="L35" s="53">
        <f>SUM(L3:L31)</f>
        <v>0</v>
      </c>
      <c r="M35" s="53"/>
      <c r="N35" s="53"/>
      <c r="O35" s="35"/>
    </row>
    <row r="36" spans="1:15">
      <c r="A36" s="1"/>
      <c r="B36" s="1"/>
      <c r="C36" s="1"/>
      <c r="D36" s="1"/>
      <c r="E36" s="1"/>
      <c r="F36" s="1"/>
      <c r="G36" s="3"/>
      <c r="H36" s="1"/>
      <c r="I36" s="1"/>
      <c r="J36" s="1"/>
      <c r="K36" s="1"/>
      <c r="L36" s="1"/>
      <c r="M36" s="1"/>
      <c r="N36" s="1"/>
    </row>
    <row r="37" spans="1:15">
      <c r="A37" s="1"/>
      <c r="B37" s="400"/>
      <c r="C37" s="400"/>
      <c r="D37" s="400"/>
      <c r="E37" s="400"/>
      <c r="F37" s="1"/>
      <c r="G37" s="1"/>
      <c r="H37" s="1"/>
      <c r="I37" s="400"/>
      <c r="J37" s="400"/>
      <c r="K37" s="400"/>
      <c r="L37" s="400"/>
      <c r="M37" s="400"/>
      <c r="N37" s="400"/>
      <c r="O37" s="4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4"/>
    </row>
  </sheetData>
  <mergeCells count="4">
    <mergeCell ref="B37:E37"/>
    <mergeCell ref="I37:N37"/>
    <mergeCell ref="A1:N1"/>
    <mergeCell ref="A3:J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CA35-1BE9-438E-8185-D1566BB4E034}">
  <sheetPr>
    <tabColor rgb="FF00B050"/>
  </sheetPr>
  <dimension ref="A1:N42"/>
  <sheetViews>
    <sheetView workbookViewId="0">
      <selection activeCell="A36" sqref="A36"/>
    </sheetView>
  </sheetViews>
  <sheetFormatPr defaultRowHeight="15"/>
  <cols>
    <col min="2" max="2" width="13.140625" customWidth="1"/>
    <col min="4" max="4" width="22.7109375" customWidth="1"/>
    <col min="5" max="5" width="16.140625" customWidth="1"/>
    <col min="7" max="7" width="13.85546875" customWidth="1"/>
    <col min="11" max="11" width="14" customWidth="1"/>
    <col min="12" max="12" width="23" customWidth="1"/>
    <col min="13" max="13" width="15.7109375" customWidth="1"/>
    <col min="14" max="14" width="17.5703125" customWidth="1"/>
  </cols>
  <sheetData>
    <row r="1" spans="1:14" ht="15.75">
      <c r="A1" s="413" t="s">
        <v>262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</row>
    <row r="2" spans="1:14" ht="30.75">
      <c r="A2" s="142" t="s">
        <v>81</v>
      </c>
      <c r="B2" s="143" t="s">
        <v>82</v>
      </c>
      <c r="C2" s="143" t="s">
        <v>83</v>
      </c>
      <c r="D2" s="143" t="s">
        <v>84</v>
      </c>
      <c r="E2" s="143" t="s">
        <v>85</v>
      </c>
      <c r="F2" s="143" t="s">
        <v>86</v>
      </c>
      <c r="G2" s="143" t="s">
        <v>87</v>
      </c>
      <c r="H2" s="143" t="s">
        <v>88</v>
      </c>
      <c r="I2" s="143" t="s">
        <v>86</v>
      </c>
      <c r="J2" s="144" t="s">
        <v>87</v>
      </c>
      <c r="K2" s="142" t="s">
        <v>89</v>
      </c>
      <c r="L2" s="145" t="s">
        <v>90</v>
      </c>
      <c r="M2" s="145" t="s">
        <v>99</v>
      </c>
      <c r="N2" s="143" t="s">
        <v>92</v>
      </c>
    </row>
    <row r="3" spans="1:14">
      <c r="A3" s="421" t="s">
        <v>93</v>
      </c>
      <c r="B3" s="421"/>
      <c r="C3" s="421"/>
      <c r="D3" s="421"/>
      <c r="E3" s="421"/>
      <c r="F3" s="421"/>
      <c r="G3" s="421"/>
      <c r="H3" s="421"/>
      <c r="I3" s="421"/>
      <c r="J3" s="421"/>
      <c r="K3" s="246">
        <v>0</v>
      </c>
      <c r="L3" s="111"/>
      <c r="M3" s="46">
        <f>+K3</f>
        <v>0</v>
      </c>
      <c r="N3" s="19"/>
    </row>
    <row r="4" spans="1:14">
      <c r="A4" s="28">
        <v>1</v>
      </c>
      <c r="B4" s="29">
        <v>45748</v>
      </c>
      <c r="C4" s="19"/>
      <c r="D4" s="19"/>
      <c r="E4" s="46"/>
      <c r="F4" s="46"/>
      <c r="G4" s="46">
        <f>E4*F4</f>
        <v>0</v>
      </c>
      <c r="H4" s="46"/>
      <c r="I4" s="46"/>
      <c r="J4" s="46">
        <f>H4*I4</f>
        <v>0</v>
      </c>
      <c r="K4" s="46">
        <f>G4+J4</f>
        <v>0</v>
      </c>
      <c r="L4" s="46"/>
      <c r="M4" s="46">
        <f>M3+K4-L4</f>
        <v>0</v>
      </c>
      <c r="N4" s="46"/>
    </row>
    <row r="5" spans="1:14">
      <c r="A5" s="28">
        <v>2</v>
      </c>
      <c r="B5" s="29">
        <v>45749</v>
      </c>
      <c r="C5" s="19"/>
      <c r="D5" s="19"/>
      <c r="E5" s="46"/>
      <c r="F5" s="46"/>
      <c r="G5" s="46">
        <f t="shared" ref="G5:G35" si="0">E5*F5</f>
        <v>0</v>
      </c>
      <c r="H5" s="46"/>
      <c r="I5" s="46"/>
      <c r="J5" s="46">
        <f t="shared" ref="J5:J35" si="1">H5*I5</f>
        <v>0</v>
      </c>
      <c r="K5" s="46">
        <f t="shared" ref="K5:K35" si="2">G5+J5</f>
        <v>0</v>
      </c>
      <c r="L5" s="46"/>
      <c r="M5" s="46">
        <f t="shared" ref="M5:M35" si="3">M4+K5-L5</f>
        <v>0</v>
      </c>
      <c r="N5" s="46"/>
    </row>
    <row r="6" spans="1:14">
      <c r="A6" s="28">
        <v>3</v>
      </c>
      <c r="B6" s="29">
        <v>45750</v>
      </c>
      <c r="C6" s="19"/>
      <c r="D6" s="19"/>
      <c r="E6" s="46"/>
      <c r="F6" s="46"/>
      <c r="G6" s="46">
        <f t="shared" si="0"/>
        <v>0</v>
      </c>
      <c r="H6" s="46"/>
      <c r="I6" s="46"/>
      <c r="J6" s="46">
        <f t="shared" si="1"/>
        <v>0</v>
      </c>
      <c r="K6" s="46">
        <f t="shared" si="2"/>
        <v>0</v>
      </c>
      <c r="L6" s="46"/>
      <c r="M6" s="46">
        <f t="shared" si="3"/>
        <v>0</v>
      </c>
      <c r="N6" s="46"/>
    </row>
    <row r="7" spans="1:14">
      <c r="A7" s="28">
        <v>4</v>
      </c>
      <c r="B7" s="29">
        <v>45751</v>
      </c>
      <c r="C7" s="19"/>
      <c r="D7" s="19"/>
      <c r="E7" s="46"/>
      <c r="F7" s="46"/>
      <c r="G7" s="46">
        <f t="shared" si="0"/>
        <v>0</v>
      </c>
      <c r="H7" s="46"/>
      <c r="I7" s="46"/>
      <c r="J7" s="46">
        <f t="shared" si="1"/>
        <v>0</v>
      </c>
      <c r="K7" s="46">
        <f t="shared" si="2"/>
        <v>0</v>
      </c>
      <c r="L7" s="46"/>
      <c r="M7" s="46">
        <f t="shared" si="3"/>
        <v>0</v>
      </c>
      <c r="N7" s="46"/>
    </row>
    <row r="8" spans="1:14">
      <c r="A8" s="28">
        <v>5</v>
      </c>
      <c r="B8" s="29">
        <v>45752</v>
      </c>
      <c r="C8" s="19"/>
      <c r="D8" s="19"/>
      <c r="E8" s="46"/>
      <c r="F8" s="46"/>
      <c r="G8" s="46">
        <f t="shared" si="0"/>
        <v>0</v>
      </c>
      <c r="H8" s="46"/>
      <c r="I8" s="46"/>
      <c r="J8" s="46">
        <f t="shared" si="1"/>
        <v>0</v>
      </c>
      <c r="K8" s="46">
        <f t="shared" si="2"/>
        <v>0</v>
      </c>
      <c r="L8" s="46"/>
      <c r="M8" s="46">
        <f t="shared" si="3"/>
        <v>0</v>
      </c>
      <c r="N8" s="46"/>
    </row>
    <row r="9" spans="1:14">
      <c r="A9" s="28">
        <v>6</v>
      </c>
      <c r="B9" s="29">
        <v>45753</v>
      </c>
      <c r="C9" s="19"/>
      <c r="D9" s="19"/>
      <c r="E9" s="46"/>
      <c r="F9" s="46"/>
      <c r="G9" s="46">
        <f t="shared" si="0"/>
        <v>0</v>
      </c>
      <c r="H9" s="46"/>
      <c r="I9" s="46"/>
      <c r="J9" s="46">
        <f t="shared" si="1"/>
        <v>0</v>
      </c>
      <c r="K9" s="46">
        <f t="shared" si="2"/>
        <v>0</v>
      </c>
      <c r="L9" s="46"/>
      <c r="M9" s="46">
        <f t="shared" si="3"/>
        <v>0</v>
      </c>
      <c r="N9" s="46"/>
    </row>
    <row r="10" spans="1:14">
      <c r="A10" s="28">
        <v>7</v>
      </c>
      <c r="B10" s="29">
        <v>45754</v>
      </c>
      <c r="C10" s="19"/>
      <c r="D10" s="19"/>
      <c r="E10" s="46"/>
      <c r="F10" s="46"/>
      <c r="G10" s="46">
        <f t="shared" si="0"/>
        <v>0</v>
      </c>
      <c r="H10" s="46"/>
      <c r="I10" s="46"/>
      <c r="J10" s="46">
        <f t="shared" si="1"/>
        <v>0</v>
      </c>
      <c r="K10" s="46">
        <f t="shared" si="2"/>
        <v>0</v>
      </c>
      <c r="L10" s="46"/>
      <c r="M10" s="46">
        <f t="shared" si="3"/>
        <v>0</v>
      </c>
      <c r="N10" s="46"/>
    </row>
    <row r="11" spans="1:14">
      <c r="A11" s="28">
        <v>8</v>
      </c>
      <c r="B11" s="29">
        <v>45755</v>
      </c>
      <c r="C11" s="19"/>
      <c r="D11" s="19"/>
      <c r="E11" s="46"/>
      <c r="F11" s="46"/>
      <c r="G11" s="46">
        <f t="shared" si="0"/>
        <v>0</v>
      </c>
      <c r="H11" s="46"/>
      <c r="I11" s="46"/>
      <c r="J11" s="46">
        <f t="shared" si="1"/>
        <v>0</v>
      </c>
      <c r="K11" s="46">
        <f t="shared" si="2"/>
        <v>0</v>
      </c>
      <c r="L11" s="46"/>
      <c r="M11" s="46">
        <f t="shared" si="3"/>
        <v>0</v>
      </c>
      <c r="N11" s="46"/>
    </row>
    <row r="12" spans="1:14">
      <c r="A12" s="28">
        <v>9</v>
      </c>
      <c r="B12" s="29">
        <v>45756</v>
      </c>
      <c r="C12" s="19"/>
      <c r="D12" s="19"/>
      <c r="E12" s="46"/>
      <c r="F12" s="46"/>
      <c r="G12" s="46">
        <f t="shared" si="0"/>
        <v>0</v>
      </c>
      <c r="H12" s="46"/>
      <c r="I12" s="46"/>
      <c r="J12" s="46">
        <f t="shared" si="1"/>
        <v>0</v>
      </c>
      <c r="K12" s="46">
        <f t="shared" si="2"/>
        <v>0</v>
      </c>
      <c r="L12" s="46"/>
      <c r="M12" s="46">
        <f t="shared" si="3"/>
        <v>0</v>
      </c>
      <c r="N12" s="46"/>
    </row>
    <row r="13" spans="1:14">
      <c r="A13" s="28">
        <v>10</v>
      </c>
      <c r="B13" s="29">
        <v>45757</v>
      </c>
      <c r="C13" s="19"/>
      <c r="D13" s="19"/>
      <c r="E13" s="46"/>
      <c r="F13" s="46"/>
      <c r="G13" s="46">
        <f t="shared" si="0"/>
        <v>0</v>
      </c>
      <c r="H13" s="46"/>
      <c r="I13" s="46"/>
      <c r="J13" s="46">
        <f t="shared" si="1"/>
        <v>0</v>
      </c>
      <c r="K13" s="46">
        <f t="shared" si="2"/>
        <v>0</v>
      </c>
      <c r="L13" s="46"/>
      <c r="M13" s="46">
        <f t="shared" si="3"/>
        <v>0</v>
      </c>
      <c r="N13" s="46"/>
    </row>
    <row r="14" spans="1:14">
      <c r="A14" s="28">
        <v>11</v>
      </c>
      <c r="B14" s="29">
        <v>45758</v>
      </c>
      <c r="C14" s="19"/>
      <c r="D14" s="19"/>
      <c r="E14" s="46"/>
      <c r="F14" s="46"/>
      <c r="G14" s="46">
        <f t="shared" si="0"/>
        <v>0</v>
      </c>
      <c r="H14" s="46"/>
      <c r="I14" s="46"/>
      <c r="J14" s="46">
        <f t="shared" si="1"/>
        <v>0</v>
      </c>
      <c r="K14" s="46">
        <f t="shared" si="2"/>
        <v>0</v>
      </c>
      <c r="L14" s="46"/>
      <c r="M14" s="46">
        <f t="shared" si="3"/>
        <v>0</v>
      </c>
      <c r="N14" s="46"/>
    </row>
    <row r="15" spans="1:14">
      <c r="A15" s="28">
        <v>12</v>
      </c>
      <c r="B15" s="29">
        <v>45759</v>
      </c>
      <c r="C15" s="19"/>
      <c r="D15" s="19"/>
      <c r="E15" s="46"/>
      <c r="F15" s="46"/>
      <c r="G15" s="46">
        <f t="shared" si="0"/>
        <v>0</v>
      </c>
      <c r="H15" s="46"/>
      <c r="I15" s="46"/>
      <c r="J15" s="46">
        <f t="shared" si="1"/>
        <v>0</v>
      </c>
      <c r="K15" s="46">
        <f t="shared" si="2"/>
        <v>0</v>
      </c>
      <c r="L15" s="46"/>
      <c r="M15" s="46">
        <f t="shared" si="3"/>
        <v>0</v>
      </c>
      <c r="N15" s="46"/>
    </row>
    <row r="16" spans="1:14">
      <c r="A16" s="28">
        <v>13</v>
      </c>
      <c r="B16" s="29">
        <v>45760</v>
      </c>
      <c r="C16" s="19"/>
      <c r="D16" s="19"/>
      <c r="E16" s="46"/>
      <c r="F16" s="46"/>
      <c r="G16" s="46">
        <f t="shared" si="0"/>
        <v>0</v>
      </c>
      <c r="H16" s="46"/>
      <c r="I16" s="46"/>
      <c r="J16" s="46">
        <f t="shared" si="1"/>
        <v>0</v>
      </c>
      <c r="K16" s="46">
        <f t="shared" si="2"/>
        <v>0</v>
      </c>
      <c r="L16" s="46"/>
      <c r="M16" s="46">
        <f t="shared" si="3"/>
        <v>0</v>
      </c>
      <c r="N16" s="46"/>
    </row>
    <row r="17" spans="1:14">
      <c r="A17" s="28">
        <v>14</v>
      </c>
      <c r="B17" s="29">
        <v>45761</v>
      </c>
      <c r="C17" s="19"/>
      <c r="D17" s="19"/>
      <c r="E17" s="46"/>
      <c r="F17" s="46"/>
      <c r="G17" s="46">
        <f t="shared" si="0"/>
        <v>0</v>
      </c>
      <c r="H17" s="46"/>
      <c r="I17" s="46"/>
      <c r="J17" s="46">
        <f t="shared" si="1"/>
        <v>0</v>
      </c>
      <c r="K17" s="46">
        <f t="shared" si="2"/>
        <v>0</v>
      </c>
      <c r="L17" s="46"/>
      <c r="M17" s="46">
        <f t="shared" si="3"/>
        <v>0</v>
      </c>
      <c r="N17" s="46"/>
    </row>
    <row r="18" spans="1:14">
      <c r="A18" s="28">
        <v>15</v>
      </c>
      <c r="B18" s="29">
        <v>45762</v>
      </c>
      <c r="C18" s="19"/>
      <c r="D18" s="19"/>
      <c r="E18" s="46"/>
      <c r="F18" s="46"/>
      <c r="G18" s="46">
        <f t="shared" si="0"/>
        <v>0</v>
      </c>
      <c r="H18" s="46"/>
      <c r="I18" s="46"/>
      <c r="J18" s="46">
        <f t="shared" si="1"/>
        <v>0</v>
      </c>
      <c r="K18" s="46">
        <f t="shared" si="2"/>
        <v>0</v>
      </c>
      <c r="L18" s="46"/>
      <c r="M18" s="46">
        <f t="shared" si="3"/>
        <v>0</v>
      </c>
      <c r="N18" s="46"/>
    </row>
    <row r="19" spans="1:14">
      <c r="A19" s="28">
        <v>16</v>
      </c>
      <c r="B19" s="29">
        <v>45763</v>
      </c>
      <c r="C19" s="19"/>
      <c r="D19" s="19"/>
      <c r="E19" s="46"/>
      <c r="F19" s="46"/>
      <c r="G19" s="46">
        <f t="shared" si="0"/>
        <v>0</v>
      </c>
      <c r="H19" s="46"/>
      <c r="I19" s="46"/>
      <c r="J19" s="46">
        <f t="shared" si="1"/>
        <v>0</v>
      </c>
      <c r="K19" s="46">
        <f t="shared" si="2"/>
        <v>0</v>
      </c>
      <c r="L19" s="46"/>
      <c r="M19" s="46">
        <f t="shared" si="3"/>
        <v>0</v>
      </c>
      <c r="N19" s="46"/>
    </row>
    <row r="20" spans="1:14">
      <c r="A20" s="28">
        <v>17</v>
      </c>
      <c r="B20" s="29">
        <v>45764</v>
      </c>
      <c r="C20" s="19"/>
      <c r="D20" s="19"/>
      <c r="E20" s="46"/>
      <c r="F20" s="46"/>
      <c r="G20" s="46">
        <f t="shared" si="0"/>
        <v>0</v>
      </c>
      <c r="H20" s="46"/>
      <c r="I20" s="46"/>
      <c r="J20" s="46">
        <f t="shared" si="1"/>
        <v>0</v>
      </c>
      <c r="K20" s="46">
        <f t="shared" si="2"/>
        <v>0</v>
      </c>
      <c r="L20" s="46"/>
      <c r="M20" s="46">
        <f t="shared" si="3"/>
        <v>0</v>
      </c>
      <c r="N20" s="46"/>
    </row>
    <row r="21" spans="1:14">
      <c r="A21" s="28">
        <v>18</v>
      </c>
      <c r="B21" s="29">
        <v>45765</v>
      </c>
      <c r="C21" s="19"/>
      <c r="D21" s="19"/>
      <c r="E21" s="46"/>
      <c r="F21" s="46"/>
      <c r="G21" s="46">
        <f t="shared" si="0"/>
        <v>0</v>
      </c>
      <c r="H21" s="46"/>
      <c r="I21" s="46"/>
      <c r="J21" s="46">
        <f t="shared" si="1"/>
        <v>0</v>
      </c>
      <c r="K21" s="46">
        <f t="shared" si="2"/>
        <v>0</v>
      </c>
      <c r="L21" s="46"/>
      <c r="M21" s="46">
        <f t="shared" si="3"/>
        <v>0</v>
      </c>
      <c r="N21" s="46"/>
    </row>
    <row r="22" spans="1:14">
      <c r="A22" s="28">
        <v>19</v>
      </c>
      <c r="B22" s="29">
        <v>45766</v>
      </c>
      <c r="C22" s="19"/>
      <c r="D22" s="19"/>
      <c r="E22" s="46"/>
      <c r="F22" s="46"/>
      <c r="G22" s="46">
        <f t="shared" si="0"/>
        <v>0</v>
      </c>
      <c r="H22" s="46"/>
      <c r="I22" s="46"/>
      <c r="J22" s="46">
        <f t="shared" si="1"/>
        <v>0</v>
      </c>
      <c r="K22" s="46">
        <f t="shared" si="2"/>
        <v>0</v>
      </c>
      <c r="L22" s="46"/>
      <c r="M22" s="46">
        <f t="shared" si="3"/>
        <v>0</v>
      </c>
      <c r="N22" s="46"/>
    </row>
    <row r="23" spans="1:14">
      <c r="A23" s="28">
        <v>20</v>
      </c>
      <c r="B23" s="29">
        <v>45767</v>
      </c>
      <c r="C23" s="19"/>
      <c r="D23" s="19"/>
      <c r="E23" s="46"/>
      <c r="F23" s="46"/>
      <c r="G23" s="46">
        <f t="shared" si="0"/>
        <v>0</v>
      </c>
      <c r="H23" s="46"/>
      <c r="I23" s="46"/>
      <c r="J23" s="46">
        <f t="shared" si="1"/>
        <v>0</v>
      </c>
      <c r="K23" s="46">
        <f t="shared" si="2"/>
        <v>0</v>
      </c>
      <c r="L23" s="46"/>
      <c r="M23" s="46">
        <f t="shared" si="3"/>
        <v>0</v>
      </c>
      <c r="N23" s="46"/>
    </row>
    <row r="24" spans="1:14">
      <c r="A24" s="28">
        <v>21</v>
      </c>
      <c r="B24" s="29">
        <v>45768</v>
      </c>
      <c r="C24" s="19"/>
      <c r="D24" s="19"/>
      <c r="E24" s="46"/>
      <c r="F24" s="46"/>
      <c r="G24" s="46">
        <f t="shared" si="0"/>
        <v>0</v>
      </c>
      <c r="H24" s="46"/>
      <c r="I24" s="46"/>
      <c r="J24" s="46">
        <f t="shared" si="1"/>
        <v>0</v>
      </c>
      <c r="K24" s="46">
        <f t="shared" si="2"/>
        <v>0</v>
      </c>
      <c r="L24" s="46"/>
      <c r="M24" s="46">
        <f t="shared" si="3"/>
        <v>0</v>
      </c>
      <c r="N24" s="46"/>
    </row>
    <row r="25" spans="1:14">
      <c r="A25" s="28">
        <v>22</v>
      </c>
      <c r="B25" s="29">
        <v>45769</v>
      </c>
      <c r="C25" s="19"/>
      <c r="D25" s="19"/>
      <c r="E25" s="46"/>
      <c r="F25" s="46"/>
      <c r="G25" s="46">
        <f t="shared" si="0"/>
        <v>0</v>
      </c>
      <c r="H25" s="46"/>
      <c r="I25" s="46"/>
      <c r="J25" s="46">
        <f t="shared" si="1"/>
        <v>0</v>
      </c>
      <c r="K25" s="46">
        <f t="shared" si="2"/>
        <v>0</v>
      </c>
      <c r="L25" s="46"/>
      <c r="M25" s="46">
        <f t="shared" si="3"/>
        <v>0</v>
      </c>
      <c r="N25" s="46"/>
    </row>
    <row r="26" spans="1:14">
      <c r="A26" s="28">
        <v>23</v>
      </c>
      <c r="B26" s="29">
        <v>45770</v>
      </c>
      <c r="C26" s="19"/>
      <c r="D26" s="19"/>
      <c r="E26" s="46"/>
      <c r="F26" s="46"/>
      <c r="G26" s="46">
        <f t="shared" si="0"/>
        <v>0</v>
      </c>
      <c r="H26" s="46"/>
      <c r="I26" s="46"/>
      <c r="J26" s="46">
        <f t="shared" si="1"/>
        <v>0</v>
      </c>
      <c r="K26" s="46">
        <f t="shared" si="2"/>
        <v>0</v>
      </c>
      <c r="L26" s="46"/>
      <c r="M26" s="46">
        <f t="shared" si="3"/>
        <v>0</v>
      </c>
      <c r="N26" s="46"/>
    </row>
    <row r="27" spans="1:14">
      <c r="A27" s="28">
        <v>24</v>
      </c>
      <c r="B27" s="29">
        <v>45771</v>
      </c>
      <c r="C27" s="19"/>
      <c r="D27" s="19"/>
      <c r="E27" s="46"/>
      <c r="F27" s="46"/>
      <c r="G27" s="46">
        <f t="shared" si="0"/>
        <v>0</v>
      </c>
      <c r="H27" s="46"/>
      <c r="I27" s="46"/>
      <c r="J27" s="46">
        <f t="shared" si="1"/>
        <v>0</v>
      </c>
      <c r="K27" s="46">
        <f t="shared" si="2"/>
        <v>0</v>
      </c>
      <c r="L27" s="46"/>
      <c r="M27" s="46">
        <f t="shared" si="3"/>
        <v>0</v>
      </c>
      <c r="N27" s="46"/>
    </row>
    <row r="28" spans="1:14" ht="16.5" customHeight="1">
      <c r="A28" s="28">
        <v>25</v>
      </c>
      <c r="B28" s="29">
        <v>45772</v>
      </c>
      <c r="C28" s="19"/>
      <c r="D28" s="19"/>
      <c r="E28" s="46"/>
      <c r="F28" s="46"/>
      <c r="G28" s="46">
        <f t="shared" si="0"/>
        <v>0</v>
      </c>
      <c r="H28" s="46"/>
      <c r="I28" s="46"/>
      <c r="J28" s="46">
        <f t="shared" si="1"/>
        <v>0</v>
      </c>
      <c r="K28" s="46">
        <f t="shared" si="2"/>
        <v>0</v>
      </c>
      <c r="L28" s="46"/>
      <c r="M28" s="46">
        <f t="shared" si="3"/>
        <v>0</v>
      </c>
      <c r="N28" s="46"/>
    </row>
    <row r="29" spans="1:14">
      <c r="A29" s="28">
        <v>26</v>
      </c>
      <c r="B29" s="29">
        <v>45773</v>
      </c>
      <c r="C29" s="19"/>
      <c r="D29" s="19"/>
      <c r="E29" s="46"/>
      <c r="F29" s="46"/>
      <c r="G29" s="46">
        <f t="shared" si="0"/>
        <v>0</v>
      </c>
      <c r="H29" s="46"/>
      <c r="I29" s="46"/>
      <c r="J29" s="46">
        <f t="shared" si="1"/>
        <v>0</v>
      </c>
      <c r="K29" s="46">
        <f t="shared" si="2"/>
        <v>0</v>
      </c>
      <c r="L29" s="46"/>
      <c r="M29" s="46">
        <f t="shared" si="3"/>
        <v>0</v>
      </c>
      <c r="N29" s="46"/>
    </row>
    <row r="30" spans="1:14">
      <c r="A30" s="28">
        <v>27</v>
      </c>
      <c r="B30" s="29">
        <v>45774</v>
      </c>
      <c r="C30" s="19"/>
      <c r="D30" s="19"/>
      <c r="E30" s="46"/>
      <c r="F30" s="46"/>
      <c r="G30" s="46">
        <f t="shared" si="0"/>
        <v>0</v>
      </c>
      <c r="H30" s="46"/>
      <c r="I30" s="46"/>
      <c r="J30" s="46">
        <f t="shared" si="1"/>
        <v>0</v>
      </c>
      <c r="K30" s="46">
        <f t="shared" si="2"/>
        <v>0</v>
      </c>
      <c r="L30" s="46"/>
      <c r="M30" s="46">
        <f t="shared" si="3"/>
        <v>0</v>
      </c>
      <c r="N30" s="46"/>
    </row>
    <row r="31" spans="1:14">
      <c r="A31" s="28">
        <v>28</v>
      </c>
      <c r="B31" s="29">
        <v>45775</v>
      </c>
      <c r="C31" s="19"/>
      <c r="D31" s="19"/>
      <c r="E31" s="46"/>
      <c r="F31" s="46"/>
      <c r="G31" s="46">
        <f t="shared" si="0"/>
        <v>0</v>
      </c>
      <c r="H31" s="46"/>
      <c r="I31" s="46"/>
      <c r="J31" s="46">
        <f t="shared" si="1"/>
        <v>0</v>
      </c>
      <c r="K31" s="46">
        <f t="shared" si="2"/>
        <v>0</v>
      </c>
      <c r="L31" s="46"/>
      <c r="M31" s="46">
        <f t="shared" si="3"/>
        <v>0</v>
      </c>
      <c r="N31" s="46"/>
    </row>
    <row r="32" spans="1:14">
      <c r="A32" s="28">
        <v>29</v>
      </c>
      <c r="B32" s="29">
        <v>45776</v>
      </c>
      <c r="C32" s="19"/>
      <c r="D32" s="19"/>
      <c r="E32" s="46"/>
      <c r="F32" s="46"/>
      <c r="G32" s="46">
        <f t="shared" si="0"/>
        <v>0</v>
      </c>
      <c r="H32" s="46"/>
      <c r="I32" s="46"/>
      <c r="J32" s="46">
        <f t="shared" si="1"/>
        <v>0</v>
      </c>
      <c r="K32" s="46">
        <f t="shared" si="2"/>
        <v>0</v>
      </c>
      <c r="L32" s="46"/>
      <c r="M32" s="46">
        <f t="shared" si="3"/>
        <v>0</v>
      </c>
      <c r="N32" s="46"/>
    </row>
    <row r="33" spans="1:14">
      <c r="A33" s="28">
        <v>30</v>
      </c>
      <c r="B33" s="29">
        <v>45777</v>
      </c>
      <c r="C33" s="19"/>
      <c r="D33" s="19"/>
      <c r="E33" s="46"/>
      <c r="F33" s="46"/>
      <c r="G33" s="46">
        <f t="shared" si="0"/>
        <v>0</v>
      </c>
      <c r="H33" s="46"/>
      <c r="I33" s="46"/>
      <c r="J33" s="46">
        <f t="shared" si="1"/>
        <v>0</v>
      </c>
      <c r="K33" s="46">
        <f t="shared" si="2"/>
        <v>0</v>
      </c>
      <c r="L33" s="46"/>
      <c r="M33" s="46">
        <f t="shared" si="3"/>
        <v>0</v>
      </c>
      <c r="N33" s="46"/>
    </row>
    <row r="34" spans="1:14">
      <c r="A34" s="28">
        <v>31</v>
      </c>
      <c r="B34" s="29"/>
      <c r="C34" s="19"/>
      <c r="D34" s="19"/>
      <c r="E34" s="46"/>
      <c r="F34" s="46"/>
      <c r="G34" s="46">
        <f t="shared" si="0"/>
        <v>0</v>
      </c>
      <c r="H34" s="46"/>
      <c r="I34" s="46"/>
      <c r="J34" s="46">
        <f t="shared" si="1"/>
        <v>0</v>
      </c>
      <c r="K34" s="46">
        <f t="shared" si="2"/>
        <v>0</v>
      </c>
      <c r="L34" s="46"/>
      <c r="M34" s="46">
        <f t="shared" si="3"/>
        <v>0</v>
      </c>
      <c r="N34" s="46"/>
    </row>
    <row r="35" spans="1:14">
      <c r="A35" s="28">
        <v>32</v>
      </c>
      <c r="B35" s="29"/>
      <c r="C35" s="19"/>
      <c r="D35" s="19"/>
      <c r="E35" s="46"/>
      <c r="F35" s="46"/>
      <c r="G35" s="46">
        <f t="shared" si="0"/>
        <v>0</v>
      </c>
      <c r="H35" s="46"/>
      <c r="I35" s="46"/>
      <c r="J35" s="46">
        <f t="shared" si="1"/>
        <v>0</v>
      </c>
      <c r="K35" s="46">
        <f t="shared" si="2"/>
        <v>0</v>
      </c>
      <c r="L35" s="46"/>
      <c r="M35" s="46">
        <f t="shared" si="3"/>
        <v>0</v>
      </c>
      <c r="N35" s="46"/>
    </row>
    <row r="36" spans="1:14">
      <c r="A36" s="52"/>
      <c r="B36" s="52"/>
      <c r="C36" s="52"/>
      <c r="D36" s="52"/>
      <c r="E36" s="308">
        <f>SUM(E3:E35)</f>
        <v>0</v>
      </c>
      <c r="F36" s="308"/>
      <c r="G36" s="308">
        <f>SUM(G3:G35)</f>
        <v>0</v>
      </c>
      <c r="H36" s="308">
        <f>SUM(H3:H35)</f>
        <v>0</v>
      </c>
      <c r="I36" s="308"/>
      <c r="J36" s="308">
        <f>SUM(J2:J35)</f>
        <v>0</v>
      </c>
      <c r="K36" s="308">
        <f>SUM(K3:K35)</f>
        <v>0</v>
      </c>
      <c r="L36" s="308">
        <f>SUM(L3:L35)</f>
        <v>0</v>
      </c>
      <c r="M36" s="308"/>
      <c r="N36" s="308"/>
    </row>
    <row r="41" spans="1:14">
      <c r="K41">
        <v>1958465.1350000005</v>
      </c>
    </row>
    <row r="42" spans="1:14">
      <c r="K42" s="24">
        <f>M35-K41</f>
        <v>-1958465.1350000005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810D-6702-454D-B4DA-2BB38ADF2BE1}">
  <dimension ref="A1:P44"/>
  <sheetViews>
    <sheetView workbookViewId="0">
      <selection activeCell="K40" sqref="K40"/>
    </sheetView>
  </sheetViews>
  <sheetFormatPr defaultColWidth="13.42578125" defaultRowHeight="15"/>
  <cols>
    <col min="1" max="1" width="7.28515625" customWidth="1"/>
    <col min="2" max="2" width="12.42578125" customWidth="1"/>
    <col min="4" max="4" width="17.5703125" customWidth="1"/>
    <col min="5" max="5" width="13.42578125" style="226"/>
    <col min="6" max="6" width="17.140625" customWidth="1"/>
    <col min="12" max="13" width="15.7109375" customWidth="1"/>
  </cols>
  <sheetData>
    <row r="1" spans="1:15" ht="15.75" customHeight="1">
      <c r="A1" s="417" t="s">
        <v>263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35"/>
    </row>
    <row r="2" spans="1:15">
      <c r="A2" s="119" t="s">
        <v>81</v>
      </c>
      <c r="B2" s="124" t="s">
        <v>82</v>
      </c>
      <c r="C2" s="124" t="s">
        <v>83</v>
      </c>
      <c r="D2" s="124" t="s">
        <v>84</v>
      </c>
      <c r="E2" s="238" t="s">
        <v>85</v>
      </c>
      <c r="F2" s="124" t="s">
        <v>86</v>
      </c>
      <c r="G2" s="124" t="s">
        <v>87</v>
      </c>
      <c r="H2" s="124" t="s">
        <v>88</v>
      </c>
      <c r="I2" s="124" t="s">
        <v>86</v>
      </c>
      <c r="J2" s="124" t="s">
        <v>87</v>
      </c>
      <c r="K2" s="124" t="s">
        <v>89</v>
      </c>
      <c r="L2" s="124" t="s">
        <v>90</v>
      </c>
      <c r="M2" s="124" t="s">
        <v>97</v>
      </c>
      <c r="N2" s="124" t="s">
        <v>92</v>
      </c>
      <c r="O2" s="35"/>
    </row>
    <row r="3" spans="1:15">
      <c r="A3" s="450" t="s">
        <v>93</v>
      </c>
      <c r="B3" s="450"/>
      <c r="C3" s="450"/>
      <c r="D3" s="450"/>
      <c r="E3" s="450"/>
      <c r="F3" s="450"/>
      <c r="G3" s="450"/>
      <c r="H3" s="450"/>
      <c r="I3" s="450"/>
      <c r="J3" s="450"/>
      <c r="K3" s="151">
        <v>0</v>
      </c>
      <c r="L3" s="151"/>
      <c r="M3" s="123">
        <f>+K3</f>
        <v>0</v>
      </c>
      <c r="N3" s="19"/>
      <c r="O3" s="24">
        <v>2291280.7674999996</v>
      </c>
    </row>
    <row r="4" spans="1:15">
      <c r="A4" s="28">
        <v>1</v>
      </c>
      <c r="B4" s="29">
        <v>45748</v>
      </c>
      <c r="C4" s="125"/>
      <c r="D4" s="37"/>
      <c r="E4" s="239">
        <v>0</v>
      </c>
      <c r="F4" s="39">
        <v>0</v>
      </c>
      <c r="G4" s="39">
        <f t="shared" ref="G4" si="0">E4*F4</f>
        <v>0</v>
      </c>
      <c r="H4" s="39"/>
      <c r="I4" s="39">
        <v>0</v>
      </c>
      <c r="J4" s="39">
        <f t="shared" ref="J4" si="1">H4*I4</f>
        <v>0</v>
      </c>
      <c r="K4" s="39">
        <f>G4+J4</f>
        <v>0</v>
      </c>
      <c r="L4" s="39"/>
      <c r="M4" s="39">
        <f>M3+K4-L4</f>
        <v>0</v>
      </c>
      <c r="N4" s="39"/>
      <c r="O4" s="35"/>
    </row>
    <row r="5" spans="1:15">
      <c r="A5" s="28">
        <v>2</v>
      </c>
      <c r="B5" s="29">
        <v>45749</v>
      </c>
      <c r="C5" s="125"/>
      <c r="D5" s="37"/>
      <c r="E5" s="239">
        <v>0</v>
      </c>
      <c r="F5" s="39">
        <v>0</v>
      </c>
      <c r="G5" s="39">
        <f t="shared" ref="G5:G34" si="2">E5*F5</f>
        <v>0</v>
      </c>
      <c r="H5" s="39"/>
      <c r="I5" s="39">
        <v>0</v>
      </c>
      <c r="J5" s="39">
        <f t="shared" ref="J5:J34" si="3">H5*I5</f>
        <v>0</v>
      </c>
      <c r="K5" s="39">
        <f t="shared" ref="K5:K34" si="4">G5+J5</f>
        <v>0</v>
      </c>
      <c r="L5" s="39"/>
      <c r="M5" s="39">
        <f t="shared" ref="M5:M13" si="5">M4+K5-L5</f>
        <v>0</v>
      </c>
      <c r="N5" s="39"/>
      <c r="O5" s="35"/>
    </row>
    <row r="6" spans="1:15">
      <c r="A6" s="28">
        <v>3</v>
      </c>
      <c r="B6" s="29">
        <v>45750</v>
      </c>
      <c r="C6" s="125"/>
      <c r="D6" s="37"/>
      <c r="E6" s="239">
        <v>0</v>
      </c>
      <c r="F6" s="39">
        <v>0</v>
      </c>
      <c r="G6" s="39">
        <f t="shared" si="2"/>
        <v>0</v>
      </c>
      <c r="H6" s="39"/>
      <c r="I6" s="39">
        <v>0</v>
      </c>
      <c r="J6" s="39">
        <f t="shared" si="3"/>
        <v>0</v>
      </c>
      <c r="K6" s="39">
        <f t="shared" si="4"/>
        <v>0</v>
      </c>
      <c r="L6" s="39"/>
      <c r="M6" s="39">
        <f t="shared" si="5"/>
        <v>0</v>
      </c>
      <c r="N6" s="39"/>
      <c r="O6" s="35"/>
    </row>
    <row r="7" spans="1:15">
      <c r="A7" s="28">
        <v>4</v>
      </c>
      <c r="B7" s="29">
        <v>45751</v>
      </c>
      <c r="C7" s="125"/>
      <c r="D7" s="37"/>
      <c r="E7" s="239">
        <v>0</v>
      </c>
      <c r="F7" s="39">
        <v>0</v>
      </c>
      <c r="G7" s="39">
        <f t="shared" si="2"/>
        <v>0</v>
      </c>
      <c r="H7" s="39"/>
      <c r="I7" s="39">
        <v>0</v>
      </c>
      <c r="J7" s="39">
        <f t="shared" si="3"/>
        <v>0</v>
      </c>
      <c r="K7" s="39">
        <f t="shared" si="4"/>
        <v>0</v>
      </c>
      <c r="L7" s="39"/>
      <c r="M7" s="39">
        <f t="shared" si="5"/>
        <v>0</v>
      </c>
      <c r="N7" s="39"/>
      <c r="O7" s="35"/>
    </row>
    <row r="8" spans="1:15">
      <c r="A8" s="28">
        <v>5</v>
      </c>
      <c r="B8" s="29">
        <v>45752</v>
      </c>
      <c r="C8" s="125"/>
      <c r="D8" s="37"/>
      <c r="E8" s="239">
        <v>0</v>
      </c>
      <c r="F8" s="39">
        <v>0</v>
      </c>
      <c r="G8" s="39">
        <f t="shared" si="2"/>
        <v>0</v>
      </c>
      <c r="H8" s="39"/>
      <c r="I8" s="39">
        <v>0</v>
      </c>
      <c r="J8" s="39">
        <f t="shared" si="3"/>
        <v>0</v>
      </c>
      <c r="K8" s="39">
        <f t="shared" si="4"/>
        <v>0</v>
      </c>
      <c r="L8" s="39"/>
      <c r="M8" s="39">
        <f t="shared" si="5"/>
        <v>0</v>
      </c>
      <c r="N8" s="39"/>
      <c r="O8" s="35"/>
    </row>
    <row r="9" spans="1:15">
      <c r="A9" s="28">
        <v>6</v>
      </c>
      <c r="B9" s="29">
        <v>45753</v>
      </c>
      <c r="C9" s="125"/>
      <c r="D9" s="37"/>
      <c r="E9" s="239">
        <v>0</v>
      </c>
      <c r="F9" s="39">
        <v>0</v>
      </c>
      <c r="G9" s="39">
        <f t="shared" si="2"/>
        <v>0</v>
      </c>
      <c r="H9" s="39"/>
      <c r="I9" s="39">
        <v>0</v>
      </c>
      <c r="J9" s="39">
        <f t="shared" si="3"/>
        <v>0</v>
      </c>
      <c r="K9" s="39">
        <f t="shared" si="4"/>
        <v>0</v>
      </c>
      <c r="L9" s="39"/>
      <c r="M9" s="39">
        <f t="shared" si="5"/>
        <v>0</v>
      </c>
      <c r="N9" s="39"/>
      <c r="O9" s="35"/>
    </row>
    <row r="10" spans="1:15">
      <c r="A10" s="28">
        <v>7</v>
      </c>
      <c r="B10" s="29">
        <v>45754</v>
      </c>
      <c r="C10" s="125"/>
      <c r="D10" s="37"/>
      <c r="E10" s="239">
        <v>0</v>
      </c>
      <c r="F10" s="39">
        <v>0</v>
      </c>
      <c r="G10" s="39">
        <f t="shared" si="2"/>
        <v>0</v>
      </c>
      <c r="H10" s="39"/>
      <c r="I10" s="39">
        <v>0</v>
      </c>
      <c r="J10" s="39">
        <f t="shared" si="3"/>
        <v>0</v>
      </c>
      <c r="K10" s="39">
        <f t="shared" si="4"/>
        <v>0</v>
      </c>
      <c r="L10" s="39"/>
      <c r="M10" s="39">
        <f t="shared" si="5"/>
        <v>0</v>
      </c>
      <c r="N10" s="39"/>
      <c r="O10" s="35"/>
    </row>
    <row r="11" spans="1:15">
      <c r="A11" s="28">
        <v>8</v>
      </c>
      <c r="B11" s="29">
        <v>45755</v>
      </c>
      <c r="C11" s="125"/>
      <c r="D11" s="37"/>
      <c r="E11" s="239">
        <v>0</v>
      </c>
      <c r="F11" s="39">
        <v>0</v>
      </c>
      <c r="G11" s="39">
        <f t="shared" si="2"/>
        <v>0</v>
      </c>
      <c r="H11" s="39"/>
      <c r="I11" s="39">
        <v>0</v>
      </c>
      <c r="J11" s="39">
        <f t="shared" si="3"/>
        <v>0</v>
      </c>
      <c r="K11" s="39">
        <f t="shared" si="4"/>
        <v>0</v>
      </c>
      <c r="L11" s="39"/>
      <c r="M11" s="39">
        <f t="shared" si="5"/>
        <v>0</v>
      </c>
      <c r="N11" s="39"/>
      <c r="O11" s="35"/>
    </row>
    <row r="12" spans="1:15">
      <c r="A12" s="28">
        <v>9</v>
      </c>
      <c r="B12" s="29">
        <v>45756</v>
      </c>
      <c r="C12" s="125"/>
      <c r="D12" s="37"/>
      <c r="E12" s="239">
        <v>0</v>
      </c>
      <c r="F12" s="39">
        <v>0</v>
      </c>
      <c r="G12" s="39">
        <f t="shared" si="2"/>
        <v>0</v>
      </c>
      <c r="H12" s="39"/>
      <c r="I12" s="39">
        <v>0</v>
      </c>
      <c r="J12" s="39">
        <f t="shared" si="3"/>
        <v>0</v>
      </c>
      <c r="K12" s="39">
        <f t="shared" si="4"/>
        <v>0</v>
      </c>
      <c r="L12" s="39"/>
      <c r="M12" s="39">
        <f t="shared" si="5"/>
        <v>0</v>
      </c>
      <c r="N12" s="39"/>
      <c r="O12" s="35"/>
    </row>
    <row r="13" spans="1:15">
      <c r="A13" s="28">
        <v>10</v>
      </c>
      <c r="B13" s="29">
        <v>45757</v>
      </c>
      <c r="C13" s="125"/>
      <c r="D13" s="37"/>
      <c r="E13" s="239">
        <v>0</v>
      </c>
      <c r="F13" s="39">
        <v>0</v>
      </c>
      <c r="G13" s="39">
        <f t="shared" si="2"/>
        <v>0</v>
      </c>
      <c r="H13" s="39"/>
      <c r="I13" s="39">
        <v>0</v>
      </c>
      <c r="J13" s="39">
        <f t="shared" si="3"/>
        <v>0</v>
      </c>
      <c r="K13" s="39">
        <f t="shared" si="4"/>
        <v>0</v>
      </c>
      <c r="L13" s="39"/>
      <c r="M13" s="39">
        <f>M12+K13-L13</f>
        <v>0</v>
      </c>
      <c r="N13" s="39"/>
      <c r="O13" s="35"/>
    </row>
    <row r="14" spans="1:15">
      <c r="A14" s="28">
        <v>11</v>
      </c>
      <c r="B14" s="29">
        <v>45758</v>
      </c>
      <c r="C14" s="125"/>
      <c r="D14" s="37"/>
      <c r="E14" s="239">
        <v>0</v>
      </c>
      <c r="F14" s="39">
        <v>0</v>
      </c>
      <c r="G14" s="39">
        <f t="shared" si="2"/>
        <v>0</v>
      </c>
      <c r="H14" s="39"/>
      <c r="I14" s="39">
        <v>0</v>
      </c>
      <c r="J14" s="39">
        <f t="shared" si="3"/>
        <v>0</v>
      </c>
      <c r="K14" s="39">
        <f t="shared" si="4"/>
        <v>0</v>
      </c>
      <c r="L14" s="39"/>
      <c r="M14" s="39">
        <f>M13+K14-L14</f>
        <v>0</v>
      </c>
      <c r="N14" s="39"/>
      <c r="O14" s="35"/>
    </row>
    <row r="15" spans="1:15">
      <c r="A15" s="28">
        <v>12</v>
      </c>
      <c r="B15" s="29">
        <v>45759</v>
      </c>
      <c r="C15" s="125"/>
      <c r="D15" s="37"/>
      <c r="E15" s="239">
        <v>0</v>
      </c>
      <c r="F15" s="39">
        <v>0</v>
      </c>
      <c r="G15" s="39">
        <f t="shared" si="2"/>
        <v>0</v>
      </c>
      <c r="H15" s="39"/>
      <c r="I15" s="39">
        <v>0</v>
      </c>
      <c r="J15" s="39">
        <f t="shared" si="3"/>
        <v>0</v>
      </c>
      <c r="K15" s="39">
        <f t="shared" si="4"/>
        <v>0</v>
      </c>
      <c r="L15" s="39"/>
      <c r="M15" s="39">
        <f>M14+K15-L15</f>
        <v>0</v>
      </c>
      <c r="N15" s="39"/>
      <c r="O15" s="35"/>
    </row>
    <row r="16" spans="1:15">
      <c r="A16" s="28">
        <v>13</v>
      </c>
      <c r="B16" s="29">
        <v>45760</v>
      </c>
      <c r="C16" s="125"/>
      <c r="D16" s="37"/>
      <c r="E16" s="239">
        <v>0</v>
      </c>
      <c r="F16" s="39">
        <v>0</v>
      </c>
      <c r="G16" s="39">
        <f t="shared" si="2"/>
        <v>0</v>
      </c>
      <c r="H16" s="39"/>
      <c r="I16" s="39">
        <v>0</v>
      </c>
      <c r="J16" s="39">
        <f t="shared" si="3"/>
        <v>0</v>
      </c>
      <c r="K16" s="39">
        <f t="shared" si="4"/>
        <v>0</v>
      </c>
      <c r="L16" s="39"/>
      <c r="M16" s="39">
        <f t="shared" ref="M16:M30" si="6">M15+K16-L16</f>
        <v>0</v>
      </c>
      <c r="N16" s="39"/>
      <c r="O16" s="35"/>
    </row>
    <row r="17" spans="1:16">
      <c r="A17" s="28">
        <v>14</v>
      </c>
      <c r="B17" s="29">
        <v>45761</v>
      </c>
      <c r="C17" s="125"/>
      <c r="D17" s="37"/>
      <c r="E17" s="239">
        <v>0</v>
      </c>
      <c r="F17" s="39">
        <v>0</v>
      </c>
      <c r="G17" s="39">
        <f t="shared" si="2"/>
        <v>0</v>
      </c>
      <c r="H17" s="39"/>
      <c r="I17" s="39">
        <v>0</v>
      </c>
      <c r="J17" s="39">
        <f t="shared" si="3"/>
        <v>0</v>
      </c>
      <c r="K17" s="39">
        <f t="shared" si="4"/>
        <v>0</v>
      </c>
      <c r="L17" s="39"/>
      <c r="M17" s="39">
        <f t="shared" si="6"/>
        <v>0</v>
      </c>
      <c r="N17" s="39"/>
      <c r="O17" s="35"/>
    </row>
    <row r="18" spans="1:16">
      <c r="A18" s="28">
        <v>15</v>
      </c>
      <c r="B18" s="29">
        <v>45762</v>
      </c>
      <c r="C18" s="125"/>
      <c r="D18" s="37"/>
      <c r="E18" s="239">
        <v>0</v>
      </c>
      <c r="F18" s="39">
        <v>0</v>
      </c>
      <c r="G18" s="39">
        <f t="shared" si="2"/>
        <v>0</v>
      </c>
      <c r="H18" s="39"/>
      <c r="I18" s="39">
        <v>0</v>
      </c>
      <c r="J18" s="39">
        <f t="shared" si="3"/>
        <v>0</v>
      </c>
      <c r="K18" s="39">
        <f t="shared" si="4"/>
        <v>0</v>
      </c>
      <c r="L18" s="39"/>
      <c r="M18" s="39">
        <f t="shared" si="6"/>
        <v>0</v>
      </c>
      <c r="N18" s="39"/>
      <c r="O18" s="35"/>
      <c r="P18" s="24"/>
    </row>
    <row r="19" spans="1:16">
      <c r="A19" s="28">
        <v>16</v>
      </c>
      <c r="B19" s="29">
        <v>45763</v>
      </c>
      <c r="C19" s="125"/>
      <c r="D19" s="37"/>
      <c r="E19" s="239">
        <v>0</v>
      </c>
      <c r="F19" s="39">
        <v>0</v>
      </c>
      <c r="G19" s="39">
        <f t="shared" si="2"/>
        <v>0</v>
      </c>
      <c r="H19" s="39"/>
      <c r="I19" s="39">
        <v>0</v>
      </c>
      <c r="J19" s="39">
        <f t="shared" si="3"/>
        <v>0</v>
      </c>
      <c r="K19" s="39">
        <f t="shared" si="4"/>
        <v>0</v>
      </c>
      <c r="L19" s="39"/>
      <c r="M19" s="39">
        <f t="shared" si="6"/>
        <v>0</v>
      </c>
      <c r="N19" s="39"/>
      <c r="O19" s="35"/>
      <c r="P19" s="39"/>
    </row>
    <row r="20" spans="1:16">
      <c r="A20" s="28">
        <v>17</v>
      </c>
      <c r="B20" s="29">
        <v>45764</v>
      </c>
      <c r="C20" s="125"/>
      <c r="D20" s="37"/>
      <c r="E20" s="239">
        <v>0</v>
      </c>
      <c r="F20" s="39">
        <v>0</v>
      </c>
      <c r="G20" s="39">
        <f t="shared" si="2"/>
        <v>0</v>
      </c>
      <c r="H20" s="39"/>
      <c r="I20" s="39">
        <v>0</v>
      </c>
      <c r="J20" s="39">
        <f t="shared" si="3"/>
        <v>0</v>
      </c>
      <c r="K20" s="39">
        <f t="shared" si="4"/>
        <v>0</v>
      </c>
      <c r="L20" s="39"/>
      <c r="M20" s="39">
        <f t="shared" si="6"/>
        <v>0</v>
      </c>
      <c r="N20" s="39"/>
      <c r="O20" s="35"/>
      <c r="P20" s="24"/>
    </row>
    <row r="21" spans="1:16">
      <c r="A21" s="28">
        <v>18</v>
      </c>
      <c r="B21" s="29">
        <v>45765</v>
      </c>
      <c r="C21" s="125"/>
      <c r="D21" s="37"/>
      <c r="E21" s="239">
        <v>0</v>
      </c>
      <c r="F21" s="39">
        <v>0</v>
      </c>
      <c r="G21" s="39">
        <f t="shared" si="2"/>
        <v>0</v>
      </c>
      <c r="H21" s="39"/>
      <c r="I21" s="39">
        <v>0</v>
      </c>
      <c r="J21" s="39">
        <f t="shared" si="3"/>
        <v>0</v>
      </c>
      <c r="K21" s="39">
        <f t="shared" si="4"/>
        <v>0</v>
      </c>
      <c r="L21" s="39"/>
      <c r="M21" s="39">
        <f t="shared" si="6"/>
        <v>0</v>
      </c>
      <c r="N21" s="39"/>
      <c r="O21" s="35"/>
    </row>
    <row r="22" spans="1:16">
      <c r="A22" s="28">
        <v>19</v>
      </c>
      <c r="B22" s="29">
        <v>45766</v>
      </c>
      <c r="C22" s="125"/>
      <c r="D22" s="37"/>
      <c r="E22" s="239">
        <v>0</v>
      </c>
      <c r="F22" s="39">
        <v>0</v>
      </c>
      <c r="G22" s="39">
        <f t="shared" si="2"/>
        <v>0</v>
      </c>
      <c r="H22" s="39"/>
      <c r="I22" s="39">
        <v>0</v>
      </c>
      <c r="J22" s="39">
        <f t="shared" si="3"/>
        <v>0</v>
      </c>
      <c r="K22" s="39">
        <f t="shared" si="4"/>
        <v>0</v>
      </c>
      <c r="L22" s="39"/>
      <c r="M22" s="39">
        <f t="shared" si="6"/>
        <v>0</v>
      </c>
      <c r="N22" s="39"/>
      <c r="O22" s="35"/>
    </row>
    <row r="23" spans="1:16">
      <c r="A23" s="28">
        <v>20</v>
      </c>
      <c r="B23" s="29">
        <v>45767</v>
      </c>
      <c r="C23" s="125"/>
      <c r="D23" s="37"/>
      <c r="E23" s="239">
        <v>0</v>
      </c>
      <c r="F23" s="39">
        <v>0</v>
      </c>
      <c r="G23" s="39">
        <f t="shared" si="2"/>
        <v>0</v>
      </c>
      <c r="H23" s="39"/>
      <c r="I23" s="39">
        <v>0</v>
      </c>
      <c r="J23" s="39">
        <f t="shared" si="3"/>
        <v>0</v>
      </c>
      <c r="K23" s="39">
        <f t="shared" si="4"/>
        <v>0</v>
      </c>
      <c r="L23" s="39"/>
      <c r="M23" s="39">
        <f t="shared" si="6"/>
        <v>0</v>
      </c>
      <c r="N23" s="39"/>
      <c r="O23" s="35"/>
    </row>
    <row r="24" spans="1:16">
      <c r="A24" s="28">
        <v>21</v>
      </c>
      <c r="B24" s="29">
        <v>45768</v>
      </c>
      <c r="C24" s="125"/>
      <c r="D24" s="37"/>
      <c r="E24" s="239">
        <v>0</v>
      </c>
      <c r="F24" s="39">
        <v>0</v>
      </c>
      <c r="G24" s="39">
        <f t="shared" si="2"/>
        <v>0</v>
      </c>
      <c r="H24" s="39"/>
      <c r="I24" s="39">
        <v>0</v>
      </c>
      <c r="J24" s="39">
        <f t="shared" si="3"/>
        <v>0</v>
      </c>
      <c r="K24" s="39">
        <f t="shared" si="4"/>
        <v>0</v>
      </c>
      <c r="L24" s="39"/>
      <c r="M24" s="39">
        <f t="shared" si="6"/>
        <v>0</v>
      </c>
      <c r="N24" s="39"/>
      <c r="O24" s="35"/>
    </row>
    <row r="25" spans="1:16">
      <c r="A25" s="28">
        <v>22</v>
      </c>
      <c r="B25" s="29">
        <v>45769</v>
      </c>
      <c r="C25" s="125"/>
      <c r="D25" s="37"/>
      <c r="E25" s="239">
        <v>0</v>
      </c>
      <c r="F25" s="39">
        <v>0</v>
      </c>
      <c r="G25" s="39">
        <f t="shared" si="2"/>
        <v>0</v>
      </c>
      <c r="H25" s="39"/>
      <c r="I25" s="39">
        <v>0</v>
      </c>
      <c r="J25" s="39">
        <f t="shared" si="3"/>
        <v>0</v>
      </c>
      <c r="K25" s="39">
        <f t="shared" si="4"/>
        <v>0</v>
      </c>
      <c r="L25" s="39"/>
      <c r="M25" s="39">
        <f t="shared" si="6"/>
        <v>0</v>
      </c>
      <c r="N25" s="39"/>
      <c r="O25" s="35"/>
    </row>
    <row r="26" spans="1:16">
      <c r="A26" s="28">
        <v>23</v>
      </c>
      <c r="B26" s="29">
        <v>45770</v>
      </c>
      <c r="C26" s="125"/>
      <c r="D26" s="37"/>
      <c r="E26" s="239">
        <v>0</v>
      </c>
      <c r="F26" s="39">
        <v>0</v>
      </c>
      <c r="G26" s="39">
        <f t="shared" si="2"/>
        <v>0</v>
      </c>
      <c r="H26" s="39"/>
      <c r="I26" s="39">
        <v>0</v>
      </c>
      <c r="J26" s="39">
        <f t="shared" si="3"/>
        <v>0</v>
      </c>
      <c r="K26" s="39">
        <f t="shared" si="4"/>
        <v>0</v>
      </c>
      <c r="L26" s="39"/>
      <c r="M26" s="39">
        <f t="shared" si="6"/>
        <v>0</v>
      </c>
      <c r="N26" s="39"/>
      <c r="O26" s="35"/>
    </row>
    <row r="27" spans="1:16">
      <c r="A27" s="28">
        <v>24</v>
      </c>
      <c r="B27" s="29">
        <v>45771</v>
      </c>
      <c r="C27" s="125"/>
      <c r="D27" s="37"/>
      <c r="E27" s="239">
        <v>0</v>
      </c>
      <c r="F27" s="39">
        <v>0</v>
      </c>
      <c r="G27" s="39">
        <f t="shared" si="2"/>
        <v>0</v>
      </c>
      <c r="H27" s="39"/>
      <c r="I27" s="39">
        <v>0</v>
      </c>
      <c r="J27" s="39">
        <f t="shared" si="3"/>
        <v>0</v>
      </c>
      <c r="K27" s="39">
        <f t="shared" si="4"/>
        <v>0</v>
      </c>
      <c r="L27" s="39"/>
      <c r="M27" s="39">
        <f t="shared" si="6"/>
        <v>0</v>
      </c>
      <c r="N27" s="39"/>
      <c r="O27" s="35"/>
    </row>
    <row r="28" spans="1:16">
      <c r="A28" s="28">
        <v>25</v>
      </c>
      <c r="B28" s="29">
        <v>45772</v>
      </c>
      <c r="C28" s="125"/>
      <c r="D28" s="37"/>
      <c r="E28" s="239">
        <v>0</v>
      </c>
      <c r="F28" s="39">
        <v>0</v>
      </c>
      <c r="G28" s="39">
        <f t="shared" si="2"/>
        <v>0</v>
      </c>
      <c r="H28" s="39"/>
      <c r="I28" s="39">
        <v>0</v>
      </c>
      <c r="J28" s="39">
        <f t="shared" si="3"/>
        <v>0</v>
      </c>
      <c r="K28" s="39">
        <f t="shared" si="4"/>
        <v>0</v>
      </c>
      <c r="L28" s="39"/>
      <c r="M28" s="39">
        <f t="shared" si="6"/>
        <v>0</v>
      </c>
      <c r="N28" s="39"/>
      <c r="O28" s="35"/>
    </row>
    <row r="29" spans="1:16">
      <c r="A29" s="28">
        <v>26</v>
      </c>
      <c r="B29" s="29">
        <v>45773</v>
      </c>
      <c r="C29" s="125"/>
      <c r="D29" s="37"/>
      <c r="E29" s="239">
        <v>0</v>
      </c>
      <c r="F29" s="39">
        <v>0</v>
      </c>
      <c r="G29" s="39">
        <f t="shared" si="2"/>
        <v>0</v>
      </c>
      <c r="H29" s="39"/>
      <c r="I29" s="39">
        <v>0</v>
      </c>
      <c r="J29" s="39">
        <f t="shared" si="3"/>
        <v>0</v>
      </c>
      <c r="K29" s="39">
        <f t="shared" si="4"/>
        <v>0</v>
      </c>
      <c r="L29" s="39"/>
      <c r="M29" s="39">
        <f>M28+K29-L29</f>
        <v>0</v>
      </c>
      <c r="N29" s="39"/>
      <c r="O29" s="35"/>
    </row>
    <row r="30" spans="1:16">
      <c r="A30" s="28">
        <v>27</v>
      </c>
      <c r="B30" s="29">
        <v>45774</v>
      </c>
      <c r="C30" s="125"/>
      <c r="D30" s="37"/>
      <c r="E30" s="239">
        <v>0</v>
      </c>
      <c r="F30" s="39">
        <v>0</v>
      </c>
      <c r="G30" s="39">
        <f t="shared" si="2"/>
        <v>0</v>
      </c>
      <c r="H30" s="39"/>
      <c r="I30" s="39">
        <v>0</v>
      </c>
      <c r="J30" s="39">
        <f t="shared" si="3"/>
        <v>0</v>
      </c>
      <c r="K30" s="39">
        <f t="shared" si="4"/>
        <v>0</v>
      </c>
      <c r="L30" s="39"/>
      <c r="M30" s="39">
        <f t="shared" si="6"/>
        <v>0</v>
      </c>
      <c r="N30" s="39"/>
      <c r="O30" s="35"/>
    </row>
    <row r="31" spans="1:16">
      <c r="A31" s="28">
        <v>28</v>
      </c>
      <c r="B31" s="29">
        <v>45775</v>
      </c>
      <c r="C31" s="125"/>
      <c r="D31" s="37"/>
      <c r="E31" s="239">
        <v>0</v>
      </c>
      <c r="F31" s="39">
        <v>0</v>
      </c>
      <c r="G31" s="39">
        <f t="shared" si="2"/>
        <v>0</v>
      </c>
      <c r="H31" s="39"/>
      <c r="I31" s="39">
        <v>0</v>
      </c>
      <c r="J31" s="39">
        <f t="shared" si="3"/>
        <v>0</v>
      </c>
      <c r="K31" s="39">
        <f t="shared" si="4"/>
        <v>0</v>
      </c>
      <c r="L31" s="39"/>
      <c r="M31" s="39">
        <f>M30+K31-L31</f>
        <v>0</v>
      </c>
      <c r="N31" s="39"/>
      <c r="O31" s="35"/>
    </row>
    <row r="32" spans="1:16">
      <c r="A32" s="28">
        <v>29</v>
      </c>
      <c r="B32" s="29">
        <v>45776</v>
      </c>
      <c r="C32" s="125"/>
      <c r="D32" s="37"/>
      <c r="E32" s="239">
        <v>0</v>
      </c>
      <c r="F32" s="39">
        <v>0</v>
      </c>
      <c r="G32" s="39">
        <f t="shared" si="2"/>
        <v>0</v>
      </c>
      <c r="H32" s="39"/>
      <c r="I32" s="39">
        <v>0</v>
      </c>
      <c r="J32" s="39">
        <f t="shared" si="3"/>
        <v>0</v>
      </c>
      <c r="K32" s="39">
        <f t="shared" si="4"/>
        <v>0</v>
      </c>
      <c r="L32" s="39"/>
      <c r="M32" s="39">
        <f>M31+K32-L32</f>
        <v>0</v>
      </c>
      <c r="N32" s="39"/>
      <c r="O32" s="35"/>
    </row>
    <row r="33" spans="1:15">
      <c r="A33" s="28">
        <v>30</v>
      </c>
      <c r="B33" s="29">
        <v>45777</v>
      </c>
      <c r="C33" s="125"/>
      <c r="D33" s="37"/>
      <c r="E33" s="239">
        <v>0</v>
      </c>
      <c r="F33" s="39">
        <v>0</v>
      </c>
      <c r="G33" s="39">
        <f t="shared" si="2"/>
        <v>0</v>
      </c>
      <c r="H33" s="39"/>
      <c r="I33" s="39">
        <v>0</v>
      </c>
      <c r="J33" s="39">
        <f t="shared" si="3"/>
        <v>0</v>
      </c>
      <c r="K33" s="39">
        <f t="shared" si="4"/>
        <v>0</v>
      </c>
      <c r="L33" s="39"/>
      <c r="M33" s="39">
        <f>M32+K33-L33</f>
        <v>0</v>
      </c>
      <c r="N33" s="39"/>
      <c r="O33" s="35"/>
    </row>
    <row r="34" spans="1:15">
      <c r="A34" s="28">
        <v>31</v>
      </c>
      <c r="B34" s="29"/>
      <c r="C34" s="125"/>
      <c r="D34" s="37"/>
      <c r="E34" s="239">
        <v>0</v>
      </c>
      <c r="F34" s="39">
        <v>0</v>
      </c>
      <c r="G34" s="39">
        <f t="shared" si="2"/>
        <v>0</v>
      </c>
      <c r="H34" s="39"/>
      <c r="I34" s="39">
        <v>0</v>
      </c>
      <c r="J34" s="39">
        <f t="shared" si="3"/>
        <v>0</v>
      </c>
      <c r="K34" s="39">
        <f t="shared" si="4"/>
        <v>0</v>
      </c>
      <c r="L34" s="39"/>
      <c r="M34" s="39">
        <f>M33+K34-L34</f>
        <v>0</v>
      </c>
      <c r="N34" s="39"/>
      <c r="O34" s="35"/>
    </row>
    <row r="35" spans="1:15">
      <c r="A35" s="52"/>
      <c r="B35" s="52"/>
      <c r="C35" s="52"/>
      <c r="D35" s="52"/>
      <c r="E35" s="240">
        <f>SUM(E4:E34)</f>
        <v>0</v>
      </c>
      <c r="F35" s="53"/>
      <c r="G35" s="240">
        <f>SUM(G4:G34)</f>
        <v>0</v>
      </c>
      <c r="H35" s="240">
        <f>SUM(H4:H34)</f>
        <v>0</v>
      </c>
      <c r="I35" s="53"/>
      <c r="J35" s="240">
        <f>SUM(J4:J34)</f>
        <v>0</v>
      </c>
      <c r="K35" s="240">
        <f>SUM(K4:K34)</f>
        <v>0</v>
      </c>
      <c r="L35" s="240">
        <f>SUM(L4:L34)</f>
        <v>0</v>
      </c>
      <c r="M35" s="53"/>
      <c r="N35" s="53"/>
      <c r="O35" s="35"/>
    </row>
    <row r="36" spans="1:15">
      <c r="A36" s="212"/>
      <c r="B36" s="212"/>
      <c r="C36" s="212"/>
      <c r="D36" s="212"/>
      <c r="E36" s="241"/>
      <c r="F36" s="213"/>
      <c r="G36" s="213"/>
      <c r="H36" s="213"/>
      <c r="I36" s="213"/>
      <c r="J36" s="213"/>
      <c r="K36" s="213"/>
      <c r="L36" s="213"/>
      <c r="M36" s="213"/>
      <c r="N36" s="213"/>
      <c r="O36" s="35"/>
    </row>
    <row r="37" spans="1:15">
      <c r="A37" s="35"/>
      <c r="B37" s="35"/>
      <c r="C37" s="35"/>
      <c r="D37" s="35"/>
      <c r="E37" s="242"/>
      <c r="F37" s="35"/>
      <c r="G37" s="42"/>
      <c r="H37" s="35"/>
      <c r="I37" s="35"/>
      <c r="J37" s="35"/>
      <c r="K37" s="35"/>
      <c r="L37" s="35"/>
      <c r="M37" s="35"/>
      <c r="N37" s="35"/>
      <c r="O37" s="43"/>
    </row>
    <row r="38" spans="1:15">
      <c r="A38" s="35"/>
      <c r="B38" s="444"/>
      <c r="C38" s="444"/>
      <c r="D38" s="444"/>
      <c r="E38" s="444"/>
      <c r="F38" s="35"/>
      <c r="G38" s="35"/>
      <c r="H38" s="35"/>
      <c r="I38" s="444"/>
      <c r="J38" s="444"/>
      <c r="K38" s="444"/>
      <c r="L38" s="444"/>
      <c r="M38" s="444"/>
      <c r="N38" s="444"/>
      <c r="O38" s="43"/>
    </row>
    <row r="39" spans="1:15">
      <c r="A39" s="35"/>
      <c r="B39" s="35"/>
      <c r="C39" s="35"/>
      <c r="D39" s="35"/>
      <c r="E39" s="242"/>
      <c r="F39" s="35"/>
      <c r="G39" s="35"/>
      <c r="H39" s="35"/>
      <c r="I39" s="35"/>
      <c r="J39" s="35"/>
      <c r="K39" s="35"/>
      <c r="L39" s="35"/>
      <c r="M39" s="35"/>
      <c r="N39" s="35"/>
      <c r="O39" s="43"/>
    </row>
    <row r="42" spans="1:15">
      <c r="M42">
        <f>2225506.64-2221066.35</f>
        <v>4440.2900000000373</v>
      </c>
    </row>
    <row r="44" spans="1:15">
      <c r="J44">
        <v>4333.95</v>
      </c>
    </row>
  </sheetData>
  <mergeCells count="4">
    <mergeCell ref="B38:E38"/>
    <mergeCell ref="I38:N38"/>
    <mergeCell ref="A1:N1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2026-10-07T12:18:31Z</dcterms:modified>
  <cp:category/>
  <cp:contentStatus/>
</cp:coreProperties>
</file>